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F78778A1-942A-406D-BFBF-2D73700B319A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Progress!$A$3:$BD$914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1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46" i="1" l="1"/>
  <c r="AO224" i="1"/>
  <c r="AO225" i="1"/>
  <c r="AO226" i="1"/>
  <c r="AO227" i="1"/>
  <c r="AO228" i="1"/>
  <c r="AO229" i="1"/>
  <c r="AO230" i="1"/>
  <c r="AO231" i="1"/>
  <c r="AO232" i="1"/>
  <c r="AO233" i="1"/>
  <c r="AO234" i="1"/>
  <c r="AO217" i="1"/>
  <c r="AO218" i="1"/>
  <c r="AO219" i="1"/>
  <c r="AO220" i="1"/>
  <c r="AO221" i="1"/>
  <c r="AO222" i="1"/>
  <c r="AL236" i="1"/>
  <c r="AL237" i="1"/>
  <c r="AL238" i="1"/>
  <c r="AL239" i="1"/>
  <c r="AL240" i="1"/>
  <c r="AL241" i="1"/>
  <c r="AL242" i="1"/>
  <c r="AL243" i="1"/>
  <c r="AL244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79" i="1"/>
  <c r="AY77" i="1"/>
  <c r="AL230" i="1"/>
  <c r="AL231" i="1"/>
  <c r="AL232" i="1"/>
  <c r="AL233" i="1"/>
  <c r="AL234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O288" i="1"/>
  <c r="AL288" i="1"/>
  <c r="AO287" i="1"/>
  <c r="AL287" i="1"/>
  <c r="AO286" i="1"/>
  <c r="AL286" i="1"/>
  <c r="AO285" i="1"/>
  <c r="AL285" i="1"/>
  <c r="AO284" i="1"/>
  <c r="AL284" i="1"/>
  <c r="AO283" i="1"/>
  <c r="AL283" i="1"/>
  <c r="AO282" i="1"/>
  <c r="AL282" i="1"/>
  <c r="AO281" i="1"/>
  <c r="AL281" i="1"/>
  <c r="AO280" i="1"/>
  <c r="AL280" i="1"/>
  <c r="AO279" i="1"/>
  <c r="AL279" i="1"/>
  <c r="AO278" i="1"/>
  <c r="AL278" i="1"/>
  <c r="AO277" i="1"/>
  <c r="AL277" i="1"/>
  <c r="AO276" i="1"/>
  <c r="AL276" i="1"/>
  <c r="AO275" i="1"/>
  <c r="AL275" i="1"/>
  <c r="AO274" i="1"/>
  <c r="AL274" i="1"/>
  <c r="AO273" i="1"/>
  <c r="AL273" i="1"/>
  <c r="AO272" i="1"/>
  <c r="AL272" i="1"/>
  <c r="AO271" i="1"/>
  <c r="AL271" i="1"/>
  <c r="BB682" i="1"/>
  <c r="BB681" i="1"/>
  <c r="BB680" i="1"/>
  <c r="BB679" i="1"/>
  <c r="BB678" i="1"/>
  <c r="BB677" i="1"/>
  <c r="BB676" i="1"/>
  <c r="BB675" i="1"/>
  <c r="BB674" i="1"/>
  <c r="BB673" i="1"/>
  <c r="BB672" i="1"/>
  <c r="BB671" i="1"/>
  <c r="BB670" i="1"/>
  <c r="BB669" i="1"/>
  <c r="BB668" i="1"/>
  <c r="BB667" i="1"/>
  <c r="BB666" i="1"/>
  <c r="BB665" i="1"/>
  <c r="BB664" i="1"/>
  <c r="BB663" i="1"/>
  <c r="BB662" i="1"/>
  <c r="BB661" i="1"/>
  <c r="BB660" i="1"/>
  <c r="BB659" i="1"/>
  <c r="BB658" i="1"/>
  <c r="BB657" i="1"/>
  <c r="BB656" i="1"/>
  <c r="BB655" i="1"/>
  <c r="BB654" i="1"/>
  <c r="BB653" i="1"/>
  <c r="BB652" i="1"/>
  <c r="BB651" i="1"/>
  <c r="BB650" i="1"/>
  <c r="BB649" i="1"/>
  <c r="BB648" i="1"/>
  <c r="BB647" i="1"/>
  <c r="BB646" i="1"/>
  <c r="BB645" i="1"/>
  <c r="BB644" i="1"/>
  <c r="BB643" i="1"/>
  <c r="BB642" i="1"/>
  <c r="BB641" i="1"/>
  <c r="BB640" i="1"/>
  <c r="BB639" i="1"/>
  <c r="BB638" i="1"/>
  <c r="BB637" i="1"/>
  <c r="BB636" i="1"/>
  <c r="BB635" i="1"/>
  <c r="BB634" i="1"/>
  <c r="BB633" i="1"/>
  <c r="BB632" i="1"/>
  <c r="BB631" i="1"/>
  <c r="BB630" i="1"/>
  <c r="BB629" i="1"/>
  <c r="BB628" i="1"/>
  <c r="BB627" i="1"/>
  <c r="BB626" i="1"/>
  <c r="BB625" i="1"/>
  <c r="BB624" i="1"/>
  <c r="BB623" i="1"/>
  <c r="BB622" i="1"/>
  <c r="BB621" i="1"/>
  <c r="BB620" i="1"/>
  <c r="BB619" i="1"/>
  <c r="BB618" i="1"/>
  <c r="BB617" i="1"/>
  <c r="BB616" i="1"/>
  <c r="BB615" i="1"/>
  <c r="BB614" i="1"/>
  <c r="BB613" i="1"/>
  <c r="BB612" i="1"/>
  <c r="BB611" i="1"/>
  <c r="BB610" i="1"/>
  <c r="BB609" i="1"/>
  <c r="BB608" i="1"/>
  <c r="BB607" i="1"/>
  <c r="BB606" i="1"/>
  <c r="BB605" i="1"/>
  <c r="BB604" i="1"/>
  <c r="BB603" i="1"/>
  <c r="BB602" i="1"/>
  <c r="BB601" i="1"/>
  <c r="BB600" i="1"/>
  <c r="BB599" i="1"/>
  <c r="BB598" i="1"/>
  <c r="BB597" i="1"/>
  <c r="BB596" i="1"/>
  <c r="BB595" i="1"/>
  <c r="BB594" i="1"/>
  <c r="BB593" i="1"/>
  <c r="BB592" i="1"/>
  <c r="BB591" i="1"/>
  <c r="BB590" i="1"/>
  <c r="BB589" i="1"/>
  <c r="BB588" i="1"/>
  <c r="BB587" i="1"/>
  <c r="BB586" i="1"/>
  <c r="BB585" i="1"/>
  <c r="BB584" i="1"/>
  <c r="BB583" i="1"/>
  <c r="BB582" i="1"/>
  <c r="BB581" i="1"/>
  <c r="BB580" i="1"/>
  <c r="BB579" i="1"/>
  <c r="BB578" i="1"/>
  <c r="BB577" i="1"/>
  <c r="BB576" i="1"/>
  <c r="BB575" i="1"/>
  <c r="BB574" i="1"/>
  <c r="BB573" i="1"/>
  <c r="BB572" i="1"/>
  <c r="BB571" i="1"/>
  <c r="BB570" i="1"/>
  <c r="BB569" i="1"/>
  <c r="BB568" i="1"/>
  <c r="BB567" i="1"/>
  <c r="BB566" i="1"/>
  <c r="BB565" i="1"/>
  <c r="BB564" i="1"/>
  <c r="BB563" i="1"/>
  <c r="BB562" i="1"/>
  <c r="BB561" i="1"/>
  <c r="BB560" i="1"/>
  <c r="BB559" i="1"/>
  <c r="BB558" i="1"/>
  <c r="BB557" i="1"/>
  <c r="BB556" i="1"/>
  <c r="BB555" i="1"/>
  <c r="BB554" i="1"/>
  <c r="BB553" i="1"/>
  <c r="BB552" i="1"/>
  <c r="BB551" i="1"/>
  <c r="BB550" i="1"/>
  <c r="BB549" i="1"/>
  <c r="BB548" i="1"/>
  <c r="BB547" i="1"/>
  <c r="BB546" i="1"/>
  <c r="BB545" i="1"/>
  <c r="BB544" i="1"/>
  <c r="BB543" i="1"/>
  <c r="BB542" i="1"/>
  <c r="BB541" i="1"/>
  <c r="BB540" i="1"/>
  <c r="BB539" i="1"/>
  <c r="BB538" i="1"/>
  <c r="BB537" i="1"/>
  <c r="BB536" i="1"/>
  <c r="BB535" i="1"/>
  <c r="BB534" i="1"/>
  <c r="BB533" i="1"/>
  <c r="BB532" i="1"/>
  <c r="BB531" i="1"/>
  <c r="BB530" i="1"/>
  <c r="BB529" i="1"/>
  <c r="BB528" i="1"/>
  <c r="BB527" i="1"/>
  <c r="BB526" i="1"/>
  <c r="BB525" i="1"/>
  <c r="BB524" i="1"/>
  <c r="BB523" i="1"/>
  <c r="BB522" i="1"/>
  <c r="BB521" i="1"/>
  <c r="BB520" i="1"/>
  <c r="BB519" i="1"/>
  <c r="BB518" i="1"/>
  <c r="BB517" i="1"/>
  <c r="BB516" i="1"/>
  <c r="BB515" i="1"/>
  <c r="BB514" i="1"/>
  <c r="BB513" i="1"/>
  <c r="BB512" i="1"/>
  <c r="BB511" i="1"/>
  <c r="BB510" i="1"/>
  <c r="BB509" i="1"/>
  <c r="BB508" i="1"/>
  <c r="BB507" i="1"/>
  <c r="BB506" i="1"/>
  <c r="BB505" i="1"/>
  <c r="BB504" i="1"/>
  <c r="BB503" i="1"/>
  <c r="BB502" i="1"/>
  <c r="BB501" i="1"/>
  <c r="BB500" i="1"/>
  <c r="BB499" i="1"/>
  <c r="BB498" i="1"/>
  <c r="BB497" i="1"/>
  <c r="BB496" i="1"/>
  <c r="BB495" i="1"/>
  <c r="BB494" i="1"/>
  <c r="BB493" i="1"/>
  <c r="BB492" i="1"/>
  <c r="BB491" i="1"/>
  <c r="BB490" i="1"/>
  <c r="BB489" i="1"/>
  <c r="BB488" i="1"/>
  <c r="BB487" i="1"/>
  <c r="BB486" i="1"/>
  <c r="BB485" i="1"/>
  <c r="BB484" i="1"/>
  <c r="BB483" i="1"/>
  <c r="BB482" i="1"/>
  <c r="BB481" i="1"/>
  <c r="BB480" i="1"/>
  <c r="BB479" i="1"/>
  <c r="BB478" i="1"/>
  <c r="BB477" i="1"/>
  <c r="BB476" i="1"/>
  <c r="BB475" i="1"/>
  <c r="BB474" i="1"/>
  <c r="BB473" i="1"/>
  <c r="BB472" i="1"/>
  <c r="BB471" i="1"/>
  <c r="BB470" i="1"/>
  <c r="BB469" i="1"/>
  <c r="BB468" i="1"/>
  <c r="BB467" i="1"/>
  <c r="BB466" i="1"/>
  <c r="BB465" i="1"/>
  <c r="BB464" i="1"/>
  <c r="BB463" i="1"/>
  <c r="BB462" i="1"/>
  <c r="BB461" i="1"/>
  <c r="BB460" i="1"/>
  <c r="BB459" i="1"/>
  <c r="BB458" i="1"/>
  <c r="BB457" i="1"/>
  <c r="BB456" i="1"/>
  <c r="BB455" i="1"/>
  <c r="BB454" i="1"/>
  <c r="BB453" i="1"/>
  <c r="BB452" i="1"/>
  <c r="BB451" i="1"/>
  <c r="BB450" i="1"/>
  <c r="BB449" i="1"/>
  <c r="BB448" i="1"/>
  <c r="BB447" i="1"/>
  <c r="BB446" i="1"/>
  <c r="BB445" i="1"/>
  <c r="BB444" i="1"/>
  <c r="BB443" i="1"/>
  <c r="BB442" i="1"/>
  <c r="BB441" i="1"/>
  <c r="BB440" i="1"/>
  <c r="BB439" i="1"/>
  <c r="BB438" i="1"/>
  <c r="BB437" i="1"/>
  <c r="BB436" i="1"/>
  <c r="BB435" i="1"/>
  <c r="BB434" i="1"/>
  <c r="BB433" i="1"/>
  <c r="BB432" i="1"/>
  <c r="BB431" i="1"/>
  <c r="BB430" i="1"/>
  <c r="BB429" i="1"/>
  <c r="BB428" i="1"/>
  <c r="BB427" i="1"/>
  <c r="BB426" i="1"/>
  <c r="BB425" i="1"/>
  <c r="BB424" i="1"/>
  <c r="BB423" i="1"/>
  <c r="BB422" i="1"/>
  <c r="BB421" i="1"/>
  <c r="BB420" i="1"/>
  <c r="BB419" i="1"/>
  <c r="BB418" i="1"/>
  <c r="BB417" i="1"/>
  <c r="BB416" i="1"/>
  <c r="BB415" i="1"/>
  <c r="BB414" i="1"/>
  <c r="BB413" i="1"/>
  <c r="BB412" i="1"/>
  <c r="BB411" i="1"/>
  <c r="BB410" i="1"/>
  <c r="BB409" i="1"/>
  <c r="BB408" i="1"/>
  <c r="BB407" i="1"/>
  <c r="BB406" i="1"/>
  <c r="BB405" i="1"/>
  <c r="BB404" i="1"/>
  <c r="BB403" i="1"/>
  <c r="BB402" i="1"/>
  <c r="BB401" i="1"/>
  <c r="BB400" i="1"/>
  <c r="BB399" i="1"/>
  <c r="BB398" i="1"/>
  <c r="BB397" i="1"/>
  <c r="BB396" i="1"/>
  <c r="BB395" i="1"/>
  <c r="BB394" i="1"/>
  <c r="BB393" i="1"/>
  <c r="BB392" i="1"/>
  <c r="BB391" i="1"/>
  <c r="BB390" i="1"/>
  <c r="BB389" i="1"/>
  <c r="BB388" i="1"/>
  <c r="BB387" i="1"/>
  <c r="BB386" i="1"/>
  <c r="BB385" i="1"/>
  <c r="BB384" i="1"/>
  <c r="BB383" i="1"/>
  <c r="BB382" i="1"/>
  <c r="BB381" i="1"/>
  <c r="BB380" i="1"/>
  <c r="BB379" i="1"/>
  <c r="BB378" i="1"/>
  <c r="BB377" i="1"/>
  <c r="BB376" i="1"/>
  <c r="BB375" i="1"/>
  <c r="BB374" i="1"/>
  <c r="BB373" i="1"/>
  <c r="BB372" i="1"/>
  <c r="BB371" i="1"/>
  <c r="BB370" i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23" i="1"/>
  <c r="BB322" i="1"/>
  <c r="BB321" i="1"/>
  <c r="BB320" i="1"/>
  <c r="BB319" i="1"/>
  <c r="BB318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4" i="1"/>
  <c r="BB83" i="1"/>
  <c r="BB82" i="1"/>
  <c r="BB81" i="1"/>
  <c r="BB80" i="1"/>
  <c r="BB78" i="1"/>
  <c r="BB75" i="1"/>
  <c r="BB74" i="1"/>
  <c r="BB73" i="1"/>
  <c r="BB72" i="1"/>
  <c r="BB71" i="1"/>
  <c r="BB70" i="1"/>
  <c r="BB66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Y68" i="1"/>
  <c r="AY67" i="1"/>
  <c r="AY558" i="1"/>
  <c r="AV558" i="1"/>
  <c r="AR558" i="1"/>
  <c r="AO558" i="1"/>
  <c r="AL558" i="1"/>
  <c r="AI558" i="1"/>
  <c r="C558" i="1"/>
  <c r="A558" i="1"/>
  <c r="AY557" i="1"/>
  <c r="AV557" i="1"/>
  <c r="AR557" i="1"/>
  <c r="AO557" i="1"/>
  <c r="AL557" i="1"/>
  <c r="AI557" i="1"/>
  <c r="C557" i="1"/>
  <c r="A557" i="1"/>
  <c r="AY556" i="1"/>
  <c r="AV556" i="1"/>
  <c r="AR556" i="1"/>
  <c r="AO556" i="1"/>
  <c r="AL556" i="1"/>
  <c r="AI556" i="1"/>
  <c r="C556" i="1"/>
  <c r="A556" i="1"/>
  <c r="AY555" i="1"/>
  <c r="AV555" i="1"/>
  <c r="AR555" i="1"/>
  <c r="AO555" i="1"/>
  <c r="AL555" i="1"/>
  <c r="AI555" i="1"/>
  <c r="C555" i="1"/>
  <c r="A555" i="1"/>
  <c r="AY554" i="1"/>
  <c r="AV554" i="1"/>
  <c r="AR554" i="1"/>
  <c r="AO554" i="1"/>
  <c r="AL554" i="1"/>
  <c r="AI554" i="1"/>
  <c r="C554" i="1"/>
  <c r="A554" i="1"/>
  <c r="AY553" i="1"/>
  <c r="AV553" i="1"/>
  <c r="AR553" i="1"/>
  <c r="AO553" i="1"/>
  <c r="AL553" i="1"/>
  <c r="AI553" i="1"/>
  <c r="C553" i="1"/>
  <c r="A553" i="1"/>
  <c r="AY552" i="1"/>
  <c r="AV552" i="1"/>
  <c r="AR552" i="1"/>
  <c r="AO552" i="1"/>
  <c r="AL552" i="1"/>
  <c r="AI552" i="1"/>
  <c r="C552" i="1"/>
  <c r="A552" i="1"/>
  <c r="AY551" i="1"/>
  <c r="AV551" i="1"/>
  <c r="AR551" i="1"/>
  <c r="AO551" i="1"/>
  <c r="AL551" i="1"/>
  <c r="AI551" i="1"/>
  <c r="C551" i="1"/>
  <c r="A551" i="1"/>
  <c r="AY550" i="1"/>
  <c r="AV550" i="1"/>
  <c r="AR550" i="1"/>
  <c r="AO550" i="1"/>
  <c r="AL550" i="1"/>
  <c r="AI550" i="1"/>
  <c r="C550" i="1"/>
  <c r="A550" i="1"/>
  <c r="AY549" i="1"/>
  <c r="AV549" i="1"/>
  <c r="AR549" i="1"/>
  <c r="AO549" i="1"/>
  <c r="AL549" i="1"/>
  <c r="AI549" i="1"/>
  <c r="C549" i="1"/>
  <c r="A549" i="1"/>
  <c r="AY548" i="1"/>
  <c r="AV548" i="1"/>
  <c r="AR548" i="1"/>
  <c r="AO548" i="1"/>
  <c r="AL548" i="1"/>
  <c r="AI548" i="1"/>
  <c r="C548" i="1"/>
  <c r="A548" i="1"/>
  <c r="AY547" i="1"/>
  <c r="AV547" i="1"/>
  <c r="AR547" i="1"/>
  <c r="AO547" i="1"/>
  <c r="AL547" i="1"/>
  <c r="AI547" i="1"/>
  <c r="C547" i="1"/>
  <c r="A547" i="1"/>
  <c r="AY546" i="1"/>
  <c r="AV546" i="1"/>
  <c r="AR546" i="1"/>
  <c r="AO546" i="1"/>
  <c r="AL546" i="1"/>
  <c r="AI546" i="1"/>
  <c r="C546" i="1"/>
  <c r="A546" i="1"/>
  <c r="AY545" i="1"/>
  <c r="AV545" i="1"/>
  <c r="AR545" i="1"/>
  <c r="AO545" i="1"/>
  <c r="AL545" i="1"/>
  <c r="AI545" i="1"/>
  <c r="C545" i="1"/>
  <c r="A545" i="1"/>
  <c r="AY544" i="1"/>
  <c r="AV544" i="1"/>
  <c r="AR544" i="1"/>
  <c r="AO544" i="1"/>
  <c r="AL544" i="1"/>
  <c r="AI544" i="1"/>
  <c r="C544" i="1"/>
  <c r="A544" i="1"/>
  <c r="AY543" i="1"/>
  <c r="AV543" i="1"/>
  <c r="AR543" i="1"/>
  <c r="AO543" i="1"/>
  <c r="AL543" i="1"/>
  <c r="AI543" i="1"/>
  <c r="C543" i="1"/>
  <c r="A543" i="1"/>
  <c r="AY542" i="1"/>
  <c r="AV542" i="1"/>
  <c r="AR542" i="1"/>
  <c r="AO542" i="1"/>
  <c r="AL542" i="1"/>
  <c r="AI542" i="1"/>
  <c r="C542" i="1"/>
  <c r="A542" i="1"/>
  <c r="AY541" i="1"/>
  <c r="AV541" i="1"/>
  <c r="AR541" i="1"/>
  <c r="AO541" i="1"/>
  <c r="AL541" i="1"/>
  <c r="AI541" i="1"/>
  <c r="C541" i="1"/>
  <c r="A541" i="1"/>
  <c r="AY540" i="1"/>
  <c r="AV540" i="1"/>
  <c r="AR540" i="1"/>
  <c r="AO540" i="1"/>
  <c r="AL540" i="1"/>
  <c r="AI540" i="1"/>
  <c r="C540" i="1"/>
  <c r="A540" i="1"/>
  <c r="AY539" i="1"/>
  <c r="AV539" i="1"/>
  <c r="AR539" i="1"/>
  <c r="AO539" i="1"/>
  <c r="AL539" i="1"/>
  <c r="AI539" i="1"/>
  <c r="C539" i="1"/>
  <c r="A539" i="1"/>
  <c r="AY538" i="1"/>
  <c r="AV538" i="1"/>
  <c r="AR538" i="1"/>
  <c r="AO538" i="1"/>
  <c r="AL538" i="1"/>
  <c r="AI538" i="1"/>
  <c r="C538" i="1"/>
  <c r="A538" i="1"/>
  <c r="AY537" i="1"/>
  <c r="AV537" i="1"/>
  <c r="AR537" i="1"/>
  <c r="AO537" i="1"/>
  <c r="AL537" i="1"/>
  <c r="AI537" i="1"/>
  <c r="C537" i="1"/>
  <c r="A537" i="1"/>
  <c r="AY536" i="1"/>
  <c r="AV536" i="1"/>
  <c r="AR536" i="1"/>
  <c r="AO536" i="1"/>
  <c r="AL536" i="1"/>
  <c r="AI536" i="1"/>
  <c r="C536" i="1"/>
  <c r="A536" i="1"/>
  <c r="AY535" i="1"/>
  <c r="AV535" i="1"/>
  <c r="AR535" i="1"/>
  <c r="AO535" i="1"/>
  <c r="AL535" i="1"/>
  <c r="AI535" i="1"/>
  <c r="C535" i="1"/>
  <c r="A535" i="1"/>
  <c r="AY527" i="1"/>
  <c r="AV527" i="1"/>
  <c r="AR527" i="1"/>
  <c r="AO527" i="1"/>
  <c r="AL527" i="1"/>
  <c r="AI527" i="1"/>
  <c r="C527" i="1"/>
  <c r="A527" i="1"/>
  <c r="AY526" i="1"/>
  <c r="AV526" i="1"/>
  <c r="AR526" i="1"/>
  <c r="AO526" i="1"/>
  <c r="AL526" i="1"/>
  <c r="AI526" i="1"/>
  <c r="C526" i="1"/>
  <c r="A526" i="1"/>
  <c r="AY525" i="1"/>
  <c r="AV525" i="1"/>
  <c r="AR525" i="1"/>
  <c r="AO525" i="1"/>
  <c r="AL525" i="1"/>
  <c r="AI525" i="1"/>
  <c r="C525" i="1"/>
  <c r="A525" i="1"/>
  <c r="AY524" i="1"/>
  <c r="AV524" i="1"/>
  <c r="AR524" i="1"/>
  <c r="AO524" i="1"/>
  <c r="AL524" i="1"/>
  <c r="AI524" i="1"/>
  <c r="C524" i="1"/>
  <c r="A524" i="1"/>
  <c r="AY523" i="1"/>
  <c r="AV523" i="1"/>
  <c r="AR523" i="1"/>
  <c r="AO523" i="1"/>
  <c r="AL523" i="1"/>
  <c r="AI523" i="1"/>
  <c r="C523" i="1"/>
  <c r="A523" i="1"/>
  <c r="AY522" i="1"/>
  <c r="AV522" i="1"/>
  <c r="AR522" i="1"/>
  <c r="AO522" i="1"/>
  <c r="AL522" i="1"/>
  <c r="AI522" i="1"/>
  <c r="C522" i="1"/>
  <c r="A522" i="1"/>
  <c r="AY521" i="1"/>
  <c r="AV521" i="1"/>
  <c r="AR521" i="1"/>
  <c r="AO521" i="1"/>
  <c r="AL521" i="1"/>
  <c r="AI521" i="1"/>
  <c r="C521" i="1"/>
  <c r="A521" i="1"/>
  <c r="AY520" i="1"/>
  <c r="AV520" i="1"/>
  <c r="AR520" i="1"/>
  <c r="AO520" i="1"/>
  <c r="AL520" i="1"/>
  <c r="AI520" i="1"/>
  <c r="C520" i="1"/>
  <c r="A520" i="1"/>
  <c r="AY519" i="1"/>
  <c r="AV519" i="1"/>
  <c r="AR519" i="1"/>
  <c r="AO519" i="1"/>
  <c r="AL519" i="1"/>
  <c r="AI519" i="1"/>
  <c r="C519" i="1"/>
  <c r="A519" i="1"/>
  <c r="AY518" i="1"/>
  <c r="AV518" i="1"/>
  <c r="AR518" i="1"/>
  <c r="AO518" i="1"/>
  <c r="AL518" i="1"/>
  <c r="AI518" i="1"/>
  <c r="C518" i="1"/>
  <c r="A518" i="1"/>
  <c r="AY517" i="1"/>
  <c r="AV517" i="1"/>
  <c r="AR517" i="1"/>
  <c r="AO517" i="1"/>
  <c r="AL517" i="1"/>
  <c r="AI517" i="1"/>
  <c r="C517" i="1"/>
  <c r="A517" i="1"/>
  <c r="AY516" i="1"/>
  <c r="AV516" i="1"/>
  <c r="AR516" i="1"/>
  <c r="AO516" i="1"/>
  <c r="AL516" i="1"/>
  <c r="AI516" i="1"/>
  <c r="C516" i="1"/>
  <c r="A516" i="1"/>
  <c r="AY515" i="1"/>
  <c r="AV515" i="1"/>
  <c r="AR515" i="1"/>
  <c r="AO515" i="1"/>
  <c r="AL515" i="1"/>
  <c r="AI515" i="1"/>
  <c r="C515" i="1"/>
  <c r="A515" i="1"/>
  <c r="AY514" i="1"/>
  <c r="AV514" i="1"/>
  <c r="AR514" i="1"/>
  <c r="AO514" i="1"/>
  <c r="AL514" i="1"/>
  <c r="AI514" i="1"/>
  <c r="C514" i="1"/>
  <c r="A514" i="1"/>
  <c r="AY513" i="1"/>
  <c r="AV513" i="1"/>
  <c r="AR513" i="1"/>
  <c r="AO513" i="1"/>
  <c r="AL513" i="1"/>
  <c r="AI513" i="1"/>
  <c r="C513" i="1"/>
  <c r="A513" i="1"/>
  <c r="AY512" i="1"/>
  <c r="AV512" i="1"/>
  <c r="AR512" i="1"/>
  <c r="AO512" i="1"/>
  <c r="AL512" i="1"/>
  <c r="AI512" i="1"/>
  <c r="C512" i="1"/>
  <c r="A512" i="1"/>
  <c r="AY250" i="1"/>
  <c r="AV250" i="1"/>
  <c r="AR250" i="1"/>
  <c r="AO250" i="1"/>
  <c r="AL250" i="1"/>
  <c r="AI250" i="1"/>
  <c r="C250" i="1"/>
  <c r="A250" i="1"/>
  <c r="AY249" i="1"/>
  <c r="AV249" i="1"/>
  <c r="AR249" i="1"/>
  <c r="AO249" i="1"/>
  <c r="AL249" i="1"/>
  <c r="AI249" i="1"/>
  <c r="C249" i="1"/>
  <c r="A249" i="1"/>
  <c r="AY248" i="1"/>
  <c r="AV248" i="1"/>
  <c r="AR248" i="1"/>
  <c r="AO248" i="1"/>
  <c r="AL248" i="1"/>
  <c r="AI248" i="1"/>
  <c r="C248" i="1"/>
  <c r="A248" i="1"/>
  <c r="AY195" i="1"/>
  <c r="AV195" i="1"/>
  <c r="AR195" i="1"/>
  <c r="AO195" i="1"/>
  <c r="AL195" i="1"/>
  <c r="AI195" i="1"/>
  <c r="C195" i="1"/>
  <c r="A195" i="1"/>
  <c r="AY46" i="1"/>
  <c r="AV46" i="1"/>
  <c r="AR46" i="1"/>
  <c r="AO46" i="1"/>
  <c r="AL46" i="1"/>
  <c r="AI46" i="1"/>
  <c r="C46" i="1"/>
  <c r="A46" i="1"/>
  <c r="AY45" i="1"/>
  <c r="AV45" i="1"/>
  <c r="AR45" i="1"/>
  <c r="AO45" i="1"/>
  <c r="AL45" i="1"/>
  <c r="AI45" i="1"/>
  <c r="C45" i="1"/>
  <c r="A45" i="1"/>
  <c r="AY101" i="1"/>
  <c r="AY100" i="1"/>
  <c r="AY8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28" i="1"/>
  <c r="C529" i="1"/>
  <c r="C530" i="1"/>
  <c r="C531" i="1"/>
  <c r="C532" i="1"/>
  <c r="C533" i="1"/>
  <c r="C534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AE558" i="1" l="1"/>
  <c r="AF558" i="1" s="1"/>
  <c r="AE556" i="1"/>
  <c r="AF556" i="1" s="1"/>
  <c r="AE557" i="1"/>
  <c r="AF557" i="1" s="1"/>
  <c r="AE555" i="1"/>
  <c r="AF555" i="1" s="1"/>
  <c r="AE554" i="1"/>
  <c r="AF554" i="1" s="1"/>
  <c r="AE553" i="1"/>
  <c r="AF553" i="1" s="1"/>
  <c r="AE552" i="1"/>
  <c r="AF552" i="1" s="1"/>
  <c r="AE551" i="1"/>
  <c r="AF551" i="1" s="1"/>
  <c r="AE550" i="1"/>
  <c r="AF550" i="1" s="1"/>
  <c r="AE549" i="1"/>
  <c r="AF549" i="1" s="1"/>
  <c r="AE547" i="1"/>
  <c r="AF547" i="1" s="1"/>
  <c r="AE548" i="1"/>
  <c r="AF548" i="1" s="1"/>
  <c r="AE546" i="1"/>
  <c r="AF546" i="1" s="1"/>
  <c r="AE545" i="1"/>
  <c r="AF545" i="1" s="1"/>
  <c r="AE543" i="1"/>
  <c r="AF543" i="1" s="1"/>
  <c r="AE544" i="1"/>
  <c r="AF544" i="1" s="1"/>
  <c r="AE542" i="1"/>
  <c r="AF542" i="1" s="1"/>
  <c r="AE541" i="1"/>
  <c r="AF541" i="1" s="1"/>
  <c r="AE540" i="1"/>
  <c r="AF540" i="1" s="1"/>
  <c r="AE538" i="1"/>
  <c r="AF538" i="1" s="1"/>
  <c r="AE539" i="1"/>
  <c r="AF539" i="1" s="1"/>
  <c r="AE537" i="1"/>
  <c r="AF537" i="1" s="1"/>
  <c r="AE536" i="1"/>
  <c r="AF536" i="1" s="1"/>
  <c r="AE535" i="1"/>
  <c r="AF535" i="1" s="1"/>
  <c r="AE527" i="1"/>
  <c r="AF527" i="1" s="1"/>
  <c r="AE526" i="1"/>
  <c r="AF526" i="1" s="1"/>
  <c r="AE525" i="1"/>
  <c r="AF525" i="1" s="1"/>
  <c r="AE524" i="1"/>
  <c r="AF524" i="1" s="1"/>
  <c r="AE523" i="1"/>
  <c r="AF523" i="1" s="1"/>
  <c r="AE522" i="1"/>
  <c r="AF522" i="1" s="1"/>
  <c r="AE521" i="1"/>
  <c r="AF521" i="1" s="1"/>
  <c r="AE520" i="1"/>
  <c r="AF520" i="1" s="1"/>
  <c r="AE519" i="1"/>
  <c r="AF519" i="1" s="1"/>
  <c r="AE518" i="1"/>
  <c r="AF518" i="1" s="1"/>
  <c r="AE517" i="1"/>
  <c r="AF517" i="1" s="1"/>
  <c r="AE516" i="1"/>
  <c r="AF516" i="1" s="1"/>
  <c r="AE515" i="1"/>
  <c r="AF515" i="1" s="1"/>
  <c r="AE45" i="1"/>
  <c r="AF45" i="1" s="1"/>
  <c r="AE514" i="1"/>
  <c r="AF514" i="1" s="1"/>
  <c r="AE513" i="1"/>
  <c r="AF513" i="1" s="1"/>
  <c r="AE512" i="1"/>
  <c r="AF512" i="1" s="1"/>
  <c r="AE250" i="1"/>
  <c r="AF250" i="1" s="1"/>
  <c r="AE249" i="1"/>
  <c r="AF249" i="1" s="1"/>
  <c r="AE248" i="1"/>
  <c r="AF248" i="1" s="1"/>
  <c r="AE195" i="1"/>
  <c r="AF195" i="1" s="1"/>
  <c r="AE46" i="1"/>
  <c r="AF46" i="1" s="1"/>
  <c r="A19" i="1"/>
  <c r="AI19" i="1"/>
  <c r="AL19" i="1"/>
  <c r="AO19" i="1"/>
  <c r="AR19" i="1"/>
  <c r="AV19" i="1"/>
  <c r="AY19" i="1"/>
  <c r="A20" i="1"/>
  <c r="AI20" i="1"/>
  <c r="AL20" i="1"/>
  <c r="AO20" i="1"/>
  <c r="AR20" i="1"/>
  <c r="AV20" i="1"/>
  <c r="AY20" i="1"/>
  <c r="A21" i="1"/>
  <c r="AI21" i="1"/>
  <c r="AL21" i="1"/>
  <c r="AO21" i="1"/>
  <c r="AR21" i="1"/>
  <c r="AV21" i="1"/>
  <c r="AY21" i="1"/>
  <c r="A22" i="1"/>
  <c r="AI22" i="1"/>
  <c r="AL22" i="1"/>
  <c r="AO22" i="1"/>
  <c r="AR22" i="1"/>
  <c r="AV22" i="1"/>
  <c r="AY22" i="1"/>
  <c r="A23" i="1"/>
  <c r="AI23" i="1"/>
  <c r="AL23" i="1"/>
  <c r="AO23" i="1"/>
  <c r="AR23" i="1"/>
  <c r="AV23" i="1"/>
  <c r="AY23" i="1"/>
  <c r="A24" i="1"/>
  <c r="AI24" i="1"/>
  <c r="AL24" i="1"/>
  <c r="AO24" i="1"/>
  <c r="AR24" i="1"/>
  <c r="AV24" i="1"/>
  <c r="AY24" i="1"/>
  <c r="A25" i="1"/>
  <c r="AI25" i="1"/>
  <c r="AL25" i="1"/>
  <c r="AO25" i="1"/>
  <c r="AR25" i="1"/>
  <c r="AV25" i="1"/>
  <c r="AY25" i="1"/>
  <c r="A26" i="1"/>
  <c r="AI26" i="1"/>
  <c r="AL26" i="1"/>
  <c r="AO26" i="1"/>
  <c r="AR26" i="1"/>
  <c r="AV26" i="1"/>
  <c r="AY26" i="1"/>
  <c r="A27" i="1"/>
  <c r="AI27" i="1"/>
  <c r="AL27" i="1"/>
  <c r="AO27" i="1"/>
  <c r="AR27" i="1"/>
  <c r="AV27" i="1"/>
  <c r="AY27" i="1"/>
  <c r="A28" i="1"/>
  <c r="AI28" i="1"/>
  <c r="AL28" i="1"/>
  <c r="AO28" i="1"/>
  <c r="AR28" i="1"/>
  <c r="AV28" i="1"/>
  <c r="AY28" i="1"/>
  <c r="A29" i="1"/>
  <c r="AI29" i="1"/>
  <c r="AL29" i="1"/>
  <c r="AO29" i="1"/>
  <c r="AR29" i="1"/>
  <c r="AV29" i="1"/>
  <c r="AY29" i="1"/>
  <c r="A30" i="1"/>
  <c r="AI30" i="1"/>
  <c r="AL30" i="1"/>
  <c r="AO30" i="1"/>
  <c r="AR30" i="1"/>
  <c r="AV30" i="1"/>
  <c r="AY30" i="1"/>
  <c r="A31" i="1"/>
  <c r="AI31" i="1"/>
  <c r="AL31" i="1"/>
  <c r="AO31" i="1"/>
  <c r="AR31" i="1"/>
  <c r="AV31" i="1"/>
  <c r="AY31" i="1"/>
  <c r="A32" i="1"/>
  <c r="AI32" i="1"/>
  <c r="AL32" i="1"/>
  <c r="AO32" i="1"/>
  <c r="AR32" i="1"/>
  <c r="AV32" i="1"/>
  <c r="AY32" i="1"/>
  <c r="A33" i="1"/>
  <c r="AI33" i="1"/>
  <c r="AL33" i="1"/>
  <c r="AO33" i="1"/>
  <c r="AR33" i="1"/>
  <c r="AV33" i="1"/>
  <c r="AY33" i="1"/>
  <c r="A34" i="1"/>
  <c r="AI34" i="1"/>
  <c r="AL34" i="1"/>
  <c r="AO34" i="1"/>
  <c r="AR34" i="1"/>
  <c r="AV34" i="1"/>
  <c r="AY34" i="1"/>
  <c r="A35" i="1"/>
  <c r="AI35" i="1"/>
  <c r="AL35" i="1"/>
  <c r="AO35" i="1"/>
  <c r="AR35" i="1"/>
  <c r="AV35" i="1"/>
  <c r="AY35" i="1"/>
  <c r="A36" i="1"/>
  <c r="AI36" i="1"/>
  <c r="AL36" i="1"/>
  <c r="AO36" i="1"/>
  <c r="AR36" i="1"/>
  <c r="AV36" i="1"/>
  <c r="AY36" i="1"/>
  <c r="A37" i="1"/>
  <c r="AI37" i="1"/>
  <c r="AL37" i="1"/>
  <c r="AO37" i="1"/>
  <c r="AR37" i="1"/>
  <c r="AV37" i="1"/>
  <c r="AY37" i="1"/>
  <c r="A38" i="1"/>
  <c r="AI38" i="1"/>
  <c r="AL38" i="1"/>
  <c r="AO38" i="1"/>
  <c r="AR38" i="1"/>
  <c r="AV38" i="1"/>
  <c r="AY38" i="1"/>
  <c r="A39" i="1"/>
  <c r="AI39" i="1"/>
  <c r="AL39" i="1"/>
  <c r="AO39" i="1"/>
  <c r="AR39" i="1"/>
  <c r="AV39" i="1"/>
  <c r="AY39" i="1"/>
  <c r="A40" i="1"/>
  <c r="AI40" i="1"/>
  <c r="AL40" i="1"/>
  <c r="AO40" i="1"/>
  <c r="AR40" i="1"/>
  <c r="AV40" i="1"/>
  <c r="AY40" i="1"/>
  <c r="A41" i="1"/>
  <c r="AI41" i="1"/>
  <c r="AL41" i="1"/>
  <c r="AO41" i="1"/>
  <c r="AR41" i="1"/>
  <c r="AV41" i="1"/>
  <c r="AY41" i="1"/>
  <c r="A42" i="1"/>
  <c r="AI42" i="1"/>
  <c r="AL42" i="1"/>
  <c r="AO42" i="1"/>
  <c r="AR42" i="1"/>
  <c r="AV42" i="1"/>
  <c r="AY42" i="1"/>
  <c r="A43" i="1"/>
  <c r="AI43" i="1"/>
  <c r="AL43" i="1"/>
  <c r="AO43" i="1"/>
  <c r="AR43" i="1"/>
  <c r="AV43" i="1"/>
  <c r="AY43" i="1"/>
  <c r="A44" i="1"/>
  <c r="AI44" i="1"/>
  <c r="AL44" i="1"/>
  <c r="AO44" i="1"/>
  <c r="AR44" i="1"/>
  <c r="AV44" i="1"/>
  <c r="AY44" i="1"/>
  <c r="A47" i="1"/>
  <c r="AI47" i="1"/>
  <c r="AL47" i="1"/>
  <c r="AO47" i="1"/>
  <c r="AR47" i="1"/>
  <c r="AV47" i="1"/>
  <c r="AY47" i="1"/>
  <c r="A48" i="1"/>
  <c r="AI48" i="1"/>
  <c r="AL48" i="1"/>
  <c r="AO48" i="1"/>
  <c r="AR48" i="1"/>
  <c r="AV48" i="1"/>
  <c r="AY48" i="1"/>
  <c r="A49" i="1"/>
  <c r="AI49" i="1"/>
  <c r="AL49" i="1"/>
  <c r="AO49" i="1"/>
  <c r="AR49" i="1"/>
  <c r="AV49" i="1"/>
  <c r="AY49" i="1"/>
  <c r="A50" i="1"/>
  <c r="AI50" i="1"/>
  <c r="AL50" i="1"/>
  <c r="AO50" i="1"/>
  <c r="AR50" i="1"/>
  <c r="AV50" i="1"/>
  <c r="AY50" i="1"/>
  <c r="A51" i="1"/>
  <c r="AI51" i="1"/>
  <c r="AL51" i="1"/>
  <c r="AO51" i="1"/>
  <c r="AR51" i="1"/>
  <c r="AV51" i="1"/>
  <c r="AY51" i="1"/>
  <c r="A52" i="1"/>
  <c r="AI52" i="1"/>
  <c r="AL52" i="1"/>
  <c r="AO52" i="1"/>
  <c r="AR52" i="1"/>
  <c r="AV52" i="1"/>
  <c r="AY52" i="1"/>
  <c r="A53" i="1"/>
  <c r="AI53" i="1"/>
  <c r="AL53" i="1"/>
  <c r="AO53" i="1"/>
  <c r="AR53" i="1"/>
  <c r="AV53" i="1"/>
  <c r="AY53" i="1"/>
  <c r="A54" i="1"/>
  <c r="AI54" i="1"/>
  <c r="AL54" i="1"/>
  <c r="AO54" i="1"/>
  <c r="AR54" i="1"/>
  <c r="AV54" i="1"/>
  <c r="AY54" i="1"/>
  <c r="A55" i="1"/>
  <c r="AI55" i="1"/>
  <c r="AL55" i="1"/>
  <c r="AO55" i="1"/>
  <c r="AR55" i="1"/>
  <c r="AV55" i="1"/>
  <c r="AY55" i="1"/>
  <c r="A56" i="1"/>
  <c r="AI56" i="1"/>
  <c r="AL56" i="1"/>
  <c r="AO56" i="1"/>
  <c r="AR56" i="1"/>
  <c r="AV56" i="1"/>
  <c r="AY56" i="1"/>
  <c r="A57" i="1"/>
  <c r="AI57" i="1"/>
  <c r="AL57" i="1"/>
  <c r="AO57" i="1"/>
  <c r="AR57" i="1"/>
  <c r="AV57" i="1"/>
  <c r="AY57" i="1"/>
  <c r="A58" i="1"/>
  <c r="AI58" i="1"/>
  <c r="AL58" i="1"/>
  <c r="AO58" i="1"/>
  <c r="AR58" i="1"/>
  <c r="AV58" i="1"/>
  <c r="AY58" i="1"/>
  <c r="A59" i="1"/>
  <c r="AI59" i="1"/>
  <c r="AL59" i="1"/>
  <c r="AO59" i="1"/>
  <c r="AR59" i="1"/>
  <c r="AV59" i="1"/>
  <c r="AY59" i="1"/>
  <c r="A60" i="1"/>
  <c r="AI60" i="1"/>
  <c r="AL60" i="1"/>
  <c r="AO60" i="1"/>
  <c r="AR60" i="1"/>
  <c r="AV60" i="1"/>
  <c r="AY60" i="1"/>
  <c r="A61" i="1"/>
  <c r="AI61" i="1"/>
  <c r="AL61" i="1"/>
  <c r="AO61" i="1"/>
  <c r="AR61" i="1"/>
  <c r="AV61" i="1"/>
  <c r="AY61" i="1"/>
  <c r="A62" i="1"/>
  <c r="AI62" i="1"/>
  <c r="AL62" i="1"/>
  <c r="AO62" i="1"/>
  <c r="AR62" i="1"/>
  <c r="AV62" i="1"/>
  <c r="AY62" i="1"/>
  <c r="A63" i="1"/>
  <c r="AI63" i="1"/>
  <c r="AL63" i="1"/>
  <c r="AO63" i="1"/>
  <c r="AR63" i="1"/>
  <c r="AV63" i="1"/>
  <c r="AY63" i="1"/>
  <c r="A64" i="1"/>
  <c r="AI64" i="1"/>
  <c r="AL64" i="1"/>
  <c r="AO64" i="1"/>
  <c r="AR64" i="1"/>
  <c r="AV64" i="1"/>
  <c r="AY64" i="1"/>
  <c r="A65" i="1"/>
  <c r="AI65" i="1"/>
  <c r="AL65" i="1"/>
  <c r="AO65" i="1"/>
  <c r="AR65" i="1"/>
  <c r="AV65" i="1"/>
  <c r="AY65" i="1"/>
  <c r="A66" i="1"/>
  <c r="AI66" i="1"/>
  <c r="AL66" i="1"/>
  <c r="AO66" i="1"/>
  <c r="AR66" i="1"/>
  <c r="AV66" i="1"/>
  <c r="AY66" i="1"/>
  <c r="A67" i="1"/>
  <c r="AI67" i="1"/>
  <c r="AL67" i="1"/>
  <c r="AO67" i="1"/>
  <c r="AR67" i="1"/>
  <c r="AV67" i="1"/>
  <c r="A68" i="1"/>
  <c r="AI68" i="1"/>
  <c r="AL68" i="1"/>
  <c r="AO68" i="1"/>
  <c r="AR68" i="1"/>
  <c r="AV68" i="1"/>
  <c r="A69" i="1"/>
  <c r="AI69" i="1"/>
  <c r="AL69" i="1"/>
  <c r="AO69" i="1"/>
  <c r="AR69" i="1"/>
  <c r="AV69" i="1"/>
  <c r="AY69" i="1"/>
  <c r="A70" i="1"/>
  <c r="AI70" i="1"/>
  <c r="AL70" i="1"/>
  <c r="AO70" i="1"/>
  <c r="AR70" i="1"/>
  <c r="AV70" i="1"/>
  <c r="AY70" i="1"/>
  <c r="A71" i="1"/>
  <c r="AI71" i="1"/>
  <c r="AL71" i="1"/>
  <c r="AO71" i="1"/>
  <c r="AR71" i="1"/>
  <c r="AV71" i="1"/>
  <c r="AY71" i="1"/>
  <c r="A72" i="1"/>
  <c r="AI72" i="1"/>
  <c r="AL72" i="1"/>
  <c r="AO72" i="1"/>
  <c r="AR72" i="1"/>
  <c r="AV72" i="1"/>
  <c r="AY72" i="1"/>
  <c r="A73" i="1"/>
  <c r="AI73" i="1"/>
  <c r="AL73" i="1"/>
  <c r="AO73" i="1"/>
  <c r="AR73" i="1"/>
  <c r="AV73" i="1"/>
  <c r="AY73" i="1"/>
  <c r="A74" i="1"/>
  <c r="AI74" i="1"/>
  <c r="AL74" i="1"/>
  <c r="AO74" i="1"/>
  <c r="AR74" i="1"/>
  <c r="AV74" i="1"/>
  <c r="AY74" i="1"/>
  <c r="A75" i="1"/>
  <c r="AI75" i="1"/>
  <c r="AL75" i="1"/>
  <c r="AO75" i="1"/>
  <c r="AR75" i="1"/>
  <c r="AV75" i="1"/>
  <c r="AY75" i="1"/>
  <c r="A76" i="1"/>
  <c r="AI76" i="1"/>
  <c r="AL76" i="1"/>
  <c r="AO76" i="1"/>
  <c r="AR76" i="1"/>
  <c r="AV76" i="1"/>
  <c r="AY76" i="1"/>
  <c r="A77" i="1"/>
  <c r="AI77" i="1"/>
  <c r="AL77" i="1"/>
  <c r="AO77" i="1"/>
  <c r="AR77" i="1"/>
  <c r="AV77" i="1"/>
  <c r="A78" i="1"/>
  <c r="AI78" i="1"/>
  <c r="AL78" i="1"/>
  <c r="AO78" i="1"/>
  <c r="AR78" i="1"/>
  <c r="AV78" i="1"/>
  <c r="AY78" i="1"/>
  <c r="A79" i="1"/>
  <c r="AI79" i="1"/>
  <c r="AL79" i="1"/>
  <c r="AO79" i="1"/>
  <c r="AR79" i="1"/>
  <c r="AV79" i="1"/>
  <c r="A80" i="1"/>
  <c r="AI80" i="1"/>
  <c r="AL80" i="1"/>
  <c r="AO80" i="1"/>
  <c r="AR80" i="1"/>
  <c r="AV80" i="1"/>
  <c r="AY80" i="1"/>
  <c r="A81" i="1"/>
  <c r="AI81" i="1"/>
  <c r="AL81" i="1"/>
  <c r="AO81" i="1"/>
  <c r="AR81" i="1"/>
  <c r="AV81" i="1"/>
  <c r="AY81" i="1"/>
  <c r="A82" i="1"/>
  <c r="AI82" i="1"/>
  <c r="AL82" i="1"/>
  <c r="AO82" i="1"/>
  <c r="AR82" i="1"/>
  <c r="AV82" i="1"/>
  <c r="AY82" i="1"/>
  <c r="A83" i="1"/>
  <c r="AI83" i="1"/>
  <c r="AL83" i="1"/>
  <c r="AO83" i="1"/>
  <c r="AR83" i="1"/>
  <c r="AV83" i="1"/>
  <c r="AY83" i="1"/>
  <c r="A84" i="1"/>
  <c r="AI84" i="1"/>
  <c r="AL84" i="1"/>
  <c r="AO84" i="1"/>
  <c r="AR84" i="1"/>
  <c r="AV84" i="1"/>
  <c r="AY84" i="1"/>
  <c r="A85" i="1"/>
  <c r="AI85" i="1"/>
  <c r="AL85" i="1"/>
  <c r="AO85" i="1"/>
  <c r="AR85" i="1"/>
  <c r="AV85" i="1"/>
  <c r="AY85" i="1"/>
  <c r="A86" i="1"/>
  <c r="AI86" i="1"/>
  <c r="AL86" i="1"/>
  <c r="AO86" i="1"/>
  <c r="AR86" i="1"/>
  <c r="AV86" i="1"/>
  <c r="A87" i="1"/>
  <c r="AI87" i="1"/>
  <c r="AL87" i="1"/>
  <c r="AO87" i="1"/>
  <c r="AR87" i="1"/>
  <c r="AV87" i="1"/>
  <c r="AY87" i="1"/>
  <c r="A88" i="1"/>
  <c r="AI88" i="1"/>
  <c r="AL88" i="1"/>
  <c r="AO88" i="1"/>
  <c r="AR88" i="1"/>
  <c r="AV88" i="1"/>
  <c r="AY88" i="1"/>
  <c r="A89" i="1"/>
  <c r="AI89" i="1"/>
  <c r="AL89" i="1"/>
  <c r="AO89" i="1"/>
  <c r="AR89" i="1"/>
  <c r="AV89" i="1"/>
  <c r="AY89" i="1"/>
  <c r="A90" i="1"/>
  <c r="AI90" i="1"/>
  <c r="AL90" i="1"/>
  <c r="AO90" i="1"/>
  <c r="AR90" i="1"/>
  <c r="AV90" i="1"/>
  <c r="AY90" i="1"/>
  <c r="A91" i="1"/>
  <c r="AI91" i="1"/>
  <c r="AL91" i="1"/>
  <c r="AO91" i="1"/>
  <c r="AR91" i="1"/>
  <c r="AV91" i="1"/>
  <c r="AY91" i="1"/>
  <c r="A92" i="1"/>
  <c r="AI92" i="1"/>
  <c r="AL92" i="1"/>
  <c r="AO92" i="1"/>
  <c r="AR92" i="1"/>
  <c r="AV92" i="1"/>
  <c r="AY92" i="1"/>
  <c r="A93" i="1"/>
  <c r="AI93" i="1"/>
  <c r="AL93" i="1"/>
  <c r="AO93" i="1"/>
  <c r="AR93" i="1"/>
  <c r="AV93" i="1"/>
  <c r="AY93" i="1"/>
  <c r="A94" i="1"/>
  <c r="AI94" i="1"/>
  <c r="AL94" i="1"/>
  <c r="AO94" i="1"/>
  <c r="AR94" i="1"/>
  <c r="AV94" i="1"/>
  <c r="AY94" i="1"/>
  <c r="A95" i="1"/>
  <c r="AI95" i="1"/>
  <c r="AL95" i="1"/>
  <c r="AO95" i="1"/>
  <c r="AR95" i="1"/>
  <c r="AV95" i="1"/>
  <c r="AY95" i="1"/>
  <c r="A96" i="1"/>
  <c r="AI96" i="1"/>
  <c r="AL96" i="1"/>
  <c r="AO96" i="1"/>
  <c r="AR96" i="1"/>
  <c r="AV96" i="1"/>
  <c r="AY96" i="1"/>
  <c r="A97" i="1"/>
  <c r="AI97" i="1"/>
  <c r="AL97" i="1"/>
  <c r="AO97" i="1"/>
  <c r="AR97" i="1"/>
  <c r="AV97" i="1"/>
  <c r="AY97" i="1"/>
  <c r="A98" i="1"/>
  <c r="AI98" i="1"/>
  <c r="AL98" i="1"/>
  <c r="AO98" i="1"/>
  <c r="AR98" i="1"/>
  <c r="AV98" i="1"/>
  <c r="AY98" i="1"/>
  <c r="A99" i="1"/>
  <c r="AI99" i="1"/>
  <c r="AL99" i="1"/>
  <c r="AO99" i="1"/>
  <c r="AR99" i="1"/>
  <c r="AV99" i="1"/>
  <c r="AY99" i="1"/>
  <c r="A100" i="1"/>
  <c r="AI100" i="1"/>
  <c r="AL100" i="1"/>
  <c r="AO100" i="1"/>
  <c r="AR100" i="1"/>
  <c r="AV100" i="1"/>
  <c r="A101" i="1"/>
  <c r="AI101" i="1"/>
  <c r="AL101" i="1"/>
  <c r="AO101" i="1"/>
  <c r="AR101" i="1"/>
  <c r="AV101" i="1"/>
  <c r="A102" i="1"/>
  <c r="AI102" i="1"/>
  <c r="AL102" i="1"/>
  <c r="AO102" i="1"/>
  <c r="AR102" i="1"/>
  <c r="AV102" i="1"/>
  <c r="AY102" i="1"/>
  <c r="A103" i="1"/>
  <c r="AI103" i="1"/>
  <c r="AL103" i="1"/>
  <c r="AO103" i="1"/>
  <c r="AR103" i="1"/>
  <c r="AV103" i="1"/>
  <c r="AY103" i="1"/>
  <c r="A104" i="1"/>
  <c r="AI104" i="1"/>
  <c r="AL104" i="1"/>
  <c r="AO104" i="1"/>
  <c r="AR104" i="1"/>
  <c r="AV104" i="1"/>
  <c r="AY104" i="1"/>
  <c r="A105" i="1"/>
  <c r="AI105" i="1"/>
  <c r="AL105" i="1"/>
  <c r="AO105" i="1"/>
  <c r="AR105" i="1"/>
  <c r="AV105" i="1"/>
  <c r="AY105" i="1"/>
  <c r="A106" i="1"/>
  <c r="AI106" i="1"/>
  <c r="AL106" i="1"/>
  <c r="AO106" i="1"/>
  <c r="AR106" i="1"/>
  <c r="AV106" i="1"/>
  <c r="AY106" i="1"/>
  <c r="A107" i="1"/>
  <c r="AI107" i="1"/>
  <c r="AL107" i="1"/>
  <c r="AO107" i="1"/>
  <c r="AR107" i="1"/>
  <c r="AV107" i="1"/>
  <c r="AY107" i="1"/>
  <c r="A108" i="1"/>
  <c r="AI108" i="1"/>
  <c r="AL108" i="1"/>
  <c r="AO108" i="1"/>
  <c r="AR108" i="1"/>
  <c r="AV108" i="1"/>
  <c r="AY108" i="1"/>
  <c r="A109" i="1"/>
  <c r="AI109" i="1"/>
  <c r="AL109" i="1"/>
  <c r="AO109" i="1"/>
  <c r="AR109" i="1"/>
  <c r="AV109" i="1"/>
  <c r="AY109" i="1"/>
  <c r="A110" i="1"/>
  <c r="AI110" i="1"/>
  <c r="AL110" i="1"/>
  <c r="AO110" i="1"/>
  <c r="AR110" i="1"/>
  <c r="AV110" i="1"/>
  <c r="AY110" i="1"/>
  <c r="A111" i="1"/>
  <c r="AI111" i="1"/>
  <c r="AL111" i="1"/>
  <c r="AO111" i="1"/>
  <c r="AR111" i="1"/>
  <c r="AV111" i="1"/>
  <c r="AY111" i="1"/>
  <c r="A112" i="1"/>
  <c r="AI112" i="1"/>
  <c r="AL112" i="1"/>
  <c r="AO112" i="1"/>
  <c r="AR112" i="1"/>
  <c r="AV112" i="1"/>
  <c r="AY112" i="1"/>
  <c r="A113" i="1"/>
  <c r="AI113" i="1"/>
  <c r="AL113" i="1"/>
  <c r="AO113" i="1"/>
  <c r="AR113" i="1"/>
  <c r="AV113" i="1"/>
  <c r="AY113" i="1"/>
  <c r="A114" i="1"/>
  <c r="AI114" i="1"/>
  <c r="AL114" i="1"/>
  <c r="AO114" i="1"/>
  <c r="AR114" i="1"/>
  <c r="AV114" i="1"/>
  <c r="AY114" i="1"/>
  <c r="A115" i="1"/>
  <c r="AI115" i="1"/>
  <c r="AL115" i="1"/>
  <c r="AO115" i="1"/>
  <c r="AR115" i="1"/>
  <c r="AV115" i="1"/>
  <c r="AY115" i="1"/>
  <c r="A116" i="1"/>
  <c r="AI116" i="1"/>
  <c r="AL116" i="1"/>
  <c r="AO116" i="1"/>
  <c r="AR116" i="1"/>
  <c r="AV116" i="1"/>
  <c r="AY116" i="1"/>
  <c r="A117" i="1"/>
  <c r="AI117" i="1"/>
  <c r="AL117" i="1"/>
  <c r="AO117" i="1"/>
  <c r="AR117" i="1"/>
  <c r="AV117" i="1"/>
  <c r="AY117" i="1"/>
  <c r="A118" i="1"/>
  <c r="AI118" i="1"/>
  <c r="AL118" i="1"/>
  <c r="AO118" i="1"/>
  <c r="AR118" i="1"/>
  <c r="AV118" i="1"/>
  <c r="AY118" i="1"/>
  <c r="A119" i="1"/>
  <c r="AI119" i="1"/>
  <c r="AL119" i="1"/>
  <c r="AO119" i="1"/>
  <c r="AR119" i="1"/>
  <c r="AV119" i="1"/>
  <c r="AY119" i="1"/>
  <c r="A120" i="1"/>
  <c r="AI120" i="1"/>
  <c r="AL120" i="1"/>
  <c r="AO120" i="1"/>
  <c r="AR120" i="1"/>
  <c r="AV120" i="1"/>
  <c r="AY120" i="1"/>
  <c r="A121" i="1"/>
  <c r="AI121" i="1"/>
  <c r="AL121" i="1"/>
  <c r="AO121" i="1"/>
  <c r="AR121" i="1"/>
  <c r="AV121" i="1"/>
  <c r="AY121" i="1"/>
  <c r="A122" i="1"/>
  <c r="AI122" i="1"/>
  <c r="AL122" i="1"/>
  <c r="AO122" i="1"/>
  <c r="AR122" i="1"/>
  <c r="AV122" i="1"/>
  <c r="AY122" i="1"/>
  <c r="A123" i="1"/>
  <c r="AI123" i="1"/>
  <c r="AL123" i="1"/>
  <c r="AO123" i="1"/>
  <c r="AR123" i="1"/>
  <c r="AV123" i="1"/>
  <c r="AY123" i="1"/>
  <c r="A124" i="1"/>
  <c r="AI124" i="1"/>
  <c r="AL124" i="1"/>
  <c r="AO124" i="1"/>
  <c r="AR124" i="1"/>
  <c r="AV124" i="1"/>
  <c r="AY124" i="1"/>
  <c r="A125" i="1"/>
  <c r="AI125" i="1"/>
  <c r="AL125" i="1"/>
  <c r="AO125" i="1"/>
  <c r="AR125" i="1"/>
  <c r="AV125" i="1"/>
  <c r="AY125" i="1"/>
  <c r="A126" i="1"/>
  <c r="AI126" i="1"/>
  <c r="AL126" i="1"/>
  <c r="AO126" i="1"/>
  <c r="AR126" i="1"/>
  <c r="AV126" i="1"/>
  <c r="AY126" i="1"/>
  <c r="A127" i="1"/>
  <c r="AI127" i="1"/>
  <c r="AL127" i="1"/>
  <c r="AO127" i="1"/>
  <c r="AR127" i="1"/>
  <c r="AV127" i="1"/>
  <c r="AY127" i="1"/>
  <c r="A128" i="1"/>
  <c r="AI128" i="1"/>
  <c r="AL128" i="1"/>
  <c r="AO128" i="1"/>
  <c r="AR128" i="1"/>
  <c r="AV128" i="1"/>
  <c r="AY128" i="1"/>
  <c r="A129" i="1"/>
  <c r="AI129" i="1"/>
  <c r="AL129" i="1"/>
  <c r="AO129" i="1"/>
  <c r="AR129" i="1"/>
  <c r="AV129" i="1"/>
  <c r="AY129" i="1"/>
  <c r="A130" i="1"/>
  <c r="AI130" i="1"/>
  <c r="AL130" i="1"/>
  <c r="AO130" i="1"/>
  <c r="AR130" i="1"/>
  <c r="AV130" i="1"/>
  <c r="AY130" i="1"/>
  <c r="A131" i="1"/>
  <c r="AI131" i="1"/>
  <c r="AL131" i="1"/>
  <c r="AO131" i="1"/>
  <c r="AR131" i="1"/>
  <c r="AV131" i="1"/>
  <c r="AY131" i="1"/>
  <c r="A132" i="1"/>
  <c r="AI132" i="1"/>
  <c r="AL132" i="1"/>
  <c r="AO132" i="1"/>
  <c r="AR132" i="1"/>
  <c r="AV132" i="1"/>
  <c r="AY132" i="1"/>
  <c r="A133" i="1"/>
  <c r="AI133" i="1"/>
  <c r="AL133" i="1"/>
  <c r="AO133" i="1"/>
  <c r="AR133" i="1"/>
  <c r="AV133" i="1"/>
  <c r="AY133" i="1"/>
  <c r="A134" i="1"/>
  <c r="AI134" i="1"/>
  <c r="AL134" i="1"/>
  <c r="AO134" i="1"/>
  <c r="AR134" i="1"/>
  <c r="AV134" i="1"/>
  <c r="AY134" i="1"/>
  <c r="A135" i="1"/>
  <c r="AI135" i="1"/>
  <c r="AL135" i="1"/>
  <c r="AO135" i="1"/>
  <c r="AR135" i="1"/>
  <c r="AV135" i="1"/>
  <c r="AY135" i="1"/>
  <c r="A136" i="1"/>
  <c r="AI136" i="1"/>
  <c r="AL136" i="1"/>
  <c r="AO136" i="1"/>
  <c r="AR136" i="1"/>
  <c r="AV136" i="1"/>
  <c r="AY136" i="1"/>
  <c r="A137" i="1"/>
  <c r="AI137" i="1"/>
  <c r="AL137" i="1"/>
  <c r="AO137" i="1"/>
  <c r="AR137" i="1"/>
  <c r="AV137" i="1"/>
  <c r="AY137" i="1"/>
  <c r="A138" i="1"/>
  <c r="AI138" i="1"/>
  <c r="AL138" i="1"/>
  <c r="AO138" i="1"/>
  <c r="AR138" i="1"/>
  <c r="AV138" i="1"/>
  <c r="AY138" i="1"/>
  <c r="A139" i="1"/>
  <c r="AI139" i="1"/>
  <c r="AL139" i="1"/>
  <c r="AO139" i="1"/>
  <c r="AR139" i="1"/>
  <c r="AV139" i="1"/>
  <c r="AY139" i="1"/>
  <c r="A140" i="1"/>
  <c r="AI140" i="1"/>
  <c r="AL140" i="1"/>
  <c r="AO140" i="1"/>
  <c r="AR140" i="1"/>
  <c r="AV140" i="1"/>
  <c r="AY140" i="1"/>
  <c r="A141" i="1"/>
  <c r="AI141" i="1"/>
  <c r="AL141" i="1"/>
  <c r="AO141" i="1"/>
  <c r="AR141" i="1"/>
  <c r="AV141" i="1"/>
  <c r="AY141" i="1"/>
  <c r="A142" i="1"/>
  <c r="AI142" i="1"/>
  <c r="AL142" i="1"/>
  <c r="AO142" i="1"/>
  <c r="AR142" i="1"/>
  <c r="AV142" i="1"/>
  <c r="AY142" i="1"/>
  <c r="A143" i="1"/>
  <c r="AI143" i="1"/>
  <c r="AL143" i="1"/>
  <c r="AO143" i="1"/>
  <c r="AR143" i="1"/>
  <c r="AV143" i="1"/>
  <c r="AY143" i="1"/>
  <c r="A144" i="1"/>
  <c r="AI144" i="1"/>
  <c r="AL144" i="1"/>
  <c r="AO144" i="1"/>
  <c r="AR144" i="1"/>
  <c r="AV144" i="1"/>
  <c r="AY144" i="1"/>
  <c r="A145" i="1"/>
  <c r="AI145" i="1"/>
  <c r="AL145" i="1"/>
  <c r="AO145" i="1"/>
  <c r="AR145" i="1"/>
  <c r="AV145" i="1"/>
  <c r="AY145" i="1"/>
  <c r="A146" i="1"/>
  <c r="AI146" i="1"/>
  <c r="AL146" i="1"/>
  <c r="AO146" i="1"/>
  <c r="AR146" i="1"/>
  <c r="AV146" i="1"/>
  <c r="AY146" i="1"/>
  <c r="A147" i="1"/>
  <c r="AI147" i="1"/>
  <c r="AL147" i="1"/>
  <c r="AO147" i="1"/>
  <c r="AR147" i="1"/>
  <c r="AV147" i="1"/>
  <c r="AY147" i="1"/>
  <c r="A148" i="1"/>
  <c r="AI148" i="1"/>
  <c r="AL148" i="1"/>
  <c r="AO148" i="1"/>
  <c r="AR148" i="1"/>
  <c r="AV148" i="1"/>
  <c r="AY148" i="1"/>
  <c r="A149" i="1"/>
  <c r="AI149" i="1"/>
  <c r="AO149" i="1"/>
  <c r="AR149" i="1"/>
  <c r="AV149" i="1"/>
  <c r="AY149" i="1"/>
  <c r="A150" i="1"/>
  <c r="AI150" i="1"/>
  <c r="AO150" i="1"/>
  <c r="AR150" i="1"/>
  <c r="AV150" i="1"/>
  <c r="AY150" i="1"/>
  <c r="A151" i="1"/>
  <c r="AI151" i="1"/>
  <c r="AO151" i="1"/>
  <c r="AR151" i="1"/>
  <c r="AV151" i="1"/>
  <c r="AY151" i="1"/>
  <c r="A152" i="1"/>
  <c r="AI152" i="1"/>
  <c r="AO152" i="1"/>
  <c r="AR152" i="1"/>
  <c r="AV152" i="1"/>
  <c r="AY152" i="1"/>
  <c r="A153" i="1"/>
  <c r="AI153" i="1"/>
  <c r="AO153" i="1"/>
  <c r="AR153" i="1"/>
  <c r="AV153" i="1"/>
  <c r="AY153" i="1"/>
  <c r="A154" i="1"/>
  <c r="AI154" i="1"/>
  <c r="AO154" i="1"/>
  <c r="AR154" i="1"/>
  <c r="AV154" i="1"/>
  <c r="AY154" i="1"/>
  <c r="A155" i="1"/>
  <c r="AI155" i="1"/>
  <c r="AO155" i="1"/>
  <c r="AR155" i="1"/>
  <c r="AV155" i="1"/>
  <c r="AY155" i="1"/>
  <c r="A156" i="1"/>
  <c r="AI156" i="1"/>
  <c r="AO156" i="1"/>
  <c r="AR156" i="1"/>
  <c r="AV156" i="1"/>
  <c r="AY156" i="1"/>
  <c r="A157" i="1"/>
  <c r="AI157" i="1"/>
  <c r="AO157" i="1"/>
  <c r="AR157" i="1"/>
  <c r="AV157" i="1"/>
  <c r="AY157" i="1"/>
  <c r="A158" i="1"/>
  <c r="AI158" i="1"/>
  <c r="AO158" i="1"/>
  <c r="AR158" i="1"/>
  <c r="AV158" i="1"/>
  <c r="AY158" i="1"/>
  <c r="A159" i="1"/>
  <c r="AI159" i="1"/>
  <c r="AO159" i="1"/>
  <c r="AR159" i="1"/>
  <c r="AV159" i="1"/>
  <c r="AY159" i="1"/>
  <c r="A160" i="1"/>
  <c r="AI160" i="1"/>
  <c r="AO160" i="1"/>
  <c r="AR160" i="1"/>
  <c r="AV160" i="1"/>
  <c r="AY160" i="1"/>
  <c r="A161" i="1"/>
  <c r="AI161" i="1"/>
  <c r="AO161" i="1"/>
  <c r="AR161" i="1"/>
  <c r="AV161" i="1"/>
  <c r="AY161" i="1"/>
  <c r="A162" i="1"/>
  <c r="AI162" i="1"/>
  <c r="AO162" i="1"/>
  <c r="AR162" i="1"/>
  <c r="AV162" i="1"/>
  <c r="AY162" i="1"/>
  <c r="A163" i="1"/>
  <c r="AI163" i="1"/>
  <c r="AO163" i="1"/>
  <c r="AR163" i="1"/>
  <c r="AV163" i="1"/>
  <c r="AY163" i="1"/>
  <c r="A164" i="1"/>
  <c r="AI164" i="1"/>
  <c r="AO164" i="1"/>
  <c r="AR164" i="1"/>
  <c r="AV164" i="1"/>
  <c r="AY164" i="1"/>
  <c r="A165" i="1"/>
  <c r="AI165" i="1"/>
  <c r="AO165" i="1"/>
  <c r="AR165" i="1"/>
  <c r="AV165" i="1"/>
  <c r="AY165" i="1"/>
  <c r="A166" i="1"/>
  <c r="AI166" i="1"/>
  <c r="AO166" i="1"/>
  <c r="AR166" i="1"/>
  <c r="AV166" i="1"/>
  <c r="AY166" i="1"/>
  <c r="A167" i="1"/>
  <c r="AI167" i="1"/>
  <c r="AO167" i="1"/>
  <c r="AR167" i="1"/>
  <c r="AV167" i="1"/>
  <c r="AY167" i="1"/>
  <c r="A168" i="1"/>
  <c r="AI168" i="1"/>
  <c r="AO168" i="1"/>
  <c r="AR168" i="1"/>
  <c r="AV168" i="1"/>
  <c r="AY168" i="1"/>
  <c r="A169" i="1"/>
  <c r="AI169" i="1"/>
  <c r="AO169" i="1"/>
  <c r="AR169" i="1"/>
  <c r="AV169" i="1"/>
  <c r="AY169" i="1"/>
  <c r="A170" i="1"/>
  <c r="AI170" i="1"/>
  <c r="AO170" i="1"/>
  <c r="AR170" i="1"/>
  <c r="AV170" i="1"/>
  <c r="AY170" i="1"/>
  <c r="A171" i="1"/>
  <c r="AI171" i="1"/>
  <c r="AO171" i="1"/>
  <c r="AR171" i="1"/>
  <c r="AV171" i="1"/>
  <c r="AY171" i="1"/>
  <c r="A172" i="1"/>
  <c r="AI172" i="1"/>
  <c r="AO172" i="1"/>
  <c r="AR172" i="1"/>
  <c r="AV172" i="1"/>
  <c r="AY172" i="1"/>
  <c r="A173" i="1"/>
  <c r="AI173" i="1"/>
  <c r="AO173" i="1"/>
  <c r="AR173" i="1"/>
  <c r="AV173" i="1"/>
  <c r="AY173" i="1"/>
  <c r="A174" i="1"/>
  <c r="AI174" i="1"/>
  <c r="AO174" i="1"/>
  <c r="AR174" i="1"/>
  <c r="AV174" i="1"/>
  <c r="AY174" i="1"/>
  <c r="A175" i="1"/>
  <c r="AI175" i="1"/>
  <c r="AO175" i="1"/>
  <c r="AR175" i="1"/>
  <c r="AV175" i="1"/>
  <c r="AY175" i="1"/>
  <c r="A176" i="1"/>
  <c r="AI176" i="1"/>
  <c r="AL176" i="1"/>
  <c r="AO176" i="1"/>
  <c r="AR176" i="1"/>
  <c r="AV176" i="1"/>
  <c r="AY176" i="1"/>
  <c r="A177" i="1"/>
  <c r="AI177" i="1"/>
  <c r="AL177" i="1"/>
  <c r="AO177" i="1"/>
  <c r="AR177" i="1"/>
  <c r="AV177" i="1"/>
  <c r="AY177" i="1"/>
  <c r="A178" i="1"/>
  <c r="AI178" i="1"/>
  <c r="AL178" i="1"/>
  <c r="AO178" i="1"/>
  <c r="AR178" i="1"/>
  <c r="AV178" i="1"/>
  <c r="AY178" i="1"/>
  <c r="A179" i="1"/>
  <c r="AI179" i="1"/>
  <c r="AL179" i="1"/>
  <c r="AO179" i="1"/>
  <c r="AR179" i="1"/>
  <c r="AV179" i="1"/>
  <c r="AY179" i="1"/>
  <c r="A180" i="1"/>
  <c r="AI180" i="1"/>
  <c r="AL180" i="1"/>
  <c r="AO180" i="1"/>
  <c r="AR180" i="1"/>
  <c r="AV180" i="1"/>
  <c r="AY180" i="1"/>
  <c r="A181" i="1"/>
  <c r="AI181" i="1"/>
  <c r="AL181" i="1"/>
  <c r="AO181" i="1"/>
  <c r="AR181" i="1"/>
  <c r="AV181" i="1"/>
  <c r="AY181" i="1"/>
  <c r="A182" i="1"/>
  <c r="AI182" i="1"/>
  <c r="AL182" i="1"/>
  <c r="AO182" i="1"/>
  <c r="AR182" i="1"/>
  <c r="AV182" i="1"/>
  <c r="AY182" i="1"/>
  <c r="A183" i="1"/>
  <c r="AI183" i="1"/>
  <c r="AL183" i="1"/>
  <c r="AO183" i="1"/>
  <c r="AR183" i="1"/>
  <c r="AV183" i="1"/>
  <c r="AY183" i="1"/>
  <c r="A184" i="1"/>
  <c r="AI184" i="1"/>
  <c r="AL184" i="1"/>
  <c r="AO184" i="1"/>
  <c r="AR184" i="1"/>
  <c r="AV184" i="1"/>
  <c r="AY184" i="1"/>
  <c r="A185" i="1"/>
  <c r="AI185" i="1"/>
  <c r="AL185" i="1"/>
  <c r="AO185" i="1"/>
  <c r="AR185" i="1"/>
  <c r="AV185" i="1"/>
  <c r="AY185" i="1"/>
  <c r="A186" i="1"/>
  <c r="AI186" i="1"/>
  <c r="AL186" i="1"/>
  <c r="AO186" i="1"/>
  <c r="AR186" i="1"/>
  <c r="AV186" i="1"/>
  <c r="AY186" i="1"/>
  <c r="A187" i="1"/>
  <c r="AI187" i="1"/>
  <c r="AL187" i="1"/>
  <c r="AO187" i="1"/>
  <c r="AR187" i="1"/>
  <c r="AV187" i="1"/>
  <c r="AY187" i="1"/>
  <c r="A188" i="1"/>
  <c r="AI188" i="1"/>
  <c r="AL188" i="1"/>
  <c r="AO188" i="1"/>
  <c r="AR188" i="1"/>
  <c r="AV188" i="1"/>
  <c r="AY188" i="1"/>
  <c r="A189" i="1"/>
  <c r="AI189" i="1"/>
  <c r="AL189" i="1"/>
  <c r="AO189" i="1"/>
  <c r="AR189" i="1"/>
  <c r="AV189" i="1"/>
  <c r="AY189" i="1"/>
  <c r="A190" i="1"/>
  <c r="AI190" i="1"/>
  <c r="AL190" i="1"/>
  <c r="AO190" i="1"/>
  <c r="AR190" i="1"/>
  <c r="AV190" i="1"/>
  <c r="AY190" i="1"/>
  <c r="A191" i="1"/>
  <c r="AI191" i="1"/>
  <c r="AL191" i="1"/>
  <c r="AO191" i="1"/>
  <c r="AR191" i="1"/>
  <c r="AV191" i="1"/>
  <c r="AY191" i="1"/>
  <c r="A192" i="1"/>
  <c r="AI192" i="1"/>
  <c r="AL192" i="1"/>
  <c r="AO192" i="1"/>
  <c r="AR192" i="1"/>
  <c r="AV192" i="1"/>
  <c r="AY192" i="1"/>
  <c r="A193" i="1"/>
  <c r="AI193" i="1"/>
  <c r="AL193" i="1"/>
  <c r="AO193" i="1"/>
  <c r="AR193" i="1"/>
  <c r="AV193" i="1"/>
  <c r="AY193" i="1"/>
  <c r="A194" i="1"/>
  <c r="AI194" i="1"/>
  <c r="AL194" i="1"/>
  <c r="AO194" i="1"/>
  <c r="AR194" i="1"/>
  <c r="AV194" i="1"/>
  <c r="AY194" i="1"/>
  <c r="A196" i="1"/>
  <c r="AI196" i="1"/>
  <c r="AL196" i="1"/>
  <c r="AO196" i="1"/>
  <c r="AR196" i="1"/>
  <c r="AV196" i="1"/>
  <c r="AY196" i="1"/>
  <c r="A197" i="1"/>
  <c r="AI197" i="1"/>
  <c r="AL197" i="1"/>
  <c r="AO197" i="1"/>
  <c r="AR197" i="1"/>
  <c r="AV197" i="1"/>
  <c r="AY197" i="1"/>
  <c r="A198" i="1"/>
  <c r="AI198" i="1"/>
  <c r="AL198" i="1"/>
  <c r="AO198" i="1"/>
  <c r="AR198" i="1"/>
  <c r="AV198" i="1"/>
  <c r="AY198" i="1"/>
  <c r="A199" i="1"/>
  <c r="AI199" i="1"/>
  <c r="AL199" i="1"/>
  <c r="AO199" i="1"/>
  <c r="AR199" i="1"/>
  <c r="AV199" i="1"/>
  <c r="AY199" i="1"/>
  <c r="A200" i="1"/>
  <c r="AI200" i="1"/>
  <c r="AL200" i="1"/>
  <c r="AO200" i="1"/>
  <c r="AR200" i="1"/>
  <c r="AV200" i="1"/>
  <c r="AY200" i="1"/>
  <c r="A201" i="1"/>
  <c r="AI201" i="1"/>
  <c r="AL201" i="1"/>
  <c r="AO201" i="1"/>
  <c r="AR201" i="1"/>
  <c r="AV201" i="1"/>
  <c r="AY201" i="1"/>
  <c r="A202" i="1"/>
  <c r="AI202" i="1"/>
  <c r="AL202" i="1"/>
  <c r="AO202" i="1"/>
  <c r="AR202" i="1"/>
  <c r="AV202" i="1"/>
  <c r="AY202" i="1"/>
  <c r="A203" i="1"/>
  <c r="AI203" i="1"/>
  <c r="AL203" i="1"/>
  <c r="AO203" i="1"/>
  <c r="AR203" i="1"/>
  <c r="AV203" i="1"/>
  <c r="AY203" i="1"/>
  <c r="A204" i="1"/>
  <c r="AI204" i="1"/>
  <c r="AL204" i="1"/>
  <c r="AO204" i="1"/>
  <c r="AR204" i="1"/>
  <c r="AV204" i="1"/>
  <c r="AY204" i="1"/>
  <c r="A205" i="1"/>
  <c r="AI205" i="1"/>
  <c r="AL205" i="1"/>
  <c r="AO205" i="1"/>
  <c r="AR205" i="1"/>
  <c r="AV205" i="1"/>
  <c r="AY205" i="1"/>
  <c r="A206" i="1"/>
  <c r="AI206" i="1"/>
  <c r="AL206" i="1"/>
  <c r="AO206" i="1"/>
  <c r="AR206" i="1"/>
  <c r="AV206" i="1"/>
  <c r="AY206" i="1"/>
  <c r="A207" i="1"/>
  <c r="AI207" i="1"/>
  <c r="AL207" i="1"/>
  <c r="AO207" i="1"/>
  <c r="AR207" i="1"/>
  <c r="AV207" i="1"/>
  <c r="AY207" i="1"/>
  <c r="A208" i="1"/>
  <c r="AI208" i="1"/>
  <c r="AL208" i="1"/>
  <c r="AO208" i="1"/>
  <c r="AR208" i="1"/>
  <c r="AV208" i="1"/>
  <c r="AY208" i="1"/>
  <c r="A209" i="1"/>
  <c r="AI209" i="1"/>
  <c r="AL209" i="1"/>
  <c r="AO209" i="1"/>
  <c r="AR209" i="1"/>
  <c r="AV209" i="1"/>
  <c r="AY209" i="1"/>
  <c r="A210" i="1"/>
  <c r="AI210" i="1"/>
  <c r="AL210" i="1"/>
  <c r="AO210" i="1"/>
  <c r="AR210" i="1"/>
  <c r="AV210" i="1"/>
  <c r="AY210" i="1"/>
  <c r="A211" i="1"/>
  <c r="AI211" i="1"/>
  <c r="AL211" i="1"/>
  <c r="AO211" i="1"/>
  <c r="AR211" i="1"/>
  <c r="AV211" i="1"/>
  <c r="AY211" i="1"/>
  <c r="A212" i="1"/>
  <c r="AI212" i="1"/>
  <c r="AL212" i="1"/>
  <c r="AO212" i="1"/>
  <c r="AR212" i="1"/>
  <c r="AV212" i="1"/>
  <c r="AY212" i="1"/>
  <c r="A213" i="1"/>
  <c r="AI213" i="1"/>
  <c r="AL213" i="1"/>
  <c r="AO213" i="1"/>
  <c r="AR213" i="1"/>
  <c r="AV213" i="1"/>
  <c r="AY213" i="1"/>
  <c r="A214" i="1"/>
  <c r="AI214" i="1"/>
  <c r="AL214" i="1"/>
  <c r="AO214" i="1"/>
  <c r="AR214" i="1"/>
  <c r="AV214" i="1"/>
  <c r="AY214" i="1"/>
  <c r="A215" i="1"/>
  <c r="AI215" i="1"/>
  <c r="AL215" i="1"/>
  <c r="AO215" i="1"/>
  <c r="AR215" i="1"/>
  <c r="AV215" i="1"/>
  <c r="AY215" i="1"/>
  <c r="A216" i="1"/>
  <c r="AI216" i="1"/>
  <c r="AL216" i="1"/>
  <c r="AO216" i="1"/>
  <c r="AR216" i="1"/>
  <c r="AV216" i="1"/>
  <c r="AY216" i="1"/>
  <c r="A217" i="1"/>
  <c r="AI217" i="1"/>
  <c r="AL217" i="1"/>
  <c r="AR217" i="1"/>
  <c r="AV217" i="1"/>
  <c r="AY217" i="1"/>
  <c r="A218" i="1"/>
  <c r="AI218" i="1"/>
  <c r="AL218" i="1"/>
  <c r="AR218" i="1"/>
  <c r="AV218" i="1"/>
  <c r="AY218" i="1"/>
  <c r="A219" i="1"/>
  <c r="AI219" i="1"/>
  <c r="AL219" i="1"/>
  <c r="AR219" i="1"/>
  <c r="AV219" i="1"/>
  <c r="AY219" i="1"/>
  <c r="A220" i="1"/>
  <c r="AI220" i="1"/>
  <c r="AL220" i="1"/>
  <c r="AR220" i="1"/>
  <c r="AV220" i="1"/>
  <c r="AY220" i="1"/>
  <c r="A221" i="1"/>
  <c r="AI221" i="1"/>
  <c r="AL221" i="1"/>
  <c r="AR221" i="1"/>
  <c r="AV221" i="1"/>
  <c r="AY221" i="1"/>
  <c r="A222" i="1"/>
  <c r="AI222" i="1"/>
  <c r="AL222" i="1"/>
  <c r="AR222" i="1"/>
  <c r="AV222" i="1"/>
  <c r="AY222" i="1"/>
  <c r="A223" i="1"/>
  <c r="AI223" i="1"/>
  <c r="AL223" i="1"/>
  <c r="AO223" i="1"/>
  <c r="AR223" i="1"/>
  <c r="AV223" i="1"/>
  <c r="AY223" i="1"/>
  <c r="A224" i="1"/>
  <c r="AI224" i="1"/>
  <c r="AL224" i="1"/>
  <c r="AR224" i="1"/>
  <c r="AV224" i="1"/>
  <c r="AY224" i="1"/>
  <c r="A225" i="1"/>
  <c r="AI225" i="1"/>
  <c r="AL225" i="1"/>
  <c r="AR225" i="1"/>
  <c r="AV225" i="1"/>
  <c r="AY225" i="1"/>
  <c r="A226" i="1"/>
  <c r="AI226" i="1"/>
  <c r="AL226" i="1"/>
  <c r="AR226" i="1"/>
  <c r="AV226" i="1"/>
  <c r="AY226" i="1"/>
  <c r="A227" i="1"/>
  <c r="AI227" i="1"/>
  <c r="AL227" i="1"/>
  <c r="AR227" i="1"/>
  <c r="AV227" i="1"/>
  <c r="AY227" i="1"/>
  <c r="A228" i="1"/>
  <c r="AI228" i="1"/>
  <c r="AL228" i="1"/>
  <c r="AR228" i="1"/>
  <c r="AV228" i="1"/>
  <c r="AY228" i="1"/>
  <c r="A229" i="1"/>
  <c r="AI229" i="1"/>
  <c r="AL229" i="1"/>
  <c r="AR229" i="1"/>
  <c r="AV229" i="1"/>
  <c r="AY229" i="1"/>
  <c r="A230" i="1"/>
  <c r="AI230" i="1"/>
  <c r="AR230" i="1"/>
  <c r="AV230" i="1"/>
  <c r="AY230" i="1"/>
  <c r="A231" i="1"/>
  <c r="AI231" i="1"/>
  <c r="AR231" i="1"/>
  <c r="AV231" i="1"/>
  <c r="AY231" i="1"/>
  <c r="A232" i="1"/>
  <c r="AI232" i="1"/>
  <c r="AR232" i="1"/>
  <c r="AV232" i="1"/>
  <c r="AY232" i="1"/>
  <c r="A233" i="1"/>
  <c r="AI233" i="1"/>
  <c r="AR233" i="1"/>
  <c r="AV233" i="1"/>
  <c r="AY233" i="1"/>
  <c r="A234" i="1"/>
  <c r="AI234" i="1"/>
  <c r="AR234" i="1"/>
  <c r="AV234" i="1"/>
  <c r="AY234" i="1"/>
  <c r="A235" i="1"/>
  <c r="AI235" i="1"/>
  <c r="AL235" i="1"/>
  <c r="AO235" i="1"/>
  <c r="AR235" i="1"/>
  <c r="AV235" i="1"/>
  <c r="AY235" i="1"/>
  <c r="A236" i="1"/>
  <c r="AI236" i="1"/>
  <c r="AO236" i="1"/>
  <c r="AR236" i="1"/>
  <c r="AV236" i="1"/>
  <c r="AY236" i="1"/>
  <c r="A237" i="1"/>
  <c r="AI237" i="1"/>
  <c r="AO237" i="1"/>
  <c r="AR237" i="1"/>
  <c r="AV237" i="1"/>
  <c r="AY237" i="1"/>
  <c r="A238" i="1"/>
  <c r="AI238" i="1"/>
  <c r="AO238" i="1"/>
  <c r="AR238" i="1"/>
  <c r="AV238" i="1"/>
  <c r="AY238" i="1"/>
  <c r="A239" i="1"/>
  <c r="AI239" i="1"/>
  <c r="AO239" i="1"/>
  <c r="AR239" i="1"/>
  <c r="AV239" i="1"/>
  <c r="AY239" i="1"/>
  <c r="A240" i="1"/>
  <c r="AI240" i="1"/>
  <c r="AO240" i="1"/>
  <c r="AR240" i="1"/>
  <c r="AV240" i="1"/>
  <c r="AY240" i="1"/>
  <c r="A241" i="1"/>
  <c r="AI241" i="1"/>
  <c r="AO241" i="1"/>
  <c r="AR241" i="1"/>
  <c r="AV241" i="1"/>
  <c r="AY241" i="1"/>
  <c r="A242" i="1"/>
  <c r="AI242" i="1"/>
  <c r="AO242" i="1"/>
  <c r="AR242" i="1"/>
  <c r="AV242" i="1"/>
  <c r="AY242" i="1"/>
  <c r="A243" i="1"/>
  <c r="AI243" i="1"/>
  <c r="AO243" i="1"/>
  <c r="AR243" i="1"/>
  <c r="AV243" i="1"/>
  <c r="AY243" i="1"/>
  <c r="A244" i="1"/>
  <c r="AI244" i="1"/>
  <c r="AO244" i="1"/>
  <c r="AR244" i="1"/>
  <c r="AV244" i="1"/>
  <c r="AY244" i="1"/>
  <c r="A245" i="1"/>
  <c r="AI245" i="1"/>
  <c r="AL245" i="1"/>
  <c r="AO245" i="1"/>
  <c r="AR245" i="1"/>
  <c r="AV245" i="1"/>
  <c r="AY245" i="1"/>
  <c r="A246" i="1"/>
  <c r="AI246" i="1"/>
  <c r="AO246" i="1"/>
  <c r="AR246" i="1"/>
  <c r="AV246" i="1"/>
  <c r="AY246" i="1"/>
  <c r="A247" i="1"/>
  <c r="AI247" i="1"/>
  <c r="AL247" i="1"/>
  <c r="AO247" i="1"/>
  <c r="AR247" i="1"/>
  <c r="AV247" i="1"/>
  <c r="AY247" i="1"/>
  <c r="A251" i="1"/>
  <c r="AI251" i="1"/>
  <c r="AL251" i="1"/>
  <c r="AO251" i="1"/>
  <c r="AR251" i="1"/>
  <c r="AV251" i="1"/>
  <c r="AY251" i="1"/>
  <c r="A252" i="1"/>
  <c r="AI252" i="1"/>
  <c r="AL252" i="1"/>
  <c r="AO252" i="1"/>
  <c r="AR252" i="1"/>
  <c r="AV252" i="1"/>
  <c r="AY252" i="1"/>
  <c r="A253" i="1"/>
  <c r="AI253" i="1"/>
  <c r="AL253" i="1"/>
  <c r="AO253" i="1"/>
  <c r="AR253" i="1"/>
  <c r="AV253" i="1"/>
  <c r="AY253" i="1"/>
  <c r="A254" i="1"/>
  <c r="AI254" i="1"/>
  <c r="AL254" i="1"/>
  <c r="AO254" i="1"/>
  <c r="AR254" i="1"/>
  <c r="AV254" i="1"/>
  <c r="AY254" i="1"/>
  <c r="A255" i="1"/>
  <c r="AI255" i="1"/>
  <c r="AL255" i="1"/>
  <c r="AO255" i="1"/>
  <c r="AR255" i="1"/>
  <c r="AV255" i="1"/>
  <c r="AY255" i="1"/>
  <c r="A256" i="1"/>
  <c r="AI256" i="1"/>
  <c r="AL256" i="1"/>
  <c r="AO256" i="1"/>
  <c r="AR256" i="1"/>
  <c r="AV256" i="1"/>
  <c r="AY256" i="1"/>
  <c r="A257" i="1"/>
  <c r="AI257" i="1"/>
  <c r="AL257" i="1"/>
  <c r="AO257" i="1"/>
  <c r="AR257" i="1"/>
  <c r="AV257" i="1"/>
  <c r="AY257" i="1"/>
  <c r="A258" i="1"/>
  <c r="AI258" i="1"/>
  <c r="AL258" i="1"/>
  <c r="AO258" i="1"/>
  <c r="AR258" i="1"/>
  <c r="AV258" i="1"/>
  <c r="AY258" i="1"/>
  <c r="A259" i="1"/>
  <c r="AI259" i="1"/>
  <c r="AL259" i="1"/>
  <c r="AO259" i="1"/>
  <c r="AR259" i="1"/>
  <c r="AV259" i="1"/>
  <c r="AY259" i="1"/>
  <c r="A260" i="1"/>
  <c r="AI260" i="1"/>
  <c r="AL260" i="1"/>
  <c r="AO260" i="1"/>
  <c r="AR260" i="1"/>
  <c r="AV260" i="1"/>
  <c r="AY260" i="1"/>
  <c r="A261" i="1"/>
  <c r="AI261" i="1"/>
  <c r="AL261" i="1"/>
  <c r="AO261" i="1"/>
  <c r="AR261" i="1"/>
  <c r="AV261" i="1"/>
  <c r="AY261" i="1"/>
  <c r="A262" i="1"/>
  <c r="AI262" i="1"/>
  <c r="AL262" i="1"/>
  <c r="AO262" i="1"/>
  <c r="AR262" i="1"/>
  <c r="AV262" i="1"/>
  <c r="AY262" i="1"/>
  <c r="A263" i="1"/>
  <c r="AI263" i="1"/>
  <c r="AL263" i="1"/>
  <c r="AO263" i="1"/>
  <c r="AR263" i="1"/>
  <c r="AV263" i="1"/>
  <c r="AY263" i="1"/>
  <c r="A264" i="1"/>
  <c r="AI264" i="1"/>
  <c r="AL264" i="1"/>
  <c r="AO264" i="1"/>
  <c r="AR264" i="1"/>
  <c r="AV264" i="1"/>
  <c r="AY264" i="1"/>
  <c r="A265" i="1"/>
  <c r="AI265" i="1"/>
  <c r="AL265" i="1"/>
  <c r="AO265" i="1"/>
  <c r="AR265" i="1"/>
  <c r="AV265" i="1"/>
  <c r="AY265" i="1"/>
  <c r="A266" i="1"/>
  <c r="AI266" i="1"/>
  <c r="AL266" i="1"/>
  <c r="AO266" i="1"/>
  <c r="AR266" i="1"/>
  <c r="AV266" i="1"/>
  <c r="AY266" i="1"/>
  <c r="A267" i="1"/>
  <c r="AI267" i="1"/>
  <c r="AL267" i="1"/>
  <c r="AO267" i="1"/>
  <c r="AR267" i="1"/>
  <c r="AV267" i="1"/>
  <c r="AY267" i="1"/>
  <c r="A268" i="1"/>
  <c r="AI268" i="1"/>
  <c r="AL268" i="1"/>
  <c r="AO268" i="1"/>
  <c r="AR268" i="1"/>
  <c r="AV268" i="1"/>
  <c r="AY268" i="1"/>
  <c r="A269" i="1"/>
  <c r="AI269" i="1"/>
  <c r="AL269" i="1"/>
  <c r="AO269" i="1"/>
  <c r="AR269" i="1"/>
  <c r="AV269" i="1"/>
  <c r="AY269" i="1"/>
  <c r="A270" i="1"/>
  <c r="AI270" i="1"/>
  <c r="AL270" i="1"/>
  <c r="AO270" i="1"/>
  <c r="AR270" i="1"/>
  <c r="AV270" i="1"/>
  <c r="AY270" i="1"/>
  <c r="A271" i="1"/>
  <c r="AI271" i="1"/>
  <c r="AR271" i="1"/>
  <c r="A272" i="1"/>
  <c r="AI272" i="1"/>
  <c r="AR272" i="1"/>
  <c r="A273" i="1"/>
  <c r="AI273" i="1"/>
  <c r="AR273" i="1"/>
  <c r="A274" i="1"/>
  <c r="AI274" i="1"/>
  <c r="AR274" i="1"/>
  <c r="A275" i="1"/>
  <c r="AI275" i="1"/>
  <c r="AR275" i="1"/>
  <c r="A276" i="1"/>
  <c r="AI276" i="1"/>
  <c r="AR276" i="1"/>
  <c r="A277" i="1"/>
  <c r="AI277" i="1"/>
  <c r="AR277" i="1"/>
  <c r="A278" i="1"/>
  <c r="AI278" i="1"/>
  <c r="AR278" i="1"/>
  <c r="A279" i="1"/>
  <c r="AI279" i="1"/>
  <c r="AR279" i="1"/>
  <c r="A280" i="1"/>
  <c r="AI280" i="1"/>
  <c r="AR280" i="1"/>
  <c r="A281" i="1"/>
  <c r="AI281" i="1"/>
  <c r="AR281" i="1"/>
  <c r="A282" i="1"/>
  <c r="AI282" i="1"/>
  <c r="AR282" i="1"/>
  <c r="A283" i="1"/>
  <c r="AI283" i="1"/>
  <c r="AR283" i="1"/>
  <c r="A284" i="1"/>
  <c r="AI284" i="1"/>
  <c r="AR284" i="1"/>
  <c r="A285" i="1"/>
  <c r="AI285" i="1"/>
  <c r="AR285" i="1"/>
  <c r="A286" i="1"/>
  <c r="AI286" i="1"/>
  <c r="AR286" i="1"/>
  <c r="A287" i="1"/>
  <c r="AI287" i="1"/>
  <c r="AR287" i="1"/>
  <c r="A288" i="1"/>
  <c r="AI288" i="1"/>
  <c r="AR288" i="1"/>
  <c r="A289" i="1"/>
  <c r="AI289" i="1"/>
  <c r="AL289" i="1"/>
  <c r="AO289" i="1"/>
  <c r="AR289" i="1"/>
  <c r="AV289" i="1"/>
  <c r="AY289" i="1"/>
  <c r="A290" i="1"/>
  <c r="AI290" i="1"/>
  <c r="AL290" i="1"/>
  <c r="AO290" i="1"/>
  <c r="AR290" i="1"/>
  <c r="AV290" i="1"/>
  <c r="AY290" i="1"/>
  <c r="A291" i="1"/>
  <c r="AI291" i="1"/>
  <c r="AL291" i="1"/>
  <c r="AO291" i="1"/>
  <c r="AR291" i="1"/>
  <c r="AV291" i="1"/>
  <c r="AY291" i="1"/>
  <c r="A292" i="1"/>
  <c r="AI292" i="1"/>
  <c r="AL292" i="1"/>
  <c r="AO292" i="1"/>
  <c r="AR292" i="1"/>
  <c r="AV292" i="1"/>
  <c r="AY292" i="1"/>
  <c r="A293" i="1"/>
  <c r="AI293" i="1"/>
  <c r="AL293" i="1"/>
  <c r="AO293" i="1"/>
  <c r="AR293" i="1"/>
  <c r="AV293" i="1"/>
  <c r="AY293" i="1"/>
  <c r="A294" i="1"/>
  <c r="AI294" i="1"/>
  <c r="AL294" i="1"/>
  <c r="AO294" i="1"/>
  <c r="AR294" i="1"/>
  <c r="AV294" i="1"/>
  <c r="AY294" i="1"/>
  <c r="A295" i="1"/>
  <c r="AI295" i="1"/>
  <c r="AL295" i="1"/>
  <c r="AO295" i="1"/>
  <c r="AR295" i="1"/>
  <c r="AV295" i="1"/>
  <c r="AY295" i="1"/>
  <c r="A296" i="1"/>
  <c r="AI296" i="1"/>
  <c r="AL296" i="1"/>
  <c r="AO296" i="1"/>
  <c r="AR296" i="1"/>
  <c r="AV296" i="1"/>
  <c r="AY296" i="1"/>
  <c r="A297" i="1"/>
  <c r="AI297" i="1"/>
  <c r="AL297" i="1"/>
  <c r="AO297" i="1"/>
  <c r="AR297" i="1"/>
  <c r="AV297" i="1"/>
  <c r="AY297" i="1"/>
  <c r="A298" i="1"/>
  <c r="AI298" i="1"/>
  <c r="AL298" i="1"/>
  <c r="AO298" i="1"/>
  <c r="AR298" i="1"/>
  <c r="AV298" i="1"/>
  <c r="AY298" i="1"/>
  <c r="A299" i="1"/>
  <c r="AI299" i="1"/>
  <c r="AL299" i="1"/>
  <c r="AO299" i="1"/>
  <c r="AR299" i="1"/>
  <c r="AV299" i="1"/>
  <c r="AY299" i="1"/>
  <c r="A300" i="1"/>
  <c r="AI300" i="1"/>
  <c r="AL300" i="1"/>
  <c r="AO300" i="1"/>
  <c r="AR300" i="1"/>
  <c r="AV300" i="1"/>
  <c r="AY300" i="1"/>
  <c r="A301" i="1"/>
  <c r="AI301" i="1"/>
  <c r="AL301" i="1"/>
  <c r="AO301" i="1"/>
  <c r="AR301" i="1"/>
  <c r="AV301" i="1"/>
  <c r="AY301" i="1"/>
  <c r="A302" i="1"/>
  <c r="AI302" i="1"/>
  <c r="AL302" i="1"/>
  <c r="AO302" i="1"/>
  <c r="AR302" i="1"/>
  <c r="AV302" i="1"/>
  <c r="AY302" i="1"/>
  <c r="A303" i="1"/>
  <c r="AI303" i="1"/>
  <c r="AL303" i="1"/>
  <c r="AO303" i="1"/>
  <c r="AR303" i="1"/>
  <c r="AV303" i="1"/>
  <c r="AY303" i="1"/>
  <c r="A304" i="1"/>
  <c r="AI304" i="1"/>
  <c r="AL304" i="1"/>
  <c r="AO304" i="1"/>
  <c r="AR304" i="1"/>
  <c r="AV304" i="1"/>
  <c r="AY304" i="1"/>
  <c r="A305" i="1"/>
  <c r="AI305" i="1"/>
  <c r="AL305" i="1"/>
  <c r="AO305" i="1"/>
  <c r="AR305" i="1"/>
  <c r="AV305" i="1"/>
  <c r="AY305" i="1"/>
  <c r="A306" i="1"/>
  <c r="AI306" i="1"/>
  <c r="AL306" i="1"/>
  <c r="AO306" i="1"/>
  <c r="AR306" i="1"/>
  <c r="AV306" i="1"/>
  <c r="AY306" i="1"/>
  <c r="A307" i="1"/>
  <c r="AI307" i="1"/>
  <c r="AL307" i="1"/>
  <c r="AO307" i="1"/>
  <c r="AR307" i="1"/>
  <c r="AV307" i="1"/>
  <c r="AY307" i="1"/>
  <c r="A308" i="1"/>
  <c r="AI308" i="1"/>
  <c r="AL308" i="1"/>
  <c r="AO308" i="1"/>
  <c r="AR308" i="1"/>
  <c r="AV308" i="1"/>
  <c r="AY308" i="1"/>
  <c r="A309" i="1"/>
  <c r="AI309" i="1"/>
  <c r="AL309" i="1"/>
  <c r="AO309" i="1"/>
  <c r="AR309" i="1"/>
  <c r="AV309" i="1"/>
  <c r="AY309" i="1"/>
  <c r="A310" i="1"/>
  <c r="AI310" i="1"/>
  <c r="AL310" i="1"/>
  <c r="AO310" i="1"/>
  <c r="AR310" i="1"/>
  <c r="AV310" i="1"/>
  <c r="AY310" i="1"/>
  <c r="A311" i="1"/>
  <c r="AI311" i="1"/>
  <c r="AL311" i="1"/>
  <c r="AO311" i="1"/>
  <c r="AR311" i="1"/>
  <c r="AV311" i="1"/>
  <c r="AY311" i="1"/>
  <c r="A312" i="1"/>
  <c r="AI312" i="1"/>
  <c r="AL312" i="1"/>
  <c r="AO312" i="1"/>
  <c r="AR312" i="1"/>
  <c r="AV312" i="1"/>
  <c r="AY312" i="1"/>
  <c r="A313" i="1"/>
  <c r="AI313" i="1"/>
  <c r="AL313" i="1"/>
  <c r="AO313" i="1"/>
  <c r="AR313" i="1"/>
  <c r="AV313" i="1"/>
  <c r="AY313" i="1"/>
  <c r="A314" i="1"/>
  <c r="AI314" i="1"/>
  <c r="AL314" i="1"/>
  <c r="AO314" i="1"/>
  <c r="AR314" i="1"/>
  <c r="AV314" i="1"/>
  <c r="AY314" i="1"/>
  <c r="A315" i="1"/>
  <c r="AI315" i="1"/>
  <c r="AL315" i="1"/>
  <c r="AO315" i="1"/>
  <c r="AR315" i="1"/>
  <c r="AV315" i="1"/>
  <c r="AY315" i="1"/>
  <c r="A316" i="1"/>
  <c r="AI316" i="1"/>
  <c r="AL316" i="1"/>
  <c r="AO316" i="1"/>
  <c r="AR316" i="1"/>
  <c r="AV316" i="1"/>
  <c r="AY316" i="1"/>
  <c r="A317" i="1"/>
  <c r="AI317" i="1"/>
  <c r="AL317" i="1"/>
  <c r="AO317" i="1"/>
  <c r="AR317" i="1"/>
  <c r="AV317" i="1"/>
  <c r="AY317" i="1"/>
  <c r="A318" i="1"/>
  <c r="AI318" i="1"/>
  <c r="AL318" i="1"/>
  <c r="AO318" i="1"/>
  <c r="AR318" i="1"/>
  <c r="AV318" i="1"/>
  <c r="AY318" i="1"/>
  <c r="A319" i="1"/>
  <c r="AI319" i="1"/>
  <c r="AL319" i="1"/>
  <c r="AO319" i="1"/>
  <c r="AR319" i="1"/>
  <c r="AV319" i="1"/>
  <c r="AY319" i="1"/>
  <c r="A320" i="1"/>
  <c r="AI320" i="1"/>
  <c r="AL320" i="1"/>
  <c r="AO320" i="1"/>
  <c r="AR320" i="1"/>
  <c r="AV320" i="1"/>
  <c r="AY320" i="1"/>
  <c r="A321" i="1"/>
  <c r="AI321" i="1"/>
  <c r="AL321" i="1"/>
  <c r="AO321" i="1"/>
  <c r="AR321" i="1"/>
  <c r="AV321" i="1"/>
  <c r="AY321" i="1"/>
  <c r="A322" i="1"/>
  <c r="AI322" i="1"/>
  <c r="AL322" i="1"/>
  <c r="AO322" i="1"/>
  <c r="AR322" i="1"/>
  <c r="AV322" i="1"/>
  <c r="AY322" i="1"/>
  <c r="A323" i="1"/>
  <c r="AI323" i="1"/>
  <c r="AL323" i="1"/>
  <c r="AO323" i="1"/>
  <c r="AR323" i="1"/>
  <c r="AV323" i="1"/>
  <c r="AY323" i="1"/>
  <c r="A324" i="1"/>
  <c r="AI324" i="1"/>
  <c r="AL324" i="1"/>
  <c r="AO324" i="1"/>
  <c r="AR324" i="1"/>
  <c r="AV324" i="1"/>
  <c r="AY324" i="1"/>
  <c r="A325" i="1"/>
  <c r="AI325" i="1"/>
  <c r="AL325" i="1"/>
  <c r="AO325" i="1"/>
  <c r="AR325" i="1"/>
  <c r="AV325" i="1"/>
  <c r="AY325" i="1"/>
  <c r="A326" i="1"/>
  <c r="AI326" i="1"/>
  <c r="AL326" i="1"/>
  <c r="AO326" i="1"/>
  <c r="AR326" i="1"/>
  <c r="AV326" i="1"/>
  <c r="AY326" i="1"/>
  <c r="A327" i="1"/>
  <c r="AI327" i="1"/>
  <c r="AL327" i="1"/>
  <c r="AO327" i="1"/>
  <c r="AR327" i="1"/>
  <c r="AV327" i="1"/>
  <c r="AY327" i="1"/>
  <c r="A328" i="1"/>
  <c r="AI328" i="1"/>
  <c r="AL328" i="1"/>
  <c r="AO328" i="1"/>
  <c r="AR328" i="1"/>
  <c r="AV328" i="1"/>
  <c r="AY328" i="1"/>
  <c r="A329" i="1"/>
  <c r="AI329" i="1"/>
  <c r="AL329" i="1"/>
  <c r="AO329" i="1"/>
  <c r="AR329" i="1"/>
  <c r="AV329" i="1"/>
  <c r="AY329" i="1"/>
  <c r="A330" i="1"/>
  <c r="AI330" i="1"/>
  <c r="AL330" i="1"/>
  <c r="AO330" i="1"/>
  <c r="AR330" i="1"/>
  <c r="AV330" i="1"/>
  <c r="AY330" i="1"/>
  <c r="A331" i="1"/>
  <c r="AI331" i="1"/>
  <c r="AL331" i="1"/>
  <c r="AO331" i="1"/>
  <c r="AR331" i="1"/>
  <c r="AV331" i="1"/>
  <c r="AY331" i="1"/>
  <c r="A332" i="1"/>
  <c r="AI332" i="1"/>
  <c r="AL332" i="1"/>
  <c r="AO332" i="1"/>
  <c r="AR332" i="1"/>
  <c r="AV332" i="1"/>
  <c r="AY332" i="1"/>
  <c r="A333" i="1"/>
  <c r="AI333" i="1"/>
  <c r="AL333" i="1"/>
  <c r="AO333" i="1"/>
  <c r="AR333" i="1"/>
  <c r="AV333" i="1"/>
  <c r="AY333" i="1"/>
  <c r="A334" i="1"/>
  <c r="AI334" i="1"/>
  <c r="AL334" i="1"/>
  <c r="AO334" i="1"/>
  <c r="AR334" i="1"/>
  <c r="AV334" i="1"/>
  <c r="AY334" i="1"/>
  <c r="A335" i="1"/>
  <c r="AI335" i="1"/>
  <c r="AL335" i="1"/>
  <c r="AO335" i="1"/>
  <c r="AR335" i="1"/>
  <c r="AV335" i="1"/>
  <c r="AY335" i="1"/>
  <c r="A336" i="1"/>
  <c r="AI336" i="1"/>
  <c r="AL336" i="1"/>
  <c r="AO336" i="1"/>
  <c r="AR336" i="1"/>
  <c r="AV336" i="1"/>
  <c r="AY336" i="1"/>
  <c r="A337" i="1"/>
  <c r="AI337" i="1"/>
  <c r="AL337" i="1"/>
  <c r="AO337" i="1"/>
  <c r="AR337" i="1"/>
  <c r="AV337" i="1"/>
  <c r="AY337" i="1"/>
  <c r="A338" i="1"/>
  <c r="AI338" i="1"/>
  <c r="AL338" i="1"/>
  <c r="AO338" i="1"/>
  <c r="AR338" i="1"/>
  <c r="AV338" i="1"/>
  <c r="AY338" i="1"/>
  <c r="A339" i="1"/>
  <c r="AI339" i="1"/>
  <c r="AL339" i="1"/>
  <c r="AO339" i="1"/>
  <c r="AR339" i="1"/>
  <c r="AV339" i="1"/>
  <c r="AY339" i="1"/>
  <c r="A340" i="1"/>
  <c r="AI340" i="1"/>
  <c r="AL340" i="1"/>
  <c r="AO340" i="1"/>
  <c r="AR340" i="1"/>
  <c r="AV340" i="1"/>
  <c r="AY340" i="1"/>
  <c r="A341" i="1"/>
  <c r="AI341" i="1"/>
  <c r="AL341" i="1"/>
  <c r="AO341" i="1"/>
  <c r="AR341" i="1"/>
  <c r="AV341" i="1"/>
  <c r="AY341" i="1"/>
  <c r="A342" i="1"/>
  <c r="AI342" i="1"/>
  <c r="AL342" i="1"/>
  <c r="AO342" i="1"/>
  <c r="AR342" i="1"/>
  <c r="AV342" i="1"/>
  <c r="AY342" i="1"/>
  <c r="A343" i="1"/>
  <c r="AI343" i="1"/>
  <c r="AL343" i="1"/>
  <c r="AO343" i="1"/>
  <c r="AR343" i="1"/>
  <c r="AV343" i="1"/>
  <c r="AY343" i="1"/>
  <c r="A344" i="1"/>
  <c r="AI344" i="1"/>
  <c r="AL344" i="1"/>
  <c r="AO344" i="1"/>
  <c r="AR344" i="1"/>
  <c r="AV344" i="1"/>
  <c r="AY344" i="1"/>
  <c r="A345" i="1"/>
  <c r="AI345" i="1"/>
  <c r="AL345" i="1"/>
  <c r="AO345" i="1"/>
  <c r="AR345" i="1"/>
  <c r="AV345" i="1"/>
  <c r="AY345" i="1"/>
  <c r="A346" i="1"/>
  <c r="AI346" i="1"/>
  <c r="AL346" i="1"/>
  <c r="AO346" i="1"/>
  <c r="AR346" i="1"/>
  <c r="AV346" i="1"/>
  <c r="AY346" i="1"/>
  <c r="A347" i="1"/>
  <c r="AI347" i="1"/>
  <c r="AL347" i="1"/>
  <c r="AO347" i="1"/>
  <c r="AR347" i="1"/>
  <c r="AV347" i="1"/>
  <c r="AY347" i="1"/>
  <c r="A348" i="1"/>
  <c r="AI348" i="1"/>
  <c r="AL348" i="1"/>
  <c r="AO348" i="1"/>
  <c r="AR348" i="1"/>
  <c r="AV348" i="1"/>
  <c r="AY348" i="1"/>
  <c r="A349" i="1"/>
  <c r="AI349" i="1"/>
  <c r="AL349" i="1"/>
  <c r="AO349" i="1"/>
  <c r="AR349" i="1"/>
  <c r="AV349" i="1"/>
  <c r="AY349" i="1"/>
  <c r="A350" i="1"/>
  <c r="AI350" i="1"/>
  <c r="AL350" i="1"/>
  <c r="AO350" i="1"/>
  <c r="AR350" i="1"/>
  <c r="AV350" i="1"/>
  <c r="AY350" i="1"/>
  <c r="A351" i="1"/>
  <c r="AI351" i="1"/>
  <c r="AL351" i="1"/>
  <c r="AO351" i="1"/>
  <c r="AR351" i="1"/>
  <c r="AV351" i="1"/>
  <c r="AY351" i="1"/>
  <c r="A352" i="1"/>
  <c r="AI352" i="1"/>
  <c r="AL352" i="1"/>
  <c r="AO352" i="1"/>
  <c r="AR352" i="1"/>
  <c r="AV352" i="1"/>
  <c r="AY352" i="1"/>
  <c r="A353" i="1"/>
  <c r="AI353" i="1"/>
  <c r="AL353" i="1"/>
  <c r="AO353" i="1"/>
  <c r="AR353" i="1"/>
  <c r="AV353" i="1"/>
  <c r="AY353" i="1"/>
  <c r="A354" i="1"/>
  <c r="AI354" i="1"/>
  <c r="AL354" i="1"/>
  <c r="AO354" i="1"/>
  <c r="AR354" i="1"/>
  <c r="AV354" i="1"/>
  <c r="AY354" i="1"/>
  <c r="A355" i="1"/>
  <c r="AI355" i="1"/>
  <c r="AL355" i="1"/>
  <c r="AO355" i="1"/>
  <c r="AR355" i="1"/>
  <c r="AV355" i="1"/>
  <c r="AY355" i="1"/>
  <c r="A356" i="1"/>
  <c r="AI356" i="1"/>
  <c r="AL356" i="1"/>
  <c r="AO356" i="1"/>
  <c r="AR356" i="1"/>
  <c r="AV356" i="1"/>
  <c r="AY356" i="1"/>
  <c r="A357" i="1"/>
  <c r="AI357" i="1"/>
  <c r="AL357" i="1"/>
  <c r="AO357" i="1"/>
  <c r="AR357" i="1"/>
  <c r="AV357" i="1"/>
  <c r="AY357" i="1"/>
  <c r="A358" i="1"/>
  <c r="AI358" i="1"/>
  <c r="AL358" i="1"/>
  <c r="AO358" i="1"/>
  <c r="AR358" i="1"/>
  <c r="AV358" i="1"/>
  <c r="AY358" i="1"/>
  <c r="A359" i="1"/>
  <c r="AI359" i="1"/>
  <c r="AL359" i="1"/>
  <c r="AO359" i="1"/>
  <c r="AR359" i="1"/>
  <c r="AV359" i="1"/>
  <c r="AY359" i="1"/>
  <c r="A360" i="1"/>
  <c r="AI360" i="1"/>
  <c r="AL360" i="1"/>
  <c r="AO360" i="1"/>
  <c r="AR360" i="1"/>
  <c r="AV360" i="1"/>
  <c r="AY360" i="1"/>
  <c r="A361" i="1"/>
  <c r="AI361" i="1"/>
  <c r="AL361" i="1"/>
  <c r="AO361" i="1"/>
  <c r="AR361" i="1"/>
  <c r="AV361" i="1"/>
  <c r="AY361" i="1"/>
  <c r="A362" i="1"/>
  <c r="AI362" i="1"/>
  <c r="AL362" i="1"/>
  <c r="AO362" i="1"/>
  <c r="AR362" i="1"/>
  <c r="AV362" i="1"/>
  <c r="AY362" i="1"/>
  <c r="A363" i="1"/>
  <c r="AI363" i="1"/>
  <c r="AL363" i="1"/>
  <c r="AO363" i="1"/>
  <c r="AR363" i="1"/>
  <c r="AV363" i="1"/>
  <c r="AY363" i="1"/>
  <c r="A364" i="1"/>
  <c r="AI364" i="1"/>
  <c r="AL364" i="1"/>
  <c r="AO364" i="1"/>
  <c r="AR364" i="1"/>
  <c r="AV364" i="1"/>
  <c r="AY364" i="1"/>
  <c r="A365" i="1"/>
  <c r="AI365" i="1"/>
  <c r="AL365" i="1"/>
  <c r="AO365" i="1"/>
  <c r="AR365" i="1"/>
  <c r="AV365" i="1"/>
  <c r="AY365" i="1"/>
  <c r="A366" i="1"/>
  <c r="AI366" i="1"/>
  <c r="AL366" i="1"/>
  <c r="AO366" i="1"/>
  <c r="AR366" i="1"/>
  <c r="AV366" i="1"/>
  <c r="AY366" i="1"/>
  <c r="A367" i="1"/>
  <c r="AI367" i="1"/>
  <c r="AL367" i="1"/>
  <c r="AO367" i="1"/>
  <c r="AR367" i="1"/>
  <c r="AV367" i="1"/>
  <c r="AY367" i="1"/>
  <c r="A368" i="1"/>
  <c r="AI368" i="1"/>
  <c r="AL368" i="1"/>
  <c r="AO368" i="1"/>
  <c r="AR368" i="1"/>
  <c r="AV368" i="1"/>
  <c r="AY368" i="1"/>
  <c r="A369" i="1"/>
  <c r="AI369" i="1"/>
  <c r="AL369" i="1"/>
  <c r="AO369" i="1"/>
  <c r="AR369" i="1"/>
  <c r="AV369" i="1"/>
  <c r="AY369" i="1"/>
  <c r="A370" i="1"/>
  <c r="AI370" i="1"/>
  <c r="AL370" i="1"/>
  <c r="AO370" i="1"/>
  <c r="AR370" i="1"/>
  <c r="AV370" i="1"/>
  <c r="AY370" i="1"/>
  <c r="A371" i="1"/>
  <c r="AI371" i="1"/>
  <c r="AL371" i="1"/>
  <c r="AO371" i="1"/>
  <c r="AR371" i="1"/>
  <c r="AV371" i="1"/>
  <c r="AY371" i="1"/>
  <c r="A372" i="1"/>
  <c r="AI372" i="1"/>
  <c r="AL372" i="1"/>
  <c r="AO372" i="1"/>
  <c r="AR372" i="1"/>
  <c r="AV372" i="1"/>
  <c r="AY372" i="1"/>
  <c r="A373" i="1"/>
  <c r="AI373" i="1"/>
  <c r="AL373" i="1"/>
  <c r="AO373" i="1"/>
  <c r="AR373" i="1"/>
  <c r="AV373" i="1"/>
  <c r="AY373" i="1"/>
  <c r="A374" i="1"/>
  <c r="AI374" i="1"/>
  <c r="AL374" i="1"/>
  <c r="AO374" i="1"/>
  <c r="AR374" i="1"/>
  <c r="AV374" i="1"/>
  <c r="AY374" i="1"/>
  <c r="A375" i="1"/>
  <c r="AI375" i="1"/>
  <c r="AL375" i="1"/>
  <c r="AO375" i="1"/>
  <c r="AR375" i="1"/>
  <c r="AV375" i="1"/>
  <c r="AY375" i="1"/>
  <c r="A376" i="1"/>
  <c r="AI376" i="1"/>
  <c r="AL376" i="1"/>
  <c r="AO376" i="1"/>
  <c r="AR376" i="1"/>
  <c r="AV376" i="1"/>
  <c r="AY376" i="1"/>
  <c r="A377" i="1"/>
  <c r="AI377" i="1"/>
  <c r="AL377" i="1"/>
  <c r="AO377" i="1"/>
  <c r="AR377" i="1"/>
  <c r="AV377" i="1"/>
  <c r="AY377" i="1"/>
  <c r="A378" i="1"/>
  <c r="AI378" i="1"/>
  <c r="AL378" i="1"/>
  <c r="AO378" i="1"/>
  <c r="AR378" i="1"/>
  <c r="AV378" i="1"/>
  <c r="AY378" i="1"/>
  <c r="A379" i="1"/>
  <c r="AI379" i="1"/>
  <c r="AL379" i="1"/>
  <c r="AO379" i="1"/>
  <c r="AR379" i="1"/>
  <c r="AV379" i="1"/>
  <c r="AY379" i="1"/>
  <c r="A380" i="1"/>
  <c r="AI380" i="1"/>
  <c r="AL380" i="1"/>
  <c r="AO380" i="1"/>
  <c r="AR380" i="1"/>
  <c r="AV380" i="1"/>
  <c r="AY380" i="1"/>
  <c r="A381" i="1"/>
  <c r="AI381" i="1"/>
  <c r="AL381" i="1"/>
  <c r="AO381" i="1"/>
  <c r="AR381" i="1"/>
  <c r="AV381" i="1"/>
  <c r="AY381" i="1"/>
  <c r="A382" i="1"/>
  <c r="AI382" i="1"/>
  <c r="AL382" i="1"/>
  <c r="AO382" i="1"/>
  <c r="AR382" i="1"/>
  <c r="AV382" i="1"/>
  <c r="AY382" i="1"/>
  <c r="A383" i="1"/>
  <c r="AI383" i="1"/>
  <c r="AL383" i="1"/>
  <c r="AO383" i="1"/>
  <c r="AR383" i="1"/>
  <c r="AV383" i="1"/>
  <c r="AY383" i="1"/>
  <c r="A384" i="1"/>
  <c r="AI384" i="1"/>
  <c r="AL384" i="1"/>
  <c r="AO384" i="1"/>
  <c r="AR384" i="1"/>
  <c r="AV384" i="1"/>
  <c r="AY384" i="1"/>
  <c r="A385" i="1"/>
  <c r="AI385" i="1"/>
  <c r="AL385" i="1"/>
  <c r="AO385" i="1"/>
  <c r="AR385" i="1"/>
  <c r="AV385" i="1"/>
  <c r="AY385" i="1"/>
  <c r="A386" i="1"/>
  <c r="AI386" i="1"/>
  <c r="AL386" i="1"/>
  <c r="AO386" i="1"/>
  <c r="AR386" i="1"/>
  <c r="AV386" i="1"/>
  <c r="AY386" i="1"/>
  <c r="A387" i="1"/>
  <c r="AI387" i="1"/>
  <c r="AL387" i="1"/>
  <c r="AO387" i="1"/>
  <c r="AR387" i="1"/>
  <c r="AV387" i="1"/>
  <c r="AY387" i="1"/>
  <c r="A388" i="1"/>
  <c r="AI388" i="1"/>
  <c r="AL388" i="1"/>
  <c r="AO388" i="1"/>
  <c r="AR388" i="1"/>
  <c r="AV388" i="1"/>
  <c r="AY388" i="1"/>
  <c r="A389" i="1"/>
  <c r="AI389" i="1"/>
  <c r="AL389" i="1"/>
  <c r="AO389" i="1"/>
  <c r="AR389" i="1"/>
  <c r="AV389" i="1"/>
  <c r="AY389" i="1"/>
  <c r="A390" i="1"/>
  <c r="AI390" i="1"/>
  <c r="AL390" i="1"/>
  <c r="AO390" i="1"/>
  <c r="AR390" i="1"/>
  <c r="AV390" i="1"/>
  <c r="AY390" i="1"/>
  <c r="A391" i="1"/>
  <c r="AI391" i="1"/>
  <c r="AL391" i="1"/>
  <c r="AO391" i="1"/>
  <c r="AR391" i="1"/>
  <c r="AV391" i="1"/>
  <c r="AY391" i="1"/>
  <c r="A392" i="1"/>
  <c r="AI392" i="1"/>
  <c r="AL392" i="1"/>
  <c r="AO392" i="1"/>
  <c r="AR392" i="1"/>
  <c r="AV392" i="1"/>
  <c r="AY392" i="1"/>
  <c r="A393" i="1"/>
  <c r="AI393" i="1"/>
  <c r="AL393" i="1"/>
  <c r="AO393" i="1"/>
  <c r="AR393" i="1"/>
  <c r="AV393" i="1"/>
  <c r="AY393" i="1"/>
  <c r="A394" i="1"/>
  <c r="AI394" i="1"/>
  <c r="AL394" i="1"/>
  <c r="AO394" i="1"/>
  <c r="AR394" i="1"/>
  <c r="AV394" i="1"/>
  <c r="AY394" i="1"/>
  <c r="A395" i="1"/>
  <c r="AI395" i="1"/>
  <c r="AL395" i="1"/>
  <c r="AO395" i="1"/>
  <c r="AR395" i="1"/>
  <c r="AV395" i="1"/>
  <c r="AY395" i="1"/>
  <c r="A396" i="1"/>
  <c r="AI396" i="1"/>
  <c r="AL396" i="1"/>
  <c r="AO396" i="1"/>
  <c r="AR396" i="1"/>
  <c r="AV396" i="1"/>
  <c r="AY396" i="1"/>
  <c r="A397" i="1"/>
  <c r="AI397" i="1"/>
  <c r="AL397" i="1"/>
  <c r="AO397" i="1"/>
  <c r="AR397" i="1"/>
  <c r="AV397" i="1"/>
  <c r="AY397" i="1"/>
  <c r="A398" i="1"/>
  <c r="AI398" i="1"/>
  <c r="AL398" i="1"/>
  <c r="AO398" i="1"/>
  <c r="AR398" i="1"/>
  <c r="AV398" i="1"/>
  <c r="AY398" i="1"/>
  <c r="A399" i="1"/>
  <c r="AI399" i="1"/>
  <c r="AL399" i="1"/>
  <c r="AO399" i="1"/>
  <c r="AR399" i="1"/>
  <c r="AV399" i="1"/>
  <c r="AY399" i="1"/>
  <c r="A400" i="1"/>
  <c r="AI400" i="1"/>
  <c r="AL400" i="1"/>
  <c r="AO400" i="1"/>
  <c r="AR400" i="1"/>
  <c r="AV400" i="1"/>
  <c r="AY400" i="1"/>
  <c r="A401" i="1"/>
  <c r="AI401" i="1"/>
  <c r="AL401" i="1"/>
  <c r="AO401" i="1"/>
  <c r="AR401" i="1"/>
  <c r="AV401" i="1"/>
  <c r="AY401" i="1"/>
  <c r="A402" i="1"/>
  <c r="AI402" i="1"/>
  <c r="AL402" i="1"/>
  <c r="AO402" i="1"/>
  <c r="AR402" i="1"/>
  <c r="AV402" i="1"/>
  <c r="AY402" i="1"/>
  <c r="A403" i="1"/>
  <c r="AI403" i="1"/>
  <c r="AL403" i="1"/>
  <c r="AO403" i="1"/>
  <c r="AR403" i="1"/>
  <c r="AV403" i="1"/>
  <c r="AY403" i="1"/>
  <c r="A404" i="1"/>
  <c r="AI404" i="1"/>
  <c r="AL404" i="1"/>
  <c r="AO404" i="1"/>
  <c r="AR404" i="1"/>
  <c r="AV404" i="1"/>
  <c r="AY404" i="1"/>
  <c r="A405" i="1"/>
  <c r="AI405" i="1"/>
  <c r="AL405" i="1"/>
  <c r="AO405" i="1"/>
  <c r="AR405" i="1"/>
  <c r="AV405" i="1"/>
  <c r="AY405" i="1"/>
  <c r="A406" i="1"/>
  <c r="AI406" i="1"/>
  <c r="AL406" i="1"/>
  <c r="AO406" i="1"/>
  <c r="AR406" i="1"/>
  <c r="AV406" i="1"/>
  <c r="AY406" i="1"/>
  <c r="A407" i="1"/>
  <c r="AI407" i="1"/>
  <c r="AL407" i="1"/>
  <c r="AO407" i="1"/>
  <c r="AR407" i="1"/>
  <c r="AV407" i="1"/>
  <c r="AY407" i="1"/>
  <c r="A408" i="1"/>
  <c r="AI408" i="1"/>
  <c r="AL408" i="1"/>
  <c r="AO408" i="1"/>
  <c r="AR408" i="1"/>
  <c r="AV408" i="1"/>
  <c r="AY408" i="1"/>
  <c r="A409" i="1"/>
  <c r="AI409" i="1"/>
  <c r="AL409" i="1"/>
  <c r="AO409" i="1"/>
  <c r="AR409" i="1"/>
  <c r="AV409" i="1"/>
  <c r="AY409" i="1"/>
  <c r="A410" i="1"/>
  <c r="AI410" i="1"/>
  <c r="AL410" i="1"/>
  <c r="AO410" i="1"/>
  <c r="AR410" i="1"/>
  <c r="AV410" i="1"/>
  <c r="AY410" i="1"/>
  <c r="A411" i="1"/>
  <c r="AI411" i="1"/>
  <c r="AL411" i="1"/>
  <c r="AO411" i="1"/>
  <c r="AR411" i="1"/>
  <c r="AV411" i="1"/>
  <c r="AY411" i="1"/>
  <c r="A412" i="1"/>
  <c r="AI412" i="1"/>
  <c r="AL412" i="1"/>
  <c r="AO412" i="1"/>
  <c r="AR412" i="1"/>
  <c r="AV412" i="1"/>
  <c r="AY412" i="1"/>
  <c r="A413" i="1"/>
  <c r="AI413" i="1"/>
  <c r="AL413" i="1"/>
  <c r="AO413" i="1"/>
  <c r="AR413" i="1"/>
  <c r="AV413" i="1"/>
  <c r="AY413" i="1"/>
  <c r="A414" i="1"/>
  <c r="AI414" i="1"/>
  <c r="AL414" i="1"/>
  <c r="AO414" i="1"/>
  <c r="AR414" i="1"/>
  <c r="AV414" i="1"/>
  <c r="AY414" i="1"/>
  <c r="A415" i="1"/>
  <c r="AI415" i="1"/>
  <c r="AL415" i="1"/>
  <c r="AO415" i="1"/>
  <c r="AR415" i="1"/>
  <c r="AV415" i="1"/>
  <c r="AY415" i="1"/>
  <c r="A416" i="1"/>
  <c r="AI416" i="1"/>
  <c r="AL416" i="1"/>
  <c r="AO416" i="1"/>
  <c r="AR416" i="1"/>
  <c r="AV416" i="1"/>
  <c r="AY416" i="1"/>
  <c r="A417" i="1"/>
  <c r="AI417" i="1"/>
  <c r="AL417" i="1"/>
  <c r="AO417" i="1"/>
  <c r="AR417" i="1"/>
  <c r="AV417" i="1"/>
  <c r="AY417" i="1"/>
  <c r="A418" i="1"/>
  <c r="AI418" i="1"/>
  <c r="AL418" i="1"/>
  <c r="AO418" i="1"/>
  <c r="AR418" i="1"/>
  <c r="AV418" i="1"/>
  <c r="AY418" i="1"/>
  <c r="A419" i="1"/>
  <c r="AI419" i="1"/>
  <c r="AL419" i="1"/>
  <c r="AO419" i="1"/>
  <c r="AR419" i="1"/>
  <c r="AV419" i="1"/>
  <c r="AY419" i="1"/>
  <c r="A420" i="1"/>
  <c r="AI420" i="1"/>
  <c r="AL420" i="1"/>
  <c r="AO420" i="1"/>
  <c r="AR420" i="1"/>
  <c r="AV420" i="1"/>
  <c r="AY420" i="1"/>
  <c r="A421" i="1"/>
  <c r="AI421" i="1"/>
  <c r="AL421" i="1"/>
  <c r="AO421" i="1"/>
  <c r="AR421" i="1"/>
  <c r="AV421" i="1"/>
  <c r="AY421" i="1"/>
  <c r="A422" i="1"/>
  <c r="AI422" i="1"/>
  <c r="AL422" i="1"/>
  <c r="AO422" i="1"/>
  <c r="AR422" i="1"/>
  <c r="AV422" i="1"/>
  <c r="AY422" i="1"/>
  <c r="A423" i="1"/>
  <c r="AI423" i="1"/>
  <c r="AL423" i="1"/>
  <c r="AO423" i="1"/>
  <c r="AR423" i="1"/>
  <c r="AV423" i="1"/>
  <c r="AY423" i="1"/>
  <c r="A424" i="1"/>
  <c r="AI424" i="1"/>
  <c r="AL424" i="1"/>
  <c r="AO424" i="1"/>
  <c r="AR424" i="1"/>
  <c r="AV424" i="1"/>
  <c r="AY424" i="1"/>
  <c r="A425" i="1"/>
  <c r="AI425" i="1"/>
  <c r="AL425" i="1"/>
  <c r="AO425" i="1"/>
  <c r="AR425" i="1"/>
  <c r="AV425" i="1"/>
  <c r="AY425" i="1"/>
  <c r="A426" i="1"/>
  <c r="AI426" i="1"/>
  <c r="AL426" i="1"/>
  <c r="AO426" i="1"/>
  <c r="AR426" i="1"/>
  <c r="AV426" i="1"/>
  <c r="AY426" i="1"/>
  <c r="A427" i="1"/>
  <c r="AI427" i="1"/>
  <c r="AL427" i="1"/>
  <c r="AO427" i="1"/>
  <c r="AR427" i="1"/>
  <c r="AV427" i="1"/>
  <c r="AY427" i="1"/>
  <c r="A428" i="1"/>
  <c r="AI428" i="1"/>
  <c r="AL428" i="1"/>
  <c r="AO428" i="1"/>
  <c r="AR428" i="1"/>
  <c r="AV428" i="1"/>
  <c r="AY428" i="1"/>
  <c r="A429" i="1"/>
  <c r="AI429" i="1"/>
  <c r="AL429" i="1"/>
  <c r="AO429" i="1"/>
  <c r="AR429" i="1"/>
  <c r="AV429" i="1"/>
  <c r="AY429" i="1"/>
  <c r="A430" i="1"/>
  <c r="AI430" i="1"/>
  <c r="AL430" i="1"/>
  <c r="AO430" i="1"/>
  <c r="AR430" i="1"/>
  <c r="AV430" i="1"/>
  <c r="AY430" i="1"/>
  <c r="A431" i="1"/>
  <c r="AI431" i="1"/>
  <c r="AL431" i="1"/>
  <c r="AO431" i="1"/>
  <c r="AR431" i="1"/>
  <c r="AV431" i="1"/>
  <c r="AY431" i="1"/>
  <c r="A432" i="1"/>
  <c r="AI432" i="1"/>
  <c r="AL432" i="1"/>
  <c r="AO432" i="1"/>
  <c r="AR432" i="1"/>
  <c r="AV432" i="1"/>
  <c r="AY432" i="1"/>
  <c r="A433" i="1"/>
  <c r="AI433" i="1"/>
  <c r="AL433" i="1"/>
  <c r="AO433" i="1"/>
  <c r="AR433" i="1"/>
  <c r="AV433" i="1"/>
  <c r="AY433" i="1"/>
  <c r="A434" i="1"/>
  <c r="AI434" i="1"/>
  <c r="AL434" i="1"/>
  <c r="AO434" i="1"/>
  <c r="AR434" i="1"/>
  <c r="AV434" i="1"/>
  <c r="AY434" i="1"/>
  <c r="A435" i="1"/>
  <c r="AI435" i="1"/>
  <c r="AL435" i="1"/>
  <c r="AO435" i="1"/>
  <c r="AR435" i="1"/>
  <c r="AV435" i="1"/>
  <c r="AY435" i="1"/>
  <c r="A436" i="1"/>
  <c r="AI436" i="1"/>
  <c r="AL436" i="1"/>
  <c r="AO436" i="1"/>
  <c r="AR436" i="1"/>
  <c r="AV436" i="1"/>
  <c r="AY436" i="1"/>
  <c r="A437" i="1"/>
  <c r="AI437" i="1"/>
  <c r="AL437" i="1"/>
  <c r="AO437" i="1"/>
  <c r="AR437" i="1"/>
  <c r="AV437" i="1"/>
  <c r="AY437" i="1"/>
  <c r="A438" i="1"/>
  <c r="AI438" i="1"/>
  <c r="AL438" i="1"/>
  <c r="AO438" i="1"/>
  <c r="AR438" i="1"/>
  <c r="AV438" i="1"/>
  <c r="AY438" i="1"/>
  <c r="A439" i="1"/>
  <c r="AI439" i="1"/>
  <c r="AL439" i="1"/>
  <c r="AO439" i="1"/>
  <c r="AR439" i="1"/>
  <c r="AV439" i="1"/>
  <c r="AY439" i="1"/>
  <c r="A440" i="1"/>
  <c r="AI440" i="1"/>
  <c r="AL440" i="1"/>
  <c r="AO440" i="1"/>
  <c r="AR440" i="1"/>
  <c r="AV440" i="1"/>
  <c r="AY440" i="1"/>
  <c r="A441" i="1"/>
  <c r="AI441" i="1"/>
  <c r="AL441" i="1"/>
  <c r="AO441" i="1"/>
  <c r="AR441" i="1"/>
  <c r="AV441" i="1"/>
  <c r="AY441" i="1"/>
  <c r="A442" i="1"/>
  <c r="AI442" i="1"/>
  <c r="AL442" i="1"/>
  <c r="AO442" i="1"/>
  <c r="AR442" i="1"/>
  <c r="AV442" i="1"/>
  <c r="AY442" i="1"/>
  <c r="A443" i="1"/>
  <c r="AI443" i="1"/>
  <c r="AL443" i="1"/>
  <c r="AO443" i="1"/>
  <c r="AR443" i="1"/>
  <c r="AV443" i="1"/>
  <c r="AY443" i="1"/>
  <c r="A444" i="1"/>
  <c r="AI444" i="1"/>
  <c r="AL444" i="1"/>
  <c r="AO444" i="1"/>
  <c r="AR444" i="1"/>
  <c r="AV444" i="1"/>
  <c r="AY444" i="1"/>
  <c r="A445" i="1"/>
  <c r="AI445" i="1"/>
  <c r="AL445" i="1"/>
  <c r="AO445" i="1"/>
  <c r="AR445" i="1"/>
  <c r="AV445" i="1"/>
  <c r="AY445" i="1"/>
  <c r="A446" i="1"/>
  <c r="AI446" i="1"/>
  <c r="AL446" i="1"/>
  <c r="AO446" i="1"/>
  <c r="AR446" i="1"/>
  <c r="AV446" i="1"/>
  <c r="AY446" i="1"/>
  <c r="A447" i="1"/>
  <c r="AI447" i="1"/>
  <c r="AL447" i="1"/>
  <c r="AO447" i="1"/>
  <c r="AR447" i="1"/>
  <c r="AV447" i="1"/>
  <c r="AY447" i="1"/>
  <c r="A448" i="1"/>
  <c r="AI448" i="1"/>
  <c r="AL448" i="1"/>
  <c r="AO448" i="1"/>
  <c r="AR448" i="1"/>
  <c r="AV448" i="1"/>
  <c r="AY448" i="1"/>
  <c r="A449" i="1"/>
  <c r="AI449" i="1"/>
  <c r="AL449" i="1"/>
  <c r="AO449" i="1"/>
  <c r="AR449" i="1"/>
  <c r="AV449" i="1"/>
  <c r="AY449" i="1"/>
  <c r="A450" i="1"/>
  <c r="AI450" i="1"/>
  <c r="AL450" i="1"/>
  <c r="AO450" i="1"/>
  <c r="AR450" i="1"/>
  <c r="AV450" i="1"/>
  <c r="AY450" i="1"/>
  <c r="A451" i="1"/>
  <c r="AI451" i="1"/>
  <c r="AL451" i="1"/>
  <c r="AO451" i="1"/>
  <c r="AR451" i="1"/>
  <c r="AV451" i="1"/>
  <c r="AY451" i="1"/>
  <c r="A452" i="1"/>
  <c r="AI452" i="1"/>
  <c r="AL452" i="1"/>
  <c r="AO452" i="1"/>
  <c r="AR452" i="1"/>
  <c r="AV452" i="1"/>
  <c r="AY452" i="1"/>
  <c r="A453" i="1"/>
  <c r="AI453" i="1"/>
  <c r="AL453" i="1"/>
  <c r="AO453" i="1"/>
  <c r="AR453" i="1"/>
  <c r="AV453" i="1"/>
  <c r="AY453" i="1"/>
  <c r="A454" i="1"/>
  <c r="AI454" i="1"/>
  <c r="AL454" i="1"/>
  <c r="AO454" i="1"/>
  <c r="AR454" i="1"/>
  <c r="AV454" i="1"/>
  <c r="AY454" i="1"/>
  <c r="A455" i="1"/>
  <c r="AI455" i="1"/>
  <c r="AL455" i="1"/>
  <c r="AO455" i="1"/>
  <c r="AR455" i="1"/>
  <c r="AV455" i="1"/>
  <c r="AY455" i="1"/>
  <c r="A456" i="1"/>
  <c r="AI456" i="1"/>
  <c r="AL456" i="1"/>
  <c r="AO456" i="1"/>
  <c r="AR456" i="1"/>
  <c r="AV456" i="1"/>
  <c r="AY456" i="1"/>
  <c r="A457" i="1"/>
  <c r="AI457" i="1"/>
  <c r="AL457" i="1"/>
  <c r="AO457" i="1"/>
  <c r="AR457" i="1"/>
  <c r="AV457" i="1"/>
  <c r="AY457" i="1"/>
  <c r="A458" i="1"/>
  <c r="AI458" i="1"/>
  <c r="AL458" i="1"/>
  <c r="AO458" i="1"/>
  <c r="AR458" i="1"/>
  <c r="AV458" i="1"/>
  <c r="AY458" i="1"/>
  <c r="A459" i="1"/>
  <c r="AI459" i="1"/>
  <c r="AL459" i="1"/>
  <c r="AO459" i="1"/>
  <c r="AR459" i="1"/>
  <c r="AV459" i="1"/>
  <c r="AY459" i="1"/>
  <c r="A460" i="1"/>
  <c r="AI460" i="1"/>
  <c r="AL460" i="1"/>
  <c r="AO460" i="1"/>
  <c r="AR460" i="1"/>
  <c r="AV460" i="1"/>
  <c r="AY460" i="1"/>
  <c r="A461" i="1"/>
  <c r="AI461" i="1"/>
  <c r="AL461" i="1"/>
  <c r="AO461" i="1"/>
  <c r="AR461" i="1"/>
  <c r="AV461" i="1"/>
  <c r="AY461" i="1"/>
  <c r="A462" i="1"/>
  <c r="AI462" i="1"/>
  <c r="AL462" i="1"/>
  <c r="AO462" i="1"/>
  <c r="AR462" i="1"/>
  <c r="AV462" i="1"/>
  <c r="AY462" i="1"/>
  <c r="A463" i="1"/>
  <c r="AI463" i="1"/>
  <c r="AL463" i="1"/>
  <c r="AO463" i="1"/>
  <c r="AR463" i="1"/>
  <c r="AV463" i="1"/>
  <c r="AY463" i="1"/>
  <c r="A464" i="1"/>
  <c r="AI464" i="1"/>
  <c r="AL464" i="1"/>
  <c r="AO464" i="1"/>
  <c r="AR464" i="1"/>
  <c r="AV464" i="1"/>
  <c r="AY464" i="1"/>
  <c r="A465" i="1"/>
  <c r="AI465" i="1"/>
  <c r="AL465" i="1"/>
  <c r="AO465" i="1"/>
  <c r="AR465" i="1"/>
  <c r="AV465" i="1"/>
  <c r="AY465" i="1"/>
  <c r="A466" i="1"/>
  <c r="AI466" i="1"/>
  <c r="AL466" i="1"/>
  <c r="AO466" i="1"/>
  <c r="AR466" i="1"/>
  <c r="AV466" i="1"/>
  <c r="AY466" i="1"/>
  <c r="A467" i="1"/>
  <c r="AI467" i="1"/>
  <c r="AL467" i="1"/>
  <c r="AO467" i="1"/>
  <c r="AR467" i="1"/>
  <c r="AV467" i="1"/>
  <c r="AY467" i="1"/>
  <c r="A468" i="1"/>
  <c r="AI468" i="1"/>
  <c r="AL468" i="1"/>
  <c r="AO468" i="1"/>
  <c r="AR468" i="1"/>
  <c r="AV468" i="1"/>
  <c r="AY468" i="1"/>
  <c r="A469" i="1"/>
  <c r="AI469" i="1"/>
  <c r="AL469" i="1"/>
  <c r="AO469" i="1"/>
  <c r="AR469" i="1"/>
  <c r="AV469" i="1"/>
  <c r="AY469" i="1"/>
  <c r="A470" i="1"/>
  <c r="AI470" i="1"/>
  <c r="AL470" i="1"/>
  <c r="AO470" i="1"/>
  <c r="AR470" i="1"/>
  <c r="AV470" i="1"/>
  <c r="AY470" i="1"/>
  <c r="A471" i="1"/>
  <c r="AI471" i="1"/>
  <c r="AL471" i="1"/>
  <c r="AO471" i="1"/>
  <c r="AR471" i="1"/>
  <c r="AV471" i="1"/>
  <c r="AY471" i="1"/>
  <c r="A472" i="1"/>
  <c r="AI472" i="1"/>
  <c r="AL472" i="1"/>
  <c r="AO472" i="1"/>
  <c r="AR472" i="1"/>
  <c r="AV472" i="1"/>
  <c r="AY472" i="1"/>
  <c r="A473" i="1"/>
  <c r="AI473" i="1"/>
  <c r="AL473" i="1"/>
  <c r="AO473" i="1"/>
  <c r="AR473" i="1"/>
  <c r="AV473" i="1"/>
  <c r="AY473" i="1"/>
  <c r="A474" i="1"/>
  <c r="AI474" i="1"/>
  <c r="AL474" i="1"/>
  <c r="AO474" i="1"/>
  <c r="AR474" i="1"/>
  <c r="AV474" i="1"/>
  <c r="AY474" i="1"/>
  <c r="A475" i="1"/>
  <c r="AI475" i="1"/>
  <c r="AL475" i="1"/>
  <c r="AO475" i="1"/>
  <c r="AR475" i="1"/>
  <c r="AV475" i="1"/>
  <c r="AY475" i="1"/>
  <c r="A476" i="1"/>
  <c r="AI476" i="1"/>
  <c r="AL476" i="1"/>
  <c r="AO476" i="1"/>
  <c r="AR476" i="1"/>
  <c r="AV476" i="1"/>
  <c r="AY476" i="1"/>
  <c r="A477" i="1"/>
  <c r="AI477" i="1"/>
  <c r="AL477" i="1"/>
  <c r="AO477" i="1"/>
  <c r="AR477" i="1"/>
  <c r="AV477" i="1"/>
  <c r="AY477" i="1"/>
  <c r="A478" i="1"/>
  <c r="AI478" i="1"/>
  <c r="AL478" i="1"/>
  <c r="AO478" i="1"/>
  <c r="AR478" i="1"/>
  <c r="AV478" i="1"/>
  <c r="AY478" i="1"/>
  <c r="A479" i="1"/>
  <c r="AI479" i="1"/>
  <c r="AL479" i="1"/>
  <c r="AO479" i="1"/>
  <c r="AR479" i="1"/>
  <c r="AV479" i="1"/>
  <c r="AY479" i="1"/>
  <c r="A480" i="1"/>
  <c r="AI480" i="1"/>
  <c r="AL480" i="1"/>
  <c r="AO480" i="1"/>
  <c r="AR480" i="1"/>
  <c r="AV480" i="1"/>
  <c r="AY480" i="1"/>
  <c r="A481" i="1"/>
  <c r="AI481" i="1"/>
  <c r="AL481" i="1"/>
  <c r="AO481" i="1"/>
  <c r="AR481" i="1"/>
  <c r="AV481" i="1"/>
  <c r="AY481" i="1"/>
  <c r="A482" i="1"/>
  <c r="AI482" i="1"/>
  <c r="AL482" i="1"/>
  <c r="AO482" i="1"/>
  <c r="AR482" i="1"/>
  <c r="AV482" i="1"/>
  <c r="AY482" i="1"/>
  <c r="A483" i="1"/>
  <c r="AI483" i="1"/>
  <c r="AL483" i="1"/>
  <c r="AO483" i="1"/>
  <c r="AR483" i="1"/>
  <c r="AV483" i="1"/>
  <c r="AY483" i="1"/>
  <c r="A484" i="1"/>
  <c r="AI484" i="1"/>
  <c r="AL484" i="1"/>
  <c r="AO484" i="1"/>
  <c r="AR484" i="1"/>
  <c r="AV484" i="1"/>
  <c r="AY484" i="1"/>
  <c r="A485" i="1"/>
  <c r="AI485" i="1"/>
  <c r="AL485" i="1"/>
  <c r="AO485" i="1"/>
  <c r="AR485" i="1"/>
  <c r="AV485" i="1"/>
  <c r="AY485" i="1"/>
  <c r="A486" i="1"/>
  <c r="AI486" i="1"/>
  <c r="AL486" i="1"/>
  <c r="AO486" i="1"/>
  <c r="AR486" i="1"/>
  <c r="AV486" i="1"/>
  <c r="AY486" i="1"/>
  <c r="A487" i="1"/>
  <c r="AI487" i="1"/>
  <c r="AL487" i="1"/>
  <c r="AO487" i="1"/>
  <c r="AR487" i="1"/>
  <c r="AV487" i="1"/>
  <c r="AY487" i="1"/>
  <c r="A488" i="1"/>
  <c r="AI488" i="1"/>
  <c r="AL488" i="1"/>
  <c r="AO488" i="1"/>
  <c r="AR488" i="1"/>
  <c r="AV488" i="1"/>
  <c r="AY488" i="1"/>
  <c r="A489" i="1"/>
  <c r="AI489" i="1"/>
  <c r="AL489" i="1"/>
  <c r="AO489" i="1"/>
  <c r="AR489" i="1"/>
  <c r="AV489" i="1"/>
  <c r="AY489" i="1"/>
  <c r="A490" i="1"/>
  <c r="AI490" i="1"/>
  <c r="AL490" i="1"/>
  <c r="AO490" i="1"/>
  <c r="AR490" i="1"/>
  <c r="AV490" i="1"/>
  <c r="AY490" i="1"/>
  <c r="A491" i="1"/>
  <c r="AI491" i="1"/>
  <c r="AL491" i="1"/>
  <c r="AO491" i="1"/>
  <c r="AR491" i="1"/>
  <c r="AV491" i="1"/>
  <c r="AY491" i="1"/>
  <c r="A492" i="1"/>
  <c r="AI492" i="1"/>
  <c r="AL492" i="1"/>
  <c r="AO492" i="1"/>
  <c r="AR492" i="1"/>
  <c r="AV492" i="1"/>
  <c r="AY492" i="1"/>
  <c r="A493" i="1"/>
  <c r="AI493" i="1"/>
  <c r="AL493" i="1"/>
  <c r="AO493" i="1"/>
  <c r="AR493" i="1"/>
  <c r="AV493" i="1"/>
  <c r="AY493" i="1"/>
  <c r="A494" i="1"/>
  <c r="AI494" i="1"/>
  <c r="AL494" i="1"/>
  <c r="AO494" i="1"/>
  <c r="AR494" i="1"/>
  <c r="AV494" i="1"/>
  <c r="AY494" i="1"/>
  <c r="A495" i="1"/>
  <c r="AI495" i="1"/>
  <c r="AL495" i="1"/>
  <c r="AO495" i="1"/>
  <c r="AR495" i="1"/>
  <c r="AV495" i="1"/>
  <c r="AY495" i="1"/>
  <c r="A496" i="1"/>
  <c r="AI496" i="1"/>
  <c r="AL496" i="1"/>
  <c r="AO496" i="1"/>
  <c r="AR496" i="1"/>
  <c r="AV496" i="1"/>
  <c r="AY496" i="1"/>
  <c r="A497" i="1"/>
  <c r="AI497" i="1"/>
  <c r="AL497" i="1"/>
  <c r="AO497" i="1"/>
  <c r="AR497" i="1"/>
  <c r="AV497" i="1"/>
  <c r="AY497" i="1"/>
  <c r="A498" i="1"/>
  <c r="AI498" i="1"/>
  <c r="AL498" i="1"/>
  <c r="AO498" i="1"/>
  <c r="AR498" i="1"/>
  <c r="AV498" i="1"/>
  <c r="AY498" i="1"/>
  <c r="A499" i="1"/>
  <c r="AI499" i="1"/>
  <c r="AL499" i="1"/>
  <c r="AO499" i="1"/>
  <c r="AR499" i="1"/>
  <c r="AV499" i="1"/>
  <c r="AY499" i="1"/>
  <c r="A500" i="1"/>
  <c r="AI500" i="1"/>
  <c r="AL500" i="1"/>
  <c r="AO500" i="1"/>
  <c r="AR500" i="1"/>
  <c r="AV500" i="1"/>
  <c r="AY500" i="1"/>
  <c r="A501" i="1"/>
  <c r="AI501" i="1"/>
  <c r="AL501" i="1"/>
  <c r="AO501" i="1"/>
  <c r="AR501" i="1"/>
  <c r="AV501" i="1"/>
  <c r="AY501" i="1"/>
  <c r="A502" i="1"/>
  <c r="AI502" i="1"/>
  <c r="AL502" i="1"/>
  <c r="AO502" i="1"/>
  <c r="AR502" i="1"/>
  <c r="AV502" i="1"/>
  <c r="AY502" i="1"/>
  <c r="A503" i="1"/>
  <c r="AI503" i="1"/>
  <c r="AL503" i="1"/>
  <c r="AO503" i="1"/>
  <c r="AR503" i="1"/>
  <c r="AV503" i="1"/>
  <c r="AY503" i="1"/>
  <c r="A504" i="1"/>
  <c r="AI504" i="1"/>
  <c r="AL504" i="1"/>
  <c r="AO504" i="1"/>
  <c r="AR504" i="1"/>
  <c r="AV504" i="1"/>
  <c r="AY504" i="1"/>
  <c r="A505" i="1"/>
  <c r="AI505" i="1"/>
  <c r="AL505" i="1"/>
  <c r="AO505" i="1"/>
  <c r="AR505" i="1"/>
  <c r="AV505" i="1"/>
  <c r="AY505" i="1"/>
  <c r="A506" i="1"/>
  <c r="AI506" i="1"/>
  <c r="AL506" i="1"/>
  <c r="AO506" i="1"/>
  <c r="AR506" i="1"/>
  <c r="AV506" i="1"/>
  <c r="AY506" i="1"/>
  <c r="A507" i="1"/>
  <c r="AI507" i="1"/>
  <c r="AL507" i="1"/>
  <c r="AO507" i="1"/>
  <c r="AR507" i="1"/>
  <c r="AV507" i="1"/>
  <c r="AY507" i="1"/>
  <c r="A508" i="1"/>
  <c r="AI508" i="1"/>
  <c r="AL508" i="1"/>
  <c r="AO508" i="1"/>
  <c r="AR508" i="1"/>
  <c r="AV508" i="1"/>
  <c r="AY508" i="1"/>
  <c r="A509" i="1"/>
  <c r="AI509" i="1"/>
  <c r="AL509" i="1"/>
  <c r="AO509" i="1"/>
  <c r="AR509" i="1"/>
  <c r="AV509" i="1"/>
  <c r="AY509" i="1"/>
  <c r="A510" i="1"/>
  <c r="AI510" i="1"/>
  <c r="AL510" i="1"/>
  <c r="AO510" i="1"/>
  <c r="AR510" i="1"/>
  <c r="AV510" i="1"/>
  <c r="AY510" i="1"/>
  <c r="A511" i="1"/>
  <c r="AI511" i="1"/>
  <c r="AL511" i="1"/>
  <c r="AO511" i="1"/>
  <c r="AR511" i="1"/>
  <c r="AV511" i="1"/>
  <c r="AY511" i="1"/>
  <c r="A528" i="1"/>
  <c r="AI528" i="1"/>
  <c r="AL528" i="1"/>
  <c r="AO528" i="1"/>
  <c r="AR528" i="1"/>
  <c r="AV528" i="1"/>
  <c r="AY528" i="1"/>
  <c r="A529" i="1"/>
  <c r="AI529" i="1"/>
  <c r="AL529" i="1"/>
  <c r="AO529" i="1"/>
  <c r="AR529" i="1"/>
  <c r="AV529" i="1"/>
  <c r="AY529" i="1"/>
  <c r="A530" i="1"/>
  <c r="AI530" i="1"/>
  <c r="AL530" i="1"/>
  <c r="AO530" i="1"/>
  <c r="AR530" i="1"/>
  <c r="AV530" i="1"/>
  <c r="AY530" i="1"/>
  <c r="A531" i="1"/>
  <c r="AI531" i="1"/>
  <c r="AL531" i="1"/>
  <c r="AO531" i="1"/>
  <c r="AR531" i="1"/>
  <c r="AV531" i="1"/>
  <c r="AY531" i="1"/>
  <c r="A532" i="1"/>
  <c r="AI532" i="1"/>
  <c r="AL532" i="1"/>
  <c r="AO532" i="1"/>
  <c r="AR532" i="1"/>
  <c r="AV532" i="1"/>
  <c r="AY532" i="1"/>
  <c r="A533" i="1"/>
  <c r="AI533" i="1"/>
  <c r="AL533" i="1"/>
  <c r="AO533" i="1"/>
  <c r="AR533" i="1"/>
  <c r="AV533" i="1"/>
  <c r="AY533" i="1"/>
  <c r="A534" i="1"/>
  <c r="AI534" i="1"/>
  <c r="AL534" i="1"/>
  <c r="AO534" i="1"/>
  <c r="AR534" i="1"/>
  <c r="AV534" i="1"/>
  <c r="AY534" i="1"/>
  <c r="A559" i="1"/>
  <c r="AI559" i="1"/>
  <c r="AL559" i="1"/>
  <c r="AO559" i="1"/>
  <c r="AR559" i="1"/>
  <c r="AV559" i="1"/>
  <c r="AY559" i="1"/>
  <c r="A560" i="1"/>
  <c r="AI560" i="1"/>
  <c r="AL560" i="1"/>
  <c r="AO560" i="1"/>
  <c r="AR560" i="1"/>
  <c r="AV560" i="1"/>
  <c r="AY560" i="1"/>
  <c r="A561" i="1"/>
  <c r="AI561" i="1"/>
  <c r="AL561" i="1"/>
  <c r="AO561" i="1"/>
  <c r="AR561" i="1"/>
  <c r="AV561" i="1"/>
  <c r="AY561" i="1"/>
  <c r="A562" i="1"/>
  <c r="AI562" i="1"/>
  <c r="AL562" i="1"/>
  <c r="AO562" i="1"/>
  <c r="AR562" i="1"/>
  <c r="AV562" i="1"/>
  <c r="AY562" i="1"/>
  <c r="A563" i="1"/>
  <c r="AI563" i="1"/>
  <c r="AL563" i="1"/>
  <c r="AO563" i="1"/>
  <c r="AR563" i="1"/>
  <c r="AV563" i="1"/>
  <c r="AY563" i="1"/>
  <c r="A564" i="1"/>
  <c r="AI564" i="1"/>
  <c r="AL564" i="1"/>
  <c r="AO564" i="1"/>
  <c r="AR564" i="1"/>
  <c r="AV564" i="1"/>
  <c r="AY564" i="1"/>
  <c r="A565" i="1"/>
  <c r="AI565" i="1"/>
  <c r="AL565" i="1"/>
  <c r="AO565" i="1"/>
  <c r="AR565" i="1"/>
  <c r="AV565" i="1"/>
  <c r="AY565" i="1"/>
  <c r="A566" i="1"/>
  <c r="AI566" i="1"/>
  <c r="AL566" i="1"/>
  <c r="AO566" i="1"/>
  <c r="AR566" i="1"/>
  <c r="AV566" i="1"/>
  <c r="AY566" i="1"/>
  <c r="A567" i="1"/>
  <c r="AI567" i="1"/>
  <c r="AL567" i="1"/>
  <c r="AO567" i="1"/>
  <c r="AR567" i="1"/>
  <c r="AV567" i="1"/>
  <c r="AY567" i="1"/>
  <c r="A568" i="1"/>
  <c r="AI568" i="1"/>
  <c r="AL568" i="1"/>
  <c r="AO568" i="1"/>
  <c r="AR568" i="1"/>
  <c r="AV568" i="1"/>
  <c r="AY568" i="1"/>
  <c r="A569" i="1"/>
  <c r="AI569" i="1"/>
  <c r="AL569" i="1"/>
  <c r="AO569" i="1"/>
  <c r="AR569" i="1"/>
  <c r="AV569" i="1"/>
  <c r="AY569" i="1"/>
  <c r="A570" i="1"/>
  <c r="AI570" i="1"/>
  <c r="AL570" i="1"/>
  <c r="AO570" i="1"/>
  <c r="AR570" i="1"/>
  <c r="AV570" i="1"/>
  <c r="AY570" i="1"/>
  <c r="A571" i="1"/>
  <c r="AI571" i="1"/>
  <c r="AL571" i="1"/>
  <c r="AO571" i="1"/>
  <c r="AR571" i="1"/>
  <c r="AV571" i="1"/>
  <c r="AY571" i="1"/>
  <c r="A572" i="1"/>
  <c r="AI572" i="1"/>
  <c r="AL572" i="1"/>
  <c r="AO572" i="1"/>
  <c r="AR572" i="1"/>
  <c r="AV572" i="1"/>
  <c r="AY572" i="1"/>
  <c r="A573" i="1"/>
  <c r="AI573" i="1"/>
  <c r="AL573" i="1"/>
  <c r="AO573" i="1"/>
  <c r="AR573" i="1"/>
  <c r="AV573" i="1"/>
  <c r="AY573" i="1"/>
  <c r="A574" i="1"/>
  <c r="AI574" i="1"/>
  <c r="AL574" i="1"/>
  <c r="AO574" i="1"/>
  <c r="AR574" i="1"/>
  <c r="AV574" i="1"/>
  <c r="AY574" i="1"/>
  <c r="A575" i="1"/>
  <c r="AI575" i="1"/>
  <c r="AL575" i="1"/>
  <c r="AO575" i="1"/>
  <c r="AR575" i="1"/>
  <c r="AV575" i="1"/>
  <c r="AY575" i="1"/>
  <c r="A576" i="1"/>
  <c r="AI576" i="1"/>
  <c r="AL576" i="1"/>
  <c r="AO576" i="1"/>
  <c r="AR576" i="1"/>
  <c r="AV576" i="1"/>
  <c r="AY576" i="1"/>
  <c r="A577" i="1"/>
  <c r="AI577" i="1"/>
  <c r="AL577" i="1"/>
  <c r="AO577" i="1"/>
  <c r="AR577" i="1"/>
  <c r="AV577" i="1"/>
  <c r="AY577" i="1"/>
  <c r="A578" i="1"/>
  <c r="AI578" i="1"/>
  <c r="AL578" i="1"/>
  <c r="AO578" i="1"/>
  <c r="AR578" i="1"/>
  <c r="AV578" i="1"/>
  <c r="AY578" i="1"/>
  <c r="A579" i="1"/>
  <c r="AI579" i="1"/>
  <c r="AL579" i="1"/>
  <c r="AO579" i="1"/>
  <c r="AR579" i="1"/>
  <c r="AV579" i="1"/>
  <c r="AY579" i="1"/>
  <c r="A580" i="1"/>
  <c r="AI580" i="1"/>
  <c r="AL580" i="1"/>
  <c r="AO580" i="1"/>
  <c r="AR580" i="1"/>
  <c r="AV580" i="1"/>
  <c r="AY580" i="1"/>
  <c r="A581" i="1"/>
  <c r="AI581" i="1"/>
  <c r="AL581" i="1"/>
  <c r="AO581" i="1"/>
  <c r="AR581" i="1"/>
  <c r="AV581" i="1"/>
  <c r="AY581" i="1"/>
  <c r="A582" i="1"/>
  <c r="AI582" i="1"/>
  <c r="AL582" i="1"/>
  <c r="AO582" i="1"/>
  <c r="AR582" i="1"/>
  <c r="AV582" i="1"/>
  <c r="AY582" i="1"/>
  <c r="A583" i="1"/>
  <c r="AI583" i="1"/>
  <c r="AL583" i="1"/>
  <c r="AO583" i="1"/>
  <c r="AR583" i="1"/>
  <c r="AV583" i="1"/>
  <c r="AY583" i="1"/>
  <c r="A584" i="1"/>
  <c r="AI584" i="1"/>
  <c r="AL584" i="1"/>
  <c r="AO584" i="1"/>
  <c r="AR584" i="1"/>
  <c r="AV584" i="1"/>
  <c r="AY584" i="1"/>
  <c r="A585" i="1"/>
  <c r="AI585" i="1"/>
  <c r="AL585" i="1"/>
  <c r="AO585" i="1"/>
  <c r="AR585" i="1"/>
  <c r="AV585" i="1"/>
  <c r="AY585" i="1"/>
  <c r="A586" i="1"/>
  <c r="AI586" i="1"/>
  <c r="AL586" i="1"/>
  <c r="AO586" i="1"/>
  <c r="AR586" i="1"/>
  <c r="AV586" i="1"/>
  <c r="AY586" i="1"/>
  <c r="A587" i="1"/>
  <c r="AI587" i="1"/>
  <c r="AL587" i="1"/>
  <c r="AO587" i="1"/>
  <c r="AR587" i="1"/>
  <c r="AV587" i="1"/>
  <c r="AY587" i="1"/>
  <c r="A588" i="1"/>
  <c r="AI588" i="1"/>
  <c r="AL588" i="1"/>
  <c r="AO588" i="1"/>
  <c r="AR588" i="1"/>
  <c r="AV588" i="1"/>
  <c r="AY588" i="1"/>
  <c r="A589" i="1"/>
  <c r="AI589" i="1"/>
  <c r="AL589" i="1"/>
  <c r="AO589" i="1"/>
  <c r="AR589" i="1"/>
  <c r="AV589" i="1"/>
  <c r="AY589" i="1"/>
  <c r="A590" i="1"/>
  <c r="AI590" i="1"/>
  <c r="AL590" i="1"/>
  <c r="AO590" i="1"/>
  <c r="AR590" i="1"/>
  <c r="AV590" i="1"/>
  <c r="AY590" i="1"/>
  <c r="A591" i="1"/>
  <c r="AI591" i="1"/>
  <c r="AL591" i="1"/>
  <c r="AO591" i="1"/>
  <c r="AR591" i="1"/>
  <c r="AV591" i="1"/>
  <c r="AY591" i="1"/>
  <c r="A592" i="1"/>
  <c r="AI592" i="1"/>
  <c r="AL592" i="1"/>
  <c r="AO592" i="1"/>
  <c r="AR592" i="1"/>
  <c r="AV592" i="1"/>
  <c r="AY592" i="1"/>
  <c r="A593" i="1"/>
  <c r="AI593" i="1"/>
  <c r="AL593" i="1"/>
  <c r="AO593" i="1"/>
  <c r="AR593" i="1"/>
  <c r="AV593" i="1"/>
  <c r="AY593" i="1"/>
  <c r="A594" i="1"/>
  <c r="AI594" i="1"/>
  <c r="AL594" i="1"/>
  <c r="AO594" i="1"/>
  <c r="AR594" i="1"/>
  <c r="AV594" i="1"/>
  <c r="AY594" i="1"/>
  <c r="A595" i="1"/>
  <c r="AI595" i="1"/>
  <c r="AL595" i="1"/>
  <c r="AO595" i="1"/>
  <c r="AR595" i="1"/>
  <c r="AV595" i="1"/>
  <c r="AY595" i="1"/>
  <c r="A596" i="1"/>
  <c r="AI596" i="1"/>
  <c r="AL596" i="1"/>
  <c r="AO596" i="1"/>
  <c r="AR596" i="1"/>
  <c r="AV596" i="1"/>
  <c r="AY596" i="1"/>
  <c r="A597" i="1"/>
  <c r="AI597" i="1"/>
  <c r="AL597" i="1"/>
  <c r="AO597" i="1"/>
  <c r="AR597" i="1"/>
  <c r="AV597" i="1"/>
  <c r="AY597" i="1"/>
  <c r="A598" i="1"/>
  <c r="AI598" i="1"/>
  <c r="AL598" i="1"/>
  <c r="AO598" i="1"/>
  <c r="AR598" i="1"/>
  <c r="AV598" i="1"/>
  <c r="AY598" i="1"/>
  <c r="A599" i="1"/>
  <c r="AI599" i="1"/>
  <c r="AL599" i="1"/>
  <c r="AO599" i="1"/>
  <c r="AR599" i="1"/>
  <c r="AV599" i="1"/>
  <c r="AY599" i="1"/>
  <c r="A600" i="1"/>
  <c r="AI600" i="1"/>
  <c r="AL600" i="1"/>
  <c r="AO600" i="1"/>
  <c r="AR600" i="1"/>
  <c r="AV600" i="1"/>
  <c r="AY600" i="1"/>
  <c r="A601" i="1"/>
  <c r="AI601" i="1"/>
  <c r="AL601" i="1"/>
  <c r="AO601" i="1"/>
  <c r="AR601" i="1"/>
  <c r="AV601" i="1"/>
  <c r="AY601" i="1"/>
  <c r="A602" i="1"/>
  <c r="AI602" i="1"/>
  <c r="AL602" i="1"/>
  <c r="AO602" i="1"/>
  <c r="AR602" i="1"/>
  <c r="AV602" i="1"/>
  <c r="AY602" i="1"/>
  <c r="A603" i="1"/>
  <c r="AI603" i="1"/>
  <c r="AL603" i="1"/>
  <c r="AO603" i="1"/>
  <c r="AR603" i="1"/>
  <c r="AV603" i="1"/>
  <c r="AY603" i="1"/>
  <c r="A604" i="1"/>
  <c r="AI604" i="1"/>
  <c r="AL604" i="1"/>
  <c r="AO604" i="1"/>
  <c r="AR604" i="1"/>
  <c r="AV604" i="1"/>
  <c r="AY604" i="1"/>
  <c r="A605" i="1"/>
  <c r="AI605" i="1"/>
  <c r="AL605" i="1"/>
  <c r="AO605" i="1"/>
  <c r="AR605" i="1"/>
  <c r="AV605" i="1"/>
  <c r="AY605" i="1"/>
  <c r="A606" i="1"/>
  <c r="AI606" i="1"/>
  <c r="AL606" i="1"/>
  <c r="AO606" i="1"/>
  <c r="AR606" i="1"/>
  <c r="AV606" i="1"/>
  <c r="AY606" i="1"/>
  <c r="A607" i="1"/>
  <c r="AI607" i="1"/>
  <c r="AL607" i="1"/>
  <c r="AO607" i="1"/>
  <c r="AR607" i="1"/>
  <c r="AV607" i="1"/>
  <c r="AY607" i="1"/>
  <c r="A608" i="1"/>
  <c r="AI608" i="1"/>
  <c r="AL608" i="1"/>
  <c r="AO608" i="1"/>
  <c r="AR608" i="1"/>
  <c r="AV608" i="1"/>
  <c r="AY608" i="1"/>
  <c r="A609" i="1"/>
  <c r="AI609" i="1"/>
  <c r="AL609" i="1"/>
  <c r="AO609" i="1"/>
  <c r="AR609" i="1"/>
  <c r="AV609" i="1"/>
  <c r="AY609" i="1"/>
  <c r="A610" i="1"/>
  <c r="AI610" i="1"/>
  <c r="AL610" i="1"/>
  <c r="AO610" i="1"/>
  <c r="AR610" i="1"/>
  <c r="AV610" i="1"/>
  <c r="AY610" i="1"/>
  <c r="A611" i="1"/>
  <c r="AI611" i="1"/>
  <c r="AL611" i="1"/>
  <c r="AO611" i="1"/>
  <c r="AR611" i="1"/>
  <c r="AV611" i="1"/>
  <c r="AY611" i="1"/>
  <c r="A612" i="1"/>
  <c r="AI612" i="1"/>
  <c r="AL612" i="1"/>
  <c r="AO612" i="1"/>
  <c r="AR612" i="1"/>
  <c r="AV612" i="1"/>
  <c r="AY612" i="1"/>
  <c r="A613" i="1"/>
  <c r="AI613" i="1"/>
  <c r="AL613" i="1"/>
  <c r="AO613" i="1"/>
  <c r="AR613" i="1"/>
  <c r="AV613" i="1"/>
  <c r="AY613" i="1"/>
  <c r="A614" i="1"/>
  <c r="AI614" i="1"/>
  <c r="AL614" i="1"/>
  <c r="AO614" i="1"/>
  <c r="AR614" i="1"/>
  <c r="AV614" i="1"/>
  <c r="AY614" i="1"/>
  <c r="A615" i="1"/>
  <c r="AI615" i="1"/>
  <c r="AL615" i="1"/>
  <c r="AO615" i="1"/>
  <c r="AR615" i="1"/>
  <c r="AV615" i="1"/>
  <c r="AY615" i="1"/>
  <c r="A616" i="1"/>
  <c r="AI616" i="1"/>
  <c r="AL616" i="1"/>
  <c r="AO616" i="1"/>
  <c r="AR616" i="1"/>
  <c r="AV616" i="1"/>
  <c r="AY616" i="1"/>
  <c r="A617" i="1"/>
  <c r="AI617" i="1"/>
  <c r="AL617" i="1"/>
  <c r="AO617" i="1"/>
  <c r="AR617" i="1"/>
  <c r="AV617" i="1"/>
  <c r="AY617" i="1"/>
  <c r="A618" i="1"/>
  <c r="AI618" i="1"/>
  <c r="AL618" i="1"/>
  <c r="AO618" i="1"/>
  <c r="AR618" i="1"/>
  <c r="AV618" i="1"/>
  <c r="AY618" i="1"/>
  <c r="A619" i="1"/>
  <c r="AI619" i="1"/>
  <c r="AL619" i="1"/>
  <c r="AO619" i="1"/>
  <c r="AR619" i="1"/>
  <c r="AV619" i="1"/>
  <c r="AY619" i="1"/>
  <c r="A620" i="1"/>
  <c r="AI620" i="1"/>
  <c r="AL620" i="1"/>
  <c r="AO620" i="1"/>
  <c r="AR620" i="1"/>
  <c r="AV620" i="1"/>
  <c r="AY620" i="1"/>
  <c r="A621" i="1"/>
  <c r="AI621" i="1"/>
  <c r="AL621" i="1"/>
  <c r="AO621" i="1"/>
  <c r="AR621" i="1"/>
  <c r="AV621" i="1"/>
  <c r="AY621" i="1"/>
  <c r="A622" i="1"/>
  <c r="AI622" i="1"/>
  <c r="AL622" i="1"/>
  <c r="AO622" i="1"/>
  <c r="AR622" i="1"/>
  <c r="AV622" i="1"/>
  <c r="AY622" i="1"/>
  <c r="A623" i="1"/>
  <c r="AI623" i="1"/>
  <c r="AL623" i="1"/>
  <c r="AO623" i="1"/>
  <c r="AR623" i="1"/>
  <c r="AV623" i="1"/>
  <c r="AY623" i="1"/>
  <c r="A624" i="1"/>
  <c r="AI624" i="1"/>
  <c r="AL624" i="1"/>
  <c r="AO624" i="1"/>
  <c r="AR624" i="1"/>
  <c r="AV624" i="1"/>
  <c r="AY624" i="1"/>
  <c r="A625" i="1"/>
  <c r="AI625" i="1"/>
  <c r="AL625" i="1"/>
  <c r="AO625" i="1"/>
  <c r="AR625" i="1"/>
  <c r="AV625" i="1"/>
  <c r="AY625" i="1"/>
  <c r="A626" i="1"/>
  <c r="AI626" i="1"/>
  <c r="AL626" i="1"/>
  <c r="AO626" i="1"/>
  <c r="AR626" i="1"/>
  <c r="AV626" i="1"/>
  <c r="AY626" i="1"/>
  <c r="A627" i="1"/>
  <c r="AI627" i="1"/>
  <c r="AL627" i="1"/>
  <c r="AO627" i="1"/>
  <c r="AR627" i="1"/>
  <c r="AV627" i="1"/>
  <c r="AY627" i="1"/>
  <c r="A628" i="1"/>
  <c r="AI628" i="1"/>
  <c r="AL628" i="1"/>
  <c r="AO628" i="1"/>
  <c r="AR628" i="1"/>
  <c r="AV628" i="1"/>
  <c r="AY628" i="1"/>
  <c r="A629" i="1"/>
  <c r="AI629" i="1"/>
  <c r="AL629" i="1"/>
  <c r="AO629" i="1"/>
  <c r="AR629" i="1"/>
  <c r="AV629" i="1"/>
  <c r="AY629" i="1"/>
  <c r="A630" i="1"/>
  <c r="AI630" i="1"/>
  <c r="AL630" i="1"/>
  <c r="AO630" i="1"/>
  <c r="AR630" i="1"/>
  <c r="AV630" i="1"/>
  <c r="AY630" i="1"/>
  <c r="A631" i="1"/>
  <c r="AI631" i="1"/>
  <c r="AL631" i="1"/>
  <c r="AO631" i="1"/>
  <c r="AR631" i="1"/>
  <c r="AV631" i="1"/>
  <c r="AY631" i="1"/>
  <c r="A632" i="1"/>
  <c r="AI632" i="1"/>
  <c r="AL632" i="1"/>
  <c r="AO632" i="1"/>
  <c r="AR632" i="1"/>
  <c r="AV632" i="1"/>
  <c r="AY632" i="1"/>
  <c r="A633" i="1"/>
  <c r="AI633" i="1"/>
  <c r="AL633" i="1"/>
  <c r="AO633" i="1"/>
  <c r="AR633" i="1"/>
  <c r="AV633" i="1"/>
  <c r="AY633" i="1"/>
  <c r="A634" i="1"/>
  <c r="AI634" i="1"/>
  <c r="AL634" i="1"/>
  <c r="AO634" i="1"/>
  <c r="AR634" i="1"/>
  <c r="AV634" i="1"/>
  <c r="AY634" i="1"/>
  <c r="A635" i="1"/>
  <c r="AI635" i="1"/>
  <c r="AL635" i="1"/>
  <c r="AO635" i="1"/>
  <c r="AR635" i="1"/>
  <c r="AV635" i="1"/>
  <c r="AY635" i="1"/>
  <c r="A636" i="1"/>
  <c r="AI636" i="1"/>
  <c r="AL636" i="1"/>
  <c r="AO636" i="1"/>
  <c r="AR636" i="1"/>
  <c r="AV636" i="1"/>
  <c r="AY636" i="1"/>
  <c r="A637" i="1"/>
  <c r="AI637" i="1"/>
  <c r="AL637" i="1"/>
  <c r="AO637" i="1"/>
  <c r="AR637" i="1"/>
  <c r="AV637" i="1"/>
  <c r="AY637" i="1"/>
  <c r="A638" i="1"/>
  <c r="AI638" i="1"/>
  <c r="AL638" i="1"/>
  <c r="AO638" i="1"/>
  <c r="AR638" i="1"/>
  <c r="AV638" i="1"/>
  <c r="AY638" i="1"/>
  <c r="A639" i="1"/>
  <c r="AI639" i="1"/>
  <c r="AL639" i="1"/>
  <c r="AO639" i="1"/>
  <c r="AR639" i="1"/>
  <c r="AV639" i="1"/>
  <c r="AY639" i="1"/>
  <c r="A640" i="1"/>
  <c r="AI640" i="1"/>
  <c r="AL640" i="1"/>
  <c r="AO640" i="1"/>
  <c r="AR640" i="1"/>
  <c r="AV640" i="1"/>
  <c r="AY640" i="1"/>
  <c r="A641" i="1"/>
  <c r="AI641" i="1"/>
  <c r="AL641" i="1"/>
  <c r="AO641" i="1"/>
  <c r="AR641" i="1"/>
  <c r="AV641" i="1"/>
  <c r="AY641" i="1"/>
  <c r="A642" i="1"/>
  <c r="AI642" i="1"/>
  <c r="AL642" i="1"/>
  <c r="AO642" i="1"/>
  <c r="AR642" i="1"/>
  <c r="AV642" i="1"/>
  <c r="AY642" i="1"/>
  <c r="A643" i="1"/>
  <c r="AI643" i="1"/>
  <c r="AL643" i="1"/>
  <c r="AO643" i="1"/>
  <c r="AR643" i="1"/>
  <c r="AV643" i="1"/>
  <c r="AY643" i="1"/>
  <c r="A644" i="1"/>
  <c r="AI644" i="1"/>
  <c r="AL644" i="1"/>
  <c r="AO644" i="1"/>
  <c r="AR644" i="1"/>
  <c r="AV644" i="1"/>
  <c r="AY644" i="1"/>
  <c r="A645" i="1"/>
  <c r="AI645" i="1"/>
  <c r="AL645" i="1"/>
  <c r="AO645" i="1"/>
  <c r="AR645" i="1"/>
  <c r="AV645" i="1"/>
  <c r="AY645" i="1"/>
  <c r="A646" i="1"/>
  <c r="AI646" i="1"/>
  <c r="AL646" i="1"/>
  <c r="AO646" i="1"/>
  <c r="AR646" i="1"/>
  <c r="AV646" i="1"/>
  <c r="AY646" i="1"/>
  <c r="A647" i="1"/>
  <c r="AI647" i="1"/>
  <c r="AL647" i="1"/>
  <c r="AO647" i="1"/>
  <c r="AR647" i="1"/>
  <c r="AV647" i="1"/>
  <c r="AY647" i="1"/>
  <c r="A648" i="1"/>
  <c r="AI648" i="1"/>
  <c r="AL648" i="1"/>
  <c r="AO648" i="1"/>
  <c r="AR648" i="1"/>
  <c r="AV648" i="1"/>
  <c r="AY648" i="1"/>
  <c r="A649" i="1"/>
  <c r="AI649" i="1"/>
  <c r="AL649" i="1"/>
  <c r="AO649" i="1"/>
  <c r="AR649" i="1"/>
  <c r="AV649" i="1"/>
  <c r="AY649" i="1"/>
  <c r="A650" i="1"/>
  <c r="AI650" i="1"/>
  <c r="AL650" i="1"/>
  <c r="AO650" i="1"/>
  <c r="AR650" i="1"/>
  <c r="AV650" i="1"/>
  <c r="AY650" i="1"/>
  <c r="A651" i="1"/>
  <c r="AI651" i="1"/>
  <c r="AL651" i="1"/>
  <c r="AO651" i="1"/>
  <c r="AR651" i="1"/>
  <c r="AV651" i="1"/>
  <c r="AY651" i="1"/>
  <c r="A652" i="1"/>
  <c r="AI652" i="1"/>
  <c r="AL652" i="1"/>
  <c r="AO652" i="1"/>
  <c r="AR652" i="1"/>
  <c r="AV652" i="1"/>
  <c r="AY652" i="1"/>
  <c r="A653" i="1"/>
  <c r="AI653" i="1"/>
  <c r="AL653" i="1"/>
  <c r="AO653" i="1"/>
  <c r="AR653" i="1"/>
  <c r="AV653" i="1"/>
  <c r="AY653" i="1"/>
  <c r="A654" i="1"/>
  <c r="AI654" i="1"/>
  <c r="AL654" i="1"/>
  <c r="AO654" i="1"/>
  <c r="AR654" i="1"/>
  <c r="AV654" i="1"/>
  <c r="AY654" i="1"/>
  <c r="A655" i="1"/>
  <c r="AI655" i="1"/>
  <c r="AL655" i="1"/>
  <c r="AO655" i="1"/>
  <c r="AR655" i="1"/>
  <c r="AV655" i="1"/>
  <c r="AY655" i="1"/>
  <c r="A656" i="1"/>
  <c r="AI656" i="1"/>
  <c r="AL656" i="1"/>
  <c r="AO656" i="1"/>
  <c r="AR656" i="1"/>
  <c r="AV656" i="1"/>
  <c r="AY656" i="1"/>
  <c r="A657" i="1"/>
  <c r="AI657" i="1"/>
  <c r="AL657" i="1"/>
  <c r="AO657" i="1"/>
  <c r="AR657" i="1"/>
  <c r="AV657" i="1"/>
  <c r="AY657" i="1"/>
  <c r="A658" i="1"/>
  <c r="AI658" i="1"/>
  <c r="AL658" i="1"/>
  <c r="AO658" i="1"/>
  <c r="AR658" i="1"/>
  <c r="AV658" i="1"/>
  <c r="AY658" i="1"/>
  <c r="A659" i="1"/>
  <c r="AI659" i="1"/>
  <c r="AL659" i="1"/>
  <c r="AO659" i="1"/>
  <c r="AR659" i="1"/>
  <c r="AV659" i="1"/>
  <c r="AY659" i="1"/>
  <c r="A660" i="1"/>
  <c r="AI660" i="1"/>
  <c r="AL660" i="1"/>
  <c r="AO660" i="1"/>
  <c r="AR660" i="1"/>
  <c r="AV660" i="1"/>
  <c r="AY660" i="1"/>
  <c r="A661" i="1"/>
  <c r="AI661" i="1"/>
  <c r="AL661" i="1"/>
  <c r="AO661" i="1"/>
  <c r="AR661" i="1"/>
  <c r="AV661" i="1"/>
  <c r="AY661" i="1"/>
  <c r="A662" i="1"/>
  <c r="AI662" i="1"/>
  <c r="AL662" i="1"/>
  <c r="AO662" i="1"/>
  <c r="AR662" i="1"/>
  <c r="AV662" i="1"/>
  <c r="AY662" i="1"/>
  <c r="A663" i="1"/>
  <c r="AI663" i="1"/>
  <c r="AL663" i="1"/>
  <c r="AO663" i="1"/>
  <c r="AR663" i="1"/>
  <c r="AV663" i="1"/>
  <c r="AY663" i="1"/>
  <c r="A664" i="1"/>
  <c r="AI664" i="1"/>
  <c r="AL664" i="1"/>
  <c r="AO664" i="1"/>
  <c r="AR664" i="1"/>
  <c r="AV664" i="1"/>
  <c r="AY664" i="1"/>
  <c r="A665" i="1"/>
  <c r="AI665" i="1"/>
  <c r="AL665" i="1"/>
  <c r="AO665" i="1"/>
  <c r="AR665" i="1"/>
  <c r="AV665" i="1"/>
  <c r="AY665" i="1"/>
  <c r="A666" i="1"/>
  <c r="AI666" i="1"/>
  <c r="AL666" i="1"/>
  <c r="AO666" i="1"/>
  <c r="AR666" i="1"/>
  <c r="AV666" i="1"/>
  <c r="AY666" i="1"/>
  <c r="A667" i="1"/>
  <c r="AI667" i="1"/>
  <c r="AL667" i="1"/>
  <c r="AO667" i="1"/>
  <c r="AR667" i="1"/>
  <c r="AV667" i="1"/>
  <c r="AY667" i="1"/>
  <c r="A668" i="1"/>
  <c r="AI668" i="1"/>
  <c r="AL668" i="1"/>
  <c r="AO668" i="1"/>
  <c r="AR668" i="1"/>
  <c r="AV668" i="1"/>
  <c r="AY668" i="1"/>
  <c r="A669" i="1"/>
  <c r="AI669" i="1"/>
  <c r="AL669" i="1"/>
  <c r="AO669" i="1"/>
  <c r="AR669" i="1"/>
  <c r="AV669" i="1"/>
  <c r="AY669" i="1"/>
  <c r="A670" i="1"/>
  <c r="AI670" i="1"/>
  <c r="AL670" i="1"/>
  <c r="AO670" i="1"/>
  <c r="AR670" i="1"/>
  <c r="AV670" i="1"/>
  <c r="AY670" i="1"/>
  <c r="A671" i="1"/>
  <c r="AI671" i="1"/>
  <c r="AL671" i="1"/>
  <c r="AO671" i="1"/>
  <c r="AR671" i="1"/>
  <c r="AV671" i="1"/>
  <c r="AY671" i="1"/>
  <c r="A672" i="1"/>
  <c r="AI672" i="1"/>
  <c r="AL672" i="1"/>
  <c r="AO672" i="1"/>
  <c r="AR672" i="1"/>
  <c r="AV672" i="1"/>
  <c r="AY672" i="1"/>
  <c r="A673" i="1"/>
  <c r="AI673" i="1"/>
  <c r="AL673" i="1"/>
  <c r="AO673" i="1"/>
  <c r="AR673" i="1"/>
  <c r="AV673" i="1"/>
  <c r="AY673" i="1"/>
  <c r="A674" i="1"/>
  <c r="AI674" i="1"/>
  <c r="AL674" i="1"/>
  <c r="AO674" i="1"/>
  <c r="AR674" i="1"/>
  <c r="AV674" i="1"/>
  <c r="AY674" i="1"/>
  <c r="A675" i="1"/>
  <c r="AI675" i="1"/>
  <c r="AL675" i="1"/>
  <c r="AO675" i="1"/>
  <c r="AR675" i="1"/>
  <c r="AV675" i="1"/>
  <c r="AY675" i="1"/>
  <c r="A676" i="1"/>
  <c r="AI676" i="1"/>
  <c r="AL676" i="1"/>
  <c r="AO676" i="1"/>
  <c r="AR676" i="1"/>
  <c r="AV676" i="1"/>
  <c r="AY676" i="1"/>
  <c r="A677" i="1"/>
  <c r="AI677" i="1"/>
  <c r="AL677" i="1"/>
  <c r="AO677" i="1"/>
  <c r="AR677" i="1"/>
  <c r="AV677" i="1"/>
  <c r="AY677" i="1"/>
  <c r="A678" i="1"/>
  <c r="AI678" i="1"/>
  <c r="AL678" i="1"/>
  <c r="AO678" i="1"/>
  <c r="AR678" i="1"/>
  <c r="AV678" i="1"/>
  <c r="AY678" i="1"/>
  <c r="A679" i="1"/>
  <c r="AI679" i="1"/>
  <c r="AL679" i="1"/>
  <c r="AO679" i="1"/>
  <c r="AR679" i="1"/>
  <c r="AV679" i="1"/>
  <c r="AY679" i="1"/>
  <c r="A680" i="1"/>
  <c r="AI680" i="1"/>
  <c r="AL680" i="1"/>
  <c r="AO680" i="1"/>
  <c r="AR680" i="1"/>
  <c r="AV680" i="1"/>
  <c r="AY680" i="1"/>
  <c r="A681" i="1"/>
  <c r="AI681" i="1"/>
  <c r="AL681" i="1"/>
  <c r="AO681" i="1"/>
  <c r="AR681" i="1"/>
  <c r="AV681" i="1"/>
  <c r="AY681" i="1"/>
  <c r="A682" i="1"/>
  <c r="AI682" i="1"/>
  <c r="AL682" i="1"/>
  <c r="AO682" i="1"/>
  <c r="AR682" i="1"/>
  <c r="AV682" i="1"/>
  <c r="AY682" i="1"/>
  <c r="A683" i="1"/>
  <c r="C683" i="1"/>
  <c r="AI683" i="1"/>
  <c r="AL683" i="1"/>
  <c r="AO683" i="1"/>
  <c r="AR683" i="1"/>
  <c r="AV683" i="1"/>
  <c r="AY683" i="1"/>
  <c r="A684" i="1"/>
  <c r="C684" i="1"/>
  <c r="AI684" i="1"/>
  <c r="AL684" i="1"/>
  <c r="AO684" i="1"/>
  <c r="AR684" i="1"/>
  <c r="AV684" i="1"/>
  <c r="AY684" i="1"/>
  <c r="A685" i="1"/>
  <c r="C685" i="1"/>
  <c r="AI685" i="1"/>
  <c r="AL685" i="1"/>
  <c r="AO685" i="1"/>
  <c r="AR685" i="1"/>
  <c r="AV685" i="1"/>
  <c r="AY685" i="1"/>
  <c r="A686" i="1"/>
  <c r="C686" i="1"/>
  <c r="AI686" i="1"/>
  <c r="AL686" i="1"/>
  <c r="AO686" i="1"/>
  <c r="AR686" i="1"/>
  <c r="AV686" i="1"/>
  <c r="AY686" i="1"/>
  <c r="A687" i="1"/>
  <c r="C687" i="1"/>
  <c r="AI687" i="1"/>
  <c r="AL687" i="1"/>
  <c r="AO687" i="1"/>
  <c r="AR687" i="1"/>
  <c r="AV687" i="1"/>
  <c r="AY687" i="1"/>
  <c r="A688" i="1"/>
  <c r="C688" i="1"/>
  <c r="AI688" i="1"/>
  <c r="AL688" i="1"/>
  <c r="AO688" i="1"/>
  <c r="AR688" i="1"/>
  <c r="AV688" i="1"/>
  <c r="AY688" i="1"/>
  <c r="A689" i="1"/>
  <c r="C689" i="1"/>
  <c r="AI689" i="1"/>
  <c r="AL689" i="1"/>
  <c r="AO689" i="1"/>
  <c r="AR689" i="1"/>
  <c r="AV689" i="1"/>
  <c r="AY689" i="1"/>
  <c r="A690" i="1"/>
  <c r="C690" i="1"/>
  <c r="AI690" i="1"/>
  <c r="AL690" i="1"/>
  <c r="AO690" i="1"/>
  <c r="AR690" i="1"/>
  <c r="AV690" i="1"/>
  <c r="AY690" i="1"/>
  <c r="A691" i="1"/>
  <c r="C691" i="1"/>
  <c r="AI691" i="1"/>
  <c r="AL691" i="1"/>
  <c r="AO691" i="1"/>
  <c r="AR691" i="1"/>
  <c r="AV691" i="1"/>
  <c r="AY691" i="1"/>
  <c r="A692" i="1"/>
  <c r="C692" i="1"/>
  <c r="AI692" i="1"/>
  <c r="AL692" i="1"/>
  <c r="AO692" i="1"/>
  <c r="AR692" i="1"/>
  <c r="AV692" i="1"/>
  <c r="AY692" i="1"/>
  <c r="A693" i="1"/>
  <c r="C693" i="1"/>
  <c r="AI693" i="1"/>
  <c r="AL693" i="1"/>
  <c r="AO693" i="1"/>
  <c r="AR693" i="1"/>
  <c r="AV693" i="1"/>
  <c r="AY693" i="1"/>
  <c r="A694" i="1"/>
  <c r="C694" i="1"/>
  <c r="AI694" i="1"/>
  <c r="AL694" i="1"/>
  <c r="AO694" i="1"/>
  <c r="AR694" i="1"/>
  <c r="AV694" i="1"/>
  <c r="AY694" i="1"/>
  <c r="A695" i="1"/>
  <c r="C695" i="1"/>
  <c r="AI695" i="1"/>
  <c r="AL695" i="1"/>
  <c r="AO695" i="1"/>
  <c r="AR695" i="1"/>
  <c r="AV695" i="1"/>
  <c r="AY695" i="1"/>
  <c r="A696" i="1"/>
  <c r="C696" i="1"/>
  <c r="AI696" i="1"/>
  <c r="AL696" i="1"/>
  <c r="AO696" i="1"/>
  <c r="AR696" i="1"/>
  <c r="AV696" i="1"/>
  <c r="AY696" i="1"/>
  <c r="A697" i="1"/>
  <c r="C697" i="1"/>
  <c r="AI697" i="1"/>
  <c r="AL697" i="1"/>
  <c r="AO697" i="1"/>
  <c r="AR697" i="1"/>
  <c r="AV697" i="1"/>
  <c r="AY697" i="1"/>
  <c r="A698" i="1"/>
  <c r="C698" i="1"/>
  <c r="AI698" i="1"/>
  <c r="AL698" i="1"/>
  <c r="AO698" i="1"/>
  <c r="AR698" i="1"/>
  <c r="AV698" i="1"/>
  <c r="AY698" i="1"/>
  <c r="A699" i="1"/>
  <c r="C699" i="1"/>
  <c r="AI699" i="1"/>
  <c r="AL699" i="1"/>
  <c r="AO699" i="1"/>
  <c r="AR699" i="1"/>
  <c r="AV699" i="1"/>
  <c r="AY699" i="1"/>
  <c r="A700" i="1"/>
  <c r="C700" i="1"/>
  <c r="AI700" i="1"/>
  <c r="AL700" i="1"/>
  <c r="AO700" i="1"/>
  <c r="AR700" i="1"/>
  <c r="AV700" i="1"/>
  <c r="AY700" i="1"/>
  <c r="A701" i="1"/>
  <c r="C701" i="1"/>
  <c r="AI701" i="1"/>
  <c r="AL701" i="1"/>
  <c r="AO701" i="1"/>
  <c r="AR701" i="1"/>
  <c r="AV701" i="1"/>
  <c r="AY701" i="1"/>
  <c r="A702" i="1"/>
  <c r="C702" i="1"/>
  <c r="AI702" i="1"/>
  <c r="AL702" i="1"/>
  <c r="AO702" i="1"/>
  <c r="AR702" i="1"/>
  <c r="AV702" i="1"/>
  <c r="AY702" i="1"/>
  <c r="A703" i="1"/>
  <c r="C703" i="1"/>
  <c r="AI703" i="1"/>
  <c r="AL703" i="1"/>
  <c r="AO703" i="1"/>
  <c r="AR703" i="1"/>
  <c r="AV703" i="1"/>
  <c r="AY703" i="1"/>
  <c r="A704" i="1"/>
  <c r="C704" i="1"/>
  <c r="AI704" i="1"/>
  <c r="AL704" i="1"/>
  <c r="AO704" i="1"/>
  <c r="AR704" i="1"/>
  <c r="AV704" i="1"/>
  <c r="AY704" i="1"/>
  <c r="A705" i="1"/>
  <c r="C705" i="1"/>
  <c r="AI705" i="1"/>
  <c r="AL705" i="1"/>
  <c r="AO705" i="1"/>
  <c r="AR705" i="1"/>
  <c r="AV705" i="1"/>
  <c r="AY705" i="1"/>
  <c r="A706" i="1"/>
  <c r="C706" i="1"/>
  <c r="AI706" i="1"/>
  <c r="AL706" i="1"/>
  <c r="AO706" i="1"/>
  <c r="AR706" i="1"/>
  <c r="AV706" i="1"/>
  <c r="AY706" i="1"/>
  <c r="A707" i="1"/>
  <c r="C707" i="1"/>
  <c r="AI707" i="1"/>
  <c r="AL707" i="1"/>
  <c r="AO707" i="1"/>
  <c r="AR707" i="1"/>
  <c r="AV707" i="1"/>
  <c r="AY707" i="1"/>
  <c r="A708" i="1"/>
  <c r="C708" i="1"/>
  <c r="AI708" i="1"/>
  <c r="AL708" i="1"/>
  <c r="AO708" i="1"/>
  <c r="AR708" i="1"/>
  <c r="AV708" i="1"/>
  <c r="AY708" i="1"/>
  <c r="A709" i="1"/>
  <c r="C709" i="1"/>
  <c r="AI709" i="1"/>
  <c r="AL709" i="1"/>
  <c r="AO709" i="1"/>
  <c r="AR709" i="1"/>
  <c r="AV709" i="1"/>
  <c r="AY709" i="1"/>
  <c r="A710" i="1"/>
  <c r="C710" i="1"/>
  <c r="AI710" i="1"/>
  <c r="AL710" i="1"/>
  <c r="AO710" i="1"/>
  <c r="AR710" i="1"/>
  <c r="AV710" i="1"/>
  <c r="AY710" i="1"/>
  <c r="A711" i="1"/>
  <c r="C711" i="1"/>
  <c r="AI711" i="1"/>
  <c r="AL711" i="1"/>
  <c r="AO711" i="1"/>
  <c r="AR711" i="1"/>
  <c r="AV711" i="1"/>
  <c r="AY711" i="1"/>
  <c r="A712" i="1"/>
  <c r="C712" i="1"/>
  <c r="AI712" i="1"/>
  <c r="AL712" i="1"/>
  <c r="AO712" i="1"/>
  <c r="AR712" i="1"/>
  <c r="AV712" i="1"/>
  <c r="AY712" i="1"/>
  <c r="A713" i="1"/>
  <c r="C713" i="1"/>
  <c r="AI713" i="1"/>
  <c r="AL713" i="1"/>
  <c r="AO713" i="1"/>
  <c r="AR713" i="1"/>
  <c r="AV713" i="1"/>
  <c r="AY713" i="1"/>
  <c r="A714" i="1"/>
  <c r="C714" i="1"/>
  <c r="AI714" i="1"/>
  <c r="AL714" i="1"/>
  <c r="AO714" i="1"/>
  <c r="AR714" i="1"/>
  <c r="AV714" i="1"/>
  <c r="AY714" i="1"/>
  <c r="A715" i="1"/>
  <c r="C715" i="1"/>
  <c r="AI715" i="1"/>
  <c r="AL715" i="1"/>
  <c r="AO715" i="1"/>
  <c r="AR715" i="1"/>
  <c r="AV715" i="1"/>
  <c r="AY715" i="1"/>
  <c r="A716" i="1"/>
  <c r="C716" i="1"/>
  <c r="AI716" i="1"/>
  <c r="AL716" i="1"/>
  <c r="AO716" i="1"/>
  <c r="AR716" i="1"/>
  <c r="AV716" i="1"/>
  <c r="AY716" i="1"/>
  <c r="A717" i="1"/>
  <c r="C717" i="1"/>
  <c r="AI717" i="1"/>
  <c r="AL717" i="1"/>
  <c r="AO717" i="1"/>
  <c r="AR717" i="1"/>
  <c r="AV717" i="1"/>
  <c r="AY717" i="1"/>
  <c r="A718" i="1"/>
  <c r="C718" i="1"/>
  <c r="AI718" i="1"/>
  <c r="AL718" i="1"/>
  <c r="AO718" i="1"/>
  <c r="AR718" i="1"/>
  <c r="AV718" i="1"/>
  <c r="AY718" i="1"/>
  <c r="A719" i="1"/>
  <c r="C719" i="1"/>
  <c r="AI719" i="1"/>
  <c r="AL719" i="1"/>
  <c r="AO719" i="1"/>
  <c r="AR719" i="1"/>
  <c r="AV719" i="1"/>
  <c r="AY719" i="1"/>
  <c r="A720" i="1"/>
  <c r="C720" i="1"/>
  <c r="AI720" i="1"/>
  <c r="AL720" i="1"/>
  <c r="AO720" i="1"/>
  <c r="AR720" i="1"/>
  <c r="AV720" i="1"/>
  <c r="AY720" i="1"/>
  <c r="A721" i="1"/>
  <c r="C721" i="1"/>
  <c r="AI721" i="1"/>
  <c r="AL721" i="1"/>
  <c r="AO721" i="1"/>
  <c r="AR721" i="1"/>
  <c r="AV721" i="1"/>
  <c r="AY721" i="1"/>
  <c r="A722" i="1"/>
  <c r="C722" i="1"/>
  <c r="AI722" i="1"/>
  <c r="AL722" i="1"/>
  <c r="AO722" i="1"/>
  <c r="AR722" i="1"/>
  <c r="AV722" i="1"/>
  <c r="AY722" i="1"/>
  <c r="A723" i="1"/>
  <c r="C723" i="1"/>
  <c r="AI723" i="1"/>
  <c r="AL723" i="1"/>
  <c r="AO723" i="1"/>
  <c r="AR723" i="1"/>
  <c r="AV723" i="1"/>
  <c r="AY723" i="1"/>
  <c r="A724" i="1"/>
  <c r="C724" i="1"/>
  <c r="AI724" i="1"/>
  <c r="AL724" i="1"/>
  <c r="AO724" i="1"/>
  <c r="AR724" i="1"/>
  <c r="AV724" i="1"/>
  <c r="AY724" i="1"/>
  <c r="A725" i="1"/>
  <c r="C725" i="1"/>
  <c r="AI725" i="1"/>
  <c r="AL725" i="1"/>
  <c r="AO725" i="1"/>
  <c r="AR725" i="1"/>
  <c r="AV725" i="1"/>
  <c r="AY725" i="1"/>
  <c r="A726" i="1"/>
  <c r="C726" i="1"/>
  <c r="AI726" i="1"/>
  <c r="AL726" i="1"/>
  <c r="AO726" i="1"/>
  <c r="AR726" i="1"/>
  <c r="AV726" i="1"/>
  <c r="AY726" i="1"/>
  <c r="A727" i="1"/>
  <c r="C727" i="1"/>
  <c r="AI727" i="1"/>
  <c r="AL727" i="1"/>
  <c r="AO727" i="1"/>
  <c r="AR727" i="1"/>
  <c r="AV727" i="1"/>
  <c r="AY727" i="1"/>
  <c r="A728" i="1"/>
  <c r="C728" i="1"/>
  <c r="AI728" i="1"/>
  <c r="AL728" i="1"/>
  <c r="AO728" i="1"/>
  <c r="AR728" i="1"/>
  <c r="AV728" i="1"/>
  <c r="AY728" i="1"/>
  <c r="A729" i="1"/>
  <c r="C729" i="1"/>
  <c r="AI729" i="1"/>
  <c r="AL729" i="1"/>
  <c r="AO729" i="1"/>
  <c r="AR729" i="1"/>
  <c r="AV729" i="1"/>
  <c r="AY729" i="1"/>
  <c r="A730" i="1"/>
  <c r="C730" i="1"/>
  <c r="AI730" i="1"/>
  <c r="AL730" i="1"/>
  <c r="AO730" i="1"/>
  <c r="AR730" i="1"/>
  <c r="AV730" i="1"/>
  <c r="AY730" i="1"/>
  <c r="A731" i="1"/>
  <c r="C731" i="1"/>
  <c r="AI731" i="1"/>
  <c r="AL731" i="1"/>
  <c r="AO731" i="1"/>
  <c r="AR731" i="1"/>
  <c r="AV731" i="1"/>
  <c r="AY731" i="1"/>
  <c r="A732" i="1"/>
  <c r="C732" i="1"/>
  <c r="AI732" i="1"/>
  <c r="AL732" i="1"/>
  <c r="AO732" i="1"/>
  <c r="AR732" i="1"/>
  <c r="AV732" i="1"/>
  <c r="AY732" i="1"/>
  <c r="A733" i="1"/>
  <c r="C733" i="1"/>
  <c r="AI733" i="1"/>
  <c r="AL733" i="1"/>
  <c r="AO733" i="1"/>
  <c r="AR733" i="1"/>
  <c r="AV733" i="1"/>
  <c r="AY733" i="1"/>
  <c r="A734" i="1"/>
  <c r="C734" i="1"/>
  <c r="AI734" i="1"/>
  <c r="AL734" i="1"/>
  <c r="AO734" i="1"/>
  <c r="AR734" i="1"/>
  <c r="AV734" i="1"/>
  <c r="AY734" i="1"/>
  <c r="A735" i="1"/>
  <c r="C735" i="1"/>
  <c r="AI735" i="1"/>
  <c r="AL735" i="1"/>
  <c r="AO735" i="1"/>
  <c r="AR735" i="1"/>
  <c r="AV735" i="1"/>
  <c r="AY735" i="1"/>
  <c r="A736" i="1"/>
  <c r="C736" i="1"/>
  <c r="AI736" i="1"/>
  <c r="AL736" i="1"/>
  <c r="AO736" i="1"/>
  <c r="AR736" i="1"/>
  <c r="AV736" i="1"/>
  <c r="AY736" i="1"/>
  <c r="A737" i="1"/>
  <c r="C737" i="1"/>
  <c r="AI737" i="1"/>
  <c r="AL737" i="1"/>
  <c r="AO737" i="1"/>
  <c r="AR737" i="1"/>
  <c r="AV737" i="1"/>
  <c r="AY737" i="1"/>
  <c r="A738" i="1"/>
  <c r="C738" i="1"/>
  <c r="AI738" i="1"/>
  <c r="AL738" i="1"/>
  <c r="AO738" i="1"/>
  <c r="AR738" i="1"/>
  <c r="AV738" i="1"/>
  <c r="AY738" i="1"/>
  <c r="A739" i="1"/>
  <c r="C739" i="1"/>
  <c r="AI739" i="1"/>
  <c r="AL739" i="1"/>
  <c r="AO739" i="1"/>
  <c r="AR739" i="1"/>
  <c r="AV739" i="1"/>
  <c r="AY739" i="1"/>
  <c r="A740" i="1"/>
  <c r="C740" i="1"/>
  <c r="AI740" i="1"/>
  <c r="AL740" i="1"/>
  <c r="AO740" i="1"/>
  <c r="AR740" i="1"/>
  <c r="AV740" i="1"/>
  <c r="AY740" i="1"/>
  <c r="A741" i="1"/>
  <c r="C741" i="1"/>
  <c r="AI741" i="1"/>
  <c r="AL741" i="1"/>
  <c r="AO741" i="1"/>
  <c r="AR741" i="1"/>
  <c r="AV741" i="1"/>
  <c r="AY741" i="1"/>
  <c r="A742" i="1"/>
  <c r="C742" i="1"/>
  <c r="AI742" i="1"/>
  <c r="AL742" i="1"/>
  <c r="AO742" i="1"/>
  <c r="AR742" i="1"/>
  <c r="AV742" i="1"/>
  <c r="AY742" i="1"/>
  <c r="A743" i="1"/>
  <c r="C743" i="1"/>
  <c r="AI743" i="1"/>
  <c r="AL743" i="1"/>
  <c r="AO743" i="1"/>
  <c r="AR743" i="1"/>
  <c r="AV743" i="1"/>
  <c r="AY743" i="1"/>
  <c r="A744" i="1"/>
  <c r="C744" i="1"/>
  <c r="AI744" i="1"/>
  <c r="AL744" i="1"/>
  <c r="AO744" i="1"/>
  <c r="AR744" i="1"/>
  <c r="AV744" i="1"/>
  <c r="AY744" i="1"/>
  <c r="A745" i="1"/>
  <c r="C745" i="1"/>
  <c r="AI745" i="1"/>
  <c r="AL745" i="1"/>
  <c r="AO745" i="1"/>
  <c r="AR745" i="1"/>
  <c r="AV745" i="1"/>
  <c r="AY745" i="1"/>
  <c r="A746" i="1"/>
  <c r="C746" i="1"/>
  <c r="AI746" i="1"/>
  <c r="AL746" i="1"/>
  <c r="AO746" i="1"/>
  <c r="AR746" i="1"/>
  <c r="AV746" i="1"/>
  <c r="AY746" i="1"/>
  <c r="A747" i="1"/>
  <c r="C747" i="1"/>
  <c r="AI747" i="1"/>
  <c r="AL747" i="1"/>
  <c r="AO747" i="1"/>
  <c r="AR747" i="1"/>
  <c r="AV747" i="1"/>
  <c r="AY747" i="1"/>
  <c r="A748" i="1"/>
  <c r="C748" i="1"/>
  <c r="AI748" i="1"/>
  <c r="AL748" i="1"/>
  <c r="AO748" i="1"/>
  <c r="AR748" i="1"/>
  <c r="AV748" i="1"/>
  <c r="AY748" i="1"/>
  <c r="A749" i="1"/>
  <c r="C749" i="1"/>
  <c r="AI749" i="1"/>
  <c r="AL749" i="1"/>
  <c r="AO749" i="1"/>
  <c r="AR749" i="1"/>
  <c r="AV749" i="1"/>
  <c r="AY749" i="1"/>
  <c r="A750" i="1"/>
  <c r="C750" i="1"/>
  <c r="AI750" i="1"/>
  <c r="AL750" i="1"/>
  <c r="AO750" i="1"/>
  <c r="AR750" i="1"/>
  <c r="AV750" i="1"/>
  <c r="AY750" i="1"/>
  <c r="A751" i="1"/>
  <c r="C751" i="1"/>
  <c r="AI751" i="1"/>
  <c r="AL751" i="1"/>
  <c r="AO751" i="1"/>
  <c r="AR751" i="1"/>
  <c r="AV751" i="1"/>
  <c r="AY751" i="1"/>
  <c r="A752" i="1"/>
  <c r="C752" i="1"/>
  <c r="AI752" i="1"/>
  <c r="AL752" i="1"/>
  <c r="AO752" i="1"/>
  <c r="AR752" i="1"/>
  <c r="AV752" i="1"/>
  <c r="AY752" i="1"/>
  <c r="A753" i="1"/>
  <c r="C753" i="1"/>
  <c r="AI753" i="1"/>
  <c r="AL753" i="1"/>
  <c r="AO753" i="1"/>
  <c r="AR753" i="1"/>
  <c r="AV753" i="1"/>
  <c r="AY753" i="1"/>
  <c r="A754" i="1"/>
  <c r="C754" i="1"/>
  <c r="AI754" i="1"/>
  <c r="AL754" i="1"/>
  <c r="AO754" i="1"/>
  <c r="AR754" i="1"/>
  <c r="AV754" i="1"/>
  <c r="AY754" i="1"/>
  <c r="A755" i="1"/>
  <c r="C755" i="1"/>
  <c r="AI755" i="1"/>
  <c r="AL755" i="1"/>
  <c r="AO755" i="1"/>
  <c r="AR755" i="1"/>
  <c r="AV755" i="1"/>
  <c r="AY755" i="1"/>
  <c r="A756" i="1"/>
  <c r="C756" i="1"/>
  <c r="AI756" i="1"/>
  <c r="AL756" i="1"/>
  <c r="AO756" i="1"/>
  <c r="AR756" i="1"/>
  <c r="AV756" i="1"/>
  <c r="AY756" i="1"/>
  <c r="A757" i="1"/>
  <c r="C757" i="1"/>
  <c r="AI757" i="1"/>
  <c r="AL757" i="1"/>
  <c r="AO757" i="1"/>
  <c r="AR757" i="1"/>
  <c r="AV757" i="1"/>
  <c r="AY757" i="1"/>
  <c r="A758" i="1"/>
  <c r="C758" i="1"/>
  <c r="AI758" i="1"/>
  <c r="AL758" i="1"/>
  <c r="AO758" i="1"/>
  <c r="AR758" i="1"/>
  <c r="AV758" i="1"/>
  <c r="AY758" i="1"/>
  <c r="A759" i="1"/>
  <c r="C759" i="1"/>
  <c r="AI759" i="1"/>
  <c r="AL759" i="1"/>
  <c r="AO759" i="1"/>
  <c r="AR759" i="1"/>
  <c r="AV759" i="1"/>
  <c r="AY759" i="1"/>
  <c r="A760" i="1"/>
  <c r="C760" i="1"/>
  <c r="AI760" i="1"/>
  <c r="AL760" i="1"/>
  <c r="AO760" i="1"/>
  <c r="AR760" i="1"/>
  <c r="AV760" i="1"/>
  <c r="AY760" i="1"/>
  <c r="A761" i="1"/>
  <c r="C761" i="1"/>
  <c r="AI761" i="1"/>
  <c r="AL761" i="1"/>
  <c r="AO761" i="1"/>
  <c r="AR761" i="1"/>
  <c r="AV761" i="1"/>
  <c r="AY761" i="1"/>
  <c r="A762" i="1"/>
  <c r="C762" i="1"/>
  <c r="AI762" i="1"/>
  <c r="AL762" i="1"/>
  <c r="AO762" i="1"/>
  <c r="AR762" i="1"/>
  <c r="AV762" i="1"/>
  <c r="AY762" i="1"/>
  <c r="A763" i="1"/>
  <c r="C763" i="1"/>
  <c r="AI763" i="1"/>
  <c r="AL763" i="1"/>
  <c r="AO763" i="1"/>
  <c r="AR763" i="1"/>
  <c r="AV763" i="1"/>
  <c r="AY763" i="1"/>
  <c r="A764" i="1"/>
  <c r="C764" i="1"/>
  <c r="AI764" i="1"/>
  <c r="AL764" i="1"/>
  <c r="AO764" i="1"/>
  <c r="AR764" i="1"/>
  <c r="AV764" i="1"/>
  <c r="AY764" i="1"/>
  <c r="A765" i="1"/>
  <c r="C765" i="1"/>
  <c r="AI765" i="1"/>
  <c r="AL765" i="1"/>
  <c r="AO765" i="1"/>
  <c r="AR765" i="1"/>
  <c r="AV765" i="1"/>
  <c r="AY765" i="1"/>
  <c r="A766" i="1"/>
  <c r="C766" i="1"/>
  <c r="AI766" i="1"/>
  <c r="AL766" i="1"/>
  <c r="AO766" i="1"/>
  <c r="AR766" i="1"/>
  <c r="AV766" i="1"/>
  <c r="AY766" i="1"/>
  <c r="A767" i="1"/>
  <c r="C767" i="1"/>
  <c r="AI767" i="1"/>
  <c r="AL767" i="1"/>
  <c r="AO767" i="1"/>
  <c r="AR767" i="1"/>
  <c r="AV767" i="1"/>
  <c r="AY767" i="1"/>
  <c r="A768" i="1"/>
  <c r="C768" i="1"/>
  <c r="AI768" i="1"/>
  <c r="AL768" i="1"/>
  <c r="AO768" i="1"/>
  <c r="AR768" i="1"/>
  <c r="AV768" i="1"/>
  <c r="AY768" i="1"/>
  <c r="A769" i="1"/>
  <c r="C769" i="1"/>
  <c r="AI769" i="1"/>
  <c r="AL769" i="1"/>
  <c r="AO769" i="1"/>
  <c r="AR769" i="1"/>
  <c r="AV769" i="1"/>
  <c r="AY769" i="1"/>
  <c r="A770" i="1"/>
  <c r="C770" i="1"/>
  <c r="AI770" i="1"/>
  <c r="AL770" i="1"/>
  <c r="AO770" i="1"/>
  <c r="AR770" i="1"/>
  <c r="AV770" i="1"/>
  <c r="AY770" i="1"/>
  <c r="A771" i="1"/>
  <c r="C771" i="1"/>
  <c r="AI771" i="1"/>
  <c r="AL771" i="1"/>
  <c r="AO771" i="1"/>
  <c r="AR771" i="1"/>
  <c r="AV771" i="1"/>
  <c r="AY771" i="1"/>
  <c r="A772" i="1"/>
  <c r="C772" i="1"/>
  <c r="AI772" i="1"/>
  <c r="AL772" i="1"/>
  <c r="AO772" i="1"/>
  <c r="AR772" i="1"/>
  <c r="AV772" i="1"/>
  <c r="AY772" i="1"/>
  <c r="A773" i="1"/>
  <c r="C773" i="1"/>
  <c r="AI773" i="1"/>
  <c r="AL773" i="1"/>
  <c r="AO773" i="1"/>
  <c r="AR773" i="1"/>
  <c r="AV773" i="1"/>
  <c r="AY773" i="1"/>
  <c r="A774" i="1"/>
  <c r="C774" i="1"/>
  <c r="AI774" i="1"/>
  <c r="AL774" i="1"/>
  <c r="AO774" i="1"/>
  <c r="AR774" i="1"/>
  <c r="AV774" i="1"/>
  <c r="AY774" i="1"/>
  <c r="A775" i="1"/>
  <c r="C775" i="1"/>
  <c r="AI775" i="1"/>
  <c r="AL775" i="1"/>
  <c r="AO775" i="1"/>
  <c r="AR775" i="1"/>
  <c r="AV775" i="1"/>
  <c r="AY775" i="1"/>
  <c r="A776" i="1"/>
  <c r="C776" i="1"/>
  <c r="AI776" i="1"/>
  <c r="AL776" i="1"/>
  <c r="AO776" i="1"/>
  <c r="AR776" i="1"/>
  <c r="AV776" i="1"/>
  <c r="AY776" i="1"/>
  <c r="A777" i="1"/>
  <c r="C777" i="1"/>
  <c r="AI777" i="1"/>
  <c r="AL777" i="1"/>
  <c r="AO777" i="1"/>
  <c r="AR777" i="1"/>
  <c r="AV777" i="1"/>
  <c r="AY777" i="1"/>
  <c r="A778" i="1"/>
  <c r="C778" i="1"/>
  <c r="AI778" i="1"/>
  <c r="AL778" i="1"/>
  <c r="AO778" i="1"/>
  <c r="AR778" i="1"/>
  <c r="AV778" i="1"/>
  <c r="AY778" i="1"/>
  <c r="A779" i="1"/>
  <c r="C779" i="1"/>
  <c r="AI779" i="1"/>
  <c r="AL779" i="1"/>
  <c r="AO779" i="1"/>
  <c r="AR779" i="1"/>
  <c r="AV779" i="1"/>
  <c r="AY779" i="1"/>
  <c r="A780" i="1"/>
  <c r="C780" i="1"/>
  <c r="AI780" i="1"/>
  <c r="AL780" i="1"/>
  <c r="AO780" i="1"/>
  <c r="AR780" i="1"/>
  <c r="AV780" i="1"/>
  <c r="AY780" i="1"/>
  <c r="A781" i="1"/>
  <c r="C781" i="1"/>
  <c r="AI781" i="1"/>
  <c r="AL781" i="1"/>
  <c r="AO781" i="1"/>
  <c r="AR781" i="1"/>
  <c r="AV781" i="1"/>
  <c r="AY781" i="1"/>
  <c r="A782" i="1"/>
  <c r="C782" i="1"/>
  <c r="AI782" i="1"/>
  <c r="AL782" i="1"/>
  <c r="AO782" i="1"/>
  <c r="AR782" i="1"/>
  <c r="AV782" i="1"/>
  <c r="AY782" i="1"/>
  <c r="A783" i="1"/>
  <c r="C783" i="1"/>
  <c r="AI783" i="1"/>
  <c r="AL783" i="1"/>
  <c r="AO783" i="1"/>
  <c r="AR783" i="1"/>
  <c r="AV783" i="1"/>
  <c r="AY783" i="1"/>
  <c r="A784" i="1"/>
  <c r="C784" i="1"/>
  <c r="AI784" i="1"/>
  <c r="AL784" i="1"/>
  <c r="AO784" i="1"/>
  <c r="AR784" i="1"/>
  <c r="AV784" i="1"/>
  <c r="AY784" i="1"/>
  <c r="A785" i="1"/>
  <c r="C785" i="1"/>
  <c r="AI785" i="1"/>
  <c r="AL785" i="1"/>
  <c r="AO785" i="1"/>
  <c r="AR785" i="1"/>
  <c r="AV785" i="1"/>
  <c r="AY785" i="1"/>
  <c r="A786" i="1"/>
  <c r="C786" i="1"/>
  <c r="AI786" i="1"/>
  <c r="AL786" i="1"/>
  <c r="AO786" i="1"/>
  <c r="AR786" i="1"/>
  <c r="AV786" i="1"/>
  <c r="AY786" i="1"/>
  <c r="A787" i="1"/>
  <c r="C787" i="1"/>
  <c r="AI787" i="1"/>
  <c r="AL787" i="1"/>
  <c r="AO787" i="1"/>
  <c r="AR787" i="1"/>
  <c r="AV787" i="1"/>
  <c r="AY787" i="1"/>
  <c r="A788" i="1"/>
  <c r="C788" i="1"/>
  <c r="AI788" i="1"/>
  <c r="AL788" i="1"/>
  <c r="AO788" i="1"/>
  <c r="AR788" i="1"/>
  <c r="AV788" i="1"/>
  <c r="AY788" i="1"/>
  <c r="A789" i="1"/>
  <c r="C789" i="1"/>
  <c r="AI789" i="1"/>
  <c r="AL789" i="1"/>
  <c r="AO789" i="1"/>
  <c r="AR789" i="1"/>
  <c r="AV789" i="1"/>
  <c r="AY789" i="1"/>
  <c r="A790" i="1"/>
  <c r="C790" i="1"/>
  <c r="AI790" i="1"/>
  <c r="AL790" i="1"/>
  <c r="AO790" i="1"/>
  <c r="AR790" i="1"/>
  <c r="AV790" i="1"/>
  <c r="AY790" i="1"/>
  <c r="A791" i="1"/>
  <c r="C791" i="1"/>
  <c r="AI791" i="1"/>
  <c r="AL791" i="1"/>
  <c r="AO791" i="1"/>
  <c r="AR791" i="1"/>
  <c r="AV791" i="1"/>
  <c r="AY791" i="1"/>
  <c r="A792" i="1"/>
  <c r="C792" i="1"/>
  <c r="AI792" i="1"/>
  <c r="AL792" i="1"/>
  <c r="AO792" i="1"/>
  <c r="AR792" i="1"/>
  <c r="AV792" i="1"/>
  <c r="AY792" i="1"/>
  <c r="A793" i="1"/>
  <c r="C793" i="1"/>
  <c r="AI793" i="1"/>
  <c r="AL793" i="1"/>
  <c r="AO793" i="1"/>
  <c r="AR793" i="1"/>
  <c r="AV793" i="1"/>
  <c r="AY793" i="1"/>
  <c r="A794" i="1"/>
  <c r="C794" i="1"/>
  <c r="AI794" i="1"/>
  <c r="AL794" i="1"/>
  <c r="AO794" i="1"/>
  <c r="AR794" i="1"/>
  <c r="AV794" i="1"/>
  <c r="AY794" i="1"/>
  <c r="A795" i="1"/>
  <c r="C795" i="1"/>
  <c r="AI795" i="1"/>
  <c r="AL795" i="1"/>
  <c r="AO795" i="1"/>
  <c r="AR795" i="1"/>
  <c r="AV795" i="1"/>
  <c r="AY795" i="1"/>
  <c r="A796" i="1"/>
  <c r="C796" i="1"/>
  <c r="AI796" i="1"/>
  <c r="AL796" i="1"/>
  <c r="AO796" i="1"/>
  <c r="AR796" i="1"/>
  <c r="AV796" i="1"/>
  <c r="AY796" i="1"/>
  <c r="A797" i="1"/>
  <c r="C797" i="1"/>
  <c r="AI797" i="1"/>
  <c r="AL797" i="1"/>
  <c r="AO797" i="1"/>
  <c r="AR797" i="1"/>
  <c r="AV797" i="1"/>
  <c r="AY797" i="1"/>
  <c r="A798" i="1"/>
  <c r="C798" i="1"/>
  <c r="AI798" i="1"/>
  <c r="AL798" i="1"/>
  <c r="AO798" i="1"/>
  <c r="AR798" i="1"/>
  <c r="AV798" i="1"/>
  <c r="AY798" i="1"/>
  <c r="A799" i="1"/>
  <c r="C799" i="1"/>
  <c r="AI799" i="1"/>
  <c r="AL799" i="1"/>
  <c r="AO799" i="1"/>
  <c r="AR799" i="1"/>
  <c r="AV799" i="1"/>
  <c r="AY799" i="1"/>
  <c r="A800" i="1"/>
  <c r="C800" i="1"/>
  <c r="AI800" i="1"/>
  <c r="AL800" i="1"/>
  <c r="AO800" i="1"/>
  <c r="AR800" i="1"/>
  <c r="AV800" i="1"/>
  <c r="AY800" i="1"/>
  <c r="A801" i="1"/>
  <c r="C801" i="1"/>
  <c r="AI801" i="1"/>
  <c r="AL801" i="1"/>
  <c r="AO801" i="1"/>
  <c r="AR801" i="1"/>
  <c r="AV801" i="1"/>
  <c r="AY801" i="1"/>
  <c r="A802" i="1"/>
  <c r="C802" i="1"/>
  <c r="AI802" i="1"/>
  <c r="AL802" i="1"/>
  <c r="AO802" i="1"/>
  <c r="AR802" i="1"/>
  <c r="AV802" i="1"/>
  <c r="AY802" i="1"/>
  <c r="A803" i="1"/>
  <c r="C803" i="1"/>
  <c r="AI803" i="1"/>
  <c r="AL803" i="1"/>
  <c r="AO803" i="1"/>
  <c r="AR803" i="1"/>
  <c r="AV803" i="1"/>
  <c r="AY803" i="1"/>
  <c r="A804" i="1"/>
  <c r="C804" i="1"/>
  <c r="AI804" i="1"/>
  <c r="AL804" i="1"/>
  <c r="AO804" i="1"/>
  <c r="AR804" i="1"/>
  <c r="AV804" i="1"/>
  <c r="AY804" i="1"/>
  <c r="A805" i="1"/>
  <c r="C805" i="1"/>
  <c r="AI805" i="1"/>
  <c r="AL805" i="1"/>
  <c r="AO805" i="1"/>
  <c r="AR805" i="1"/>
  <c r="AV805" i="1"/>
  <c r="AY805" i="1"/>
  <c r="A806" i="1"/>
  <c r="C806" i="1"/>
  <c r="AI806" i="1"/>
  <c r="AL806" i="1"/>
  <c r="AO806" i="1"/>
  <c r="AR806" i="1"/>
  <c r="AV806" i="1"/>
  <c r="AY806" i="1"/>
  <c r="A807" i="1"/>
  <c r="C807" i="1"/>
  <c r="AI807" i="1"/>
  <c r="AL807" i="1"/>
  <c r="AO807" i="1"/>
  <c r="AR807" i="1"/>
  <c r="AV807" i="1"/>
  <c r="AY807" i="1"/>
  <c r="A808" i="1"/>
  <c r="C808" i="1"/>
  <c r="AI808" i="1"/>
  <c r="AL808" i="1"/>
  <c r="AO808" i="1"/>
  <c r="AR808" i="1"/>
  <c r="AV808" i="1"/>
  <c r="AY808" i="1"/>
  <c r="A809" i="1"/>
  <c r="C809" i="1"/>
  <c r="AI809" i="1"/>
  <c r="AL809" i="1"/>
  <c r="AO809" i="1"/>
  <c r="AR809" i="1"/>
  <c r="AV809" i="1"/>
  <c r="AY809" i="1"/>
  <c r="A810" i="1"/>
  <c r="C810" i="1"/>
  <c r="AI810" i="1"/>
  <c r="AL810" i="1"/>
  <c r="AO810" i="1"/>
  <c r="AR810" i="1"/>
  <c r="AV810" i="1"/>
  <c r="AY810" i="1"/>
  <c r="A811" i="1"/>
  <c r="C811" i="1"/>
  <c r="AI811" i="1"/>
  <c r="AL811" i="1"/>
  <c r="AO811" i="1"/>
  <c r="AR811" i="1"/>
  <c r="AV811" i="1"/>
  <c r="AY811" i="1"/>
  <c r="A812" i="1"/>
  <c r="C812" i="1"/>
  <c r="AI812" i="1"/>
  <c r="AL812" i="1"/>
  <c r="AO812" i="1"/>
  <c r="AR812" i="1"/>
  <c r="AV812" i="1"/>
  <c r="AY812" i="1"/>
  <c r="A813" i="1"/>
  <c r="C813" i="1"/>
  <c r="AI813" i="1"/>
  <c r="AL813" i="1"/>
  <c r="AO813" i="1"/>
  <c r="AR813" i="1"/>
  <c r="AV813" i="1"/>
  <c r="AY813" i="1"/>
  <c r="A814" i="1"/>
  <c r="C814" i="1"/>
  <c r="AI814" i="1"/>
  <c r="AL814" i="1"/>
  <c r="AO814" i="1"/>
  <c r="AR814" i="1"/>
  <c r="AV814" i="1"/>
  <c r="AY814" i="1"/>
  <c r="A815" i="1"/>
  <c r="C815" i="1"/>
  <c r="AI815" i="1"/>
  <c r="AL815" i="1"/>
  <c r="AO815" i="1"/>
  <c r="AR815" i="1"/>
  <c r="AV815" i="1"/>
  <c r="AY815" i="1"/>
  <c r="A816" i="1"/>
  <c r="C816" i="1"/>
  <c r="AI816" i="1"/>
  <c r="AL816" i="1"/>
  <c r="AO816" i="1"/>
  <c r="AR816" i="1"/>
  <c r="AV816" i="1"/>
  <c r="AY816" i="1"/>
  <c r="A817" i="1"/>
  <c r="C817" i="1"/>
  <c r="AI817" i="1"/>
  <c r="AL817" i="1"/>
  <c r="AO817" i="1"/>
  <c r="AR817" i="1"/>
  <c r="AV817" i="1"/>
  <c r="AY817" i="1"/>
  <c r="A818" i="1"/>
  <c r="C818" i="1"/>
  <c r="AI818" i="1"/>
  <c r="AL818" i="1"/>
  <c r="AO818" i="1"/>
  <c r="AR818" i="1"/>
  <c r="AV818" i="1"/>
  <c r="AY818" i="1"/>
  <c r="A819" i="1"/>
  <c r="C819" i="1"/>
  <c r="AI819" i="1"/>
  <c r="AL819" i="1"/>
  <c r="AO819" i="1"/>
  <c r="AR819" i="1"/>
  <c r="AV819" i="1"/>
  <c r="AY819" i="1"/>
  <c r="A820" i="1"/>
  <c r="C820" i="1"/>
  <c r="AI820" i="1"/>
  <c r="AL820" i="1"/>
  <c r="AO820" i="1"/>
  <c r="AR820" i="1"/>
  <c r="AV820" i="1"/>
  <c r="AY820" i="1"/>
  <c r="A821" i="1"/>
  <c r="C821" i="1"/>
  <c r="AI821" i="1"/>
  <c r="AL821" i="1"/>
  <c r="AO821" i="1"/>
  <c r="AR821" i="1"/>
  <c r="AV821" i="1"/>
  <c r="AY821" i="1"/>
  <c r="A822" i="1"/>
  <c r="C822" i="1"/>
  <c r="AI822" i="1"/>
  <c r="AL822" i="1"/>
  <c r="AO822" i="1"/>
  <c r="AR822" i="1"/>
  <c r="AV822" i="1"/>
  <c r="AY822" i="1"/>
  <c r="A823" i="1"/>
  <c r="C823" i="1"/>
  <c r="AI823" i="1"/>
  <c r="AL823" i="1"/>
  <c r="AO823" i="1"/>
  <c r="AR823" i="1"/>
  <c r="AV823" i="1"/>
  <c r="AY823" i="1"/>
  <c r="A824" i="1"/>
  <c r="C824" i="1"/>
  <c r="AI824" i="1"/>
  <c r="AL824" i="1"/>
  <c r="AO824" i="1"/>
  <c r="AR824" i="1"/>
  <c r="AV824" i="1"/>
  <c r="AY824" i="1"/>
  <c r="A825" i="1"/>
  <c r="C825" i="1"/>
  <c r="AI825" i="1"/>
  <c r="AL825" i="1"/>
  <c r="AO825" i="1"/>
  <c r="AR825" i="1"/>
  <c r="AV825" i="1"/>
  <c r="AY825" i="1"/>
  <c r="A826" i="1"/>
  <c r="C826" i="1"/>
  <c r="AI826" i="1"/>
  <c r="AL826" i="1"/>
  <c r="AO826" i="1"/>
  <c r="AR826" i="1"/>
  <c r="AV826" i="1"/>
  <c r="AY826" i="1"/>
  <c r="A827" i="1"/>
  <c r="C827" i="1"/>
  <c r="AI827" i="1"/>
  <c r="AL827" i="1"/>
  <c r="AO827" i="1"/>
  <c r="AR827" i="1"/>
  <c r="AV827" i="1"/>
  <c r="AY827" i="1"/>
  <c r="A828" i="1"/>
  <c r="C828" i="1"/>
  <c r="AI828" i="1"/>
  <c r="AL828" i="1"/>
  <c r="AO828" i="1"/>
  <c r="AR828" i="1"/>
  <c r="AV828" i="1"/>
  <c r="AY828" i="1"/>
  <c r="A829" i="1"/>
  <c r="C829" i="1"/>
  <c r="AI829" i="1"/>
  <c r="AL829" i="1"/>
  <c r="AO829" i="1"/>
  <c r="AR829" i="1"/>
  <c r="AV829" i="1"/>
  <c r="AY829" i="1"/>
  <c r="A830" i="1"/>
  <c r="C830" i="1"/>
  <c r="AI830" i="1"/>
  <c r="AL830" i="1"/>
  <c r="AO830" i="1"/>
  <c r="AR830" i="1"/>
  <c r="AV830" i="1"/>
  <c r="AY830" i="1"/>
  <c r="A831" i="1"/>
  <c r="C831" i="1"/>
  <c r="AI831" i="1"/>
  <c r="AL831" i="1"/>
  <c r="AO831" i="1"/>
  <c r="AR831" i="1"/>
  <c r="AV831" i="1"/>
  <c r="AY831" i="1"/>
  <c r="A832" i="1"/>
  <c r="C832" i="1"/>
  <c r="AI832" i="1"/>
  <c r="AL832" i="1"/>
  <c r="AO832" i="1"/>
  <c r="AR832" i="1"/>
  <c r="AV832" i="1"/>
  <c r="AY832" i="1"/>
  <c r="A833" i="1"/>
  <c r="C833" i="1"/>
  <c r="AI833" i="1"/>
  <c r="AL833" i="1"/>
  <c r="AO833" i="1"/>
  <c r="AR833" i="1"/>
  <c r="AV833" i="1"/>
  <c r="AY833" i="1"/>
  <c r="A834" i="1"/>
  <c r="C834" i="1"/>
  <c r="AI834" i="1"/>
  <c r="AL834" i="1"/>
  <c r="AO834" i="1"/>
  <c r="AR834" i="1"/>
  <c r="AV834" i="1"/>
  <c r="AY834" i="1"/>
  <c r="A835" i="1"/>
  <c r="C835" i="1"/>
  <c r="AI835" i="1"/>
  <c r="AL835" i="1"/>
  <c r="AO835" i="1"/>
  <c r="AR835" i="1"/>
  <c r="AV835" i="1"/>
  <c r="AY835" i="1"/>
  <c r="A836" i="1"/>
  <c r="C836" i="1"/>
  <c r="AI836" i="1"/>
  <c r="AL836" i="1"/>
  <c r="AO836" i="1"/>
  <c r="AR836" i="1"/>
  <c r="AV836" i="1"/>
  <c r="AY836" i="1"/>
  <c r="A837" i="1"/>
  <c r="C837" i="1"/>
  <c r="AI837" i="1"/>
  <c r="AL837" i="1"/>
  <c r="AO837" i="1"/>
  <c r="AR837" i="1"/>
  <c r="AV837" i="1"/>
  <c r="AY837" i="1"/>
  <c r="A838" i="1"/>
  <c r="C838" i="1"/>
  <c r="AI838" i="1"/>
  <c r="AL838" i="1"/>
  <c r="AO838" i="1"/>
  <c r="AR838" i="1"/>
  <c r="AV838" i="1"/>
  <c r="AY838" i="1"/>
  <c r="A839" i="1"/>
  <c r="C839" i="1"/>
  <c r="AI839" i="1"/>
  <c r="AL839" i="1"/>
  <c r="AO839" i="1"/>
  <c r="AR839" i="1"/>
  <c r="AV839" i="1"/>
  <c r="AY839" i="1"/>
  <c r="A840" i="1"/>
  <c r="C840" i="1"/>
  <c r="AI840" i="1"/>
  <c r="AL840" i="1"/>
  <c r="AO840" i="1"/>
  <c r="AR840" i="1"/>
  <c r="AV840" i="1"/>
  <c r="AY840" i="1"/>
  <c r="A841" i="1"/>
  <c r="C841" i="1"/>
  <c r="AI841" i="1"/>
  <c r="AL841" i="1"/>
  <c r="AO841" i="1"/>
  <c r="AR841" i="1"/>
  <c r="AV841" i="1"/>
  <c r="AY841" i="1"/>
  <c r="A842" i="1"/>
  <c r="C842" i="1"/>
  <c r="AI842" i="1"/>
  <c r="AL842" i="1"/>
  <c r="AO842" i="1"/>
  <c r="AR842" i="1"/>
  <c r="AV842" i="1"/>
  <c r="AY842" i="1"/>
  <c r="A843" i="1"/>
  <c r="C843" i="1"/>
  <c r="AI843" i="1"/>
  <c r="AL843" i="1"/>
  <c r="AO843" i="1"/>
  <c r="AR843" i="1"/>
  <c r="AV843" i="1"/>
  <c r="AY843" i="1"/>
  <c r="A844" i="1"/>
  <c r="C844" i="1"/>
  <c r="AI844" i="1"/>
  <c r="AL844" i="1"/>
  <c r="AO844" i="1"/>
  <c r="AR844" i="1"/>
  <c r="AV844" i="1"/>
  <c r="AY844" i="1"/>
  <c r="A845" i="1"/>
  <c r="C845" i="1"/>
  <c r="AI845" i="1"/>
  <c r="AL845" i="1"/>
  <c r="AO845" i="1"/>
  <c r="AR845" i="1"/>
  <c r="AV845" i="1"/>
  <c r="AY845" i="1"/>
  <c r="A846" i="1"/>
  <c r="C846" i="1"/>
  <c r="AI846" i="1"/>
  <c r="AL846" i="1"/>
  <c r="AO846" i="1"/>
  <c r="AR846" i="1"/>
  <c r="AV846" i="1"/>
  <c r="AY846" i="1"/>
  <c r="A847" i="1"/>
  <c r="C847" i="1"/>
  <c r="AI847" i="1"/>
  <c r="AL847" i="1"/>
  <c r="AO847" i="1"/>
  <c r="AR847" i="1"/>
  <c r="AV847" i="1"/>
  <c r="AY847" i="1"/>
  <c r="A848" i="1"/>
  <c r="C848" i="1"/>
  <c r="AI848" i="1"/>
  <c r="AL848" i="1"/>
  <c r="AO848" i="1"/>
  <c r="AR848" i="1"/>
  <c r="AV848" i="1"/>
  <c r="AY848" i="1"/>
  <c r="A849" i="1"/>
  <c r="C849" i="1"/>
  <c r="AI849" i="1"/>
  <c r="AL849" i="1"/>
  <c r="AO849" i="1"/>
  <c r="AR849" i="1"/>
  <c r="AV849" i="1"/>
  <c r="AY849" i="1"/>
  <c r="A850" i="1"/>
  <c r="C850" i="1"/>
  <c r="AI850" i="1"/>
  <c r="AL850" i="1"/>
  <c r="AO850" i="1"/>
  <c r="AR850" i="1"/>
  <c r="AV850" i="1"/>
  <c r="AY850" i="1"/>
  <c r="A851" i="1"/>
  <c r="C851" i="1"/>
  <c r="AI851" i="1"/>
  <c r="AL851" i="1"/>
  <c r="AO851" i="1"/>
  <c r="AR851" i="1"/>
  <c r="AV851" i="1"/>
  <c r="AY851" i="1"/>
  <c r="A852" i="1"/>
  <c r="C852" i="1"/>
  <c r="AI852" i="1"/>
  <c r="AL852" i="1"/>
  <c r="AO852" i="1"/>
  <c r="AR852" i="1"/>
  <c r="AV852" i="1"/>
  <c r="AY852" i="1"/>
  <c r="A853" i="1"/>
  <c r="C853" i="1"/>
  <c r="AI853" i="1"/>
  <c r="AL853" i="1"/>
  <c r="AO853" i="1"/>
  <c r="AR853" i="1"/>
  <c r="AV853" i="1"/>
  <c r="AY853" i="1"/>
  <c r="A854" i="1"/>
  <c r="C854" i="1"/>
  <c r="AI854" i="1"/>
  <c r="AL854" i="1"/>
  <c r="AO854" i="1"/>
  <c r="AR854" i="1"/>
  <c r="AV854" i="1"/>
  <c r="AY854" i="1"/>
  <c r="A855" i="1"/>
  <c r="C855" i="1"/>
  <c r="AI855" i="1"/>
  <c r="AL855" i="1"/>
  <c r="AO855" i="1"/>
  <c r="AR855" i="1"/>
  <c r="AV855" i="1"/>
  <c r="AY855" i="1"/>
  <c r="A856" i="1"/>
  <c r="C856" i="1"/>
  <c r="AI856" i="1"/>
  <c r="AL856" i="1"/>
  <c r="AO856" i="1"/>
  <c r="AR856" i="1"/>
  <c r="AV856" i="1"/>
  <c r="AY856" i="1"/>
  <c r="A857" i="1"/>
  <c r="C857" i="1"/>
  <c r="AI857" i="1"/>
  <c r="AL857" i="1"/>
  <c r="AO857" i="1"/>
  <c r="AR857" i="1"/>
  <c r="AV857" i="1"/>
  <c r="AY857" i="1"/>
  <c r="A858" i="1"/>
  <c r="C858" i="1"/>
  <c r="AI858" i="1"/>
  <c r="AL858" i="1"/>
  <c r="AO858" i="1"/>
  <c r="AR858" i="1"/>
  <c r="AV858" i="1"/>
  <c r="AY858" i="1"/>
  <c r="A859" i="1"/>
  <c r="C859" i="1"/>
  <c r="AI859" i="1"/>
  <c r="AL859" i="1"/>
  <c r="AO859" i="1"/>
  <c r="AR859" i="1"/>
  <c r="AV859" i="1"/>
  <c r="AY859" i="1"/>
  <c r="A860" i="1"/>
  <c r="C860" i="1"/>
  <c r="AI860" i="1"/>
  <c r="AL860" i="1"/>
  <c r="AO860" i="1"/>
  <c r="AR860" i="1"/>
  <c r="AV860" i="1"/>
  <c r="AY860" i="1"/>
  <c r="A861" i="1"/>
  <c r="C861" i="1"/>
  <c r="AI861" i="1"/>
  <c r="AL861" i="1"/>
  <c r="AO861" i="1"/>
  <c r="AR861" i="1"/>
  <c r="AV861" i="1"/>
  <c r="AY861" i="1"/>
  <c r="A862" i="1"/>
  <c r="C862" i="1"/>
  <c r="AI862" i="1"/>
  <c r="AL862" i="1"/>
  <c r="AO862" i="1"/>
  <c r="AR862" i="1"/>
  <c r="AV862" i="1"/>
  <c r="AY862" i="1"/>
  <c r="A863" i="1"/>
  <c r="C863" i="1"/>
  <c r="AI863" i="1"/>
  <c r="AL863" i="1"/>
  <c r="AO863" i="1"/>
  <c r="AR863" i="1"/>
  <c r="AV863" i="1"/>
  <c r="AY863" i="1"/>
  <c r="A864" i="1"/>
  <c r="C864" i="1"/>
  <c r="AI864" i="1"/>
  <c r="AL864" i="1"/>
  <c r="AO864" i="1"/>
  <c r="AR864" i="1"/>
  <c r="AV864" i="1"/>
  <c r="AY864" i="1"/>
  <c r="A865" i="1"/>
  <c r="C865" i="1"/>
  <c r="AI865" i="1"/>
  <c r="AL865" i="1"/>
  <c r="AO865" i="1"/>
  <c r="AR865" i="1"/>
  <c r="AV865" i="1"/>
  <c r="AY865" i="1"/>
  <c r="A866" i="1"/>
  <c r="C866" i="1"/>
  <c r="AI866" i="1"/>
  <c r="AL866" i="1"/>
  <c r="AO866" i="1"/>
  <c r="AR866" i="1"/>
  <c r="AV866" i="1"/>
  <c r="AY866" i="1"/>
  <c r="A867" i="1"/>
  <c r="C867" i="1"/>
  <c r="AI867" i="1"/>
  <c r="AL867" i="1"/>
  <c r="AO867" i="1"/>
  <c r="AR867" i="1"/>
  <c r="AV867" i="1"/>
  <c r="AY867" i="1"/>
  <c r="A868" i="1"/>
  <c r="C868" i="1"/>
  <c r="AI868" i="1"/>
  <c r="AL868" i="1"/>
  <c r="AO868" i="1"/>
  <c r="AR868" i="1"/>
  <c r="AV868" i="1"/>
  <c r="AY868" i="1"/>
  <c r="A869" i="1"/>
  <c r="C869" i="1"/>
  <c r="AI869" i="1"/>
  <c r="AL869" i="1"/>
  <c r="AO869" i="1"/>
  <c r="AR869" i="1"/>
  <c r="AV869" i="1"/>
  <c r="AY869" i="1"/>
  <c r="A870" i="1"/>
  <c r="C870" i="1"/>
  <c r="AI870" i="1"/>
  <c r="AL870" i="1"/>
  <c r="AO870" i="1"/>
  <c r="AR870" i="1"/>
  <c r="AV870" i="1"/>
  <c r="AY870" i="1"/>
  <c r="A871" i="1"/>
  <c r="C871" i="1"/>
  <c r="AI871" i="1"/>
  <c r="AL871" i="1"/>
  <c r="AO871" i="1"/>
  <c r="AR871" i="1"/>
  <c r="AV871" i="1"/>
  <c r="AY871" i="1"/>
  <c r="A872" i="1"/>
  <c r="C872" i="1"/>
  <c r="AI872" i="1"/>
  <c r="AL872" i="1"/>
  <c r="AO872" i="1"/>
  <c r="AR872" i="1"/>
  <c r="AV872" i="1"/>
  <c r="AY872" i="1"/>
  <c r="A873" i="1"/>
  <c r="C873" i="1"/>
  <c r="AI873" i="1"/>
  <c r="AL873" i="1"/>
  <c r="AO873" i="1"/>
  <c r="AR873" i="1"/>
  <c r="AV873" i="1"/>
  <c r="AY873" i="1"/>
  <c r="A874" i="1"/>
  <c r="C874" i="1"/>
  <c r="AI874" i="1"/>
  <c r="AL874" i="1"/>
  <c r="AO874" i="1"/>
  <c r="AR874" i="1"/>
  <c r="AV874" i="1"/>
  <c r="AY874" i="1"/>
  <c r="A875" i="1"/>
  <c r="C875" i="1"/>
  <c r="AI875" i="1"/>
  <c r="AL875" i="1"/>
  <c r="AO875" i="1"/>
  <c r="AR875" i="1"/>
  <c r="AV875" i="1"/>
  <c r="AY875" i="1"/>
  <c r="A876" i="1"/>
  <c r="C876" i="1"/>
  <c r="AI876" i="1"/>
  <c r="AL876" i="1"/>
  <c r="AO876" i="1"/>
  <c r="AR876" i="1"/>
  <c r="AV876" i="1"/>
  <c r="AY876" i="1"/>
  <c r="A877" i="1"/>
  <c r="C877" i="1"/>
  <c r="AI877" i="1"/>
  <c r="AL877" i="1"/>
  <c r="AO877" i="1"/>
  <c r="AR877" i="1"/>
  <c r="AV877" i="1"/>
  <c r="AY877" i="1"/>
  <c r="A878" i="1"/>
  <c r="C878" i="1"/>
  <c r="AI878" i="1"/>
  <c r="AL878" i="1"/>
  <c r="AO878" i="1"/>
  <c r="AR878" i="1"/>
  <c r="AV878" i="1"/>
  <c r="AY878" i="1"/>
  <c r="A879" i="1"/>
  <c r="C879" i="1"/>
  <c r="AI879" i="1"/>
  <c r="AL879" i="1"/>
  <c r="AO879" i="1"/>
  <c r="AR879" i="1"/>
  <c r="AV879" i="1"/>
  <c r="AY879" i="1"/>
  <c r="A880" i="1"/>
  <c r="C880" i="1"/>
  <c r="AI880" i="1"/>
  <c r="AL880" i="1"/>
  <c r="AO880" i="1"/>
  <c r="AR880" i="1"/>
  <c r="AV880" i="1"/>
  <c r="AY880" i="1"/>
  <c r="A881" i="1"/>
  <c r="C881" i="1"/>
  <c r="AI881" i="1"/>
  <c r="AL881" i="1"/>
  <c r="AO881" i="1"/>
  <c r="AR881" i="1"/>
  <c r="AV881" i="1"/>
  <c r="AY881" i="1"/>
  <c r="A882" i="1"/>
  <c r="C882" i="1"/>
  <c r="AI882" i="1"/>
  <c r="AL882" i="1"/>
  <c r="AO882" i="1"/>
  <c r="AR882" i="1"/>
  <c r="AV882" i="1"/>
  <c r="AY882" i="1"/>
  <c r="A883" i="1"/>
  <c r="C883" i="1"/>
  <c r="AI883" i="1"/>
  <c r="AL883" i="1"/>
  <c r="AO883" i="1"/>
  <c r="AR883" i="1"/>
  <c r="AV883" i="1"/>
  <c r="AY883" i="1"/>
  <c r="A884" i="1"/>
  <c r="C884" i="1"/>
  <c r="AI884" i="1"/>
  <c r="AL884" i="1"/>
  <c r="AO884" i="1"/>
  <c r="AR884" i="1"/>
  <c r="AV884" i="1"/>
  <c r="AY884" i="1"/>
  <c r="A885" i="1"/>
  <c r="C885" i="1"/>
  <c r="AI885" i="1"/>
  <c r="AL885" i="1"/>
  <c r="AO885" i="1"/>
  <c r="AR885" i="1"/>
  <c r="AV885" i="1"/>
  <c r="AY885" i="1"/>
  <c r="A886" i="1"/>
  <c r="C886" i="1"/>
  <c r="AI886" i="1"/>
  <c r="AL886" i="1"/>
  <c r="AO886" i="1"/>
  <c r="AR886" i="1"/>
  <c r="AV886" i="1"/>
  <c r="AY886" i="1"/>
  <c r="A887" i="1"/>
  <c r="C887" i="1"/>
  <c r="AI887" i="1"/>
  <c r="AL887" i="1"/>
  <c r="AO887" i="1"/>
  <c r="AR887" i="1"/>
  <c r="AV887" i="1"/>
  <c r="AY887" i="1"/>
  <c r="A888" i="1"/>
  <c r="C888" i="1"/>
  <c r="AI888" i="1"/>
  <c r="AL888" i="1"/>
  <c r="AO888" i="1"/>
  <c r="AR888" i="1"/>
  <c r="AV888" i="1"/>
  <c r="AY888" i="1"/>
  <c r="A889" i="1"/>
  <c r="C889" i="1"/>
  <c r="AI889" i="1"/>
  <c r="AL889" i="1"/>
  <c r="AO889" i="1"/>
  <c r="AR889" i="1"/>
  <c r="AV889" i="1"/>
  <c r="AY889" i="1"/>
  <c r="A890" i="1"/>
  <c r="C890" i="1"/>
  <c r="AI890" i="1"/>
  <c r="AL890" i="1"/>
  <c r="AO890" i="1"/>
  <c r="AR890" i="1"/>
  <c r="AV890" i="1"/>
  <c r="AY890" i="1"/>
  <c r="A891" i="1"/>
  <c r="C891" i="1"/>
  <c r="AI891" i="1"/>
  <c r="AL891" i="1"/>
  <c r="AO891" i="1"/>
  <c r="AR891" i="1"/>
  <c r="AV891" i="1"/>
  <c r="AY891" i="1"/>
  <c r="A892" i="1"/>
  <c r="C892" i="1"/>
  <c r="AI892" i="1"/>
  <c r="AL892" i="1"/>
  <c r="AO892" i="1"/>
  <c r="AR892" i="1"/>
  <c r="AV892" i="1"/>
  <c r="AY892" i="1"/>
  <c r="A893" i="1"/>
  <c r="C893" i="1"/>
  <c r="AI893" i="1"/>
  <c r="AL893" i="1"/>
  <c r="AO893" i="1"/>
  <c r="AR893" i="1"/>
  <c r="AV893" i="1"/>
  <c r="AY893" i="1"/>
  <c r="A894" i="1"/>
  <c r="C894" i="1"/>
  <c r="AI894" i="1"/>
  <c r="AL894" i="1"/>
  <c r="AO894" i="1"/>
  <c r="AR894" i="1"/>
  <c r="AV894" i="1"/>
  <c r="AY894" i="1"/>
  <c r="A895" i="1"/>
  <c r="C895" i="1"/>
  <c r="AI895" i="1"/>
  <c r="AL895" i="1"/>
  <c r="AO895" i="1"/>
  <c r="AR895" i="1"/>
  <c r="AV895" i="1"/>
  <c r="AY895" i="1"/>
  <c r="A896" i="1"/>
  <c r="C896" i="1"/>
  <c r="AI896" i="1"/>
  <c r="AL896" i="1"/>
  <c r="AO896" i="1"/>
  <c r="AR896" i="1"/>
  <c r="AV896" i="1"/>
  <c r="AY896" i="1"/>
  <c r="A897" i="1"/>
  <c r="C897" i="1"/>
  <c r="AI897" i="1"/>
  <c r="AL897" i="1"/>
  <c r="AO897" i="1"/>
  <c r="AR897" i="1"/>
  <c r="AV897" i="1"/>
  <c r="AY897" i="1"/>
  <c r="A898" i="1"/>
  <c r="C898" i="1"/>
  <c r="AI898" i="1"/>
  <c r="AL898" i="1"/>
  <c r="AO898" i="1"/>
  <c r="AR898" i="1"/>
  <c r="AV898" i="1"/>
  <c r="AY898" i="1"/>
  <c r="A899" i="1"/>
  <c r="C899" i="1"/>
  <c r="AI899" i="1"/>
  <c r="AL899" i="1"/>
  <c r="AO899" i="1"/>
  <c r="AR899" i="1"/>
  <c r="AV899" i="1"/>
  <c r="AY899" i="1"/>
  <c r="A900" i="1"/>
  <c r="C900" i="1"/>
  <c r="AI900" i="1"/>
  <c r="AL900" i="1"/>
  <c r="AO900" i="1"/>
  <c r="AR900" i="1"/>
  <c r="AV900" i="1"/>
  <c r="AY900" i="1"/>
  <c r="A901" i="1"/>
  <c r="C901" i="1"/>
  <c r="AI901" i="1"/>
  <c r="AL901" i="1"/>
  <c r="AO901" i="1"/>
  <c r="AR901" i="1"/>
  <c r="AV901" i="1"/>
  <c r="AY901" i="1"/>
  <c r="A902" i="1"/>
  <c r="C902" i="1"/>
  <c r="AI902" i="1"/>
  <c r="AL902" i="1"/>
  <c r="AO902" i="1"/>
  <c r="AR902" i="1"/>
  <c r="AV902" i="1"/>
  <c r="AY902" i="1"/>
  <c r="A11" i="1"/>
  <c r="AI11" i="1"/>
  <c r="AL11" i="1"/>
  <c r="AO11" i="1"/>
  <c r="AR11" i="1"/>
  <c r="AV11" i="1"/>
  <c r="AY11" i="1"/>
  <c r="A12" i="1"/>
  <c r="AI12" i="1"/>
  <c r="AL12" i="1"/>
  <c r="AO12" i="1"/>
  <c r="AR12" i="1"/>
  <c r="AV12" i="1"/>
  <c r="AY12" i="1"/>
  <c r="A13" i="1"/>
  <c r="AI13" i="1"/>
  <c r="AL13" i="1"/>
  <c r="AO13" i="1"/>
  <c r="AR13" i="1"/>
  <c r="AV13" i="1"/>
  <c r="AY13" i="1"/>
  <c r="A14" i="1"/>
  <c r="AI14" i="1"/>
  <c r="AL14" i="1"/>
  <c r="AO14" i="1"/>
  <c r="AR14" i="1"/>
  <c r="AV14" i="1"/>
  <c r="AY14" i="1"/>
  <c r="A15" i="1"/>
  <c r="AI15" i="1"/>
  <c r="AL15" i="1"/>
  <c r="AO15" i="1"/>
  <c r="AR15" i="1"/>
  <c r="AV15" i="1"/>
  <c r="AY15" i="1"/>
  <c r="A16" i="1"/>
  <c r="AI16" i="1"/>
  <c r="AL16" i="1"/>
  <c r="AO16" i="1"/>
  <c r="AR16" i="1"/>
  <c r="AV16" i="1"/>
  <c r="AY16" i="1"/>
  <c r="A17" i="1"/>
  <c r="AI17" i="1"/>
  <c r="AL17" i="1"/>
  <c r="AO17" i="1"/>
  <c r="AR17" i="1"/>
  <c r="AV17" i="1"/>
  <c r="AY17" i="1"/>
  <c r="A18" i="1"/>
  <c r="AI18" i="1"/>
  <c r="AL18" i="1"/>
  <c r="AO18" i="1"/>
  <c r="AR18" i="1"/>
  <c r="AV18" i="1"/>
  <c r="AY18" i="1"/>
  <c r="A903" i="1"/>
  <c r="C903" i="1"/>
  <c r="AI903" i="1"/>
  <c r="AL903" i="1"/>
  <c r="AO903" i="1"/>
  <c r="AR903" i="1"/>
  <c r="AV903" i="1"/>
  <c r="AY903" i="1"/>
  <c r="A904" i="1"/>
  <c r="C904" i="1"/>
  <c r="AI904" i="1"/>
  <c r="AL904" i="1"/>
  <c r="AO904" i="1"/>
  <c r="AR904" i="1"/>
  <c r="AV904" i="1"/>
  <c r="AY904" i="1"/>
  <c r="A905" i="1"/>
  <c r="C905" i="1"/>
  <c r="AI905" i="1"/>
  <c r="AL905" i="1"/>
  <c r="AO905" i="1"/>
  <c r="AR905" i="1"/>
  <c r="AV905" i="1"/>
  <c r="AY905" i="1"/>
  <c r="A906" i="1"/>
  <c r="C906" i="1"/>
  <c r="AI906" i="1"/>
  <c r="AL906" i="1"/>
  <c r="AO906" i="1"/>
  <c r="AR906" i="1"/>
  <c r="AV906" i="1"/>
  <c r="AY906" i="1"/>
  <c r="C914" i="1"/>
  <c r="C913" i="1"/>
  <c r="C912" i="1"/>
  <c r="C911" i="1"/>
  <c r="C910" i="1"/>
  <c r="C909" i="1"/>
  <c r="C908" i="1"/>
  <c r="C907" i="1"/>
  <c r="C4" i="1"/>
  <c r="A1" i="1"/>
  <c r="BA2" i="1" s="1"/>
  <c r="AE34" i="1" l="1"/>
  <c r="AF34" i="1" s="1"/>
  <c r="AE503" i="1"/>
  <c r="AF503" i="1" s="1"/>
  <c r="AE370" i="1"/>
  <c r="AF370" i="1" s="1"/>
  <c r="AE346" i="1"/>
  <c r="AF346" i="1" s="1"/>
  <c r="AE274" i="1"/>
  <c r="AF274" i="1" s="1"/>
  <c r="AE211" i="1"/>
  <c r="AF211" i="1" s="1"/>
  <c r="AE68" i="1"/>
  <c r="AF68" i="1" s="1"/>
  <c r="AE578" i="1"/>
  <c r="AF578" i="1" s="1"/>
  <c r="AE358" i="1"/>
  <c r="AF358" i="1" s="1"/>
  <c r="AE39" i="1"/>
  <c r="AF39" i="1" s="1"/>
  <c r="AE27" i="1"/>
  <c r="AF27" i="1" s="1"/>
  <c r="AE598" i="1"/>
  <c r="AF598" i="1" s="1"/>
  <c r="AE443" i="1"/>
  <c r="AF443" i="1" s="1"/>
  <c r="AE76" i="1"/>
  <c r="AF76" i="1" s="1"/>
  <c r="AE891" i="1"/>
  <c r="AF891" i="1" s="1"/>
  <c r="AE753" i="1"/>
  <c r="AF753" i="1" s="1"/>
  <c r="AE453" i="1"/>
  <c r="AF453" i="1" s="1"/>
  <c r="AE747" i="1"/>
  <c r="AF747" i="1" s="1"/>
  <c r="AE486" i="1"/>
  <c r="AF486" i="1" s="1"/>
  <c r="AE474" i="1"/>
  <c r="AF474" i="1" s="1"/>
  <c r="AE462" i="1"/>
  <c r="AF462" i="1" s="1"/>
  <c r="AE842" i="1"/>
  <c r="AF842" i="1" s="1"/>
  <c r="AE337" i="1"/>
  <c r="AF337" i="1" s="1"/>
  <c r="AE301" i="1"/>
  <c r="AF301" i="1" s="1"/>
  <c r="AE604" i="1"/>
  <c r="AF604" i="1" s="1"/>
  <c r="AE836" i="1"/>
  <c r="AF836" i="1" s="1"/>
  <c r="AE489" i="1"/>
  <c r="AF489" i="1" s="1"/>
  <c r="AE845" i="1"/>
  <c r="AF845" i="1" s="1"/>
  <c r="AE233" i="1"/>
  <c r="AF233" i="1" s="1"/>
  <c r="AE897" i="1"/>
  <c r="AF897" i="1" s="1"/>
  <c r="AE882" i="1"/>
  <c r="AF882" i="1" s="1"/>
  <c r="AE879" i="1"/>
  <c r="AF879" i="1" s="1"/>
  <c r="AE873" i="1"/>
  <c r="AF873" i="1" s="1"/>
  <c r="AE867" i="1"/>
  <c r="AF867" i="1" s="1"/>
  <c r="AE864" i="1"/>
  <c r="AF864" i="1" s="1"/>
  <c r="AE861" i="1"/>
  <c r="AF861" i="1" s="1"/>
  <c r="AE855" i="1"/>
  <c r="AF855" i="1" s="1"/>
  <c r="AE825" i="1"/>
  <c r="AF825" i="1" s="1"/>
  <c r="AE819" i="1"/>
  <c r="AF819" i="1" s="1"/>
  <c r="AE783" i="1"/>
  <c r="AF783" i="1" s="1"/>
  <c r="AE765" i="1"/>
  <c r="AF765" i="1" s="1"/>
  <c r="AE112" i="1"/>
  <c r="AF112" i="1" s="1"/>
  <c r="AE64" i="1"/>
  <c r="AF64" i="1" s="1"/>
  <c r="AE52" i="1"/>
  <c r="AF52" i="1" s="1"/>
  <c r="AE839" i="1"/>
  <c r="AF839" i="1" s="1"/>
  <c r="AE122" i="1"/>
  <c r="AF122" i="1" s="1"/>
  <c r="AE105" i="1"/>
  <c r="AF105" i="1" s="1"/>
  <c r="AE833" i="1"/>
  <c r="AF833" i="1" s="1"/>
  <c r="AE885" i="1"/>
  <c r="AF885" i="1" s="1"/>
  <c r="AE744" i="1"/>
  <c r="AF744" i="1" s="1"/>
  <c r="AE741" i="1"/>
  <c r="AF741" i="1" s="1"/>
  <c r="AE729" i="1"/>
  <c r="AF729" i="1" s="1"/>
  <c r="AE726" i="1"/>
  <c r="AF726" i="1" s="1"/>
  <c r="AE723" i="1"/>
  <c r="AF723" i="1" s="1"/>
  <c r="AE717" i="1"/>
  <c r="AF717" i="1" s="1"/>
  <c r="AE687" i="1"/>
  <c r="AF687" i="1" s="1"/>
  <c r="AE675" i="1"/>
  <c r="AF675" i="1" s="1"/>
  <c r="AE663" i="1"/>
  <c r="AF663" i="1" s="1"/>
  <c r="AE651" i="1"/>
  <c r="AF651" i="1" s="1"/>
  <c r="AE639" i="1"/>
  <c r="AF639" i="1" s="1"/>
  <c r="AE603" i="1"/>
  <c r="AF603" i="1" s="1"/>
  <c r="AE574" i="1"/>
  <c r="AF574" i="1" s="1"/>
  <c r="AE242" i="1"/>
  <c r="AF242" i="1" s="1"/>
  <c r="AE230" i="1"/>
  <c r="AF230" i="1" s="1"/>
  <c r="AE616" i="1"/>
  <c r="AF616" i="1" s="1"/>
  <c r="AE575" i="1"/>
  <c r="AF575" i="1" s="1"/>
  <c r="AE848" i="1"/>
  <c r="AF848" i="1" s="1"/>
  <c r="AE260" i="1"/>
  <c r="AF260" i="1" s="1"/>
  <c r="AE221" i="1"/>
  <c r="AF221" i="1" s="1"/>
  <c r="AE904" i="1"/>
  <c r="AF904" i="1" s="1"/>
  <c r="AE680" i="1"/>
  <c r="AF680" i="1" s="1"/>
  <c r="AE668" i="1"/>
  <c r="AF668" i="1" s="1"/>
  <c r="AE322" i="1"/>
  <c r="AF322" i="1" s="1"/>
  <c r="AE310" i="1"/>
  <c r="AF310" i="1" s="1"/>
  <c r="AE127" i="1"/>
  <c r="AF127" i="1" s="1"/>
  <c r="AE245" i="1"/>
  <c r="AF245" i="1" s="1"/>
  <c r="AE888" i="1"/>
  <c r="AF888" i="1" s="1"/>
  <c r="AE763" i="1"/>
  <c r="AF763" i="1" s="1"/>
  <c r="AE509" i="1"/>
  <c r="AF509" i="1" s="1"/>
  <c r="AE107" i="1"/>
  <c r="AF107" i="1" s="1"/>
  <c r="AE815" i="1"/>
  <c r="AF815" i="1" s="1"/>
  <c r="AE812" i="1"/>
  <c r="AF812" i="1" s="1"/>
  <c r="AE809" i="1"/>
  <c r="AF809" i="1" s="1"/>
  <c r="AE757" i="1"/>
  <c r="AF757" i="1" s="1"/>
  <c r="AE754" i="1"/>
  <c r="AF754" i="1" s="1"/>
  <c r="AE714" i="1"/>
  <c r="AF714" i="1" s="1"/>
  <c r="AE711" i="1"/>
  <c r="AF711" i="1" s="1"/>
  <c r="AE693" i="1"/>
  <c r="AF693" i="1" s="1"/>
  <c r="AE690" i="1"/>
  <c r="AF690" i="1" s="1"/>
  <c r="AE676" i="1"/>
  <c r="AF676" i="1" s="1"/>
  <c r="AE430" i="1"/>
  <c r="AF430" i="1" s="1"/>
  <c r="AE418" i="1"/>
  <c r="AF418" i="1" s="1"/>
  <c r="AE906" i="1"/>
  <c r="AF906" i="1" s="1"/>
  <c r="AE874" i="1"/>
  <c r="AF874" i="1" s="1"/>
  <c r="AE739" i="1"/>
  <c r="AF739" i="1" s="1"/>
  <c r="AE898" i="1"/>
  <c r="AF898" i="1" s="1"/>
  <c r="AE862" i="1"/>
  <c r="AF862" i="1" s="1"/>
  <c r="AE730" i="1"/>
  <c r="AF730" i="1" s="1"/>
  <c r="AE770" i="1"/>
  <c r="AF770" i="1" s="1"/>
  <c r="AE800" i="1"/>
  <c r="AF800" i="1" s="1"/>
  <c r="AE831" i="1"/>
  <c r="AF831" i="1" s="1"/>
  <c r="AE779" i="1"/>
  <c r="AF779" i="1" s="1"/>
  <c r="AE767" i="1"/>
  <c r="AF767" i="1" s="1"/>
  <c r="AE652" i="1"/>
  <c r="AF652" i="1" s="1"/>
  <c r="AE816" i="1"/>
  <c r="AF816" i="1" s="1"/>
  <c r="AE813" i="1"/>
  <c r="AF813" i="1" s="1"/>
  <c r="AE795" i="1"/>
  <c r="AF795" i="1" s="1"/>
  <c r="AE792" i="1"/>
  <c r="AF792" i="1" s="1"/>
  <c r="AE789" i="1"/>
  <c r="AF789" i="1" s="1"/>
  <c r="AE786" i="1"/>
  <c r="AF786" i="1" s="1"/>
  <c r="AE703" i="1"/>
  <c r="AF703" i="1" s="1"/>
  <c r="AE700" i="1"/>
  <c r="AF700" i="1" s="1"/>
  <c r="AE697" i="1"/>
  <c r="AF697" i="1" s="1"/>
  <c r="AE694" i="1"/>
  <c r="AF694" i="1" s="1"/>
  <c r="AE691" i="1"/>
  <c r="AF691" i="1" s="1"/>
  <c r="AE688" i="1"/>
  <c r="AF688" i="1" s="1"/>
  <c r="AE411" i="1"/>
  <c r="AF411" i="1" s="1"/>
  <c r="AE101" i="1"/>
  <c r="AF101" i="1" s="1"/>
  <c r="AE98" i="1"/>
  <c r="AF98" i="1" s="1"/>
  <c r="AE89" i="1"/>
  <c r="AF89" i="1" s="1"/>
  <c r="AE86" i="1"/>
  <c r="AF86" i="1" s="1"/>
  <c r="AE33" i="1"/>
  <c r="AF33" i="1" s="1"/>
  <c r="AE849" i="1"/>
  <c r="AF849" i="1" s="1"/>
  <c r="AE797" i="1"/>
  <c r="AF797" i="1" s="1"/>
  <c r="AE843" i="1"/>
  <c r="AF843" i="1" s="1"/>
  <c r="AE203" i="1"/>
  <c r="AF203" i="1" s="1"/>
  <c r="AE727" i="1"/>
  <c r="AF727" i="1" s="1"/>
  <c r="AE838" i="1"/>
  <c r="AF838" i="1" s="1"/>
  <c r="AE392" i="1"/>
  <c r="AF392" i="1" s="1"/>
  <c r="AE315" i="1"/>
  <c r="AF315" i="1" s="1"/>
  <c r="AE291" i="1"/>
  <c r="AF291" i="1" s="1"/>
  <c r="AE262" i="1"/>
  <c r="AF262" i="1" s="1"/>
  <c r="AE65" i="1"/>
  <c r="AF65" i="1" s="1"/>
  <c r="AE53" i="1"/>
  <c r="AF53" i="1" s="1"/>
  <c r="AE50" i="1"/>
  <c r="AF50" i="1" s="1"/>
  <c r="AE858" i="1"/>
  <c r="AF858" i="1" s="1"/>
  <c r="AE769" i="1"/>
  <c r="AF769" i="1" s="1"/>
  <c r="AE806" i="1"/>
  <c r="AF806" i="1" s="1"/>
  <c r="AE877" i="1"/>
  <c r="AF877" i="1" s="1"/>
  <c r="AE822" i="1"/>
  <c r="AF822" i="1" s="1"/>
  <c r="AE724" i="1"/>
  <c r="AF724" i="1" s="1"/>
  <c r="AE890" i="1"/>
  <c r="AF890" i="1" s="1"/>
  <c r="AE841" i="1"/>
  <c r="AF841" i="1" s="1"/>
  <c r="AE832" i="1"/>
  <c r="AF832" i="1" s="1"/>
  <c r="AE884" i="1"/>
  <c r="AF884" i="1" s="1"/>
  <c r="AE881" i="1"/>
  <c r="AF881" i="1" s="1"/>
  <c r="AE878" i="1"/>
  <c r="AF878" i="1" s="1"/>
  <c r="AE875" i="1"/>
  <c r="AF875" i="1" s="1"/>
  <c r="AE780" i="1"/>
  <c r="AF780" i="1" s="1"/>
  <c r="AE777" i="1"/>
  <c r="AF777" i="1" s="1"/>
  <c r="AE740" i="1"/>
  <c r="AF740" i="1" s="1"/>
  <c r="AE737" i="1"/>
  <c r="AF737" i="1" s="1"/>
  <c r="AE332" i="1"/>
  <c r="AF332" i="1" s="1"/>
  <c r="AE308" i="1"/>
  <c r="AF308" i="1" s="1"/>
  <c r="AE296" i="1"/>
  <c r="AF296" i="1" s="1"/>
  <c r="AE240" i="1"/>
  <c r="AF240" i="1" s="1"/>
  <c r="AE228" i="1"/>
  <c r="AF228" i="1" s="1"/>
  <c r="AE199" i="1"/>
  <c r="AF199" i="1" s="1"/>
  <c r="AE190" i="1"/>
  <c r="AF190" i="1" s="1"/>
  <c r="AE178" i="1"/>
  <c r="AF178" i="1" s="1"/>
  <c r="AE166" i="1"/>
  <c r="AF166" i="1" s="1"/>
  <c r="AE130" i="1"/>
  <c r="AF130" i="1" s="1"/>
  <c r="AE766" i="1"/>
  <c r="AF766" i="1" s="1"/>
  <c r="AE828" i="1"/>
  <c r="AF828" i="1" s="1"/>
  <c r="AE871" i="1"/>
  <c r="AF871" i="1" s="1"/>
  <c r="AE782" i="1"/>
  <c r="AF782" i="1" s="1"/>
  <c r="AE773" i="1"/>
  <c r="AF773" i="1" s="1"/>
  <c r="AE835" i="1"/>
  <c r="AF835" i="1" s="1"/>
  <c r="AE826" i="1"/>
  <c r="AF826" i="1" s="1"/>
  <c r="AE905" i="1"/>
  <c r="AF905" i="1" s="1"/>
  <c r="AE900" i="1"/>
  <c r="AF900" i="1" s="1"/>
  <c r="AE732" i="1"/>
  <c r="AF732" i="1" s="1"/>
  <c r="AE316" i="1"/>
  <c r="AF316" i="1" s="1"/>
  <c r="AE304" i="1"/>
  <c r="AF304" i="1" s="1"/>
  <c r="AE280" i="1"/>
  <c r="AF280" i="1" s="1"/>
  <c r="AE224" i="1"/>
  <c r="AF224" i="1" s="1"/>
  <c r="AE209" i="1"/>
  <c r="AF209" i="1" s="1"/>
  <c r="AE176" i="1"/>
  <c r="AF176" i="1" s="1"/>
  <c r="AE92" i="1"/>
  <c r="AF92" i="1" s="1"/>
  <c r="AE901" i="1"/>
  <c r="AF901" i="1" s="1"/>
  <c r="AE720" i="1"/>
  <c r="AF720" i="1" s="1"/>
  <c r="AE846" i="1"/>
  <c r="AF846" i="1" s="1"/>
  <c r="AE865" i="1"/>
  <c r="AF865" i="1" s="1"/>
  <c r="AE776" i="1"/>
  <c r="AF776" i="1" s="1"/>
  <c r="AE664" i="1"/>
  <c r="AF664" i="1" s="1"/>
  <c r="AE887" i="1"/>
  <c r="AF887" i="1" s="1"/>
  <c r="AE894" i="1"/>
  <c r="AF894" i="1" s="1"/>
  <c r="AE854" i="1"/>
  <c r="AF854" i="1" s="1"/>
  <c r="AE851" i="1"/>
  <c r="AF851" i="1" s="1"/>
  <c r="AE805" i="1"/>
  <c r="AF805" i="1" s="1"/>
  <c r="AE802" i="1"/>
  <c r="AF802" i="1" s="1"/>
  <c r="AE799" i="1"/>
  <c r="AF799" i="1" s="1"/>
  <c r="AE796" i="1"/>
  <c r="AF796" i="1" s="1"/>
  <c r="AE793" i="1"/>
  <c r="AF793" i="1" s="1"/>
  <c r="AE790" i="1"/>
  <c r="AF790" i="1" s="1"/>
  <c r="AE787" i="1"/>
  <c r="AF787" i="1" s="1"/>
  <c r="AE784" i="1"/>
  <c r="AF784" i="1" s="1"/>
  <c r="AE759" i="1"/>
  <c r="AF759" i="1" s="1"/>
  <c r="AE716" i="1"/>
  <c r="AF716" i="1" s="1"/>
  <c r="AE710" i="1"/>
  <c r="AF710" i="1" s="1"/>
  <c r="AE707" i="1"/>
  <c r="AF707" i="1" s="1"/>
  <c r="AE704" i="1"/>
  <c r="AF704" i="1" s="1"/>
  <c r="AE701" i="1"/>
  <c r="AF701" i="1" s="1"/>
  <c r="AE686" i="1"/>
  <c r="AF686" i="1" s="1"/>
  <c r="AE683" i="1"/>
  <c r="AF683" i="1" s="1"/>
  <c r="AE605" i="1"/>
  <c r="AF605" i="1" s="1"/>
  <c r="AE477" i="1"/>
  <c r="AF477" i="1" s="1"/>
  <c r="AE431" i="1"/>
  <c r="AF431" i="1" s="1"/>
  <c r="AE200" i="1"/>
  <c r="AF200" i="1" s="1"/>
  <c r="AE191" i="1"/>
  <c r="AF191" i="1" s="1"/>
  <c r="AE143" i="1"/>
  <c r="AF143" i="1" s="1"/>
  <c r="AE131" i="1"/>
  <c r="AF131" i="1" s="1"/>
  <c r="AE852" i="1"/>
  <c r="AF852" i="1" s="1"/>
  <c r="AE818" i="1"/>
  <c r="AF818" i="1" s="1"/>
  <c r="AE803" i="1"/>
  <c r="AF803" i="1" s="1"/>
  <c r="AE837" i="1"/>
  <c r="AF837" i="1" s="1"/>
  <c r="AE868" i="1"/>
  <c r="AF868" i="1" s="1"/>
  <c r="AE733" i="1"/>
  <c r="AF733" i="1" s="1"/>
  <c r="AE628" i="1"/>
  <c r="AF628" i="1" s="1"/>
  <c r="AE829" i="1"/>
  <c r="AF829" i="1" s="1"/>
  <c r="AE646" i="1"/>
  <c r="AF646" i="1" s="1"/>
  <c r="AE622" i="1"/>
  <c r="AF622" i="1" s="1"/>
  <c r="AE531" i="1"/>
  <c r="AF531" i="1" s="1"/>
  <c r="AE473" i="1"/>
  <c r="AF473" i="1" s="1"/>
  <c r="AE461" i="1"/>
  <c r="AF461" i="1" s="1"/>
  <c r="AE436" i="1"/>
  <c r="AF436" i="1" s="1"/>
  <c r="AE424" i="1"/>
  <c r="AF424" i="1" s="1"/>
  <c r="AE412" i="1"/>
  <c r="AF412" i="1" s="1"/>
  <c r="AE172" i="1"/>
  <c r="AF172" i="1" s="1"/>
  <c r="AE148" i="1"/>
  <c r="AF148" i="1" s="1"/>
  <c r="AE859" i="1"/>
  <c r="AF859" i="1" s="1"/>
  <c r="AE529" i="1"/>
  <c r="AF529" i="1" s="1"/>
  <c r="AE398" i="1"/>
  <c r="AF398" i="1" s="1"/>
  <c r="AE708" i="1"/>
  <c r="AF708" i="1" s="1"/>
  <c r="AE705" i="1"/>
  <c r="AF705" i="1" s="1"/>
  <c r="AE699" i="1"/>
  <c r="AF699" i="1" s="1"/>
  <c r="AE856" i="1"/>
  <c r="AF856" i="1" s="1"/>
  <c r="AE764" i="1"/>
  <c r="AF764" i="1" s="1"/>
  <c r="AE872" i="1"/>
  <c r="AF872" i="1" s="1"/>
  <c r="AE869" i="1"/>
  <c r="AF869" i="1" s="1"/>
  <c r="AE810" i="1"/>
  <c r="AF810" i="1" s="1"/>
  <c r="AE807" i="1"/>
  <c r="AF807" i="1" s="1"/>
  <c r="AE801" i="1"/>
  <c r="AF801" i="1" s="1"/>
  <c r="AE721" i="1"/>
  <c r="AF721" i="1" s="1"/>
  <c r="AE718" i="1"/>
  <c r="AF718" i="1" s="1"/>
  <c r="AE823" i="1"/>
  <c r="AF823" i="1" s="1"/>
  <c r="AE820" i="1"/>
  <c r="AF820" i="1" s="1"/>
  <c r="AE774" i="1"/>
  <c r="AF774" i="1" s="1"/>
  <c r="AE771" i="1"/>
  <c r="AF771" i="1" s="1"/>
  <c r="AE734" i="1"/>
  <c r="AF734" i="1" s="1"/>
  <c r="AE731" i="1"/>
  <c r="AF731" i="1" s="1"/>
  <c r="AE895" i="1"/>
  <c r="AF895" i="1" s="1"/>
  <c r="AE892" i="1"/>
  <c r="AF892" i="1" s="1"/>
  <c r="AE698" i="1"/>
  <c r="AF698" i="1" s="1"/>
  <c r="AE695" i="1"/>
  <c r="AF695" i="1" s="1"/>
  <c r="AE735" i="1"/>
  <c r="AF735" i="1" s="1"/>
  <c r="AE586" i="1"/>
  <c r="AF586" i="1" s="1"/>
  <c r="AE497" i="1"/>
  <c r="AF497" i="1" s="1"/>
  <c r="AE376" i="1"/>
  <c r="AF376" i="1" s="1"/>
  <c r="AE113" i="1"/>
  <c r="AF113" i="1" s="1"/>
  <c r="AE25" i="1"/>
  <c r="AF25" i="1" s="1"/>
  <c r="AE640" i="1"/>
  <c r="AF640" i="1" s="1"/>
  <c r="AE569" i="1"/>
  <c r="AF569" i="1" s="1"/>
  <c r="AE434" i="1"/>
  <c r="AF434" i="1" s="1"/>
  <c r="AE405" i="1"/>
  <c r="AF405" i="1" s="1"/>
  <c r="AE388" i="1"/>
  <c r="AF388" i="1" s="1"/>
  <c r="AE364" i="1"/>
  <c r="AF364" i="1" s="1"/>
  <c r="AE352" i="1"/>
  <c r="AF352" i="1" s="1"/>
  <c r="AE287" i="1"/>
  <c r="AF287" i="1" s="1"/>
  <c r="AE270" i="1"/>
  <c r="AF270" i="1" s="1"/>
  <c r="AE231" i="1"/>
  <c r="AF231" i="1" s="1"/>
  <c r="AE197" i="1"/>
  <c r="AF197" i="1" s="1"/>
  <c r="AE188" i="1"/>
  <c r="AF188" i="1" s="1"/>
  <c r="AE167" i="1"/>
  <c r="AF167" i="1" s="1"/>
  <c r="AE164" i="1"/>
  <c r="AF164" i="1" s="1"/>
  <c r="AE152" i="1"/>
  <c r="AF152" i="1" s="1"/>
  <c r="AE147" i="1"/>
  <c r="AF147" i="1" s="1"/>
  <c r="AE62" i="1"/>
  <c r="AF62" i="1" s="1"/>
  <c r="AE475" i="1"/>
  <c r="AF475" i="1" s="1"/>
  <c r="AE32" i="1"/>
  <c r="AF32" i="1" s="1"/>
  <c r="AE761" i="1"/>
  <c r="AF761" i="1" s="1"/>
  <c r="AE899" i="1"/>
  <c r="AF899" i="1" s="1"/>
  <c r="AE866" i="1"/>
  <c r="AF866" i="1" s="1"/>
  <c r="AE840" i="1"/>
  <c r="AF840" i="1" s="1"/>
  <c r="AE794" i="1"/>
  <c r="AF794" i="1" s="1"/>
  <c r="AE791" i="1"/>
  <c r="AF791" i="1" s="1"/>
  <c r="AE781" i="1"/>
  <c r="AF781" i="1" s="1"/>
  <c r="AE778" i="1"/>
  <c r="AF778" i="1" s="1"/>
  <c r="AE768" i="1"/>
  <c r="AF768" i="1" s="1"/>
  <c r="AE618" i="1"/>
  <c r="AF618" i="1" s="1"/>
  <c r="AE589" i="1"/>
  <c r="AF589" i="1" s="1"/>
  <c r="AE580" i="1"/>
  <c r="AF580" i="1" s="1"/>
  <c r="AE577" i="1"/>
  <c r="AF577" i="1" s="1"/>
  <c r="AE530" i="1"/>
  <c r="AF530" i="1" s="1"/>
  <c r="AE502" i="1"/>
  <c r="AF502" i="1" s="1"/>
  <c r="AE490" i="1"/>
  <c r="AF490" i="1" s="1"/>
  <c r="AE485" i="1"/>
  <c r="AF485" i="1" s="1"/>
  <c r="AE439" i="1"/>
  <c r="AF439" i="1" s="1"/>
  <c r="AE340" i="1"/>
  <c r="AF340" i="1" s="1"/>
  <c r="AE328" i="1"/>
  <c r="AF328" i="1" s="1"/>
  <c r="AE292" i="1"/>
  <c r="AF292" i="1" s="1"/>
  <c r="AE263" i="1"/>
  <c r="AF263" i="1" s="1"/>
  <c r="AE251" i="1"/>
  <c r="AF251" i="1" s="1"/>
  <c r="AE241" i="1"/>
  <c r="AF241" i="1" s="1"/>
  <c r="AE140" i="1"/>
  <c r="AF140" i="1" s="1"/>
  <c r="AE118" i="1"/>
  <c r="AF118" i="1" s="1"/>
  <c r="AE579" i="1"/>
  <c r="AF579" i="1" s="1"/>
  <c r="AE850" i="1"/>
  <c r="AF850" i="1" s="1"/>
  <c r="AE827" i="1"/>
  <c r="AF827" i="1" s="1"/>
  <c r="AE817" i="1"/>
  <c r="AF817" i="1" s="1"/>
  <c r="AE814" i="1"/>
  <c r="AF814" i="1" s="1"/>
  <c r="AE804" i="1"/>
  <c r="AF804" i="1" s="1"/>
  <c r="AE738" i="1"/>
  <c r="AF738" i="1" s="1"/>
  <c r="AE728" i="1"/>
  <c r="AF728" i="1" s="1"/>
  <c r="AE725" i="1"/>
  <c r="AF725" i="1" s="1"/>
  <c r="AE712" i="1"/>
  <c r="AF712" i="1" s="1"/>
  <c r="AE702" i="1"/>
  <c r="AF702" i="1" s="1"/>
  <c r="AE692" i="1"/>
  <c r="AF692" i="1" s="1"/>
  <c r="AE689" i="1"/>
  <c r="AF689" i="1" s="1"/>
  <c r="AE758" i="1"/>
  <c r="AF758" i="1" s="1"/>
  <c r="AE755" i="1"/>
  <c r="AF755" i="1" s="1"/>
  <c r="AE745" i="1"/>
  <c r="AF745" i="1" s="1"/>
  <c r="AE742" i="1"/>
  <c r="AF742" i="1" s="1"/>
  <c r="AE647" i="1"/>
  <c r="AF647" i="1" s="1"/>
  <c r="AE623" i="1"/>
  <c r="AF623" i="1" s="1"/>
  <c r="AE599" i="1"/>
  <c r="AF599" i="1" s="1"/>
  <c r="AE587" i="1"/>
  <c r="AF587" i="1" s="1"/>
  <c r="AE570" i="1"/>
  <c r="AF570" i="1" s="1"/>
  <c r="AE495" i="1"/>
  <c r="AF495" i="1" s="1"/>
  <c r="AE454" i="1"/>
  <c r="AF454" i="1" s="1"/>
  <c r="AE449" i="1"/>
  <c r="AF449" i="1" s="1"/>
  <c r="AE420" i="1"/>
  <c r="AF420" i="1" s="1"/>
  <c r="AE403" i="1"/>
  <c r="AF403" i="1" s="1"/>
  <c r="AE386" i="1"/>
  <c r="AF386" i="1" s="1"/>
  <c r="AE362" i="1"/>
  <c r="AF362" i="1" s="1"/>
  <c r="AE350" i="1"/>
  <c r="AF350" i="1" s="1"/>
  <c r="AE333" i="1"/>
  <c r="AF333" i="1" s="1"/>
  <c r="AE321" i="1"/>
  <c r="AF321" i="1" s="1"/>
  <c r="AE268" i="1"/>
  <c r="AF268" i="1" s="1"/>
  <c r="AE256" i="1"/>
  <c r="AF256" i="1" s="1"/>
  <c r="AE229" i="1"/>
  <c r="AF229" i="1" s="1"/>
  <c r="AE145" i="1"/>
  <c r="AF145" i="1" s="1"/>
  <c r="AE128" i="1"/>
  <c r="AF128" i="1" s="1"/>
  <c r="AE106" i="1"/>
  <c r="AF106" i="1" s="1"/>
  <c r="AE94" i="1"/>
  <c r="AF94" i="1" s="1"/>
  <c r="AE82" i="1"/>
  <c r="AF82" i="1" s="1"/>
  <c r="AE684" i="1"/>
  <c r="AF684" i="1" s="1"/>
  <c r="AE673" i="1"/>
  <c r="AF673" i="1" s="1"/>
  <c r="AE429" i="1"/>
  <c r="AF429" i="1" s="1"/>
  <c r="AE400" i="1"/>
  <c r="AF400" i="1" s="1"/>
  <c r="AE159" i="1"/>
  <c r="AF159" i="1" s="1"/>
  <c r="AE142" i="1"/>
  <c r="AF142" i="1" s="1"/>
  <c r="AE748" i="1"/>
  <c r="AF748" i="1" s="1"/>
  <c r="AE886" i="1"/>
  <c r="AF886" i="1" s="1"/>
  <c r="AE863" i="1"/>
  <c r="AF863" i="1" s="1"/>
  <c r="AE880" i="1"/>
  <c r="AF880" i="1" s="1"/>
  <c r="AE860" i="1"/>
  <c r="AF860" i="1" s="1"/>
  <c r="AE824" i="1"/>
  <c r="AF824" i="1" s="1"/>
  <c r="AE722" i="1"/>
  <c r="AF722" i="1" s="1"/>
  <c r="AE685" i="1"/>
  <c r="AF685" i="1" s="1"/>
  <c r="AE483" i="1"/>
  <c r="AF483" i="1" s="1"/>
  <c r="AE471" i="1"/>
  <c r="AF471" i="1" s="1"/>
  <c r="AE459" i="1"/>
  <c r="AF459" i="1" s="1"/>
  <c r="AE437" i="1"/>
  <c r="AF437" i="1" s="1"/>
  <c r="AE425" i="1"/>
  <c r="AF425" i="1" s="1"/>
  <c r="AE394" i="1"/>
  <c r="AF394" i="1" s="1"/>
  <c r="AE382" i="1"/>
  <c r="AF382" i="1" s="1"/>
  <c r="AE326" i="1"/>
  <c r="AF326" i="1" s="1"/>
  <c r="AE314" i="1"/>
  <c r="AF314" i="1" s="1"/>
  <c r="AE302" i="1"/>
  <c r="AF302" i="1" s="1"/>
  <c r="AE290" i="1"/>
  <c r="AF290" i="1" s="1"/>
  <c r="AE278" i="1"/>
  <c r="AF278" i="1" s="1"/>
  <c r="AE273" i="1"/>
  <c r="AF273" i="1" s="1"/>
  <c r="AE246" i="1"/>
  <c r="AF246" i="1" s="1"/>
  <c r="AE217" i="1"/>
  <c r="AF217" i="1" s="1"/>
  <c r="AE116" i="1"/>
  <c r="AF116" i="1" s="1"/>
  <c r="AE111" i="1"/>
  <c r="AF111" i="1" s="1"/>
  <c r="AE70" i="1"/>
  <c r="AF70" i="1" s="1"/>
  <c r="AE31" i="1"/>
  <c r="AF31" i="1" s="1"/>
  <c r="AE28" i="1"/>
  <c r="AF28" i="1" s="1"/>
  <c r="AE751" i="1"/>
  <c r="AF751" i="1" s="1"/>
  <c r="AE853" i="1"/>
  <c r="AF853" i="1" s="1"/>
  <c r="AE830" i="1"/>
  <c r="AF830" i="1" s="1"/>
  <c r="AE893" i="1"/>
  <c r="AF893" i="1" s="1"/>
  <c r="AE844" i="1"/>
  <c r="AF844" i="1" s="1"/>
  <c r="AE772" i="1"/>
  <c r="AF772" i="1" s="1"/>
  <c r="AE13" i="1"/>
  <c r="AF13" i="1" s="1"/>
  <c r="AE762" i="1"/>
  <c r="AF762" i="1" s="1"/>
  <c r="AE752" i="1"/>
  <c r="AF752" i="1" s="1"/>
  <c r="AE749" i="1"/>
  <c r="AF749" i="1" s="1"/>
  <c r="AE645" i="1"/>
  <c r="AF645" i="1" s="1"/>
  <c r="AE633" i="1"/>
  <c r="AF633" i="1" s="1"/>
  <c r="AE621" i="1"/>
  <c r="AF621" i="1" s="1"/>
  <c r="AE609" i="1"/>
  <c r="AF609" i="1" s="1"/>
  <c r="AE602" i="1"/>
  <c r="AF602" i="1" s="1"/>
  <c r="AE592" i="1"/>
  <c r="AF592" i="1" s="1"/>
  <c r="AE488" i="1"/>
  <c r="AF488" i="1" s="1"/>
  <c r="AE450" i="1"/>
  <c r="AF450" i="1" s="1"/>
  <c r="AE447" i="1"/>
  <c r="AF447" i="1" s="1"/>
  <c r="AE401" i="1"/>
  <c r="AF401" i="1" s="1"/>
  <c r="AE298" i="1"/>
  <c r="AF298" i="1" s="1"/>
  <c r="AE266" i="1"/>
  <c r="AF266" i="1" s="1"/>
  <c r="AE254" i="1"/>
  <c r="AF254" i="1" s="1"/>
  <c r="AE239" i="1"/>
  <c r="AF239" i="1" s="1"/>
  <c r="AE227" i="1"/>
  <c r="AF227" i="1" s="1"/>
  <c r="AE205" i="1"/>
  <c r="AF205" i="1" s="1"/>
  <c r="AE184" i="1"/>
  <c r="AF184" i="1" s="1"/>
  <c r="AE160" i="1"/>
  <c r="AF160" i="1" s="1"/>
  <c r="AE104" i="1"/>
  <c r="AF104" i="1" s="1"/>
  <c r="AE95" i="1"/>
  <c r="AF95" i="1" s="1"/>
  <c r="AE80" i="1"/>
  <c r="AF80" i="1" s="1"/>
  <c r="AE75" i="1"/>
  <c r="AF75" i="1" s="1"/>
  <c r="AE58" i="1"/>
  <c r="AF58" i="1" s="1"/>
  <c r="AE21" i="1"/>
  <c r="AF21" i="1" s="1"/>
  <c r="AE91" i="1"/>
  <c r="AF91" i="1" s="1"/>
  <c r="AE876" i="1"/>
  <c r="AF876" i="1" s="1"/>
  <c r="AE821" i="1"/>
  <c r="AF821" i="1" s="1"/>
  <c r="AE811" i="1"/>
  <c r="AF811" i="1" s="1"/>
  <c r="AE736" i="1"/>
  <c r="AF736" i="1" s="1"/>
  <c r="AE713" i="1"/>
  <c r="AF713" i="1" s="1"/>
  <c r="AE682" i="1"/>
  <c r="AF682" i="1" s="1"/>
  <c r="AE670" i="1"/>
  <c r="AF670" i="1" s="1"/>
  <c r="AE650" i="1"/>
  <c r="AF650" i="1" s="1"/>
  <c r="AE626" i="1"/>
  <c r="AF626" i="1" s="1"/>
  <c r="AE597" i="1"/>
  <c r="AF597" i="1" s="1"/>
  <c r="AE573" i="1"/>
  <c r="AF573" i="1" s="1"/>
  <c r="AE501" i="1"/>
  <c r="AF501" i="1" s="1"/>
  <c r="AE452" i="1"/>
  <c r="AF452" i="1" s="1"/>
  <c r="AE438" i="1"/>
  <c r="AF438" i="1" s="1"/>
  <c r="AE423" i="1"/>
  <c r="AF423" i="1" s="1"/>
  <c r="AE406" i="1"/>
  <c r="AF406" i="1" s="1"/>
  <c r="AE389" i="1"/>
  <c r="AF389" i="1" s="1"/>
  <c r="AE324" i="1"/>
  <c r="AF324" i="1" s="1"/>
  <c r="AE218" i="1"/>
  <c r="AF218" i="1" s="1"/>
  <c r="AE215" i="1"/>
  <c r="AF215" i="1" s="1"/>
  <c r="AE153" i="1"/>
  <c r="AF153" i="1" s="1"/>
  <c r="AE136" i="1"/>
  <c r="AF136" i="1" s="1"/>
  <c r="AE124" i="1"/>
  <c r="AF124" i="1" s="1"/>
  <c r="AE109" i="1"/>
  <c r="AF109" i="1" s="1"/>
  <c r="AE71" i="1"/>
  <c r="AF71" i="1" s="1"/>
  <c r="AE26" i="1"/>
  <c r="AF26" i="1" s="1"/>
  <c r="AE120" i="1"/>
  <c r="AF120" i="1" s="1"/>
  <c r="AE902" i="1"/>
  <c r="AF902" i="1" s="1"/>
  <c r="AE883" i="1"/>
  <c r="AF883" i="1" s="1"/>
  <c r="AE870" i="1"/>
  <c r="AF870" i="1" s="1"/>
  <c r="AE808" i="1"/>
  <c r="AF808" i="1" s="1"/>
  <c r="AE785" i="1"/>
  <c r="AF785" i="1" s="1"/>
  <c r="AE775" i="1"/>
  <c r="AF775" i="1" s="1"/>
  <c r="AE719" i="1"/>
  <c r="AF719" i="1" s="1"/>
  <c r="AE709" i="1"/>
  <c r="AF709" i="1" s="1"/>
  <c r="AE11" i="1"/>
  <c r="AF11" i="1" s="1"/>
  <c r="AE756" i="1"/>
  <c r="AF756" i="1" s="1"/>
  <c r="AE746" i="1"/>
  <c r="AF746" i="1" s="1"/>
  <c r="AE743" i="1"/>
  <c r="AF743" i="1" s="1"/>
  <c r="AE658" i="1"/>
  <c r="AF658" i="1" s="1"/>
  <c r="AE655" i="1"/>
  <c r="AF655" i="1" s="1"/>
  <c r="AE634" i="1"/>
  <c r="AF634" i="1" s="1"/>
  <c r="AE631" i="1"/>
  <c r="AF631" i="1" s="1"/>
  <c r="AE610" i="1"/>
  <c r="AF610" i="1" s="1"/>
  <c r="AE590" i="1"/>
  <c r="AF590" i="1" s="1"/>
  <c r="AE563" i="1"/>
  <c r="AF563" i="1" s="1"/>
  <c r="AE491" i="1"/>
  <c r="AF491" i="1" s="1"/>
  <c r="AE440" i="1"/>
  <c r="AF440" i="1" s="1"/>
  <c r="AE329" i="1"/>
  <c r="AF329" i="1" s="1"/>
  <c r="AE286" i="1"/>
  <c r="AF286" i="1" s="1"/>
  <c r="AE252" i="1"/>
  <c r="AF252" i="1" s="1"/>
  <c r="AE206" i="1"/>
  <c r="AF206" i="1" s="1"/>
  <c r="AE194" i="1"/>
  <c r="AF194" i="1" s="1"/>
  <c r="AE185" i="1"/>
  <c r="AF185" i="1" s="1"/>
  <c r="AE182" i="1"/>
  <c r="AF182" i="1" s="1"/>
  <c r="AE173" i="1"/>
  <c r="AF173" i="1" s="1"/>
  <c r="AE170" i="1"/>
  <c r="AF170" i="1" s="1"/>
  <c r="AE161" i="1"/>
  <c r="AF161" i="1" s="1"/>
  <c r="AE158" i="1"/>
  <c r="AF158" i="1" s="1"/>
  <c r="AE149" i="1"/>
  <c r="AF149" i="1" s="1"/>
  <c r="AE141" i="1"/>
  <c r="AF141" i="1" s="1"/>
  <c r="AE73" i="1"/>
  <c r="AF73" i="1" s="1"/>
  <c r="AE56" i="1"/>
  <c r="AF56" i="1" s="1"/>
  <c r="AE22" i="1"/>
  <c r="AF22" i="1" s="1"/>
  <c r="AE359" i="1"/>
  <c r="AF359" i="1" s="1"/>
  <c r="AE347" i="1"/>
  <c r="AF347" i="1" s="1"/>
  <c r="AE171" i="1"/>
  <c r="AF171" i="1" s="1"/>
  <c r="AE74" i="1"/>
  <c r="AF74" i="1" s="1"/>
  <c r="AE715" i="1"/>
  <c r="AF715" i="1" s="1"/>
  <c r="AE889" i="1"/>
  <c r="AF889" i="1" s="1"/>
  <c r="AE896" i="1"/>
  <c r="AF896" i="1" s="1"/>
  <c r="AE857" i="1"/>
  <c r="AF857" i="1" s="1"/>
  <c r="AE798" i="1"/>
  <c r="AF798" i="1" s="1"/>
  <c r="AE788" i="1"/>
  <c r="AF788" i="1" s="1"/>
  <c r="AE696" i="1"/>
  <c r="AF696" i="1" s="1"/>
  <c r="AE677" i="1"/>
  <c r="AF677" i="1" s="1"/>
  <c r="AE648" i="1"/>
  <c r="AF648" i="1" s="1"/>
  <c r="AE533" i="1"/>
  <c r="AF533" i="1" s="1"/>
  <c r="AE508" i="1"/>
  <c r="AF508" i="1" s="1"/>
  <c r="AE496" i="1"/>
  <c r="AF496" i="1" s="1"/>
  <c r="AE479" i="1"/>
  <c r="AF479" i="1" s="1"/>
  <c r="AE467" i="1"/>
  <c r="AF467" i="1" s="1"/>
  <c r="AE455" i="1"/>
  <c r="AF455" i="1" s="1"/>
  <c r="AE404" i="1"/>
  <c r="AF404" i="1" s="1"/>
  <c r="AE387" i="1"/>
  <c r="AF387" i="1" s="1"/>
  <c r="AE363" i="1"/>
  <c r="AF363" i="1" s="1"/>
  <c r="AE334" i="1"/>
  <c r="AF334" i="1" s="1"/>
  <c r="AE272" i="1"/>
  <c r="AF272" i="1" s="1"/>
  <c r="AE213" i="1"/>
  <c r="AF213" i="1" s="1"/>
  <c r="AE208" i="1"/>
  <c r="AF208" i="1" s="1"/>
  <c r="AE154" i="1"/>
  <c r="AF154" i="1" s="1"/>
  <c r="AE146" i="1"/>
  <c r="AF146" i="1" s="1"/>
  <c r="AE137" i="1"/>
  <c r="AF137" i="1" s="1"/>
  <c r="AE134" i="1"/>
  <c r="AF134" i="1" s="1"/>
  <c r="AE110" i="1"/>
  <c r="AF110" i="1" s="1"/>
  <c r="AE847" i="1"/>
  <c r="AF847" i="1" s="1"/>
  <c r="AE834" i="1"/>
  <c r="AF834" i="1" s="1"/>
  <c r="AE706" i="1"/>
  <c r="AF706" i="1" s="1"/>
  <c r="AE760" i="1"/>
  <c r="AF760" i="1" s="1"/>
  <c r="AE750" i="1"/>
  <c r="AF750" i="1" s="1"/>
  <c r="AE581" i="1"/>
  <c r="AF581" i="1" s="1"/>
  <c r="AE564" i="1"/>
  <c r="AF564" i="1" s="1"/>
  <c r="AE492" i="1"/>
  <c r="AF492" i="1" s="1"/>
  <c r="AE465" i="1"/>
  <c r="AF465" i="1" s="1"/>
  <c r="AE460" i="1"/>
  <c r="AF460" i="1" s="1"/>
  <c r="AE441" i="1"/>
  <c r="AF441" i="1" s="1"/>
  <c r="AE380" i="1"/>
  <c r="AF380" i="1" s="1"/>
  <c r="AE339" i="1"/>
  <c r="AF339" i="1" s="1"/>
  <c r="AE327" i="1"/>
  <c r="AF327" i="1" s="1"/>
  <c r="AE303" i="1"/>
  <c r="AF303" i="1" s="1"/>
  <c r="AE247" i="1"/>
  <c r="AF247" i="1" s="1"/>
  <c r="AE235" i="1"/>
  <c r="AF235" i="1" s="1"/>
  <c r="AE223" i="1"/>
  <c r="AF223" i="1" s="1"/>
  <c r="AE180" i="1"/>
  <c r="AF180" i="1" s="1"/>
  <c r="AE125" i="1"/>
  <c r="AF125" i="1" s="1"/>
  <c r="AE88" i="1"/>
  <c r="AF88" i="1" s="1"/>
  <c r="AE29" i="1"/>
  <c r="AF29" i="1" s="1"/>
  <c r="AE100" i="1"/>
  <c r="AF100" i="1" s="1"/>
  <c r="AE661" i="1"/>
  <c r="AF661" i="1" s="1"/>
  <c r="AE636" i="1"/>
  <c r="AF636" i="1" s="1"/>
  <c r="AE614" i="1"/>
  <c r="AF614" i="1" s="1"/>
  <c r="AE611" i="1"/>
  <c r="AF611" i="1" s="1"/>
  <c r="AE595" i="1"/>
  <c r="AF595" i="1" s="1"/>
  <c r="AE532" i="1"/>
  <c r="AF532" i="1" s="1"/>
  <c r="AE499" i="1"/>
  <c r="AF499" i="1" s="1"/>
  <c r="AE476" i="1"/>
  <c r="AF476" i="1" s="1"/>
  <c r="AE463" i="1"/>
  <c r="AF463" i="1" s="1"/>
  <c r="AE409" i="1"/>
  <c r="AF409" i="1" s="1"/>
  <c r="AE393" i="1"/>
  <c r="AF393" i="1" s="1"/>
  <c r="AE390" i="1"/>
  <c r="AF390" i="1" s="1"/>
  <c r="AE368" i="1"/>
  <c r="AF368" i="1" s="1"/>
  <c r="AE365" i="1"/>
  <c r="AF365" i="1" s="1"/>
  <c r="AE343" i="1"/>
  <c r="AF343" i="1" s="1"/>
  <c r="AE318" i="1"/>
  <c r="AF318" i="1" s="1"/>
  <c r="AE293" i="1"/>
  <c r="AF293" i="1" s="1"/>
  <c r="AE271" i="1"/>
  <c r="AF271" i="1" s="1"/>
  <c r="AE261" i="1"/>
  <c r="AF261" i="1" s="1"/>
  <c r="AE232" i="1"/>
  <c r="AF232" i="1" s="1"/>
  <c r="AE222" i="1"/>
  <c r="AF222" i="1" s="1"/>
  <c r="AE198" i="1"/>
  <c r="AF198" i="1" s="1"/>
  <c r="AE189" i="1"/>
  <c r="AF189" i="1" s="1"/>
  <c r="AE175" i="1"/>
  <c r="AF175" i="1" s="1"/>
  <c r="AE165" i="1"/>
  <c r="AF165" i="1" s="1"/>
  <c r="AE135" i="1"/>
  <c r="AF135" i="1" s="1"/>
  <c r="AE99" i="1"/>
  <c r="AF99" i="1" s="1"/>
  <c r="AE77" i="1"/>
  <c r="AF77" i="1" s="1"/>
  <c r="AE63" i="1"/>
  <c r="AF63" i="1" s="1"/>
  <c r="AE30" i="1"/>
  <c r="AF30" i="1" s="1"/>
  <c r="AE20" i="1"/>
  <c r="AF20" i="1" s="1"/>
  <c r="AE674" i="1"/>
  <c r="AF674" i="1" s="1"/>
  <c r="AE671" i="1"/>
  <c r="AF671" i="1" s="1"/>
  <c r="AE627" i="1"/>
  <c r="AF627" i="1" s="1"/>
  <c r="AE422" i="1"/>
  <c r="AF422" i="1" s="1"/>
  <c r="AE419" i="1"/>
  <c r="AF419" i="1" s="1"/>
  <c r="AE381" i="1"/>
  <c r="AF381" i="1" s="1"/>
  <c r="AE378" i="1"/>
  <c r="AF378" i="1" s="1"/>
  <c r="AE356" i="1"/>
  <c r="AF356" i="1" s="1"/>
  <c r="AE353" i="1"/>
  <c r="AF353" i="1" s="1"/>
  <c r="AE331" i="1"/>
  <c r="AF331" i="1" s="1"/>
  <c r="AE309" i="1"/>
  <c r="AF309" i="1" s="1"/>
  <c r="AE306" i="1"/>
  <c r="AF306" i="1" s="1"/>
  <c r="AE284" i="1"/>
  <c r="AF284" i="1" s="1"/>
  <c r="AE281" i="1"/>
  <c r="AF281" i="1" s="1"/>
  <c r="AE258" i="1"/>
  <c r="AF258" i="1" s="1"/>
  <c r="AE243" i="1"/>
  <c r="AF243" i="1" s="1"/>
  <c r="AE219" i="1"/>
  <c r="AF219" i="1" s="1"/>
  <c r="AE186" i="1"/>
  <c r="AF186" i="1" s="1"/>
  <c r="AE162" i="1"/>
  <c r="AF162" i="1" s="1"/>
  <c r="AE129" i="1"/>
  <c r="AF129" i="1" s="1"/>
  <c r="AE93" i="1"/>
  <c r="AF93" i="1" s="1"/>
  <c r="AE57" i="1"/>
  <c r="AF57" i="1" s="1"/>
  <c r="AE24" i="1"/>
  <c r="AF24" i="1" s="1"/>
  <c r="AE665" i="1"/>
  <c r="AF665" i="1" s="1"/>
  <c r="AE510" i="1"/>
  <c r="AF510" i="1" s="1"/>
  <c r="AE468" i="1"/>
  <c r="AF468" i="1" s="1"/>
  <c r="AE416" i="1"/>
  <c r="AF416" i="1" s="1"/>
  <c r="AE413" i="1"/>
  <c r="AF413" i="1" s="1"/>
  <c r="AE375" i="1"/>
  <c r="AF375" i="1" s="1"/>
  <c r="AE275" i="1"/>
  <c r="AF275" i="1" s="1"/>
  <c r="AE255" i="1"/>
  <c r="AF255" i="1" s="1"/>
  <c r="AE216" i="1"/>
  <c r="AF216" i="1" s="1"/>
  <c r="AE183" i="1"/>
  <c r="AF183" i="1" s="1"/>
  <c r="AE662" i="1"/>
  <c r="AF662" i="1" s="1"/>
  <c r="AE659" i="1"/>
  <c r="AF659" i="1" s="1"/>
  <c r="AE615" i="1"/>
  <c r="AF615" i="1" s="1"/>
  <c r="AE596" i="1"/>
  <c r="AF596" i="1" s="1"/>
  <c r="AE593" i="1"/>
  <c r="AF593" i="1" s="1"/>
  <c r="AE584" i="1"/>
  <c r="AF584" i="1" s="1"/>
  <c r="AE507" i="1"/>
  <c r="AF507" i="1" s="1"/>
  <c r="AE504" i="1"/>
  <c r="AF504" i="1" s="1"/>
  <c r="AE435" i="1"/>
  <c r="AF435" i="1" s="1"/>
  <c r="AE410" i="1"/>
  <c r="AF410" i="1" s="1"/>
  <c r="AE407" i="1"/>
  <c r="AF407" i="1" s="1"/>
  <c r="AE369" i="1"/>
  <c r="AF369" i="1" s="1"/>
  <c r="AE344" i="1"/>
  <c r="AF344" i="1" s="1"/>
  <c r="AE341" i="1"/>
  <c r="AF341" i="1" s="1"/>
  <c r="AE297" i="1"/>
  <c r="AF297" i="1" s="1"/>
  <c r="AE269" i="1"/>
  <c r="AF269" i="1" s="1"/>
  <c r="AE123" i="1"/>
  <c r="AF123" i="1" s="1"/>
  <c r="AE87" i="1"/>
  <c r="AF87" i="1" s="1"/>
  <c r="AE51" i="1"/>
  <c r="AF51" i="1" s="1"/>
  <c r="AE681" i="1"/>
  <c r="AF681" i="1" s="1"/>
  <c r="AE678" i="1"/>
  <c r="AF678" i="1" s="1"/>
  <c r="AE656" i="1"/>
  <c r="AF656" i="1" s="1"/>
  <c r="AE653" i="1"/>
  <c r="AF653" i="1" s="1"/>
  <c r="AE566" i="1"/>
  <c r="AF566" i="1" s="1"/>
  <c r="AE498" i="1"/>
  <c r="AF498" i="1" s="1"/>
  <c r="AE484" i="1"/>
  <c r="AF484" i="1" s="1"/>
  <c r="AE448" i="1"/>
  <c r="AF448" i="1" s="1"/>
  <c r="AE426" i="1"/>
  <c r="AF426" i="1" s="1"/>
  <c r="AE360" i="1"/>
  <c r="AF360" i="1" s="1"/>
  <c r="AE338" i="1"/>
  <c r="AF338" i="1" s="1"/>
  <c r="AE335" i="1"/>
  <c r="AF335" i="1" s="1"/>
  <c r="AE288" i="1"/>
  <c r="AF288" i="1" s="1"/>
  <c r="AE237" i="1"/>
  <c r="AF237" i="1" s="1"/>
  <c r="AE156" i="1"/>
  <c r="AF156" i="1" s="1"/>
  <c r="AE84" i="1"/>
  <c r="AF84" i="1" s="1"/>
  <c r="AE48" i="1"/>
  <c r="AF48" i="1" s="1"/>
  <c r="AE44" i="1"/>
  <c r="AF44" i="1" s="1"/>
  <c r="AE41" i="1"/>
  <c r="AF41" i="1" s="1"/>
  <c r="AE19" i="1"/>
  <c r="AF19" i="1" s="1"/>
  <c r="AE357" i="1"/>
  <c r="AF357" i="1" s="1"/>
  <c r="AE354" i="1"/>
  <c r="AF354" i="1" s="1"/>
  <c r="AE285" i="1"/>
  <c r="AF285" i="1" s="1"/>
  <c r="AE282" i="1"/>
  <c r="AF282" i="1" s="1"/>
  <c r="AE234" i="1"/>
  <c r="AF234" i="1" s="1"/>
  <c r="AE210" i="1"/>
  <c r="AF210" i="1" s="1"/>
  <c r="AE177" i="1"/>
  <c r="AF177" i="1" s="1"/>
  <c r="AE117" i="1"/>
  <c r="AF117" i="1" s="1"/>
  <c r="AE81" i="1"/>
  <c r="AF81" i="1" s="1"/>
  <c r="AE59" i="1"/>
  <c r="AF59" i="1" s="1"/>
  <c r="AE38" i="1"/>
  <c r="AF38" i="1" s="1"/>
  <c r="AE669" i="1"/>
  <c r="AF669" i="1" s="1"/>
  <c r="AE666" i="1"/>
  <c r="AF666" i="1" s="1"/>
  <c r="AE644" i="1"/>
  <c r="AF644" i="1" s="1"/>
  <c r="AE641" i="1"/>
  <c r="AF641" i="1" s="1"/>
  <c r="AE534" i="1"/>
  <c r="AF534" i="1" s="1"/>
  <c r="AE478" i="1"/>
  <c r="AF478" i="1" s="1"/>
  <c r="AE456" i="1"/>
  <c r="AF456" i="1" s="1"/>
  <c r="AE442" i="1"/>
  <c r="AF442" i="1" s="1"/>
  <c r="AE417" i="1"/>
  <c r="AF417" i="1" s="1"/>
  <c r="AE395" i="1"/>
  <c r="AF395" i="1" s="1"/>
  <c r="AE373" i="1"/>
  <c r="AF373" i="1" s="1"/>
  <c r="AE351" i="1"/>
  <c r="AF351" i="1" s="1"/>
  <c r="AE323" i="1"/>
  <c r="AF323" i="1" s="1"/>
  <c r="AE279" i="1"/>
  <c r="AF279" i="1" s="1"/>
  <c r="AE55" i="1"/>
  <c r="AF55" i="1" s="1"/>
  <c r="AE638" i="1"/>
  <c r="AF638" i="1" s="1"/>
  <c r="AE635" i="1"/>
  <c r="AF635" i="1" s="1"/>
  <c r="AE594" i="1"/>
  <c r="AF594" i="1" s="1"/>
  <c r="AE572" i="1"/>
  <c r="AF572" i="1" s="1"/>
  <c r="AE433" i="1"/>
  <c r="AF433" i="1" s="1"/>
  <c r="AE408" i="1"/>
  <c r="AF408" i="1" s="1"/>
  <c r="AE367" i="1"/>
  <c r="AF367" i="1" s="1"/>
  <c r="AE345" i="1"/>
  <c r="AF345" i="1" s="1"/>
  <c r="AE342" i="1"/>
  <c r="AF342" i="1" s="1"/>
  <c r="AE320" i="1"/>
  <c r="AF320" i="1" s="1"/>
  <c r="AE317" i="1"/>
  <c r="AF317" i="1" s="1"/>
  <c r="AE295" i="1"/>
  <c r="AF295" i="1" s="1"/>
  <c r="AE207" i="1"/>
  <c r="AF207" i="1" s="1"/>
  <c r="AE174" i="1"/>
  <c r="AF174" i="1" s="1"/>
  <c r="AE657" i="1"/>
  <c r="AF657" i="1" s="1"/>
  <c r="AE632" i="1"/>
  <c r="AF632" i="1" s="1"/>
  <c r="AE629" i="1"/>
  <c r="AF629" i="1" s="1"/>
  <c r="AE591" i="1"/>
  <c r="AF591" i="1" s="1"/>
  <c r="AE567" i="1"/>
  <c r="AF567" i="1" s="1"/>
  <c r="AE528" i="1"/>
  <c r="AF528" i="1" s="1"/>
  <c r="AE472" i="1"/>
  <c r="AF472" i="1" s="1"/>
  <c r="AE383" i="1"/>
  <c r="AF383" i="1" s="1"/>
  <c r="AE311" i="1"/>
  <c r="AF311" i="1" s="1"/>
  <c r="AE267" i="1"/>
  <c r="AF267" i="1" s="1"/>
  <c r="AE204" i="1"/>
  <c r="AF204" i="1" s="1"/>
  <c r="AE49" i="1"/>
  <c r="AF49" i="1" s="1"/>
  <c r="AE42" i="1"/>
  <c r="AF42" i="1" s="1"/>
  <c r="AE608" i="1"/>
  <c r="AF608" i="1" s="1"/>
  <c r="AE568" i="1"/>
  <c r="AF568" i="1" s="1"/>
  <c r="AE565" i="1"/>
  <c r="AF565" i="1" s="1"/>
  <c r="AE561" i="1"/>
  <c r="AF561" i="1" s="1"/>
  <c r="AE511" i="1"/>
  <c r="AF511" i="1" s="1"/>
  <c r="AE469" i="1"/>
  <c r="AF469" i="1" s="1"/>
  <c r="AE446" i="1"/>
  <c r="AF446" i="1" s="1"/>
  <c r="AE428" i="1"/>
  <c r="AF428" i="1" s="1"/>
  <c r="AE399" i="1"/>
  <c r="AF399" i="1" s="1"/>
  <c r="AE377" i="1"/>
  <c r="AF377" i="1" s="1"/>
  <c r="AE305" i="1"/>
  <c r="AF305" i="1" s="1"/>
  <c r="AE257" i="1"/>
  <c r="AF257" i="1" s="1"/>
  <c r="AE236" i="1"/>
  <c r="AF236" i="1" s="1"/>
  <c r="AE212" i="1"/>
  <c r="AF212" i="1" s="1"/>
  <c r="AE179" i="1"/>
  <c r="AF179" i="1" s="1"/>
  <c r="AE155" i="1"/>
  <c r="AF155" i="1" s="1"/>
  <c r="AE119" i="1"/>
  <c r="AF119" i="1" s="1"/>
  <c r="AE83" i="1"/>
  <c r="AF83" i="1" s="1"/>
  <c r="AE69" i="1"/>
  <c r="AF69" i="1" s="1"/>
  <c r="AE47" i="1"/>
  <c r="AF47" i="1" s="1"/>
  <c r="AE43" i="1"/>
  <c r="AF43" i="1" s="1"/>
  <c r="AE40" i="1"/>
  <c r="AF40" i="1" s="1"/>
  <c r="AE620" i="1"/>
  <c r="AF620" i="1" s="1"/>
  <c r="AE617" i="1"/>
  <c r="AF617" i="1" s="1"/>
  <c r="AE585" i="1"/>
  <c r="AF585" i="1" s="1"/>
  <c r="AE562" i="1"/>
  <c r="AF562" i="1" s="1"/>
  <c r="AE559" i="1"/>
  <c r="AF559" i="1" s="1"/>
  <c r="AE480" i="1"/>
  <c r="AF480" i="1" s="1"/>
  <c r="AE466" i="1"/>
  <c r="AF466" i="1" s="1"/>
  <c r="AE444" i="1"/>
  <c r="AF444" i="1" s="1"/>
  <c r="AE396" i="1"/>
  <c r="AF396" i="1" s="1"/>
  <c r="AE374" i="1"/>
  <c r="AF374" i="1" s="1"/>
  <c r="AE371" i="1"/>
  <c r="AF371" i="1" s="1"/>
  <c r="AE299" i="1"/>
  <c r="AF299" i="1" s="1"/>
  <c r="AE37" i="1"/>
  <c r="AF37" i="1" s="1"/>
  <c r="AE649" i="1"/>
  <c r="AF649" i="1" s="1"/>
  <c r="AE624" i="1"/>
  <c r="AF624" i="1" s="1"/>
  <c r="AE493" i="1"/>
  <c r="AF493" i="1" s="1"/>
  <c r="AE470" i="1"/>
  <c r="AF470" i="1" s="1"/>
  <c r="AE457" i="1"/>
  <c r="AF457" i="1" s="1"/>
  <c r="AE576" i="1"/>
  <c r="AF576" i="1" s="1"/>
  <c r="AE643" i="1"/>
  <c r="AF643" i="1" s="1"/>
  <c r="AE583" i="1"/>
  <c r="AF583" i="1" s="1"/>
  <c r="AE506" i="1"/>
  <c r="AF506" i="1" s="1"/>
  <c r="AE637" i="1"/>
  <c r="AF637" i="1" s="1"/>
  <c r="AE612" i="1"/>
  <c r="AF612" i="1" s="1"/>
  <c r="AE500" i="1"/>
  <c r="AF500" i="1" s="1"/>
  <c r="AE487" i="1"/>
  <c r="AF487" i="1" s="1"/>
  <c r="AE464" i="1"/>
  <c r="AF464" i="1" s="1"/>
  <c r="AE451" i="1"/>
  <c r="AF451" i="1" s="1"/>
  <c r="AE606" i="1"/>
  <c r="AF606" i="1" s="1"/>
  <c r="AE672" i="1"/>
  <c r="AF672" i="1" s="1"/>
  <c r="AE625" i="1"/>
  <c r="AF625" i="1" s="1"/>
  <c r="AE560" i="1"/>
  <c r="AF560" i="1" s="1"/>
  <c r="AE494" i="1"/>
  <c r="AF494" i="1" s="1"/>
  <c r="AE481" i="1"/>
  <c r="AF481" i="1" s="1"/>
  <c r="AE458" i="1"/>
  <c r="AF458" i="1" s="1"/>
  <c r="AE445" i="1"/>
  <c r="AF445" i="1" s="1"/>
  <c r="AE619" i="1"/>
  <c r="AF619" i="1" s="1"/>
  <c r="AE600" i="1"/>
  <c r="AF600" i="1" s="1"/>
  <c r="AE571" i="1"/>
  <c r="AF571" i="1" s="1"/>
  <c r="AE630" i="1"/>
  <c r="AF630" i="1" s="1"/>
  <c r="AE660" i="1"/>
  <c r="AF660" i="1" s="1"/>
  <c r="AE613" i="1"/>
  <c r="AF613" i="1" s="1"/>
  <c r="AE17" i="1"/>
  <c r="AF17" i="1" s="1"/>
  <c r="AE679" i="1"/>
  <c r="AF679" i="1" s="1"/>
  <c r="AE654" i="1"/>
  <c r="AF654" i="1" s="1"/>
  <c r="AE607" i="1"/>
  <c r="AF607" i="1" s="1"/>
  <c r="AE588" i="1"/>
  <c r="AF588" i="1" s="1"/>
  <c r="AE482" i="1"/>
  <c r="AF482" i="1" s="1"/>
  <c r="AE667" i="1"/>
  <c r="AF667" i="1" s="1"/>
  <c r="AE642" i="1"/>
  <c r="AF642" i="1" s="1"/>
  <c r="AE601" i="1"/>
  <c r="AF601" i="1" s="1"/>
  <c r="AE582" i="1"/>
  <c r="AF582" i="1" s="1"/>
  <c r="AE505" i="1"/>
  <c r="AF505" i="1" s="1"/>
  <c r="AE384" i="1"/>
  <c r="AF384" i="1" s="1"/>
  <c r="AE312" i="1"/>
  <c r="AF312" i="1" s="1"/>
  <c r="AE132" i="1"/>
  <c r="AF132" i="1" s="1"/>
  <c r="AE96" i="1"/>
  <c r="AF96" i="1" s="1"/>
  <c r="AE60" i="1"/>
  <c r="AF60" i="1" s="1"/>
  <c r="AE397" i="1"/>
  <c r="AF397" i="1" s="1"/>
  <c r="AE372" i="1"/>
  <c r="AF372" i="1" s="1"/>
  <c r="AE325" i="1"/>
  <c r="AF325" i="1" s="1"/>
  <c r="AE300" i="1"/>
  <c r="AF300" i="1" s="1"/>
  <c r="AE265" i="1"/>
  <c r="AF265" i="1" s="1"/>
  <c r="AE226" i="1"/>
  <c r="AF226" i="1" s="1"/>
  <c r="AE202" i="1"/>
  <c r="AF202" i="1" s="1"/>
  <c r="AE193" i="1"/>
  <c r="AF193" i="1" s="1"/>
  <c r="AE169" i="1"/>
  <c r="AF169" i="1" s="1"/>
  <c r="AE139" i="1"/>
  <c r="AF139" i="1" s="1"/>
  <c r="AE126" i="1"/>
  <c r="AF126" i="1" s="1"/>
  <c r="AE103" i="1"/>
  <c r="AF103" i="1" s="1"/>
  <c r="AE90" i="1"/>
  <c r="AF90" i="1" s="1"/>
  <c r="AE67" i="1"/>
  <c r="AF67" i="1" s="1"/>
  <c r="AE54" i="1"/>
  <c r="AF54" i="1" s="1"/>
  <c r="AE432" i="1"/>
  <c r="AF432" i="1" s="1"/>
  <c r="AE391" i="1"/>
  <c r="AF391" i="1" s="1"/>
  <c r="AE366" i="1"/>
  <c r="AF366" i="1" s="1"/>
  <c r="AE319" i="1"/>
  <c r="AF319" i="1" s="1"/>
  <c r="AE294" i="1"/>
  <c r="AF294" i="1" s="1"/>
  <c r="AE385" i="1"/>
  <c r="AF385" i="1" s="1"/>
  <c r="AE313" i="1"/>
  <c r="AF313" i="1" s="1"/>
  <c r="AE133" i="1"/>
  <c r="AF133" i="1" s="1"/>
  <c r="AE97" i="1"/>
  <c r="AF97" i="1" s="1"/>
  <c r="AE61" i="1"/>
  <c r="AF61" i="1" s="1"/>
  <c r="AE379" i="1"/>
  <c r="AF379" i="1" s="1"/>
  <c r="AE307" i="1"/>
  <c r="AF307" i="1" s="1"/>
  <c r="AE259" i="1"/>
  <c r="AF259" i="1" s="1"/>
  <c r="AE244" i="1"/>
  <c r="AF244" i="1" s="1"/>
  <c r="AE220" i="1"/>
  <c r="AF220" i="1" s="1"/>
  <c r="AE196" i="1"/>
  <c r="AF196" i="1" s="1"/>
  <c r="AE187" i="1"/>
  <c r="AF187" i="1" s="1"/>
  <c r="AE163" i="1"/>
  <c r="AF163" i="1" s="1"/>
  <c r="AE35" i="1"/>
  <c r="AF35" i="1" s="1"/>
  <c r="AE414" i="1"/>
  <c r="AF414" i="1" s="1"/>
  <c r="AE348" i="1"/>
  <c r="AF348" i="1" s="1"/>
  <c r="AE276" i="1"/>
  <c r="AF276" i="1" s="1"/>
  <c r="AE150" i="1"/>
  <c r="AF150" i="1" s="1"/>
  <c r="AE114" i="1"/>
  <c r="AF114" i="1" s="1"/>
  <c r="AE78" i="1"/>
  <c r="AF78" i="1" s="1"/>
  <c r="AE427" i="1"/>
  <c r="AF427" i="1" s="1"/>
  <c r="AE402" i="1"/>
  <c r="AF402" i="1" s="1"/>
  <c r="AE361" i="1"/>
  <c r="AF361" i="1" s="1"/>
  <c r="AE336" i="1"/>
  <c r="AF336" i="1" s="1"/>
  <c r="AE289" i="1"/>
  <c r="AF289" i="1" s="1"/>
  <c r="AE253" i="1"/>
  <c r="AF253" i="1" s="1"/>
  <c r="AE238" i="1"/>
  <c r="AF238" i="1" s="1"/>
  <c r="AE214" i="1"/>
  <c r="AF214" i="1" s="1"/>
  <c r="AE181" i="1"/>
  <c r="AF181" i="1" s="1"/>
  <c r="AE157" i="1"/>
  <c r="AF157" i="1" s="1"/>
  <c r="AE144" i="1"/>
  <c r="AF144" i="1" s="1"/>
  <c r="AE121" i="1"/>
  <c r="AF121" i="1" s="1"/>
  <c r="AE108" i="1"/>
  <c r="AF108" i="1" s="1"/>
  <c r="AE85" i="1"/>
  <c r="AF85" i="1" s="1"/>
  <c r="AE72" i="1"/>
  <c r="AF72" i="1" s="1"/>
  <c r="AE421" i="1"/>
  <c r="AF421" i="1" s="1"/>
  <c r="AE355" i="1"/>
  <c r="AF355" i="1" s="1"/>
  <c r="AE330" i="1"/>
  <c r="AF330" i="1" s="1"/>
  <c r="AE283" i="1"/>
  <c r="AF283" i="1" s="1"/>
  <c r="AE36" i="1"/>
  <c r="AF36" i="1" s="1"/>
  <c r="AE23" i="1"/>
  <c r="AF23" i="1" s="1"/>
  <c r="AE415" i="1"/>
  <c r="AF415" i="1" s="1"/>
  <c r="AE349" i="1"/>
  <c r="AF349" i="1" s="1"/>
  <c r="AE277" i="1"/>
  <c r="AF277" i="1" s="1"/>
  <c r="AE264" i="1"/>
  <c r="AF264" i="1" s="1"/>
  <c r="AE225" i="1"/>
  <c r="AF225" i="1" s="1"/>
  <c r="AE201" i="1"/>
  <c r="AF201" i="1" s="1"/>
  <c r="AE192" i="1"/>
  <c r="AF192" i="1" s="1"/>
  <c r="AE168" i="1"/>
  <c r="AF168" i="1" s="1"/>
  <c r="AE151" i="1"/>
  <c r="AF151" i="1" s="1"/>
  <c r="AE138" i="1"/>
  <c r="AF138" i="1" s="1"/>
  <c r="AE115" i="1"/>
  <c r="AF115" i="1" s="1"/>
  <c r="AE102" i="1"/>
  <c r="AF102" i="1" s="1"/>
  <c r="AE79" i="1"/>
  <c r="AF79" i="1" s="1"/>
  <c r="AE66" i="1"/>
  <c r="AF66" i="1" s="1"/>
  <c r="AE12" i="1"/>
  <c r="AF12" i="1" s="1"/>
  <c r="AE16" i="1"/>
  <c r="AF16" i="1" s="1"/>
  <c r="AE14" i="1"/>
  <c r="AF14" i="1" s="1"/>
  <c r="AE903" i="1"/>
  <c r="AF903" i="1" s="1"/>
  <c r="AE18" i="1"/>
  <c r="AF18" i="1" s="1"/>
  <c r="AE15" i="1"/>
  <c r="AF15" i="1" s="1"/>
  <c r="AS2" i="1"/>
  <c r="AY914" i="1"/>
  <c r="AV914" i="1"/>
  <c r="AR914" i="1"/>
  <c r="AO914" i="1"/>
  <c r="AL914" i="1"/>
  <c r="AI914" i="1"/>
  <c r="A914" i="1"/>
  <c r="AY913" i="1"/>
  <c r="AV913" i="1"/>
  <c r="AR913" i="1"/>
  <c r="AO913" i="1"/>
  <c r="AL913" i="1"/>
  <c r="AI913" i="1"/>
  <c r="A913" i="1"/>
  <c r="AY912" i="1"/>
  <c r="AV912" i="1"/>
  <c r="AR912" i="1"/>
  <c r="AO912" i="1"/>
  <c r="AL912" i="1"/>
  <c r="AI912" i="1"/>
  <c r="A912" i="1"/>
  <c r="AY911" i="1"/>
  <c r="AV911" i="1"/>
  <c r="AR911" i="1"/>
  <c r="AO911" i="1"/>
  <c r="AL911" i="1"/>
  <c r="AI911" i="1"/>
  <c r="A911" i="1"/>
  <c r="AY910" i="1"/>
  <c r="AV910" i="1"/>
  <c r="AR910" i="1"/>
  <c r="AO910" i="1"/>
  <c r="AL910" i="1"/>
  <c r="AI910" i="1"/>
  <c r="A910" i="1"/>
  <c r="AY909" i="1"/>
  <c r="AV909" i="1"/>
  <c r="AR909" i="1"/>
  <c r="AO909" i="1"/>
  <c r="AL909" i="1"/>
  <c r="AI909" i="1"/>
  <c r="A909" i="1"/>
  <c r="AY908" i="1"/>
  <c r="AV908" i="1"/>
  <c r="AR908" i="1"/>
  <c r="AO908" i="1"/>
  <c r="AL908" i="1"/>
  <c r="AI908" i="1"/>
  <c r="A908" i="1"/>
  <c r="AY907" i="1"/>
  <c r="AV907" i="1"/>
  <c r="AR907" i="1"/>
  <c r="AO907" i="1"/>
  <c r="AL907" i="1"/>
  <c r="AI907" i="1"/>
  <c r="A907" i="1"/>
  <c r="AY10" i="1"/>
  <c r="AV10" i="1"/>
  <c r="AR10" i="1"/>
  <c r="AO10" i="1"/>
  <c r="AL10" i="1"/>
  <c r="AI10" i="1"/>
  <c r="A10" i="1"/>
  <c r="AY9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907" i="1" l="1"/>
  <c r="AF907" i="1" s="1"/>
  <c r="AE7" i="1"/>
  <c r="AF7" i="1" s="1"/>
  <c r="AR2" i="1"/>
  <c r="AE914" i="1"/>
  <c r="AF914" i="1" s="1"/>
  <c r="AV2" i="1"/>
  <c r="AE913" i="1"/>
  <c r="AF913" i="1" s="1"/>
  <c r="AE911" i="1"/>
  <c r="AF911" i="1" s="1"/>
  <c r="AY2" i="1"/>
  <c r="AE912" i="1"/>
  <c r="AF912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910" i="1"/>
  <c r="AF910" i="1" s="1"/>
  <c r="AE909" i="1"/>
  <c r="AF909" i="1" s="1"/>
  <c r="AE908" i="1"/>
  <c r="AF908" i="1" s="1"/>
  <c r="AE4" i="1"/>
  <c r="AF4" i="1" s="1"/>
</calcChain>
</file>

<file path=xl/sharedStrings.xml><?xml version="1.0" encoding="utf-8"?>
<sst xmlns="http://schemas.openxmlformats.org/spreadsheetml/2006/main" count="6913" uniqueCount="1246">
  <si>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</si>
  <si>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</si>
  <si>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</si>
  <si>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</si>
  <si>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</si>
  <si>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</si>
  <si>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</si>
  <si>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</si>
  <si>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</si>
  <si>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</si>
  <si>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</si>
  <si>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</si>
  <si>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</si>
  <si>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</si>
  <si>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</si>
  <si>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</si>
  <si>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</si>
  <si>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</si>
  <si>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</si>
  <si>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</si>
  <si>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</si>
  <si>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</si>
  <si>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</si>
  <si>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</si>
  <si>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</si>
  <si>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</si>
  <si>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</si>
  <si>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</si>
  <si>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</si>
  <si>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</si>
  <si>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</si>
  <si>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</si>
  <si>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</si>
  <si>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</si>
  <si>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</si>
  <si>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</si>
  <si>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</si>
  <si>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</si>
  <si>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</si>
  <si>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</si>
  <si>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</si>
  <si>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</si>
  <si>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</si>
  <si>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</si>
  <si>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</si>
  <si>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</si>
  <si>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</si>
  <si>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</si>
  <si>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</si>
  <si>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</si>
  <si>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</si>
  <si>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</si>
  <si>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</si>
  <si>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</si>
  <si>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</si>
  <si>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</si>
  <si>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</si>
  <si>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</si>
  <si>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</si>
  <si>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</si>
  <si>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</si>
  <si>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</si>
  <si>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</si>
  <si>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</si>
  <si>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</si>
  <si>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</si>
  <si>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</si>
  <si>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</si>
  <si>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</si>
  <si>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U285-AS-13EJ01A-1</t>
  </si>
  <si>
    <t>13EJ01A-1(1/12)</t>
  </si>
  <si>
    <t>13EJ01A-1(2/12)</t>
  </si>
  <si>
    <t>13EJ01A-1(3/12)</t>
  </si>
  <si>
    <t>13EJ01A-1(4/12)</t>
  </si>
  <si>
    <t>13EJ01A-1(5/12)</t>
  </si>
  <si>
    <t>13EJ01A-1(6/12)</t>
  </si>
  <si>
    <t>13EJ01A-1(7/12)</t>
  </si>
  <si>
    <t>13EJ01A-1(8/12)</t>
  </si>
  <si>
    <t>13EJ01A-1(9/12)</t>
  </si>
  <si>
    <t>13EJ01A-1(10/12)</t>
  </si>
  <si>
    <t>13EJ01A-1(11/12)</t>
  </si>
  <si>
    <t>13EJ01A-1(12/12)</t>
  </si>
  <si>
    <t>U285-AS-13EJ01A-2</t>
  </si>
  <si>
    <t>13EJ01A-2(1/12)</t>
  </si>
  <si>
    <t>13EJ01A-2(2/12)</t>
  </si>
  <si>
    <t>13EJ01A-2(3/12)</t>
  </si>
  <si>
    <t>13EJ01A-2(4/12)</t>
  </si>
  <si>
    <t>13EJ01A-2(5/12)</t>
  </si>
  <si>
    <t>13EJ01A-2(6/12)</t>
  </si>
  <si>
    <t>13EJ01A-2(7/12)</t>
  </si>
  <si>
    <t>13EJ01A-2(8/12)</t>
  </si>
  <si>
    <t>13EJ01A-2(9/12)</t>
  </si>
  <si>
    <t>13EJ01A-2(10/12)</t>
  </si>
  <si>
    <t>13EJ01A-2(11/12)</t>
  </si>
  <si>
    <t>13EJ01A-2(12/12)</t>
  </si>
  <si>
    <t>U285-AS-13EJ01B-1</t>
  </si>
  <si>
    <t>U285-AS-13EJ01B-2</t>
  </si>
  <si>
    <t>13EJ01B-2(1/4)</t>
  </si>
  <si>
    <t>13EJ01B-2(2/4)</t>
  </si>
  <si>
    <t>13EJ01B-2(3/4)</t>
  </si>
  <si>
    <t>13EJ01B-2(4/4)</t>
  </si>
  <si>
    <t>U285-AS-13EJ01C-1</t>
  </si>
  <si>
    <t>13EJ01C-1(1/12)</t>
  </si>
  <si>
    <t>13EJ01C-1(2/12)</t>
  </si>
  <si>
    <t>13EJ01C-1(3/12)</t>
  </si>
  <si>
    <t>13EJ01C-1(4/12)</t>
  </si>
  <si>
    <t>13EJ01C-1(5/12)</t>
  </si>
  <si>
    <t>13EJ01C-1(6/12)</t>
  </si>
  <si>
    <t>13EJ01C-1(7/12)</t>
  </si>
  <si>
    <t>13EJ01C-1(8/12)</t>
  </si>
  <si>
    <t>13EJ01C-1(9/12)</t>
  </si>
  <si>
    <t>13EJ01C-1(10/12)</t>
  </si>
  <si>
    <t>13EJ01C-1(11/12)</t>
  </si>
  <si>
    <t>13EJ01C-1(12/12)</t>
  </si>
  <si>
    <t>U285-AS-13MK100-1</t>
  </si>
  <si>
    <t>13MK100-1</t>
  </si>
  <si>
    <t>U285-AS-13MK100-2</t>
  </si>
  <si>
    <t>13MK100-2</t>
  </si>
  <si>
    <t>U285-AS-13MK100-3</t>
  </si>
  <si>
    <t>13MK100-3(1/4)</t>
  </si>
  <si>
    <t>13MK100-3(2/4)</t>
  </si>
  <si>
    <t>13MK100-3(3/4)</t>
  </si>
  <si>
    <t>13MK100-3(4/4)</t>
  </si>
  <si>
    <t>U285-AS-13MK100-4</t>
  </si>
  <si>
    <t>13MK100-4</t>
  </si>
  <si>
    <t>U285-AS-13MK100-5</t>
  </si>
  <si>
    <t>13MK100-5</t>
  </si>
  <si>
    <t>U285-AS-13MK100-6</t>
  </si>
  <si>
    <t>13MK100-6</t>
  </si>
  <si>
    <t>U285-AS-13MK100-7</t>
  </si>
  <si>
    <t>13MK100-7(1/2)</t>
  </si>
  <si>
    <t>13MK100-7(2/2)</t>
  </si>
  <si>
    <t>U285-AS-13MK100-8</t>
  </si>
  <si>
    <t>13MK100-8</t>
  </si>
  <si>
    <t>U285-AS-13MK100-9</t>
  </si>
  <si>
    <t>13MK100-9</t>
  </si>
  <si>
    <t>U285-AS-13MK100-10</t>
  </si>
  <si>
    <t>13MK100-10</t>
  </si>
  <si>
    <t>U285-AS-13MK100-11</t>
  </si>
  <si>
    <t>13MK100-11</t>
  </si>
  <si>
    <t>U285-AS-13MK100-12</t>
  </si>
  <si>
    <t>13MK100-12(1/3)</t>
  </si>
  <si>
    <t>13MK100-12(2/3)</t>
  </si>
  <si>
    <t>13MK100-12(3/3)</t>
  </si>
  <si>
    <t>U285-AS-13MK100-13</t>
  </si>
  <si>
    <t>13MK100-13</t>
  </si>
  <si>
    <t>U285-AS-13MK100-14</t>
  </si>
  <si>
    <t>13MK100-14</t>
  </si>
  <si>
    <t>U285-AS-13MK100-15</t>
  </si>
  <si>
    <t>13MK100-15</t>
  </si>
  <si>
    <t>U285-AS-13MK100-16</t>
  </si>
  <si>
    <t>13MK100-16</t>
  </si>
  <si>
    <t>U285-AS-13MK100-17</t>
  </si>
  <si>
    <t>13MK100-17</t>
  </si>
  <si>
    <t>U285-AS-13MK100-18</t>
  </si>
  <si>
    <t>13MK100-18</t>
  </si>
  <si>
    <t>U285-AS-13MK100-19</t>
  </si>
  <si>
    <t>13MK100-19</t>
  </si>
  <si>
    <t>U285-AS-13MK100-20</t>
  </si>
  <si>
    <t>13MK100-20(1/2)</t>
  </si>
  <si>
    <t>13MK100-20(2/2)</t>
  </si>
  <si>
    <t>U285-AS-13MK100-21</t>
  </si>
  <si>
    <t>13MK100-21(1/2)</t>
  </si>
  <si>
    <t>13MK100-21(2/2)</t>
  </si>
  <si>
    <t>U285-AS-13MK100-22</t>
  </si>
  <si>
    <t>13MK100-22</t>
  </si>
  <si>
    <t>U285-AS-13MK100-23</t>
  </si>
  <si>
    <t>13MK100-23</t>
  </si>
  <si>
    <t>U285-AS-13MK100-24</t>
  </si>
  <si>
    <t>13MK100-24</t>
  </si>
  <si>
    <t>U285-AS-13MK100-25</t>
  </si>
  <si>
    <t>13MK100-25</t>
  </si>
  <si>
    <t>U285-AS-13MK100-26</t>
  </si>
  <si>
    <t>13MK100-26(1/2)</t>
  </si>
  <si>
    <t>13MK100-26(2/2)</t>
  </si>
  <si>
    <t>U285-AS-13MK100-27</t>
  </si>
  <si>
    <t>13MK100-27</t>
  </si>
  <si>
    <t>U285-AS-13MK100-28</t>
  </si>
  <si>
    <t>13MK100-28</t>
  </si>
  <si>
    <t>U285-AS-13MK100-29</t>
  </si>
  <si>
    <t>13MK100-29</t>
  </si>
  <si>
    <t>U285-AS-13MK100-30</t>
  </si>
  <si>
    <t>13MK100-30</t>
  </si>
  <si>
    <t>U285-AS-13MK100-31</t>
  </si>
  <si>
    <t>13MK100-31</t>
  </si>
  <si>
    <t>U285-AS-13MK100-32</t>
  </si>
  <si>
    <t>13MK100-32</t>
  </si>
  <si>
    <t>U285-AS-13MK100-33</t>
  </si>
  <si>
    <t>13MK100-33</t>
  </si>
  <si>
    <t>U285-AS-13MK100-34</t>
  </si>
  <si>
    <t>13MK100-34</t>
  </si>
  <si>
    <t>U285-AS-13MK100-35</t>
  </si>
  <si>
    <t>13MK100-35</t>
  </si>
  <si>
    <t>U285-AS-13MK100-36</t>
  </si>
  <si>
    <t>13MK100-36</t>
  </si>
  <si>
    <t>U285-AS-13MK100-37</t>
  </si>
  <si>
    <t>13MK100-37</t>
  </si>
  <si>
    <t>U285-AS-13MK100-38</t>
  </si>
  <si>
    <t>13MK100-38</t>
  </si>
  <si>
    <t>U285-AS-13MK100-39</t>
  </si>
  <si>
    <t>13MK100-39</t>
  </si>
  <si>
    <t>U285-AS-13MK100-40</t>
  </si>
  <si>
    <t>13MK100-40</t>
  </si>
  <si>
    <t>U285-AS-13MK100-41</t>
  </si>
  <si>
    <t>13MK100-41</t>
  </si>
  <si>
    <t>U285-AS-13MK100-42</t>
  </si>
  <si>
    <t>13MK100-42</t>
  </si>
  <si>
    <t>U285-AS-13MK100-43</t>
  </si>
  <si>
    <t>13MK100-43</t>
  </si>
  <si>
    <t>U285-AS-13MK100-44</t>
  </si>
  <si>
    <t>13MK100-44</t>
  </si>
  <si>
    <t>U285-AS-13MK100-45</t>
  </si>
  <si>
    <t>13MK100-45</t>
  </si>
  <si>
    <t>U285-AS-13MK100-46</t>
  </si>
  <si>
    <t>13MK100-46</t>
  </si>
  <si>
    <t>U285-AS-13MK100-47</t>
  </si>
  <si>
    <t>13MK100-47(1/2)</t>
  </si>
  <si>
    <t>13MK100-47(2/2)</t>
  </si>
  <si>
    <t>U285-AS-13MK100-48</t>
  </si>
  <si>
    <t>13MK100-48(1/2)</t>
  </si>
  <si>
    <t>13MK100-48(2/2)</t>
  </si>
  <si>
    <t>U285-AS-13MK101-1</t>
  </si>
  <si>
    <t>13MK101-1(1/2)</t>
  </si>
  <si>
    <t>13MK101-1(2/2)</t>
  </si>
  <si>
    <t>U285-AS-13MK101-2</t>
  </si>
  <si>
    <t>13MK101-2(1/2)</t>
  </si>
  <si>
    <t>13MK101-2(2/2)</t>
  </si>
  <si>
    <t>U285-AS-13MK101-3</t>
  </si>
  <si>
    <t>13MK101-3(1/4)</t>
  </si>
  <si>
    <t>13MK101-3(2/4)</t>
  </si>
  <si>
    <t>13MK101-3(3/4)</t>
  </si>
  <si>
    <t>13MK101-3(4/4)</t>
  </si>
  <si>
    <t>U285-AS-13MK101A-1</t>
  </si>
  <si>
    <t>U285-AS-13MK101B-1</t>
  </si>
  <si>
    <t>U285-AS-13MK101C-1</t>
  </si>
  <si>
    <t>U285-AS-13MK101D-1</t>
  </si>
  <si>
    <t>U285-AS-13MK102-2</t>
  </si>
  <si>
    <t>13MK102-2(1/6)</t>
  </si>
  <si>
    <t>13MK102-2(2/6)</t>
  </si>
  <si>
    <t>13MK102-2(3/6)</t>
  </si>
  <si>
    <t>13MK102-2(4/6)</t>
  </si>
  <si>
    <t>13MK102-2(5/6)</t>
  </si>
  <si>
    <t>13MK102-2(6/6)</t>
  </si>
  <si>
    <t>U285-AS-13MK102-3</t>
  </si>
  <si>
    <t>13MK102-3(1/2)</t>
  </si>
  <si>
    <t>13MK102-3(2/2)</t>
  </si>
  <si>
    <t>U285-AS-13MK103-1</t>
  </si>
  <si>
    <t>U285-AS-13MK104-1</t>
  </si>
  <si>
    <t>13MK104-1(1/2)</t>
  </si>
  <si>
    <t>13MK104-1(2/2)</t>
  </si>
  <si>
    <t>U285-AS-13MK104-2</t>
  </si>
  <si>
    <t>13MK104-2</t>
  </si>
  <si>
    <t>U285-AS-13MK104-3</t>
  </si>
  <si>
    <t>13MK104-3</t>
  </si>
  <si>
    <t>U285-AS-13MK104-4</t>
  </si>
  <si>
    <t>13MK104-4</t>
  </si>
  <si>
    <t>U285-AS-13MK104-5</t>
  </si>
  <si>
    <t>13MK104-5(1/3)</t>
  </si>
  <si>
    <t>13MK104-5(2/3)</t>
  </si>
  <si>
    <t>13MK104-5(3/3)</t>
  </si>
  <si>
    <t>U285-AS-13MK104A-1</t>
  </si>
  <si>
    <t>U285-AS-13MK104B-1</t>
  </si>
  <si>
    <t>U285-AS-13MK104C-1</t>
  </si>
  <si>
    <t>U285-AS-13MK104D-1</t>
  </si>
  <si>
    <t>U285-AS-13MK105-1</t>
  </si>
  <si>
    <t>13MK105-1(1/4)</t>
  </si>
  <si>
    <t>13MK105-1(2/4)</t>
  </si>
  <si>
    <t>13MK105-1(3/4)</t>
  </si>
  <si>
    <t>13MK105-1(4/4)</t>
  </si>
  <si>
    <t>U285-AS-13MK105-2</t>
  </si>
  <si>
    <t>13MK105-2(1/4)</t>
  </si>
  <si>
    <t>13MK105-2(2/4)</t>
  </si>
  <si>
    <t>13MK105-2(3/4)</t>
  </si>
  <si>
    <t>13MK105-2(4/4)</t>
  </si>
  <si>
    <t>U285-AS-13MK106-1</t>
  </si>
  <si>
    <t>13MK106-1</t>
  </si>
  <si>
    <t>U285-AS-13MK106C-1</t>
  </si>
  <si>
    <t>13MK106C-1(1/3)</t>
  </si>
  <si>
    <t>13MK106C-1(2/3)</t>
  </si>
  <si>
    <t>13MK106C-1(3/3)</t>
  </si>
  <si>
    <t>U285-AS-13MK106C-2</t>
  </si>
  <si>
    <t>13MK106C-2</t>
  </si>
  <si>
    <t>U285-AS-13MK106D-1</t>
  </si>
  <si>
    <t>13MK106D-1</t>
  </si>
  <si>
    <t>U285-AS-13MK106E-1</t>
  </si>
  <si>
    <t>13MK106E-1</t>
  </si>
  <si>
    <t>U285-AS-13MK106F-2</t>
  </si>
  <si>
    <t>U285-AS-13MK106G-1</t>
  </si>
  <si>
    <t>13MK106G-1</t>
  </si>
  <si>
    <t>U285-AS-13MK106H-1</t>
  </si>
  <si>
    <t>13MK106H-1</t>
  </si>
  <si>
    <t>U285-AS-13MK106I-1</t>
  </si>
  <si>
    <t>13MK106I-1</t>
  </si>
  <si>
    <t>U285-AS-13MK106J-1</t>
  </si>
  <si>
    <t>13MK106J-1</t>
  </si>
  <si>
    <t>U285-AS-13MK106K-1</t>
  </si>
  <si>
    <t>13MK106K-1</t>
  </si>
  <si>
    <t>U285-AS-13MK106L-1</t>
  </si>
  <si>
    <t>13MK106L-1</t>
  </si>
  <si>
    <t>U285-AS-13MK106M-1</t>
  </si>
  <si>
    <t>13MK106M-1</t>
  </si>
  <si>
    <t>U285-AS-13MK106N-1</t>
  </si>
  <si>
    <t>13MK106N-1</t>
  </si>
  <si>
    <t>U285-AS-13MK106O-1</t>
  </si>
  <si>
    <t>13MK106O-1</t>
  </si>
  <si>
    <t>U285-AS-13MK106A-1</t>
  </si>
  <si>
    <t>13MK106A-1(1/8)</t>
  </si>
  <si>
    <t>13MK106A-1(2/8)</t>
  </si>
  <si>
    <t>13MK106A-1(3/8)</t>
  </si>
  <si>
    <t>13MK106A-1(4/8)</t>
  </si>
  <si>
    <t>13MK106A-1(5/8)</t>
  </si>
  <si>
    <t>13MK106A-1(6/8)</t>
  </si>
  <si>
    <t>13MK106A-1(7/8)</t>
  </si>
  <si>
    <t>13MK106A-1(8/8)</t>
  </si>
  <si>
    <t>U285-AS-13MK106B-1</t>
  </si>
  <si>
    <t>13MK106B-1(1/8)</t>
  </si>
  <si>
    <t>13MK106B-1(2/8)</t>
  </si>
  <si>
    <t>13MK106B-1(3/8)</t>
  </si>
  <si>
    <t>13MK106B-1(4/8)</t>
  </si>
  <si>
    <t>13MK106B-1(5/8)</t>
  </si>
  <si>
    <t>13MK106B-1(6/8)</t>
  </si>
  <si>
    <t>13MK106B-1(7/8)</t>
  </si>
  <si>
    <t>13MK106B-1(8/8)</t>
  </si>
  <si>
    <t>U285-AS-13MK107-1</t>
  </si>
  <si>
    <t>U285-AS-13MK108-1</t>
  </si>
  <si>
    <t>13MK108-1</t>
  </si>
  <si>
    <t>U285-AS-13MK108-2</t>
  </si>
  <si>
    <t>13MK108-2</t>
  </si>
  <si>
    <t>U285-AS-13MK109-1</t>
  </si>
  <si>
    <t>13MK109-1</t>
  </si>
  <si>
    <t>U285-AS-13MK110-1</t>
  </si>
  <si>
    <t>13MK110-1(1/2)</t>
  </si>
  <si>
    <t>13MK110-1(2/2)</t>
  </si>
  <si>
    <t>U285-AS-13MK110-2</t>
  </si>
  <si>
    <t>13MK110-2(1/2)</t>
  </si>
  <si>
    <t>13MK110-2(2/2)</t>
  </si>
  <si>
    <t>U285-AS-13MK111-1</t>
  </si>
  <si>
    <t>13MK111-1(1/2)</t>
  </si>
  <si>
    <t>13MK111-1(2/2)</t>
  </si>
  <si>
    <t>U285-AS-13MK111-2</t>
  </si>
  <si>
    <t>13MK111-2(1/2)</t>
  </si>
  <si>
    <t>13MK111-2(2/2)</t>
  </si>
  <si>
    <t>U285-AS-13MK112-1</t>
  </si>
  <si>
    <t>13MK112-1(1/2)</t>
  </si>
  <si>
    <t>13MK112-1(2/2)</t>
  </si>
  <si>
    <t>U285-AS-13MK113-1</t>
  </si>
  <si>
    <t>13MK113-1</t>
  </si>
  <si>
    <t>U285-AS-13MK113-2</t>
  </si>
  <si>
    <t>13MK113-2</t>
  </si>
  <si>
    <t>U285-AS-13MK114-1</t>
  </si>
  <si>
    <t>13MK114-1</t>
  </si>
  <si>
    <t>U285-AS-13MK114-2</t>
  </si>
  <si>
    <t>13MK114-2</t>
  </si>
  <si>
    <t>U285-AS-13MK114-3</t>
  </si>
  <si>
    <t>13MK114-3</t>
  </si>
  <si>
    <t>U285-AS-13MK114-4</t>
  </si>
  <si>
    <t>13MK114-4</t>
  </si>
  <si>
    <t>U285-AS-13MK115-1</t>
  </si>
  <si>
    <t>13MK115-1</t>
  </si>
  <si>
    <t>U285-AS-13MK115-2</t>
  </si>
  <si>
    <t>13MK115-2</t>
  </si>
  <si>
    <t>U285-AS-13MK116-1</t>
  </si>
  <si>
    <t>13MK116-1(1/4)</t>
  </si>
  <si>
    <t>13MK116-1(2/4)</t>
  </si>
  <si>
    <t>13MK116-1(3/4)</t>
  </si>
  <si>
    <t>13MK116-1(4/4)</t>
  </si>
  <si>
    <t>U285-AS-13MK117A-1</t>
  </si>
  <si>
    <t>13MK117A-1(1/6)</t>
  </si>
  <si>
    <t>13MK117A-1(2/6)</t>
  </si>
  <si>
    <t>13MK117A-1(3/6)</t>
  </si>
  <si>
    <t>13MK117A-1(4/6)</t>
  </si>
  <si>
    <t>13MK117A-1(5/6)</t>
  </si>
  <si>
    <t>13MK117A-1(6/6)</t>
  </si>
  <si>
    <t>U285-AS-13MK117B-1</t>
  </si>
  <si>
    <t>13MK117B-1(1/6)</t>
  </si>
  <si>
    <t>13MK117B-1(2/6)</t>
  </si>
  <si>
    <t>13MK117B-1(3/6)</t>
  </si>
  <si>
    <t>13MK117B-1(4/6)</t>
  </si>
  <si>
    <t>13MK117B-1(5/6)</t>
  </si>
  <si>
    <t>13MK117B-1(6/6)</t>
  </si>
  <si>
    <t>U285-AS-13MK118A-1</t>
  </si>
  <si>
    <t>13MK118A-1</t>
  </si>
  <si>
    <t>U285-AS-13MK118B-1</t>
  </si>
  <si>
    <t>13MK118B-1</t>
  </si>
  <si>
    <t>U285-AS-13MK119A-1</t>
  </si>
  <si>
    <t>13MK119A-1(1/12)</t>
  </si>
  <si>
    <t>13MK119A-1(2/12)</t>
  </si>
  <si>
    <t>13MK119A-1(3/12)</t>
  </si>
  <si>
    <t>13MK119A-1(4/12)</t>
  </si>
  <si>
    <t>13MK119A-1(5/12)</t>
  </si>
  <si>
    <t>13MK119A-1(6/12)</t>
  </si>
  <si>
    <t>13MK119A-1(7/12)</t>
  </si>
  <si>
    <t>13MK119A-1(8/12)</t>
  </si>
  <si>
    <t>13MK119A-1(9/12)</t>
  </si>
  <si>
    <t>13MK119A-1(10/12)</t>
  </si>
  <si>
    <t>13MK119A-1(11/12)</t>
  </si>
  <si>
    <t>13MK119A-1(12/12)</t>
  </si>
  <si>
    <t>U285-AS-13MK119B-1</t>
  </si>
  <si>
    <t>13MK119B-1(1/12)</t>
  </si>
  <si>
    <t>13MK119B-1(2/12)</t>
  </si>
  <si>
    <t>13MK119B-1(3/12)</t>
  </si>
  <si>
    <t>13MK119B-1(4/12)</t>
  </si>
  <si>
    <t>13MK119B-1(5/12)</t>
  </si>
  <si>
    <t>13MK119B-1(6/12)</t>
  </si>
  <si>
    <t>13MK119B-1(7/12)</t>
  </si>
  <si>
    <t>13MK119B-1(8/12)</t>
  </si>
  <si>
    <t>13MK119B-1(9/12)</t>
  </si>
  <si>
    <t>13MK119B-1(10/12)</t>
  </si>
  <si>
    <t>13MK119B-1(11/12)</t>
  </si>
  <si>
    <t>13MK119B-1(12/12)</t>
  </si>
  <si>
    <t>U285-AS-13MK120A-1</t>
  </si>
  <si>
    <t>13MK120A-1(1/6)</t>
  </si>
  <si>
    <t>13MK120A-1(2/6)</t>
  </si>
  <si>
    <t>13MK120A-1(3/6)</t>
  </si>
  <si>
    <t>13MK120A-1(4/6)</t>
  </si>
  <si>
    <t>13MK120A-1(5/6)</t>
  </si>
  <si>
    <t>13MK120A-1(6/6)</t>
  </si>
  <si>
    <t>U285-AS-13MK120B-1</t>
  </si>
  <si>
    <t>13MK120B-1(1/6)</t>
  </si>
  <si>
    <t>13MK120B-1(2/6)</t>
  </si>
  <si>
    <t>13MK120B-1(3/6)</t>
  </si>
  <si>
    <t>13MK120B-1(4/6)</t>
  </si>
  <si>
    <t>13MK120B-1(5/6)</t>
  </si>
  <si>
    <t>13MK120B-1(6/6)</t>
  </si>
  <si>
    <t>U285-AS-13MK121-1</t>
  </si>
  <si>
    <t>13MK121-1</t>
  </si>
  <si>
    <t>U285-AS-13MK122-1</t>
  </si>
  <si>
    <t>13MK122-1(1/2)</t>
  </si>
  <si>
    <t>13MK122-1(2/2)</t>
  </si>
  <si>
    <t>U285-AS-13MK123A-1</t>
  </si>
  <si>
    <t>13MK123A-1</t>
  </si>
  <si>
    <t>U285-AS-13MK123B-1</t>
  </si>
  <si>
    <t>13MK123B-1</t>
  </si>
  <si>
    <t>U285-AS-13MK124-1</t>
  </si>
  <si>
    <t>13MK124-1(1/3)</t>
  </si>
  <si>
    <t>13MK124-1(2/3)</t>
  </si>
  <si>
    <t>13MK124-1(3/3)</t>
  </si>
  <si>
    <t>U285-AS-13MK125-1</t>
  </si>
  <si>
    <t>13MK125-1(1/2)</t>
  </si>
  <si>
    <t>13MK125-1(2/2)</t>
  </si>
  <si>
    <t>U285-AS-13MK500-1</t>
  </si>
  <si>
    <t>13MK500-1</t>
  </si>
  <si>
    <t>U285-AS-13MK501-1</t>
  </si>
  <si>
    <t>13MK501-1</t>
  </si>
  <si>
    <t>U285-AS-13MK502-1</t>
  </si>
  <si>
    <t>13MK502-1</t>
  </si>
  <si>
    <t>U285-AS-13MK502A-1</t>
  </si>
  <si>
    <t>13MK502A-1</t>
  </si>
  <si>
    <t>U285-AS-13MK503-1</t>
  </si>
  <si>
    <t>13MK503-1(1/8)</t>
  </si>
  <si>
    <t>13MK503-1(2/8)</t>
  </si>
  <si>
    <t>13MK503-1(3/8)</t>
  </si>
  <si>
    <t>13MK503-1(4/8)</t>
  </si>
  <si>
    <t>13MK503-1(5/8)</t>
  </si>
  <si>
    <t>13MK503-1(6/8)</t>
  </si>
  <si>
    <t>13MK503-1(7/8)</t>
  </si>
  <si>
    <t>13MK503-1(8/8)</t>
  </si>
  <si>
    <t>U285-AS-13MK504-1</t>
  </si>
  <si>
    <t>13MK504-1(1/4)</t>
  </si>
  <si>
    <t>13MK504-1(2/4)</t>
  </si>
  <si>
    <t>13MK504-1(3/4)</t>
  </si>
  <si>
    <t>13MK504-1(4/4)</t>
  </si>
  <si>
    <t>U285-AS-13MK504A-1</t>
  </si>
  <si>
    <t>13MK504A-1(1/8)</t>
  </si>
  <si>
    <t>13MK504A-1(2/8)</t>
  </si>
  <si>
    <t>13MK504A-1(3/8)</t>
  </si>
  <si>
    <t>13MK504A-1(4/8)</t>
  </si>
  <si>
    <t>13MK504A-1(5/8)</t>
  </si>
  <si>
    <t>13MK504A-1(6/8)</t>
  </si>
  <si>
    <t>13MK504A-1(7/8)</t>
  </si>
  <si>
    <t>13MK504A-1(8/8)</t>
  </si>
  <si>
    <t>U285-AS-13MK505-1</t>
  </si>
  <si>
    <t>13MK505-1(1/2)</t>
  </si>
  <si>
    <t>13MK505-1(2/2)</t>
  </si>
  <si>
    <t>U285-AS-13MK506-1</t>
  </si>
  <si>
    <t>13MK506-1</t>
  </si>
  <si>
    <t>U285-AS-13MK506-2</t>
  </si>
  <si>
    <t>13MK506-2</t>
  </si>
  <si>
    <t>U285-AS-13MK507-1</t>
  </si>
  <si>
    <t>13MK507-1</t>
  </si>
  <si>
    <t>U285-AS-13MK507-2</t>
  </si>
  <si>
    <t>13MK507-2</t>
  </si>
  <si>
    <t>U285-AS-13MK508-1</t>
  </si>
  <si>
    <t>13MK508-1(1/2)</t>
  </si>
  <si>
    <t>13MK508-1(2/2)</t>
  </si>
  <si>
    <t>U285-AS-13MK509-1</t>
  </si>
  <si>
    <t>13MK509-1</t>
  </si>
  <si>
    <t>U285-AS-13MK510-1</t>
  </si>
  <si>
    <t>13MK510-1(1/2)</t>
  </si>
  <si>
    <t>13MK510-1(2/2)</t>
  </si>
  <si>
    <t>U285-AS-13MK511-1</t>
  </si>
  <si>
    <t>13MK511-1</t>
  </si>
  <si>
    <t>U285-AS-13MK511-2</t>
  </si>
  <si>
    <t>13MK511-2</t>
  </si>
  <si>
    <t>U285-AS-13MK512-1</t>
  </si>
  <si>
    <t>13MK512-1</t>
  </si>
  <si>
    <t>U285-AS-13MK512-2</t>
  </si>
  <si>
    <t>13MK512-2</t>
  </si>
  <si>
    <t>U285-AS-13MK513-1</t>
  </si>
  <si>
    <t>U285-AS-13MK514-1</t>
  </si>
  <si>
    <t>13MK514-1(1/4)</t>
  </si>
  <si>
    <t>13MK514-1(2/4)</t>
  </si>
  <si>
    <t>13MK514-1(3/4)</t>
  </si>
  <si>
    <t>13MK514-1(4/4)</t>
  </si>
  <si>
    <t>U285-AS-13MK515-1</t>
  </si>
  <si>
    <t>13MK515-1(1/4)</t>
  </si>
  <si>
    <t>13MK515-1(2/4)</t>
  </si>
  <si>
    <t>13MK515-1(3/4)</t>
  </si>
  <si>
    <t>13MK515-1(4/4)</t>
  </si>
  <si>
    <t>U285-AS-13MK516-1</t>
  </si>
  <si>
    <t>13MK516-1(1/2)</t>
  </si>
  <si>
    <t>13MK516-1(2/2)</t>
  </si>
  <si>
    <t>U285-AS-13MK516-2</t>
  </si>
  <si>
    <t>13MK516-2(1/2)</t>
  </si>
  <si>
    <t>13MK516-2(2/2)</t>
  </si>
  <si>
    <t>U285-AS-13MK517-1</t>
  </si>
  <si>
    <t>13MK517-1(1/2)</t>
  </si>
  <si>
    <t>13MK517-1(2/2)</t>
  </si>
  <si>
    <t>U285-AS-13MK518-1</t>
  </si>
  <si>
    <t>13MK518-1(1/6)</t>
  </si>
  <si>
    <t>13MK518-1(2/6)</t>
  </si>
  <si>
    <t>13MK518-1(3/6)</t>
  </si>
  <si>
    <t>13MK518-1(4/6)</t>
  </si>
  <si>
    <t>13MK518-1(5/6)</t>
  </si>
  <si>
    <t>13MK518-1(6/6)</t>
  </si>
  <si>
    <t>U285-AS-13MK519-1</t>
  </si>
  <si>
    <t>13MK519-1(1/8)</t>
  </si>
  <si>
    <t>13MK519-1(2/8)</t>
  </si>
  <si>
    <t>13MK519-1(3/8)</t>
  </si>
  <si>
    <t>13MK519-1(4/8)</t>
  </si>
  <si>
    <t>13MK519-1(5/8)</t>
  </si>
  <si>
    <t>13MK519-1(6/8)</t>
  </si>
  <si>
    <t>13MK519-1(7/8)</t>
  </si>
  <si>
    <t>13MK519-1(8/8)</t>
  </si>
  <si>
    <t>U285-AS-13MK520-1</t>
  </si>
  <si>
    <t>13MK520-1(1/16)</t>
  </si>
  <si>
    <t>13MK520-1(2/16)</t>
  </si>
  <si>
    <t>13MK520-1(3/16)</t>
  </si>
  <si>
    <t>13MK520-1(4/16)</t>
  </si>
  <si>
    <t>13MK520-1(5/16)</t>
  </si>
  <si>
    <t>13MK520-1(6/16)</t>
  </si>
  <si>
    <t>13MK520-1(7/16)</t>
  </si>
  <si>
    <t>13MK520-1(8/16)</t>
  </si>
  <si>
    <t>13MK520-1(9/16)</t>
  </si>
  <si>
    <t>13MK520-1(10/16)</t>
  </si>
  <si>
    <t>13MK520-1(11/16)</t>
  </si>
  <si>
    <t>13MK520-1(12/16)</t>
  </si>
  <si>
    <t>13MK520-1(13/16)</t>
  </si>
  <si>
    <t>13MK520-1(14/16)</t>
  </si>
  <si>
    <t>13MK520-1(15/16)</t>
  </si>
  <si>
    <t>13MK520-1(16/16)</t>
  </si>
  <si>
    <t>U285-AS-13MK521-1</t>
  </si>
  <si>
    <t>13MK521-1(1/2)</t>
  </si>
  <si>
    <t>13MK521-1(2/2)</t>
  </si>
  <si>
    <t>U285-AS-13MK522-1</t>
  </si>
  <si>
    <t>13MK522-1(1/2)</t>
  </si>
  <si>
    <t>13MK522-1(2/2)</t>
  </si>
  <si>
    <t>U285-AS-13MK523-1</t>
  </si>
  <si>
    <t>13MK523-1(1/2)</t>
  </si>
  <si>
    <t>13MK523-1(2/2)</t>
  </si>
  <si>
    <t>U285-AS-13MK523-2</t>
  </si>
  <si>
    <t>13MK523-2(1/2)</t>
  </si>
  <si>
    <t>13MK523-2(2/2)</t>
  </si>
  <si>
    <t>U285-AS-13MK524-1</t>
  </si>
  <si>
    <t>13MK524-1</t>
  </si>
  <si>
    <t>U285-AS-13MK525-1</t>
  </si>
  <si>
    <t>13MK525-1</t>
  </si>
  <si>
    <t>U285-AS-13MK526-1</t>
  </si>
  <si>
    <t>13MK526-1</t>
  </si>
  <si>
    <t>U285-AS-13MK527-1</t>
  </si>
  <si>
    <t>13MK527-1</t>
  </si>
  <si>
    <t>U285-AS-13MK528-1</t>
  </si>
  <si>
    <t>13MK528-1</t>
  </si>
  <si>
    <t>U285-AS-13MK529-1</t>
  </si>
  <si>
    <t>13MK529-1</t>
  </si>
  <si>
    <t>U285-AS-13MK530-1</t>
  </si>
  <si>
    <t>13MK530-1(1/2)</t>
  </si>
  <si>
    <t>13MK530-1(2/2)</t>
  </si>
  <si>
    <t>U285-AS-13MK531-1</t>
  </si>
  <si>
    <t>13MK531-1(1/4)</t>
  </si>
  <si>
    <t>13MK531-1(2/4)</t>
  </si>
  <si>
    <t>13MK531-1(3/4)</t>
  </si>
  <si>
    <t>13MK531-1(4/4)</t>
  </si>
  <si>
    <t>U285-AS-13MK532-1</t>
  </si>
  <si>
    <t>13MK532-1(1/8)</t>
  </si>
  <si>
    <t>13MK532-1(2/8)</t>
  </si>
  <si>
    <t>13MK532-1(3/8)</t>
  </si>
  <si>
    <t>13MK532-1(4/8)</t>
  </si>
  <si>
    <t>13MK532-1(5/8)</t>
  </si>
  <si>
    <t>13MK532-1(6/8)</t>
  </si>
  <si>
    <t>13MK532-1(7/8)</t>
  </si>
  <si>
    <t>13MK532-1(8/8)</t>
  </si>
  <si>
    <t>U285-AS-13MK533-1</t>
  </si>
  <si>
    <t>13MK533-1</t>
  </si>
  <si>
    <t>U285-AS-13MK534-1</t>
  </si>
  <si>
    <t>13MK534-1(1/2)</t>
  </si>
  <si>
    <t>13MK534-1(2/2)</t>
  </si>
  <si>
    <t>U285-AS-13MK535-1</t>
  </si>
  <si>
    <t>13MK535-1(1/4)</t>
  </si>
  <si>
    <t>13MK535-1(2/4)</t>
  </si>
  <si>
    <t>13MK535-1(3/4)</t>
  </si>
  <si>
    <t>13MK535-1(4/4)</t>
  </si>
  <si>
    <t>U285-AS-13MK536-1</t>
  </si>
  <si>
    <t>13MK536-1(1/2)</t>
  </si>
  <si>
    <t>13MK536-1(2/2)</t>
  </si>
  <si>
    <t>U285-AS-13MK536A-1</t>
  </si>
  <si>
    <t>13MK536A-1(1/2)</t>
  </si>
  <si>
    <t>13MK536A-1(2/2)</t>
  </si>
  <si>
    <t>U285-AS-13MK537-1</t>
  </si>
  <si>
    <t>13MK537-1(1/2)</t>
  </si>
  <si>
    <t>13MK537-1(2/2)</t>
  </si>
  <si>
    <t>U285-AS-13MK537A-1</t>
  </si>
  <si>
    <t>13MK537A-1(1/2)</t>
  </si>
  <si>
    <t>13MK537A-1(2/2)</t>
  </si>
  <si>
    <t>U285-AS-13MK538-1</t>
  </si>
  <si>
    <t>13MK538-1(1/20)</t>
  </si>
  <si>
    <t>13MK538-1(2/20)</t>
  </si>
  <si>
    <t>13MK538-1(3/20)</t>
  </si>
  <si>
    <t>13MK538-1(4/20)</t>
  </si>
  <si>
    <t>13MK538-1(5/20)</t>
  </si>
  <si>
    <t>13MK538-1(6/20)</t>
  </si>
  <si>
    <t>13MK538-1(7/20)</t>
  </si>
  <si>
    <t>13MK538-1(8/20)</t>
  </si>
  <si>
    <t>13MK538-1(9/20)</t>
  </si>
  <si>
    <t>13MK538-1(10/20)</t>
  </si>
  <si>
    <t>13MK538-1(11/20)</t>
  </si>
  <si>
    <t>13MK538-1(12/20)</t>
  </si>
  <si>
    <t>13MK538-1(13/20)</t>
  </si>
  <si>
    <t>13MK538-1(14/20)</t>
  </si>
  <si>
    <t>13MK538-1(15/20)</t>
  </si>
  <si>
    <t>13MK538-1(16/20)</t>
  </si>
  <si>
    <t>13MK538-1(17/20)</t>
  </si>
  <si>
    <t>13MK538-1(18/20)</t>
  </si>
  <si>
    <t>13MK538-1(19/20)</t>
  </si>
  <si>
    <t>13MK538-1(20/20)</t>
  </si>
  <si>
    <t>U285-AS-13MK539-1</t>
  </si>
  <si>
    <t>U285-AS-13MK540-1</t>
  </si>
  <si>
    <t>13MK540-1(1/2)</t>
  </si>
  <si>
    <t>13MK540-1(2/2)</t>
  </si>
  <si>
    <t>U285-AS-13MK541-1</t>
  </si>
  <si>
    <t>13MK541-1(1/8)</t>
  </si>
  <si>
    <t>13MK541-1(2/8)</t>
  </si>
  <si>
    <t>13MK541-1(3/8)</t>
  </si>
  <si>
    <t>13MK541-1(4/8)</t>
  </si>
  <si>
    <t>13MK541-1(5/8)</t>
  </si>
  <si>
    <t>13MK541-1(6/8)</t>
  </si>
  <si>
    <t>13MK541-1(7/8)</t>
  </si>
  <si>
    <t>13MK541-1(8/8)</t>
  </si>
  <si>
    <t>U285-AS-13MK542-1</t>
  </si>
  <si>
    <t>U285-AS-13MK543-1</t>
  </si>
  <si>
    <t>U285-AS-13MK544-1</t>
  </si>
  <si>
    <t>U285-AS-13KM602-1</t>
  </si>
  <si>
    <t>13KM602-1(1/4)</t>
  </si>
  <si>
    <t>13KM602-1(2/4)</t>
  </si>
  <si>
    <t>13KM602-1(3/4)</t>
  </si>
  <si>
    <t>13KM602-1(4/4)</t>
  </si>
  <si>
    <t>U285-AS-13KM603-1</t>
  </si>
  <si>
    <t>13KM603-1</t>
  </si>
  <si>
    <t>U285-AS-13KM603-2</t>
  </si>
  <si>
    <t>13KM603-2</t>
  </si>
  <si>
    <t>U285-AS-13MK600-2</t>
  </si>
  <si>
    <t>13MK600-2</t>
  </si>
  <si>
    <t>U285-AS-13MK601-1</t>
  </si>
  <si>
    <t>13MK601-1(1/8)</t>
  </si>
  <si>
    <t>13MK601-1(2/8)</t>
  </si>
  <si>
    <t>13MK601-1(3/8)</t>
  </si>
  <si>
    <t>13MK601-1(4/8)</t>
  </si>
  <si>
    <t>13MK601-1(5/8)</t>
  </si>
  <si>
    <t>13MK601-1(6/8)</t>
  </si>
  <si>
    <t>13MK601-1(7/8)</t>
  </si>
  <si>
    <t>13MK601-1(8/8)</t>
  </si>
  <si>
    <t>U285-AS-13MK603-3</t>
  </si>
  <si>
    <t>13MK603-3(1/2)</t>
  </si>
  <si>
    <t>13MK603-3(2/2)</t>
  </si>
  <si>
    <t>U285-AS-13MK800-1</t>
  </si>
  <si>
    <t>13MK800-1</t>
  </si>
  <si>
    <t>U285-AS-13MK800-2</t>
  </si>
  <si>
    <t>13MK800-2(1/2)</t>
  </si>
  <si>
    <t>13MK800-2(2/2)</t>
  </si>
  <si>
    <t>U285-AS-13MK800-4</t>
  </si>
  <si>
    <t>13MK800-4</t>
  </si>
  <si>
    <t>U285-AS-13MK800-7</t>
  </si>
  <si>
    <t>13MK800-7(1/2)</t>
  </si>
  <si>
    <t>13MK800-7(2/2)</t>
  </si>
  <si>
    <t>U285-AS-13MK800-9</t>
  </si>
  <si>
    <t>13MK800-9</t>
  </si>
  <si>
    <t>U285-AS-13MK800-10</t>
  </si>
  <si>
    <t>13MK800-10</t>
  </si>
  <si>
    <t>U285-AS-13MK800-14</t>
  </si>
  <si>
    <t>13MK800-14</t>
  </si>
  <si>
    <t>U285-AS-13MK801-1</t>
  </si>
  <si>
    <t>13MK801-1</t>
  </si>
  <si>
    <t>U285-AS-13MK802-1</t>
  </si>
  <si>
    <t>13MK802-1</t>
  </si>
  <si>
    <t>U285-AS-13MK803-1</t>
  </si>
  <si>
    <t>13MK803-1</t>
  </si>
  <si>
    <t>U285-AS-13MK804-1</t>
  </si>
  <si>
    <t>13MK804-1</t>
  </si>
  <si>
    <t>U285-AS-13MK805-1</t>
  </si>
  <si>
    <t>13MK805-1</t>
  </si>
  <si>
    <t>U285-AS-13MK806-1</t>
  </si>
  <si>
    <t>13MK806-1</t>
  </si>
  <si>
    <t>U285-AS-13MK806-3</t>
  </si>
  <si>
    <t>13MK806-3</t>
  </si>
  <si>
    <t>RADIANT FLOOR</t>
  </si>
  <si>
    <t>(1800x8x50)</t>
  </si>
  <si>
    <t>(1990x8x50)</t>
  </si>
  <si>
    <t>(400x8x50)</t>
  </si>
  <si>
    <t>RADIANT WALL (1/5)</t>
  </si>
  <si>
    <t>RADIANT FLOOR (1/3)</t>
  </si>
  <si>
    <t>(11610x1836x475)</t>
  </si>
  <si>
    <t>(414x294x468)</t>
  </si>
  <si>
    <t>(414x568x468)</t>
  </si>
  <si>
    <t>RADIANT ARCH (1/3)</t>
  </si>
  <si>
    <t>(11610x3360x475)</t>
  </si>
  <si>
    <t>(414x523x468)</t>
  </si>
  <si>
    <t>(17071x3181x467)</t>
  </si>
  <si>
    <t>(414x506x468)</t>
  </si>
  <si>
    <t>RADIANT WALL (1/3)</t>
  </si>
  <si>
    <t>(3991x233x7355)</t>
  </si>
  <si>
    <t>(10590x4239x860)</t>
  </si>
  <si>
    <t>RADIANT WALL (1/2)</t>
  </si>
  <si>
    <t>(1917x209x7270)</t>
  </si>
  <si>
    <t>(1914x337x203)</t>
  </si>
  <si>
    <t>(1213x203x203)</t>
  </si>
  <si>
    <t>(414x396x468)</t>
  </si>
  <si>
    <t>RADIANT WALL (1/6)</t>
  </si>
  <si>
    <t>RADIANT WALL (1/4)</t>
  </si>
  <si>
    <t>RADIANT WALL(1/5)</t>
  </si>
  <si>
    <t>RADIANT WALL(1/3)</t>
  </si>
  <si>
    <t>(11610x2548x1906)</t>
  </si>
  <si>
    <t>RADIANT WALL(1/6)</t>
  </si>
  <si>
    <t>RADIANT WALL</t>
  </si>
  <si>
    <t>(1519x133x210)</t>
  </si>
  <si>
    <t>(1917x181x210)</t>
  </si>
  <si>
    <t>(873x271x762)</t>
  </si>
  <si>
    <t>(731x363x731)</t>
  </si>
  <si>
    <t>RADIANT WALL WASHER</t>
  </si>
  <si>
    <t>(50x5x50)</t>
  </si>
  <si>
    <t>(1070x163x1103)</t>
  </si>
  <si>
    <t>(663x182x400)</t>
  </si>
  <si>
    <t>(1389x300x300)</t>
  </si>
  <si>
    <t>(97x5x300)</t>
  </si>
  <si>
    <t>(97x3x300)</t>
  </si>
  <si>
    <t>(97x2x300)</t>
  </si>
  <si>
    <t>(97x1x300)</t>
  </si>
  <si>
    <t>(1487x268x464)</t>
  </si>
  <si>
    <t>(1011x268x230)</t>
  </si>
  <si>
    <t>(1487x205x300)</t>
  </si>
  <si>
    <t>SUPPORT MANIFOLDS</t>
  </si>
  <si>
    <t>(1598x700x700)</t>
  </si>
  <si>
    <t>(1598x700x701)</t>
  </si>
  <si>
    <t>(600x600x450)</t>
  </si>
  <si>
    <t>(600x205x450)</t>
  </si>
  <si>
    <t>(76x10x140)</t>
  </si>
  <si>
    <t>(450x10x520)</t>
  </si>
  <si>
    <t>(444x10x530)</t>
  </si>
  <si>
    <t>(2040x75x75)</t>
  </si>
  <si>
    <t>(1665x75x75)</t>
  </si>
  <si>
    <t>(3945x75x75)</t>
  </si>
  <si>
    <t>(1850x75x75)</t>
  </si>
  <si>
    <t>(3950x75x75)</t>
  </si>
  <si>
    <t>(410x3x125)</t>
  </si>
  <si>
    <t>(410x6x177)</t>
  </si>
  <si>
    <t>(410x12x177)</t>
  </si>
  <si>
    <t>(410x6x260)</t>
  </si>
  <si>
    <t>(410x12x260)</t>
  </si>
  <si>
    <t>(410x6x400)</t>
  </si>
  <si>
    <t>(410x12x400)</t>
  </si>
  <si>
    <t>(410x6x245)</t>
  </si>
  <si>
    <t>(410x12x245)</t>
  </si>
  <si>
    <t>(410x3x399)</t>
  </si>
  <si>
    <t>(410x3x354)</t>
  </si>
  <si>
    <t>(410x6x279)</t>
  </si>
  <si>
    <t>(410x12x279)</t>
  </si>
  <si>
    <t>(410x3x337)</t>
  </si>
  <si>
    <t>(410x3x227)</t>
  </si>
  <si>
    <t>PACKING FOR TRANSPORT</t>
  </si>
  <si>
    <t>(3455x991x496)</t>
  </si>
  <si>
    <t>(3300x440x356)</t>
  </si>
  <si>
    <t>(2705x440x507)</t>
  </si>
  <si>
    <t>(5000x440x353)</t>
  </si>
  <si>
    <t>(1399x300x300)</t>
  </si>
  <si>
    <t>(3300x547x356)</t>
  </si>
  <si>
    <t>(3455x1086x605)</t>
  </si>
  <si>
    <t>(1213x255x496)</t>
  </si>
  <si>
    <t>(520x10x310)</t>
  </si>
  <si>
    <t>(3560x90x90)</t>
  </si>
  <si>
    <t>(90x10x140)</t>
  </si>
  <si>
    <t>(1718x90x90)</t>
  </si>
  <si>
    <t>(1600x90x90)</t>
  </si>
  <si>
    <t>(1580x90x90)</t>
  </si>
  <si>
    <t>(3400x90x90)</t>
  </si>
  <si>
    <t>(2145x205x450)</t>
  </si>
  <si>
    <t>(1247x205x659)</t>
  </si>
  <si>
    <t>(1091x205x659)</t>
  </si>
  <si>
    <t>(1147x205x506)</t>
  </si>
  <si>
    <t>(3060x205x450)</t>
  </si>
  <si>
    <t>(3152x991x496)</t>
  </si>
  <si>
    <t>(3151x991x496)</t>
  </si>
  <si>
    <t>(2205x465x496)</t>
  </si>
  <si>
    <t>(2204x584x496)</t>
  </si>
  <si>
    <t>(520x10x350)</t>
  </si>
  <si>
    <t>(3999x90x90)</t>
  </si>
  <si>
    <t>(1880x90x90)</t>
  </si>
  <si>
    <t>(4240x90x90)</t>
  </si>
  <si>
    <t>(2000x90x90)</t>
  </si>
  <si>
    <t>(8392x368x516)</t>
  </si>
  <si>
    <t>(772x440x356)</t>
  </si>
  <si>
    <t>(8311x206x370)</t>
  </si>
  <si>
    <t>(368x320x280)</t>
  </si>
  <si>
    <t>(2545x203x363)</t>
  </si>
  <si>
    <t>(6225x206x370)</t>
  </si>
  <si>
    <t>(2553x203x363)</t>
  </si>
  <si>
    <t>(335x150x247)</t>
  </si>
  <si>
    <t>(134x50x111)</t>
  </si>
  <si>
    <t>(210x100x187)</t>
  </si>
  <si>
    <t>FLUE GAS DUCT BELOW CONVECTION</t>
  </si>
  <si>
    <t>(180x15x140)</t>
  </si>
  <si>
    <t>(321x371x580)</t>
  </si>
  <si>
    <t>(3383x203x360)</t>
  </si>
  <si>
    <t>(1630x60x203)</t>
  </si>
  <si>
    <t>FLUE GAS DUCT</t>
  </si>
  <si>
    <t>(6280x337x410)</t>
  </si>
  <si>
    <t>(6060x51x50)</t>
  </si>
  <si>
    <t>(6280x337x210)</t>
  </si>
  <si>
    <t>FLUE GAS DUCT (1/4)</t>
  </si>
  <si>
    <t>(16975x470x5473)</t>
  </si>
  <si>
    <t>FLUE GAS DUCT(1/2)</t>
  </si>
  <si>
    <t>(2742x268x6280)</t>
  </si>
  <si>
    <t>(6060x3538x353)</t>
  </si>
  <si>
    <t>(6060x1618x353)</t>
  </si>
  <si>
    <t>(6060x3379x353)</t>
  </si>
  <si>
    <t>(6060x3248x353)</t>
  </si>
  <si>
    <t>FLUE GAS DUCT(1/11)</t>
  </si>
  <si>
    <t>(11314x5000x4723)</t>
  </si>
  <si>
    <t>FLUE GAS DUCT(1/4)</t>
  </si>
  <si>
    <t>(5683x1314x6440)</t>
  </si>
  <si>
    <t>B-10124 Fired Proces Heater</t>
  </si>
  <si>
    <t>Shipment 1</t>
  </si>
  <si>
    <t>U285</t>
  </si>
  <si>
    <t>PAC</t>
  </si>
  <si>
    <t>HEATER</t>
  </si>
  <si>
    <t>S4</t>
  </si>
  <si>
    <t>S1</t>
  </si>
  <si>
    <t>S2</t>
  </si>
  <si>
    <t>13EJ01B-1</t>
  </si>
  <si>
    <t>(12016x4146x467)</t>
  </si>
  <si>
    <t>U285-AS-13MK100-49</t>
  </si>
  <si>
    <t>13MK100-49(1/12)</t>
  </si>
  <si>
    <t>RADIANT ARCH DOOR</t>
  </si>
  <si>
    <t>(530x401x380)</t>
  </si>
  <si>
    <t>13MK100-49(2/12)</t>
  </si>
  <si>
    <t>13MK100-49(3/12)</t>
  </si>
  <si>
    <t>13MK100-49(4/12)</t>
  </si>
  <si>
    <t>13MK100-49(5/12)</t>
  </si>
  <si>
    <t>13MK100-49(6/12)</t>
  </si>
  <si>
    <t>13MK100-49(7/12)</t>
  </si>
  <si>
    <t>13MK100-49(8/12)</t>
  </si>
  <si>
    <t>13MK100-49(9/12)</t>
  </si>
  <si>
    <t>13MK100-49(10/12)</t>
  </si>
  <si>
    <t>13MK100-49(11/12)</t>
  </si>
  <si>
    <t>13MK100-49(12/12)</t>
  </si>
  <si>
    <t>U285-AS-13MK100-AD1-1</t>
  </si>
  <si>
    <t>13MK100-AD1-1(1/8)</t>
  </si>
  <si>
    <t>RADIANT WALL DOOR</t>
  </si>
  <si>
    <t>13MK100-AD1-1(2/8)</t>
  </si>
  <si>
    <t>13MK100-AD1-1(3/8)</t>
  </si>
  <si>
    <t>13MK100-AD1-1(4/8)</t>
  </si>
  <si>
    <t>13MK100-AD1-1(5/8)</t>
  </si>
  <si>
    <t>13MK100-AD1-1(6/8)</t>
  </si>
  <si>
    <t>13MK100-AD1-1(7/8)</t>
  </si>
  <si>
    <t>13MK100-AD1-1(8/8)</t>
  </si>
  <si>
    <t>U285-AS-13MK100-AD1-2</t>
  </si>
  <si>
    <t>13MK100-AD1-2(1/8)</t>
  </si>
  <si>
    <t>13MK100-AD1-2(2/8)</t>
  </si>
  <si>
    <t>13MK100-AD1-2(3/8)</t>
  </si>
  <si>
    <t>13MK100-AD1-2(4/8)</t>
  </si>
  <si>
    <t>13MK100-AD1-2(5/8)</t>
  </si>
  <si>
    <t>13MK100-AD1-2(6/8)</t>
  </si>
  <si>
    <t>13MK100-AD1-2(7/8)</t>
  </si>
  <si>
    <t>13MK100-AD1-2(8/8)</t>
  </si>
  <si>
    <t>U285-AS-13MK100-AD1-3</t>
  </si>
  <si>
    <t>13MK100-AD1-3</t>
  </si>
  <si>
    <t>U285-AS-13MK100-AD2-1</t>
  </si>
  <si>
    <t>13MK100-AD2-1(1/12)</t>
  </si>
  <si>
    <t>13MK100-AD2-1(2/12)</t>
  </si>
  <si>
    <t>13MK100-AD2-1(3/12)</t>
  </si>
  <si>
    <t>13MK100-AD2-1(4/12)</t>
  </si>
  <si>
    <t>13MK100-AD2-1(5/12)</t>
  </si>
  <si>
    <t>13MK100-AD2-1(6/12)</t>
  </si>
  <si>
    <t>13MK100-AD2-1(7/12)</t>
  </si>
  <si>
    <t>13MK100-AD2-1(8/12)</t>
  </si>
  <si>
    <t>13MK100-AD2-1(9/12)</t>
  </si>
  <si>
    <t>13MK100-AD2-1(10/12)</t>
  </si>
  <si>
    <t>13MK100-AD2-1(11/12)</t>
  </si>
  <si>
    <t>13MK100-AD2-1(12/12)</t>
  </si>
  <si>
    <t>U285-AS-13MK100-ED1-1</t>
  </si>
  <si>
    <t>13MK100-ED1-1(1/4)</t>
  </si>
  <si>
    <t>13MK100-ED1-1(2/4)</t>
  </si>
  <si>
    <t>13MK100-ED1-1(3/4)</t>
  </si>
  <si>
    <t>13MK100-ED1-1(4/4)</t>
  </si>
  <si>
    <t>U285-AS-13MK100-OD1-1</t>
  </si>
  <si>
    <t>13MK100-OD1-1(1/13)</t>
  </si>
  <si>
    <t>13MK100-OD1-1(2/13)</t>
  </si>
  <si>
    <t>13MK100-OD1-1(3/13)</t>
  </si>
  <si>
    <t>13MK100-OD1-1(4/13)</t>
  </si>
  <si>
    <t>13MK100-OD1-1(5/13)</t>
  </si>
  <si>
    <t>13MK100-OD1-1(6/13)</t>
  </si>
  <si>
    <t>13MK100-OD1-1(7/13)</t>
  </si>
  <si>
    <t>13MK100-OD1-1(8/13)</t>
  </si>
  <si>
    <t>13MK100-OD1-1(9/13)</t>
  </si>
  <si>
    <t>13MK100-OD1-1(10/13)</t>
  </si>
  <si>
    <t>13MK100-OD1-1(11/13)</t>
  </si>
  <si>
    <t>13MK100-OD1-1(12/13)</t>
  </si>
  <si>
    <t>13MK100-OD1-1(13/13)</t>
  </si>
  <si>
    <t>U285-AS-13MK100-OD1-2</t>
  </si>
  <si>
    <t>13MK100-OD1-2(1/3)</t>
  </si>
  <si>
    <t>13MK100-OD1-2(2/3)</t>
  </si>
  <si>
    <t>13MK100-OD1-2(3/3)</t>
  </si>
  <si>
    <t>U285-AS-13MK100-OD2-1</t>
  </si>
  <si>
    <t>13MK100-OD2-1(1/5)</t>
  </si>
  <si>
    <t>13MK100-OD2-1(2/5)</t>
  </si>
  <si>
    <t>13MK100-OD2-1(3/5)</t>
  </si>
  <si>
    <t>13MK100-OD2-1(4/5)</t>
  </si>
  <si>
    <t>13MK100-OD2-1(5/5)</t>
  </si>
  <si>
    <t>U285-AS-13MK100-OD2-2</t>
  </si>
  <si>
    <t>13MK100-OD2-2(1/3)</t>
  </si>
  <si>
    <t>13MK100-OD2-2(2/3)</t>
  </si>
  <si>
    <t>13MK100-OD2-2(3/3)</t>
  </si>
  <si>
    <t>13MK101A-1</t>
  </si>
  <si>
    <t>13MK101B-1</t>
  </si>
  <si>
    <t>13MK101C-1</t>
  </si>
  <si>
    <t>13MK101D-1</t>
  </si>
  <si>
    <t>13MK104A-1</t>
  </si>
  <si>
    <t>13MK104B-1</t>
  </si>
  <si>
    <t>13MK104C-1</t>
  </si>
  <si>
    <t>13MK104D-1</t>
  </si>
  <si>
    <t>13MK106F-2</t>
  </si>
  <si>
    <t>U285-AS-13MK106F1-1</t>
  </si>
  <si>
    <t>13MK106F1-1(1/2)</t>
  </si>
  <si>
    <t>(150x400x700)</t>
  </si>
  <si>
    <t>13MK106F1-1(2/2)</t>
  </si>
  <si>
    <t>U285-AS-13MK106F2-1</t>
  </si>
  <si>
    <t>13MK106F2-1</t>
  </si>
  <si>
    <t>U285-AS-13MK106F2-2</t>
  </si>
  <si>
    <t>13MK106F2-2</t>
  </si>
  <si>
    <t>U285-AS-13MK106F3-1</t>
  </si>
  <si>
    <t>13MK106F3-1</t>
  </si>
  <si>
    <t>U285-AS-13MK106G1-1</t>
  </si>
  <si>
    <t>13MK106G1-1</t>
  </si>
  <si>
    <t>U285-AS-13MK106H1-1</t>
  </si>
  <si>
    <t>13MK106H1-1</t>
  </si>
  <si>
    <t>U285-AS-13MK106I1-1</t>
  </si>
  <si>
    <t>13MK106I1-1</t>
  </si>
  <si>
    <t>U285-AS-13MK106P-1</t>
  </si>
  <si>
    <t>13MK106P-1(1/3)</t>
  </si>
  <si>
    <t>(1438x700x700)</t>
  </si>
  <si>
    <t>13MK106P-1(2/3)</t>
  </si>
  <si>
    <t>13MK106P-1(3/3)</t>
  </si>
  <si>
    <t>U285-AS-13MK106P-2</t>
  </si>
  <si>
    <t>13MK106P-2(1/3)</t>
  </si>
  <si>
    <t>13MK106P-2(2/3)</t>
  </si>
  <si>
    <t>13MK106P-2(3/3)</t>
  </si>
  <si>
    <t>U285-AS-13MK106P1-1</t>
  </si>
  <si>
    <t>13MK106P1-1</t>
  </si>
  <si>
    <t>(308x5x142)</t>
  </si>
  <si>
    <t>U285-AS-13MK106P2-1</t>
  </si>
  <si>
    <t>(308x3x142)</t>
  </si>
  <si>
    <t>U285-AS-13MK106P3-1</t>
  </si>
  <si>
    <t>(308x2x142)</t>
  </si>
  <si>
    <t>U285-AS-13MK106P4-1</t>
  </si>
  <si>
    <t>(308x1x142)</t>
  </si>
  <si>
    <t>13MK107-1</t>
  </si>
  <si>
    <t>13MK513-1</t>
  </si>
  <si>
    <t>13MK539-1(1/2)</t>
  </si>
  <si>
    <t>13MK539-1(2/2)</t>
  </si>
  <si>
    <t>13MK544-1</t>
  </si>
  <si>
    <t>U285-AS-13MK700-1</t>
  </si>
  <si>
    <t>13MK700-1</t>
  </si>
  <si>
    <t>COMMON AIR DUCT(1/7)</t>
  </si>
  <si>
    <t>(1959x6797x1783)</t>
  </si>
  <si>
    <t>U285-AS-13MK700A-1</t>
  </si>
  <si>
    <t>13MK700A-1</t>
  </si>
  <si>
    <t>COMMON AIR DUCT (1/6)</t>
  </si>
  <si>
    <t>(1076x2426x3733)</t>
  </si>
  <si>
    <t>U285-AS-13MK701-1</t>
  </si>
  <si>
    <t>13MK701-1</t>
  </si>
  <si>
    <t>COMMON AIR DUCT (1/5)</t>
  </si>
  <si>
    <t>U285-AS-13MK702-1</t>
  </si>
  <si>
    <t>13MK702-1</t>
  </si>
  <si>
    <t>COMMON AIR DUCT(1/2)</t>
  </si>
  <si>
    <t>U285-AS-13MK703-1</t>
  </si>
  <si>
    <t>13MK703-1</t>
  </si>
  <si>
    <t>U285-AS-13MK704-1</t>
  </si>
  <si>
    <t>13MK704-1</t>
  </si>
  <si>
    <t>COMMON AIR DUCT (1/3)</t>
  </si>
  <si>
    <t>U285-AS-13MK705-1</t>
  </si>
  <si>
    <t>13MK705-1</t>
  </si>
  <si>
    <t>U285-AS-13MK706A-1</t>
  </si>
  <si>
    <t>13MK706A-1</t>
  </si>
  <si>
    <t>COMMON AIR DUCT(1/3)</t>
  </si>
  <si>
    <t>U285-AS-13MK706B-1</t>
  </si>
  <si>
    <t>13MK706B-1</t>
  </si>
  <si>
    <t>COMMON AIR DUCT (1/4)</t>
  </si>
  <si>
    <t>U285-AS-13MK707A-1</t>
  </si>
  <si>
    <t>13MK707A-1</t>
  </si>
  <si>
    <t>AIR DUCT FROM VENTURI</t>
  </si>
  <si>
    <t>U285-AS-13MK707B-1</t>
  </si>
  <si>
    <t>13MK707B-1</t>
  </si>
  <si>
    <t>U285-AS-13MK708-1</t>
  </si>
  <si>
    <t>13MK708-1</t>
  </si>
  <si>
    <t>AIR DUCT FROM VENTURI(1/5)</t>
  </si>
  <si>
    <t>U285-AS-13MK709-1</t>
  </si>
  <si>
    <t>13MK709-1</t>
  </si>
  <si>
    <t>AIR DUCT FROM VENTURI(1/6)</t>
  </si>
  <si>
    <t>U285-AS-13MK710-1</t>
  </si>
  <si>
    <t>13MK710-1</t>
  </si>
  <si>
    <t>AIR DUCT FROM VENTURI(1/7)</t>
  </si>
  <si>
    <t>U285-AS-13MK711-1</t>
  </si>
  <si>
    <t>13MK711-1</t>
  </si>
  <si>
    <t>AIR DUCT FROM VENTURI(1/3)</t>
  </si>
  <si>
    <t>U285-AS-13MK712-1</t>
  </si>
  <si>
    <t>13MK712-1</t>
  </si>
  <si>
    <t>U285-AS-13MK713-1</t>
  </si>
  <si>
    <t>13MK713-1</t>
  </si>
  <si>
    <t>U285-AS-13MK714-1</t>
  </si>
  <si>
    <t>13MK714-1</t>
  </si>
  <si>
    <t>AIR DUCT FROM VENTURI UNDER FLOOR</t>
  </si>
  <si>
    <t>U285-AS-13MK714A-1</t>
  </si>
  <si>
    <t>13MK714A-1(1/4)</t>
  </si>
  <si>
    <t>(390x897x655)</t>
  </si>
  <si>
    <t>13MK714A-1(2/4)</t>
  </si>
  <si>
    <t>13MK714A-1(3/4)</t>
  </si>
  <si>
    <t>13MK714A-1(4/4)</t>
  </si>
  <si>
    <t>U285-AS-13MK714B-1</t>
  </si>
  <si>
    <t>13MK714B-1(1/16)</t>
  </si>
  <si>
    <t>(595x639x520)</t>
  </si>
  <si>
    <t>13MK714B-1(2/16)</t>
  </si>
  <si>
    <t>13MK714B-1(3/16)</t>
  </si>
  <si>
    <t>13MK714B-1(4/16)</t>
  </si>
  <si>
    <t>13MK714B-1(5/16)</t>
  </si>
  <si>
    <t>13MK714B-1(6/16)</t>
  </si>
  <si>
    <t>13MK714B-1(7/16)</t>
  </si>
  <si>
    <t>13MK714B-1(8/16)</t>
  </si>
  <si>
    <t>13MK714B-1(9/16)</t>
  </si>
  <si>
    <t>13MK714B-1(10/16)</t>
  </si>
  <si>
    <t>13MK714B-1(11/16)</t>
  </si>
  <si>
    <t>13MK714B-1(12/16)</t>
  </si>
  <si>
    <t>13MK714B-1(13/16)</t>
  </si>
  <si>
    <t>13MK714B-1(14/16)</t>
  </si>
  <si>
    <t>13MK714B-1(15/16)</t>
  </si>
  <si>
    <t>13MK714B-1(16/16)</t>
  </si>
  <si>
    <t>U285-AS-13MK714C-1</t>
  </si>
  <si>
    <t>13MK714C-1</t>
  </si>
  <si>
    <t>(1575x1589x655)</t>
  </si>
  <si>
    <t>U285-AS-13MK714D-1</t>
  </si>
  <si>
    <t>13MK714D-1(1/4)</t>
  </si>
  <si>
    <t>(450x655x520)</t>
  </si>
  <si>
    <t>13MK714D-1(2/4)</t>
  </si>
  <si>
    <t>13MK714D-1(3/4)</t>
  </si>
  <si>
    <t>13MK714D-1(4/4)</t>
  </si>
  <si>
    <t>U285-AS-13MK715-1</t>
  </si>
  <si>
    <t>13MK715-1</t>
  </si>
  <si>
    <t>U285-AS-13MK715A-1</t>
  </si>
  <si>
    <t>13MK715A-1(1/12)</t>
  </si>
  <si>
    <t>(490x486x521)</t>
  </si>
  <si>
    <t>13MK715A-1(2/12)</t>
  </si>
  <si>
    <t>13MK715A-1(3/12)</t>
  </si>
  <si>
    <t>13MK715A-1(4/12)</t>
  </si>
  <si>
    <t>13MK715A-1(5/12)</t>
  </si>
  <si>
    <t>13MK715A-1(6/12)</t>
  </si>
  <si>
    <t>13MK715A-1(7/12)</t>
  </si>
  <si>
    <t>13MK715A-1(8/12)</t>
  </si>
  <si>
    <t>13MK715A-1(9/12)</t>
  </si>
  <si>
    <t>13MK715A-1(10/12)</t>
  </si>
  <si>
    <t>13MK715A-1(11/12)</t>
  </si>
  <si>
    <t>13MK715A-1(12/12)</t>
  </si>
  <si>
    <t>U285-AS-13MK715B-1</t>
  </si>
  <si>
    <t>13MK715B-1(1/4)</t>
  </si>
  <si>
    <t>(450x240x520)</t>
  </si>
  <si>
    <t>13MK715B-1(2/4)</t>
  </si>
  <si>
    <t>13MK715B-1(3/4)</t>
  </si>
  <si>
    <t>13MK715B-1(4/4)</t>
  </si>
  <si>
    <t>U285-AS-13MK715C-1</t>
  </si>
  <si>
    <t>13MK715C-1(1/4)</t>
  </si>
  <si>
    <t>(885x850x520)</t>
  </si>
  <si>
    <t>13MK715C-1(2/4)</t>
  </si>
  <si>
    <t>13MK715C-1(3/4)</t>
  </si>
  <si>
    <t>13MK715C-1(4/4)</t>
  </si>
  <si>
    <t>U285-AS-13MK716-1</t>
  </si>
  <si>
    <t>13MK716-1</t>
  </si>
  <si>
    <t>U285-AS-13MK716A-1</t>
  </si>
  <si>
    <t>13MK716A-1(1/8)</t>
  </si>
  <si>
    <t>(390x590x671)</t>
  </si>
  <si>
    <t>13MK716A-1(2/8)</t>
  </si>
  <si>
    <t>13MK716A-1(3/8)</t>
  </si>
  <si>
    <t>13MK716A-1(4/8)</t>
  </si>
  <si>
    <t>13MK716A-1(5/8)</t>
  </si>
  <si>
    <t>13MK716A-1(6/8)</t>
  </si>
  <si>
    <t>13MK716A-1(7/8)</t>
  </si>
  <si>
    <t>13MK716A-1(8/8)</t>
  </si>
  <si>
    <t>U285-AS-13MK716B-1</t>
  </si>
  <si>
    <t>13MK716B-1</t>
  </si>
  <si>
    <t>(1218x1207x671)</t>
  </si>
  <si>
    <t>U285-AS-13MK717-1</t>
  </si>
  <si>
    <t>13MK717-1</t>
  </si>
  <si>
    <t>U285-AS-13MK717A-1</t>
  </si>
  <si>
    <t>13MK717A-1</t>
  </si>
  <si>
    <t>U285-AS-13MK718-1</t>
  </si>
  <si>
    <t>13MK718-1(1/3)</t>
  </si>
  <si>
    <t>13MK718-1(2/3)</t>
  </si>
  <si>
    <t>13MK718-1(3/3)</t>
  </si>
  <si>
    <t>U285-AS-13MK719-1</t>
  </si>
  <si>
    <t>13MK719-1</t>
  </si>
  <si>
    <t>AIR DUCT FROM VENTURI UNDER FLOO***</t>
  </si>
  <si>
    <t>U285-AS-13MK719A-1</t>
  </si>
  <si>
    <t>13MK719A-1(1/4)</t>
  </si>
  <si>
    <t>(390x864x671)</t>
  </si>
  <si>
    <t>13MK719A-1(2/4)</t>
  </si>
  <si>
    <t>13MK719A-1(3/4)</t>
  </si>
  <si>
    <t>13MK719A-1(4/4)</t>
  </si>
  <si>
    <t>U285-AS-13MK719B-1</t>
  </si>
  <si>
    <t>13MK719B-1</t>
  </si>
  <si>
    <t>(1492x1491x671)</t>
  </si>
  <si>
    <t>U285-AS-13MK720-1</t>
  </si>
  <si>
    <t>13MK720-1</t>
  </si>
  <si>
    <t>(100x140x100)</t>
  </si>
  <si>
    <t>U285-AS-13MK720-2</t>
  </si>
  <si>
    <t>13MK720-2</t>
  </si>
  <si>
    <t>(60x83x50)</t>
  </si>
  <si>
    <t>U285-AS-13MK720-3</t>
  </si>
  <si>
    <t>13MK720-3</t>
  </si>
  <si>
    <t>U285-AS-13MK720-4</t>
  </si>
  <si>
    <t>13MK720-4</t>
  </si>
  <si>
    <t>U285-AS-13MK720-5</t>
  </si>
  <si>
    <t>13MK720-5</t>
  </si>
  <si>
    <t>U285-AS-13MK721-1</t>
  </si>
  <si>
    <t>13MK721-1</t>
  </si>
  <si>
    <t>(130x120x100)</t>
  </si>
  <si>
    <t>U285-AS-13MK721-2</t>
  </si>
  <si>
    <t>13MK721-2</t>
  </si>
  <si>
    <t>U285-AS-13MK806-AD5-1</t>
  </si>
  <si>
    <t>13MK806-AD5-1(1/4)</t>
  </si>
  <si>
    <t>13MK806-AD5-1(2/4)</t>
  </si>
  <si>
    <t>13MK806-AD5-1(3/4)</t>
  </si>
  <si>
    <t>13MK806-AD5-1(4/4)</t>
  </si>
  <si>
    <t>U285-AS-13MK806-AD5-2</t>
  </si>
  <si>
    <t>13MK806-AD5-2</t>
  </si>
  <si>
    <t>(877x317x762)</t>
  </si>
  <si>
    <t>U285-004</t>
  </si>
  <si>
    <t>U285-003</t>
  </si>
  <si>
    <t>U285-005</t>
  </si>
  <si>
    <t>U285-002</t>
  </si>
  <si>
    <t>(17868x4860x860)</t>
  </si>
  <si>
    <t>RADIANT ARCH (1/4)</t>
  </si>
  <si>
    <t>(14455x3741x209)</t>
  </si>
  <si>
    <t>(17868x4860x968)</t>
  </si>
  <si>
    <t>(17873x4676x1019)</t>
  </si>
  <si>
    <t>(17868x4019x968)</t>
  </si>
  <si>
    <t>(17868x4175x968)</t>
  </si>
  <si>
    <t>(17868x4174x968)</t>
  </si>
  <si>
    <t>(17873x4976x968)</t>
  </si>
  <si>
    <t>(14455x3741x279)</t>
  </si>
  <si>
    <t>(6493x368x515)</t>
  </si>
  <si>
    <t>(1909x5400x1745)</t>
  </si>
  <si>
    <t>(1532x2353x2817)</t>
  </si>
  <si>
    <t>(1477x2280x3236)</t>
  </si>
  <si>
    <t>(1278x978x938)</t>
  </si>
  <si>
    <t>(1220x2866x1469)</t>
  </si>
  <si>
    <t>(985x978x4268)</t>
  </si>
  <si>
    <t>(1235x1235x5639)</t>
  </si>
  <si>
    <t>(1082x799x1266)</t>
  </si>
  <si>
    <t>(1318x899x1525)</t>
  </si>
  <si>
    <t>(1100x1202x4978)</t>
  </si>
  <si>
    <t>(874x825x4835)</t>
  </si>
  <si>
    <t>(1350x1461x4943)</t>
  </si>
  <si>
    <t>(1010x984x3658)</t>
  </si>
  <si>
    <t>(975x984x3658)</t>
  </si>
  <si>
    <t>(855x774x4717)</t>
  </si>
  <si>
    <t>(575x10865x1119)</t>
  </si>
  <si>
    <t>(655x12180x1107)</t>
  </si>
  <si>
    <t>(525x11246x751)</t>
  </si>
  <si>
    <t>(490x11221x726)</t>
  </si>
  <si>
    <t>(495x12340x1267)</t>
  </si>
  <si>
    <t>(490x10938x726)</t>
  </si>
  <si>
    <t>13EJ02A-1</t>
  </si>
  <si>
    <t>U285-AS-13EJ02A-1</t>
  </si>
  <si>
    <t>(520x8x40)</t>
  </si>
  <si>
    <t>13EJ02B-1</t>
  </si>
  <si>
    <t>U285-AS-13EJ02B-1</t>
  </si>
  <si>
    <t>(360x8x40)</t>
  </si>
  <si>
    <t>13MK103-1</t>
  </si>
  <si>
    <t>13MK106P2-1</t>
  </si>
  <si>
    <t>13MK106P3-1</t>
  </si>
  <si>
    <t>13MK106P4-1</t>
  </si>
  <si>
    <t>13MK542-1(1/8)</t>
  </si>
  <si>
    <t>13MK542-1(2/8)</t>
  </si>
  <si>
    <t>13MK542-1(3/8)</t>
  </si>
  <si>
    <t>13MK542-1(4/8)</t>
  </si>
  <si>
    <t>13MK542-1(5/8)</t>
  </si>
  <si>
    <t>13MK542-1(6/8)</t>
  </si>
  <si>
    <t>13MK542-1(7/8)</t>
  </si>
  <si>
    <t>13MK542-1(8/8)</t>
  </si>
  <si>
    <t>13MK543-1(1/8)</t>
  </si>
  <si>
    <t>13MK543-1(2/8)</t>
  </si>
  <si>
    <t>13MK543-1(3/8)</t>
  </si>
  <si>
    <t>13MK543-1(4/8)</t>
  </si>
  <si>
    <t>13MK543-1(5/8)</t>
  </si>
  <si>
    <t>13MK543-1(6/8)</t>
  </si>
  <si>
    <t>13MK543-1(7/8)</t>
  </si>
  <si>
    <t>13MK543-1(8/8)</t>
  </si>
  <si>
    <t>13MK596-1(1/4)</t>
  </si>
  <si>
    <t>U285-AS-13MK596-1</t>
  </si>
  <si>
    <t>(1878x400x400)</t>
  </si>
  <si>
    <t>13MK596-1(2/4)</t>
  </si>
  <si>
    <t>13MK596-1(3/4)</t>
  </si>
  <si>
    <t>13MK596-1(4/4)</t>
  </si>
  <si>
    <t>13MK597-1(1/2)</t>
  </si>
  <si>
    <t>U285-AS-13MK597-1</t>
  </si>
  <si>
    <t>(1908x400x400)</t>
  </si>
  <si>
    <t>13MK597-1(2/2)</t>
  </si>
  <si>
    <t>13MK598-1(1/12)</t>
  </si>
  <si>
    <t>U285-AS-13MK598-1</t>
  </si>
  <si>
    <t>(230x400x400)</t>
  </si>
  <si>
    <t>13MK598-1(10/12)</t>
  </si>
  <si>
    <t>13MK598-1(11/12)</t>
  </si>
  <si>
    <t>13MK598-1(12/12)</t>
  </si>
  <si>
    <t>13MK598-1(2/12)</t>
  </si>
  <si>
    <t>13MK598-1(3/12)</t>
  </si>
  <si>
    <t>13MK598-1(4/12)</t>
  </si>
  <si>
    <t>13MK598-1(5/12)</t>
  </si>
  <si>
    <t>13MK598-1(6/12)</t>
  </si>
  <si>
    <t>13MK598-1(7/12)</t>
  </si>
  <si>
    <t>13MK598-1(8/12)</t>
  </si>
  <si>
    <t>13MK598-1(9/12)</t>
  </si>
  <si>
    <t>13MK599-1(1/6)</t>
  </si>
  <si>
    <t>U285-AS-13MK599-1</t>
  </si>
  <si>
    <t>(260x400x400)</t>
  </si>
  <si>
    <t>13MK599-1(2/6)</t>
  </si>
  <si>
    <t>13MK599-1(3/6)</t>
  </si>
  <si>
    <t>13MK599-1(4/6)</t>
  </si>
  <si>
    <t>13MK599-1(5/6)</t>
  </si>
  <si>
    <t>13MK599-1(6/6)</t>
  </si>
  <si>
    <t>U285-006</t>
  </si>
  <si>
    <t>U285-009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</si>
</sst>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285-24-RAD-AMC2-VD-009.13.10.xlsx" TargetMode="External"/><Relationship Id="rId1" Type="http://schemas.openxmlformats.org/officeDocument/2006/relationships/externalLinkPath" Target="file:///C:\Users\DELL\AppData\Local\Temp\Zalo%20Temp\TempDownloads\RQ-U285-24-RAD-AMC2-VD-009.13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F9">
            <v>16</v>
          </cell>
          <cell r="K9" t="str">
            <v>U285-AS-13MK103-1</v>
          </cell>
        </row>
        <row r="10">
          <cell r="F10">
            <v>2</v>
          </cell>
          <cell r="K10" t="str">
            <v>U285-AS-13MK110-1</v>
          </cell>
        </row>
        <row r="11">
          <cell r="F11">
            <v>2</v>
          </cell>
          <cell r="K11" t="str">
            <v>U285-AS-13MK110-2</v>
          </cell>
        </row>
        <row r="12">
          <cell r="F12">
            <v>2</v>
          </cell>
          <cell r="K12" t="str">
            <v>U285-AS-13MK111-1</v>
          </cell>
        </row>
        <row r="13">
          <cell r="F13">
            <v>2</v>
          </cell>
          <cell r="K13" t="str">
            <v>U285-AS-13MK111-2</v>
          </cell>
        </row>
        <row r="14">
          <cell r="F14">
            <v>2</v>
          </cell>
          <cell r="K14" t="str">
            <v>U285-AS-13MK112-1</v>
          </cell>
        </row>
        <row r="15">
          <cell r="F15">
            <v>1</v>
          </cell>
          <cell r="K15" t="str">
            <v>U285-AS-13MK113-1</v>
          </cell>
        </row>
        <row r="16">
          <cell r="F16">
            <v>1</v>
          </cell>
          <cell r="K16" t="str">
            <v>U285-AS-13MK113-2</v>
          </cell>
        </row>
        <row r="17">
          <cell r="F17">
            <v>1</v>
          </cell>
          <cell r="K17" t="str">
            <v>U285-AS-13MK114-1</v>
          </cell>
        </row>
        <row r="18">
          <cell r="F18">
            <v>1</v>
          </cell>
          <cell r="K18" t="str">
            <v>U285-AS-13MK114-2</v>
          </cell>
        </row>
        <row r="19">
          <cell r="F19">
            <v>1</v>
          </cell>
          <cell r="K19" t="str">
            <v>U285-AS-13MK114-3</v>
          </cell>
        </row>
        <row r="20">
          <cell r="F20">
            <v>1</v>
          </cell>
          <cell r="K20" t="str">
            <v>U285-AS-13MK114-4</v>
          </cell>
        </row>
        <row r="21">
          <cell r="F21">
            <v>1</v>
          </cell>
          <cell r="K21" t="str">
            <v>U285-AS-13MK115-1</v>
          </cell>
        </row>
        <row r="22">
          <cell r="F22">
            <v>1</v>
          </cell>
          <cell r="K22" t="str">
            <v>U285-AS-13MK115-2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14.362196064816" createdVersion="8" refreshedVersion="8" minRefreshableVersion="3" recordCount="911" xr:uid="{4067F58C-28E2-44CB-8FA2-A8EFFD878FFB}">
  <cacheSource type="worksheet">
    <worksheetSource ref="A3:BA914" sheet="Progress"/>
  </cacheSource>
  <cacheFields count="53">
    <cacheField name="TT" numFmtId="0">
      <sharedItems containsMixedTypes="1" containsNumber="1" containsInteger="1" minValue="1" maxValue="679"/>
    </cacheField>
    <cacheField name="Số Dự Án" numFmtId="0">
      <sharedItems containsBlank="1" count="2">
        <s v="U285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B-10124 Fired Proces Heater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String="0" containsBlank="1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88"/>
    </cacheField>
    <cacheField name="U.Weight" numFmtId="43">
      <sharedItems containsString="0" containsBlank="1" containsNumber="1" minValue="7.4999999999999997E-2" maxValue="10533.300000000003"/>
    </cacheField>
    <cacheField name="T.Weight" numFmtId="43">
      <sharedItems containsString="0" containsBlank="1" containsNumber="1" minValue="7.4999999999999997E-2" maxValue="10533.300000000003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8256.6"/>
    </cacheField>
    <cacheField name="Còn lại" numFmtId="43">
      <sharedItems containsSemiMixedTypes="0" containsString="0" containsNumber="1" minValue="0" maxValue="10533.300000000003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6-07-08T00:00:00" maxDate="2026-10-18T00:00:00"/>
    </cacheField>
    <cacheField name="SL Gá" numFmtId="0">
      <sharedItems containsString="0" containsBlank="1" containsNumber="1" containsInteger="1" minValue="1" maxValue="16"/>
    </cacheField>
    <cacheField name="KL Gá" numFmtId="43">
      <sharedItems containsSemiMixedTypes="0" containsString="0" containsNumber="1" minValue="0" maxValue="8497.4"/>
    </cacheField>
    <cacheField name="Ngày Hàn" numFmtId="14">
      <sharedItems containsNonDate="0" containsDate="1" containsString="0" containsBlank="1" minDate="2026-07-26T00:00:00" maxDate="2026-10-18T00:00:00"/>
    </cacheField>
    <cacheField name="SL Hàn" numFmtId="0">
      <sharedItems containsString="0" containsBlank="1" containsNumber="1" containsInteger="1" minValue="1" maxValue="16"/>
    </cacheField>
    <cacheField name="KL Hàn" numFmtId="43">
      <sharedItems containsSemiMixedTypes="0" containsString="0" containsNumber="1" minValue="0" maxValue="8497.4"/>
    </cacheField>
    <cacheField name="Ngày TH" numFmtId="14">
      <sharedItems containsNonDate="0" containsDate="1" containsString="0" containsBlank="1" minDate="2026-09-07T00:00:00" maxDate="2026-10-02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8256.6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9-07T00:00:00" maxDate="2026-10-14T00:00:00"/>
    </cacheField>
    <cacheField name="SL NT" numFmtId="0">
      <sharedItems containsString="0" containsBlank="1" containsNumber="1" containsInteger="1" minValue="1" maxValue="16"/>
    </cacheField>
    <cacheField name="KL NT" numFmtId="43">
      <sharedItems containsSemiMixedTypes="0" containsString="0" containsNumber="1" minValue="0" maxValue="8256.6"/>
    </cacheField>
    <cacheField name="Ngày BG" numFmtId="14">
      <sharedItems containsNonDate="0" containsDate="1" containsString="0" containsBlank="1" minDate="2026-09-16T00:00:00" maxDate="2026-10-16T00:00:00"/>
    </cacheField>
    <cacheField name="SL BG" numFmtId="0">
      <sharedItems containsString="0" containsBlank="1" containsNumber="1" containsInteger="1" minValue="1" maxValue="16"/>
    </cacheField>
    <cacheField name="KL BG" numFmtId="43">
      <sharedItems containsSemiMixedTypes="0" containsString="0" containsNumber="1" minValue="0" maxValue="8256.6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1">
  <r>
    <n v="1"/>
    <x v="0"/>
    <s v="Shipment 1 B-10124 Fired Proces Heater"/>
    <x v="0"/>
    <x v="0"/>
    <m/>
    <m/>
    <s v="HEATER"/>
    <m/>
    <s v="S4"/>
    <s v="U285-AS-13EJ01A-1"/>
    <s v="13EJ01A-1(1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"/>
    <x v="0"/>
    <s v="Shipment 1 B-10124 Fired Proces Heater"/>
    <x v="0"/>
    <x v="0"/>
    <m/>
    <m/>
    <s v="HEATER"/>
    <m/>
    <s v="S4"/>
    <s v="U285-AS-13EJ01A-1"/>
    <s v="13EJ01A-1(2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3"/>
    <x v="0"/>
    <s v="Shipment 1 B-10124 Fired Proces Heater"/>
    <x v="0"/>
    <x v="0"/>
    <m/>
    <m/>
    <s v="HEATER"/>
    <m/>
    <s v="S4"/>
    <s v="U285-AS-13EJ01A-1"/>
    <s v="13EJ01A-1(3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4"/>
    <x v="0"/>
    <s v="Shipment 1 B-10124 Fired Proces Heater"/>
    <x v="0"/>
    <x v="0"/>
    <m/>
    <m/>
    <s v="HEATER"/>
    <m/>
    <s v="S4"/>
    <s v="U285-AS-13EJ01A-1"/>
    <s v="13EJ01A-1(4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5"/>
    <x v="0"/>
    <s v="Shipment 1 B-10124 Fired Proces Heater"/>
    <x v="0"/>
    <x v="0"/>
    <m/>
    <m/>
    <s v="HEATER"/>
    <m/>
    <s v="S4"/>
    <s v="U285-AS-13EJ01A-1"/>
    <s v="13EJ01A-1(5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6"/>
    <x v="0"/>
    <s v="Shipment 1 B-10124 Fired Proces Heater"/>
    <x v="0"/>
    <x v="0"/>
    <m/>
    <m/>
    <s v="HEATER"/>
    <m/>
    <s v="S4"/>
    <s v="U285-AS-13EJ01A-1"/>
    <s v="13EJ01A-1(6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7"/>
    <x v="0"/>
    <s v="Shipment 1 B-10124 Fired Proces Heater"/>
    <x v="0"/>
    <x v="0"/>
    <m/>
    <m/>
    <s v="HEATER"/>
    <m/>
    <s v="S4"/>
    <s v="U285-AS-13EJ01A-1"/>
    <s v="13EJ01A-1(7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8"/>
    <x v="0"/>
    <s v="Shipment 1 B-10124 Fired Proces Heater"/>
    <x v="0"/>
    <x v="0"/>
    <m/>
    <m/>
    <s v="HEATER"/>
    <m/>
    <s v="S4"/>
    <s v="U285-AS-13EJ01A-1"/>
    <s v="13EJ01A-1(8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9"/>
    <x v="0"/>
    <s v="Shipment 1 B-10124 Fired Proces Heater"/>
    <x v="0"/>
    <x v="0"/>
    <m/>
    <m/>
    <s v="HEATER"/>
    <m/>
    <s v="S4"/>
    <s v="U285-AS-13EJ01A-1"/>
    <s v="13EJ01A-1(9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0"/>
    <x v="0"/>
    <s v="Shipment 1 B-10124 Fired Proces Heater"/>
    <x v="0"/>
    <x v="0"/>
    <m/>
    <m/>
    <s v="HEATER"/>
    <m/>
    <s v="S4"/>
    <s v="U285-AS-13EJ01A-1"/>
    <s v="13EJ01A-1(10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1"/>
    <x v="0"/>
    <s v="Shipment 1 B-10124 Fired Proces Heater"/>
    <x v="0"/>
    <x v="0"/>
    <m/>
    <m/>
    <s v="HEATER"/>
    <m/>
    <s v="S4"/>
    <s v="U285-AS-13EJ01A-1"/>
    <s v="13EJ01A-1(11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2"/>
    <x v="0"/>
    <s v="Shipment 1 B-10124 Fired Proces Heater"/>
    <x v="0"/>
    <x v="0"/>
    <m/>
    <m/>
    <s v="HEATER"/>
    <m/>
    <s v="S4"/>
    <s v="U285-AS-13EJ01A-1"/>
    <s v="13EJ01A-1(12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3"/>
    <x v="0"/>
    <s v="Shipment 1 B-10124 Fired Proces Heater"/>
    <x v="0"/>
    <x v="0"/>
    <m/>
    <m/>
    <s v="HEATER"/>
    <m/>
    <s v="S4"/>
    <s v="U285-AS-13EJ01A-2"/>
    <s v="13EJ01A-2(1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4"/>
    <x v="0"/>
    <s v="Shipment 1 B-10124 Fired Proces Heater"/>
    <x v="0"/>
    <x v="0"/>
    <m/>
    <m/>
    <s v="HEATER"/>
    <m/>
    <s v="S4"/>
    <s v="U285-AS-13EJ01A-2"/>
    <s v="13EJ01A-2(2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5"/>
    <x v="0"/>
    <s v="Shipment 1 B-10124 Fired Proces Heater"/>
    <x v="0"/>
    <x v="0"/>
    <m/>
    <m/>
    <s v="HEATER"/>
    <m/>
    <s v="S4"/>
    <s v="U285-AS-13EJ01A-2"/>
    <s v="13EJ01A-2(3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6"/>
    <x v="0"/>
    <s v="Shipment 1 B-10124 Fired Proces Heater"/>
    <x v="0"/>
    <x v="0"/>
    <m/>
    <m/>
    <s v="HEATER"/>
    <m/>
    <s v="S4"/>
    <s v="U285-AS-13EJ01A-2"/>
    <s v="13EJ01A-2(4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7"/>
    <x v="0"/>
    <s v="Shipment 1 B-10124 Fired Proces Heater"/>
    <x v="0"/>
    <x v="0"/>
    <m/>
    <m/>
    <s v="HEATER"/>
    <m/>
    <s v="S4"/>
    <s v="U285-AS-13EJ01A-2"/>
    <s v="13EJ01A-2(5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8"/>
    <x v="0"/>
    <s v="Shipment 1 B-10124 Fired Proces Heater"/>
    <x v="0"/>
    <x v="0"/>
    <m/>
    <m/>
    <s v="HEATER"/>
    <m/>
    <s v="S4"/>
    <s v="U285-AS-13EJ01A-2"/>
    <s v="13EJ01A-2(6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19"/>
    <x v="0"/>
    <s v="Shipment 1 B-10124 Fired Proces Heater"/>
    <x v="0"/>
    <x v="0"/>
    <m/>
    <m/>
    <s v="HEATER"/>
    <m/>
    <s v="S4"/>
    <s v="U285-AS-13EJ01A-2"/>
    <s v="13EJ01A-2(7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0"/>
    <x v="0"/>
    <s v="Shipment 1 B-10124 Fired Proces Heater"/>
    <x v="0"/>
    <x v="0"/>
    <m/>
    <m/>
    <s v="HEATER"/>
    <m/>
    <s v="S4"/>
    <s v="U285-AS-13EJ01A-2"/>
    <s v="13EJ01A-2(8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1"/>
    <x v="0"/>
    <s v="Shipment 1 B-10124 Fired Proces Heater"/>
    <x v="0"/>
    <x v="0"/>
    <m/>
    <m/>
    <s v="HEATER"/>
    <m/>
    <s v="S4"/>
    <s v="U285-AS-13EJ01A-2"/>
    <s v="13EJ01A-2(9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2"/>
    <x v="0"/>
    <s v="Shipment 1 B-10124 Fired Proces Heater"/>
    <x v="0"/>
    <x v="0"/>
    <m/>
    <m/>
    <s v="HEATER"/>
    <m/>
    <s v="S4"/>
    <s v="U285-AS-13EJ01A-2"/>
    <s v="13EJ01A-2(10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3"/>
    <x v="0"/>
    <s v="Shipment 1 B-10124 Fired Proces Heater"/>
    <x v="0"/>
    <x v="0"/>
    <m/>
    <m/>
    <s v="HEATER"/>
    <m/>
    <s v="S4"/>
    <s v="U285-AS-13EJ01A-2"/>
    <s v="13EJ01A-2(11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4"/>
    <x v="0"/>
    <s v="Shipment 1 B-10124 Fired Proces Heater"/>
    <x v="0"/>
    <x v="0"/>
    <m/>
    <m/>
    <s v="HEATER"/>
    <m/>
    <s v="S4"/>
    <s v="U285-AS-13EJ01A-2"/>
    <s v="13EJ01A-2(12/12)"/>
    <s v="RADIANT FLOOR"/>
    <n v="1"/>
    <n v="5.55"/>
    <n v="5.55"/>
    <s v="(1800x8x50)"/>
    <m/>
    <m/>
    <m/>
    <m/>
    <m/>
    <m/>
    <m/>
    <m/>
    <m/>
    <m/>
    <m/>
    <m/>
    <m/>
    <n v="0"/>
    <n v="5.55"/>
    <m/>
    <m/>
    <n v="0"/>
    <m/>
    <m/>
    <n v="0"/>
    <m/>
    <m/>
    <n v="0"/>
    <m/>
    <m/>
    <n v="0"/>
    <m/>
    <m/>
    <m/>
    <n v="0"/>
    <m/>
    <m/>
    <n v="0"/>
    <s v="PAC"/>
    <m/>
  </r>
  <r>
    <n v="25"/>
    <x v="0"/>
    <s v="Shipment 1 B-10124 Fired Proces Heater"/>
    <x v="0"/>
    <x v="0"/>
    <m/>
    <m/>
    <s v="HEATER"/>
    <m/>
    <s v="S4"/>
    <s v="U285-AS-13EJ01B-1"/>
    <s v="13EJ01B-1"/>
    <s v="RADIANT FLOOR"/>
    <n v="44"/>
    <n v="6.1431818181818185"/>
    <n v="270.3"/>
    <s v="(1990x8x50)"/>
    <m/>
    <m/>
    <m/>
    <m/>
    <m/>
    <m/>
    <m/>
    <m/>
    <m/>
    <m/>
    <m/>
    <m/>
    <m/>
    <n v="0"/>
    <n v="270.3"/>
    <m/>
    <m/>
    <n v="0"/>
    <m/>
    <m/>
    <n v="0"/>
    <m/>
    <m/>
    <n v="0"/>
    <m/>
    <m/>
    <n v="0"/>
    <m/>
    <m/>
    <m/>
    <n v="0"/>
    <m/>
    <m/>
    <n v="0"/>
    <s v="PAC"/>
    <m/>
  </r>
  <r>
    <n v="26"/>
    <x v="0"/>
    <s v="Shipment 1 B-10124 Fired Proces Heater"/>
    <x v="0"/>
    <x v="0"/>
    <m/>
    <m/>
    <s v="HEATER"/>
    <m/>
    <s v="S4"/>
    <s v="U285-AS-13EJ01B-2"/>
    <s v="13EJ01B-2(1/4)"/>
    <s v="RADIANT FLOOR"/>
    <n v="1"/>
    <n v="6.15"/>
    <n v="6.15"/>
    <s v="(1990x8x50)"/>
    <m/>
    <m/>
    <m/>
    <m/>
    <m/>
    <m/>
    <m/>
    <m/>
    <m/>
    <m/>
    <m/>
    <m/>
    <m/>
    <n v="0"/>
    <n v="6.15"/>
    <m/>
    <m/>
    <n v="0"/>
    <m/>
    <m/>
    <n v="0"/>
    <m/>
    <m/>
    <n v="0"/>
    <m/>
    <m/>
    <n v="0"/>
    <m/>
    <m/>
    <m/>
    <n v="0"/>
    <m/>
    <m/>
    <n v="0"/>
    <s v="PAC"/>
    <m/>
  </r>
  <r>
    <n v="27"/>
    <x v="0"/>
    <s v="Shipment 1 B-10124 Fired Proces Heater"/>
    <x v="0"/>
    <x v="0"/>
    <m/>
    <m/>
    <s v="HEATER"/>
    <m/>
    <s v="S4"/>
    <s v="U285-AS-13EJ01B-2"/>
    <s v="13EJ01B-2(2/4)"/>
    <s v="RADIANT FLOOR"/>
    <n v="1"/>
    <n v="6.15"/>
    <n v="6.15"/>
    <s v="(1990x8x50)"/>
    <m/>
    <m/>
    <m/>
    <m/>
    <m/>
    <m/>
    <m/>
    <m/>
    <m/>
    <m/>
    <m/>
    <m/>
    <m/>
    <n v="0"/>
    <n v="6.15"/>
    <m/>
    <m/>
    <n v="0"/>
    <m/>
    <m/>
    <n v="0"/>
    <m/>
    <m/>
    <n v="0"/>
    <m/>
    <m/>
    <n v="0"/>
    <m/>
    <m/>
    <m/>
    <n v="0"/>
    <m/>
    <m/>
    <n v="0"/>
    <s v="PAC"/>
    <m/>
  </r>
  <r>
    <n v="28"/>
    <x v="0"/>
    <s v="Shipment 1 B-10124 Fired Proces Heater"/>
    <x v="0"/>
    <x v="0"/>
    <m/>
    <m/>
    <s v="HEATER"/>
    <m/>
    <s v="S4"/>
    <s v="U285-AS-13EJ01B-2"/>
    <s v="13EJ01B-2(3/4)"/>
    <s v="RADIANT FLOOR"/>
    <n v="1"/>
    <n v="6.15"/>
    <n v="6.15"/>
    <s v="(1990x8x50)"/>
    <m/>
    <m/>
    <m/>
    <m/>
    <m/>
    <m/>
    <m/>
    <m/>
    <m/>
    <m/>
    <m/>
    <m/>
    <m/>
    <n v="0"/>
    <n v="6.15"/>
    <m/>
    <m/>
    <n v="0"/>
    <m/>
    <m/>
    <n v="0"/>
    <m/>
    <m/>
    <n v="0"/>
    <m/>
    <m/>
    <n v="0"/>
    <m/>
    <m/>
    <m/>
    <n v="0"/>
    <m/>
    <m/>
    <n v="0"/>
    <s v="PAC"/>
    <m/>
  </r>
  <r>
    <n v="29"/>
    <x v="0"/>
    <s v="Shipment 1 B-10124 Fired Proces Heater"/>
    <x v="0"/>
    <x v="0"/>
    <m/>
    <m/>
    <s v="HEATER"/>
    <m/>
    <s v="S4"/>
    <s v="U285-AS-13EJ01B-2"/>
    <s v="13EJ01B-2(4/4)"/>
    <s v="RADIANT FLOOR"/>
    <n v="1"/>
    <n v="6.15"/>
    <n v="6.15"/>
    <s v="(1990x8x50)"/>
    <m/>
    <m/>
    <m/>
    <m/>
    <m/>
    <m/>
    <m/>
    <m/>
    <m/>
    <m/>
    <m/>
    <m/>
    <m/>
    <n v="0"/>
    <n v="6.15"/>
    <m/>
    <m/>
    <n v="0"/>
    <m/>
    <m/>
    <n v="0"/>
    <m/>
    <m/>
    <n v="0"/>
    <m/>
    <m/>
    <n v="0"/>
    <m/>
    <m/>
    <m/>
    <n v="0"/>
    <m/>
    <m/>
    <n v="0"/>
    <s v="PAC"/>
    <m/>
  </r>
  <r>
    <n v="30"/>
    <x v="0"/>
    <s v="Shipment 1 B-10124 Fired Proces Heater"/>
    <x v="0"/>
    <x v="0"/>
    <m/>
    <m/>
    <s v="HEATER"/>
    <m/>
    <s v="S4"/>
    <s v="U285-AS-13EJ01C-1"/>
    <s v="13EJ01C-1(1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1"/>
    <x v="0"/>
    <s v="Shipment 1 B-10124 Fired Proces Heater"/>
    <x v="0"/>
    <x v="0"/>
    <m/>
    <m/>
    <s v="HEATER"/>
    <m/>
    <s v="S4"/>
    <s v="U285-AS-13EJ01C-1"/>
    <s v="13EJ01C-1(2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2"/>
    <x v="0"/>
    <s v="Shipment 1 B-10124 Fired Proces Heater"/>
    <x v="0"/>
    <x v="0"/>
    <m/>
    <m/>
    <s v="HEATER"/>
    <m/>
    <s v="S4"/>
    <s v="U285-AS-13EJ01C-1"/>
    <s v="13EJ01C-1(3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3"/>
    <x v="0"/>
    <s v="Shipment 1 B-10124 Fired Proces Heater"/>
    <x v="0"/>
    <x v="0"/>
    <m/>
    <m/>
    <s v="HEATER"/>
    <m/>
    <s v="S4"/>
    <s v="U285-AS-13EJ01C-1"/>
    <s v="13EJ01C-1(4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4"/>
    <x v="0"/>
    <s v="Shipment 1 B-10124 Fired Proces Heater"/>
    <x v="0"/>
    <x v="0"/>
    <m/>
    <m/>
    <s v="HEATER"/>
    <m/>
    <s v="S4"/>
    <s v="U285-AS-13EJ01C-1"/>
    <s v="13EJ01C-1(5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5"/>
    <x v="0"/>
    <s v="Shipment 1 B-10124 Fired Proces Heater"/>
    <x v="0"/>
    <x v="0"/>
    <m/>
    <m/>
    <s v="HEATER"/>
    <m/>
    <s v="S4"/>
    <s v="U285-AS-13EJ01C-1"/>
    <s v="13EJ01C-1(6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6"/>
    <x v="0"/>
    <s v="Shipment 1 B-10124 Fired Proces Heater"/>
    <x v="0"/>
    <x v="0"/>
    <m/>
    <m/>
    <s v="HEATER"/>
    <m/>
    <s v="S4"/>
    <s v="U285-AS-13EJ01C-1"/>
    <s v="13EJ01C-1(7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7"/>
    <x v="0"/>
    <s v="Shipment 1 B-10124 Fired Proces Heater"/>
    <x v="0"/>
    <x v="0"/>
    <m/>
    <m/>
    <s v="HEATER"/>
    <m/>
    <s v="S4"/>
    <s v="U285-AS-13EJ01C-1"/>
    <s v="13EJ01C-1(8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8"/>
    <x v="0"/>
    <s v="Shipment 1 B-10124 Fired Proces Heater"/>
    <x v="0"/>
    <x v="0"/>
    <m/>
    <m/>
    <s v="HEATER"/>
    <m/>
    <s v="S4"/>
    <s v="U285-AS-13EJ01C-1"/>
    <s v="13EJ01C-1(9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39"/>
    <x v="0"/>
    <s v="Shipment 1 B-10124 Fired Proces Heater"/>
    <x v="0"/>
    <x v="0"/>
    <m/>
    <m/>
    <s v="HEATER"/>
    <m/>
    <s v="S4"/>
    <s v="U285-AS-13EJ01C-1"/>
    <s v="13EJ01C-1(10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40"/>
    <x v="0"/>
    <s v="Shipment 1 B-10124 Fired Proces Heater"/>
    <x v="0"/>
    <x v="0"/>
    <m/>
    <m/>
    <s v="HEATER"/>
    <m/>
    <s v="S4"/>
    <s v="U285-AS-13EJ01C-1"/>
    <s v="13EJ01C-1(11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41"/>
    <x v="0"/>
    <s v="Shipment 1 B-10124 Fired Proces Heater"/>
    <x v="0"/>
    <x v="0"/>
    <m/>
    <m/>
    <s v="HEATER"/>
    <m/>
    <s v="S4"/>
    <s v="U285-AS-13EJ01C-1"/>
    <s v="13EJ01C-1(12/12)"/>
    <s v="RADIANT FLOOR"/>
    <n v="1"/>
    <n v="1.2333333333333334"/>
    <n v="1.2333333333333334"/>
    <s v="(400x8x50)"/>
    <m/>
    <m/>
    <m/>
    <m/>
    <m/>
    <m/>
    <m/>
    <m/>
    <m/>
    <m/>
    <m/>
    <m/>
    <m/>
    <n v="0"/>
    <n v="1.2333333333333334"/>
    <m/>
    <m/>
    <n v="0"/>
    <m/>
    <m/>
    <n v="0"/>
    <m/>
    <m/>
    <n v="0"/>
    <m/>
    <m/>
    <n v="0"/>
    <m/>
    <m/>
    <m/>
    <n v="0"/>
    <m/>
    <m/>
    <n v="0"/>
    <s v="PAC"/>
    <m/>
  </r>
  <r>
    <n v="42"/>
    <x v="0"/>
    <s v="Shipment 1 B-10124 Fired Proces Heater"/>
    <x v="0"/>
    <x v="0"/>
    <m/>
    <m/>
    <s v="HEATER"/>
    <m/>
    <s v="S4"/>
    <s v="U285-AS-13EJ02A-1"/>
    <s v="13EJ02A-1"/>
    <m/>
    <n v="160"/>
    <n v="1.3"/>
    <n v="208.9"/>
    <s v="(520x8x40)"/>
    <m/>
    <m/>
    <m/>
    <m/>
    <m/>
    <m/>
    <m/>
    <m/>
    <m/>
    <m/>
    <m/>
    <m/>
    <m/>
    <n v="0"/>
    <n v="208.9"/>
    <m/>
    <m/>
    <n v="0"/>
    <m/>
    <m/>
    <n v="0"/>
    <m/>
    <m/>
    <n v="0"/>
    <m/>
    <m/>
    <n v="0"/>
    <m/>
    <m/>
    <m/>
    <n v="0"/>
    <m/>
    <m/>
    <n v="0"/>
    <s v="PAC"/>
    <m/>
  </r>
  <r>
    <n v="43"/>
    <x v="0"/>
    <s v="Shipment 1 B-10124 Fired Proces Heater"/>
    <x v="0"/>
    <x v="0"/>
    <m/>
    <m/>
    <s v="HEATER"/>
    <m/>
    <s v="S4"/>
    <s v="U285-AS-13EJ02B-1"/>
    <s v="13EJ02B-1"/>
    <m/>
    <n v="160"/>
    <n v="0.9"/>
    <n v="144.5"/>
    <s v="(360x8x40)"/>
    <m/>
    <m/>
    <m/>
    <m/>
    <m/>
    <m/>
    <m/>
    <m/>
    <m/>
    <m/>
    <m/>
    <m/>
    <m/>
    <n v="0"/>
    <n v="144.5"/>
    <m/>
    <m/>
    <n v="0"/>
    <m/>
    <m/>
    <n v="0"/>
    <m/>
    <m/>
    <n v="0"/>
    <m/>
    <m/>
    <n v="0"/>
    <m/>
    <m/>
    <m/>
    <n v="0"/>
    <m/>
    <m/>
    <n v="0"/>
    <s v="PAC"/>
    <m/>
  </r>
  <r>
    <n v="44"/>
    <x v="0"/>
    <s v="Shipment 1 B-10124 Fired Proces Heater"/>
    <x v="0"/>
    <x v="0"/>
    <m/>
    <m/>
    <s v="HEATER"/>
    <m/>
    <s v="S4"/>
    <s v="U285-AS-13MK100-1"/>
    <s v="13MK100-1"/>
    <s v="RADIANT WALL (1/5)"/>
    <n v="1"/>
    <n v="8219.2000000000007"/>
    <n v="8219.2000000000007"/>
    <s v="(17868x4860x860)"/>
    <m/>
    <m/>
    <m/>
    <m/>
    <m/>
    <m/>
    <m/>
    <m/>
    <m/>
    <m/>
    <m/>
    <m/>
    <m/>
    <n v="8219.2000000000007"/>
    <n v="0"/>
    <m/>
    <m/>
    <n v="0"/>
    <d v="2026-07-08T00:00:00"/>
    <n v="1"/>
    <n v="8219.2000000000007"/>
    <d v="2026-08-08T00:00:00"/>
    <n v="1"/>
    <n v="8219.2000000000007"/>
    <d v="2026-09-12T00:00:00"/>
    <n v="1"/>
    <n v="8219.2000000000007"/>
    <s v="U285-005"/>
    <d v="2026-09-12T00:00:00"/>
    <n v="1"/>
    <n v="8219.2000000000007"/>
    <d v="2026-09-16T00:00:00"/>
    <n v="1"/>
    <n v="8219.2000000000007"/>
    <s v="PAC"/>
    <s v="U285-004"/>
  </r>
  <r>
    <n v="45"/>
    <x v="0"/>
    <s v="Shipment 1 B-10124 Fired Proces Heater"/>
    <x v="0"/>
    <x v="0"/>
    <m/>
    <m/>
    <s v="HEATER"/>
    <m/>
    <s v="S4"/>
    <s v="U285-AS-13MK100-2"/>
    <s v="13MK100-2"/>
    <s v="RADIANT FLOOR (1/3)"/>
    <n v="1"/>
    <n v="1955.8"/>
    <n v="1955.8"/>
    <s v="(11610x1836x475)"/>
    <m/>
    <m/>
    <m/>
    <m/>
    <m/>
    <m/>
    <m/>
    <m/>
    <m/>
    <m/>
    <m/>
    <m/>
    <m/>
    <n v="977.9"/>
    <n v="977.9"/>
    <m/>
    <m/>
    <n v="0"/>
    <d v="2026-07-28T00:00:00"/>
    <n v="1"/>
    <n v="1955.8"/>
    <m/>
    <m/>
    <n v="0"/>
    <m/>
    <m/>
    <n v="0"/>
    <m/>
    <m/>
    <m/>
    <n v="0"/>
    <m/>
    <m/>
    <n v="0"/>
    <s v="PAC"/>
    <m/>
  </r>
  <r>
    <n v="46"/>
    <x v="0"/>
    <s v="Shipment 1 B-10124 Fired Proces Heater"/>
    <x v="0"/>
    <x v="0"/>
    <m/>
    <m/>
    <s v="HEATER"/>
    <m/>
    <s v="S4"/>
    <s v="U285-AS-13MK100-3"/>
    <s v="13MK100-3(1/4)"/>
    <s v="RADIANT FLOOR"/>
    <n v="1"/>
    <n v="15.4"/>
    <n v="15.4"/>
    <s v="(414x294x468)"/>
    <m/>
    <m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PAC"/>
    <m/>
  </r>
  <r>
    <n v="47"/>
    <x v="0"/>
    <s v="Shipment 1 B-10124 Fired Proces Heater"/>
    <x v="0"/>
    <x v="0"/>
    <m/>
    <m/>
    <s v="HEATER"/>
    <m/>
    <s v="S4"/>
    <s v="U285-AS-13MK100-3"/>
    <s v="13MK100-3(2/4)"/>
    <s v="RADIANT FLOOR"/>
    <n v="1"/>
    <n v="15.4"/>
    <n v="15.4"/>
    <s v="(414x294x468)"/>
    <m/>
    <m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PAC"/>
    <m/>
  </r>
  <r>
    <n v="48"/>
    <x v="0"/>
    <s v="Shipment 1 B-10124 Fired Proces Heater"/>
    <x v="0"/>
    <x v="0"/>
    <m/>
    <m/>
    <s v="HEATER"/>
    <m/>
    <s v="S4"/>
    <s v="U285-AS-13MK100-3"/>
    <s v="13MK100-3(3/4)"/>
    <s v="RADIANT FLOOR"/>
    <n v="1"/>
    <n v="15.4"/>
    <n v="15.4"/>
    <s v="(414x294x468)"/>
    <m/>
    <m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PAC"/>
    <m/>
  </r>
  <r>
    <n v="49"/>
    <x v="0"/>
    <s v="Shipment 1 B-10124 Fired Proces Heater"/>
    <x v="0"/>
    <x v="0"/>
    <m/>
    <m/>
    <s v="HEATER"/>
    <m/>
    <s v="S4"/>
    <s v="U285-AS-13MK100-3"/>
    <s v="13MK100-3(4/4)"/>
    <s v="RADIANT FLOOR"/>
    <n v="1"/>
    <n v="15.4"/>
    <n v="15.4"/>
    <s v="(414x294x468)"/>
    <m/>
    <m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PAC"/>
    <m/>
  </r>
  <r>
    <n v="50"/>
    <x v="0"/>
    <s v="Shipment 1 B-10124 Fired Proces Heater"/>
    <x v="0"/>
    <x v="0"/>
    <m/>
    <m/>
    <s v="HEATER"/>
    <m/>
    <s v="S4"/>
    <s v="U285-AS-13MK100-4"/>
    <s v="13MK100-4"/>
    <s v="RADIANT FLOOR"/>
    <n v="1"/>
    <n v="20.299999999999997"/>
    <n v="20.299999999999997"/>
    <s v="(414x568x468)"/>
    <m/>
    <m/>
    <m/>
    <m/>
    <m/>
    <m/>
    <m/>
    <m/>
    <m/>
    <m/>
    <m/>
    <m/>
    <m/>
    <n v="0"/>
    <n v="20.299999999999997"/>
    <m/>
    <m/>
    <n v="0"/>
    <m/>
    <m/>
    <n v="0"/>
    <m/>
    <m/>
    <n v="0"/>
    <m/>
    <m/>
    <n v="0"/>
    <m/>
    <m/>
    <m/>
    <n v="0"/>
    <m/>
    <m/>
    <n v="0"/>
    <s v="PAC"/>
    <m/>
  </r>
  <r>
    <n v="51"/>
    <x v="0"/>
    <s v="Shipment 1 B-10124 Fired Proces Heater"/>
    <x v="0"/>
    <x v="0"/>
    <m/>
    <m/>
    <s v="HEATER"/>
    <m/>
    <s v="S4"/>
    <s v="U285-AS-13MK100-5"/>
    <s v="13MK100-5"/>
    <s v="RADIANT ARCH (1/3)"/>
    <n v="1"/>
    <n v="4859.1000000000004"/>
    <n v="4859.1000000000004"/>
    <s v="(12016x4146x467)"/>
    <m/>
    <m/>
    <m/>
    <m/>
    <m/>
    <m/>
    <m/>
    <m/>
    <m/>
    <m/>
    <m/>
    <m/>
    <m/>
    <n v="0"/>
    <n v="4859.1000000000004"/>
    <m/>
    <m/>
    <n v="0"/>
    <m/>
    <m/>
    <n v="0"/>
    <m/>
    <m/>
    <n v="0"/>
    <m/>
    <m/>
    <n v="0"/>
    <m/>
    <m/>
    <m/>
    <n v="0"/>
    <m/>
    <m/>
    <n v="0"/>
    <s v="PAC"/>
    <m/>
  </r>
  <r>
    <n v="52"/>
    <x v="0"/>
    <s v="Shipment 1 B-10124 Fired Proces Heater"/>
    <x v="0"/>
    <x v="0"/>
    <m/>
    <m/>
    <s v="HEATER"/>
    <m/>
    <s v="S4"/>
    <s v="U285-AS-13MK100-6"/>
    <s v="13MK100-6"/>
    <s v="RADIANT FLOOR (1/3)"/>
    <n v="1"/>
    <n v="3550.5"/>
    <n v="3550.5"/>
    <s v="(11610x3360x475)"/>
    <m/>
    <m/>
    <m/>
    <m/>
    <m/>
    <m/>
    <m/>
    <m/>
    <m/>
    <m/>
    <m/>
    <m/>
    <m/>
    <n v="0"/>
    <n v="3550.5"/>
    <m/>
    <m/>
    <n v="0"/>
    <m/>
    <m/>
    <n v="0"/>
    <m/>
    <m/>
    <n v="0"/>
    <m/>
    <m/>
    <n v="0"/>
    <m/>
    <m/>
    <m/>
    <n v="0"/>
    <m/>
    <m/>
    <n v="0"/>
    <s v="PAC"/>
    <m/>
  </r>
  <r>
    <n v="53"/>
    <x v="0"/>
    <s v="Shipment 1 B-10124 Fired Proces Heater"/>
    <x v="0"/>
    <x v="0"/>
    <m/>
    <m/>
    <s v="HEATER"/>
    <m/>
    <s v="S4"/>
    <s v="U285-AS-13MK100-7"/>
    <s v="13MK100-7(1/2)"/>
    <s v="RADIANT FLOOR"/>
    <n v="1"/>
    <n v="19.399999999999999"/>
    <n v="19.399999999999999"/>
    <s v="(414x523x468)"/>
    <m/>
    <m/>
    <m/>
    <m/>
    <m/>
    <m/>
    <m/>
    <m/>
    <m/>
    <m/>
    <m/>
    <m/>
    <m/>
    <n v="0"/>
    <n v="19.399999999999999"/>
    <m/>
    <m/>
    <n v="0"/>
    <m/>
    <m/>
    <n v="0"/>
    <m/>
    <m/>
    <n v="0"/>
    <m/>
    <m/>
    <n v="0"/>
    <m/>
    <m/>
    <m/>
    <n v="0"/>
    <m/>
    <m/>
    <n v="0"/>
    <s v="PAC"/>
    <m/>
  </r>
  <r>
    <n v="54"/>
    <x v="0"/>
    <s v="Shipment 1 B-10124 Fired Proces Heater"/>
    <x v="0"/>
    <x v="0"/>
    <m/>
    <m/>
    <s v="HEATER"/>
    <m/>
    <s v="S4"/>
    <s v="U285-AS-13MK100-7"/>
    <s v="13MK100-7(2/2)"/>
    <s v="RADIANT FLOOR"/>
    <n v="1"/>
    <n v="19.399999999999999"/>
    <n v="19.399999999999999"/>
    <s v="(414x523x468)"/>
    <m/>
    <m/>
    <m/>
    <m/>
    <m/>
    <m/>
    <m/>
    <m/>
    <m/>
    <m/>
    <m/>
    <m/>
    <m/>
    <n v="0"/>
    <n v="19.399999999999999"/>
    <m/>
    <m/>
    <n v="0"/>
    <m/>
    <m/>
    <n v="0"/>
    <m/>
    <m/>
    <n v="0"/>
    <m/>
    <m/>
    <n v="0"/>
    <m/>
    <m/>
    <m/>
    <n v="0"/>
    <m/>
    <m/>
    <n v="0"/>
    <s v="PAC"/>
    <m/>
  </r>
  <r>
    <n v="55"/>
    <x v="0"/>
    <s v="Shipment 1 B-10124 Fired Proces Heater"/>
    <x v="0"/>
    <x v="0"/>
    <m/>
    <m/>
    <s v="HEATER"/>
    <m/>
    <s v="S4"/>
    <s v="U285-AS-13MK100-8"/>
    <s v="13MK100-8"/>
    <s v="RADIANT FLOOR (1/3)"/>
    <n v="1"/>
    <n v="3550.4999999999995"/>
    <n v="3550.4999999999995"/>
    <s v="(11610x3360x475)"/>
    <m/>
    <m/>
    <m/>
    <m/>
    <m/>
    <m/>
    <m/>
    <m/>
    <m/>
    <m/>
    <m/>
    <m/>
    <m/>
    <n v="0"/>
    <n v="3550.4999999999995"/>
    <m/>
    <m/>
    <n v="0"/>
    <m/>
    <m/>
    <n v="0"/>
    <m/>
    <m/>
    <n v="0"/>
    <m/>
    <m/>
    <n v="0"/>
    <m/>
    <m/>
    <m/>
    <n v="0"/>
    <m/>
    <m/>
    <n v="0"/>
    <s v="PAC"/>
    <m/>
  </r>
  <r>
    <n v="56"/>
    <x v="0"/>
    <s v="Shipment 1 B-10124 Fired Proces Heater"/>
    <x v="0"/>
    <x v="0"/>
    <m/>
    <m/>
    <s v="HEATER"/>
    <m/>
    <s v="S4"/>
    <s v="U285-AS-13MK100-9"/>
    <s v="13MK100-9"/>
    <s v="RADIANT FLOOR (1/3)"/>
    <n v="1"/>
    <n v="3554.2"/>
    <n v="3554.2"/>
    <s v="(11610x3360x475)"/>
    <m/>
    <m/>
    <m/>
    <m/>
    <m/>
    <m/>
    <m/>
    <m/>
    <m/>
    <m/>
    <m/>
    <m/>
    <m/>
    <n v="1777.1"/>
    <n v="1777.1"/>
    <m/>
    <m/>
    <n v="0"/>
    <d v="2026-10-16T00:00:00"/>
    <n v="1"/>
    <n v="3554.2"/>
    <m/>
    <m/>
    <n v="0"/>
    <m/>
    <m/>
    <n v="0"/>
    <m/>
    <m/>
    <m/>
    <n v="0"/>
    <m/>
    <m/>
    <n v="0"/>
    <s v="PAC"/>
    <m/>
  </r>
  <r>
    <n v="57"/>
    <x v="0"/>
    <s v="Shipment 1 B-10124 Fired Proces Heater"/>
    <x v="0"/>
    <x v="0"/>
    <m/>
    <m/>
    <s v="HEATER"/>
    <m/>
    <s v="S4"/>
    <s v="U285-AS-13MK100-10"/>
    <s v="13MK100-10"/>
    <s v="RADIANT ARCH (1/4)"/>
    <n v="1"/>
    <n v="5347.9"/>
    <n v="5347.9"/>
    <s v="(17071x3181x467)"/>
    <m/>
    <m/>
    <m/>
    <m/>
    <m/>
    <m/>
    <m/>
    <m/>
    <m/>
    <m/>
    <m/>
    <m/>
    <m/>
    <n v="0"/>
    <n v="5347.9"/>
    <m/>
    <m/>
    <n v="0"/>
    <m/>
    <m/>
    <n v="0"/>
    <m/>
    <m/>
    <n v="0"/>
    <m/>
    <m/>
    <n v="0"/>
    <m/>
    <m/>
    <m/>
    <n v="0"/>
    <m/>
    <m/>
    <n v="0"/>
    <s v="PAC"/>
    <m/>
  </r>
  <r>
    <n v="58"/>
    <x v="0"/>
    <s v="Shipment 1 B-10124 Fired Proces Heater"/>
    <x v="0"/>
    <x v="0"/>
    <m/>
    <m/>
    <s v="HEATER"/>
    <m/>
    <s v="S4"/>
    <s v="U285-AS-13MK100-11"/>
    <s v="13MK100-11"/>
    <s v="RADIANT ARCH (1/3)"/>
    <n v="1"/>
    <n v="5251.1"/>
    <n v="5251.1"/>
    <s v="(17071x3181x467)"/>
    <m/>
    <m/>
    <m/>
    <m/>
    <m/>
    <m/>
    <m/>
    <m/>
    <m/>
    <m/>
    <m/>
    <m/>
    <m/>
    <n v="0"/>
    <n v="5251.1"/>
    <m/>
    <m/>
    <n v="0"/>
    <m/>
    <m/>
    <n v="0"/>
    <m/>
    <m/>
    <n v="0"/>
    <m/>
    <m/>
    <n v="0"/>
    <m/>
    <m/>
    <m/>
    <n v="0"/>
    <m/>
    <m/>
    <n v="0"/>
    <s v="PAC"/>
    <m/>
  </r>
  <r>
    <n v="59"/>
    <x v="0"/>
    <s v="Shipment 1 B-10124 Fired Proces Heater"/>
    <x v="0"/>
    <x v="0"/>
    <m/>
    <m/>
    <s v="HEATER"/>
    <m/>
    <s v="S4"/>
    <s v="U285-AS-13MK100-12"/>
    <s v="13MK100-12(1/3)"/>
    <s v="RADIANT FLOOR"/>
    <n v="1"/>
    <n v="19.133333333333329"/>
    <n v="19.133333333333329"/>
    <s v="(414x506x468)"/>
    <m/>
    <m/>
    <m/>
    <m/>
    <m/>
    <m/>
    <m/>
    <m/>
    <m/>
    <m/>
    <m/>
    <m/>
    <m/>
    <n v="0"/>
    <n v="19.133333333333329"/>
    <m/>
    <m/>
    <n v="0"/>
    <m/>
    <m/>
    <n v="0"/>
    <m/>
    <m/>
    <n v="0"/>
    <m/>
    <m/>
    <n v="0"/>
    <m/>
    <m/>
    <m/>
    <n v="0"/>
    <m/>
    <m/>
    <n v="0"/>
    <s v="PAC"/>
    <m/>
  </r>
  <r>
    <n v="60"/>
    <x v="0"/>
    <s v="Shipment 1 B-10124 Fired Proces Heater"/>
    <x v="0"/>
    <x v="0"/>
    <m/>
    <m/>
    <s v="HEATER"/>
    <m/>
    <s v="S4"/>
    <s v="U285-AS-13MK100-12"/>
    <s v="13MK100-12(2/3)"/>
    <s v="RADIANT FLOOR"/>
    <n v="1"/>
    <n v="19.133333333333329"/>
    <n v="19.133333333333329"/>
    <s v="(414x506x468)"/>
    <m/>
    <m/>
    <m/>
    <m/>
    <m/>
    <m/>
    <m/>
    <m/>
    <m/>
    <m/>
    <m/>
    <m/>
    <m/>
    <n v="0"/>
    <n v="19.133333333333329"/>
    <m/>
    <m/>
    <n v="0"/>
    <m/>
    <m/>
    <n v="0"/>
    <m/>
    <m/>
    <n v="0"/>
    <m/>
    <m/>
    <n v="0"/>
    <m/>
    <m/>
    <m/>
    <n v="0"/>
    <m/>
    <m/>
    <n v="0"/>
    <s v="PAC"/>
    <m/>
  </r>
  <r>
    <n v="61"/>
    <x v="0"/>
    <s v="Shipment 1 B-10124 Fired Proces Heater"/>
    <x v="0"/>
    <x v="0"/>
    <m/>
    <m/>
    <s v="HEATER"/>
    <m/>
    <s v="S4"/>
    <s v="U285-AS-13MK100-12"/>
    <s v="13MK100-12(3/3)"/>
    <s v="RADIANT FLOOR"/>
    <n v="1"/>
    <n v="19.133333333333329"/>
    <n v="19.133333333333329"/>
    <s v="(414x506x468)"/>
    <m/>
    <m/>
    <m/>
    <m/>
    <m/>
    <m/>
    <m/>
    <m/>
    <m/>
    <m/>
    <m/>
    <m/>
    <m/>
    <n v="0"/>
    <n v="19.133333333333329"/>
    <m/>
    <m/>
    <n v="0"/>
    <m/>
    <m/>
    <n v="0"/>
    <m/>
    <m/>
    <n v="0"/>
    <m/>
    <m/>
    <n v="0"/>
    <m/>
    <m/>
    <m/>
    <n v="0"/>
    <m/>
    <m/>
    <n v="0"/>
    <s v="PAC"/>
    <m/>
  </r>
  <r>
    <n v="62"/>
    <x v="0"/>
    <s v="Shipment 1 B-10124 Fired Proces Heater"/>
    <x v="0"/>
    <x v="0"/>
    <m/>
    <m/>
    <s v="HEATER"/>
    <m/>
    <s v="S4"/>
    <s v="U285-AS-13MK100-13"/>
    <s v="13MK100-13"/>
    <s v="RADIANT WALL (1/3)"/>
    <n v="1"/>
    <n v="1775.8"/>
    <n v="1775.8"/>
    <s v="(3991x233x7355)"/>
    <m/>
    <m/>
    <m/>
    <m/>
    <m/>
    <m/>
    <m/>
    <m/>
    <m/>
    <m/>
    <m/>
    <m/>
    <m/>
    <n v="1775.8"/>
    <n v="0"/>
    <m/>
    <m/>
    <n v="0"/>
    <d v="2026-09-11T00:00:00"/>
    <n v="1"/>
    <n v="1775.8"/>
    <d v="2026-09-24T00:00:00"/>
    <n v="1"/>
    <n v="1775.8"/>
    <d v="2026-09-24T00:00:00"/>
    <n v="1"/>
    <n v="1775.8"/>
    <s v="U285-005"/>
    <d v="2026-09-24T00:00:00"/>
    <n v="1"/>
    <n v="1775.8"/>
    <d v="2026-09-25T00:00:00"/>
    <n v="1"/>
    <n v="1775.8"/>
    <s v="PAC"/>
    <s v="U285-005"/>
  </r>
  <r>
    <n v="63"/>
    <x v="0"/>
    <s v="Shipment 1 B-10124 Fired Proces Heater"/>
    <x v="0"/>
    <x v="0"/>
    <m/>
    <m/>
    <s v="HEATER"/>
    <m/>
    <s v="S4"/>
    <s v="U285-AS-13MK100-14"/>
    <s v="13MK100-14"/>
    <s v="RADIANT FLOOR (1/3)"/>
    <n v="1"/>
    <n v="1968.1999999999998"/>
    <n v="1968.1999999999998"/>
    <s v="(11610x1836x475)"/>
    <m/>
    <m/>
    <m/>
    <m/>
    <m/>
    <m/>
    <m/>
    <m/>
    <m/>
    <m/>
    <m/>
    <m/>
    <m/>
    <n v="984.09999999999991"/>
    <n v="984.09999999999991"/>
    <m/>
    <m/>
    <n v="0"/>
    <d v="2026-10-14T00:00:00"/>
    <n v="1"/>
    <n v="1968.1999999999998"/>
    <m/>
    <m/>
    <n v="0"/>
    <m/>
    <m/>
    <n v="0"/>
    <m/>
    <m/>
    <m/>
    <n v="0"/>
    <m/>
    <m/>
    <n v="0"/>
    <s v="PAC"/>
    <m/>
  </r>
  <r>
    <n v="64"/>
    <x v="0"/>
    <s v="Shipment 1 B-10124 Fired Proces Heater"/>
    <x v="0"/>
    <x v="0"/>
    <m/>
    <m/>
    <s v="HEATER"/>
    <m/>
    <s v="S4"/>
    <s v="U285-AS-13MK100-15"/>
    <s v="13MK100-15"/>
    <s v="RADIANT WALL (1/3)"/>
    <n v="1"/>
    <n v="3473.3999999999996"/>
    <n v="3473.3999999999996"/>
    <s v="(10590x4239x860)"/>
    <m/>
    <m/>
    <m/>
    <m/>
    <m/>
    <m/>
    <m/>
    <m/>
    <m/>
    <m/>
    <m/>
    <m/>
    <m/>
    <n v="3473.3999999999996"/>
    <n v="0"/>
    <m/>
    <m/>
    <n v="0"/>
    <d v="2026-08-22T00:00:00"/>
    <n v="1"/>
    <n v="3473.3999999999996"/>
    <d v="2026-09-09T00:00:00"/>
    <n v="1"/>
    <n v="3473.3999999999996"/>
    <d v="2026-09-24T00:00:00"/>
    <n v="1"/>
    <n v="3473.3999999999996"/>
    <s v="U285-005"/>
    <d v="2026-09-24T00:00:00"/>
    <n v="1"/>
    <n v="3473.3999999999996"/>
    <d v="2026-09-25T00:00:00"/>
    <n v="1"/>
    <n v="3473.3999999999996"/>
    <s v="PAC"/>
    <s v="U285-005"/>
  </r>
  <r>
    <n v="65"/>
    <x v="0"/>
    <s v="Shipment 1 B-10124 Fired Proces Heater"/>
    <x v="0"/>
    <x v="0"/>
    <m/>
    <m/>
    <s v="HEATER"/>
    <m/>
    <s v="S4"/>
    <s v="U285-AS-13MK100-16"/>
    <s v="13MK100-16"/>
    <s v="RADIANT WALL (1/3)"/>
    <n v="1"/>
    <n v="3473.1999999999994"/>
    <n v="3473.1999999999994"/>
    <s v="(10590x4239x860)"/>
    <m/>
    <m/>
    <m/>
    <m/>
    <m/>
    <m/>
    <m/>
    <m/>
    <m/>
    <m/>
    <m/>
    <m/>
    <m/>
    <n v="3473.1999999999989"/>
    <n v="0"/>
    <m/>
    <m/>
    <n v="0"/>
    <d v="2026-09-08T00:00:00"/>
    <n v="1"/>
    <n v="3473.1999999999994"/>
    <d v="2026-09-08T00:00:00"/>
    <n v="1"/>
    <n v="3473.1999999999994"/>
    <d v="2026-09-24T00:00:00"/>
    <n v="1"/>
    <n v="3473.1999999999994"/>
    <s v="U285-005"/>
    <d v="2026-09-24T00:00:00"/>
    <n v="1"/>
    <n v="3473.1999999999994"/>
    <d v="2026-09-25T00:00:00"/>
    <n v="1"/>
    <n v="3473.1999999999994"/>
    <s v="PAC"/>
    <s v="U285-005"/>
  </r>
  <r>
    <n v="66"/>
    <x v="0"/>
    <s v="Shipment 1 B-10124 Fired Proces Heater"/>
    <x v="0"/>
    <x v="0"/>
    <m/>
    <m/>
    <s v="HEATER"/>
    <m/>
    <s v="S4"/>
    <s v="U285-AS-13MK100-17"/>
    <s v="13MK100-17"/>
    <s v="RADIANT WALL (1/3)"/>
    <n v="1"/>
    <n v="3522.0000000000005"/>
    <n v="3522.0000000000005"/>
    <s v="(14455x3741x209)"/>
    <m/>
    <m/>
    <m/>
    <m/>
    <m/>
    <m/>
    <m/>
    <m/>
    <m/>
    <m/>
    <m/>
    <m/>
    <m/>
    <n v="3522"/>
    <n v="0"/>
    <m/>
    <m/>
    <n v="0"/>
    <d v="2026-07-23T00:00:00"/>
    <n v="1"/>
    <n v="3522.0000000000005"/>
    <d v="2026-07-29T00:00:00"/>
    <n v="1"/>
    <n v="3522.0000000000005"/>
    <d v="2026-09-07T00:00:00"/>
    <n v="1"/>
    <n v="3522.0000000000005"/>
    <s v="U285-004"/>
    <d v="2026-09-07T00:00:00"/>
    <n v="1"/>
    <n v="3522.0000000000005"/>
    <d v="2026-09-16T00:00:00"/>
    <n v="1"/>
    <n v="3522.0000000000005"/>
    <s v="PAC"/>
    <s v="U285-002"/>
  </r>
  <r>
    <n v="67"/>
    <x v="0"/>
    <s v="Shipment 1 B-10124 Fired Proces Heater"/>
    <x v="0"/>
    <x v="0"/>
    <m/>
    <m/>
    <s v="HEATER"/>
    <m/>
    <s v="S4"/>
    <s v="U285-AS-13MK100-18"/>
    <s v="13MK100-18"/>
    <s v="RADIANT WALL (1/2)"/>
    <n v="1"/>
    <n v="713.1"/>
    <n v="713.1"/>
    <s v="(1917x209x7270)"/>
    <m/>
    <m/>
    <m/>
    <m/>
    <m/>
    <m/>
    <m/>
    <m/>
    <m/>
    <m/>
    <m/>
    <m/>
    <m/>
    <n v="641.79"/>
    <n v="71.310000000000059"/>
    <m/>
    <m/>
    <n v="0"/>
    <d v="2026-08-22T00:00:00"/>
    <n v="1"/>
    <n v="713.1"/>
    <d v="2026-09-24T00:00:00"/>
    <n v="1"/>
    <n v="713.1"/>
    <m/>
    <m/>
    <n v="0"/>
    <m/>
    <m/>
    <m/>
    <n v="0"/>
    <m/>
    <m/>
    <n v="0"/>
    <s v="PAC"/>
    <m/>
  </r>
  <r>
    <n v="68"/>
    <x v="0"/>
    <s v="Shipment 1 B-10124 Fired Proces Heater"/>
    <x v="0"/>
    <x v="0"/>
    <m/>
    <m/>
    <s v="HEATER"/>
    <m/>
    <s v="S4"/>
    <s v="U285-AS-13MK100-19"/>
    <s v="13MK100-19"/>
    <s v="RADIANT WALL (1/2)"/>
    <n v="1"/>
    <n v="713.1"/>
    <n v="713.1"/>
    <s v="(1917x209x7270)"/>
    <m/>
    <m/>
    <m/>
    <m/>
    <m/>
    <m/>
    <m/>
    <m/>
    <m/>
    <m/>
    <m/>
    <m/>
    <m/>
    <n v="641.79"/>
    <n v="71.310000000000059"/>
    <m/>
    <m/>
    <n v="0"/>
    <d v="2026-08-22T00:00:00"/>
    <n v="1"/>
    <n v="713.1"/>
    <d v="2026-09-24T00:00:00"/>
    <n v="1"/>
    <n v="713.1"/>
    <m/>
    <m/>
    <n v="0"/>
    <m/>
    <m/>
    <m/>
    <n v="0"/>
    <m/>
    <m/>
    <n v="0"/>
    <s v="PAC"/>
    <m/>
  </r>
  <r>
    <n v="69"/>
    <x v="0"/>
    <s v="Shipment 1 B-10124 Fired Proces Heater"/>
    <x v="0"/>
    <x v="0"/>
    <m/>
    <m/>
    <s v="HEATER"/>
    <m/>
    <s v="S4"/>
    <s v="U285-AS-13MK100-20"/>
    <s v="13MK100-20(1/2)"/>
    <s v="RADIANT FLOOR"/>
    <n v="1"/>
    <n v="104.25"/>
    <n v="104.25"/>
    <s v="(1914x337x203)"/>
    <m/>
    <m/>
    <m/>
    <m/>
    <m/>
    <m/>
    <m/>
    <m/>
    <m/>
    <m/>
    <m/>
    <m/>
    <m/>
    <n v="0"/>
    <n v="104.25"/>
    <m/>
    <m/>
    <n v="0"/>
    <m/>
    <m/>
    <n v="0"/>
    <m/>
    <m/>
    <n v="0"/>
    <m/>
    <m/>
    <n v="0"/>
    <m/>
    <m/>
    <m/>
    <n v="0"/>
    <m/>
    <m/>
    <n v="0"/>
    <s v="PAC"/>
    <m/>
  </r>
  <r>
    <n v="70"/>
    <x v="0"/>
    <s v="Shipment 1 B-10124 Fired Proces Heater"/>
    <x v="0"/>
    <x v="0"/>
    <m/>
    <m/>
    <s v="HEATER"/>
    <m/>
    <s v="S4"/>
    <s v="U285-AS-13MK100-20"/>
    <s v="13MK100-20(2/2)"/>
    <s v="RADIANT FLOOR"/>
    <n v="1"/>
    <n v="104.25"/>
    <n v="104.25"/>
    <s v="(1914x337x203)"/>
    <m/>
    <m/>
    <m/>
    <m/>
    <m/>
    <m/>
    <m/>
    <m/>
    <m/>
    <m/>
    <m/>
    <m/>
    <m/>
    <n v="0"/>
    <n v="104.25"/>
    <m/>
    <m/>
    <n v="0"/>
    <m/>
    <m/>
    <n v="0"/>
    <m/>
    <m/>
    <n v="0"/>
    <m/>
    <m/>
    <n v="0"/>
    <m/>
    <m/>
    <m/>
    <n v="0"/>
    <m/>
    <m/>
    <n v="0"/>
    <s v="PAC"/>
    <m/>
  </r>
  <r>
    <n v="71"/>
    <x v="0"/>
    <s v="Shipment 1 B-10124 Fired Proces Heater"/>
    <x v="0"/>
    <x v="0"/>
    <m/>
    <m/>
    <s v="HEATER"/>
    <m/>
    <s v="S4"/>
    <s v="U285-AS-13MK100-21"/>
    <s v="13MK100-21(1/2)"/>
    <s v="RADIANT FLOOR"/>
    <n v="1"/>
    <n v="56.1"/>
    <n v="56.1"/>
    <s v="(1213x203x203)"/>
    <m/>
    <m/>
    <m/>
    <m/>
    <m/>
    <m/>
    <m/>
    <m/>
    <m/>
    <m/>
    <m/>
    <m/>
    <m/>
    <n v="0"/>
    <n v="56.1"/>
    <m/>
    <m/>
    <n v="0"/>
    <m/>
    <m/>
    <n v="0"/>
    <m/>
    <m/>
    <n v="0"/>
    <m/>
    <m/>
    <n v="0"/>
    <m/>
    <m/>
    <m/>
    <n v="0"/>
    <m/>
    <m/>
    <n v="0"/>
    <s v="PAC"/>
    <m/>
  </r>
  <r>
    <n v="72"/>
    <x v="0"/>
    <s v="Shipment 1 B-10124 Fired Proces Heater"/>
    <x v="0"/>
    <x v="0"/>
    <m/>
    <m/>
    <s v="HEATER"/>
    <m/>
    <s v="S4"/>
    <s v="U285-AS-13MK100-21"/>
    <s v="13MK100-21(2/2)"/>
    <s v="RADIANT FLOOR"/>
    <n v="1"/>
    <n v="56.1"/>
    <n v="56.1"/>
    <s v="(1213x203x203)"/>
    <m/>
    <m/>
    <m/>
    <m/>
    <m/>
    <m/>
    <m/>
    <m/>
    <m/>
    <m/>
    <m/>
    <m/>
    <m/>
    <n v="0"/>
    <n v="56.1"/>
    <m/>
    <m/>
    <n v="0"/>
    <m/>
    <m/>
    <n v="0"/>
    <m/>
    <m/>
    <n v="0"/>
    <m/>
    <m/>
    <n v="0"/>
    <m/>
    <m/>
    <m/>
    <n v="0"/>
    <m/>
    <m/>
    <n v="0"/>
    <s v="PAC"/>
    <m/>
  </r>
  <r>
    <n v="73"/>
    <x v="0"/>
    <s v="Shipment 1 B-10124 Fired Proces Heater"/>
    <x v="0"/>
    <x v="0"/>
    <m/>
    <m/>
    <s v="HEATER"/>
    <m/>
    <s v="S4"/>
    <s v="U285-AS-13MK100-22"/>
    <s v="13MK100-22"/>
    <s v="RADIANT WALL (1/3)"/>
    <n v="1"/>
    <n v="3473.3"/>
    <n v="3473.3"/>
    <s v="(10590x4239x860)"/>
    <m/>
    <m/>
    <m/>
    <m/>
    <m/>
    <m/>
    <m/>
    <m/>
    <m/>
    <m/>
    <m/>
    <m/>
    <m/>
    <n v="3473.3"/>
    <n v="0"/>
    <m/>
    <m/>
    <n v="0"/>
    <d v="2026-09-22T00:00:00"/>
    <n v="1"/>
    <n v="3473.3"/>
    <d v="2026-09-23T00:00:00"/>
    <n v="1"/>
    <n v="3473.3"/>
    <d v="2026-10-01T00:00:00"/>
    <n v="1"/>
    <n v="3473.3"/>
    <s v="U285-006"/>
    <d v="2026-10-01T00:00:00"/>
    <n v="1"/>
    <n v="3473.3"/>
    <d v="2026-10-15T00:00:00"/>
    <n v="1"/>
    <n v="3473.3"/>
    <s v="PAC"/>
    <s v="U285-005"/>
  </r>
  <r>
    <n v="74"/>
    <x v="0"/>
    <s v="Shipment 1 B-10124 Fired Proces Heater"/>
    <x v="0"/>
    <x v="0"/>
    <m/>
    <m/>
    <s v="HEATER"/>
    <m/>
    <s v="S4"/>
    <s v="U285-AS-13MK100-23"/>
    <s v="13MK100-23"/>
    <s v="RADIANT WALL (1/3)"/>
    <n v="1"/>
    <n v="3473.1999999999994"/>
    <n v="3473.1999999999994"/>
    <s v="(10590x4239x860)"/>
    <m/>
    <m/>
    <m/>
    <m/>
    <m/>
    <m/>
    <m/>
    <m/>
    <m/>
    <m/>
    <m/>
    <m/>
    <m/>
    <n v="3473.1999999999989"/>
    <n v="0"/>
    <m/>
    <m/>
    <n v="0"/>
    <d v="2026-08-22T00:00:00"/>
    <n v="1"/>
    <n v="3473.1999999999994"/>
    <d v="2026-08-24T00:00:00"/>
    <n v="1"/>
    <n v="3473.1999999999994"/>
    <d v="2026-10-01T00:00:00"/>
    <n v="1"/>
    <n v="3473.1999999999994"/>
    <s v="U285-006"/>
    <d v="2026-10-01T00:00:00"/>
    <n v="1"/>
    <n v="3473.1999999999994"/>
    <d v="2026-10-15T00:00:00"/>
    <n v="1"/>
    <n v="3473.1999999999994"/>
    <s v="PAC"/>
    <s v="U285-005"/>
  </r>
  <r>
    <n v="75"/>
    <x v="0"/>
    <s v="Shipment 1 B-10124 Fired Proces Heater"/>
    <x v="0"/>
    <x v="0"/>
    <m/>
    <m/>
    <s v="HEATER"/>
    <m/>
    <s v="S4"/>
    <s v="U285-AS-13MK100-24"/>
    <s v="13MK100-24"/>
    <s v="RADIANT FLOOR (1/3)"/>
    <n v="1"/>
    <n v="1965.7999999999997"/>
    <n v="1965.7999999999997"/>
    <s v="(11610x1836x475)"/>
    <m/>
    <m/>
    <m/>
    <m/>
    <m/>
    <m/>
    <m/>
    <m/>
    <m/>
    <m/>
    <m/>
    <m/>
    <m/>
    <n v="0"/>
    <n v="1965.7999999999997"/>
    <m/>
    <m/>
    <n v="0"/>
    <m/>
    <m/>
    <n v="0"/>
    <m/>
    <m/>
    <n v="0"/>
    <m/>
    <m/>
    <n v="0"/>
    <m/>
    <m/>
    <m/>
    <n v="0"/>
    <m/>
    <m/>
    <n v="0"/>
    <s v="PAC"/>
    <m/>
  </r>
  <r>
    <n v="76"/>
    <x v="0"/>
    <s v="Shipment 1 B-10124 Fired Proces Heater"/>
    <x v="0"/>
    <x v="0"/>
    <m/>
    <m/>
    <s v="HEATER"/>
    <m/>
    <s v="S4"/>
    <s v="U285-AS-13MK100-25"/>
    <s v="13MK100-25"/>
    <s v="RADIANT WALL (1/3)"/>
    <n v="1"/>
    <n v="1775.8"/>
    <n v="1775.8"/>
    <s v="(3991x233x7355)"/>
    <m/>
    <m/>
    <m/>
    <m/>
    <m/>
    <m/>
    <m/>
    <m/>
    <m/>
    <m/>
    <m/>
    <m/>
    <m/>
    <n v="1775.8"/>
    <n v="0"/>
    <m/>
    <m/>
    <n v="0"/>
    <d v="2026-08-23T00:00:00"/>
    <n v="1"/>
    <n v="1775.8"/>
    <d v="2026-09-22T00:00:00"/>
    <n v="1"/>
    <n v="1775.8"/>
    <d v="2026-10-01T00:00:00"/>
    <n v="1"/>
    <n v="1775.8"/>
    <s v="U285-006"/>
    <d v="2026-10-01T00:00:00"/>
    <n v="1"/>
    <n v="1775.8"/>
    <d v="2026-10-15T00:00:00"/>
    <n v="1"/>
    <n v="1775.8"/>
    <s v="PAC"/>
    <s v="U285-005"/>
  </r>
  <r>
    <n v="77"/>
    <x v="0"/>
    <s v="Shipment 1 B-10124 Fired Proces Heater"/>
    <x v="0"/>
    <x v="0"/>
    <m/>
    <m/>
    <s v="HEATER"/>
    <m/>
    <s v="S4"/>
    <s v="U285-AS-13MK100-26"/>
    <s v="13MK100-26(1/2)"/>
    <s v="RADIANT FLOOR"/>
    <n v="1"/>
    <n v="17.3"/>
    <n v="17.3"/>
    <s v="(414x396x468)"/>
    <m/>
    <m/>
    <m/>
    <m/>
    <m/>
    <m/>
    <m/>
    <m/>
    <m/>
    <m/>
    <m/>
    <m/>
    <m/>
    <n v="0"/>
    <n v="17.3"/>
    <m/>
    <m/>
    <n v="0"/>
    <m/>
    <m/>
    <n v="0"/>
    <m/>
    <m/>
    <n v="0"/>
    <m/>
    <m/>
    <n v="0"/>
    <m/>
    <m/>
    <m/>
    <n v="0"/>
    <m/>
    <m/>
    <n v="0"/>
    <s v="PAC"/>
    <m/>
  </r>
  <r>
    <n v="78"/>
    <x v="0"/>
    <s v="Shipment 1 B-10124 Fired Proces Heater"/>
    <x v="0"/>
    <x v="0"/>
    <m/>
    <m/>
    <s v="HEATER"/>
    <m/>
    <s v="S4"/>
    <s v="U285-AS-13MK100-26"/>
    <s v="13MK100-26(2/2)"/>
    <s v="RADIANT FLOOR"/>
    <n v="1"/>
    <n v="17.3"/>
    <n v="17.3"/>
    <s v="(414x396x468)"/>
    <m/>
    <m/>
    <m/>
    <m/>
    <m/>
    <m/>
    <m/>
    <m/>
    <m/>
    <m/>
    <m/>
    <m/>
    <m/>
    <n v="0"/>
    <n v="17.3"/>
    <m/>
    <m/>
    <n v="0"/>
    <m/>
    <m/>
    <n v="0"/>
    <m/>
    <m/>
    <n v="0"/>
    <m/>
    <m/>
    <n v="0"/>
    <m/>
    <m/>
    <m/>
    <n v="0"/>
    <m/>
    <m/>
    <n v="0"/>
    <s v="PAC"/>
    <m/>
  </r>
  <r>
    <n v="79"/>
    <x v="0"/>
    <s v="Shipment 1 B-10124 Fired Proces Heater"/>
    <x v="0"/>
    <x v="0"/>
    <m/>
    <m/>
    <s v="HEATER"/>
    <m/>
    <s v="S4"/>
    <s v="U285-AS-13MK100-27"/>
    <s v="13MK100-27"/>
    <s v="RADIANT ARCH (1/3)"/>
    <n v="1"/>
    <n v="4859.7"/>
    <n v="4859.7"/>
    <s v="(12016x4146x467)"/>
    <m/>
    <m/>
    <m/>
    <m/>
    <m/>
    <m/>
    <m/>
    <m/>
    <m/>
    <m/>
    <m/>
    <m/>
    <m/>
    <n v="0"/>
    <n v="4859.7"/>
    <m/>
    <m/>
    <n v="0"/>
    <m/>
    <m/>
    <n v="0"/>
    <m/>
    <m/>
    <n v="0"/>
    <m/>
    <m/>
    <n v="0"/>
    <m/>
    <m/>
    <m/>
    <n v="0"/>
    <m/>
    <m/>
    <n v="0"/>
    <s v="PAC"/>
    <m/>
  </r>
  <r>
    <n v="80"/>
    <x v="0"/>
    <s v="Shipment 1 B-10124 Fired Proces Heater"/>
    <x v="0"/>
    <x v="0"/>
    <m/>
    <m/>
    <s v="HEATER"/>
    <m/>
    <s v="S4"/>
    <s v="U285-AS-13MK100-28"/>
    <s v="13MK100-28"/>
    <s v="RADIANT FLOOR (1/3)"/>
    <n v="1"/>
    <n v="3551.7"/>
    <n v="3551.7"/>
    <s v="(11610x3360x475)"/>
    <m/>
    <m/>
    <m/>
    <m/>
    <m/>
    <m/>
    <m/>
    <m/>
    <m/>
    <m/>
    <m/>
    <m/>
    <m/>
    <n v="0"/>
    <n v="3551.7"/>
    <m/>
    <m/>
    <n v="0"/>
    <m/>
    <m/>
    <n v="0"/>
    <m/>
    <m/>
    <n v="0"/>
    <m/>
    <m/>
    <n v="0"/>
    <m/>
    <m/>
    <m/>
    <n v="0"/>
    <m/>
    <m/>
    <n v="0"/>
    <s v="PAC"/>
    <m/>
  </r>
  <r>
    <n v="81"/>
    <x v="0"/>
    <s v="Shipment 1 B-10124 Fired Proces Heater"/>
    <x v="0"/>
    <x v="0"/>
    <m/>
    <m/>
    <s v="HEATER"/>
    <m/>
    <s v="S4"/>
    <s v="U285-AS-13MK100-29"/>
    <s v="13MK100-29"/>
    <s v="RADIANT FLOOR (1/3)"/>
    <n v="1"/>
    <n v="1955.6000000000001"/>
    <n v="1955.6000000000001"/>
    <s v="(11610x1836x475)"/>
    <m/>
    <m/>
    <m/>
    <m/>
    <m/>
    <m/>
    <m/>
    <m/>
    <m/>
    <m/>
    <m/>
    <m/>
    <m/>
    <n v="0"/>
    <n v="1955.6000000000001"/>
    <m/>
    <m/>
    <n v="0"/>
    <m/>
    <m/>
    <n v="0"/>
    <m/>
    <m/>
    <n v="0"/>
    <m/>
    <m/>
    <n v="0"/>
    <m/>
    <m/>
    <m/>
    <n v="0"/>
    <m/>
    <m/>
    <n v="0"/>
    <s v="PAC"/>
    <m/>
  </r>
  <r>
    <n v="82"/>
    <x v="0"/>
    <s v="Shipment 1 B-10124 Fired Proces Heater"/>
    <x v="0"/>
    <x v="0"/>
    <m/>
    <m/>
    <s v="HEATER"/>
    <m/>
    <s v="S4"/>
    <s v="U285-AS-13MK100-30"/>
    <s v="13MK100-30"/>
    <s v="RADIANT WALL (1/5)"/>
    <n v="1"/>
    <n v="8256.6"/>
    <n v="8256.6"/>
    <s v="(17868x4860x968)"/>
    <m/>
    <m/>
    <m/>
    <m/>
    <m/>
    <m/>
    <m/>
    <m/>
    <m/>
    <m/>
    <m/>
    <m/>
    <m/>
    <n v="8256.6"/>
    <n v="0"/>
    <m/>
    <m/>
    <n v="0"/>
    <d v="2026-07-31T00:00:00"/>
    <n v="1"/>
    <n v="8256.6"/>
    <d v="2026-08-03T00:00:00"/>
    <n v="1"/>
    <n v="8256.6"/>
    <d v="2026-09-11T00:00:00"/>
    <n v="1"/>
    <n v="8256.6"/>
    <s v="U285-003"/>
    <d v="2026-09-11T00:00:00"/>
    <n v="1"/>
    <n v="8256.6"/>
    <d v="2026-09-16T00:00:00"/>
    <n v="1"/>
    <n v="8256.6"/>
    <s v="PAC"/>
    <s v="U285-003"/>
  </r>
  <r>
    <n v="83"/>
    <x v="0"/>
    <s v="Shipment 1 B-10124 Fired Proces Heater"/>
    <x v="0"/>
    <x v="0"/>
    <m/>
    <m/>
    <s v="HEATER"/>
    <m/>
    <s v="S4"/>
    <s v="U285-AS-13MK100-31"/>
    <s v="13MK100-31"/>
    <s v="RADIANT WALL (1/3)"/>
    <n v="1"/>
    <n v="3522.6"/>
    <n v="3522.6"/>
    <s v="(14455x3741x209)"/>
    <m/>
    <m/>
    <m/>
    <m/>
    <m/>
    <m/>
    <m/>
    <m/>
    <m/>
    <m/>
    <m/>
    <m/>
    <m/>
    <n v="3522.6000000000004"/>
    <n v="0"/>
    <m/>
    <m/>
    <n v="0"/>
    <d v="2026-07-23T00:00:00"/>
    <n v="1"/>
    <n v="3522.6"/>
    <d v="2026-08-12T00:00:00"/>
    <n v="1"/>
    <n v="3522.6"/>
    <d v="2026-09-07T00:00:00"/>
    <n v="1"/>
    <n v="3522.6"/>
    <s v="U285-004"/>
    <d v="2026-09-07T00:00:00"/>
    <n v="1"/>
    <n v="3522.6"/>
    <d v="2026-09-16T00:00:00"/>
    <n v="1"/>
    <n v="3522.6"/>
    <s v="PAC"/>
    <s v="U285-002"/>
  </r>
  <r>
    <n v="84"/>
    <x v="0"/>
    <s v="Shipment 1 B-10124 Fired Proces Heater"/>
    <x v="0"/>
    <x v="0"/>
    <m/>
    <m/>
    <s v="HEATER"/>
    <m/>
    <s v="S4"/>
    <s v="U285-AS-13MK100-32"/>
    <s v="13MK100-32"/>
    <s v="RADIANT WALL (1/6)"/>
    <n v="1"/>
    <n v="8461"/>
    <n v="8461"/>
    <s v="(17873x4676x1019)"/>
    <m/>
    <m/>
    <m/>
    <m/>
    <m/>
    <m/>
    <m/>
    <m/>
    <m/>
    <m/>
    <m/>
    <m/>
    <m/>
    <n v="7614.9"/>
    <n v="846.10000000000036"/>
    <m/>
    <m/>
    <n v="0"/>
    <d v="2026-08-09T00:00:00"/>
    <n v="1"/>
    <n v="8461"/>
    <d v="2026-08-17T00:00:00"/>
    <n v="1"/>
    <n v="8461"/>
    <m/>
    <m/>
    <n v="0"/>
    <m/>
    <m/>
    <m/>
    <n v="0"/>
    <m/>
    <m/>
    <n v="0"/>
    <s v="PAC"/>
    <m/>
  </r>
  <r>
    <n v="85"/>
    <x v="0"/>
    <s v="Shipment 1 B-10124 Fired Proces Heater"/>
    <x v="0"/>
    <x v="0"/>
    <m/>
    <m/>
    <s v="HEATER"/>
    <m/>
    <s v="S4"/>
    <s v="U285-AS-13MK100-33"/>
    <s v="13MK100-33"/>
    <s v="RADIANT WALL (1/6)"/>
    <n v="1"/>
    <n v="8497.4"/>
    <n v="8497.4"/>
    <s v="(17873x4676x1019)"/>
    <m/>
    <m/>
    <m/>
    <m/>
    <m/>
    <m/>
    <m/>
    <m/>
    <m/>
    <m/>
    <m/>
    <m/>
    <m/>
    <n v="7647.66"/>
    <n v="849.73999999999978"/>
    <m/>
    <m/>
    <n v="0"/>
    <d v="2026-08-12T00:00:00"/>
    <n v="1"/>
    <n v="8497.4"/>
    <d v="2026-08-24T00:00:00"/>
    <n v="1"/>
    <n v="8497.4"/>
    <m/>
    <m/>
    <n v="0"/>
    <m/>
    <m/>
    <m/>
    <n v="0"/>
    <m/>
    <m/>
    <n v="0"/>
    <s v="PAC"/>
    <m/>
  </r>
  <r>
    <n v="86"/>
    <x v="0"/>
    <s v="Shipment 1 B-10124 Fired Proces Heater"/>
    <x v="0"/>
    <x v="0"/>
    <m/>
    <m/>
    <s v="HEATER"/>
    <m/>
    <s v="S4"/>
    <s v="U285-AS-13MK100-34"/>
    <s v="13MK100-34"/>
    <s v="RADIANT WALL (1/4)"/>
    <n v="1"/>
    <n v="5534.5"/>
    <n v="5534.5"/>
    <s v="(17868x4019x968)"/>
    <m/>
    <m/>
    <m/>
    <m/>
    <m/>
    <m/>
    <m/>
    <m/>
    <m/>
    <m/>
    <m/>
    <m/>
    <m/>
    <n v="4981.05"/>
    <n v="553.44999999999982"/>
    <m/>
    <m/>
    <n v="0"/>
    <d v="2026-08-16T00:00:00"/>
    <n v="1"/>
    <n v="5534.5"/>
    <d v="2026-08-25T00:00:00"/>
    <n v="1"/>
    <n v="5534.5"/>
    <m/>
    <m/>
    <n v="0"/>
    <m/>
    <m/>
    <m/>
    <n v="0"/>
    <m/>
    <m/>
    <n v="0"/>
    <s v="PAC"/>
    <m/>
  </r>
  <r>
    <n v="87"/>
    <x v="0"/>
    <s v="Shipment 1 B-10124 Fired Proces Heater"/>
    <x v="0"/>
    <x v="0"/>
    <m/>
    <m/>
    <s v="HEATER"/>
    <m/>
    <s v="S4"/>
    <s v="U285-AS-13MK100-35"/>
    <s v="13MK100-35"/>
    <s v="RADIANT WALL (1/5)"/>
    <n v="1"/>
    <n v="5546.4"/>
    <n v="5546.4"/>
    <s v="(17868x4019x968)"/>
    <m/>
    <m/>
    <m/>
    <m/>
    <m/>
    <m/>
    <m/>
    <m/>
    <m/>
    <m/>
    <m/>
    <m/>
    <m/>
    <n v="4991.76"/>
    <n v="554.63999999999942"/>
    <m/>
    <m/>
    <n v="0"/>
    <d v="2026-09-04T00:00:00"/>
    <n v="1"/>
    <n v="5546.4"/>
    <d v="2026-09-09T00:00:00"/>
    <n v="1"/>
    <n v="5546.4"/>
    <m/>
    <m/>
    <n v="0"/>
    <m/>
    <m/>
    <m/>
    <n v="0"/>
    <m/>
    <m/>
    <n v="0"/>
    <s v="PAC"/>
    <m/>
  </r>
  <r>
    <n v="88"/>
    <x v="0"/>
    <s v="Shipment 1 B-10124 Fired Proces Heater"/>
    <x v="0"/>
    <x v="0"/>
    <m/>
    <m/>
    <s v="HEATER"/>
    <m/>
    <s v="S4"/>
    <s v="U285-AS-13MK100-36"/>
    <s v="13MK100-36"/>
    <s v="RADIANT WALL (1/5)"/>
    <n v="1"/>
    <n v="5516.6"/>
    <n v="5516.6"/>
    <s v="(17868x4019x968)"/>
    <m/>
    <m/>
    <m/>
    <m/>
    <m/>
    <m/>
    <m/>
    <m/>
    <m/>
    <m/>
    <m/>
    <m/>
    <m/>
    <n v="4964.9400000000005"/>
    <n v="551.65999999999985"/>
    <m/>
    <m/>
    <n v="0"/>
    <d v="2026-09-09T00:00:00"/>
    <n v="1"/>
    <n v="5516.6"/>
    <d v="2026-09-21T00:00:00"/>
    <n v="1"/>
    <n v="5516.6"/>
    <m/>
    <m/>
    <n v="0"/>
    <m/>
    <m/>
    <m/>
    <n v="0"/>
    <m/>
    <m/>
    <n v="0"/>
    <s v="PAC"/>
    <m/>
  </r>
  <r>
    <n v="89"/>
    <x v="0"/>
    <s v="Shipment 1 B-10124 Fired Proces Heater"/>
    <x v="0"/>
    <x v="0"/>
    <m/>
    <m/>
    <s v="HEATER"/>
    <m/>
    <s v="S4"/>
    <s v="U285-AS-13MK100-37"/>
    <s v="13MK100-37"/>
    <s v="RADIANT WALL (1/4)"/>
    <n v="1"/>
    <n v="5511.9"/>
    <n v="5511.9"/>
    <s v="(17868x4019x968)"/>
    <m/>
    <m/>
    <m/>
    <m/>
    <m/>
    <m/>
    <m/>
    <m/>
    <m/>
    <m/>
    <m/>
    <m/>
    <m/>
    <n v="4960.7099999999991"/>
    <n v="551.19000000000051"/>
    <m/>
    <m/>
    <n v="0"/>
    <d v="2026-08-18T00:00:00"/>
    <n v="1"/>
    <n v="5511.9"/>
    <d v="2026-09-11T00:00:00"/>
    <n v="1"/>
    <n v="5511.9"/>
    <m/>
    <m/>
    <n v="0"/>
    <m/>
    <m/>
    <m/>
    <n v="0"/>
    <m/>
    <m/>
    <n v="0"/>
    <s v="PAC"/>
    <m/>
  </r>
  <r>
    <n v="90"/>
    <x v="0"/>
    <s v="Shipment 1 B-10124 Fired Proces Heater"/>
    <x v="0"/>
    <x v="0"/>
    <m/>
    <m/>
    <s v="HEATER"/>
    <m/>
    <s v="S4"/>
    <s v="U285-AS-13MK100-38"/>
    <s v="13MK100-38"/>
    <s v="RADIANT WALL(1/5)"/>
    <n v="1"/>
    <n v="5628.4"/>
    <n v="5628.4"/>
    <s v="(17868x4175x968)"/>
    <m/>
    <m/>
    <m/>
    <m/>
    <m/>
    <m/>
    <m/>
    <m/>
    <m/>
    <m/>
    <m/>
    <m/>
    <m/>
    <n v="5065.5599999999995"/>
    <n v="562.84000000000015"/>
    <m/>
    <m/>
    <n v="0"/>
    <d v="2026-08-13T00:00:00"/>
    <n v="1"/>
    <n v="5628.4"/>
    <d v="2026-08-27T00:00:00"/>
    <n v="1"/>
    <n v="5628.4"/>
    <m/>
    <m/>
    <n v="0"/>
    <m/>
    <m/>
    <m/>
    <n v="0"/>
    <m/>
    <m/>
    <n v="0"/>
    <s v="PAC"/>
    <m/>
  </r>
  <r>
    <n v="91"/>
    <x v="0"/>
    <s v="Shipment 1 B-10124 Fired Proces Heater"/>
    <x v="0"/>
    <x v="0"/>
    <m/>
    <m/>
    <s v="HEATER"/>
    <m/>
    <s v="S4"/>
    <s v="U285-AS-13MK100-39"/>
    <s v="13MK100-39"/>
    <s v="RADIANT WALL(1/5)"/>
    <n v="1"/>
    <n v="5626.2"/>
    <n v="5626.2"/>
    <s v="(17868x4175x968)"/>
    <m/>
    <m/>
    <m/>
    <m/>
    <m/>
    <m/>
    <m/>
    <m/>
    <m/>
    <m/>
    <m/>
    <m/>
    <m/>
    <n v="5063.58"/>
    <n v="562.61999999999989"/>
    <m/>
    <m/>
    <n v="0"/>
    <d v="2026-08-15T00:00:00"/>
    <n v="1"/>
    <n v="5626.2"/>
    <d v="2026-08-30T00:00:00"/>
    <n v="1"/>
    <n v="5626.2"/>
    <m/>
    <m/>
    <n v="0"/>
    <m/>
    <m/>
    <m/>
    <n v="0"/>
    <m/>
    <m/>
    <n v="0"/>
    <s v="PAC"/>
    <m/>
  </r>
  <r>
    <n v="92"/>
    <x v="0"/>
    <s v="Shipment 1 B-10124 Fired Proces Heater"/>
    <x v="0"/>
    <x v="0"/>
    <m/>
    <m/>
    <s v="HEATER"/>
    <m/>
    <s v="S4"/>
    <s v="U285-AS-13MK100-40"/>
    <s v="13MK100-40"/>
    <s v="RADIANT WALL(1/3)"/>
    <n v="1"/>
    <n v="4407.5"/>
    <n v="4407.5"/>
    <s v="(11610x2548x1906)"/>
    <m/>
    <m/>
    <m/>
    <m/>
    <m/>
    <m/>
    <m/>
    <m/>
    <m/>
    <m/>
    <m/>
    <m/>
    <m/>
    <n v="3966.75"/>
    <n v="440.75"/>
    <m/>
    <m/>
    <n v="0"/>
    <d v="2026-08-25T00:00:00"/>
    <n v="1"/>
    <n v="4407.5"/>
    <d v="2026-09-12T00:00:00"/>
    <n v="1"/>
    <n v="4407.5"/>
    <m/>
    <m/>
    <n v="0"/>
    <m/>
    <m/>
    <m/>
    <n v="0"/>
    <m/>
    <m/>
    <n v="0"/>
    <s v="PAC"/>
    <m/>
  </r>
  <r>
    <n v="93"/>
    <x v="0"/>
    <s v="Shipment 1 B-10124 Fired Proces Heater"/>
    <x v="0"/>
    <x v="0"/>
    <m/>
    <m/>
    <s v="HEATER"/>
    <m/>
    <s v="S4"/>
    <s v="U285-AS-13MK100-41"/>
    <s v="13MK100-41"/>
    <s v="RADIANT WALL(1/5)"/>
    <n v="1"/>
    <n v="5660.8"/>
    <n v="5660.8"/>
    <s v="(17868x4174x968)"/>
    <m/>
    <m/>
    <m/>
    <m/>
    <m/>
    <m/>
    <m/>
    <m/>
    <m/>
    <m/>
    <m/>
    <m/>
    <m/>
    <n v="5094.72"/>
    <n v="566.07999999999993"/>
    <m/>
    <m/>
    <n v="0"/>
    <d v="2026-08-27T00:00:00"/>
    <n v="1"/>
    <n v="5660.8"/>
    <d v="2026-09-15T00:00:00"/>
    <n v="1"/>
    <n v="5660.8"/>
    <m/>
    <m/>
    <n v="0"/>
    <m/>
    <m/>
    <m/>
    <n v="0"/>
    <m/>
    <m/>
    <n v="0"/>
    <s v="PAC"/>
    <m/>
  </r>
  <r>
    <n v="94"/>
    <x v="0"/>
    <s v="Shipment 1 B-10124 Fired Proces Heater"/>
    <x v="0"/>
    <x v="0"/>
    <m/>
    <m/>
    <s v="HEATER"/>
    <m/>
    <s v="S4"/>
    <s v="U285-AS-13MK100-42"/>
    <s v="13MK100-42"/>
    <s v="RADIANT WALL(1/5)"/>
    <n v="1"/>
    <n v="5637.5"/>
    <n v="5637.5"/>
    <s v="(17868x4174x968)"/>
    <m/>
    <m/>
    <m/>
    <m/>
    <m/>
    <m/>
    <m/>
    <m/>
    <m/>
    <m/>
    <m/>
    <m/>
    <m/>
    <n v="5073.75"/>
    <n v="563.75"/>
    <m/>
    <m/>
    <n v="0"/>
    <d v="2026-08-29T00:00:00"/>
    <n v="1"/>
    <n v="5637.5"/>
    <d v="2026-09-15T00:00:00"/>
    <n v="1"/>
    <n v="5637.5"/>
    <m/>
    <m/>
    <n v="0"/>
    <m/>
    <m/>
    <m/>
    <n v="0"/>
    <m/>
    <m/>
    <n v="0"/>
    <s v="PAC"/>
    <m/>
  </r>
  <r>
    <n v="95"/>
    <x v="0"/>
    <s v="Shipment 1 B-10124 Fired Proces Heater"/>
    <x v="0"/>
    <x v="0"/>
    <m/>
    <m/>
    <s v="HEATER"/>
    <m/>
    <s v="S4"/>
    <s v="U285-AS-13MK100-43"/>
    <s v="13MK100-43"/>
    <s v="RADIANT WALL(1/6)"/>
    <n v="1"/>
    <n v="8350.0000000000018"/>
    <n v="8350.0000000000018"/>
    <s v="(17873x4976x968)"/>
    <m/>
    <m/>
    <m/>
    <m/>
    <m/>
    <m/>
    <m/>
    <m/>
    <m/>
    <m/>
    <m/>
    <m/>
    <m/>
    <n v="7515.0000000000018"/>
    <n v="835"/>
    <m/>
    <m/>
    <n v="0"/>
    <d v="2026-09-10T00:00:00"/>
    <n v="1"/>
    <n v="8350.0000000000018"/>
    <d v="2026-09-15T00:00:00"/>
    <n v="1"/>
    <n v="8350.0000000000018"/>
    <m/>
    <m/>
    <n v="0"/>
    <m/>
    <m/>
    <m/>
    <n v="0"/>
    <m/>
    <m/>
    <n v="0"/>
    <s v="PAC"/>
    <m/>
  </r>
  <r>
    <n v="96"/>
    <x v="0"/>
    <s v="Shipment 1 B-10124 Fired Proces Heater"/>
    <x v="0"/>
    <x v="0"/>
    <m/>
    <m/>
    <s v="HEATER"/>
    <m/>
    <s v="S4"/>
    <s v="U285-AS-13MK100-44"/>
    <s v="13MK100-44"/>
    <s v="RADIANT WALL(1/6)"/>
    <n v="1"/>
    <n v="8352.5"/>
    <n v="8352.5"/>
    <s v="(17873x4976x968)"/>
    <m/>
    <m/>
    <m/>
    <m/>
    <m/>
    <m/>
    <m/>
    <m/>
    <m/>
    <m/>
    <m/>
    <m/>
    <m/>
    <n v="7517.25"/>
    <n v="835.25"/>
    <m/>
    <m/>
    <n v="0"/>
    <d v="2026-09-14T00:00:00"/>
    <n v="1"/>
    <n v="8352.5"/>
    <d v="2026-09-26T00:00:00"/>
    <n v="1"/>
    <n v="8352.5"/>
    <m/>
    <m/>
    <n v="0"/>
    <m/>
    <m/>
    <m/>
    <n v="0"/>
    <m/>
    <m/>
    <n v="0"/>
    <s v="PAC"/>
    <m/>
  </r>
  <r>
    <n v="97"/>
    <x v="0"/>
    <s v="Shipment 1 B-10124 Fired Proces Heater"/>
    <x v="0"/>
    <x v="0"/>
    <m/>
    <m/>
    <s v="HEATER"/>
    <m/>
    <s v="S4"/>
    <s v="U285-AS-13MK100-45"/>
    <s v="13MK100-45"/>
    <s v="RADIANT WALL (1/3)"/>
    <n v="1"/>
    <n v="3530.4"/>
    <n v="3530.4"/>
    <s v="(14455x3741x279)"/>
    <m/>
    <m/>
    <m/>
    <m/>
    <m/>
    <m/>
    <m/>
    <m/>
    <m/>
    <m/>
    <m/>
    <m/>
    <m/>
    <n v="3530.4"/>
    <n v="0"/>
    <m/>
    <m/>
    <n v="0"/>
    <d v="2026-07-15T00:00:00"/>
    <n v="1"/>
    <n v="3530.4"/>
    <d v="2026-07-26T00:00:00"/>
    <n v="1"/>
    <n v="3530.4"/>
    <d v="2026-09-11T00:00:00"/>
    <n v="1"/>
    <n v="3530.4"/>
    <s v="U285-003"/>
    <d v="2026-09-11T00:00:00"/>
    <n v="1"/>
    <n v="3530.4"/>
    <d v="2026-09-16T00:00:00"/>
    <n v="1"/>
    <n v="3530.4"/>
    <s v="PAC"/>
    <s v="U285-003"/>
  </r>
  <r>
    <n v="98"/>
    <x v="0"/>
    <s v="Shipment 1 B-10124 Fired Proces Heater"/>
    <x v="0"/>
    <x v="0"/>
    <m/>
    <m/>
    <s v="HEATER"/>
    <m/>
    <s v="S4"/>
    <s v="U285-AS-13MK100-46"/>
    <s v="13MK100-46"/>
    <s v="RADIANT WALL (1/3)"/>
    <n v="1"/>
    <n v="3527.9"/>
    <n v="3527.9"/>
    <s v="(14455x3741x209)"/>
    <m/>
    <m/>
    <m/>
    <m/>
    <m/>
    <m/>
    <m/>
    <m/>
    <m/>
    <m/>
    <m/>
    <m/>
    <m/>
    <n v="3527.9"/>
    <n v="0"/>
    <m/>
    <m/>
    <n v="0"/>
    <d v="2026-07-31T00:00:00"/>
    <n v="1"/>
    <n v="3527.9"/>
    <d v="2026-09-05T00:00:00"/>
    <n v="1"/>
    <n v="3527.9"/>
    <d v="2026-09-11T00:00:00"/>
    <n v="1"/>
    <n v="3527.9"/>
    <s v="U285-003"/>
    <d v="2026-09-11T00:00:00"/>
    <n v="1"/>
    <n v="3527.9"/>
    <d v="2026-09-16T00:00:00"/>
    <n v="1"/>
    <n v="3527.9"/>
    <s v="PAC"/>
    <s v="U285-003"/>
  </r>
  <r>
    <n v="99"/>
    <x v="0"/>
    <s v="Shipment 1 B-10124 Fired Proces Heater"/>
    <x v="0"/>
    <x v="0"/>
    <m/>
    <m/>
    <s v="HEATER"/>
    <m/>
    <s v="S4"/>
    <s v="U285-AS-13MK100-47"/>
    <s v="13MK100-47(1/2)"/>
    <s v="RADIANT WALL"/>
    <n v="1"/>
    <n v="47.35"/>
    <n v="47.35"/>
    <s v="(1519x133x210)"/>
    <m/>
    <m/>
    <m/>
    <m/>
    <m/>
    <m/>
    <m/>
    <m/>
    <m/>
    <m/>
    <m/>
    <m/>
    <m/>
    <n v="0"/>
    <n v="47.35"/>
    <m/>
    <m/>
    <n v="0"/>
    <m/>
    <m/>
    <n v="0"/>
    <m/>
    <m/>
    <n v="0"/>
    <m/>
    <m/>
    <n v="0"/>
    <m/>
    <m/>
    <m/>
    <n v="0"/>
    <m/>
    <m/>
    <n v="0"/>
    <s v="PAC"/>
    <m/>
  </r>
  <r>
    <n v="100"/>
    <x v="0"/>
    <s v="Shipment 1 B-10124 Fired Proces Heater"/>
    <x v="0"/>
    <x v="0"/>
    <m/>
    <m/>
    <s v="HEATER"/>
    <m/>
    <s v="S4"/>
    <s v="U285-AS-13MK100-47"/>
    <s v="13MK100-47(2/2)"/>
    <s v="RADIANT WALL"/>
    <n v="1"/>
    <n v="47.35"/>
    <n v="47.35"/>
    <s v="(1519x133x210)"/>
    <m/>
    <m/>
    <m/>
    <m/>
    <m/>
    <m/>
    <m/>
    <m/>
    <m/>
    <m/>
    <m/>
    <m/>
    <m/>
    <n v="0"/>
    <n v="47.35"/>
    <m/>
    <m/>
    <n v="0"/>
    <m/>
    <m/>
    <n v="0"/>
    <m/>
    <m/>
    <n v="0"/>
    <m/>
    <m/>
    <n v="0"/>
    <m/>
    <m/>
    <m/>
    <n v="0"/>
    <m/>
    <m/>
    <n v="0"/>
    <s v="PAC"/>
    <m/>
  </r>
  <r>
    <n v="101"/>
    <x v="0"/>
    <s v="Shipment 1 B-10124 Fired Proces Heater"/>
    <x v="0"/>
    <x v="0"/>
    <m/>
    <m/>
    <s v="HEATER"/>
    <m/>
    <s v="S4"/>
    <s v="U285-AS-13MK100-48"/>
    <s v="13MK100-48(1/2)"/>
    <s v="RADIANT WALL"/>
    <n v="1"/>
    <n v="60.849999999999994"/>
    <n v="60.849999999999994"/>
    <s v="(1917x181x210)"/>
    <m/>
    <m/>
    <m/>
    <m/>
    <m/>
    <m/>
    <m/>
    <m/>
    <m/>
    <m/>
    <m/>
    <m/>
    <m/>
    <n v="0"/>
    <n v="60.849999999999994"/>
    <m/>
    <m/>
    <n v="0"/>
    <m/>
    <m/>
    <n v="0"/>
    <m/>
    <m/>
    <n v="0"/>
    <m/>
    <m/>
    <n v="0"/>
    <m/>
    <m/>
    <m/>
    <n v="0"/>
    <m/>
    <m/>
    <n v="0"/>
    <s v="PAC"/>
    <m/>
  </r>
  <r>
    <n v="102"/>
    <x v="0"/>
    <s v="Shipment 1 B-10124 Fired Proces Heater"/>
    <x v="0"/>
    <x v="0"/>
    <m/>
    <m/>
    <s v="HEATER"/>
    <m/>
    <s v="S4"/>
    <s v="U285-AS-13MK100-48"/>
    <s v="13MK100-48(2/2)"/>
    <s v="RADIANT WALL"/>
    <n v="1"/>
    <n v="60.849999999999994"/>
    <n v="60.849999999999994"/>
    <s v="(1917x181x210)"/>
    <m/>
    <m/>
    <m/>
    <m/>
    <m/>
    <m/>
    <m/>
    <m/>
    <m/>
    <m/>
    <m/>
    <m/>
    <m/>
    <n v="0"/>
    <n v="60.849999999999994"/>
    <m/>
    <m/>
    <n v="0"/>
    <m/>
    <m/>
    <n v="0"/>
    <m/>
    <m/>
    <n v="0"/>
    <m/>
    <m/>
    <n v="0"/>
    <m/>
    <m/>
    <m/>
    <n v="0"/>
    <m/>
    <m/>
    <n v="0"/>
    <s v="PAC"/>
    <m/>
  </r>
  <r>
    <n v="103"/>
    <x v="0"/>
    <s v="Shipment 1 B-10124 Fired Proces Heater"/>
    <x v="0"/>
    <x v="0"/>
    <m/>
    <m/>
    <s v="HEATER"/>
    <m/>
    <s v="S4"/>
    <s v="U285-AS-13MK100-49"/>
    <s v="13MK100-49(1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4"/>
    <x v="0"/>
    <s v="Shipment 1 B-10124 Fired Proces Heater"/>
    <x v="0"/>
    <x v="0"/>
    <m/>
    <m/>
    <s v="HEATER"/>
    <m/>
    <s v="S4"/>
    <s v="U285-AS-13MK100-49"/>
    <s v="13MK100-49(2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5"/>
    <x v="0"/>
    <s v="Shipment 1 B-10124 Fired Proces Heater"/>
    <x v="0"/>
    <x v="0"/>
    <m/>
    <m/>
    <s v="HEATER"/>
    <m/>
    <s v="S4"/>
    <s v="U285-AS-13MK100-49"/>
    <s v="13MK100-49(3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6"/>
    <x v="0"/>
    <s v="Shipment 1 B-10124 Fired Proces Heater"/>
    <x v="0"/>
    <x v="0"/>
    <m/>
    <m/>
    <s v="HEATER"/>
    <m/>
    <s v="S4"/>
    <s v="U285-AS-13MK100-49"/>
    <s v="13MK100-49(4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7"/>
    <x v="0"/>
    <s v="Shipment 1 B-10124 Fired Proces Heater"/>
    <x v="0"/>
    <x v="0"/>
    <m/>
    <m/>
    <s v="HEATER"/>
    <m/>
    <s v="S4"/>
    <s v="U285-AS-13MK100-49"/>
    <s v="13MK100-49(5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8"/>
    <x v="0"/>
    <s v="Shipment 1 B-10124 Fired Proces Heater"/>
    <x v="0"/>
    <x v="0"/>
    <m/>
    <m/>
    <s v="HEATER"/>
    <m/>
    <s v="S4"/>
    <s v="U285-AS-13MK100-49"/>
    <s v="13MK100-49(6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09"/>
    <x v="0"/>
    <s v="Shipment 1 B-10124 Fired Proces Heater"/>
    <x v="0"/>
    <x v="0"/>
    <m/>
    <m/>
    <s v="HEATER"/>
    <m/>
    <s v="S4"/>
    <s v="U285-AS-13MK100-49"/>
    <s v="13MK100-49(7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0"/>
    <x v="0"/>
    <s v="Shipment 1 B-10124 Fired Proces Heater"/>
    <x v="0"/>
    <x v="0"/>
    <m/>
    <m/>
    <s v="HEATER"/>
    <m/>
    <s v="S4"/>
    <s v="U285-AS-13MK100-49"/>
    <s v="13MK100-49(8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1"/>
    <x v="0"/>
    <s v="Shipment 1 B-10124 Fired Proces Heater"/>
    <x v="0"/>
    <x v="0"/>
    <m/>
    <m/>
    <s v="HEATER"/>
    <m/>
    <s v="S4"/>
    <s v="U285-AS-13MK100-49"/>
    <s v="13MK100-49(9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2"/>
    <x v="0"/>
    <s v="Shipment 1 B-10124 Fired Proces Heater"/>
    <x v="0"/>
    <x v="0"/>
    <m/>
    <m/>
    <s v="HEATER"/>
    <m/>
    <s v="S4"/>
    <s v="U285-AS-13MK100-49"/>
    <s v="13MK100-49(10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3"/>
    <x v="0"/>
    <s v="Shipment 1 B-10124 Fired Proces Heater"/>
    <x v="0"/>
    <x v="0"/>
    <m/>
    <m/>
    <s v="HEATER"/>
    <m/>
    <s v="S4"/>
    <s v="U285-AS-13MK100-49"/>
    <s v="13MK100-49(11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4"/>
    <x v="0"/>
    <s v="Shipment 1 B-10124 Fired Proces Heater"/>
    <x v="0"/>
    <x v="0"/>
    <m/>
    <m/>
    <s v="HEATER"/>
    <m/>
    <s v="S4"/>
    <s v="U285-AS-13MK100-49"/>
    <s v="13MK100-49(12/12)"/>
    <s v="RADIANT ARCH DOOR"/>
    <n v="1"/>
    <n v="17.858333333333331"/>
    <n v="17.858333333333331"/>
    <s v="(530x401x380)"/>
    <m/>
    <m/>
    <m/>
    <m/>
    <m/>
    <m/>
    <m/>
    <m/>
    <m/>
    <m/>
    <m/>
    <m/>
    <m/>
    <n v="0"/>
    <n v="17.858333333333331"/>
    <m/>
    <m/>
    <n v="0"/>
    <m/>
    <m/>
    <n v="0"/>
    <m/>
    <m/>
    <n v="0"/>
    <m/>
    <m/>
    <n v="0"/>
    <m/>
    <m/>
    <m/>
    <n v="0"/>
    <m/>
    <m/>
    <n v="0"/>
    <s v="PAC"/>
    <m/>
  </r>
  <r>
    <n v="115"/>
    <x v="0"/>
    <s v="Shipment 1 B-10124 Fired Proces Heater"/>
    <x v="0"/>
    <x v="0"/>
    <m/>
    <m/>
    <s v="HEATER"/>
    <m/>
    <s v="S4"/>
    <s v="U285-AS-13MK100-AD1-1"/>
    <s v="13MK100-AD1-1(1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16"/>
    <x v="0"/>
    <s v="Shipment 1 B-10124 Fired Proces Heater"/>
    <x v="0"/>
    <x v="0"/>
    <m/>
    <m/>
    <s v="HEATER"/>
    <m/>
    <s v="S4"/>
    <s v="U285-AS-13MK100-AD1-1"/>
    <s v="13MK100-AD1-1(2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17"/>
    <x v="0"/>
    <s v="Shipment 1 B-10124 Fired Proces Heater"/>
    <x v="0"/>
    <x v="0"/>
    <m/>
    <m/>
    <s v="HEATER"/>
    <m/>
    <s v="S4"/>
    <s v="U285-AS-13MK100-AD1-1"/>
    <s v="13MK100-AD1-1(3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18"/>
    <x v="0"/>
    <s v="Shipment 1 B-10124 Fired Proces Heater"/>
    <x v="0"/>
    <x v="0"/>
    <m/>
    <m/>
    <s v="HEATER"/>
    <m/>
    <s v="S4"/>
    <s v="U285-AS-13MK100-AD1-1"/>
    <s v="13MK100-AD1-1(4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19"/>
    <x v="0"/>
    <s v="Shipment 1 B-10124 Fired Proces Heater"/>
    <x v="0"/>
    <x v="0"/>
    <m/>
    <m/>
    <s v="HEATER"/>
    <m/>
    <s v="S4"/>
    <s v="U285-AS-13MK100-AD1-1"/>
    <s v="13MK100-AD1-1(5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20"/>
    <x v="0"/>
    <s v="Shipment 1 B-10124 Fired Proces Heater"/>
    <x v="0"/>
    <x v="0"/>
    <m/>
    <m/>
    <s v="HEATER"/>
    <m/>
    <s v="S4"/>
    <s v="U285-AS-13MK100-AD1-1"/>
    <s v="13MK100-AD1-1(6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21"/>
    <x v="0"/>
    <s v="Shipment 1 B-10124 Fired Proces Heater"/>
    <x v="0"/>
    <x v="0"/>
    <m/>
    <m/>
    <s v="HEATER"/>
    <m/>
    <s v="S4"/>
    <s v="U285-AS-13MK100-AD1-1"/>
    <s v="13MK100-AD1-1(7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22"/>
    <x v="0"/>
    <s v="Shipment 1 B-10124 Fired Proces Heater"/>
    <x v="0"/>
    <x v="0"/>
    <m/>
    <m/>
    <s v="HEATER"/>
    <m/>
    <s v="S4"/>
    <s v="U285-AS-13MK100-AD1-1"/>
    <s v="13MK100-AD1-1(8/8)"/>
    <s v="RADIANT WALL DOOR"/>
    <n v="1"/>
    <n v="59.375000000000007"/>
    <n v="59.375000000000007"/>
    <s v="(873x271x762)"/>
    <m/>
    <m/>
    <m/>
    <m/>
    <m/>
    <m/>
    <m/>
    <m/>
    <m/>
    <m/>
    <m/>
    <m/>
    <m/>
    <n v="53.437500000000007"/>
    <n v="5.9375"/>
    <m/>
    <m/>
    <n v="0"/>
    <d v="2026-09-30T00:00:00"/>
    <n v="1"/>
    <n v="59.375000000000007"/>
    <d v="2026-10-06T00:00:00"/>
    <n v="1"/>
    <n v="59.375000000000007"/>
    <m/>
    <m/>
    <n v="0"/>
    <m/>
    <m/>
    <m/>
    <n v="0"/>
    <m/>
    <m/>
    <n v="0"/>
    <s v="PAC"/>
    <m/>
  </r>
  <r>
    <n v="123"/>
    <x v="0"/>
    <s v="Shipment 1 B-10124 Fired Proces Heater"/>
    <x v="0"/>
    <x v="0"/>
    <m/>
    <m/>
    <s v="HEATER"/>
    <m/>
    <s v="S4"/>
    <s v="U285-AS-13MK100-AD1-2"/>
    <s v="13MK100-AD1-2(1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4"/>
    <x v="0"/>
    <s v="Shipment 1 B-10124 Fired Proces Heater"/>
    <x v="0"/>
    <x v="0"/>
    <m/>
    <m/>
    <s v="HEATER"/>
    <m/>
    <s v="S4"/>
    <s v="U285-AS-13MK100-AD1-2"/>
    <s v="13MK100-AD1-2(2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5"/>
    <x v="0"/>
    <s v="Shipment 1 B-10124 Fired Proces Heater"/>
    <x v="0"/>
    <x v="0"/>
    <m/>
    <m/>
    <s v="HEATER"/>
    <m/>
    <s v="S4"/>
    <s v="U285-AS-13MK100-AD1-2"/>
    <s v="13MK100-AD1-2(3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6"/>
    <x v="0"/>
    <s v="Shipment 1 B-10124 Fired Proces Heater"/>
    <x v="0"/>
    <x v="0"/>
    <m/>
    <m/>
    <s v="HEATER"/>
    <m/>
    <s v="S4"/>
    <s v="U285-AS-13MK100-AD1-2"/>
    <s v="13MK100-AD1-2(4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7"/>
    <x v="0"/>
    <s v="Shipment 1 B-10124 Fired Proces Heater"/>
    <x v="0"/>
    <x v="0"/>
    <m/>
    <m/>
    <s v="HEATER"/>
    <m/>
    <s v="S4"/>
    <s v="U285-AS-13MK100-AD1-2"/>
    <s v="13MK100-AD1-2(5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8"/>
    <x v="0"/>
    <s v="Shipment 1 B-10124 Fired Proces Heater"/>
    <x v="0"/>
    <x v="0"/>
    <m/>
    <m/>
    <s v="HEATER"/>
    <m/>
    <s v="S4"/>
    <s v="U285-AS-13MK100-AD1-2"/>
    <s v="13MK100-AD1-2(6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29"/>
    <x v="0"/>
    <s v="Shipment 1 B-10124 Fired Proces Heater"/>
    <x v="0"/>
    <x v="0"/>
    <m/>
    <m/>
    <s v="HEATER"/>
    <m/>
    <s v="S4"/>
    <s v="U285-AS-13MK100-AD1-2"/>
    <s v="13MK100-AD1-2(7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30"/>
    <x v="0"/>
    <s v="Shipment 1 B-10124 Fired Proces Heater"/>
    <x v="0"/>
    <x v="0"/>
    <m/>
    <m/>
    <s v="HEATER"/>
    <m/>
    <s v="S4"/>
    <s v="U285-AS-13MK100-AD1-2"/>
    <s v="13MK100-AD1-2(8/8)"/>
    <s v="RADIANT WALL DOOR"/>
    <n v="1"/>
    <n v="59.375"/>
    <n v="59.375"/>
    <s v="(873x271x762)"/>
    <m/>
    <m/>
    <m/>
    <m/>
    <m/>
    <m/>
    <m/>
    <m/>
    <m/>
    <m/>
    <m/>
    <m/>
    <m/>
    <n v="53.4375"/>
    <n v="5.9375"/>
    <m/>
    <m/>
    <n v="0"/>
    <d v="2026-09-30T00:00:00"/>
    <n v="1"/>
    <n v="59.375"/>
    <d v="2026-10-06T00:00:00"/>
    <n v="1"/>
    <n v="59.375"/>
    <m/>
    <m/>
    <n v="0"/>
    <m/>
    <m/>
    <m/>
    <n v="0"/>
    <m/>
    <m/>
    <n v="0"/>
    <s v="PAC"/>
    <m/>
  </r>
  <r>
    <n v="131"/>
    <x v="0"/>
    <s v="Shipment 1 B-10124 Fired Proces Heater"/>
    <x v="0"/>
    <x v="0"/>
    <m/>
    <m/>
    <s v="HEATER"/>
    <m/>
    <s v="S4"/>
    <s v="U285-AS-13MK100-AD1-3"/>
    <s v="13MK100-AD1-3"/>
    <s v="RADIANT WALL WASHER"/>
    <n v="64"/>
    <n v="7.6562500000000006E-2"/>
    <n v="4.9000000000000004"/>
    <s v="(50x5x50)"/>
    <m/>
    <m/>
    <m/>
    <m/>
    <m/>
    <m/>
    <m/>
    <m/>
    <m/>
    <m/>
    <m/>
    <m/>
    <m/>
    <n v="0"/>
    <n v="4.9000000000000004"/>
    <m/>
    <m/>
    <n v="0"/>
    <m/>
    <m/>
    <n v="0"/>
    <m/>
    <m/>
    <n v="0"/>
    <m/>
    <m/>
    <n v="0"/>
    <m/>
    <m/>
    <m/>
    <n v="0"/>
    <m/>
    <m/>
    <n v="0"/>
    <s v="PAC"/>
    <m/>
  </r>
  <r>
    <n v="132"/>
    <x v="0"/>
    <s v="Shipment 1 B-10124 Fired Proces Heater"/>
    <x v="0"/>
    <x v="0"/>
    <m/>
    <m/>
    <s v="HEATER"/>
    <m/>
    <s v="S4"/>
    <s v="U285-AS-13MK100-AD2-1"/>
    <s v="13MK100-AD2-1(1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3"/>
    <x v="0"/>
    <s v="Shipment 1 B-10124 Fired Proces Heater"/>
    <x v="0"/>
    <x v="0"/>
    <m/>
    <m/>
    <s v="HEATER"/>
    <m/>
    <s v="S4"/>
    <s v="U285-AS-13MK100-AD2-1"/>
    <s v="13MK100-AD2-1(2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4"/>
    <x v="0"/>
    <s v="Shipment 1 B-10124 Fired Proces Heater"/>
    <x v="0"/>
    <x v="0"/>
    <m/>
    <m/>
    <s v="HEATER"/>
    <m/>
    <s v="S4"/>
    <s v="U285-AS-13MK100-AD2-1"/>
    <s v="13MK100-AD2-1(3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5"/>
    <x v="0"/>
    <s v="Shipment 1 B-10124 Fired Proces Heater"/>
    <x v="0"/>
    <x v="0"/>
    <m/>
    <m/>
    <s v="HEATER"/>
    <m/>
    <s v="S4"/>
    <s v="U285-AS-13MK100-AD2-1"/>
    <s v="13MK100-AD2-1(4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6"/>
    <x v="0"/>
    <s v="Shipment 1 B-10124 Fired Proces Heater"/>
    <x v="0"/>
    <x v="0"/>
    <m/>
    <m/>
    <s v="HEATER"/>
    <m/>
    <s v="S4"/>
    <s v="U285-AS-13MK100-AD2-1"/>
    <s v="13MK100-AD2-1(5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7"/>
    <x v="0"/>
    <s v="Shipment 1 B-10124 Fired Proces Heater"/>
    <x v="0"/>
    <x v="0"/>
    <m/>
    <m/>
    <s v="HEATER"/>
    <m/>
    <s v="S4"/>
    <s v="U285-AS-13MK100-AD2-1"/>
    <s v="13MK100-AD2-1(6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8"/>
    <x v="0"/>
    <s v="Shipment 1 B-10124 Fired Proces Heater"/>
    <x v="0"/>
    <x v="0"/>
    <m/>
    <m/>
    <s v="HEATER"/>
    <m/>
    <s v="S4"/>
    <s v="U285-AS-13MK100-AD2-1"/>
    <s v="13MK100-AD2-1(7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39"/>
    <x v="0"/>
    <s v="Shipment 1 B-10124 Fired Proces Heater"/>
    <x v="0"/>
    <x v="0"/>
    <m/>
    <m/>
    <s v="HEATER"/>
    <m/>
    <s v="S4"/>
    <s v="U285-AS-13MK100-AD2-1"/>
    <s v="13MK100-AD2-1(8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40"/>
    <x v="0"/>
    <s v="Shipment 1 B-10124 Fired Proces Heater"/>
    <x v="0"/>
    <x v="0"/>
    <m/>
    <m/>
    <s v="HEATER"/>
    <m/>
    <s v="S4"/>
    <s v="U285-AS-13MK100-AD2-1"/>
    <s v="13MK100-AD2-1(9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41"/>
    <x v="0"/>
    <s v="Shipment 1 B-10124 Fired Proces Heater"/>
    <x v="0"/>
    <x v="0"/>
    <m/>
    <m/>
    <s v="HEATER"/>
    <m/>
    <s v="S4"/>
    <s v="U285-AS-13MK100-AD2-1"/>
    <s v="13MK100-AD2-1(10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42"/>
    <x v="0"/>
    <s v="Shipment 1 B-10124 Fired Proces Heater"/>
    <x v="0"/>
    <x v="0"/>
    <m/>
    <m/>
    <s v="HEATER"/>
    <m/>
    <s v="S4"/>
    <s v="U285-AS-13MK100-AD2-1"/>
    <s v="13MK100-AD2-1(11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43"/>
    <x v="0"/>
    <s v="Shipment 1 B-10124 Fired Proces Heater"/>
    <x v="0"/>
    <x v="0"/>
    <m/>
    <m/>
    <s v="HEATER"/>
    <m/>
    <s v="S4"/>
    <s v="U285-AS-13MK100-AD2-1"/>
    <s v="13MK100-AD2-1(12/12)"/>
    <s v="RADIANT WALL DOOR"/>
    <n v="1"/>
    <n v="36.741666666666667"/>
    <n v="36.741666666666667"/>
    <s v="(731x363x731)"/>
    <m/>
    <m/>
    <m/>
    <m/>
    <m/>
    <m/>
    <m/>
    <m/>
    <m/>
    <m/>
    <m/>
    <m/>
    <m/>
    <n v="33.067500000000003"/>
    <n v="3.6741666666666646"/>
    <m/>
    <m/>
    <n v="0"/>
    <d v="2026-09-30T00:00:00"/>
    <n v="1"/>
    <n v="36.741666666666667"/>
    <d v="2026-10-08T00:00:00"/>
    <n v="1"/>
    <n v="36.741666666666667"/>
    <m/>
    <m/>
    <n v="0"/>
    <m/>
    <m/>
    <m/>
    <n v="0"/>
    <m/>
    <m/>
    <n v="0"/>
    <s v="PAC"/>
    <m/>
  </r>
  <r>
    <n v="144"/>
    <x v="0"/>
    <s v="Shipment 1 B-10124 Fired Proces Heater"/>
    <x v="0"/>
    <x v="0"/>
    <m/>
    <m/>
    <s v="HEATER"/>
    <m/>
    <s v="S4"/>
    <s v="U285-AS-13MK100-ED1-1"/>
    <s v="13MK100-ED1-1(1/4)"/>
    <s v="RADIANT WALL DOOR"/>
    <n v="1"/>
    <n v="96.5"/>
    <n v="96.5"/>
    <s v="(1070x163x1103)"/>
    <m/>
    <m/>
    <m/>
    <m/>
    <m/>
    <m/>
    <m/>
    <m/>
    <m/>
    <m/>
    <m/>
    <m/>
    <m/>
    <n v="86.85"/>
    <n v="9.6500000000000057"/>
    <m/>
    <m/>
    <n v="0"/>
    <d v="2026-09-30T00:00:00"/>
    <n v="1"/>
    <n v="96.5"/>
    <d v="2026-10-08T00:00:00"/>
    <n v="1"/>
    <n v="96.5"/>
    <m/>
    <m/>
    <n v="0"/>
    <m/>
    <m/>
    <m/>
    <n v="0"/>
    <m/>
    <m/>
    <n v="0"/>
    <s v="PAC"/>
    <m/>
  </r>
  <r>
    <n v="145"/>
    <x v="0"/>
    <s v="Shipment 1 B-10124 Fired Proces Heater"/>
    <x v="0"/>
    <x v="0"/>
    <m/>
    <m/>
    <s v="HEATER"/>
    <m/>
    <s v="S4"/>
    <s v="U285-AS-13MK100-ED1-1"/>
    <s v="13MK100-ED1-1(2/4)"/>
    <s v="RADIANT WALL DOOR"/>
    <n v="1"/>
    <n v="96.5"/>
    <n v="96.5"/>
    <s v="(1070x163x1103)"/>
    <m/>
    <m/>
    <m/>
    <m/>
    <m/>
    <m/>
    <m/>
    <m/>
    <m/>
    <m/>
    <m/>
    <m/>
    <m/>
    <n v="86.85"/>
    <n v="9.6500000000000057"/>
    <m/>
    <m/>
    <n v="0"/>
    <d v="2026-10-09T00:00:00"/>
    <n v="1"/>
    <n v="96.5"/>
    <d v="2026-10-10T00:00:00"/>
    <n v="1"/>
    <n v="96.5"/>
    <m/>
    <m/>
    <n v="0"/>
    <m/>
    <m/>
    <m/>
    <n v="0"/>
    <m/>
    <m/>
    <n v="0"/>
    <s v="PAC"/>
    <m/>
  </r>
  <r>
    <n v="146"/>
    <x v="0"/>
    <s v="Shipment 1 B-10124 Fired Proces Heater"/>
    <x v="0"/>
    <x v="0"/>
    <m/>
    <m/>
    <s v="HEATER"/>
    <m/>
    <s v="S4"/>
    <s v="U285-AS-13MK100-ED1-1"/>
    <s v="13MK100-ED1-1(3/4)"/>
    <s v="RADIANT WALL DOOR"/>
    <n v="1"/>
    <n v="96.5"/>
    <n v="96.5"/>
    <s v="(1070x163x1103)"/>
    <m/>
    <m/>
    <m/>
    <m/>
    <m/>
    <m/>
    <m/>
    <m/>
    <m/>
    <m/>
    <m/>
    <m/>
    <m/>
    <n v="86.85"/>
    <n v="9.6500000000000057"/>
    <m/>
    <m/>
    <n v="0"/>
    <d v="2026-10-09T00:00:00"/>
    <n v="1"/>
    <n v="96.5"/>
    <d v="2026-10-10T00:00:00"/>
    <n v="1"/>
    <n v="96.5"/>
    <m/>
    <m/>
    <n v="0"/>
    <m/>
    <m/>
    <m/>
    <n v="0"/>
    <m/>
    <m/>
    <n v="0"/>
    <s v="PAC"/>
    <m/>
  </r>
  <r>
    <n v="147"/>
    <x v="0"/>
    <s v="Shipment 1 B-10124 Fired Proces Heater"/>
    <x v="0"/>
    <x v="0"/>
    <m/>
    <m/>
    <s v="HEATER"/>
    <m/>
    <s v="S4"/>
    <s v="U285-AS-13MK100-ED1-1"/>
    <s v="13MK100-ED1-1(4/4)"/>
    <s v="RADIANT WALL DOOR"/>
    <n v="1"/>
    <n v="96.5"/>
    <n v="96.5"/>
    <s v="(1070x163x1103)"/>
    <m/>
    <m/>
    <m/>
    <m/>
    <m/>
    <m/>
    <m/>
    <m/>
    <m/>
    <m/>
    <m/>
    <m/>
    <m/>
    <n v="86.85"/>
    <n v="9.6500000000000057"/>
    <m/>
    <m/>
    <n v="0"/>
    <d v="2026-10-09T00:00:00"/>
    <n v="1"/>
    <n v="96.5"/>
    <d v="2026-10-10T00:00:00"/>
    <n v="1"/>
    <n v="96.5"/>
    <m/>
    <m/>
    <n v="0"/>
    <m/>
    <m/>
    <m/>
    <n v="0"/>
    <m/>
    <m/>
    <n v="0"/>
    <s v="PAC"/>
    <m/>
  </r>
  <r>
    <n v="148"/>
    <x v="0"/>
    <s v="Shipment 1 B-10124 Fired Proces Heater"/>
    <x v="0"/>
    <x v="0"/>
    <m/>
    <m/>
    <s v="HEATER"/>
    <m/>
    <s v="S4"/>
    <s v="U285-AS-13MK100-OD1-1"/>
    <s v="13MK100-OD1-1(1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49"/>
    <x v="0"/>
    <s v="Shipment 1 B-10124 Fired Proces Heater"/>
    <x v="0"/>
    <x v="0"/>
    <m/>
    <m/>
    <s v="HEATER"/>
    <m/>
    <s v="S4"/>
    <s v="U285-AS-13MK100-OD1-1"/>
    <s v="13MK100-OD1-1(2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0"/>
    <x v="0"/>
    <s v="Shipment 1 B-10124 Fired Proces Heater"/>
    <x v="0"/>
    <x v="0"/>
    <m/>
    <m/>
    <s v="HEATER"/>
    <m/>
    <s v="S4"/>
    <s v="U285-AS-13MK100-OD1-1"/>
    <s v="13MK100-OD1-1(3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1"/>
    <x v="0"/>
    <s v="Shipment 1 B-10124 Fired Proces Heater"/>
    <x v="0"/>
    <x v="0"/>
    <m/>
    <m/>
    <s v="HEATER"/>
    <m/>
    <s v="S4"/>
    <s v="U285-AS-13MK100-OD1-1"/>
    <s v="13MK100-OD1-1(4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2"/>
    <x v="0"/>
    <s v="Shipment 1 B-10124 Fired Proces Heater"/>
    <x v="0"/>
    <x v="0"/>
    <m/>
    <m/>
    <s v="HEATER"/>
    <m/>
    <s v="S4"/>
    <s v="U285-AS-13MK100-OD1-1"/>
    <s v="13MK100-OD1-1(5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3"/>
    <x v="0"/>
    <s v="Shipment 1 B-10124 Fired Proces Heater"/>
    <x v="0"/>
    <x v="0"/>
    <m/>
    <m/>
    <s v="HEATER"/>
    <m/>
    <s v="S4"/>
    <s v="U285-AS-13MK100-OD1-1"/>
    <s v="13MK100-OD1-1(6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4"/>
    <x v="0"/>
    <s v="Shipment 1 B-10124 Fired Proces Heater"/>
    <x v="0"/>
    <x v="0"/>
    <m/>
    <m/>
    <s v="HEATER"/>
    <m/>
    <s v="S4"/>
    <s v="U285-AS-13MK100-OD1-1"/>
    <s v="13MK100-OD1-1(7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5"/>
    <x v="0"/>
    <s v="Shipment 1 B-10124 Fired Proces Heater"/>
    <x v="0"/>
    <x v="0"/>
    <m/>
    <m/>
    <s v="HEATER"/>
    <m/>
    <s v="S4"/>
    <s v="U285-AS-13MK100-OD1-1"/>
    <s v="13MK100-OD1-1(8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6"/>
    <x v="0"/>
    <s v="Shipment 1 B-10124 Fired Proces Heater"/>
    <x v="0"/>
    <x v="0"/>
    <m/>
    <m/>
    <s v="HEATER"/>
    <m/>
    <s v="S4"/>
    <s v="U285-AS-13MK100-OD1-1"/>
    <s v="13MK100-OD1-1(9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7"/>
    <x v="0"/>
    <s v="Shipment 1 B-10124 Fired Proces Heater"/>
    <x v="0"/>
    <x v="0"/>
    <m/>
    <m/>
    <s v="HEATER"/>
    <m/>
    <s v="S4"/>
    <s v="U285-AS-13MK100-OD1-1"/>
    <s v="13MK100-OD1-1(10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8"/>
    <x v="0"/>
    <s v="Shipment 1 B-10124 Fired Proces Heater"/>
    <x v="0"/>
    <x v="0"/>
    <m/>
    <m/>
    <s v="HEATER"/>
    <m/>
    <s v="S4"/>
    <s v="U285-AS-13MK100-OD1-1"/>
    <s v="13MK100-OD1-1(11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59"/>
    <x v="0"/>
    <s v="Shipment 1 B-10124 Fired Proces Heater"/>
    <x v="0"/>
    <x v="0"/>
    <m/>
    <m/>
    <s v="HEATER"/>
    <m/>
    <s v="S4"/>
    <s v="U285-AS-13MK100-OD1-1"/>
    <s v="13MK100-OD1-1(12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60"/>
    <x v="0"/>
    <s v="Shipment 1 B-10124 Fired Proces Heater"/>
    <x v="0"/>
    <x v="0"/>
    <m/>
    <m/>
    <s v="HEATER"/>
    <m/>
    <s v="S4"/>
    <s v="U285-AS-13MK100-OD1-1"/>
    <s v="13MK100-OD1-1(13/13)"/>
    <s v="RADIANT WALL DOOR"/>
    <n v="1"/>
    <n v="16.230769230769234"/>
    <n v="16.230769230769234"/>
    <s v="(663x182x400)"/>
    <m/>
    <m/>
    <m/>
    <m/>
    <m/>
    <m/>
    <m/>
    <m/>
    <m/>
    <m/>
    <m/>
    <m/>
    <m/>
    <n v="14.607692307692311"/>
    <n v="1.6230769230769226"/>
    <m/>
    <m/>
    <n v="0"/>
    <d v="2026-10-09T00:00:00"/>
    <n v="1"/>
    <n v="16.230769230769234"/>
    <d v="2026-10-10T00:00:00"/>
    <n v="1"/>
    <n v="16.230769230769234"/>
    <m/>
    <m/>
    <n v="0"/>
    <m/>
    <m/>
    <m/>
    <n v="0"/>
    <m/>
    <m/>
    <n v="0"/>
    <s v="PAC"/>
    <m/>
  </r>
  <r>
    <n v="161"/>
    <x v="0"/>
    <s v="Shipment 1 B-10124 Fired Proces Heater"/>
    <x v="0"/>
    <x v="0"/>
    <m/>
    <m/>
    <s v="HEATER"/>
    <m/>
    <s v="S4"/>
    <s v="U285-AS-13MK100-OD1-2"/>
    <s v="13MK100-OD1-2(1/3)"/>
    <s v="RADIANT WALL DOOR"/>
    <n v="1"/>
    <n v="16.2"/>
    <n v="16.2"/>
    <s v="(663x182x400)"/>
    <m/>
    <m/>
    <m/>
    <m/>
    <m/>
    <m/>
    <m/>
    <m/>
    <m/>
    <m/>
    <m/>
    <m/>
    <m/>
    <n v="14.58"/>
    <n v="1.6199999999999992"/>
    <m/>
    <m/>
    <n v="0"/>
    <d v="2026-10-09T00:00:00"/>
    <n v="1"/>
    <n v="16.2"/>
    <d v="2026-10-10T00:00:00"/>
    <n v="1"/>
    <n v="16.2"/>
    <m/>
    <m/>
    <n v="0"/>
    <m/>
    <m/>
    <m/>
    <n v="0"/>
    <m/>
    <m/>
    <n v="0"/>
    <s v="PAC"/>
    <m/>
  </r>
  <r>
    <n v="162"/>
    <x v="0"/>
    <s v="Shipment 1 B-10124 Fired Proces Heater"/>
    <x v="0"/>
    <x v="0"/>
    <m/>
    <m/>
    <s v="HEATER"/>
    <m/>
    <s v="S4"/>
    <s v="U285-AS-13MK100-OD1-2"/>
    <s v="13MK100-OD1-2(2/3)"/>
    <s v="RADIANT WALL DOOR"/>
    <n v="1"/>
    <n v="16.2"/>
    <n v="16.2"/>
    <s v="(663x182x400)"/>
    <m/>
    <m/>
    <m/>
    <m/>
    <m/>
    <m/>
    <m/>
    <m/>
    <m/>
    <m/>
    <m/>
    <m/>
    <m/>
    <n v="14.58"/>
    <n v="1.6199999999999992"/>
    <m/>
    <m/>
    <n v="0"/>
    <d v="2026-10-09T00:00:00"/>
    <n v="1"/>
    <n v="16.2"/>
    <d v="2026-10-10T00:00:00"/>
    <n v="1"/>
    <n v="16.2"/>
    <m/>
    <m/>
    <n v="0"/>
    <m/>
    <m/>
    <m/>
    <n v="0"/>
    <m/>
    <m/>
    <n v="0"/>
    <s v="PAC"/>
    <m/>
  </r>
  <r>
    <n v="163"/>
    <x v="0"/>
    <s v="Shipment 1 B-10124 Fired Proces Heater"/>
    <x v="0"/>
    <x v="0"/>
    <m/>
    <m/>
    <s v="HEATER"/>
    <m/>
    <s v="S4"/>
    <s v="U285-AS-13MK100-OD1-2"/>
    <s v="13MK100-OD1-2(3/3)"/>
    <s v="RADIANT WALL DOOR"/>
    <n v="1"/>
    <n v="16.2"/>
    <n v="16.2"/>
    <s v="(663x182x400)"/>
    <m/>
    <m/>
    <m/>
    <m/>
    <m/>
    <m/>
    <m/>
    <m/>
    <m/>
    <m/>
    <m/>
    <m/>
    <m/>
    <n v="14.58"/>
    <n v="1.6199999999999992"/>
    <m/>
    <m/>
    <n v="0"/>
    <d v="2026-10-09T00:00:00"/>
    <n v="1"/>
    <n v="16.2"/>
    <d v="2026-10-10T00:00:00"/>
    <n v="1"/>
    <n v="16.2"/>
    <m/>
    <m/>
    <n v="0"/>
    <m/>
    <m/>
    <m/>
    <n v="0"/>
    <m/>
    <m/>
    <n v="0"/>
    <s v="PAC"/>
    <m/>
  </r>
  <r>
    <n v="164"/>
    <x v="0"/>
    <s v="Shipment 1 B-10124 Fired Proces Heater"/>
    <x v="0"/>
    <x v="0"/>
    <m/>
    <m/>
    <s v="HEATER"/>
    <m/>
    <s v="S4"/>
    <s v="U285-AS-13MK100-OD2-1"/>
    <s v="13MK100-OD2-1(1/5)"/>
    <s v="RADIANT WALL DOOR"/>
    <n v="1"/>
    <n v="16.240000000000002"/>
    <n v="16.240000000000002"/>
    <s v="(663x182x400)"/>
    <m/>
    <m/>
    <m/>
    <m/>
    <m/>
    <m/>
    <m/>
    <m/>
    <m/>
    <m/>
    <m/>
    <m/>
    <m/>
    <n v="14.616000000000003"/>
    <n v="1.6239999999999988"/>
    <m/>
    <m/>
    <n v="0"/>
    <d v="2026-10-09T00:00:00"/>
    <n v="1"/>
    <n v="16.240000000000002"/>
    <d v="2026-10-10T00:00:00"/>
    <n v="1"/>
    <n v="16.240000000000002"/>
    <m/>
    <m/>
    <n v="0"/>
    <m/>
    <m/>
    <m/>
    <n v="0"/>
    <m/>
    <m/>
    <n v="0"/>
    <s v="PAC"/>
    <m/>
  </r>
  <r>
    <n v="165"/>
    <x v="0"/>
    <s v="Shipment 1 B-10124 Fired Proces Heater"/>
    <x v="0"/>
    <x v="0"/>
    <m/>
    <m/>
    <s v="HEATER"/>
    <m/>
    <s v="S4"/>
    <s v="U285-AS-13MK100-OD2-1"/>
    <s v="13MK100-OD2-1(2/5)"/>
    <s v="RADIANT WALL DOOR"/>
    <n v="1"/>
    <n v="16.240000000000002"/>
    <n v="16.240000000000002"/>
    <s v="(663x182x400)"/>
    <m/>
    <m/>
    <m/>
    <m/>
    <m/>
    <m/>
    <m/>
    <m/>
    <m/>
    <m/>
    <m/>
    <m/>
    <m/>
    <n v="14.616000000000003"/>
    <n v="1.6239999999999988"/>
    <m/>
    <m/>
    <n v="0"/>
    <d v="2026-10-09T00:00:00"/>
    <n v="1"/>
    <n v="16.240000000000002"/>
    <d v="2026-10-10T00:00:00"/>
    <n v="1"/>
    <n v="16.240000000000002"/>
    <m/>
    <m/>
    <n v="0"/>
    <m/>
    <m/>
    <m/>
    <n v="0"/>
    <m/>
    <m/>
    <n v="0"/>
    <s v="PAC"/>
    <m/>
  </r>
  <r>
    <n v="166"/>
    <x v="0"/>
    <s v="Shipment 1 B-10124 Fired Proces Heater"/>
    <x v="0"/>
    <x v="0"/>
    <m/>
    <m/>
    <s v="HEATER"/>
    <m/>
    <s v="S4"/>
    <s v="U285-AS-13MK100-OD2-1"/>
    <s v="13MK100-OD2-1(3/5)"/>
    <s v="RADIANT WALL DOOR"/>
    <n v="1"/>
    <n v="16.240000000000002"/>
    <n v="16.240000000000002"/>
    <s v="(663x182x400)"/>
    <m/>
    <m/>
    <m/>
    <m/>
    <m/>
    <m/>
    <m/>
    <m/>
    <m/>
    <m/>
    <m/>
    <m/>
    <m/>
    <n v="14.616000000000003"/>
    <n v="1.6239999999999988"/>
    <m/>
    <m/>
    <n v="0"/>
    <d v="2026-10-09T00:00:00"/>
    <n v="1"/>
    <n v="16.240000000000002"/>
    <d v="2026-10-10T00:00:00"/>
    <n v="1"/>
    <n v="16.240000000000002"/>
    <m/>
    <m/>
    <n v="0"/>
    <m/>
    <m/>
    <m/>
    <n v="0"/>
    <m/>
    <m/>
    <n v="0"/>
    <s v="PAC"/>
    <m/>
  </r>
  <r>
    <n v="167"/>
    <x v="0"/>
    <s v="Shipment 1 B-10124 Fired Proces Heater"/>
    <x v="0"/>
    <x v="0"/>
    <m/>
    <m/>
    <s v="HEATER"/>
    <m/>
    <s v="S4"/>
    <s v="U285-AS-13MK100-OD2-1"/>
    <s v="13MK100-OD2-1(4/5)"/>
    <s v="RADIANT WALL DOOR"/>
    <n v="1"/>
    <n v="16.240000000000002"/>
    <n v="16.240000000000002"/>
    <s v="(663x182x400)"/>
    <m/>
    <m/>
    <m/>
    <m/>
    <m/>
    <m/>
    <m/>
    <m/>
    <m/>
    <m/>
    <m/>
    <m/>
    <m/>
    <n v="8.120000000000001"/>
    <n v="8.120000000000001"/>
    <m/>
    <m/>
    <n v="0"/>
    <d v="2026-10-09T00:00:00"/>
    <n v="1"/>
    <n v="16.240000000000002"/>
    <m/>
    <m/>
    <n v="0"/>
    <m/>
    <m/>
    <n v="0"/>
    <m/>
    <m/>
    <m/>
    <n v="0"/>
    <m/>
    <m/>
    <n v="0"/>
    <s v="PAC"/>
    <m/>
  </r>
  <r>
    <n v="168"/>
    <x v="0"/>
    <s v="Shipment 1 B-10124 Fired Proces Heater"/>
    <x v="0"/>
    <x v="0"/>
    <m/>
    <m/>
    <s v="HEATER"/>
    <m/>
    <s v="S4"/>
    <s v="U285-AS-13MK100-OD2-1"/>
    <s v="13MK100-OD2-1(5/5)"/>
    <s v="RADIANT WALL DOOR"/>
    <n v="1"/>
    <n v="16.240000000000002"/>
    <n v="16.240000000000002"/>
    <s v="(663x182x400)"/>
    <m/>
    <m/>
    <m/>
    <m/>
    <m/>
    <m/>
    <m/>
    <m/>
    <m/>
    <m/>
    <m/>
    <m/>
    <m/>
    <n v="8.120000000000001"/>
    <n v="8.120000000000001"/>
    <m/>
    <m/>
    <n v="0"/>
    <d v="2026-10-09T00:00:00"/>
    <n v="1"/>
    <n v="16.240000000000002"/>
    <m/>
    <m/>
    <n v="0"/>
    <m/>
    <m/>
    <n v="0"/>
    <m/>
    <m/>
    <m/>
    <n v="0"/>
    <m/>
    <m/>
    <n v="0"/>
    <s v="PAC"/>
    <m/>
  </r>
  <r>
    <n v="169"/>
    <x v="0"/>
    <s v="Shipment 1 B-10124 Fired Proces Heater"/>
    <x v="0"/>
    <x v="0"/>
    <m/>
    <m/>
    <s v="HEATER"/>
    <m/>
    <s v="S4"/>
    <s v="U285-AS-13MK100-OD2-2"/>
    <s v="13MK100-OD2-2(1/3)"/>
    <s v="RADIANT WALL DOOR"/>
    <n v="1"/>
    <n v="16.2"/>
    <n v="16.2"/>
    <s v="(663x182x400)"/>
    <m/>
    <m/>
    <m/>
    <m/>
    <m/>
    <m/>
    <m/>
    <m/>
    <m/>
    <m/>
    <m/>
    <m/>
    <m/>
    <n v="8.1"/>
    <n v="8.1"/>
    <m/>
    <m/>
    <n v="0"/>
    <d v="2026-10-09T00:00:00"/>
    <n v="1"/>
    <n v="16.2"/>
    <m/>
    <m/>
    <n v="0"/>
    <m/>
    <m/>
    <n v="0"/>
    <m/>
    <m/>
    <m/>
    <n v="0"/>
    <m/>
    <m/>
    <n v="0"/>
    <s v="PAC"/>
    <m/>
  </r>
  <r>
    <n v="170"/>
    <x v="0"/>
    <s v="Shipment 1 B-10124 Fired Proces Heater"/>
    <x v="0"/>
    <x v="0"/>
    <m/>
    <m/>
    <s v="HEATER"/>
    <m/>
    <s v="S4"/>
    <s v="U285-AS-13MK100-OD2-2"/>
    <s v="13MK100-OD2-2(2/3)"/>
    <s v="RADIANT WALL DOOR"/>
    <n v="1"/>
    <n v="16.2"/>
    <n v="16.2"/>
    <s v="(663x182x400)"/>
    <m/>
    <m/>
    <m/>
    <m/>
    <m/>
    <m/>
    <m/>
    <m/>
    <m/>
    <m/>
    <m/>
    <m/>
    <m/>
    <n v="8.1"/>
    <n v="8.1"/>
    <m/>
    <m/>
    <n v="0"/>
    <d v="2026-10-09T00:00:00"/>
    <n v="1"/>
    <n v="16.2"/>
    <m/>
    <m/>
    <n v="0"/>
    <m/>
    <m/>
    <n v="0"/>
    <m/>
    <m/>
    <m/>
    <n v="0"/>
    <m/>
    <m/>
    <n v="0"/>
    <s v="PAC"/>
    <m/>
  </r>
  <r>
    <n v="171"/>
    <x v="0"/>
    <s v="Shipment 1 B-10124 Fired Proces Heater"/>
    <x v="0"/>
    <x v="0"/>
    <m/>
    <m/>
    <s v="HEATER"/>
    <m/>
    <s v="S4"/>
    <s v="U285-AS-13MK100-OD2-2"/>
    <s v="13MK100-OD2-2(3/3)"/>
    <s v="RADIANT WALL DOOR"/>
    <n v="1"/>
    <n v="16.2"/>
    <n v="16.2"/>
    <s v="(663x182x400)"/>
    <m/>
    <m/>
    <m/>
    <m/>
    <m/>
    <m/>
    <m/>
    <m/>
    <m/>
    <m/>
    <m/>
    <m/>
    <m/>
    <n v="8.1"/>
    <n v="8.1"/>
    <m/>
    <m/>
    <n v="0"/>
    <d v="2026-10-09T00:00:00"/>
    <n v="1"/>
    <n v="16.2"/>
    <m/>
    <m/>
    <n v="0"/>
    <m/>
    <m/>
    <n v="0"/>
    <m/>
    <m/>
    <m/>
    <n v="0"/>
    <m/>
    <m/>
    <n v="0"/>
    <s v="PAC"/>
    <m/>
  </r>
  <r>
    <n v="172"/>
    <x v="0"/>
    <s v="Shipment 1 B-10124 Fired Proces Heater"/>
    <x v="0"/>
    <x v="0"/>
    <m/>
    <m/>
    <s v="HEATER"/>
    <m/>
    <s v="S4"/>
    <s v="U285-AS-13MK101-1"/>
    <s v="13MK101-1(1/2)"/>
    <s v="RADIANT FLOOR"/>
    <n v="1"/>
    <n v="78.649999999999991"/>
    <n v="78.649999999999991"/>
    <s v="(1389x300x300)"/>
    <m/>
    <m/>
    <m/>
    <m/>
    <m/>
    <m/>
    <m/>
    <m/>
    <m/>
    <m/>
    <m/>
    <m/>
    <m/>
    <n v="39.324999999999996"/>
    <n v="39.324999999999996"/>
    <m/>
    <m/>
    <n v="0"/>
    <d v="2026-10-09T00:00:00"/>
    <n v="1"/>
    <n v="78.649999999999991"/>
    <m/>
    <m/>
    <n v="0"/>
    <m/>
    <m/>
    <n v="0"/>
    <m/>
    <m/>
    <m/>
    <n v="0"/>
    <m/>
    <m/>
    <n v="0"/>
    <s v="PAC"/>
    <m/>
  </r>
  <r>
    <n v="173"/>
    <x v="0"/>
    <s v="Shipment 1 B-10124 Fired Proces Heater"/>
    <x v="0"/>
    <x v="0"/>
    <m/>
    <m/>
    <s v="HEATER"/>
    <m/>
    <s v="S4"/>
    <s v="U285-AS-13MK101-1"/>
    <s v="13MK101-1(2/2)"/>
    <s v="RADIANT FLOOR"/>
    <n v="1"/>
    <n v="78.649999999999991"/>
    <n v="78.649999999999991"/>
    <s v="(1389x300x300)"/>
    <m/>
    <m/>
    <m/>
    <m/>
    <m/>
    <m/>
    <m/>
    <m/>
    <m/>
    <m/>
    <m/>
    <m/>
    <m/>
    <n v="0"/>
    <n v="78.649999999999991"/>
    <m/>
    <m/>
    <n v="0"/>
    <m/>
    <m/>
    <n v="0"/>
    <m/>
    <m/>
    <n v="0"/>
    <m/>
    <m/>
    <n v="0"/>
    <m/>
    <m/>
    <m/>
    <n v="0"/>
    <m/>
    <m/>
    <n v="0"/>
    <s v="PAC"/>
    <m/>
  </r>
  <r>
    <n v="174"/>
    <x v="0"/>
    <s v="Shipment 1 B-10124 Fired Proces Heater"/>
    <x v="0"/>
    <x v="0"/>
    <m/>
    <m/>
    <s v="HEATER"/>
    <m/>
    <s v="S4"/>
    <s v="U285-AS-13MK101-2"/>
    <s v="13MK101-2(1/2)"/>
    <s v="RADIANT FLOOR"/>
    <n v="1"/>
    <n v="79.55"/>
    <n v="79.55"/>
    <s v="(1389x300x300)"/>
    <m/>
    <m/>
    <m/>
    <m/>
    <m/>
    <m/>
    <m/>
    <m/>
    <m/>
    <m/>
    <m/>
    <m/>
    <m/>
    <n v="0"/>
    <n v="79.55"/>
    <m/>
    <m/>
    <n v="0"/>
    <m/>
    <m/>
    <n v="0"/>
    <m/>
    <m/>
    <n v="0"/>
    <m/>
    <m/>
    <n v="0"/>
    <m/>
    <m/>
    <m/>
    <n v="0"/>
    <m/>
    <m/>
    <n v="0"/>
    <s v="PAC"/>
    <m/>
  </r>
  <r>
    <n v="175"/>
    <x v="0"/>
    <s v="Shipment 1 B-10124 Fired Proces Heater"/>
    <x v="0"/>
    <x v="0"/>
    <m/>
    <m/>
    <s v="HEATER"/>
    <m/>
    <s v="S4"/>
    <s v="U285-AS-13MK101-2"/>
    <s v="13MK101-2(2/2)"/>
    <s v="RADIANT FLOOR"/>
    <n v="1"/>
    <n v="79.55"/>
    <n v="79.55"/>
    <s v="(1389x300x300)"/>
    <m/>
    <m/>
    <m/>
    <m/>
    <m/>
    <m/>
    <m/>
    <m/>
    <m/>
    <m/>
    <m/>
    <m/>
    <m/>
    <n v="0"/>
    <n v="79.55"/>
    <m/>
    <m/>
    <n v="0"/>
    <m/>
    <m/>
    <n v="0"/>
    <m/>
    <m/>
    <n v="0"/>
    <m/>
    <m/>
    <n v="0"/>
    <m/>
    <m/>
    <m/>
    <n v="0"/>
    <m/>
    <m/>
    <n v="0"/>
    <s v="PAC"/>
    <m/>
  </r>
  <r>
    <n v="176"/>
    <x v="0"/>
    <s v="Shipment 1 B-10124 Fired Proces Heater"/>
    <x v="0"/>
    <x v="0"/>
    <m/>
    <m/>
    <s v="HEATER"/>
    <m/>
    <s v="S4"/>
    <s v="U285-AS-13MK101-3"/>
    <s v="13MK101-3(1/4)"/>
    <s v="RADIANT FLOOR"/>
    <n v="1"/>
    <n v="79.524999999999991"/>
    <n v="79.524999999999991"/>
    <s v="(1389x300x300)"/>
    <m/>
    <m/>
    <m/>
    <m/>
    <m/>
    <m/>
    <m/>
    <m/>
    <m/>
    <m/>
    <m/>
    <m/>
    <m/>
    <n v="0"/>
    <n v="79.524999999999991"/>
    <m/>
    <m/>
    <n v="0"/>
    <m/>
    <m/>
    <n v="0"/>
    <m/>
    <m/>
    <n v="0"/>
    <m/>
    <m/>
    <n v="0"/>
    <m/>
    <m/>
    <m/>
    <n v="0"/>
    <m/>
    <m/>
    <n v="0"/>
    <s v="PAC"/>
    <m/>
  </r>
  <r>
    <n v="177"/>
    <x v="0"/>
    <s v="Shipment 1 B-10124 Fired Proces Heater"/>
    <x v="0"/>
    <x v="0"/>
    <m/>
    <m/>
    <s v="HEATER"/>
    <m/>
    <s v="S4"/>
    <s v="U285-AS-13MK101-3"/>
    <s v="13MK101-3(2/4)"/>
    <s v="RADIANT FLOOR"/>
    <n v="1"/>
    <n v="79.524999999999991"/>
    <n v="79.524999999999991"/>
    <s v="(1389x300x300)"/>
    <m/>
    <m/>
    <m/>
    <m/>
    <m/>
    <m/>
    <m/>
    <m/>
    <m/>
    <m/>
    <m/>
    <m/>
    <m/>
    <n v="0"/>
    <n v="79.524999999999991"/>
    <m/>
    <m/>
    <n v="0"/>
    <m/>
    <m/>
    <n v="0"/>
    <m/>
    <m/>
    <n v="0"/>
    <m/>
    <m/>
    <n v="0"/>
    <m/>
    <m/>
    <m/>
    <n v="0"/>
    <m/>
    <m/>
    <n v="0"/>
    <s v="PAC"/>
    <m/>
  </r>
  <r>
    <n v="178"/>
    <x v="0"/>
    <s v="Shipment 1 B-10124 Fired Proces Heater"/>
    <x v="0"/>
    <x v="0"/>
    <m/>
    <m/>
    <s v="HEATER"/>
    <m/>
    <s v="S4"/>
    <s v="U285-AS-13MK101-3"/>
    <s v="13MK101-3(3/4)"/>
    <s v="RADIANT FLOOR"/>
    <n v="1"/>
    <n v="79.524999999999991"/>
    <n v="79.524999999999991"/>
    <s v="(1389x300x300)"/>
    <m/>
    <m/>
    <m/>
    <m/>
    <m/>
    <m/>
    <m/>
    <m/>
    <m/>
    <m/>
    <m/>
    <m/>
    <m/>
    <n v="0"/>
    <n v="79.524999999999991"/>
    <m/>
    <m/>
    <n v="0"/>
    <m/>
    <m/>
    <n v="0"/>
    <m/>
    <m/>
    <n v="0"/>
    <m/>
    <m/>
    <n v="0"/>
    <m/>
    <m/>
    <m/>
    <n v="0"/>
    <m/>
    <m/>
    <n v="0"/>
    <s v="PAC"/>
    <m/>
  </r>
  <r>
    <n v="179"/>
    <x v="0"/>
    <s v="Shipment 1 B-10124 Fired Proces Heater"/>
    <x v="0"/>
    <x v="0"/>
    <m/>
    <m/>
    <s v="HEATER"/>
    <m/>
    <s v="S4"/>
    <s v="U285-AS-13MK101-3"/>
    <s v="13MK101-3(4/4)"/>
    <s v="RADIANT FLOOR"/>
    <n v="1"/>
    <n v="79.524999999999991"/>
    <n v="79.524999999999991"/>
    <s v="(1389x300x300)"/>
    <m/>
    <m/>
    <m/>
    <m/>
    <m/>
    <m/>
    <m/>
    <m/>
    <m/>
    <m/>
    <m/>
    <m/>
    <m/>
    <n v="0"/>
    <n v="79.524999999999991"/>
    <m/>
    <m/>
    <n v="0"/>
    <m/>
    <m/>
    <n v="0"/>
    <m/>
    <m/>
    <n v="0"/>
    <m/>
    <m/>
    <n v="0"/>
    <m/>
    <m/>
    <m/>
    <n v="0"/>
    <m/>
    <m/>
    <n v="0"/>
    <s v="PAC"/>
    <m/>
  </r>
  <r>
    <n v="180"/>
    <x v="0"/>
    <s v="Shipment 1 B-10124 Fired Proces Heater"/>
    <x v="0"/>
    <x v="0"/>
    <m/>
    <m/>
    <s v="HEATER"/>
    <m/>
    <s v="S4"/>
    <s v="U285-AS-13MK101A-1"/>
    <s v="13MK101A-1"/>
    <s v="RADIANT FLOOR"/>
    <n v="16"/>
    <n v="0.95625000000000004"/>
    <n v="15.3"/>
    <s v="(97x5x300)"/>
    <m/>
    <m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PAC"/>
    <m/>
  </r>
  <r>
    <n v="181"/>
    <x v="0"/>
    <s v="Shipment 1 B-10124 Fired Proces Heater"/>
    <x v="0"/>
    <x v="0"/>
    <m/>
    <m/>
    <s v="HEATER"/>
    <m/>
    <s v="S4"/>
    <s v="U285-AS-13MK101B-1"/>
    <s v="13MK101B-1"/>
    <s v="RADIANT FLOOR"/>
    <n v="32"/>
    <n v="0.57187500000000002"/>
    <n v="18.3"/>
    <s v="(97x3x300)"/>
    <m/>
    <m/>
    <m/>
    <m/>
    <m/>
    <m/>
    <m/>
    <m/>
    <m/>
    <m/>
    <m/>
    <m/>
    <m/>
    <n v="0"/>
    <n v="18.3"/>
    <m/>
    <m/>
    <n v="0"/>
    <m/>
    <m/>
    <n v="0"/>
    <m/>
    <m/>
    <n v="0"/>
    <m/>
    <m/>
    <n v="0"/>
    <m/>
    <m/>
    <m/>
    <n v="0"/>
    <m/>
    <m/>
    <n v="0"/>
    <s v="PAC"/>
    <m/>
  </r>
  <r>
    <n v="182"/>
    <x v="0"/>
    <s v="Shipment 1 B-10124 Fired Proces Heater"/>
    <x v="0"/>
    <x v="0"/>
    <m/>
    <m/>
    <s v="HEATER"/>
    <m/>
    <s v="S4"/>
    <s v="U285-AS-13MK101C-1"/>
    <s v="13MK101C-1"/>
    <s v="RADIANT FLOOR"/>
    <n v="32"/>
    <n v="0.38124999999999998"/>
    <n v="12.2"/>
    <s v="(97x2x300)"/>
    <m/>
    <m/>
    <m/>
    <m/>
    <m/>
    <m/>
    <m/>
    <m/>
    <m/>
    <m/>
    <m/>
    <m/>
    <m/>
    <n v="0"/>
    <n v="12.2"/>
    <m/>
    <m/>
    <n v="0"/>
    <m/>
    <m/>
    <n v="0"/>
    <m/>
    <m/>
    <n v="0"/>
    <m/>
    <m/>
    <n v="0"/>
    <m/>
    <m/>
    <m/>
    <n v="0"/>
    <m/>
    <m/>
    <n v="0"/>
    <s v="PAC"/>
    <m/>
  </r>
  <r>
    <n v="183"/>
    <x v="0"/>
    <s v="Shipment 1 B-10124 Fired Proces Heater"/>
    <x v="0"/>
    <x v="0"/>
    <m/>
    <m/>
    <s v="HEATER"/>
    <m/>
    <s v="S4"/>
    <s v="U285-AS-13MK101D-1"/>
    <s v="13MK101D-1"/>
    <s v="RADIANT FLOOR"/>
    <n v="32"/>
    <n v="0.19062499999999999"/>
    <n v="6.1"/>
    <s v="(97x1x300)"/>
    <m/>
    <m/>
    <m/>
    <m/>
    <m/>
    <m/>
    <m/>
    <m/>
    <m/>
    <m/>
    <m/>
    <m/>
    <m/>
    <n v="0"/>
    <n v="6.1"/>
    <m/>
    <m/>
    <n v="0"/>
    <m/>
    <m/>
    <n v="0"/>
    <m/>
    <m/>
    <n v="0"/>
    <m/>
    <m/>
    <n v="0"/>
    <m/>
    <m/>
    <m/>
    <n v="0"/>
    <m/>
    <m/>
    <n v="0"/>
    <s v="PAC"/>
    <m/>
  </r>
  <r>
    <n v="184"/>
    <x v="0"/>
    <s v="Shipment 1 B-10124 Fired Proces Heater"/>
    <x v="0"/>
    <x v="0"/>
    <m/>
    <m/>
    <s v="HEATER"/>
    <m/>
    <s v="S4"/>
    <s v="U285-AS-13MK102-2"/>
    <s v="13MK102-2(1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85"/>
    <x v="0"/>
    <s v="Shipment 1 B-10124 Fired Proces Heater"/>
    <x v="0"/>
    <x v="0"/>
    <m/>
    <m/>
    <s v="HEATER"/>
    <m/>
    <s v="S4"/>
    <s v="U285-AS-13MK102-2"/>
    <s v="13MK102-2(2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86"/>
    <x v="0"/>
    <s v="Shipment 1 B-10124 Fired Proces Heater"/>
    <x v="0"/>
    <x v="0"/>
    <m/>
    <m/>
    <s v="HEATER"/>
    <m/>
    <s v="S4"/>
    <s v="U285-AS-13MK102-2"/>
    <s v="13MK102-2(3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87"/>
    <x v="0"/>
    <s v="Shipment 1 B-10124 Fired Proces Heater"/>
    <x v="0"/>
    <x v="0"/>
    <m/>
    <m/>
    <s v="HEATER"/>
    <m/>
    <s v="S4"/>
    <s v="U285-AS-13MK102-2"/>
    <s v="13MK102-2(4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88"/>
    <x v="0"/>
    <s v="Shipment 1 B-10124 Fired Proces Heater"/>
    <x v="0"/>
    <x v="0"/>
    <m/>
    <m/>
    <s v="HEATER"/>
    <m/>
    <s v="S4"/>
    <s v="U285-AS-13MK102-2"/>
    <s v="13MK102-2(5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89"/>
    <x v="0"/>
    <s v="Shipment 1 B-10124 Fired Proces Heater"/>
    <x v="0"/>
    <x v="0"/>
    <m/>
    <m/>
    <s v="HEATER"/>
    <m/>
    <s v="S4"/>
    <s v="U285-AS-13MK102-2"/>
    <s v="13MK102-2(6/6)"/>
    <s v="RADIANT FLOOR"/>
    <n v="1"/>
    <n v="84.666666666666671"/>
    <n v="84.666666666666671"/>
    <s v="(1487x268x464)"/>
    <m/>
    <m/>
    <m/>
    <m/>
    <m/>
    <m/>
    <m/>
    <m/>
    <m/>
    <m/>
    <m/>
    <m/>
    <m/>
    <n v="0"/>
    <n v="84.666666666666671"/>
    <m/>
    <m/>
    <n v="0"/>
    <m/>
    <m/>
    <n v="0"/>
    <m/>
    <m/>
    <n v="0"/>
    <m/>
    <m/>
    <n v="0"/>
    <m/>
    <m/>
    <m/>
    <n v="0"/>
    <m/>
    <m/>
    <n v="0"/>
    <s v="PAC"/>
    <m/>
  </r>
  <r>
    <n v="190"/>
    <x v="0"/>
    <s v="Shipment 1 B-10124 Fired Proces Heater"/>
    <x v="0"/>
    <x v="0"/>
    <m/>
    <m/>
    <s v="HEATER"/>
    <m/>
    <s v="S4"/>
    <s v="U285-AS-13MK102-3"/>
    <s v="13MK102-3(1/2)"/>
    <s v="RADIANT FLOOR"/>
    <n v="1"/>
    <n v="84.65"/>
    <n v="84.65"/>
    <s v="(1487x268x464)"/>
    <m/>
    <m/>
    <m/>
    <m/>
    <m/>
    <m/>
    <m/>
    <m/>
    <m/>
    <m/>
    <m/>
    <m/>
    <m/>
    <n v="0"/>
    <n v="84.65"/>
    <m/>
    <m/>
    <n v="0"/>
    <m/>
    <m/>
    <n v="0"/>
    <m/>
    <m/>
    <n v="0"/>
    <m/>
    <m/>
    <n v="0"/>
    <m/>
    <m/>
    <m/>
    <n v="0"/>
    <m/>
    <m/>
    <n v="0"/>
    <s v="PAC"/>
    <m/>
  </r>
  <r>
    <n v="191"/>
    <x v="0"/>
    <s v="Shipment 1 B-10124 Fired Proces Heater"/>
    <x v="0"/>
    <x v="0"/>
    <m/>
    <m/>
    <s v="HEATER"/>
    <m/>
    <s v="S4"/>
    <s v="U285-AS-13MK102-3"/>
    <s v="13MK102-3(2/2)"/>
    <s v="RADIANT FLOOR"/>
    <n v="1"/>
    <n v="84.65"/>
    <n v="84.65"/>
    <s v="(1487x268x464)"/>
    <m/>
    <m/>
    <m/>
    <m/>
    <m/>
    <m/>
    <m/>
    <m/>
    <m/>
    <m/>
    <m/>
    <m/>
    <m/>
    <n v="0"/>
    <n v="84.65"/>
    <m/>
    <m/>
    <n v="0"/>
    <m/>
    <m/>
    <n v="0"/>
    <m/>
    <m/>
    <n v="0"/>
    <m/>
    <m/>
    <n v="0"/>
    <m/>
    <m/>
    <m/>
    <n v="0"/>
    <m/>
    <m/>
    <n v="0"/>
    <s v="PAC"/>
    <m/>
  </r>
  <r>
    <n v="192"/>
    <x v="0"/>
    <s v="Shipment 1 B-10124 Fired Proces Heater"/>
    <x v="0"/>
    <x v="0"/>
    <m/>
    <m/>
    <s v="HEATER"/>
    <m/>
    <s v="S4"/>
    <s v="U285-AS-13MK103-1"/>
    <s v="13MK103-1"/>
    <s v="RADIANT FLOOR"/>
    <n v="16"/>
    <n v="27.6"/>
    <n v="441.7"/>
    <s v="(1011x268x230)"/>
    <m/>
    <m/>
    <m/>
    <m/>
    <m/>
    <m/>
    <m/>
    <m/>
    <m/>
    <m/>
    <m/>
    <m/>
    <m/>
    <n v="441.7"/>
    <n v="0"/>
    <m/>
    <m/>
    <n v="0"/>
    <d v="2026-10-13T00:00:00"/>
    <n v="16"/>
    <n v="441.7"/>
    <d v="2026-10-13T00:00:00"/>
    <n v="16"/>
    <n v="441.7"/>
    <m/>
    <m/>
    <n v="0"/>
    <s v="U285-009"/>
    <d v="2026-10-13T00:00:00"/>
    <n v="16"/>
    <n v="441.7"/>
    <d v="2026-10-15T00:00:00"/>
    <n v="16"/>
    <n v="441.7"/>
    <s v="PAC"/>
    <s v="U285-006"/>
  </r>
  <r>
    <n v="193"/>
    <x v="0"/>
    <s v="Shipment 1 B-10124 Fired Proces Heater"/>
    <x v="0"/>
    <x v="0"/>
    <m/>
    <m/>
    <s v="HEATER"/>
    <m/>
    <s v="S4"/>
    <s v="U285-AS-13MK104-1"/>
    <s v="13MK104-1(1/2)"/>
    <s v="RADIANT FLOOR"/>
    <n v="1"/>
    <n v="78.599999999999994"/>
    <n v="78.599999999999994"/>
    <s v="(1389x300x300)"/>
    <m/>
    <m/>
    <m/>
    <m/>
    <m/>
    <m/>
    <m/>
    <m/>
    <m/>
    <m/>
    <m/>
    <m/>
    <m/>
    <n v="0"/>
    <n v="78.599999999999994"/>
    <m/>
    <m/>
    <n v="0"/>
    <m/>
    <m/>
    <n v="0"/>
    <m/>
    <m/>
    <n v="0"/>
    <m/>
    <m/>
    <n v="0"/>
    <m/>
    <m/>
    <m/>
    <n v="0"/>
    <m/>
    <m/>
    <n v="0"/>
    <s v="PAC"/>
    <m/>
  </r>
  <r>
    <n v="194"/>
    <x v="0"/>
    <s v="Shipment 1 B-10124 Fired Proces Heater"/>
    <x v="0"/>
    <x v="0"/>
    <m/>
    <m/>
    <s v="HEATER"/>
    <m/>
    <s v="S4"/>
    <s v="U285-AS-13MK104-1"/>
    <s v="13MK104-1(2/2)"/>
    <s v="RADIANT FLOOR"/>
    <n v="1"/>
    <n v="78.599999999999994"/>
    <n v="78.599999999999994"/>
    <s v="(1389x300x300)"/>
    <m/>
    <m/>
    <m/>
    <m/>
    <m/>
    <m/>
    <m/>
    <m/>
    <m/>
    <m/>
    <m/>
    <m/>
    <m/>
    <n v="0"/>
    <n v="78.599999999999994"/>
    <m/>
    <m/>
    <n v="0"/>
    <m/>
    <m/>
    <n v="0"/>
    <m/>
    <m/>
    <n v="0"/>
    <m/>
    <m/>
    <n v="0"/>
    <m/>
    <m/>
    <m/>
    <n v="0"/>
    <m/>
    <m/>
    <n v="0"/>
    <s v="PAC"/>
    <m/>
  </r>
  <r>
    <n v="195"/>
    <x v="0"/>
    <s v="Shipment 1 B-10124 Fired Proces Heater"/>
    <x v="0"/>
    <x v="0"/>
    <m/>
    <m/>
    <s v="HEATER"/>
    <m/>
    <s v="S4"/>
    <s v="U285-AS-13MK104-2"/>
    <s v="13MK104-2"/>
    <s v="RADIANT FLOOR"/>
    <n v="1"/>
    <n v="78.499999999999986"/>
    <n v="78.499999999999986"/>
    <s v="(1389x300x300)"/>
    <m/>
    <m/>
    <m/>
    <m/>
    <m/>
    <m/>
    <m/>
    <m/>
    <m/>
    <m/>
    <m/>
    <m/>
    <m/>
    <n v="0"/>
    <n v="78.499999999999986"/>
    <m/>
    <m/>
    <n v="0"/>
    <m/>
    <m/>
    <n v="0"/>
    <m/>
    <m/>
    <n v="0"/>
    <m/>
    <m/>
    <n v="0"/>
    <m/>
    <m/>
    <m/>
    <n v="0"/>
    <m/>
    <m/>
    <n v="0"/>
    <s v="PAC"/>
    <m/>
  </r>
  <r>
    <n v="196"/>
    <x v="0"/>
    <s v="Shipment 1 B-10124 Fired Proces Heater"/>
    <x v="0"/>
    <x v="0"/>
    <m/>
    <m/>
    <s v="HEATER"/>
    <m/>
    <s v="S4"/>
    <s v="U285-AS-13MK104-3"/>
    <s v="13MK104-3"/>
    <s v="RADIANT FLOOR"/>
    <n v="1"/>
    <n v="78.599999999999994"/>
    <n v="314.19999999999993"/>
    <s v="(1389x300x300)"/>
    <m/>
    <m/>
    <m/>
    <m/>
    <m/>
    <m/>
    <m/>
    <m/>
    <m/>
    <m/>
    <m/>
    <m/>
    <m/>
    <n v="0"/>
    <n v="314.19999999999993"/>
    <m/>
    <m/>
    <n v="0"/>
    <m/>
    <m/>
    <n v="0"/>
    <m/>
    <m/>
    <n v="0"/>
    <m/>
    <m/>
    <n v="0"/>
    <m/>
    <m/>
    <m/>
    <n v="0"/>
    <m/>
    <m/>
    <n v="0"/>
    <s v="PAC"/>
    <m/>
  </r>
  <r>
    <n v="197"/>
    <x v="0"/>
    <s v="Shipment 1 B-10124 Fired Proces Heater"/>
    <x v="0"/>
    <x v="0"/>
    <m/>
    <m/>
    <s v="HEATER"/>
    <m/>
    <s v="S4"/>
    <s v="U285-AS-13MK104-4"/>
    <s v="13MK104-4"/>
    <s v="RADIANT FLOOR"/>
    <n v="1"/>
    <n v="79.399999999999991"/>
    <n v="79.399999999999991"/>
    <s v="(1389x300x300)"/>
    <m/>
    <m/>
    <m/>
    <m/>
    <m/>
    <m/>
    <m/>
    <m/>
    <m/>
    <m/>
    <m/>
    <m/>
    <m/>
    <n v="0"/>
    <n v="79.399999999999991"/>
    <m/>
    <m/>
    <n v="0"/>
    <m/>
    <m/>
    <n v="0"/>
    <m/>
    <m/>
    <n v="0"/>
    <m/>
    <m/>
    <n v="0"/>
    <m/>
    <m/>
    <m/>
    <n v="0"/>
    <m/>
    <m/>
    <n v="0"/>
    <s v="PAC"/>
    <m/>
  </r>
  <r>
    <n v="198"/>
    <x v="0"/>
    <s v="Shipment 1 B-10124 Fired Proces Heater"/>
    <x v="0"/>
    <x v="0"/>
    <m/>
    <m/>
    <s v="HEATER"/>
    <m/>
    <s v="S4"/>
    <s v="U285-AS-13MK104-5"/>
    <s v="13MK104-5(1/3)"/>
    <s v="RADIANT FLOOR"/>
    <n v="1"/>
    <n v="79.466666666666669"/>
    <n v="79.466666666666669"/>
    <s v="(1389x300x300)"/>
    <m/>
    <m/>
    <m/>
    <m/>
    <m/>
    <m/>
    <m/>
    <m/>
    <m/>
    <m/>
    <m/>
    <m/>
    <m/>
    <n v="0"/>
    <n v="79.466666666666669"/>
    <m/>
    <m/>
    <n v="0"/>
    <m/>
    <m/>
    <n v="0"/>
    <m/>
    <m/>
    <n v="0"/>
    <m/>
    <m/>
    <n v="0"/>
    <m/>
    <m/>
    <m/>
    <n v="0"/>
    <m/>
    <m/>
    <n v="0"/>
    <s v="PAC"/>
    <m/>
  </r>
  <r>
    <n v="199"/>
    <x v="0"/>
    <s v="Shipment 1 B-10124 Fired Proces Heater"/>
    <x v="0"/>
    <x v="0"/>
    <m/>
    <m/>
    <s v="HEATER"/>
    <m/>
    <s v="S4"/>
    <s v="U285-AS-13MK104-5"/>
    <s v="13MK104-5(2/3)"/>
    <s v="RADIANT FLOOR"/>
    <n v="1"/>
    <n v="79.466666666666669"/>
    <n v="79.466666666666669"/>
    <s v="(1389x300x300)"/>
    <m/>
    <m/>
    <m/>
    <m/>
    <m/>
    <m/>
    <m/>
    <m/>
    <m/>
    <m/>
    <m/>
    <m/>
    <m/>
    <n v="0"/>
    <n v="79.466666666666669"/>
    <m/>
    <m/>
    <n v="0"/>
    <m/>
    <m/>
    <n v="0"/>
    <m/>
    <m/>
    <n v="0"/>
    <m/>
    <m/>
    <n v="0"/>
    <m/>
    <m/>
    <m/>
    <n v="0"/>
    <m/>
    <m/>
    <n v="0"/>
    <s v="PAC"/>
    <m/>
  </r>
  <r>
    <n v="200"/>
    <x v="0"/>
    <s v="Shipment 1 B-10124 Fired Proces Heater"/>
    <x v="0"/>
    <x v="0"/>
    <m/>
    <m/>
    <s v="HEATER"/>
    <m/>
    <s v="S4"/>
    <s v="U285-AS-13MK104-5"/>
    <s v="13MK104-5(3/3)"/>
    <s v="RADIANT FLOOR"/>
    <n v="1"/>
    <n v="79.466666666666669"/>
    <n v="79.466666666666669"/>
    <s v="(1389x300x300)"/>
    <m/>
    <m/>
    <m/>
    <m/>
    <m/>
    <m/>
    <m/>
    <m/>
    <m/>
    <m/>
    <m/>
    <m/>
    <m/>
    <n v="0"/>
    <n v="79.466666666666669"/>
    <m/>
    <m/>
    <n v="0"/>
    <m/>
    <m/>
    <n v="0"/>
    <m/>
    <m/>
    <n v="0"/>
    <m/>
    <m/>
    <n v="0"/>
    <m/>
    <m/>
    <m/>
    <n v="0"/>
    <m/>
    <m/>
    <n v="0"/>
    <s v="PAC"/>
    <m/>
  </r>
  <r>
    <n v="201"/>
    <x v="0"/>
    <s v="Shipment 1 B-10124 Fired Proces Heater"/>
    <x v="0"/>
    <x v="0"/>
    <m/>
    <m/>
    <s v="HEATER"/>
    <m/>
    <s v="S4"/>
    <s v="U285-AS-13MK104A-1"/>
    <s v="13MK104A-1"/>
    <s v="RADIANT FLOOR"/>
    <n v="16"/>
    <n v="0.86250000000000004"/>
    <n v="13.8"/>
    <s v="(97x5x300)"/>
    <m/>
    <m/>
    <m/>
    <m/>
    <m/>
    <m/>
    <m/>
    <m/>
    <m/>
    <m/>
    <m/>
    <m/>
    <m/>
    <n v="0"/>
    <n v="13.8"/>
    <m/>
    <m/>
    <n v="0"/>
    <m/>
    <m/>
    <n v="0"/>
    <m/>
    <m/>
    <n v="0"/>
    <m/>
    <m/>
    <n v="0"/>
    <m/>
    <m/>
    <m/>
    <n v="0"/>
    <m/>
    <m/>
    <n v="0"/>
    <s v="PAC"/>
    <m/>
  </r>
  <r>
    <n v="202"/>
    <x v="0"/>
    <s v="Shipment 1 B-10124 Fired Proces Heater"/>
    <x v="0"/>
    <x v="0"/>
    <m/>
    <m/>
    <s v="HEATER"/>
    <m/>
    <s v="S4"/>
    <s v="U285-AS-13MK104B-1"/>
    <s v="13MK104B-1"/>
    <s v="RADIANT FLOOR"/>
    <n v="32"/>
    <n v="0.515625"/>
    <n v="16.5"/>
    <s v="(97x3x300)"/>
    <m/>
    <m/>
    <m/>
    <m/>
    <m/>
    <m/>
    <m/>
    <m/>
    <m/>
    <m/>
    <m/>
    <m/>
    <m/>
    <n v="0"/>
    <n v="16.5"/>
    <m/>
    <m/>
    <n v="0"/>
    <m/>
    <m/>
    <n v="0"/>
    <m/>
    <m/>
    <n v="0"/>
    <m/>
    <m/>
    <n v="0"/>
    <m/>
    <m/>
    <m/>
    <n v="0"/>
    <m/>
    <m/>
    <n v="0"/>
    <s v="PAC"/>
    <m/>
  </r>
  <r>
    <n v="203"/>
    <x v="0"/>
    <s v="Shipment 1 B-10124 Fired Proces Heater"/>
    <x v="0"/>
    <x v="0"/>
    <m/>
    <m/>
    <s v="HEATER"/>
    <m/>
    <s v="S4"/>
    <s v="U285-AS-13MK104C-1"/>
    <s v="13MK104C-1"/>
    <s v="RADIANT FLOOR"/>
    <n v="32"/>
    <n v="0.34375"/>
    <n v="11"/>
    <s v="(97x2x300)"/>
    <m/>
    <m/>
    <m/>
    <m/>
    <m/>
    <m/>
    <m/>
    <m/>
    <m/>
    <m/>
    <m/>
    <m/>
    <m/>
    <n v="0"/>
    <n v="11"/>
    <m/>
    <m/>
    <n v="0"/>
    <m/>
    <m/>
    <n v="0"/>
    <m/>
    <m/>
    <n v="0"/>
    <m/>
    <m/>
    <n v="0"/>
    <m/>
    <m/>
    <m/>
    <n v="0"/>
    <m/>
    <m/>
    <n v="0"/>
    <s v="PAC"/>
    <m/>
  </r>
  <r>
    <n v="204"/>
    <x v="0"/>
    <s v="Shipment 1 B-10124 Fired Proces Heater"/>
    <x v="0"/>
    <x v="0"/>
    <m/>
    <m/>
    <s v="HEATER"/>
    <m/>
    <s v="S4"/>
    <s v="U285-AS-13MK104D-1"/>
    <s v="13MK104D-1"/>
    <s v="RADIANT FLOOR"/>
    <n v="32"/>
    <n v="0.171875"/>
    <n v="5.5"/>
    <s v="(97x1x300)"/>
    <m/>
    <m/>
    <m/>
    <m/>
    <m/>
    <m/>
    <m/>
    <m/>
    <m/>
    <m/>
    <m/>
    <m/>
    <m/>
    <n v="0"/>
    <n v="5.5"/>
    <m/>
    <m/>
    <n v="0"/>
    <m/>
    <m/>
    <n v="0"/>
    <m/>
    <m/>
    <n v="0"/>
    <m/>
    <m/>
    <n v="0"/>
    <m/>
    <m/>
    <m/>
    <n v="0"/>
    <m/>
    <m/>
    <n v="0"/>
    <s v="PAC"/>
    <m/>
  </r>
  <r>
    <n v="205"/>
    <x v="0"/>
    <s v="Shipment 1 B-10124 Fired Proces Heater"/>
    <x v="0"/>
    <x v="0"/>
    <m/>
    <m/>
    <s v="HEATER"/>
    <m/>
    <s v="S4"/>
    <s v="U285-AS-13MK105-1"/>
    <s v="13MK105-1(1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06"/>
    <x v="0"/>
    <s v="Shipment 1 B-10124 Fired Proces Heater"/>
    <x v="0"/>
    <x v="0"/>
    <m/>
    <m/>
    <s v="HEATER"/>
    <m/>
    <s v="S4"/>
    <s v="U285-AS-13MK105-1"/>
    <s v="13MK105-1(2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07"/>
    <x v="0"/>
    <s v="Shipment 1 B-10124 Fired Proces Heater"/>
    <x v="0"/>
    <x v="0"/>
    <m/>
    <m/>
    <s v="HEATER"/>
    <m/>
    <s v="S4"/>
    <s v="U285-AS-13MK105-1"/>
    <s v="13MK105-1(3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08"/>
    <x v="0"/>
    <s v="Shipment 1 B-10124 Fired Proces Heater"/>
    <x v="0"/>
    <x v="0"/>
    <m/>
    <m/>
    <s v="HEATER"/>
    <m/>
    <s v="S4"/>
    <s v="U285-AS-13MK105-1"/>
    <s v="13MK105-1(4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09"/>
    <x v="0"/>
    <s v="Shipment 1 B-10124 Fired Proces Heater"/>
    <x v="0"/>
    <x v="0"/>
    <m/>
    <m/>
    <s v="HEATER"/>
    <m/>
    <s v="S4"/>
    <s v="U285-AS-13MK105-2"/>
    <s v="13MK105-2(1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10"/>
    <x v="0"/>
    <s v="Shipment 1 B-10124 Fired Proces Heater"/>
    <x v="0"/>
    <x v="0"/>
    <m/>
    <m/>
    <s v="HEATER"/>
    <m/>
    <s v="S4"/>
    <s v="U285-AS-13MK105-2"/>
    <s v="13MK105-2(2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11"/>
    <x v="0"/>
    <s v="Shipment 1 B-10124 Fired Proces Heater"/>
    <x v="0"/>
    <x v="0"/>
    <m/>
    <m/>
    <s v="HEATER"/>
    <m/>
    <s v="S4"/>
    <s v="U285-AS-13MK105-2"/>
    <s v="13MK105-2(3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12"/>
    <x v="0"/>
    <s v="Shipment 1 B-10124 Fired Proces Heater"/>
    <x v="0"/>
    <x v="0"/>
    <m/>
    <m/>
    <s v="HEATER"/>
    <m/>
    <s v="S4"/>
    <s v="U285-AS-13MK105-2"/>
    <s v="13MK105-2(4/4)"/>
    <s v="RADIANT FLOOR"/>
    <n v="1"/>
    <n v="60.050000000000004"/>
    <n v="60.050000000000004"/>
    <s v="(1487x205x300)"/>
    <m/>
    <m/>
    <m/>
    <m/>
    <m/>
    <m/>
    <m/>
    <m/>
    <m/>
    <m/>
    <m/>
    <m/>
    <m/>
    <n v="0"/>
    <n v="60.050000000000004"/>
    <m/>
    <m/>
    <n v="0"/>
    <m/>
    <m/>
    <n v="0"/>
    <m/>
    <m/>
    <n v="0"/>
    <m/>
    <m/>
    <n v="0"/>
    <m/>
    <m/>
    <m/>
    <n v="0"/>
    <m/>
    <m/>
    <n v="0"/>
    <s v="PAC"/>
    <m/>
  </r>
  <r>
    <n v="213"/>
    <x v="0"/>
    <s v="Shipment 1 B-10124 Fired Proces Heater"/>
    <x v="0"/>
    <x v="0"/>
    <m/>
    <m/>
    <s v="HEATER"/>
    <m/>
    <s v="S4"/>
    <s v="U285-AS-13MK106-1"/>
    <s v="13MK106-1"/>
    <s v="SUPPORT MANIFOLDS"/>
    <n v="1"/>
    <n v="473.90000000000003"/>
    <n v="473.90000000000003"/>
    <s v="(1598x700x700)"/>
    <m/>
    <m/>
    <m/>
    <m/>
    <m/>
    <m/>
    <m/>
    <m/>
    <m/>
    <m/>
    <m/>
    <m/>
    <m/>
    <n v="426.51000000000005"/>
    <n v="47.389999999999986"/>
    <m/>
    <m/>
    <n v="0"/>
    <d v="2026-10-13T00:00:00"/>
    <n v="1"/>
    <n v="473.90000000000003"/>
    <d v="2026-10-15T00:00:00"/>
    <n v="1"/>
    <n v="473.90000000000003"/>
    <m/>
    <m/>
    <n v="0"/>
    <m/>
    <m/>
    <m/>
    <n v="0"/>
    <m/>
    <m/>
    <n v="0"/>
    <s v="PAC"/>
    <m/>
  </r>
  <r>
    <n v="214"/>
    <x v="0"/>
    <s v="Shipment 1 B-10124 Fired Proces Heater"/>
    <x v="0"/>
    <x v="0"/>
    <m/>
    <m/>
    <s v="HEATER"/>
    <m/>
    <s v="S4"/>
    <s v="U285-AS-13MK106C-1"/>
    <s v="13MK106C-1(1/3)"/>
    <s v="SUPPORT MANIFOLDS"/>
    <n v="1"/>
    <n v="535.5"/>
    <n v="535.5"/>
    <s v="(1598x700x700)"/>
    <m/>
    <m/>
    <m/>
    <m/>
    <m/>
    <m/>
    <m/>
    <m/>
    <m/>
    <m/>
    <m/>
    <m/>
    <m/>
    <n v="481.95000000000005"/>
    <n v="53.549999999999955"/>
    <m/>
    <m/>
    <n v="0"/>
    <d v="2026-10-13T00:00:00"/>
    <n v="1"/>
    <n v="535.5"/>
    <d v="2026-10-15T00:00:00"/>
    <n v="1"/>
    <n v="535.5"/>
    <m/>
    <m/>
    <n v="0"/>
    <m/>
    <m/>
    <m/>
    <n v="0"/>
    <m/>
    <m/>
    <n v="0"/>
    <s v="PAC"/>
    <m/>
  </r>
  <r>
    <n v="215"/>
    <x v="0"/>
    <s v="Shipment 1 B-10124 Fired Proces Heater"/>
    <x v="0"/>
    <x v="0"/>
    <m/>
    <m/>
    <s v="HEATER"/>
    <m/>
    <s v="S4"/>
    <s v="U285-AS-13MK106C-1"/>
    <s v="13MK106C-1(2/3)"/>
    <s v="SUPPORT MANIFOLDS"/>
    <n v="1"/>
    <n v="535.5"/>
    <n v="535.5"/>
    <s v="(1598x700x700)"/>
    <m/>
    <m/>
    <m/>
    <m/>
    <m/>
    <m/>
    <m/>
    <m/>
    <m/>
    <m/>
    <m/>
    <m/>
    <m/>
    <n v="481.95000000000005"/>
    <n v="53.549999999999955"/>
    <m/>
    <m/>
    <n v="0"/>
    <d v="2026-10-13T00:00:00"/>
    <n v="1"/>
    <n v="535.5"/>
    <d v="2026-10-15T00:00:00"/>
    <n v="1"/>
    <n v="535.5"/>
    <m/>
    <m/>
    <n v="0"/>
    <m/>
    <m/>
    <m/>
    <n v="0"/>
    <m/>
    <m/>
    <n v="0"/>
    <s v="PAC"/>
    <m/>
  </r>
  <r>
    <n v="216"/>
    <x v="0"/>
    <s v="Shipment 1 B-10124 Fired Proces Heater"/>
    <x v="0"/>
    <x v="0"/>
    <m/>
    <m/>
    <s v="HEATER"/>
    <m/>
    <s v="S4"/>
    <s v="U285-AS-13MK106C-1"/>
    <s v="13MK106C-1(3/3)"/>
    <s v="SUPPORT MANIFOLDS"/>
    <n v="1"/>
    <n v="535.5"/>
    <n v="535.5"/>
    <s v="(1598x700x700)"/>
    <m/>
    <m/>
    <m/>
    <m/>
    <m/>
    <m/>
    <m/>
    <m/>
    <m/>
    <m/>
    <m/>
    <m/>
    <m/>
    <n v="481.95000000000005"/>
    <n v="53.549999999999955"/>
    <m/>
    <m/>
    <n v="0"/>
    <d v="2026-10-13T00:00:00"/>
    <n v="1"/>
    <n v="535.5"/>
    <d v="2026-10-15T00:00:00"/>
    <n v="1"/>
    <n v="535.5"/>
    <m/>
    <m/>
    <n v="0"/>
    <m/>
    <m/>
    <m/>
    <n v="0"/>
    <m/>
    <m/>
    <n v="0"/>
    <s v="PAC"/>
    <m/>
  </r>
  <r>
    <n v="217"/>
    <x v="0"/>
    <s v="Shipment 1 B-10124 Fired Proces Heater"/>
    <x v="0"/>
    <x v="0"/>
    <m/>
    <m/>
    <s v="HEATER"/>
    <m/>
    <s v="S4"/>
    <s v="U285-AS-13MK106C-2"/>
    <s v="13MK106C-2"/>
    <s v="SUPPORT MANIFOLDS"/>
    <n v="1"/>
    <n v="535.39999999999986"/>
    <n v="1606.4"/>
    <s v="(1598x700x700)"/>
    <m/>
    <m/>
    <m/>
    <m/>
    <m/>
    <m/>
    <m/>
    <m/>
    <m/>
    <m/>
    <m/>
    <m/>
    <m/>
    <n v="1445.7600000000002"/>
    <n v="160.63999999999987"/>
    <m/>
    <m/>
    <n v="0"/>
    <d v="2026-10-13T00:00:00"/>
    <n v="1"/>
    <n v="1606.4"/>
    <d v="2026-10-15T00:00:00"/>
    <n v="1"/>
    <n v="1606.4"/>
    <m/>
    <m/>
    <n v="0"/>
    <m/>
    <m/>
    <m/>
    <n v="0"/>
    <m/>
    <m/>
    <n v="0"/>
    <s v="PAC"/>
    <m/>
  </r>
  <r>
    <n v="218"/>
    <x v="0"/>
    <s v="Shipment 1 B-10124 Fired Proces Heater"/>
    <x v="0"/>
    <x v="0"/>
    <m/>
    <m/>
    <s v="HEATER"/>
    <m/>
    <s v="S4"/>
    <s v="U285-AS-13MK106D-1"/>
    <s v="13MK106D-1"/>
    <s v="SUPPORT MANIFOLDS"/>
    <n v="1"/>
    <n v="535.49999999999989"/>
    <n v="535.49999999999989"/>
    <s v="(1598x700x700)"/>
    <m/>
    <m/>
    <m/>
    <m/>
    <m/>
    <m/>
    <m/>
    <m/>
    <m/>
    <m/>
    <m/>
    <m/>
    <m/>
    <n v="481.94999999999993"/>
    <n v="53.549999999999955"/>
    <m/>
    <m/>
    <n v="0"/>
    <d v="2026-10-13T00:00:00"/>
    <n v="1"/>
    <n v="535.49999999999989"/>
    <d v="2026-10-15T00:00:00"/>
    <n v="1"/>
    <n v="535.49999999999989"/>
    <m/>
    <m/>
    <n v="0"/>
    <m/>
    <m/>
    <m/>
    <n v="0"/>
    <m/>
    <m/>
    <n v="0"/>
    <s v="PAC"/>
    <m/>
  </r>
  <r>
    <n v="219"/>
    <x v="0"/>
    <s v="Shipment 1 B-10124 Fired Proces Heater"/>
    <x v="0"/>
    <x v="0"/>
    <m/>
    <m/>
    <s v="HEATER"/>
    <m/>
    <s v="S4"/>
    <s v="U285-AS-13MK106E-1"/>
    <s v="13MK106E-1"/>
    <s v="SUPPORT MANIFOLDS"/>
    <n v="1"/>
    <n v="535.49999999999989"/>
    <n v="535.49999999999989"/>
    <s v="(1598x700x700)"/>
    <m/>
    <m/>
    <m/>
    <m/>
    <m/>
    <m/>
    <m/>
    <m/>
    <m/>
    <m/>
    <m/>
    <m/>
    <m/>
    <n v="481.94999999999993"/>
    <n v="53.549999999999955"/>
    <m/>
    <m/>
    <n v="0"/>
    <d v="2026-10-13T00:00:00"/>
    <n v="1"/>
    <n v="535.49999999999989"/>
    <d v="2026-10-15T00:00:00"/>
    <n v="1"/>
    <n v="535.49999999999989"/>
    <m/>
    <m/>
    <n v="0"/>
    <m/>
    <m/>
    <m/>
    <n v="0"/>
    <m/>
    <m/>
    <n v="0"/>
    <s v="PAC"/>
    <m/>
  </r>
  <r>
    <n v="220"/>
    <x v="0"/>
    <s v="Shipment 1 B-10124 Fired Proces Heater"/>
    <x v="0"/>
    <x v="0"/>
    <m/>
    <m/>
    <s v="HEATER"/>
    <m/>
    <s v="S4"/>
    <s v="U285-AS-13MK106F-2"/>
    <s v="13MK106F-2"/>
    <s v="SUPPORT MANIFOLDS"/>
    <n v="1"/>
    <n v="427.5"/>
    <n v="427.5"/>
    <s v="(1598x700x700)"/>
    <m/>
    <m/>
    <m/>
    <m/>
    <m/>
    <m/>
    <m/>
    <m/>
    <m/>
    <m/>
    <m/>
    <m/>
    <m/>
    <n v="384.75"/>
    <n v="42.75"/>
    <m/>
    <m/>
    <n v="0"/>
    <d v="2026-10-13T00:00:00"/>
    <n v="1"/>
    <n v="427.5"/>
    <d v="2026-10-17T00:00:00"/>
    <n v="1"/>
    <n v="427.5"/>
    <m/>
    <m/>
    <n v="0"/>
    <m/>
    <m/>
    <m/>
    <n v="0"/>
    <m/>
    <m/>
    <n v="0"/>
    <s v="PAC"/>
    <m/>
  </r>
  <r>
    <n v="221"/>
    <x v="0"/>
    <s v="Shipment 1 B-10124 Fired Proces Heater"/>
    <x v="0"/>
    <x v="0"/>
    <m/>
    <m/>
    <s v="HEATER"/>
    <m/>
    <s v="S4"/>
    <s v="U285-AS-13MK106F1-1"/>
    <s v="13MK106F1-1(1/2)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3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22"/>
    <x v="0"/>
    <s v="Shipment 1 B-10124 Fired Proces Heater"/>
    <x v="0"/>
    <x v="0"/>
    <m/>
    <m/>
    <s v="HEATER"/>
    <m/>
    <s v="S4"/>
    <s v="U285-AS-13MK106F1-1"/>
    <s v="13MK106F1-1(2/2)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3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23"/>
    <x v="0"/>
    <s v="Shipment 1 B-10124 Fired Proces Heater"/>
    <x v="0"/>
    <x v="0"/>
    <m/>
    <m/>
    <s v="HEATER"/>
    <m/>
    <s v="S4"/>
    <s v="U285-AS-13MK106F2-1"/>
    <s v="13MK106F2-1"/>
    <s v="SUPPORT MANIFOLDS"/>
    <n v="1"/>
    <n v="426.9"/>
    <n v="426.9"/>
    <s v="(1598x700x700)"/>
    <m/>
    <m/>
    <m/>
    <m/>
    <m/>
    <m/>
    <m/>
    <m/>
    <m/>
    <m/>
    <m/>
    <m/>
    <m/>
    <n v="384.21"/>
    <n v="42.69"/>
    <m/>
    <m/>
    <n v="0"/>
    <d v="2026-10-13T00:00:00"/>
    <n v="1"/>
    <n v="426.9"/>
    <d v="2026-10-17T00:00:00"/>
    <n v="1"/>
    <n v="426.9"/>
    <m/>
    <m/>
    <n v="0"/>
    <m/>
    <m/>
    <m/>
    <n v="0"/>
    <m/>
    <m/>
    <n v="0"/>
    <s v="PAC"/>
    <m/>
  </r>
  <r>
    <n v="224"/>
    <x v="0"/>
    <s v="Shipment 1 B-10124 Fired Proces Heater"/>
    <x v="0"/>
    <x v="0"/>
    <m/>
    <m/>
    <s v="HEATER"/>
    <m/>
    <s v="S4"/>
    <s v="U285-AS-13MK106F2-2"/>
    <s v="13MK106F2-2"/>
    <s v="SUPPORT MANIFOLDS"/>
    <n v="1"/>
    <n v="427.8"/>
    <n v="427.8"/>
    <s v="(1598x700x700)"/>
    <m/>
    <m/>
    <m/>
    <m/>
    <m/>
    <m/>
    <m/>
    <m/>
    <m/>
    <m/>
    <m/>
    <m/>
    <m/>
    <n v="385.02"/>
    <n v="42.78000000000003"/>
    <m/>
    <m/>
    <n v="0"/>
    <d v="2026-10-13T00:00:00"/>
    <n v="1"/>
    <n v="427.8"/>
    <d v="2026-10-17T00:00:00"/>
    <n v="1"/>
    <n v="427.8"/>
    <m/>
    <m/>
    <n v="0"/>
    <m/>
    <m/>
    <m/>
    <n v="0"/>
    <m/>
    <m/>
    <n v="0"/>
    <s v="PAC"/>
    <m/>
  </r>
  <r>
    <n v="225"/>
    <x v="0"/>
    <s v="Shipment 1 B-10124 Fired Proces Heater"/>
    <x v="0"/>
    <x v="0"/>
    <m/>
    <m/>
    <s v="HEATER"/>
    <m/>
    <s v="S4"/>
    <s v="U285-AS-13MK106F3-1"/>
    <s v="13MK106F3-1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3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26"/>
    <x v="0"/>
    <s v="Shipment 1 B-10124 Fired Proces Heater"/>
    <x v="0"/>
    <x v="0"/>
    <m/>
    <m/>
    <s v="HEATER"/>
    <m/>
    <s v="S4"/>
    <s v="U285-AS-13MK106G-1"/>
    <s v="13MK106G-1"/>
    <s v="SUPPORT MANIFOLDS"/>
    <n v="1"/>
    <n v="426.9"/>
    <n v="426.9"/>
    <s v="(1598x700x700)"/>
    <m/>
    <m/>
    <m/>
    <m/>
    <m/>
    <m/>
    <m/>
    <m/>
    <m/>
    <m/>
    <m/>
    <m/>
    <m/>
    <n v="384.21"/>
    <n v="42.69"/>
    <m/>
    <m/>
    <n v="0"/>
    <d v="2026-10-14T00:00:00"/>
    <n v="1"/>
    <n v="426.9"/>
    <d v="2026-10-17T00:00:00"/>
    <n v="1"/>
    <n v="426.9"/>
    <m/>
    <m/>
    <n v="0"/>
    <m/>
    <m/>
    <m/>
    <n v="0"/>
    <m/>
    <m/>
    <n v="0"/>
    <s v="PAC"/>
    <m/>
  </r>
  <r>
    <n v="227"/>
    <x v="0"/>
    <s v="Shipment 1 B-10124 Fired Proces Heater"/>
    <x v="0"/>
    <x v="0"/>
    <m/>
    <m/>
    <s v="HEATER"/>
    <m/>
    <s v="S4"/>
    <s v="U285-AS-13MK106G1-1"/>
    <s v="13MK106G1-1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4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28"/>
    <x v="0"/>
    <s v="Shipment 1 B-10124 Fired Proces Heater"/>
    <x v="0"/>
    <x v="0"/>
    <m/>
    <m/>
    <s v="HEATER"/>
    <m/>
    <s v="S4"/>
    <s v="U285-AS-13MK106H-1"/>
    <s v="13MK106H-1"/>
    <s v="SUPPORT MANIFOLDS"/>
    <n v="1"/>
    <n v="427.8"/>
    <n v="427.8"/>
    <s v="(1598x700x700)"/>
    <m/>
    <m/>
    <m/>
    <m/>
    <m/>
    <m/>
    <m/>
    <m/>
    <m/>
    <m/>
    <m/>
    <m/>
    <m/>
    <n v="385.02"/>
    <n v="42.78000000000003"/>
    <m/>
    <m/>
    <n v="0"/>
    <d v="2026-10-14T00:00:00"/>
    <n v="1"/>
    <n v="427.8"/>
    <d v="2026-10-17T00:00:00"/>
    <n v="1"/>
    <n v="427.8"/>
    <m/>
    <m/>
    <n v="0"/>
    <m/>
    <m/>
    <m/>
    <n v="0"/>
    <m/>
    <m/>
    <n v="0"/>
    <s v="PAC"/>
    <m/>
  </r>
  <r>
    <n v="229"/>
    <x v="0"/>
    <s v="Shipment 1 B-10124 Fired Proces Heater"/>
    <x v="0"/>
    <x v="0"/>
    <m/>
    <m/>
    <s v="HEATER"/>
    <m/>
    <s v="S4"/>
    <s v="U285-AS-13MK106H1-1"/>
    <s v="13MK106H1-1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4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30"/>
    <x v="0"/>
    <s v="Shipment 1 B-10124 Fired Proces Heater"/>
    <x v="0"/>
    <x v="0"/>
    <m/>
    <m/>
    <s v="HEATER"/>
    <m/>
    <s v="S4"/>
    <s v="U285-AS-13MK106I-1"/>
    <s v="13MK106I-1"/>
    <s v="SUPPORT MANIFOLDS"/>
    <n v="1"/>
    <n v="426.9"/>
    <n v="426.9"/>
    <s v="(1598x700x700)"/>
    <m/>
    <m/>
    <m/>
    <m/>
    <m/>
    <m/>
    <m/>
    <m/>
    <m/>
    <m/>
    <m/>
    <m/>
    <m/>
    <n v="384.21"/>
    <n v="42.69"/>
    <m/>
    <m/>
    <n v="0"/>
    <d v="2026-10-14T00:00:00"/>
    <n v="1"/>
    <n v="426.9"/>
    <d v="2026-10-17T00:00:00"/>
    <n v="1"/>
    <n v="426.9"/>
    <m/>
    <m/>
    <n v="0"/>
    <m/>
    <m/>
    <m/>
    <n v="0"/>
    <m/>
    <m/>
    <n v="0"/>
    <s v="PAC"/>
    <m/>
  </r>
  <r>
    <n v="231"/>
    <x v="0"/>
    <s v="Shipment 1 B-10124 Fired Proces Heater"/>
    <x v="0"/>
    <x v="0"/>
    <m/>
    <m/>
    <s v="HEATER"/>
    <m/>
    <s v="S4"/>
    <s v="U285-AS-13MK106I1-1"/>
    <s v="13MK106I1-1"/>
    <s v="SUPPORT MANIFOLDS"/>
    <n v="1"/>
    <n v="72.599999999999994"/>
    <n v="72.599999999999994"/>
    <s v="(150x400x700)"/>
    <m/>
    <m/>
    <m/>
    <m/>
    <m/>
    <m/>
    <m/>
    <m/>
    <m/>
    <m/>
    <m/>
    <m/>
    <m/>
    <n v="65.34"/>
    <n v="7.2599999999999909"/>
    <m/>
    <m/>
    <n v="0"/>
    <d v="2026-10-14T00:00:00"/>
    <n v="1"/>
    <n v="72.599999999999994"/>
    <d v="2026-10-17T00:00:00"/>
    <n v="1"/>
    <n v="72.599999999999994"/>
    <m/>
    <m/>
    <n v="0"/>
    <m/>
    <m/>
    <m/>
    <n v="0"/>
    <m/>
    <m/>
    <n v="0"/>
    <s v="PAC"/>
    <m/>
  </r>
  <r>
    <n v="232"/>
    <x v="0"/>
    <s v="Shipment 1 B-10124 Fired Proces Heater"/>
    <x v="0"/>
    <x v="0"/>
    <m/>
    <m/>
    <s v="HEATER"/>
    <m/>
    <s v="S4"/>
    <s v="U285-AS-13MK106J-1"/>
    <s v="13MK106J-1"/>
    <s v="SUPPORT MANIFOLDS"/>
    <n v="1"/>
    <n v="535.49999999999989"/>
    <n v="535.49999999999989"/>
    <s v="(1598x700x701)"/>
    <m/>
    <m/>
    <m/>
    <m/>
    <m/>
    <m/>
    <m/>
    <m/>
    <m/>
    <m/>
    <m/>
    <m/>
    <m/>
    <n v="267.74999999999994"/>
    <n v="267.74999999999994"/>
    <m/>
    <m/>
    <n v="0"/>
    <d v="2026-10-15T00:00:00"/>
    <n v="1"/>
    <n v="535.49999999999989"/>
    <m/>
    <m/>
    <n v="0"/>
    <m/>
    <m/>
    <n v="0"/>
    <m/>
    <m/>
    <m/>
    <n v="0"/>
    <m/>
    <m/>
    <n v="0"/>
    <s v="PAC"/>
    <m/>
  </r>
  <r>
    <n v="233"/>
    <x v="0"/>
    <s v="Shipment 1 B-10124 Fired Proces Heater"/>
    <x v="0"/>
    <x v="0"/>
    <m/>
    <m/>
    <s v="HEATER"/>
    <m/>
    <s v="S4"/>
    <s v="U285-AS-13MK106K-1"/>
    <s v="13MK106K-1"/>
    <s v="SUPPORT MANIFOLDS"/>
    <n v="1"/>
    <n v="535.49999999999989"/>
    <n v="535.49999999999989"/>
    <s v="(1598x700x701)"/>
    <m/>
    <m/>
    <m/>
    <m/>
    <m/>
    <m/>
    <m/>
    <m/>
    <m/>
    <m/>
    <m/>
    <m/>
    <m/>
    <n v="267.74999999999994"/>
    <n v="267.74999999999994"/>
    <m/>
    <m/>
    <n v="0"/>
    <d v="2026-10-15T00:00:00"/>
    <n v="1"/>
    <n v="535.49999999999989"/>
    <m/>
    <m/>
    <n v="0"/>
    <m/>
    <m/>
    <n v="0"/>
    <m/>
    <m/>
    <m/>
    <n v="0"/>
    <m/>
    <m/>
    <n v="0"/>
    <s v="PAC"/>
    <m/>
  </r>
  <r>
    <n v="234"/>
    <x v="0"/>
    <s v="Shipment 1 B-10124 Fired Proces Heater"/>
    <x v="0"/>
    <x v="0"/>
    <m/>
    <m/>
    <s v="HEATER"/>
    <m/>
    <s v="S4"/>
    <s v="U285-AS-13MK106L-1"/>
    <s v="13MK106L-1"/>
    <s v="SUPPORT MANIFOLDS"/>
    <n v="1"/>
    <n v="535.49999999999989"/>
    <n v="535.49999999999989"/>
    <s v="(1598x700x701)"/>
    <m/>
    <m/>
    <m/>
    <m/>
    <m/>
    <m/>
    <m/>
    <m/>
    <m/>
    <m/>
    <m/>
    <m/>
    <m/>
    <n v="267.74999999999994"/>
    <n v="267.74999999999994"/>
    <m/>
    <m/>
    <n v="0"/>
    <d v="2026-10-15T00:00:00"/>
    <n v="1"/>
    <n v="535.49999999999989"/>
    <m/>
    <m/>
    <n v="0"/>
    <m/>
    <m/>
    <n v="0"/>
    <m/>
    <m/>
    <m/>
    <n v="0"/>
    <m/>
    <m/>
    <n v="0"/>
    <s v="PAC"/>
    <m/>
  </r>
  <r>
    <n v="235"/>
    <x v="0"/>
    <s v="Shipment 1 B-10124 Fired Proces Heater"/>
    <x v="0"/>
    <x v="0"/>
    <m/>
    <m/>
    <s v="HEATER"/>
    <m/>
    <s v="S4"/>
    <s v="U285-AS-13MK106M-1"/>
    <s v="13MK106M-1"/>
    <s v="SUPPORT MANIFOLDS"/>
    <n v="1"/>
    <n v="535.5"/>
    <n v="535.5"/>
    <s v="(1598x700x701)"/>
    <m/>
    <m/>
    <m/>
    <m/>
    <m/>
    <m/>
    <m/>
    <m/>
    <m/>
    <m/>
    <m/>
    <m/>
    <m/>
    <n v="267.75"/>
    <n v="267.75"/>
    <m/>
    <m/>
    <n v="0"/>
    <d v="2026-10-15T00:00:00"/>
    <n v="1"/>
    <n v="535.5"/>
    <m/>
    <m/>
    <n v="0"/>
    <m/>
    <m/>
    <n v="0"/>
    <m/>
    <m/>
    <m/>
    <n v="0"/>
    <m/>
    <m/>
    <n v="0"/>
    <s v="PAC"/>
    <m/>
  </r>
  <r>
    <n v="236"/>
    <x v="0"/>
    <s v="Shipment 1 B-10124 Fired Proces Heater"/>
    <x v="0"/>
    <x v="0"/>
    <m/>
    <m/>
    <s v="HEATER"/>
    <m/>
    <s v="S4"/>
    <s v="U285-AS-13MK106N-1"/>
    <s v="13MK106N-1"/>
    <s v="SUPPORT MANIFOLDS"/>
    <n v="1"/>
    <n v="535.39999999999986"/>
    <n v="535.39999999999986"/>
    <s v="(1598x700x701)"/>
    <m/>
    <m/>
    <m/>
    <m/>
    <m/>
    <m/>
    <m/>
    <m/>
    <m/>
    <m/>
    <m/>
    <m/>
    <m/>
    <n v="267.69999999999993"/>
    <n v="267.69999999999993"/>
    <m/>
    <m/>
    <n v="0"/>
    <d v="2026-10-15T00:00:00"/>
    <n v="1"/>
    <n v="535.39999999999986"/>
    <m/>
    <m/>
    <n v="0"/>
    <m/>
    <m/>
    <n v="0"/>
    <m/>
    <m/>
    <m/>
    <n v="0"/>
    <m/>
    <m/>
    <n v="0"/>
    <s v="PAC"/>
    <m/>
  </r>
  <r>
    <n v="237"/>
    <x v="0"/>
    <s v="Shipment 1 B-10124 Fired Proces Heater"/>
    <x v="0"/>
    <x v="0"/>
    <m/>
    <m/>
    <s v="HEATER"/>
    <m/>
    <s v="S4"/>
    <s v="U285-AS-13MK106O-1"/>
    <s v="13MK106O-1"/>
    <s v="SUPPORT MANIFOLDS"/>
    <n v="1"/>
    <n v="535.49999999999989"/>
    <n v="535.49999999999989"/>
    <s v="(1598x700x701)"/>
    <m/>
    <m/>
    <m/>
    <m/>
    <m/>
    <m/>
    <m/>
    <m/>
    <m/>
    <m/>
    <m/>
    <m/>
    <m/>
    <n v="267.74999999999994"/>
    <n v="267.74999999999994"/>
    <m/>
    <m/>
    <n v="0"/>
    <d v="2026-10-15T00:00:00"/>
    <n v="1"/>
    <n v="535.49999999999989"/>
    <m/>
    <m/>
    <n v="0"/>
    <m/>
    <m/>
    <n v="0"/>
    <m/>
    <m/>
    <m/>
    <n v="0"/>
    <m/>
    <m/>
    <n v="0"/>
    <s v="PAC"/>
    <m/>
  </r>
  <r>
    <n v="238"/>
    <x v="0"/>
    <s v="Shipment 1 B-10124 Fired Proces Heater"/>
    <x v="0"/>
    <x v="0"/>
    <m/>
    <m/>
    <s v="HEATER"/>
    <m/>
    <s v="S4"/>
    <s v="U285-AS-13MK106P-1"/>
    <s v="13MK106P-1(1/3)"/>
    <s v="SUPPORT MANIFOLDS"/>
    <n v="1"/>
    <n v="377.66666666666669"/>
    <n v="377.66666666666669"/>
    <s v="(1438x700x700)"/>
    <m/>
    <m/>
    <m/>
    <m/>
    <m/>
    <m/>
    <m/>
    <m/>
    <m/>
    <m/>
    <m/>
    <m/>
    <m/>
    <n v="188.83333333333334"/>
    <n v="188.83333333333334"/>
    <m/>
    <m/>
    <n v="0"/>
    <d v="2026-10-15T00:00:00"/>
    <n v="1"/>
    <n v="377.66666666666669"/>
    <m/>
    <m/>
    <n v="0"/>
    <m/>
    <m/>
    <n v="0"/>
    <m/>
    <m/>
    <m/>
    <n v="0"/>
    <m/>
    <m/>
    <n v="0"/>
    <s v="PAC"/>
    <m/>
  </r>
  <r>
    <n v="239"/>
    <x v="0"/>
    <s v="Shipment 1 B-10124 Fired Proces Heater"/>
    <x v="0"/>
    <x v="0"/>
    <m/>
    <m/>
    <s v="HEATER"/>
    <m/>
    <s v="S4"/>
    <s v="U285-AS-13MK106P-1"/>
    <s v="13MK106P-1(2/3)"/>
    <s v="SUPPORT MANIFOLDS"/>
    <n v="1"/>
    <n v="377.66666666666669"/>
    <n v="377.66666666666669"/>
    <s v="(1438x700x700)"/>
    <m/>
    <m/>
    <m/>
    <m/>
    <m/>
    <m/>
    <m/>
    <m/>
    <m/>
    <m/>
    <m/>
    <m/>
    <m/>
    <n v="188.83333333333334"/>
    <n v="188.83333333333334"/>
    <m/>
    <m/>
    <n v="0"/>
    <d v="2026-10-15T00:00:00"/>
    <n v="1"/>
    <n v="377.66666666666669"/>
    <m/>
    <m/>
    <n v="0"/>
    <m/>
    <m/>
    <n v="0"/>
    <m/>
    <m/>
    <m/>
    <n v="0"/>
    <m/>
    <m/>
    <n v="0"/>
    <s v="PAC"/>
    <m/>
  </r>
  <r>
    <n v="240"/>
    <x v="0"/>
    <s v="Shipment 1 B-10124 Fired Proces Heater"/>
    <x v="0"/>
    <x v="0"/>
    <m/>
    <m/>
    <s v="HEATER"/>
    <m/>
    <s v="S4"/>
    <s v="U285-AS-13MK106P-1"/>
    <s v="13MK106P-1(3/3)"/>
    <s v="SUPPORT MANIFOLDS"/>
    <n v="1"/>
    <n v="377.66666666666669"/>
    <n v="377.66666666666669"/>
    <s v="(1438x700x700)"/>
    <m/>
    <m/>
    <m/>
    <m/>
    <m/>
    <m/>
    <m/>
    <m/>
    <m/>
    <m/>
    <m/>
    <m/>
    <m/>
    <n v="188.83333333333334"/>
    <n v="188.83333333333334"/>
    <m/>
    <m/>
    <n v="0"/>
    <d v="2026-10-15T00:00:00"/>
    <n v="1"/>
    <n v="377.66666666666669"/>
    <m/>
    <m/>
    <n v="0"/>
    <m/>
    <m/>
    <n v="0"/>
    <m/>
    <m/>
    <m/>
    <n v="0"/>
    <m/>
    <m/>
    <n v="0"/>
    <s v="PAC"/>
    <m/>
  </r>
  <r>
    <n v="241"/>
    <x v="0"/>
    <s v="Shipment 1 B-10124 Fired Proces Heater"/>
    <x v="0"/>
    <x v="0"/>
    <m/>
    <m/>
    <s v="HEATER"/>
    <m/>
    <s v="S4"/>
    <s v="U285-AS-13MK106P-2"/>
    <s v="13MK106P-2(1/3)"/>
    <s v="SUPPORT MANIFOLDS"/>
    <n v="1"/>
    <n v="378.56666666666666"/>
    <n v="378.56666666666666"/>
    <s v="(1438x700x700)"/>
    <m/>
    <m/>
    <m/>
    <m/>
    <m/>
    <m/>
    <m/>
    <m/>
    <m/>
    <m/>
    <m/>
    <m/>
    <m/>
    <n v="189.28333333333333"/>
    <n v="189.28333333333333"/>
    <m/>
    <m/>
    <n v="0"/>
    <d v="2026-10-15T00:00:00"/>
    <n v="1"/>
    <n v="378.56666666666666"/>
    <m/>
    <m/>
    <n v="0"/>
    <m/>
    <m/>
    <n v="0"/>
    <m/>
    <m/>
    <m/>
    <n v="0"/>
    <m/>
    <m/>
    <n v="0"/>
    <s v="PAC"/>
    <m/>
  </r>
  <r>
    <n v="242"/>
    <x v="0"/>
    <s v="Shipment 1 B-10124 Fired Proces Heater"/>
    <x v="0"/>
    <x v="0"/>
    <m/>
    <m/>
    <s v="HEATER"/>
    <m/>
    <s v="S4"/>
    <s v="U285-AS-13MK106P-2"/>
    <s v="13MK106P-2(2/3)"/>
    <s v="SUPPORT MANIFOLDS"/>
    <n v="1"/>
    <n v="378.56666666666666"/>
    <n v="378.56666666666666"/>
    <s v="(1438x700x700)"/>
    <m/>
    <m/>
    <m/>
    <m/>
    <m/>
    <m/>
    <m/>
    <m/>
    <m/>
    <m/>
    <m/>
    <m/>
    <m/>
    <n v="189.28333333333333"/>
    <n v="189.28333333333333"/>
    <m/>
    <m/>
    <n v="0"/>
    <d v="2026-10-17T00:00:00"/>
    <n v="1"/>
    <n v="378.56666666666666"/>
    <m/>
    <m/>
    <n v="0"/>
    <m/>
    <m/>
    <n v="0"/>
    <m/>
    <m/>
    <m/>
    <n v="0"/>
    <m/>
    <m/>
    <n v="0"/>
    <s v="PAC"/>
    <m/>
  </r>
  <r>
    <n v="243"/>
    <x v="0"/>
    <s v="Shipment 1 B-10124 Fired Proces Heater"/>
    <x v="0"/>
    <x v="0"/>
    <m/>
    <m/>
    <s v="HEATER"/>
    <m/>
    <s v="S4"/>
    <s v="U285-AS-13MK106P-2"/>
    <s v="13MK106P-2(3/3)"/>
    <s v="SUPPORT MANIFOLDS"/>
    <n v="1"/>
    <n v="378.56666666666666"/>
    <n v="378.56666666666666"/>
    <s v="(1438x700x700)"/>
    <m/>
    <m/>
    <m/>
    <m/>
    <m/>
    <m/>
    <m/>
    <m/>
    <m/>
    <m/>
    <m/>
    <m/>
    <m/>
    <n v="189.28333333333333"/>
    <n v="189.28333333333333"/>
    <m/>
    <m/>
    <n v="0"/>
    <d v="2026-10-17T00:00:00"/>
    <n v="1"/>
    <n v="378.56666666666666"/>
    <m/>
    <m/>
    <n v="0"/>
    <m/>
    <m/>
    <n v="0"/>
    <m/>
    <m/>
    <m/>
    <n v="0"/>
    <m/>
    <m/>
    <n v="0"/>
    <s v="PAC"/>
    <m/>
  </r>
  <r>
    <n v="244"/>
    <x v="0"/>
    <s v="Shipment 1 B-10124 Fired Proces Heater"/>
    <x v="0"/>
    <x v="0"/>
    <m/>
    <m/>
    <s v="HEATER"/>
    <m/>
    <s v="S4"/>
    <s v="U285-AS-13MK106P1-1"/>
    <s v="13MK106P1-1"/>
    <m/>
    <n v="24"/>
    <n v="1.3208333333333333"/>
    <n v="31.7"/>
    <s v="(308x5x142)"/>
    <m/>
    <m/>
    <m/>
    <m/>
    <m/>
    <m/>
    <m/>
    <m/>
    <m/>
    <m/>
    <m/>
    <m/>
    <m/>
    <n v="0"/>
    <n v="31.7"/>
    <m/>
    <m/>
    <n v="0"/>
    <m/>
    <m/>
    <n v="0"/>
    <m/>
    <m/>
    <n v="0"/>
    <m/>
    <m/>
    <n v="0"/>
    <m/>
    <m/>
    <m/>
    <n v="0"/>
    <m/>
    <m/>
    <n v="0"/>
    <s v="PAC"/>
    <m/>
  </r>
  <r>
    <n v="245"/>
    <x v="0"/>
    <s v="Shipment 1 B-10124 Fired Proces Heater"/>
    <x v="0"/>
    <x v="0"/>
    <m/>
    <m/>
    <s v="HEATER"/>
    <m/>
    <s v="S4"/>
    <s v="U285-AS-13MK106P2-1"/>
    <s v="13MK106P2-1"/>
    <m/>
    <n v="12"/>
    <n v="0.8"/>
    <n v="9.5"/>
    <s v="(308x3x142)"/>
    <m/>
    <m/>
    <m/>
    <m/>
    <m/>
    <m/>
    <m/>
    <m/>
    <m/>
    <m/>
    <m/>
    <m/>
    <m/>
    <n v="0"/>
    <n v="9.5"/>
    <m/>
    <m/>
    <n v="0"/>
    <m/>
    <m/>
    <n v="0"/>
    <m/>
    <m/>
    <n v="0"/>
    <m/>
    <m/>
    <n v="0"/>
    <m/>
    <m/>
    <m/>
    <n v="0"/>
    <m/>
    <m/>
    <n v="0"/>
    <s v="PAC"/>
    <m/>
  </r>
  <r>
    <n v="246"/>
    <x v="0"/>
    <s v="Shipment 1 B-10124 Fired Proces Heater"/>
    <x v="0"/>
    <x v="0"/>
    <m/>
    <m/>
    <s v="HEATER"/>
    <m/>
    <s v="S4"/>
    <s v="U285-AS-13MK106P3-1"/>
    <s v="13MK106P3-1"/>
    <m/>
    <n v="12"/>
    <n v="0.5"/>
    <n v="6.3"/>
    <s v="(308x2x142)"/>
    <m/>
    <m/>
    <m/>
    <m/>
    <m/>
    <m/>
    <m/>
    <m/>
    <m/>
    <m/>
    <m/>
    <m/>
    <m/>
    <n v="0"/>
    <n v="6.3"/>
    <m/>
    <m/>
    <n v="0"/>
    <m/>
    <m/>
    <n v="0"/>
    <m/>
    <m/>
    <n v="0"/>
    <m/>
    <m/>
    <n v="0"/>
    <m/>
    <m/>
    <m/>
    <n v="0"/>
    <m/>
    <m/>
    <n v="0"/>
    <s v="PAC"/>
    <m/>
  </r>
  <r>
    <n v="247"/>
    <x v="0"/>
    <s v="Shipment 1 B-10124 Fired Proces Heater"/>
    <x v="0"/>
    <x v="0"/>
    <m/>
    <m/>
    <s v="HEATER"/>
    <m/>
    <s v="S4"/>
    <s v="U285-AS-13MK106P4-1"/>
    <s v="13MK106P4-1"/>
    <m/>
    <n v="12"/>
    <n v="0.3"/>
    <n v="3.2"/>
    <s v="(308x1x142)"/>
    <m/>
    <m/>
    <m/>
    <m/>
    <m/>
    <m/>
    <m/>
    <m/>
    <m/>
    <m/>
    <m/>
    <m/>
    <m/>
    <n v="0"/>
    <n v="3.2"/>
    <m/>
    <m/>
    <n v="0"/>
    <m/>
    <m/>
    <n v="0"/>
    <m/>
    <m/>
    <n v="0"/>
    <m/>
    <m/>
    <n v="0"/>
    <m/>
    <m/>
    <m/>
    <n v="0"/>
    <m/>
    <m/>
    <n v="0"/>
    <s v="PAC"/>
    <m/>
  </r>
  <r>
    <n v="248"/>
    <x v="0"/>
    <s v="Shipment 1 B-10124 Fired Proces Heater"/>
    <x v="0"/>
    <x v="0"/>
    <m/>
    <m/>
    <s v="HEATER"/>
    <m/>
    <s v="S4"/>
    <s v="U285-AS-13MK106A-1"/>
    <s v="13MK106A-1(1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49"/>
    <x v="0"/>
    <s v="Shipment 1 B-10124 Fired Proces Heater"/>
    <x v="0"/>
    <x v="0"/>
    <m/>
    <m/>
    <s v="HEATER"/>
    <m/>
    <s v="S4"/>
    <s v="U285-AS-13MK106A-1"/>
    <s v="13MK106A-1(2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0"/>
    <x v="0"/>
    <s v="Shipment 1 B-10124 Fired Proces Heater"/>
    <x v="0"/>
    <x v="0"/>
    <m/>
    <m/>
    <s v="HEATER"/>
    <m/>
    <s v="S4"/>
    <s v="U285-AS-13MK106A-1"/>
    <s v="13MK106A-1(3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1"/>
    <x v="0"/>
    <s v="Shipment 1 B-10124 Fired Proces Heater"/>
    <x v="0"/>
    <x v="0"/>
    <m/>
    <m/>
    <s v="HEATER"/>
    <m/>
    <s v="S4"/>
    <s v="U285-AS-13MK106A-1"/>
    <s v="13MK106A-1(4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2"/>
    <x v="0"/>
    <s v="Shipment 1 B-10124 Fired Proces Heater"/>
    <x v="0"/>
    <x v="0"/>
    <m/>
    <m/>
    <s v="HEATER"/>
    <m/>
    <s v="S4"/>
    <s v="U285-AS-13MK106A-1"/>
    <s v="13MK106A-1(5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3"/>
    <x v="0"/>
    <s v="Shipment 1 B-10124 Fired Proces Heater"/>
    <x v="0"/>
    <x v="0"/>
    <m/>
    <m/>
    <s v="HEATER"/>
    <m/>
    <s v="S4"/>
    <s v="U285-AS-13MK106A-1"/>
    <s v="13MK106A-1(6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4"/>
    <x v="0"/>
    <s v="Shipment 1 B-10124 Fired Proces Heater"/>
    <x v="0"/>
    <x v="0"/>
    <m/>
    <m/>
    <s v="HEATER"/>
    <m/>
    <s v="S4"/>
    <s v="U285-AS-13MK106A-1"/>
    <s v="13MK106A-1(7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5"/>
    <x v="0"/>
    <s v="Shipment 1 B-10124 Fired Proces Heater"/>
    <x v="0"/>
    <x v="0"/>
    <m/>
    <m/>
    <s v="HEATER"/>
    <m/>
    <s v="S4"/>
    <s v="U285-AS-13MK106A-1"/>
    <s v="13MK106A-1(8/8)"/>
    <s v="RADIANT FLOOR"/>
    <n v="1"/>
    <n v="230.5"/>
    <n v="230.5"/>
    <s v="(600x600x450)"/>
    <m/>
    <m/>
    <m/>
    <m/>
    <m/>
    <m/>
    <m/>
    <m/>
    <m/>
    <m/>
    <m/>
    <m/>
    <m/>
    <n v="0"/>
    <n v="230.5"/>
    <m/>
    <m/>
    <n v="0"/>
    <m/>
    <m/>
    <n v="0"/>
    <m/>
    <m/>
    <n v="0"/>
    <m/>
    <m/>
    <n v="0"/>
    <m/>
    <m/>
    <m/>
    <n v="0"/>
    <m/>
    <m/>
    <n v="0"/>
    <s v="PAC"/>
    <m/>
  </r>
  <r>
    <n v="256"/>
    <x v="0"/>
    <s v="Shipment 1 B-10124 Fired Proces Heater"/>
    <x v="0"/>
    <x v="0"/>
    <m/>
    <m/>
    <s v="HEATER"/>
    <m/>
    <s v="S4"/>
    <s v="U285-AS-13MK106B-1"/>
    <s v="13MK106B-1(1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57"/>
    <x v="0"/>
    <s v="Shipment 1 B-10124 Fired Proces Heater"/>
    <x v="0"/>
    <x v="0"/>
    <m/>
    <m/>
    <s v="HEATER"/>
    <m/>
    <s v="S4"/>
    <s v="U285-AS-13MK106B-1"/>
    <s v="13MK106B-1(2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58"/>
    <x v="0"/>
    <s v="Shipment 1 B-10124 Fired Proces Heater"/>
    <x v="0"/>
    <x v="0"/>
    <m/>
    <m/>
    <s v="HEATER"/>
    <m/>
    <s v="S4"/>
    <s v="U285-AS-13MK106B-1"/>
    <s v="13MK106B-1(3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59"/>
    <x v="0"/>
    <s v="Shipment 1 B-10124 Fired Proces Heater"/>
    <x v="0"/>
    <x v="0"/>
    <m/>
    <m/>
    <s v="HEATER"/>
    <m/>
    <s v="S4"/>
    <s v="U285-AS-13MK106B-1"/>
    <s v="13MK106B-1(4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60"/>
    <x v="0"/>
    <s v="Shipment 1 B-10124 Fired Proces Heater"/>
    <x v="0"/>
    <x v="0"/>
    <m/>
    <m/>
    <s v="HEATER"/>
    <m/>
    <s v="S4"/>
    <s v="U285-AS-13MK106B-1"/>
    <s v="13MK106B-1(5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61"/>
    <x v="0"/>
    <s v="Shipment 1 B-10124 Fired Proces Heater"/>
    <x v="0"/>
    <x v="0"/>
    <m/>
    <m/>
    <s v="HEATER"/>
    <m/>
    <s v="S4"/>
    <s v="U285-AS-13MK106B-1"/>
    <s v="13MK106B-1(6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62"/>
    <x v="0"/>
    <s v="Shipment 1 B-10124 Fired Proces Heater"/>
    <x v="0"/>
    <x v="0"/>
    <m/>
    <m/>
    <s v="HEATER"/>
    <m/>
    <s v="S4"/>
    <s v="U285-AS-13MK106B-1"/>
    <s v="13MK106B-1(7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63"/>
    <x v="0"/>
    <s v="Shipment 1 B-10124 Fired Proces Heater"/>
    <x v="0"/>
    <x v="0"/>
    <m/>
    <m/>
    <s v="HEATER"/>
    <m/>
    <s v="S4"/>
    <s v="U285-AS-13MK106B-1"/>
    <s v="13MK106B-1(8/8)"/>
    <s v="RADIANT FLOOR"/>
    <n v="1"/>
    <n v="91.862499999999983"/>
    <n v="91.862499999999983"/>
    <s v="(600x205x450)"/>
    <m/>
    <m/>
    <m/>
    <m/>
    <m/>
    <m/>
    <m/>
    <m/>
    <m/>
    <m/>
    <m/>
    <m/>
    <m/>
    <n v="0"/>
    <n v="91.862499999999983"/>
    <m/>
    <m/>
    <n v="0"/>
    <m/>
    <m/>
    <n v="0"/>
    <m/>
    <m/>
    <n v="0"/>
    <m/>
    <m/>
    <n v="0"/>
    <m/>
    <m/>
    <m/>
    <n v="0"/>
    <m/>
    <m/>
    <n v="0"/>
    <s v="PAC"/>
    <m/>
  </r>
  <r>
    <n v="264"/>
    <x v="0"/>
    <s v="Shipment 1 B-10124 Fired Proces Heater"/>
    <x v="0"/>
    <x v="0"/>
    <m/>
    <m/>
    <s v="HEATER"/>
    <m/>
    <s v="S4"/>
    <s v="U285-AS-13MK107-1"/>
    <s v="13MK107-1"/>
    <s v="RADIANT FLOOR"/>
    <n v="20"/>
    <n v="0.83499999999999996"/>
    <n v="16.7"/>
    <s v="(76x10x140)"/>
    <m/>
    <m/>
    <m/>
    <m/>
    <m/>
    <m/>
    <m/>
    <m/>
    <m/>
    <m/>
    <m/>
    <m/>
    <m/>
    <n v="0"/>
    <n v="16.7"/>
    <m/>
    <m/>
    <n v="0"/>
    <m/>
    <m/>
    <n v="0"/>
    <m/>
    <m/>
    <n v="0"/>
    <m/>
    <m/>
    <n v="0"/>
    <m/>
    <m/>
    <m/>
    <n v="0"/>
    <m/>
    <m/>
    <n v="0"/>
    <s v="PAC"/>
    <m/>
  </r>
  <r>
    <n v="265"/>
    <x v="0"/>
    <s v="Shipment 1 B-10124 Fired Proces Heater"/>
    <x v="0"/>
    <x v="0"/>
    <m/>
    <m/>
    <s v="HEATER"/>
    <m/>
    <s v="S4"/>
    <s v="U285-AS-13MK108-1"/>
    <s v="13MK108-1"/>
    <s v="RADIANT FLOOR"/>
    <n v="1"/>
    <n v="11.6"/>
    <n v="11.6"/>
    <s v="(450x10x520)"/>
    <m/>
    <m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PAC"/>
    <m/>
  </r>
  <r>
    <n v="266"/>
    <x v="0"/>
    <s v="Shipment 1 B-10124 Fired Proces Heater"/>
    <x v="0"/>
    <x v="0"/>
    <m/>
    <m/>
    <s v="HEATER"/>
    <m/>
    <s v="S4"/>
    <s v="U285-AS-13MK108-2"/>
    <s v="13MK108-2"/>
    <s v="RADIANT FLOOR"/>
    <n v="1"/>
    <n v="11.6"/>
    <n v="11.6"/>
    <s v="(450x10x520)"/>
    <m/>
    <m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PAC"/>
    <m/>
  </r>
  <r>
    <n v="267"/>
    <x v="0"/>
    <s v="Shipment 1 B-10124 Fired Proces Heater"/>
    <x v="0"/>
    <x v="0"/>
    <m/>
    <m/>
    <s v="HEATER"/>
    <m/>
    <s v="S4"/>
    <s v="U285-AS-13MK109-1"/>
    <s v="13MK109-1"/>
    <s v="RADIANT FLOOR"/>
    <n v="1"/>
    <n v="11.9"/>
    <n v="11.9"/>
    <s v="(444x10x530)"/>
    <m/>
    <m/>
    <m/>
    <m/>
    <m/>
    <m/>
    <m/>
    <m/>
    <m/>
    <m/>
    <m/>
    <m/>
    <m/>
    <n v="0"/>
    <n v="11.9"/>
    <m/>
    <m/>
    <n v="0"/>
    <m/>
    <m/>
    <n v="0"/>
    <m/>
    <m/>
    <n v="0"/>
    <m/>
    <m/>
    <n v="0"/>
    <m/>
    <m/>
    <m/>
    <n v="0"/>
    <m/>
    <m/>
    <n v="0"/>
    <s v="PAC"/>
    <m/>
  </r>
  <r>
    <n v="268"/>
    <x v="0"/>
    <s v="Shipment 1 B-10124 Fired Proces Heater"/>
    <x v="0"/>
    <x v="0"/>
    <m/>
    <m/>
    <s v="HEATER"/>
    <m/>
    <s v="S4"/>
    <s v="U285-AS-13MK110-1"/>
    <s v="13MK110-1(1/2)"/>
    <s v="RADIANT FLOOR"/>
    <n v="1"/>
    <n v="20.3"/>
    <n v="20.3"/>
    <s v="(2040x75x75)"/>
    <m/>
    <m/>
    <m/>
    <m/>
    <m/>
    <m/>
    <m/>
    <m/>
    <m/>
    <m/>
    <m/>
    <m/>
    <m/>
    <n v="20.300000000000004"/>
    <n v="0"/>
    <m/>
    <m/>
    <n v="0"/>
    <d v="2026-10-13T00:00:00"/>
    <n v="1"/>
    <n v="20.3"/>
    <d v="2026-10-13T00:00:00"/>
    <n v="1"/>
    <n v="20.3"/>
    <m/>
    <m/>
    <n v="0"/>
    <s v="U285-009"/>
    <d v="2026-10-13T00:00:00"/>
    <n v="1"/>
    <n v="20.3"/>
    <d v="2026-10-15T00:00:00"/>
    <n v="1"/>
    <n v="20.3"/>
    <s v="PAC"/>
    <s v="U285-006"/>
  </r>
  <r>
    <n v="269"/>
    <x v="0"/>
    <s v="Shipment 1 B-10124 Fired Proces Heater"/>
    <x v="0"/>
    <x v="0"/>
    <m/>
    <m/>
    <s v="HEATER"/>
    <m/>
    <s v="S4"/>
    <s v="U285-AS-13MK110-1"/>
    <s v="13MK110-1(2/2)"/>
    <s v="RADIANT FLOOR"/>
    <n v="1"/>
    <n v="20.3"/>
    <n v="20.3"/>
    <s v="(2040x75x75)"/>
    <m/>
    <m/>
    <m/>
    <m/>
    <m/>
    <m/>
    <m/>
    <m/>
    <m/>
    <m/>
    <m/>
    <m/>
    <m/>
    <n v="20.300000000000004"/>
    <n v="0"/>
    <m/>
    <m/>
    <n v="0"/>
    <d v="2026-10-13T00:00:00"/>
    <n v="1"/>
    <n v="20.3"/>
    <d v="2026-10-13T00:00:00"/>
    <n v="1"/>
    <n v="20.3"/>
    <m/>
    <m/>
    <n v="0"/>
    <s v="U285-009"/>
    <d v="2026-10-13T00:00:00"/>
    <n v="1"/>
    <n v="20.3"/>
    <d v="2026-10-15T00:00:00"/>
    <n v="1"/>
    <n v="20.3"/>
    <s v="PAC"/>
    <s v="U285-006"/>
  </r>
  <r>
    <n v="270"/>
    <x v="0"/>
    <s v="Shipment 1 B-10124 Fired Proces Heater"/>
    <x v="0"/>
    <x v="0"/>
    <m/>
    <m/>
    <s v="HEATER"/>
    <m/>
    <s v="S4"/>
    <s v="U285-AS-13MK110-2"/>
    <s v="13MK110-2(1/2)"/>
    <s v="RADIANT FLOOR"/>
    <n v="1"/>
    <n v="20.3"/>
    <n v="20.3"/>
    <s v="(2040x75x75)"/>
    <m/>
    <m/>
    <m/>
    <m/>
    <m/>
    <m/>
    <m/>
    <m/>
    <m/>
    <m/>
    <m/>
    <m/>
    <m/>
    <n v="20.300000000000004"/>
    <n v="0"/>
    <m/>
    <m/>
    <n v="0"/>
    <d v="2026-10-13T00:00:00"/>
    <n v="1"/>
    <n v="20.3"/>
    <d v="2026-10-13T00:00:00"/>
    <n v="1"/>
    <n v="20.3"/>
    <m/>
    <m/>
    <n v="0"/>
    <s v="U285-009"/>
    <d v="2026-10-13T00:00:00"/>
    <n v="1"/>
    <n v="20.3"/>
    <d v="2026-10-15T00:00:00"/>
    <n v="1"/>
    <n v="20.3"/>
    <s v="PAC"/>
    <s v="U285-006"/>
  </r>
  <r>
    <n v="271"/>
    <x v="0"/>
    <s v="Shipment 1 B-10124 Fired Proces Heater"/>
    <x v="0"/>
    <x v="0"/>
    <m/>
    <m/>
    <s v="HEATER"/>
    <m/>
    <s v="S4"/>
    <s v="U285-AS-13MK110-2"/>
    <s v="13MK110-2(2/2)"/>
    <s v="RADIANT FLOOR"/>
    <n v="1"/>
    <n v="20.3"/>
    <n v="20.3"/>
    <s v="(2040x75x75)"/>
    <m/>
    <m/>
    <m/>
    <m/>
    <m/>
    <m/>
    <m/>
    <m/>
    <m/>
    <m/>
    <m/>
    <m/>
    <m/>
    <n v="20.300000000000004"/>
    <n v="0"/>
    <m/>
    <m/>
    <n v="0"/>
    <d v="2026-10-13T00:00:00"/>
    <n v="1"/>
    <n v="20.3"/>
    <d v="2026-10-13T00:00:00"/>
    <n v="1"/>
    <n v="20.3"/>
    <m/>
    <m/>
    <n v="0"/>
    <s v="U285-009"/>
    <d v="2026-10-13T00:00:00"/>
    <n v="1"/>
    <n v="20.3"/>
    <d v="2026-10-15T00:00:00"/>
    <n v="1"/>
    <n v="20.3"/>
    <s v="PAC"/>
    <s v="U285-006"/>
  </r>
  <r>
    <n v="272"/>
    <x v="0"/>
    <s v="Shipment 1 B-10124 Fired Proces Heater"/>
    <x v="0"/>
    <x v="0"/>
    <m/>
    <m/>
    <s v="HEATER"/>
    <m/>
    <s v="S4"/>
    <s v="U285-AS-13MK111-1"/>
    <s v="13MK111-1(1/2)"/>
    <s v="RADIANT FLOOR"/>
    <n v="1"/>
    <n v="16.600000000000001"/>
    <n v="16.600000000000001"/>
    <s v="(1665x75x75)"/>
    <m/>
    <m/>
    <m/>
    <m/>
    <m/>
    <m/>
    <m/>
    <m/>
    <m/>
    <m/>
    <m/>
    <m/>
    <m/>
    <n v="16.600000000000001"/>
    <n v="0"/>
    <m/>
    <m/>
    <n v="0"/>
    <d v="2026-10-13T00:00:00"/>
    <n v="1"/>
    <n v="16.600000000000001"/>
    <d v="2026-10-13T00:00:00"/>
    <n v="1"/>
    <n v="16.600000000000001"/>
    <m/>
    <m/>
    <n v="0"/>
    <s v="U285-009"/>
    <d v="2026-10-13T00:00:00"/>
    <n v="1"/>
    <n v="16.600000000000001"/>
    <d v="2026-10-15T00:00:00"/>
    <n v="1"/>
    <n v="16.600000000000001"/>
    <s v="PAC"/>
    <s v="U285-006"/>
  </r>
  <r>
    <n v="273"/>
    <x v="0"/>
    <s v="Shipment 1 B-10124 Fired Proces Heater"/>
    <x v="0"/>
    <x v="0"/>
    <m/>
    <m/>
    <s v="HEATER"/>
    <m/>
    <s v="S4"/>
    <s v="U285-AS-13MK111-1"/>
    <s v="13MK111-1(2/2)"/>
    <s v="RADIANT FLOOR"/>
    <n v="1"/>
    <n v="16.600000000000001"/>
    <n v="16.600000000000001"/>
    <s v="(1665x75x75)"/>
    <m/>
    <m/>
    <m/>
    <m/>
    <m/>
    <m/>
    <m/>
    <m/>
    <m/>
    <m/>
    <m/>
    <m/>
    <m/>
    <n v="16.600000000000001"/>
    <n v="0"/>
    <m/>
    <m/>
    <n v="0"/>
    <d v="2026-10-13T00:00:00"/>
    <n v="1"/>
    <n v="16.600000000000001"/>
    <d v="2026-10-13T00:00:00"/>
    <n v="1"/>
    <n v="16.600000000000001"/>
    <m/>
    <m/>
    <n v="0"/>
    <s v="U285-009"/>
    <d v="2026-10-13T00:00:00"/>
    <n v="1"/>
    <n v="16.600000000000001"/>
    <d v="2026-10-15T00:00:00"/>
    <n v="1"/>
    <n v="16.600000000000001"/>
    <s v="PAC"/>
    <s v="U285-006"/>
  </r>
  <r>
    <n v="274"/>
    <x v="0"/>
    <s v="Shipment 1 B-10124 Fired Proces Heater"/>
    <x v="0"/>
    <x v="0"/>
    <m/>
    <m/>
    <s v="HEATER"/>
    <m/>
    <s v="S4"/>
    <s v="U285-AS-13MK111-2"/>
    <s v="13MK111-2(1/2)"/>
    <s v="RADIANT FLOOR"/>
    <n v="1"/>
    <n v="16.600000000000001"/>
    <n v="16.600000000000001"/>
    <s v="(1665x75x75)"/>
    <m/>
    <m/>
    <m/>
    <m/>
    <m/>
    <m/>
    <m/>
    <m/>
    <m/>
    <m/>
    <m/>
    <m/>
    <m/>
    <n v="16.600000000000001"/>
    <n v="0"/>
    <m/>
    <m/>
    <n v="0"/>
    <d v="2026-10-13T00:00:00"/>
    <n v="1"/>
    <n v="16.600000000000001"/>
    <d v="2026-10-13T00:00:00"/>
    <n v="1"/>
    <n v="16.600000000000001"/>
    <m/>
    <m/>
    <n v="0"/>
    <s v="U285-009"/>
    <d v="2026-10-13T00:00:00"/>
    <n v="1"/>
    <n v="16.600000000000001"/>
    <d v="2026-10-15T00:00:00"/>
    <n v="1"/>
    <n v="16.600000000000001"/>
    <s v="PAC"/>
    <s v="U285-006"/>
  </r>
  <r>
    <n v="275"/>
    <x v="0"/>
    <s v="Shipment 1 B-10124 Fired Proces Heater"/>
    <x v="0"/>
    <x v="0"/>
    <m/>
    <m/>
    <s v="HEATER"/>
    <m/>
    <s v="S4"/>
    <s v="U285-AS-13MK111-2"/>
    <s v="13MK111-2(2/2)"/>
    <s v="RADIANT FLOOR"/>
    <n v="1"/>
    <n v="16.600000000000001"/>
    <n v="16.600000000000001"/>
    <s v="(1665x75x75)"/>
    <m/>
    <m/>
    <m/>
    <m/>
    <m/>
    <m/>
    <m/>
    <m/>
    <m/>
    <m/>
    <m/>
    <m/>
    <m/>
    <n v="16.600000000000001"/>
    <n v="0"/>
    <m/>
    <m/>
    <n v="0"/>
    <d v="2026-10-13T00:00:00"/>
    <n v="1"/>
    <n v="16.600000000000001"/>
    <d v="2026-10-13T00:00:00"/>
    <n v="1"/>
    <n v="16.600000000000001"/>
    <m/>
    <m/>
    <n v="0"/>
    <s v="U285-009"/>
    <d v="2026-10-13T00:00:00"/>
    <n v="1"/>
    <n v="16.600000000000001"/>
    <d v="2026-10-15T00:00:00"/>
    <n v="1"/>
    <n v="16.600000000000001"/>
    <s v="PAC"/>
    <s v="U285-006"/>
  </r>
  <r>
    <n v="276"/>
    <x v="0"/>
    <s v="Shipment 1 B-10124 Fired Proces Heater"/>
    <x v="0"/>
    <x v="0"/>
    <m/>
    <m/>
    <s v="HEATER"/>
    <m/>
    <s v="S4"/>
    <s v="U285-AS-13MK112-1"/>
    <s v="13MK112-1(1/2)"/>
    <s v="RADIANT FLOOR"/>
    <n v="1"/>
    <n v="39.299999999999997"/>
    <n v="39.299999999999997"/>
    <s v="(3945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77"/>
    <x v="0"/>
    <s v="Shipment 1 B-10124 Fired Proces Heater"/>
    <x v="0"/>
    <x v="0"/>
    <m/>
    <m/>
    <s v="HEATER"/>
    <m/>
    <s v="S4"/>
    <s v="U285-AS-13MK112-1"/>
    <s v="13MK112-1(2/2)"/>
    <s v="RADIANT FLOOR"/>
    <n v="1"/>
    <n v="39.299999999999997"/>
    <n v="39.299999999999997"/>
    <s v="(3945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78"/>
    <x v="0"/>
    <s v="Shipment 1 B-10124 Fired Proces Heater"/>
    <x v="0"/>
    <x v="0"/>
    <m/>
    <m/>
    <s v="HEATER"/>
    <m/>
    <s v="S4"/>
    <s v="U285-AS-13MK113-1"/>
    <s v="13MK113-1"/>
    <s v="RADIANT FLOOR"/>
    <n v="1"/>
    <n v="39.299999999999997"/>
    <n v="39.299999999999997"/>
    <s v="(3945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79"/>
    <x v="0"/>
    <s v="Shipment 1 B-10124 Fired Proces Heater"/>
    <x v="0"/>
    <x v="0"/>
    <m/>
    <m/>
    <s v="HEATER"/>
    <m/>
    <s v="S4"/>
    <s v="U285-AS-13MK113-2"/>
    <s v="13MK113-2"/>
    <s v="RADIANT FLOOR"/>
    <n v="1"/>
    <n v="39.299999999999997"/>
    <n v="39.299999999999997"/>
    <s v="(3945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80"/>
    <x v="0"/>
    <s v="Shipment 1 B-10124 Fired Proces Heater"/>
    <x v="0"/>
    <x v="0"/>
    <m/>
    <m/>
    <s v="HEATER"/>
    <m/>
    <s v="S4"/>
    <s v="U285-AS-13MK114-1"/>
    <s v="13MK114-1"/>
    <s v="RADIANT FLOOR"/>
    <n v="1"/>
    <n v="18.399999999999999"/>
    <n v="18.399999999999999"/>
    <s v="(1850x75x75)"/>
    <m/>
    <m/>
    <m/>
    <m/>
    <m/>
    <m/>
    <m/>
    <m/>
    <m/>
    <m/>
    <m/>
    <m/>
    <m/>
    <n v="18.399999999999999"/>
    <n v="0"/>
    <m/>
    <m/>
    <n v="0"/>
    <d v="2026-10-13T00:00:00"/>
    <n v="1"/>
    <n v="18.399999999999999"/>
    <d v="2026-10-13T00:00:00"/>
    <n v="1"/>
    <n v="18.399999999999999"/>
    <m/>
    <m/>
    <n v="0"/>
    <s v="U285-009"/>
    <d v="2026-10-13T00:00:00"/>
    <n v="1"/>
    <n v="18.399999999999999"/>
    <d v="2026-10-15T00:00:00"/>
    <n v="1"/>
    <n v="18.399999999999999"/>
    <s v="PAC"/>
    <s v="U285-006"/>
  </r>
  <r>
    <n v="281"/>
    <x v="0"/>
    <s v="Shipment 1 B-10124 Fired Proces Heater"/>
    <x v="0"/>
    <x v="0"/>
    <m/>
    <m/>
    <s v="HEATER"/>
    <m/>
    <s v="S4"/>
    <s v="U285-AS-13MK114-2"/>
    <s v="13MK114-2"/>
    <s v="RADIANT FLOOR"/>
    <n v="1"/>
    <n v="18.399999999999999"/>
    <n v="18.399999999999999"/>
    <s v="(1850x75x75)"/>
    <m/>
    <m/>
    <m/>
    <m/>
    <m/>
    <m/>
    <m/>
    <m/>
    <m/>
    <m/>
    <m/>
    <m/>
    <m/>
    <n v="18.399999999999999"/>
    <n v="0"/>
    <m/>
    <m/>
    <n v="0"/>
    <d v="2026-10-13T00:00:00"/>
    <n v="1"/>
    <n v="18.399999999999999"/>
    <d v="2026-10-13T00:00:00"/>
    <n v="1"/>
    <n v="18.399999999999999"/>
    <m/>
    <m/>
    <n v="0"/>
    <s v="U285-009"/>
    <d v="2026-10-13T00:00:00"/>
    <n v="1"/>
    <n v="18.399999999999999"/>
    <d v="2026-10-15T00:00:00"/>
    <n v="1"/>
    <n v="18.399999999999999"/>
    <s v="PAC"/>
    <s v="U285-006"/>
  </r>
  <r>
    <n v="282"/>
    <x v="0"/>
    <s v="Shipment 1 B-10124 Fired Proces Heater"/>
    <x v="0"/>
    <x v="0"/>
    <m/>
    <m/>
    <s v="HEATER"/>
    <m/>
    <s v="S4"/>
    <s v="U285-AS-13MK114-3"/>
    <s v="13MK114-3"/>
    <s v="RADIANT FLOOR"/>
    <n v="1"/>
    <n v="18.399999999999999"/>
    <n v="18.399999999999999"/>
    <s v="(1850x75x75)"/>
    <m/>
    <m/>
    <m/>
    <m/>
    <m/>
    <m/>
    <m/>
    <m/>
    <m/>
    <m/>
    <m/>
    <m/>
    <m/>
    <n v="18.399999999999999"/>
    <n v="0"/>
    <m/>
    <m/>
    <n v="0"/>
    <d v="2026-10-13T00:00:00"/>
    <n v="1"/>
    <n v="18.399999999999999"/>
    <d v="2026-10-13T00:00:00"/>
    <n v="1"/>
    <n v="18.399999999999999"/>
    <m/>
    <m/>
    <n v="0"/>
    <s v="U285-009"/>
    <d v="2026-10-13T00:00:00"/>
    <n v="1"/>
    <n v="18.399999999999999"/>
    <d v="2026-10-15T00:00:00"/>
    <n v="1"/>
    <n v="18.399999999999999"/>
    <s v="PAC"/>
    <s v="U285-006"/>
  </r>
  <r>
    <n v="283"/>
    <x v="0"/>
    <s v="Shipment 1 B-10124 Fired Proces Heater"/>
    <x v="0"/>
    <x v="0"/>
    <m/>
    <m/>
    <s v="HEATER"/>
    <m/>
    <s v="S4"/>
    <s v="U285-AS-13MK114-4"/>
    <s v="13MK114-4"/>
    <s v="RADIANT FLOOR"/>
    <n v="1"/>
    <n v="18.399999999999999"/>
    <n v="18.399999999999999"/>
    <s v="(1850x75x75)"/>
    <m/>
    <m/>
    <m/>
    <m/>
    <m/>
    <m/>
    <m/>
    <m/>
    <m/>
    <m/>
    <m/>
    <m/>
    <m/>
    <n v="18.399999999999999"/>
    <n v="0"/>
    <m/>
    <m/>
    <n v="0"/>
    <d v="2026-10-13T00:00:00"/>
    <n v="1"/>
    <n v="18.399999999999999"/>
    <d v="2026-10-13T00:00:00"/>
    <n v="1"/>
    <n v="18.399999999999999"/>
    <m/>
    <m/>
    <n v="0"/>
    <s v="U285-009"/>
    <d v="2026-10-13T00:00:00"/>
    <n v="1"/>
    <n v="18.399999999999999"/>
    <d v="2026-10-15T00:00:00"/>
    <n v="1"/>
    <n v="18.399999999999999"/>
    <s v="PAC"/>
    <s v="U285-006"/>
  </r>
  <r>
    <n v="284"/>
    <x v="0"/>
    <s v="Shipment 1 B-10124 Fired Proces Heater"/>
    <x v="0"/>
    <x v="0"/>
    <m/>
    <m/>
    <s v="HEATER"/>
    <m/>
    <s v="S4"/>
    <s v="U285-AS-13MK115-1"/>
    <s v="13MK115-1"/>
    <s v="RADIANT FLOOR"/>
    <n v="1"/>
    <n v="39.299999999999997"/>
    <n v="39.299999999999997"/>
    <s v="(3950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85"/>
    <x v="0"/>
    <s v="Shipment 1 B-10124 Fired Proces Heater"/>
    <x v="0"/>
    <x v="0"/>
    <m/>
    <m/>
    <s v="HEATER"/>
    <m/>
    <s v="S4"/>
    <s v="U285-AS-13MK115-2"/>
    <s v="13MK115-2"/>
    <s v="RADIANT FLOOR"/>
    <n v="1"/>
    <n v="39.299999999999997"/>
    <n v="39.299999999999997"/>
    <s v="(3950x75x75)"/>
    <m/>
    <m/>
    <m/>
    <m/>
    <m/>
    <m/>
    <m/>
    <m/>
    <m/>
    <m/>
    <m/>
    <m/>
    <m/>
    <n v="39.299999999999997"/>
    <n v="0"/>
    <m/>
    <m/>
    <n v="0"/>
    <d v="2026-10-13T00:00:00"/>
    <n v="1"/>
    <n v="39.299999999999997"/>
    <d v="2026-10-13T00:00:00"/>
    <n v="1"/>
    <n v="39.299999999999997"/>
    <m/>
    <m/>
    <n v="0"/>
    <s v="U285-009"/>
    <d v="2026-10-13T00:00:00"/>
    <n v="1"/>
    <n v="39.299999999999997"/>
    <d v="2026-10-15T00:00:00"/>
    <n v="1"/>
    <n v="39.299999999999997"/>
    <s v="PAC"/>
    <s v="U285-006"/>
  </r>
  <r>
    <n v="286"/>
    <x v="0"/>
    <s v="Shipment 1 B-10124 Fired Proces Heater"/>
    <x v="0"/>
    <x v="0"/>
    <m/>
    <m/>
    <s v="HEATER"/>
    <m/>
    <s v="S4"/>
    <s v="U285-AS-13MK116-1"/>
    <s v="13MK116-1(1/4)"/>
    <s v="RADIANT FLOOR"/>
    <n v="1"/>
    <n v="1.2"/>
    <n v="1.2"/>
    <s v="(410x3x125)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287"/>
    <x v="0"/>
    <s v="Shipment 1 B-10124 Fired Proces Heater"/>
    <x v="0"/>
    <x v="0"/>
    <m/>
    <m/>
    <s v="HEATER"/>
    <m/>
    <s v="S4"/>
    <s v="U285-AS-13MK116-1"/>
    <s v="13MK116-1(2/4)"/>
    <s v="RADIANT FLOOR"/>
    <n v="1"/>
    <n v="1.2"/>
    <n v="1.2"/>
    <s v="(410x3x125)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288"/>
    <x v="0"/>
    <s v="Shipment 1 B-10124 Fired Proces Heater"/>
    <x v="0"/>
    <x v="0"/>
    <m/>
    <m/>
    <s v="HEATER"/>
    <m/>
    <s v="S4"/>
    <s v="U285-AS-13MK116-1"/>
    <s v="13MK116-1(3/4)"/>
    <s v="RADIANT FLOOR"/>
    <n v="1"/>
    <n v="1.2"/>
    <n v="1.2"/>
    <s v="(410x3x125)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289"/>
    <x v="0"/>
    <s v="Shipment 1 B-10124 Fired Proces Heater"/>
    <x v="0"/>
    <x v="0"/>
    <m/>
    <m/>
    <s v="HEATER"/>
    <m/>
    <s v="S4"/>
    <s v="U285-AS-13MK116-1"/>
    <s v="13MK116-1(4/4)"/>
    <s v="RADIANT FLOOR"/>
    <n v="1"/>
    <n v="1.2"/>
    <n v="1.2"/>
    <s v="(410x3x125)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290"/>
    <x v="0"/>
    <s v="Shipment 1 B-10124 Fired Proces Heater"/>
    <x v="0"/>
    <x v="0"/>
    <m/>
    <m/>
    <s v="HEATER"/>
    <m/>
    <s v="S4"/>
    <s v="U285-AS-13MK117A-1"/>
    <s v="13MK117A-1(1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1"/>
    <x v="0"/>
    <s v="Shipment 1 B-10124 Fired Proces Heater"/>
    <x v="0"/>
    <x v="0"/>
    <m/>
    <m/>
    <s v="HEATER"/>
    <m/>
    <s v="S4"/>
    <s v="U285-AS-13MK117A-1"/>
    <s v="13MK117A-1(2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2"/>
    <x v="0"/>
    <s v="Shipment 1 B-10124 Fired Proces Heater"/>
    <x v="0"/>
    <x v="0"/>
    <m/>
    <m/>
    <s v="HEATER"/>
    <m/>
    <s v="S4"/>
    <s v="U285-AS-13MK117A-1"/>
    <s v="13MK117A-1(3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3"/>
    <x v="0"/>
    <s v="Shipment 1 B-10124 Fired Proces Heater"/>
    <x v="0"/>
    <x v="0"/>
    <m/>
    <m/>
    <s v="HEATER"/>
    <m/>
    <s v="S4"/>
    <s v="U285-AS-13MK117A-1"/>
    <s v="13MK117A-1(4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4"/>
    <x v="0"/>
    <s v="Shipment 1 B-10124 Fired Proces Heater"/>
    <x v="0"/>
    <x v="0"/>
    <m/>
    <m/>
    <s v="HEATER"/>
    <m/>
    <s v="S4"/>
    <s v="U285-AS-13MK117A-1"/>
    <s v="13MK117A-1(5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5"/>
    <x v="0"/>
    <s v="Shipment 1 B-10124 Fired Proces Heater"/>
    <x v="0"/>
    <x v="0"/>
    <m/>
    <m/>
    <s v="HEATER"/>
    <m/>
    <s v="S4"/>
    <s v="U285-AS-13MK117A-1"/>
    <s v="13MK117A-1(6/6)"/>
    <s v="RADIANT FLOOR"/>
    <n v="1"/>
    <n v="1.3999999999999997"/>
    <n v="1.3999999999999997"/>
    <s v="(410x6x177)"/>
    <m/>
    <m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PAC"/>
    <m/>
  </r>
  <r>
    <n v="296"/>
    <x v="0"/>
    <s v="Shipment 1 B-10124 Fired Proces Heater"/>
    <x v="0"/>
    <x v="0"/>
    <m/>
    <m/>
    <s v="HEATER"/>
    <m/>
    <s v="S4"/>
    <s v="U285-AS-13MK117B-1"/>
    <s v="13MK117B-1(1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297"/>
    <x v="0"/>
    <s v="Shipment 1 B-10124 Fired Proces Heater"/>
    <x v="0"/>
    <x v="0"/>
    <m/>
    <m/>
    <s v="HEATER"/>
    <m/>
    <s v="S4"/>
    <s v="U285-AS-13MK117B-1"/>
    <s v="13MK117B-1(2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298"/>
    <x v="0"/>
    <s v="Shipment 1 B-10124 Fired Proces Heater"/>
    <x v="0"/>
    <x v="0"/>
    <m/>
    <m/>
    <s v="HEATER"/>
    <m/>
    <s v="S4"/>
    <s v="U285-AS-13MK117B-1"/>
    <s v="13MK117B-1(3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299"/>
    <x v="0"/>
    <s v="Shipment 1 B-10124 Fired Proces Heater"/>
    <x v="0"/>
    <x v="0"/>
    <m/>
    <m/>
    <s v="HEATER"/>
    <m/>
    <s v="S4"/>
    <s v="U285-AS-13MK117B-1"/>
    <s v="13MK117B-1(4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300"/>
    <x v="0"/>
    <s v="Shipment 1 B-10124 Fired Proces Heater"/>
    <x v="0"/>
    <x v="0"/>
    <m/>
    <m/>
    <s v="HEATER"/>
    <m/>
    <s v="S4"/>
    <s v="U285-AS-13MK117B-1"/>
    <s v="13MK117B-1(5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301"/>
    <x v="0"/>
    <s v="Shipment 1 B-10124 Fired Proces Heater"/>
    <x v="0"/>
    <x v="0"/>
    <m/>
    <m/>
    <s v="HEATER"/>
    <m/>
    <s v="S4"/>
    <s v="U285-AS-13MK117B-1"/>
    <s v="13MK117B-1(6/6)"/>
    <s v="RADIANT FLOOR"/>
    <n v="1"/>
    <n v="2.7833333333333332"/>
    <n v="2.7833333333333332"/>
    <s v="(410x12x177)"/>
    <m/>
    <m/>
    <m/>
    <m/>
    <m/>
    <m/>
    <m/>
    <m/>
    <m/>
    <m/>
    <m/>
    <m/>
    <m/>
    <n v="0"/>
    <n v="2.7833333333333332"/>
    <m/>
    <m/>
    <n v="0"/>
    <m/>
    <m/>
    <n v="0"/>
    <m/>
    <m/>
    <n v="0"/>
    <m/>
    <m/>
    <n v="0"/>
    <m/>
    <m/>
    <m/>
    <n v="0"/>
    <m/>
    <m/>
    <n v="0"/>
    <s v="PAC"/>
    <m/>
  </r>
  <r>
    <n v="302"/>
    <x v="0"/>
    <s v="Shipment 1 B-10124 Fired Proces Heater"/>
    <x v="0"/>
    <x v="0"/>
    <m/>
    <m/>
    <s v="HEATER"/>
    <m/>
    <s v="S4"/>
    <s v="U285-AS-13MK118A-1"/>
    <s v="13MK118A-1"/>
    <s v="RADIANT FLOOR"/>
    <n v="188"/>
    <n v="1.8728723404255321"/>
    <n v="352.1"/>
    <s v="(410x6x260)"/>
    <m/>
    <m/>
    <m/>
    <m/>
    <m/>
    <m/>
    <m/>
    <m/>
    <m/>
    <m/>
    <m/>
    <m/>
    <m/>
    <n v="0"/>
    <n v="352.1"/>
    <m/>
    <m/>
    <n v="0"/>
    <m/>
    <m/>
    <n v="0"/>
    <m/>
    <m/>
    <n v="0"/>
    <m/>
    <m/>
    <n v="0"/>
    <m/>
    <m/>
    <m/>
    <n v="0"/>
    <m/>
    <m/>
    <n v="0"/>
    <s v="PAC"/>
    <m/>
  </r>
  <r>
    <n v="303"/>
    <x v="0"/>
    <s v="Shipment 1 B-10124 Fired Proces Heater"/>
    <x v="0"/>
    <x v="0"/>
    <m/>
    <m/>
    <s v="HEATER"/>
    <m/>
    <s v="S4"/>
    <s v="U285-AS-13MK118B-1"/>
    <s v="13MK118B-1"/>
    <s v="RADIANT FLOOR"/>
    <n v="188"/>
    <n v="3.7446808510638299"/>
    <n v="704"/>
    <s v="(410x12x260)"/>
    <m/>
    <m/>
    <m/>
    <m/>
    <m/>
    <m/>
    <m/>
    <m/>
    <m/>
    <m/>
    <m/>
    <m/>
    <m/>
    <n v="0"/>
    <n v="704"/>
    <m/>
    <m/>
    <n v="0"/>
    <m/>
    <m/>
    <n v="0"/>
    <m/>
    <m/>
    <n v="0"/>
    <m/>
    <m/>
    <n v="0"/>
    <m/>
    <m/>
    <m/>
    <n v="0"/>
    <m/>
    <m/>
    <n v="0"/>
    <s v="PAC"/>
    <m/>
  </r>
  <r>
    <n v="304"/>
    <x v="0"/>
    <s v="Shipment 1 B-10124 Fired Proces Heater"/>
    <x v="0"/>
    <x v="0"/>
    <m/>
    <m/>
    <s v="HEATER"/>
    <m/>
    <s v="S4"/>
    <s v="U285-AS-13MK119A-1"/>
    <s v="13MK119A-1(1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05"/>
    <x v="0"/>
    <s v="Shipment 1 B-10124 Fired Proces Heater"/>
    <x v="0"/>
    <x v="0"/>
    <m/>
    <m/>
    <s v="HEATER"/>
    <m/>
    <s v="S4"/>
    <s v="U285-AS-13MK119A-1"/>
    <s v="13MK119A-1(2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06"/>
    <x v="0"/>
    <s v="Shipment 1 B-10124 Fired Proces Heater"/>
    <x v="0"/>
    <x v="0"/>
    <m/>
    <m/>
    <s v="HEATER"/>
    <m/>
    <s v="S4"/>
    <s v="U285-AS-13MK119A-1"/>
    <s v="13MK119A-1(3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07"/>
    <x v="0"/>
    <s v="Shipment 1 B-10124 Fired Proces Heater"/>
    <x v="0"/>
    <x v="0"/>
    <m/>
    <m/>
    <s v="HEATER"/>
    <m/>
    <s v="S4"/>
    <s v="U285-AS-13MK119A-1"/>
    <s v="13MK119A-1(4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08"/>
    <x v="0"/>
    <s v="Shipment 1 B-10124 Fired Proces Heater"/>
    <x v="0"/>
    <x v="0"/>
    <m/>
    <m/>
    <s v="HEATER"/>
    <m/>
    <s v="S4"/>
    <s v="U285-AS-13MK119A-1"/>
    <s v="13MK119A-1(5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09"/>
    <x v="0"/>
    <s v="Shipment 1 B-10124 Fired Proces Heater"/>
    <x v="0"/>
    <x v="0"/>
    <m/>
    <m/>
    <s v="HEATER"/>
    <m/>
    <s v="S4"/>
    <s v="U285-AS-13MK119A-1"/>
    <s v="13MK119A-1(6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0"/>
    <x v="0"/>
    <s v="Shipment 1 B-10124 Fired Proces Heater"/>
    <x v="0"/>
    <x v="0"/>
    <m/>
    <m/>
    <s v="HEATER"/>
    <m/>
    <s v="S4"/>
    <s v="U285-AS-13MK119A-1"/>
    <s v="13MK119A-1(7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1"/>
    <x v="0"/>
    <s v="Shipment 1 B-10124 Fired Proces Heater"/>
    <x v="0"/>
    <x v="0"/>
    <m/>
    <m/>
    <s v="HEATER"/>
    <m/>
    <s v="S4"/>
    <s v="U285-AS-13MK119A-1"/>
    <s v="13MK119A-1(8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2"/>
    <x v="0"/>
    <s v="Shipment 1 B-10124 Fired Proces Heater"/>
    <x v="0"/>
    <x v="0"/>
    <m/>
    <m/>
    <s v="HEATER"/>
    <m/>
    <s v="S4"/>
    <s v="U285-AS-13MK119A-1"/>
    <s v="13MK119A-1(9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3"/>
    <x v="0"/>
    <s v="Shipment 1 B-10124 Fired Proces Heater"/>
    <x v="0"/>
    <x v="0"/>
    <m/>
    <m/>
    <s v="HEATER"/>
    <m/>
    <s v="S4"/>
    <s v="U285-AS-13MK119A-1"/>
    <s v="13MK119A-1(10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4"/>
    <x v="0"/>
    <s v="Shipment 1 B-10124 Fired Proces Heater"/>
    <x v="0"/>
    <x v="0"/>
    <m/>
    <m/>
    <s v="HEATER"/>
    <m/>
    <s v="S4"/>
    <s v="U285-AS-13MK119A-1"/>
    <s v="13MK119A-1(11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5"/>
    <x v="0"/>
    <s v="Shipment 1 B-10124 Fired Proces Heater"/>
    <x v="0"/>
    <x v="0"/>
    <m/>
    <m/>
    <s v="HEATER"/>
    <m/>
    <s v="S4"/>
    <s v="U285-AS-13MK119A-1"/>
    <s v="13MK119A-1(12/12)"/>
    <s v="RADIANT FLOOR"/>
    <n v="1"/>
    <n v="3.2250000000000001"/>
    <n v="3.2250000000000001"/>
    <s v="(410x6x400)"/>
    <m/>
    <m/>
    <m/>
    <m/>
    <m/>
    <m/>
    <m/>
    <m/>
    <m/>
    <m/>
    <m/>
    <m/>
    <m/>
    <n v="0"/>
    <n v="3.2250000000000001"/>
    <m/>
    <m/>
    <n v="0"/>
    <m/>
    <m/>
    <n v="0"/>
    <m/>
    <m/>
    <n v="0"/>
    <m/>
    <m/>
    <n v="0"/>
    <m/>
    <m/>
    <m/>
    <n v="0"/>
    <m/>
    <m/>
    <n v="0"/>
    <s v="PAC"/>
    <m/>
  </r>
  <r>
    <n v="316"/>
    <x v="0"/>
    <s v="Shipment 1 B-10124 Fired Proces Heater"/>
    <x v="0"/>
    <x v="0"/>
    <m/>
    <m/>
    <s v="HEATER"/>
    <m/>
    <s v="S4"/>
    <s v="U285-AS-13MK119B-1"/>
    <s v="13MK119B-1(1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17"/>
    <x v="0"/>
    <s v="Shipment 1 B-10124 Fired Proces Heater"/>
    <x v="0"/>
    <x v="0"/>
    <m/>
    <m/>
    <s v="HEATER"/>
    <m/>
    <s v="S4"/>
    <s v="U285-AS-13MK119B-1"/>
    <s v="13MK119B-1(2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18"/>
    <x v="0"/>
    <s v="Shipment 1 B-10124 Fired Proces Heater"/>
    <x v="0"/>
    <x v="0"/>
    <m/>
    <m/>
    <s v="HEATER"/>
    <m/>
    <s v="S4"/>
    <s v="U285-AS-13MK119B-1"/>
    <s v="13MK119B-1(3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19"/>
    <x v="0"/>
    <s v="Shipment 1 B-10124 Fired Proces Heater"/>
    <x v="0"/>
    <x v="0"/>
    <m/>
    <m/>
    <s v="HEATER"/>
    <m/>
    <s v="S4"/>
    <s v="U285-AS-13MK119B-1"/>
    <s v="13MK119B-1(4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0"/>
    <x v="0"/>
    <s v="Shipment 1 B-10124 Fired Proces Heater"/>
    <x v="0"/>
    <x v="0"/>
    <m/>
    <m/>
    <s v="HEATER"/>
    <m/>
    <s v="S4"/>
    <s v="U285-AS-13MK119B-1"/>
    <s v="13MK119B-1(5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1"/>
    <x v="0"/>
    <s v="Shipment 1 B-10124 Fired Proces Heater"/>
    <x v="0"/>
    <x v="0"/>
    <m/>
    <m/>
    <s v="HEATER"/>
    <m/>
    <s v="S4"/>
    <s v="U285-AS-13MK119B-1"/>
    <s v="13MK119B-1(6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2"/>
    <x v="0"/>
    <s v="Shipment 1 B-10124 Fired Proces Heater"/>
    <x v="0"/>
    <x v="0"/>
    <m/>
    <m/>
    <s v="HEATER"/>
    <m/>
    <s v="S4"/>
    <s v="U285-AS-13MK119B-1"/>
    <s v="13MK119B-1(7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3"/>
    <x v="0"/>
    <s v="Shipment 1 B-10124 Fired Proces Heater"/>
    <x v="0"/>
    <x v="0"/>
    <m/>
    <m/>
    <s v="HEATER"/>
    <m/>
    <s v="S4"/>
    <s v="U285-AS-13MK119B-1"/>
    <s v="13MK119B-1(8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4"/>
    <x v="0"/>
    <s v="Shipment 1 B-10124 Fired Proces Heater"/>
    <x v="0"/>
    <x v="0"/>
    <m/>
    <m/>
    <s v="HEATER"/>
    <m/>
    <s v="S4"/>
    <s v="U285-AS-13MK119B-1"/>
    <s v="13MK119B-1(9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5"/>
    <x v="0"/>
    <s v="Shipment 1 B-10124 Fired Proces Heater"/>
    <x v="0"/>
    <x v="0"/>
    <m/>
    <m/>
    <s v="HEATER"/>
    <m/>
    <s v="S4"/>
    <s v="U285-AS-13MK119B-1"/>
    <s v="13MK119B-1(10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6"/>
    <x v="0"/>
    <s v="Shipment 1 B-10124 Fired Proces Heater"/>
    <x v="0"/>
    <x v="0"/>
    <m/>
    <m/>
    <s v="HEATER"/>
    <m/>
    <s v="S4"/>
    <s v="U285-AS-13MK119B-1"/>
    <s v="13MK119B-1(11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7"/>
    <x v="0"/>
    <s v="Shipment 1 B-10124 Fired Proces Heater"/>
    <x v="0"/>
    <x v="0"/>
    <m/>
    <m/>
    <s v="HEATER"/>
    <m/>
    <s v="S4"/>
    <s v="U285-AS-13MK119B-1"/>
    <s v="13MK119B-1(12/12)"/>
    <s v="RADIANT FLOOR"/>
    <n v="1"/>
    <n v="6.45"/>
    <n v="6.45"/>
    <s v="(410x12x400)"/>
    <m/>
    <m/>
    <m/>
    <m/>
    <m/>
    <m/>
    <m/>
    <m/>
    <m/>
    <m/>
    <m/>
    <m/>
    <m/>
    <n v="0"/>
    <n v="6.45"/>
    <m/>
    <m/>
    <n v="0"/>
    <m/>
    <m/>
    <n v="0"/>
    <m/>
    <m/>
    <n v="0"/>
    <m/>
    <m/>
    <n v="0"/>
    <m/>
    <m/>
    <m/>
    <n v="0"/>
    <m/>
    <m/>
    <n v="0"/>
    <s v="PAC"/>
    <m/>
  </r>
  <r>
    <n v="328"/>
    <x v="0"/>
    <s v="Shipment 1 B-10124 Fired Proces Heater"/>
    <x v="0"/>
    <x v="0"/>
    <m/>
    <m/>
    <s v="HEATER"/>
    <m/>
    <s v="S4"/>
    <s v="U285-AS-13MK120A-1"/>
    <s v="13MK120A-1(1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29"/>
    <x v="0"/>
    <s v="Shipment 1 B-10124 Fired Proces Heater"/>
    <x v="0"/>
    <x v="0"/>
    <m/>
    <m/>
    <s v="HEATER"/>
    <m/>
    <s v="S4"/>
    <s v="U285-AS-13MK120A-1"/>
    <s v="13MK120A-1(2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30"/>
    <x v="0"/>
    <s v="Shipment 1 B-10124 Fired Proces Heater"/>
    <x v="0"/>
    <x v="0"/>
    <m/>
    <m/>
    <s v="HEATER"/>
    <m/>
    <s v="S4"/>
    <s v="U285-AS-13MK120A-1"/>
    <s v="13MK120A-1(3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31"/>
    <x v="0"/>
    <s v="Shipment 1 B-10124 Fired Proces Heater"/>
    <x v="0"/>
    <x v="0"/>
    <m/>
    <m/>
    <s v="HEATER"/>
    <m/>
    <s v="S4"/>
    <s v="U285-AS-13MK120A-1"/>
    <s v="13MK120A-1(4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32"/>
    <x v="0"/>
    <s v="Shipment 1 B-10124 Fired Proces Heater"/>
    <x v="0"/>
    <x v="0"/>
    <m/>
    <m/>
    <s v="HEATER"/>
    <m/>
    <s v="S4"/>
    <s v="U285-AS-13MK120A-1"/>
    <s v="13MK120A-1(5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33"/>
    <x v="0"/>
    <s v="Shipment 1 B-10124 Fired Proces Heater"/>
    <x v="0"/>
    <x v="0"/>
    <m/>
    <m/>
    <s v="HEATER"/>
    <m/>
    <s v="S4"/>
    <s v="U285-AS-13MK120A-1"/>
    <s v="13MK120A-1(6/6)"/>
    <s v="RADIANT FLOOR"/>
    <n v="1"/>
    <n v="2.0499999999999998"/>
    <n v="2.0499999999999998"/>
    <s v="(410x6x245)"/>
    <m/>
    <m/>
    <m/>
    <m/>
    <m/>
    <m/>
    <m/>
    <m/>
    <m/>
    <m/>
    <m/>
    <m/>
    <m/>
    <n v="0"/>
    <n v="2.0499999999999998"/>
    <m/>
    <m/>
    <n v="0"/>
    <m/>
    <m/>
    <n v="0"/>
    <m/>
    <m/>
    <n v="0"/>
    <m/>
    <m/>
    <n v="0"/>
    <m/>
    <m/>
    <m/>
    <n v="0"/>
    <m/>
    <m/>
    <n v="0"/>
    <s v="PAC"/>
    <m/>
  </r>
  <r>
    <n v="334"/>
    <x v="0"/>
    <s v="Shipment 1 B-10124 Fired Proces Heater"/>
    <x v="0"/>
    <x v="0"/>
    <m/>
    <m/>
    <s v="HEATER"/>
    <m/>
    <s v="S4"/>
    <s v="U285-AS-13MK120B-1"/>
    <s v="13MK120B-1(1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35"/>
    <x v="0"/>
    <s v="Shipment 1 B-10124 Fired Proces Heater"/>
    <x v="0"/>
    <x v="0"/>
    <m/>
    <m/>
    <s v="HEATER"/>
    <m/>
    <s v="S4"/>
    <s v="U285-AS-13MK120B-1"/>
    <s v="13MK120B-1(2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36"/>
    <x v="0"/>
    <s v="Shipment 1 B-10124 Fired Proces Heater"/>
    <x v="0"/>
    <x v="0"/>
    <m/>
    <m/>
    <s v="HEATER"/>
    <m/>
    <s v="S4"/>
    <s v="U285-AS-13MK120B-1"/>
    <s v="13MK120B-1(3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37"/>
    <x v="0"/>
    <s v="Shipment 1 B-10124 Fired Proces Heater"/>
    <x v="0"/>
    <x v="0"/>
    <m/>
    <m/>
    <s v="HEATER"/>
    <m/>
    <s v="S4"/>
    <s v="U285-AS-13MK120B-1"/>
    <s v="13MK120B-1(4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38"/>
    <x v="0"/>
    <s v="Shipment 1 B-10124 Fired Proces Heater"/>
    <x v="0"/>
    <x v="0"/>
    <m/>
    <m/>
    <s v="HEATER"/>
    <m/>
    <s v="S4"/>
    <s v="U285-AS-13MK120B-1"/>
    <s v="13MK120B-1(5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39"/>
    <x v="0"/>
    <s v="Shipment 1 B-10124 Fired Proces Heater"/>
    <x v="0"/>
    <x v="0"/>
    <m/>
    <m/>
    <s v="HEATER"/>
    <m/>
    <s v="S4"/>
    <s v="U285-AS-13MK120B-1"/>
    <s v="13MK120B-1(6/6)"/>
    <s v="RADIANT FLOOR"/>
    <n v="1"/>
    <n v="4.0999999999999996"/>
    <n v="4.0999999999999996"/>
    <s v="(410x12x245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340"/>
    <x v="0"/>
    <s v="Shipment 1 B-10124 Fired Proces Heater"/>
    <x v="0"/>
    <x v="0"/>
    <m/>
    <m/>
    <s v="HEATER"/>
    <m/>
    <s v="S4"/>
    <s v="U285-AS-13MK121-1"/>
    <s v="13MK121-1"/>
    <s v="RADIANT FLOOR"/>
    <n v="1"/>
    <n v="3.7"/>
    <n v="3.7"/>
    <s v="(410x3x399)"/>
    <m/>
    <m/>
    <m/>
    <m/>
    <m/>
    <m/>
    <m/>
    <m/>
    <m/>
    <m/>
    <m/>
    <m/>
    <m/>
    <n v="0"/>
    <n v="3.7"/>
    <m/>
    <m/>
    <n v="0"/>
    <m/>
    <m/>
    <n v="0"/>
    <m/>
    <m/>
    <n v="0"/>
    <m/>
    <m/>
    <n v="0"/>
    <m/>
    <m/>
    <m/>
    <n v="0"/>
    <m/>
    <m/>
    <n v="0"/>
    <s v="PAC"/>
    <m/>
  </r>
  <r>
    <n v="341"/>
    <x v="0"/>
    <s v="Shipment 1 B-10124 Fired Proces Heater"/>
    <x v="0"/>
    <x v="0"/>
    <m/>
    <m/>
    <s v="HEATER"/>
    <m/>
    <s v="S4"/>
    <s v="U285-AS-13MK122-1"/>
    <s v="13MK122-1(1/2)"/>
    <s v="RADIANT FLOOR"/>
    <n v="1"/>
    <n v="3.3"/>
    <n v="3.3"/>
    <s v="(410x3x354)"/>
    <m/>
    <m/>
    <m/>
    <m/>
    <m/>
    <m/>
    <m/>
    <m/>
    <m/>
    <m/>
    <m/>
    <m/>
    <m/>
    <n v="0"/>
    <n v="3.3"/>
    <m/>
    <m/>
    <n v="0"/>
    <m/>
    <m/>
    <n v="0"/>
    <m/>
    <m/>
    <n v="0"/>
    <m/>
    <m/>
    <n v="0"/>
    <m/>
    <m/>
    <m/>
    <n v="0"/>
    <m/>
    <m/>
    <n v="0"/>
    <s v="PAC"/>
    <m/>
  </r>
  <r>
    <n v="342"/>
    <x v="0"/>
    <s v="Shipment 1 B-10124 Fired Proces Heater"/>
    <x v="0"/>
    <x v="0"/>
    <m/>
    <m/>
    <s v="HEATER"/>
    <m/>
    <s v="S4"/>
    <s v="U285-AS-13MK122-1"/>
    <s v="13MK122-1(2/2)"/>
    <s v="RADIANT FLOOR"/>
    <n v="1"/>
    <n v="3.3"/>
    <n v="3.3"/>
    <s v="(410x3x354)"/>
    <m/>
    <m/>
    <m/>
    <m/>
    <m/>
    <m/>
    <m/>
    <m/>
    <m/>
    <m/>
    <m/>
    <m/>
    <m/>
    <n v="0"/>
    <n v="3.3"/>
    <m/>
    <m/>
    <n v="0"/>
    <m/>
    <m/>
    <n v="0"/>
    <m/>
    <m/>
    <n v="0"/>
    <m/>
    <m/>
    <n v="0"/>
    <m/>
    <m/>
    <m/>
    <n v="0"/>
    <m/>
    <m/>
    <n v="0"/>
    <s v="PAC"/>
    <m/>
  </r>
  <r>
    <n v="343"/>
    <x v="0"/>
    <s v="Shipment 1 B-10124 Fired Proces Heater"/>
    <x v="0"/>
    <x v="0"/>
    <m/>
    <m/>
    <s v="HEATER"/>
    <m/>
    <s v="S4"/>
    <s v="U285-AS-13MK123A-1"/>
    <s v="13MK123A-1"/>
    <s v="RADIANT FLOOR"/>
    <n v="86"/>
    <n v="2.0523255813953489"/>
    <n v="176.5"/>
    <s v="(410x6x279)"/>
    <m/>
    <m/>
    <m/>
    <m/>
    <m/>
    <m/>
    <m/>
    <m/>
    <m/>
    <m/>
    <m/>
    <m/>
    <m/>
    <n v="0"/>
    <n v="176.5"/>
    <m/>
    <m/>
    <n v="0"/>
    <m/>
    <m/>
    <n v="0"/>
    <m/>
    <m/>
    <n v="0"/>
    <m/>
    <m/>
    <n v="0"/>
    <m/>
    <m/>
    <m/>
    <n v="0"/>
    <m/>
    <m/>
    <n v="0"/>
    <s v="PAC"/>
    <m/>
  </r>
  <r>
    <n v="344"/>
    <x v="0"/>
    <s v="Shipment 1 B-10124 Fired Proces Heater"/>
    <x v="0"/>
    <x v="0"/>
    <m/>
    <m/>
    <s v="HEATER"/>
    <m/>
    <s v="S4"/>
    <s v="U285-AS-13MK123B-1"/>
    <s v="13MK123B-1"/>
    <s v="RADIANT FLOOR"/>
    <n v="86"/>
    <n v="4.1034883720930235"/>
    <n v="352.90000000000003"/>
    <s v="(410x12x279)"/>
    <m/>
    <m/>
    <m/>
    <m/>
    <m/>
    <m/>
    <m/>
    <m/>
    <m/>
    <m/>
    <m/>
    <m/>
    <m/>
    <n v="0"/>
    <n v="352.90000000000003"/>
    <m/>
    <m/>
    <n v="0"/>
    <m/>
    <m/>
    <n v="0"/>
    <m/>
    <m/>
    <n v="0"/>
    <m/>
    <m/>
    <n v="0"/>
    <m/>
    <m/>
    <m/>
    <n v="0"/>
    <m/>
    <m/>
    <n v="0"/>
    <s v="PAC"/>
    <m/>
  </r>
  <r>
    <n v="345"/>
    <x v="0"/>
    <s v="Shipment 1 B-10124 Fired Proces Heater"/>
    <x v="0"/>
    <x v="0"/>
    <m/>
    <m/>
    <s v="HEATER"/>
    <m/>
    <s v="S4"/>
    <s v="U285-AS-13MK124-1"/>
    <s v="13MK124-1(1/3)"/>
    <s v="RADIANT FLOOR"/>
    <n v="1"/>
    <n v="3.1333333333333333"/>
    <n v="3.1333333333333333"/>
    <s v="(410x3x337)"/>
    <m/>
    <m/>
    <m/>
    <m/>
    <m/>
    <m/>
    <m/>
    <m/>
    <m/>
    <m/>
    <m/>
    <m/>
    <m/>
    <n v="0"/>
    <n v="3.1333333333333333"/>
    <m/>
    <m/>
    <n v="0"/>
    <m/>
    <m/>
    <n v="0"/>
    <m/>
    <m/>
    <n v="0"/>
    <m/>
    <m/>
    <n v="0"/>
    <m/>
    <m/>
    <m/>
    <n v="0"/>
    <m/>
    <m/>
    <n v="0"/>
    <s v="PAC"/>
    <m/>
  </r>
  <r>
    <n v="346"/>
    <x v="0"/>
    <s v="Shipment 1 B-10124 Fired Proces Heater"/>
    <x v="0"/>
    <x v="0"/>
    <m/>
    <m/>
    <s v="HEATER"/>
    <m/>
    <s v="S4"/>
    <s v="U285-AS-13MK124-1"/>
    <s v="13MK124-1(2/3)"/>
    <s v="RADIANT FLOOR"/>
    <n v="1"/>
    <n v="3.1333333333333333"/>
    <n v="3.1333333333333333"/>
    <s v="(410x3x337)"/>
    <m/>
    <m/>
    <m/>
    <m/>
    <m/>
    <m/>
    <m/>
    <m/>
    <m/>
    <m/>
    <m/>
    <m/>
    <m/>
    <n v="0"/>
    <n v="3.1333333333333333"/>
    <m/>
    <m/>
    <n v="0"/>
    <m/>
    <m/>
    <n v="0"/>
    <m/>
    <m/>
    <n v="0"/>
    <m/>
    <m/>
    <n v="0"/>
    <m/>
    <m/>
    <m/>
    <n v="0"/>
    <m/>
    <m/>
    <n v="0"/>
    <s v="PAC"/>
    <m/>
  </r>
  <r>
    <n v="347"/>
    <x v="0"/>
    <s v="Shipment 1 B-10124 Fired Proces Heater"/>
    <x v="0"/>
    <x v="0"/>
    <m/>
    <m/>
    <s v="HEATER"/>
    <m/>
    <s v="S4"/>
    <s v="U285-AS-13MK124-1"/>
    <s v="13MK124-1(3/3)"/>
    <s v="RADIANT FLOOR"/>
    <n v="1"/>
    <n v="3.1333333333333333"/>
    <n v="3.1333333333333333"/>
    <s v="(410x3x337)"/>
    <m/>
    <m/>
    <m/>
    <m/>
    <m/>
    <m/>
    <m/>
    <m/>
    <m/>
    <m/>
    <m/>
    <m/>
    <m/>
    <n v="0"/>
    <n v="3.1333333333333333"/>
    <m/>
    <m/>
    <n v="0"/>
    <m/>
    <m/>
    <n v="0"/>
    <m/>
    <m/>
    <n v="0"/>
    <m/>
    <m/>
    <n v="0"/>
    <m/>
    <m/>
    <m/>
    <n v="0"/>
    <m/>
    <m/>
    <n v="0"/>
    <s v="PAC"/>
    <m/>
  </r>
  <r>
    <n v="348"/>
    <x v="0"/>
    <s v="Shipment 1 B-10124 Fired Proces Heater"/>
    <x v="0"/>
    <x v="0"/>
    <m/>
    <m/>
    <s v="HEATER"/>
    <m/>
    <s v="S4"/>
    <s v="U285-AS-13MK125-1"/>
    <s v="13MK125-1(1/2)"/>
    <s v="RADIANT FLOOR"/>
    <n v="1"/>
    <n v="2.2000000000000002"/>
    <n v="2.2000000000000002"/>
    <s v="(410x3x227)"/>
    <m/>
    <m/>
    <m/>
    <m/>
    <m/>
    <m/>
    <m/>
    <m/>
    <m/>
    <m/>
    <m/>
    <m/>
    <m/>
    <n v="0"/>
    <n v="2.2000000000000002"/>
    <m/>
    <m/>
    <n v="0"/>
    <m/>
    <m/>
    <n v="0"/>
    <m/>
    <m/>
    <n v="0"/>
    <m/>
    <m/>
    <n v="0"/>
    <m/>
    <m/>
    <m/>
    <n v="0"/>
    <m/>
    <m/>
    <n v="0"/>
    <s v="PAC"/>
    <m/>
  </r>
  <r>
    <n v="349"/>
    <x v="0"/>
    <s v="Shipment 1 B-10124 Fired Proces Heater"/>
    <x v="0"/>
    <x v="0"/>
    <m/>
    <m/>
    <s v="HEATER"/>
    <m/>
    <s v="S4"/>
    <s v="U285-AS-13MK125-1"/>
    <s v="13MK125-1(2/2)"/>
    <s v="RADIANT FLOOR"/>
    <n v="1"/>
    <n v="2.2000000000000002"/>
    <n v="2.2000000000000002"/>
    <s v="(410x3x227)"/>
    <m/>
    <m/>
    <m/>
    <m/>
    <m/>
    <m/>
    <m/>
    <m/>
    <m/>
    <m/>
    <m/>
    <m/>
    <m/>
    <n v="0"/>
    <n v="2.2000000000000002"/>
    <m/>
    <m/>
    <n v="0"/>
    <m/>
    <m/>
    <n v="0"/>
    <m/>
    <m/>
    <n v="0"/>
    <m/>
    <m/>
    <n v="0"/>
    <m/>
    <m/>
    <m/>
    <n v="0"/>
    <m/>
    <m/>
    <n v="0"/>
    <s v="PAC"/>
    <m/>
  </r>
  <r>
    <n v="350"/>
    <x v="0"/>
    <s v="Shipment 1 B-10124 Fired Proces Heater"/>
    <x v="0"/>
    <x v="0"/>
    <m/>
    <m/>
    <s v="HEATER"/>
    <m/>
    <s v="S2"/>
    <s v="U285-AS-13MK500-1"/>
    <s v="13MK500-1"/>
    <s v="PACKING FOR TRANSPORT"/>
    <n v="1"/>
    <n v="626.5"/>
    <n v="626.5"/>
    <s v="(3455x991x496)"/>
    <m/>
    <m/>
    <m/>
    <m/>
    <m/>
    <m/>
    <m/>
    <m/>
    <m/>
    <m/>
    <m/>
    <m/>
    <m/>
    <n v="0"/>
    <n v="626.5"/>
    <m/>
    <m/>
    <n v="0"/>
    <m/>
    <m/>
    <n v="0"/>
    <m/>
    <m/>
    <n v="0"/>
    <m/>
    <m/>
    <n v="0"/>
    <m/>
    <m/>
    <m/>
    <n v="0"/>
    <m/>
    <m/>
    <n v="0"/>
    <s v="PAC"/>
    <m/>
  </r>
  <r>
    <n v="351"/>
    <x v="0"/>
    <s v="Shipment 1 B-10124 Fired Proces Heater"/>
    <x v="0"/>
    <x v="0"/>
    <m/>
    <m/>
    <s v="HEATER"/>
    <m/>
    <s v="S2"/>
    <s v="U285-AS-13MK501-1"/>
    <s v="13MK501-1"/>
    <s v="PACKING FOR TRANSPORT"/>
    <n v="1"/>
    <n v="626.5"/>
    <n v="626.5"/>
    <s v="(3455x991x496)"/>
    <m/>
    <m/>
    <m/>
    <m/>
    <m/>
    <m/>
    <m/>
    <m/>
    <m/>
    <m/>
    <m/>
    <m/>
    <m/>
    <n v="0"/>
    <n v="626.5"/>
    <m/>
    <m/>
    <n v="0"/>
    <m/>
    <m/>
    <n v="0"/>
    <m/>
    <m/>
    <n v="0"/>
    <m/>
    <m/>
    <n v="0"/>
    <m/>
    <m/>
    <m/>
    <n v="0"/>
    <m/>
    <m/>
    <n v="0"/>
    <s v="PAC"/>
    <m/>
  </r>
  <r>
    <n v="352"/>
    <x v="0"/>
    <s v="Shipment 1 B-10124 Fired Proces Heater"/>
    <x v="0"/>
    <x v="0"/>
    <m/>
    <m/>
    <s v="HEATER"/>
    <m/>
    <s v="S2"/>
    <s v="U285-AS-13MK502-1"/>
    <s v="13MK502-1"/>
    <s v="PACKING FOR TRANSPORT"/>
    <n v="1"/>
    <n v="508.7"/>
    <n v="508.7"/>
    <s v="(3300x440x356)"/>
    <m/>
    <m/>
    <m/>
    <m/>
    <m/>
    <m/>
    <m/>
    <m/>
    <m/>
    <m/>
    <m/>
    <m/>
    <m/>
    <n v="0"/>
    <n v="508.7"/>
    <m/>
    <m/>
    <n v="0"/>
    <m/>
    <m/>
    <n v="0"/>
    <m/>
    <m/>
    <n v="0"/>
    <m/>
    <m/>
    <n v="0"/>
    <m/>
    <m/>
    <m/>
    <n v="0"/>
    <m/>
    <m/>
    <n v="0"/>
    <s v="PAC"/>
    <m/>
  </r>
  <r>
    <n v="353"/>
    <x v="0"/>
    <s v="Shipment 1 B-10124 Fired Proces Heater"/>
    <x v="0"/>
    <x v="0"/>
    <m/>
    <m/>
    <s v="HEATER"/>
    <m/>
    <s v="S2"/>
    <s v="U285-AS-13MK502A-1"/>
    <s v="13MK502A-1"/>
    <s v="PACKING FOR TRANSPORT"/>
    <n v="1"/>
    <n v="508.7"/>
    <n v="508.7"/>
    <s v="(3300x440x356)"/>
    <m/>
    <m/>
    <m/>
    <m/>
    <m/>
    <m/>
    <m/>
    <m/>
    <m/>
    <m/>
    <m/>
    <m/>
    <m/>
    <n v="0"/>
    <n v="508.7"/>
    <m/>
    <m/>
    <n v="0"/>
    <m/>
    <m/>
    <n v="0"/>
    <m/>
    <m/>
    <n v="0"/>
    <m/>
    <m/>
    <n v="0"/>
    <m/>
    <m/>
    <m/>
    <n v="0"/>
    <m/>
    <m/>
    <n v="0"/>
    <s v="PAC"/>
    <m/>
  </r>
  <r>
    <n v="354"/>
    <x v="0"/>
    <s v="Shipment 1 B-10124 Fired Proces Heater"/>
    <x v="0"/>
    <x v="0"/>
    <m/>
    <m/>
    <s v="HEATER"/>
    <m/>
    <s v="S2"/>
    <s v="U285-AS-13MK503-1"/>
    <s v="13MK503-1(1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55"/>
    <x v="0"/>
    <s v="Shipment 1 B-10124 Fired Proces Heater"/>
    <x v="0"/>
    <x v="0"/>
    <m/>
    <m/>
    <s v="HEATER"/>
    <m/>
    <s v="S2"/>
    <s v="U285-AS-13MK503-1"/>
    <s v="13MK503-1(2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56"/>
    <x v="0"/>
    <s v="Shipment 1 B-10124 Fired Proces Heater"/>
    <x v="0"/>
    <x v="0"/>
    <m/>
    <m/>
    <s v="HEATER"/>
    <m/>
    <s v="S2"/>
    <s v="U285-AS-13MK503-1"/>
    <s v="13MK503-1(3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57"/>
    <x v="0"/>
    <s v="Shipment 1 B-10124 Fired Proces Heater"/>
    <x v="0"/>
    <x v="0"/>
    <m/>
    <m/>
    <s v="HEATER"/>
    <m/>
    <s v="S2"/>
    <s v="U285-AS-13MK503-1"/>
    <s v="13MK503-1(4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58"/>
    <x v="0"/>
    <s v="Shipment 1 B-10124 Fired Proces Heater"/>
    <x v="0"/>
    <x v="0"/>
    <m/>
    <m/>
    <s v="HEATER"/>
    <m/>
    <s v="S2"/>
    <s v="U285-AS-13MK503-1"/>
    <s v="13MK503-1(5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59"/>
    <x v="0"/>
    <s v="Shipment 1 B-10124 Fired Proces Heater"/>
    <x v="0"/>
    <x v="0"/>
    <m/>
    <m/>
    <s v="HEATER"/>
    <m/>
    <s v="S2"/>
    <s v="U285-AS-13MK503-1"/>
    <s v="13MK503-1(6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60"/>
    <x v="0"/>
    <s v="Shipment 1 B-10124 Fired Proces Heater"/>
    <x v="0"/>
    <x v="0"/>
    <m/>
    <m/>
    <s v="HEATER"/>
    <m/>
    <s v="S2"/>
    <s v="U285-AS-13MK503-1"/>
    <s v="13MK503-1(7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61"/>
    <x v="0"/>
    <s v="Shipment 1 B-10124 Fired Proces Heater"/>
    <x v="0"/>
    <x v="0"/>
    <m/>
    <m/>
    <s v="HEATER"/>
    <m/>
    <s v="S2"/>
    <s v="U285-AS-13MK503-1"/>
    <s v="13MK503-1(8/8)"/>
    <s v="PACKING FOR TRANSPORT"/>
    <n v="1"/>
    <n v="314.76250000000005"/>
    <n v="314.76250000000005"/>
    <s v="(2705x440x507)"/>
    <m/>
    <m/>
    <m/>
    <m/>
    <m/>
    <m/>
    <m/>
    <m/>
    <m/>
    <m/>
    <m/>
    <m/>
    <m/>
    <n v="0"/>
    <n v="314.76250000000005"/>
    <m/>
    <m/>
    <n v="0"/>
    <m/>
    <m/>
    <n v="0"/>
    <m/>
    <m/>
    <n v="0"/>
    <m/>
    <m/>
    <n v="0"/>
    <m/>
    <m/>
    <m/>
    <n v="0"/>
    <m/>
    <m/>
    <n v="0"/>
    <s v="PAC"/>
    <m/>
  </r>
  <r>
    <n v="362"/>
    <x v="0"/>
    <s v="Shipment 1 B-10124 Fired Proces Heater"/>
    <x v="0"/>
    <x v="0"/>
    <m/>
    <m/>
    <s v="HEATER"/>
    <m/>
    <s v="S2"/>
    <s v="U285-AS-13MK504-1"/>
    <s v="13MK504-1(1/4)"/>
    <s v="PACKING FOR TRANSPORT"/>
    <n v="1"/>
    <n v="497.72500000000002"/>
    <n v="497.72500000000002"/>
    <s v="(5000x440x353)"/>
    <m/>
    <m/>
    <m/>
    <m/>
    <m/>
    <m/>
    <m/>
    <m/>
    <m/>
    <m/>
    <m/>
    <m/>
    <m/>
    <n v="0"/>
    <n v="497.72500000000002"/>
    <m/>
    <m/>
    <n v="0"/>
    <m/>
    <m/>
    <n v="0"/>
    <m/>
    <m/>
    <n v="0"/>
    <m/>
    <m/>
    <n v="0"/>
    <m/>
    <m/>
    <m/>
    <n v="0"/>
    <m/>
    <m/>
    <n v="0"/>
    <s v="PAC"/>
    <m/>
  </r>
  <r>
    <n v="363"/>
    <x v="0"/>
    <s v="Shipment 1 B-10124 Fired Proces Heater"/>
    <x v="0"/>
    <x v="0"/>
    <m/>
    <m/>
    <s v="HEATER"/>
    <m/>
    <s v="S2"/>
    <s v="U285-AS-13MK504-1"/>
    <s v="13MK504-1(2/4)"/>
    <s v="PACKING FOR TRANSPORT"/>
    <n v="1"/>
    <n v="497.72500000000002"/>
    <n v="497.72500000000002"/>
    <s v="(5000x440x353)"/>
    <m/>
    <m/>
    <m/>
    <m/>
    <m/>
    <m/>
    <m/>
    <m/>
    <m/>
    <m/>
    <m/>
    <m/>
    <m/>
    <n v="0"/>
    <n v="497.72500000000002"/>
    <m/>
    <m/>
    <n v="0"/>
    <m/>
    <m/>
    <n v="0"/>
    <m/>
    <m/>
    <n v="0"/>
    <m/>
    <m/>
    <n v="0"/>
    <m/>
    <m/>
    <m/>
    <n v="0"/>
    <m/>
    <m/>
    <n v="0"/>
    <s v="PAC"/>
    <m/>
  </r>
  <r>
    <n v="364"/>
    <x v="0"/>
    <s v="Shipment 1 B-10124 Fired Proces Heater"/>
    <x v="0"/>
    <x v="0"/>
    <m/>
    <m/>
    <s v="HEATER"/>
    <m/>
    <s v="S2"/>
    <s v="U285-AS-13MK504-1"/>
    <s v="13MK504-1(3/4)"/>
    <s v="PACKING FOR TRANSPORT"/>
    <n v="1"/>
    <n v="497.72500000000002"/>
    <n v="497.72500000000002"/>
    <s v="(5000x440x353)"/>
    <m/>
    <m/>
    <m/>
    <m/>
    <m/>
    <m/>
    <m/>
    <m/>
    <m/>
    <m/>
    <m/>
    <m/>
    <m/>
    <n v="0"/>
    <n v="497.72500000000002"/>
    <m/>
    <m/>
    <n v="0"/>
    <m/>
    <m/>
    <n v="0"/>
    <m/>
    <m/>
    <n v="0"/>
    <m/>
    <m/>
    <n v="0"/>
    <m/>
    <m/>
    <m/>
    <n v="0"/>
    <m/>
    <m/>
    <n v="0"/>
    <s v="PAC"/>
    <m/>
  </r>
  <r>
    <n v="365"/>
    <x v="0"/>
    <s v="Shipment 1 B-10124 Fired Proces Heater"/>
    <x v="0"/>
    <x v="0"/>
    <m/>
    <m/>
    <s v="HEATER"/>
    <m/>
    <s v="S2"/>
    <s v="U285-AS-13MK504-1"/>
    <s v="13MK504-1(4/4)"/>
    <s v="PACKING FOR TRANSPORT"/>
    <n v="1"/>
    <n v="497.72500000000002"/>
    <n v="497.72500000000002"/>
    <s v="(5000x440x353)"/>
    <m/>
    <m/>
    <m/>
    <m/>
    <m/>
    <m/>
    <m/>
    <m/>
    <m/>
    <m/>
    <m/>
    <m/>
    <m/>
    <n v="0"/>
    <n v="497.72500000000002"/>
    <m/>
    <m/>
    <n v="0"/>
    <m/>
    <m/>
    <n v="0"/>
    <m/>
    <m/>
    <n v="0"/>
    <m/>
    <m/>
    <n v="0"/>
    <m/>
    <m/>
    <m/>
    <n v="0"/>
    <m/>
    <m/>
    <n v="0"/>
    <s v="PAC"/>
    <m/>
  </r>
  <r>
    <n v="366"/>
    <x v="0"/>
    <s v="Shipment 1 B-10124 Fired Proces Heater"/>
    <x v="0"/>
    <x v="0"/>
    <m/>
    <m/>
    <s v="HEATER"/>
    <m/>
    <s v="S2"/>
    <s v="U285-AS-13MK504A-1"/>
    <s v="13MK504A-1(1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67"/>
    <x v="0"/>
    <s v="Shipment 1 B-10124 Fired Proces Heater"/>
    <x v="0"/>
    <x v="0"/>
    <m/>
    <m/>
    <s v="HEATER"/>
    <m/>
    <s v="S2"/>
    <s v="U285-AS-13MK504A-1"/>
    <s v="13MK504A-1(2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68"/>
    <x v="0"/>
    <s v="Shipment 1 B-10124 Fired Proces Heater"/>
    <x v="0"/>
    <x v="0"/>
    <m/>
    <m/>
    <s v="HEATER"/>
    <m/>
    <s v="S2"/>
    <s v="U285-AS-13MK504A-1"/>
    <s v="13MK504A-1(3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69"/>
    <x v="0"/>
    <s v="Shipment 1 B-10124 Fired Proces Heater"/>
    <x v="0"/>
    <x v="0"/>
    <m/>
    <m/>
    <s v="HEATER"/>
    <m/>
    <s v="S2"/>
    <s v="U285-AS-13MK504A-1"/>
    <s v="13MK504A-1(4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70"/>
    <x v="0"/>
    <s v="Shipment 1 B-10124 Fired Proces Heater"/>
    <x v="0"/>
    <x v="0"/>
    <m/>
    <m/>
    <s v="HEATER"/>
    <m/>
    <s v="S2"/>
    <s v="U285-AS-13MK504A-1"/>
    <s v="13MK504A-1(5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71"/>
    <x v="0"/>
    <s v="Shipment 1 B-10124 Fired Proces Heater"/>
    <x v="0"/>
    <x v="0"/>
    <m/>
    <m/>
    <s v="HEATER"/>
    <m/>
    <s v="S2"/>
    <s v="U285-AS-13MK504A-1"/>
    <s v="13MK504A-1(6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72"/>
    <x v="0"/>
    <s v="Shipment 1 B-10124 Fired Proces Heater"/>
    <x v="0"/>
    <x v="0"/>
    <m/>
    <m/>
    <s v="HEATER"/>
    <m/>
    <s v="S2"/>
    <s v="U285-AS-13MK504A-1"/>
    <s v="13MK504A-1(7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73"/>
    <x v="0"/>
    <s v="Shipment 1 B-10124 Fired Proces Heater"/>
    <x v="0"/>
    <x v="0"/>
    <m/>
    <m/>
    <s v="HEATER"/>
    <m/>
    <s v="S2"/>
    <s v="U285-AS-13MK504A-1"/>
    <s v="13MK504A-1(8/8)"/>
    <s v="PACKING FOR TRANSPORT"/>
    <n v="1"/>
    <n v="78.887499999999989"/>
    <n v="78.887499999999989"/>
    <s v="(1399x300x300)"/>
    <m/>
    <m/>
    <m/>
    <m/>
    <m/>
    <m/>
    <m/>
    <m/>
    <m/>
    <m/>
    <m/>
    <m/>
    <m/>
    <n v="0"/>
    <n v="78.887499999999989"/>
    <m/>
    <m/>
    <n v="0"/>
    <m/>
    <m/>
    <n v="0"/>
    <m/>
    <m/>
    <n v="0"/>
    <m/>
    <m/>
    <n v="0"/>
    <m/>
    <m/>
    <m/>
    <n v="0"/>
    <m/>
    <m/>
    <n v="0"/>
    <s v="PAC"/>
    <m/>
  </r>
  <r>
    <n v="374"/>
    <x v="0"/>
    <s v="Shipment 1 B-10124 Fired Proces Heater"/>
    <x v="0"/>
    <x v="0"/>
    <m/>
    <m/>
    <s v="HEATER"/>
    <m/>
    <s v="S2"/>
    <s v="U285-AS-13MK505-1"/>
    <s v="13MK505-1(1/2)"/>
    <s v="PACKING FOR TRANSPORT"/>
    <n v="1"/>
    <n v="518.9"/>
    <n v="518.9"/>
    <s v="(3300x547x356)"/>
    <m/>
    <m/>
    <m/>
    <m/>
    <m/>
    <m/>
    <m/>
    <m/>
    <m/>
    <m/>
    <m/>
    <m/>
    <m/>
    <n v="0"/>
    <n v="518.9"/>
    <m/>
    <m/>
    <n v="0"/>
    <m/>
    <m/>
    <n v="0"/>
    <m/>
    <m/>
    <n v="0"/>
    <m/>
    <m/>
    <n v="0"/>
    <m/>
    <m/>
    <m/>
    <n v="0"/>
    <m/>
    <m/>
    <n v="0"/>
    <s v="PAC"/>
    <m/>
  </r>
  <r>
    <n v="375"/>
    <x v="0"/>
    <s v="Shipment 1 B-10124 Fired Proces Heater"/>
    <x v="0"/>
    <x v="0"/>
    <m/>
    <m/>
    <s v="HEATER"/>
    <m/>
    <s v="S2"/>
    <s v="U285-AS-13MK505-1"/>
    <s v="13MK505-1(2/2)"/>
    <s v="PACKING FOR TRANSPORT"/>
    <n v="1"/>
    <n v="518.9"/>
    <n v="518.9"/>
    <s v="(3300x547x356)"/>
    <m/>
    <m/>
    <m/>
    <m/>
    <m/>
    <m/>
    <m/>
    <m/>
    <m/>
    <m/>
    <m/>
    <m/>
    <m/>
    <n v="0"/>
    <n v="518.9"/>
    <m/>
    <m/>
    <n v="0"/>
    <m/>
    <m/>
    <n v="0"/>
    <m/>
    <m/>
    <n v="0"/>
    <m/>
    <m/>
    <n v="0"/>
    <m/>
    <m/>
    <m/>
    <n v="0"/>
    <m/>
    <m/>
    <n v="0"/>
    <s v="PAC"/>
    <m/>
  </r>
  <r>
    <n v="376"/>
    <x v="0"/>
    <s v="Shipment 1 B-10124 Fired Proces Heater"/>
    <x v="0"/>
    <x v="0"/>
    <m/>
    <m/>
    <s v="HEATER"/>
    <m/>
    <s v="S2"/>
    <s v="U285-AS-13MK506-1"/>
    <s v="13MK506-1"/>
    <s v="PACKING FOR TRANSPORT"/>
    <n v="1"/>
    <n v="637.4"/>
    <n v="637.4"/>
    <s v="(3455x1086x605)"/>
    <m/>
    <m/>
    <m/>
    <m/>
    <m/>
    <m/>
    <m/>
    <m/>
    <m/>
    <m/>
    <m/>
    <m/>
    <m/>
    <n v="0"/>
    <n v="637.4"/>
    <m/>
    <m/>
    <n v="0"/>
    <m/>
    <m/>
    <n v="0"/>
    <m/>
    <m/>
    <n v="0"/>
    <m/>
    <m/>
    <n v="0"/>
    <m/>
    <m/>
    <m/>
    <n v="0"/>
    <m/>
    <m/>
    <n v="0"/>
    <s v="PAC"/>
    <m/>
  </r>
  <r>
    <n v="377"/>
    <x v="0"/>
    <s v="Shipment 1 B-10124 Fired Proces Heater"/>
    <x v="0"/>
    <x v="0"/>
    <m/>
    <m/>
    <s v="HEATER"/>
    <m/>
    <s v="S2"/>
    <s v="U285-AS-13MK506-2"/>
    <s v="13MK506-2"/>
    <s v="PACKING FOR TRANSPORT"/>
    <n v="1"/>
    <n v="637.4"/>
    <n v="637.4"/>
    <s v="(3455x1086x605)"/>
    <m/>
    <m/>
    <m/>
    <m/>
    <m/>
    <m/>
    <m/>
    <m/>
    <m/>
    <m/>
    <m/>
    <m/>
    <m/>
    <n v="0"/>
    <n v="637.4"/>
    <m/>
    <m/>
    <n v="0"/>
    <m/>
    <m/>
    <n v="0"/>
    <m/>
    <m/>
    <n v="0"/>
    <m/>
    <m/>
    <n v="0"/>
    <m/>
    <m/>
    <m/>
    <n v="0"/>
    <m/>
    <m/>
    <n v="0"/>
    <s v="PAC"/>
    <m/>
  </r>
  <r>
    <n v="378"/>
    <x v="0"/>
    <s v="Shipment 1 B-10124 Fired Proces Heater"/>
    <x v="0"/>
    <x v="0"/>
    <m/>
    <m/>
    <s v="HEATER"/>
    <m/>
    <s v="S2"/>
    <s v="U285-AS-13MK507-1"/>
    <s v="13MK507-1"/>
    <s v="PACKING FOR TRANSPORT"/>
    <n v="1"/>
    <n v="637.4"/>
    <n v="637.4"/>
    <s v="(3455x1086x605)"/>
    <m/>
    <m/>
    <m/>
    <m/>
    <m/>
    <m/>
    <m/>
    <m/>
    <m/>
    <m/>
    <m/>
    <m/>
    <m/>
    <n v="0"/>
    <n v="637.4"/>
    <m/>
    <m/>
    <n v="0"/>
    <m/>
    <m/>
    <n v="0"/>
    <m/>
    <m/>
    <n v="0"/>
    <m/>
    <m/>
    <n v="0"/>
    <m/>
    <m/>
    <m/>
    <n v="0"/>
    <m/>
    <m/>
    <n v="0"/>
    <s v="PAC"/>
    <m/>
  </r>
  <r>
    <n v="379"/>
    <x v="0"/>
    <s v="Shipment 1 B-10124 Fired Proces Heater"/>
    <x v="0"/>
    <x v="0"/>
    <m/>
    <m/>
    <s v="HEATER"/>
    <m/>
    <s v="S2"/>
    <s v="U285-AS-13MK507-2"/>
    <s v="13MK507-2"/>
    <s v="PACKING FOR TRANSPORT"/>
    <n v="1"/>
    <n v="637.4"/>
    <n v="637.4"/>
    <s v="(3455x1086x605)"/>
    <m/>
    <m/>
    <m/>
    <m/>
    <m/>
    <m/>
    <m/>
    <m/>
    <m/>
    <m/>
    <m/>
    <m/>
    <m/>
    <n v="0"/>
    <n v="637.4"/>
    <m/>
    <m/>
    <n v="0"/>
    <m/>
    <m/>
    <n v="0"/>
    <m/>
    <m/>
    <n v="0"/>
    <m/>
    <m/>
    <n v="0"/>
    <m/>
    <m/>
    <m/>
    <n v="0"/>
    <m/>
    <m/>
    <n v="0"/>
    <s v="PAC"/>
    <m/>
  </r>
  <r>
    <n v="380"/>
    <x v="0"/>
    <s v="Shipment 1 B-10124 Fired Proces Heater"/>
    <x v="0"/>
    <x v="0"/>
    <m/>
    <m/>
    <s v="HEATER"/>
    <m/>
    <s v="S2"/>
    <s v="U285-AS-13MK508-1"/>
    <s v="13MK508-1(1/2)"/>
    <s v="PACKING FOR TRANSPORT"/>
    <n v="1"/>
    <n v="138.6"/>
    <n v="138.6"/>
    <s v="(1213x255x496)"/>
    <m/>
    <m/>
    <m/>
    <m/>
    <m/>
    <m/>
    <m/>
    <m/>
    <m/>
    <m/>
    <m/>
    <m/>
    <m/>
    <n v="0"/>
    <n v="138.6"/>
    <m/>
    <m/>
    <n v="0"/>
    <m/>
    <m/>
    <n v="0"/>
    <m/>
    <m/>
    <n v="0"/>
    <m/>
    <m/>
    <n v="0"/>
    <m/>
    <m/>
    <m/>
    <n v="0"/>
    <m/>
    <m/>
    <n v="0"/>
    <s v="PAC"/>
    <m/>
  </r>
  <r>
    <n v="381"/>
    <x v="0"/>
    <s v="Shipment 1 B-10124 Fired Proces Heater"/>
    <x v="0"/>
    <x v="0"/>
    <m/>
    <m/>
    <s v="HEATER"/>
    <m/>
    <s v="S2"/>
    <s v="U285-AS-13MK508-1"/>
    <s v="13MK508-1(2/2)"/>
    <s v="PACKING FOR TRANSPORT"/>
    <n v="1"/>
    <n v="138.6"/>
    <n v="138.6"/>
    <s v="(1213x255x496)"/>
    <m/>
    <m/>
    <m/>
    <m/>
    <m/>
    <m/>
    <m/>
    <m/>
    <m/>
    <m/>
    <m/>
    <m/>
    <m/>
    <n v="0"/>
    <n v="138.6"/>
    <m/>
    <m/>
    <n v="0"/>
    <m/>
    <m/>
    <n v="0"/>
    <m/>
    <m/>
    <n v="0"/>
    <m/>
    <m/>
    <n v="0"/>
    <m/>
    <m/>
    <m/>
    <n v="0"/>
    <m/>
    <m/>
    <n v="0"/>
    <s v="PAC"/>
    <m/>
  </r>
  <r>
    <n v="382"/>
    <x v="0"/>
    <s v="Shipment 1 B-10124 Fired Proces Heater"/>
    <x v="0"/>
    <x v="0"/>
    <m/>
    <m/>
    <s v="HEATER"/>
    <m/>
    <s v="S2"/>
    <s v="U285-AS-13MK509-1"/>
    <s v="13MK509-1"/>
    <s v="PACKING FOR TRANSPORT"/>
    <n v="1"/>
    <n v="12"/>
    <n v="12"/>
    <s v="(520x10x310)"/>
    <m/>
    <m/>
    <m/>
    <m/>
    <m/>
    <m/>
    <m/>
    <m/>
    <m/>
    <m/>
    <m/>
    <m/>
    <m/>
    <n v="0"/>
    <n v="12"/>
    <m/>
    <m/>
    <n v="0"/>
    <m/>
    <m/>
    <n v="0"/>
    <m/>
    <m/>
    <n v="0"/>
    <m/>
    <m/>
    <n v="0"/>
    <m/>
    <m/>
    <m/>
    <n v="0"/>
    <m/>
    <m/>
    <n v="0"/>
    <s v="PAC"/>
    <m/>
  </r>
  <r>
    <n v="383"/>
    <x v="0"/>
    <s v="Shipment 1 B-10124 Fired Proces Heater"/>
    <x v="0"/>
    <x v="0"/>
    <m/>
    <m/>
    <s v="HEATER"/>
    <m/>
    <s v="S2"/>
    <s v="U285-AS-13MK510-1"/>
    <s v="13MK510-1(1/2)"/>
    <s v="PACKING FOR TRANSPORT"/>
    <n v="1"/>
    <n v="12"/>
    <n v="12"/>
    <s v="(520x10x310)"/>
    <m/>
    <m/>
    <m/>
    <m/>
    <m/>
    <m/>
    <m/>
    <m/>
    <m/>
    <m/>
    <m/>
    <m/>
    <m/>
    <n v="0"/>
    <n v="12"/>
    <m/>
    <m/>
    <n v="0"/>
    <m/>
    <m/>
    <n v="0"/>
    <m/>
    <m/>
    <n v="0"/>
    <m/>
    <m/>
    <n v="0"/>
    <m/>
    <m/>
    <m/>
    <n v="0"/>
    <m/>
    <m/>
    <n v="0"/>
    <s v="PAC"/>
    <m/>
  </r>
  <r>
    <n v="384"/>
    <x v="0"/>
    <s v="Shipment 1 B-10124 Fired Proces Heater"/>
    <x v="0"/>
    <x v="0"/>
    <m/>
    <m/>
    <s v="HEATER"/>
    <m/>
    <s v="S2"/>
    <s v="U285-AS-13MK510-1"/>
    <s v="13MK510-1(2/2)"/>
    <s v="PACKING FOR TRANSPORT"/>
    <n v="1"/>
    <n v="12"/>
    <n v="12"/>
    <s v="(520x10x310)"/>
    <m/>
    <m/>
    <m/>
    <m/>
    <m/>
    <m/>
    <m/>
    <m/>
    <m/>
    <m/>
    <m/>
    <m/>
    <m/>
    <n v="0"/>
    <n v="12"/>
    <m/>
    <m/>
    <n v="0"/>
    <m/>
    <m/>
    <n v="0"/>
    <m/>
    <m/>
    <n v="0"/>
    <m/>
    <m/>
    <n v="0"/>
    <m/>
    <m/>
    <m/>
    <n v="0"/>
    <m/>
    <m/>
    <n v="0"/>
    <s v="PAC"/>
    <m/>
  </r>
  <r>
    <n v="385"/>
    <x v="0"/>
    <s v="Shipment 1 B-10124 Fired Proces Heater"/>
    <x v="0"/>
    <x v="0"/>
    <m/>
    <m/>
    <s v="HEATER"/>
    <m/>
    <s v="S2"/>
    <s v="U285-AS-13MK511-1"/>
    <s v="13MK511-1"/>
    <s v="PACKING FOR TRANSPORT"/>
    <n v="1"/>
    <n v="47.5"/>
    <n v="47.5"/>
    <s v="(3560x90x90)"/>
    <m/>
    <m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PAC"/>
    <m/>
  </r>
  <r>
    <n v="386"/>
    <x v="0"/>
    <s v="Shipment 1 B-10124 Fired Proces Heater"/>
    <x v="0"/>
    <x v="0"/>
    <m/>
    <m/>
    <s v="HEATER"/>
    <m/>
    <s v="S2"/>
    <s v="U285-AS-13MK511-2"/>
    <s v="13MK511-2"/>
    <s v="PACKING FOR TRANSPORT"/>
    <n v="1"/>
    <n v="47.5"/>
    <n v="47.5"/>
    <s v="(3560x90x90)"/>
    <m/>
    <m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PAC"/>
    <m/>
  </r>
  <r>
    <n v="387"/>
    <x v="0"/>
    <s v="Shipment 1 B-10124 Fired Proces Heater"/>
    <x v="0"/>
    <x v="0"/>
    <m/>
    <m/>
    <s v="HEATER"/>
    <m/>
    <s v="S2"/>
    <s v="U285-AS-13MK512-1"/>
    <s v="13MK512-1"/>
    <s v="PACKING FOR TRANSPORT"/>
    <n v="1"/>
    <n v="47.5"/>
    <n v="47.5"/>
    <s v="(3560x90x90)"/>
    <m/>
    <m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PAC"/>
    <m/>
  </r>
  <r>
    <n v="388"/>
    <x v="0"/>
    <s v="Shipment 1 B-10124 Fired Proces Heater"/>
    <x v="0"/>
    <x v="0"/>
    <m/>
    <m/>
    <s v="HEATER"/>
    <m/>
    <s v="S2"/>
    <s v="U285-AS-13MK512-2"/>
    <s v="13MK512-2"/>
    <s v="PACKING FOR TRANSPORT"/>
    <n v="1"/>
    <n v="47.5"/>
    <n v="47.5"/>
    <s v="(3560x90x90)"/>
    <m/>
    <m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PAC"/>
    <m/>
  </r>
  <r>
    <n v="389"/>
    <x v="0"/>
    <s v="Shipment 1 B-10124 Fired Proces Heater"/>
    <x v="0"/>
    <x v="0"/>
    <m/>
    <m/>
    <s v="HEATER"/>
    <m/>
    <s v="S2"/>
    <s v="U285-AS-13MK513-1"/>
    <s v="13MK513-1"/>
    <s v="PACKING FOR TRANSPORT"/>
    <n v="36"/>
    <n v="0.98888888888888893"/>
    <n v="35.6"/>
    <s v="(90x10x140)"/>
    <m/>
    <m/>
    <m/>
    <m/>
    <m/>
    <m/>
    <m/>
    <m/>
    <m/>
    <m/>
    <m/>
    <m/>
    <m/>
    <n v="0"/>
    <n v="35.6"/>
    <m/>
    <m/>
    <n v="0"/>
    <m/>
    <m/>
    <n v="0"/>
    <m/>
    <m/>
    <n v="0"/>
    <m/>
    <m/>
    <n v="0"/>
    <m/>
    <m/>
    <m/>
    <n v="0"/>
    <m/>
    <m/>
    <n v="0"/>
    <s v="PAC"/>
    <m/>
  </r>
  <r>
    <n v="390"/>
    <x v="0"/>
    <s v="Shipment 1 B-10124 Fired Proces Heater"/>
    <x v="0"/>
    <x v="0"/>
    <m/>
    <m/>
    <s v="HEATER"/>
    <m/>
    <s v="S2"/>
    <s v="U285-AS-13MK514-1"/>
    <s v="13MK514-1(1/4)"/>
    <s v="PACKING FOR TRANSPORT"/>
    <n v="1"/>
    <n v="22.925000000000001"/>
    <n v="22.925000000000001"/>
    <s v="(1718x90x90)"/>
    <m/>
    <m/>
    <m/>
    <m/>
    <m/>
    <m/>
    <m/>
    <m/>
    <m/>
    <m/>
    <m/>
    <m/>
    <m/>
    <n v="0"/>
    <n v="22.925000000000001"/>
    <m/>
    <m/>
    <n v="0"/>
    <m/>
    <m/>
    <n v="0"/>
    <m/>
    <m/>
    <n v="0"/>
    <m/>
    <m/>
    <n v="0"/>
    <m/>
    <m/>
    <m/>
    <n v="0"/>
    <m/>
    <m/>
    <n v="0"/>
    <s v="PAC"/>
    <m/>
  </r>
  <r>
    <n v="391"/>
    <x v="0"/>
    <s v="Shipment 1 B-10124 Fired Proces Heater"/>
    <x v="0"/>
    <x v="0"/>
    <m/>
    <m/>
    <s v="HEATER"/>
    <m/>
    <s v="S2"/>
    <s v="U285-AS-13MK514-1"/>
    <s v="13MK514-1(2/4)"/>
    <s v="PACKING FOR TRANSPORT"/>
    <n v="1"/>
    <n v="22.925000000000001"/>
    <n v="22.925000000000001"/>
    <s v="(1718x90x90)"/>
    <m/>
    <m/>
    <m/>
    <m/>
    <m/>
    <m/>
    <m/>
    <m/>
    <m/>
    <m/>
    <m/>
    <m/>
    <m/>
    <n v="0"/>
    <n v="22.925000000000001"/>
    <m/>
    <m/>
    <n v="0"/>
    <m/>
    <m/>
    <n v="0"/>
    <m/>
    <m/>
    <n v="0"/>
    <m/>
    <m/>
    <n v="0"/>
    <m/>
    <m/>
    <m/>
    <n v="0"/>
    <m/>
    <m/>
    <n v="0"/>
    <s v="PAC"/>
    <m/>
  </r>
  <r>
    <n v="392"/>
    <x v="0"/>
    <s v="Shipment 1 B-10124 Fired Proces Heater"/>
    <x v="0"/>
    <x v="0"/>
    <m/>
    <m/>
    <s v="HEATER"/>
    <m/>
    <s v="S2"/>
    <s v="U285-AS-13MK514-1"/>
    <s v="13MK514-1(3/4)"/>
    <s v="PACKING FOR TRANSPORT"/>
    <n v="1"/>
    <n v="22.925000000000001"/>
    <n v="22.925000000000001"/>
    <s v="(1718x90x90)"/>
    <m/>
    <m/>
    <m/>
    <m/>
    <m/>
    <m/>
    <m/>
    <m/>
    <m/>
    <m/>
    <m/>
    <m/>
    <m/>
    <n v="0"/>
    <n v="22.925000000000001"/>
    <m/>
    <m/>
    <n v="0"/>
    <m/>
    <m/>
    <n v="0"/>
    <m/>
    <m/>
    <n v="0"/>
    <m/>
    <m/>
    <n v="0"/>
    <m/>
    <m/>
    <m/>
    <n v="0"/>
    <m/>
    <m/>
    <n v="0"/>
    <s v="PAC"/>
    <m/>
  </r>
  <r>
    <n v="393"/>
    <x v="0"/>
    <s v="Shipment 1 B-10124 Fired Proces Heater"/>
    <x v="0"/>
    <x v="0"/>
    <m/>
    <m/>
    <s v="HEATER"/>
    <m/>
    <s v="S2"/>
    <s v="U285-AS-13MK514-1"/>
    <s v="13MK514-1(4/4)"/>
    <s v="PACKING FOR TRANSPORT"/>
    <n v="1"/>
    <n v="22.925000000000001"/>
    <n v="22.925000000000001"/>
    <s v="(1718x90x90)"/>
    <m/>
    <m/>
    <m/>
    <m/>
    <m/>
    <m/>
    <m/>
    <m/>
    <m/>
    <m/>
    <m/>
    <m/>
    <m/>
    <n v="0"/>
    <n v="22.925000000000001"/>
    <m/>
    <m/>
    <n v="0"/>
    <m/>
    <m/>
    <n v="0"/>
    <m/>
    <m/>
    <n v="0"/>
    <m/>
    <m/>
    <n v="0"/>
    <m/>
    <m/>
    <m/>
    <n v="0"/>
    <m/>
    <m/>
    <n v="0"/>
    <s v="PAC"/>
    <m/>
  </r>
  <r>
    <n v="394"/>
    <x v="0"/>
    <s v="Shipment 1 B-10124 Fired Proces Heater"/>
    <x v="0"/>
    <x v="0"/>
    <m/>
    <m/>
    <s v="HEATER"/>
    <m/>
    <s v="S2"/>
    <s v="U285-AS-13MK515-1"/>
    <s v="13MK515-1(1/4)"/>
    <s v="PACKING FOR TRANSPORT"/>
    <n v="1"/>
    <n v="21.35"/>
    <n v="21.35"/>
    <s v="(1600x90x90)"/>
    <m/>
    <m/>
    <m/>
    <m/>
    <m/>
    <m/>
    <m/>
    <m/>
    <m/>
    <m/>
    <m/>
    <m/>
    <m/>
    <n v="0"/>
    <n v="21.35"/>
    <m/>
    <m/>
    <n v="0"/>
    <m/>
    <m/>
    <n v="0"/>
    <m/>
    <m/>
    <n v="0"/>
    <m/>
    <m/>
    <n v="0"/>
    <m/>
    <m/>
    <m/>
    <n v="0"/>
    <m/>
    <m/>
    <n v="0"/>
    <s v="PAC"/>
    <m/>
  </r>
  <r>
    <n v="395"/>
    <x v="0"/>
    <s v="Shipment 1 B-10124 Fired Proces Heater"/>
    <x v="0"/>
    <x v="0"/>
    <m/>
    <m/>
    <s v="HEATER"/>
    <m/>
    <s v="S2"/>
    <s v="U285-AS-13MK515-1"/>
    <s v="13MK515-1(2/4)"/>
    <s v="PACKING FOR TRANSPORT"/>
    <n v="1"/>
    <n v="21.35"/>
    <n v="21.35"/>
    <s v="(1600x90x90)"/>
    <m/>
    <m/>
    <m/>
    <m/>
    <m/>
    <m/>
    <m/>
    <m/>
    <m/>
    <m/>
    <m/>
    <m/>
    <m/>
    <n v="0"/>
    <n v="21.35"/>
    <m/>
    <m/>
    <n v="0"/>
    <m/>
    <m/>
    <n v="0"/>
    <m/>
    <m/>
    <n v="0"/>
    <m/>
    <m/>
    <n v="0"/>
    <m/>
    <m/>
    <m/>
    <n v="0"/>
    <m/>
    <m/>
    <n v="0"/>
    <s v="PAC"/>
    <m/>
  </r>
  <r>
    <n v="396"/>
    <x v="0"/>
    <s v="Shipment 1 B-10124 Fired Proces Heater"/>
    <x v="0"/>
    <x v="0"/>
    <m/>
    <m/>
    <s v="HEATER"/>
    <m/>
    <s v="S2"/>
    <s v="U285-AS-13MK515-1"/>
    <s v="13MK515-1(3/4)"/>
    <s v="PACKING FOR TRANSPORT"/>
    <n v="1"/>
    <n v="21.35"/>
    <n v="21.35"/>
    <s v="(1600x90x90)"/>
    <m/>
    <m/>
    <m/>
    <m/>
    <m/>
    <m/>
    <m/>
    <m/>
    <m/>
    <m/>
    <m/>
    <m/>
    <m/>
    <n v="0"/>
    <n v="21.35"/>
    <m/>
    <m/>
    <n v="0"/>
    <m/>
    <m/>
    <n v="0"/>
    <m/>
    <m/>
    <n v="0"/>
    <m/>
    <m/>
    <n v="0"/>
    <m/>
    <m/>
    <m/>
    <n v="0"/>
    <m/>
    <m/>
    <n v="0"/>
    <s v="PAC"/>
    <m/>
  </r>
  <r>
    <n v="397"/>
    <x v="0"/>
    <s v="Shipment 1 B-10124 Fired Proces Heater"/>
    <x v="0"/>
    <x v="0"/>
    <m/>
    <m/>
    <s v="HEATER"/>
    <m/>
    <s v="S2"/>
    <s v="U285-AS-13MK515-1"/>
    <s v="13MK515-1(4/4)"/>
    <s v="PACKING FOR TRANSPORT"/>
    <n v="1"/>
    <n v="21.35"/>
    <n v="21.35"/>
    <s v="(1600x90x90)"/>
    <m/>
    <m/>
    <m/>
    <m/>
    <m/>
    <m/>
    <m/>
    <m/>
    <m/>
    <m/>
    <m/>
    <m/>
    <m/>
    <n v="0"/>
    <n v="21.35"/>
    <m/>
    <m/>
    <n v="0"/>
    <m/>
    <m/>
    <n v="0"/>
    <m/>
    <m/>
    <n v="0"/>
    <m/>
    <m/>
    <n v="0"/>
    <m/>
    <m/>
    <m/>
    <n v="0"/>
    <m/>
    <m/>
    <n v="0"/>
    <s v="PAC"/>
    <m/>
  </r>
  <r>
    <n v="398"/>
    <x v="0"/>
    <s v="Shipment 1 B-10124 Fired Proces Heater"/>
    <x v="0"/>
    <x v="0"/>
    <m/>
    <m/>
    <s v="HEATER"/>
    <m/>
    <s v="S2"/>
    <s v="U285-AS-13MK516-1"/>
    <s v="13MK516-1(1/2)"/>
    <s v="PACKING FOR TRANSPORT"/>
    <n v="1"/>
    <n v="21.1"/>
    <n v="21.1"/>
    <s v="(1580x90x90)"/>
    <m/>
    <m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PAC"/>
    <m/>
  </r>
  <r>
    <n v="399"/>
    <x v="0"/>
    <s v="Shipment 1 B-10124 Fired Proces Heater"/>
    <x v="0"/>
    <x v="0"/>
    <m/>
    <m/>
    <s v="HEATER"/>
    <m/>
    <s v="S2"/>
    <s v="U285-AS-13MK516-1"/>
    <s v="13MK516-1(2/2)"/>
    <s v="PACKING FOR TRANSPORT"/>
    <n v="1"/>
    <n v="21.1"/>
    <n v="21.1"/>
    <s v="(1580x90x90)"/>
    <m/>
    <m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PAC"/>
    <m/>
  </r>
  <r>
    <n v="400"/>
    <x v="0"/>
    <s v="Shipment 1 B-10124 Fired Proces Heater"/>
    <x v="0"/>
    <x v="0"/>
    <m/>
    <m/>
    <s v="HEATER"/>
    <m/>
    <s v="S2"/>
    <s v="U285-AS-13MK516-2"/>
    <s v="13MK516-2(1/2)"/>
    <s v="PACKING FOR TRANSPORT"/>
    <n v="1"/>
    <n v="21.1"/>
    <n v="21.1"/>
    <s v="(1580x90x90)"/>
    <m/>
    <m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PAC"/>
    <m/>
  </r>
  <r>
    <n v="401"/>
    <x v="0"/>
    <s v="Shipment 1 B-10124 Fired Proces Heater"/>
    <x v="0"/>
    <x v="0"/>
    <m/>
    <m/>
    <s v="HEATER"/>
    <m/>
    <s v="S2"/>
    <s v="U285-AS-13MK516-2"/>
    <s v="13MK516-2(2/2)"/>
    <s v="PACKING FOR TRANSPORT"/>
    <n v="1"/>
    <n v="21.1"/>
    <n v="21.1"/>
    <s v="(1580x90x90)"/>
    <m/>
    <m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PAC"/>
    <m/>
  </r>
  <r>
    <n v="402"/>
    <x v="0"/>
    <s v="Shipment 1 B-10124 Fired Proces Heater"/>
    <x v="0"/>
    <x v="0"/>
    <m/>
    <m/>
    <s v="HEATER"/>
    <m/>
    <s v="S2"/>
    <s v="U285-AS-13MK517-1"/>
    <s v="13MK517-1(1/2)"/>
    <s v="PACKING FOR TRANSPORT"/>
    <n v="1"/>
    <n v="45.35"/>
    <n v="45.35"/>
    <s v="(3400x90x90)"/>
    <m/>
    <m/>
    <m/>
    <m/>
    <m/>
    <m/>
    <m/>
    <m/>
    <m/>
    <m/>
    <m/>
    <m/>
    <m/>
    <n v="0"/>
    <n v="45.35"/>
    <m/>
    <m/>
    <n v="0"/>
    <m/>
    <m/>
    <n v="0"/>
    <m/>
    <m/>
    <n v="0"/>
    <m/>
    <m/>
    <n v="0"/>
    <m/>
    <m/>
    <m/>
    <n v="0"/>
    <m/>
    <m/>
    <n v="0"/>
    <s v="PAC"/>
    <m/>
  </r>
  <r>
    <n v="403"/>
    <x v="0"/>
    <s v="Shipment 1 B-10124 Fired Proces Heater"/>
    <x v="0"/>
    <x v="0"/>
    <m/>
    <m/>
    <s v="HEATER"/>
    <m/>
    <s v="S2"/>
    <s v="U285-AS-13MK517-1"/>
    <s v="13MK517-1(2/2)"/>
    <s v="PACKING FOR TRANSPORT"/>
    <n v="1"/>
    <n v="45.35"/>
    <n v="45.35"/>
    <s v="(3400x90x90)"/>
    <m/>
    <m/>
    <m/>
    <m/>
    <m/>
    <m/>
    <m/>
    <m/>
    <m/>
    <m/>
    <m/>
    <m/>
    <m/>
    <n v="0"/>
    <n v="45.35"/>
    <m/>
    <m/>
    <n v="0"/>
    <m/>
    <m/>
    <n v="0"/>
    <m/>
    <m/>
    <n v="0"/>
    <m/>
    <m/>
    <n v="0"/>
    <m/>
    <m/>
    <m/>
    <n v="0"/>
    <m/>
    <m/>
    <n v="0"/>
    <s v="PAC"/>
    <m/>
  </r>
  <r>
    <n v="404"/>
    <x v="0"/>
    <s v="Shipment 1 B-10124 Fired Proces Heater"/>
    <x v="0"/>
    <x v="0"/>
    <m/>
    <m/>
    <s v="HEATER"/>
    <m/>
    <s v="S2"/>
    <s v="U285-AS-13MK518-1"/>
    <s v="13MK518-1(1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05"/>
    <x v="0"/>
    <s v="Shipment 1 B-10124 Fired Proces Heater"/>
    <x v="0"/>
    <x v="0"/>
    <m/>
    <m/>
    <s v="HEATER"/>
    <m/>
    <s v="S2"/>
    <s v="U285-AS-13MK518-1"/>
    <s v="13MK518-1(2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06"/>
    <x v="0"/>
    <s v="Shipment 1 B-10124 Fired Proces Heater"/>
    <x v="0"/>
    <x v="0"/>
    <m/>
    <m/>
    <s v="HEATER"/>
    <m/>
    <s v="S2"/>
    <s v="U285-AS-13MK518-1"/>
    <s v="13MK518-1(3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07"/>
    <x v="0"/>
    <s v="Shipment 1 B-10124 Fired Proces Heater"/>
    <x v="0"/>
    <x v="0"/>
    <m/>
    <m/>
    <s v="HEATER"/>
    <m/>
    <s v="S2"/>
    <s v="U285-AS-13MK518-1"/>
    <s v="13MK518-1(4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08"/>
    <x v="0"/>
    <s v="Shipment 1 B-10124 Fired Proces Heater"/>
    <x v="0"/>
    <x v="0"/>
    <m/>
    <m/>
    <s v="HEATER"/>
    <m/>
    <s v="S2"/>
    <s v="U285-AS-13MK518-1"/>
    <s v="13MK518-1(5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09"/>
    <x v="0"/>
    <s v="Shipment 1 B-10124 Fired Proces Heater"/>
    <x v="0"/>
    <x v="0"/>
    <m/>
    <m/>
    <s v="HEATER"/>
    <m/>
    <s v="S2"/>
    <s v="U285-AS-13MK518-1"/>
    <s v="13MK518-1(6/6)"/>
    <s v="PACKING FOR TRANSPORT"/>
    <n v="1"/>
    <n v="200.28333333333333"/>
    <n v="200.28333333333333"/>
    <s v="(2145x205x450)"/>
    <m/>
    <m/>
    <m/>
    <m/>
    <m/>
    <m/>
    <m/>
    <m/>
    <m/>
    <m/>
    <m/>
    <m/>
    <m/>
    <n v="0"/>
    <n v="200.28333333333333"/>
    <m/>
    <m/>
    <n v="0"/>
    <m/>
    <m/>
    <n v="0"/>
    <m/>
    <m/>
    <n v="0"/>
    <m/>
    <m/>
    <n v="0"/>
    <m/>
    <m/>
    <m/>
    <n v="0"/>
    <m/>
    <m/>
    <n v="0"/>
    <s v="PAC"/>
    <m/>
  </r>
  <r>
    <n v="410"/>
    <x v="0"/>
    <s v="Shipment 1 B-10124 Fired Proces Heater"/>
    <x v="0"/>
    <x v="0"/>
    <m/>
    <m/>
    <s v="HEATER"/>
    <m/>
    <s v="S2"/>
    <s v="U285-AS-13MK519-1"/>
    <s v="13MK519-1(1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1"/>
    <x v="0"/>
    <s v="Shipment 1 B-10124 Fired Proces Heater"/>
    <x v="0"/>
    <x v="0"/>
    <m/>
    <m/>
    <s v="HEATER"/>
    <m/>
    <s v="S2"/>
    <s v="U285-AS-13MK519-1"/>
    <s v="13MK519-1(2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2"/>
    <x v="0"/>
    <s v="Shipment 1 B-10124 Fired Proces Heater"/>
    <x v="0"/>
    <x v="0"/>
    <m/>
    <m/>
    <s v="HEATER"/>
    <m/>
    <s v="S2"/>
    <s v="U285-AS-13MK519-1"/>
    <s v="13MK519-1(3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3"/>
    <x v="0"/>
    <s v="Shipment 1 B-10124 Fired Proces Heater"/>
    <x v="0"/>
    <x v="0"/>
    <m/>
    <m/>
    <s v="HEATER"/>
    <m/>
    <s v="S2"/>
    <s v="U285-AS-13MK519-1"/>
    <s v="13MK519-1(4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4"/>
    <x v="0"/>
    <s v="Shipment 1 B-10124 Fired Proces Heater"/>
    <x v="0"/>
    <x v="0"/>
    <m/>
    <m/>
    <s v="HEATER"/>
    <m/>
    <s v="S2"/>
    <s v="U285-AS-13MK519-1"/>
    <s v="13MK519-1(5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5"/>
    <x v="0"/>
    <s v="Shipment 1 B-10124 Fired Proces Heater"/>
    <x v="0"/>
    <x v="0"/>
    <m/>
    <m/>
    <s v="HEATER"/>
    <m/>
    <s v="S2"/>
    <s v="U285-AS-13MK519-1"/>
    <s v="13MK519-1(6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6"/>
    <x v="0"/>
    <s v="Shipment 1 B-10124 Fired Proces Heater"/>
    <x v="0"/>
    <x v="0"/>
    <m/>
    <m/>
    <s v="HEATER"/>
    <m/>
    <s v="S2"/>
    <s v="U285-AS-13MK519-1"/>
    <s v="13MK519-1(7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7"/>
    <x v="0"/>
    <s v="Shipment 1 B-10124 Fired Proces Heater"/>
    <x v="0"/>
    <x v="0"/>
    <m/>
    <m/>
    <s v="HEATER"/>
    <m/>
    <s v="S2"/>
    <s v="U285-AS-13MK519-1"/>
    <s v="13MK519-1(8/8)"/>
    <s v="PACKING FOR TRANSPORT"/>
    <n v="1"/>
    <n v="134.48749999999998"/>
    <n v="134.48749999999998"/>
    <s v="(1247x205x659)"/>
    <m/>
    <m/>
    <m/>
    <m/>
    <m/>
    <m/>
    <m/>
    <m/>
    <m/>
    <m/>
    <m/>
    <m/>
    <m/>
    <n v="0"/>
    <n v="134.48749999999998"/>
    <m/>
    <m/>
    <n v="0"/>
    <m/>
    <m/>
    <n v="0"/>
    <m/>
    <m/>
    <n v="0"/>
    <m/>
    <m/>
    <n v="0"/>
    <m/>
    <m/>
    <m/>
    <n v="0"/>
    <m/>
    <m/>
    <n v="0"/>
    <s v="PAC"/>
    <m/>
  </r>
  <r>
    <n v="418"/>
    <x v="0"/>
    <s v="Shipment 1 B-10124 Fired Proces Heater"/>
    <x v="0"/>
    <x v="0"/>
    <m/>
    <m/>
    <s v="HEATER"/>
    <m/>
    <s v="S2"/>
    <s v="U285-AS-13MK520-1"/>
    <s v="13MK520-1(1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19"/>
    <x v="0"/>
    <s v="Shipment 1 B-10124 Fired Proces Heater"/>
    <x v="0"/>
    <x v="0"/>
    <m/>
    <m/>
    <s v="HEATER"/>
    <m/>
    <s v="S2"/>
    <s v="U285-AS-13MK520-1"/>
    <s v="13MK520-1(2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0"/>
    <x v="0"/>
    <s v="Shipment 1 B-10124 Fired Proces Heater"/>
    <x v="0"/>
    <x v="0"/>
    <m/>
    <m/>
    <s v="HEATER"/>
    <m/>
    <s v="S2"/>
    <s v="U285-AS-13MK520-1"/>
    <s v="13MK520-1(3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1"/>
    <x v="0"/>
    <s v="Shipment 1 B-10124 Fired Proces Heater"/>
    <x v="0"/>
    <x v="0"/>
    <m/>
    <m/>
    <s v="HEATER"/>
    <m/>
    <s v="S2"/>
    <s v="U285-AS-13MK520-1"/>
    <s v="13MK520-1(4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2"/>
    <x v="0"/>
    <s v="Shipment 1 B-10124 Fired Proces Heater"/>
    <x v="0"/>
    <x v="0"/>
    <m/>
    <m/>
    <s v="HEATER"/>
    <m/>
    <s v="S2"/>
    <s v="U285-AS-13MK520-1"/>
    <s v="13MK520-1(5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3"/>
    <x v="0"/>
    <s v="Shipment 1 B-10124 Fired Proces Heater"/>
    <x v="0"/>
    <x v="0"/>
    <m/>
    <m/>
    <s v="HEATER"/>
    <m/>
    <s v="S2"/>
    <s v="U285-AS-13MK520-1"/>
    <s v="13MK520-1(6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4"/>
    <x v="0"/>
    <s v="Shipment 1 B-10124 Fired Proces Heater"/>
    <x v="0"/>
    <x v="0"/>
    <m/>
    <m/>
    <s v="HEATER"/>
    <m/>
    <s v="S2"/>
    <s v="U285-AS-13MK520-1"/>
    <s v="13MK520-1(7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5"/>
    <x v="0"/>
    <s v="Shipment 1 B-10124 Fired Proces Heater"/>
    <x v="0"/>
    <x v="0"/>
    <m/>
    <m/>
    <s v="HEATER"/>
    <m/>
    <s v="S2"/>
    <s v="U285-AS-13MK520-1"/>
    <s v="13MK520-1(8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6"/>
    <x v="0"/>
    <s v="Shipment 1 B-10124 Fired Proces Heater"/>
    <x v="0"/>
    <x v="0"/>
    <m/>
    <m/>
    <s v="HEATER"/>
    <m/>
    <s v="S2"/>
    <s v="U285-AS-13MK520-1"/>
    <s v="13MK520-1(9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7"/>
    <x v="0"/>
    <s v="Shipment 1 B-10124 Fired Proces Heater"/>
    <x v="0"/>
    <x v="0"/>
    <m/>
    <m/>
    <s v="HEATER"/>
    <m/>
    <s v="S2"/>
    <s v="U285-AS-13MK520-1"/>
    <s v="13MK520-1(10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8"/>
    <x v="0"/>
    <s v="Shipment 1 B-10124 Fired Proces Heater"/>
    <x v="0"/>
    <x v="0"/>
    <m/>
    <m/>
    <s v="HEATER"/>
    <m/>
    <s v="S2"/>
    <s v="U285-AS-13MK520-1"/>
    <s v="13MK520-1(11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29"/>
    <x v="0"/>
    <s v="Shipment 1 B-10124 Fired Proces Heater"/>
    <x v="0"/>
    <x v="0"/>
    <m/>
    <m/>
    <s v="HEATER"/>
    <m/>
    <s v="S2"/>
    <s v="U285-AS-13MK520-1"/>
    <s v="13MK520-1(12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30"/>
    <x v="0"/>
    <s v="Shipment 1 B-10124 Fired Proces Heater"/>
    <x v="0"/>
    <x v="0"/>
    <m/>
    <m/>
    <s v="HEATER"/>
    <m/>
    <s v="S2"/>
    <s v="U285-AS-13MK520-1"/>
    <s v="13MK520-1(13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31"/>
    <x v="0"/>
    <s v="Shipment 1 B-10124 Fired Proces Heater"/>
    <x v="0"/>
    <x v="0"/>
    <m/>
    <m/>
    <s v="HEATER"/>
    <m/>
    <s v="S2"/>
    <s v="U285-AS-13MK520-1"/>
    <s v="13MK520-1(14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32"/>
    <x v="0"/>
    <s v="Shipment 1 B-10124 Fired Proces Heater"/>
    <x v="0"/>
    <x v="0"/>
    <m/>
    <m/>
    <s v="HEATER"/>
    <m/>
    <s v="S2"/>
    <s v="U285-AS-13MK520-1"/>
    <s v="13MK520-1(15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33"/>
    <x v="0"/>
    <s v="Shipment 1 B-10124 Fired Proces Heater"/>
    <x v="0"/>
    <x v="0"/>
    <m/>
    <m/>
    <s v="HEATER"/>
    <m/>
    <s v="S2"/>
    <s v="U285-AS-13MK520-1"/>
    <s v="13MK520-1(16/16)"/>
    <s v="PACKING FOR TRANSPORT"/>
    <n v="1"/>
    <n v="122.10624999999999"/>
    <n v="122.10624999999999"/>
    <s v="(1091x205x659)"/>
    <m/>
    <m/>
    <m/>
    <m/>
    <m/>
    <m/>
    <m/>
    <m/>
    <m/>
    <m/>
    <m/>
    <m/>
    <m/>
    <n v="0"/>
    <n v="122.10624999999999"/>
    <m/>
    <m/>
    <n v="0"/>
    <m/>
    <m/>
    <n v="0"/>
    <m/>
    <m/>
    <n v="0"/>
    <m/>
    <m/>
    <n v="0"/>
    <m/>
    <m/>
    <m/>
    <n v="0"/>
    <m/>
    <m/>
    <n v="0"/>
    <s v="PAC"/>
    <m/>
  </r>
  <r>
    <n v="434"/>
    <x v="0"/>
    <s v="Shipment 1 B-10124 Fired Proces Heater"/>
    <x v="0"/>
    <x v="0"/>
    <m/>
    <m/>
    <s v="HEATER"/>
    <m/>
    <s v="S2"/>
    <s v="U285-AS-13MK521-1"/>
    <s v="13MK521-1(1/2)"/>
    <s v="PACKING FOR TRANSPORT"/>
    <n v="1"/>
    <n v="127.49999999999999"/>
    <n v="127.49999999999999"/>
    <s v="(1147x205x506)"/>
    <m/>
    <m/>
    <m/>
    <m/>
    <m/>
    <m/>
    <m/>
    <m/>
    <m/>
    <m/>
    <m/>
    <m/>
    <m/>
    <n v="0"/>
    <n v="127.49999999999999"/>
    <m/>
    <m/>
    <n v="0"/>
    <m/>
    <m/>
    <n v="0"/>
    <m/>
    <m/>
    <n v="0"/>
    <m/>
    <m/>
    <n v="0"/>
    <m/>
    <m/>
    <m/>
    <n v="0"/>
    <m/>
    <m/>
    <n v="0"/>
    <s v="PAC"/>
    <m/>
  </r>
  <r>
    <n v="435"/>
    <x v="0"/>
    <s v="Shipment 1 B-10124 Fired Proces Heater"/>
    <x v="0"/>
    <x v="0"/>
    <m/>
    <m/>
    <s v="HEATER"/>
    <m/>
    <s v="S2"/>
    <s v="U285-AS-13MK521-1"/>
    <s v="13MK521-1(2/2)"/>
    <s v="PACKING FOR TRANSPORT"/>
    <n v="1"/>
    <n v="127.49999999999999"/>
    <n v="127.49999999999999"/>
    <s v="(1147x205x506)"/>
    <m/>
    <m/>
    <m/>
    <m/>
    <m/>
    <m/>
    <m/>
    <m/>
    <m/>
    <m/>
    <m/>
    <m/>
    <m/>
    <n v="0"/>
    <n v="127.49999999999999"/>
    <m/>
    <m/>
    <n v="0"/>
    <m/>
    <m/>
    <n v="0"/>
    <m/>
    <m/>
    <n v="0"/>
    <m/>
    <m/>
    <n v="0"/>
    <m/>
    <m/>
    <m/>
    <n v="0"/>
    <m/>
    <m/>
    <n v="0"/>
    <s v="PAC"/>
    <m/>
  </r>
  <r>
    <n v="436"/>
    <x v="0"/>
    <s v="Shipment 1 B-10124 Fired Proces Heater"/>
    <x v="0"/>
    <x v="0"/>
    <m/>
    <m/>
    <s v="HEATER"/>
    <m/>
    <s v="S2"/>
    <s v="U285-AS-13MK522-1"/>
    <s v="13MK522-1(1/2)"/>
    <s v="PACKING FOR TRANSPORT"/>
    <n v="1"/>
    <n v="257.05"/>
    <n v="257.05"/>
    <s v="(2145x205x450)"/>
    <m/>
    <m/>
    <m/>
    <m/>
    <m/>
    <m/>
    <m/>
    <m/>
    <m/>
    <m/>
    <m/>
    <m/>
    <m/>
    <n v="0"/>
    <n v="257.05"/>
    <m/>
    <m/>
    <n v="0"/>
    <m/>
    <m/>
    <n v="0"/>
    <m/>
    <m/>
    <n v="0"/>
    <m/>
    <m/>
    <n v="0"/>
    <m/>
    <m/>
    <m/>
    <n v="0"/>
    <m/>
    <m/>
    <n v="0"/>
    <s v="PAC"/>
    <m/>
  </r>
  <r>
    <n v="437"/>
    <x v="0"/>
    <s v="Shipment 1 B-10124 Fired Proces Heater"/>
    <x v="0"/>
    <x v="0"/>
    <m/>
    <m/>
    <s v="HEATER"/>
    <m/>
    <s v="S2"/>
    <s v="U285-AS-13MK522-1"/>
    <s v="13MK522-1(2/2)"/>
    <s v="PACKING FOR TRANSPORT"/>
    <n v="1"/>
    <n v="257.05"/>
    <n v="257.05"/>
    <s v="(2145x205x450)"/>
    <m/>
    <m/>
    <m/>
    <m/>
    <m/>
    <m/>
    <m/>
    <m/>
    <m/>
    <m/>
    <m/>
    <m/>
    <m/>
    <n v="0"/>
    <n v="257.05"/>
    <m/>
    <m/>
    <n v="0"/>
    <m/>
    <m/>
    <n v="0"/>
    <m/>
    <m/>
    <n v="0"/>
    <m/>
    <m/>
    <n v="0"/>
    <m/>
    <m/>
    <m/>
    <n v="0"/>
    <m/>
    <m/>
    <n v="0"/>
    <s v="PAC"/>
    <m/>
  </r>
  <r>
    <n v="438"/>
    <x v="0"/>
    <s v="Shipment 1 B-10124 Fired Proces Heater"/>
    <x v="0"/>
    <x v="0"/>
    <m/>
    <m/>
    <s v="HEATER"/>
    <m/>
    <s v="S2"/>
    <s v="U285-AS-13MK523-1"/>
    <s v="13MK523-1(1/2)"/>
    <s v="PACKING FOR TRANSPORT"/>
    <n v="1"/>
    <n v="328.7999999999999"/>
    <n v="328.7999999999999"/>
    <s v="(3060x205x450)"/>
    <m/>
    <m/>
    <m/>
    <m/>
    <m/>
    <m/>
    <m/>
    <m/>
    <m/>
    <m/>
    <m/>
    <m/>
    <m/>
    <n v="0"/>
    <n v="328.7999999999999"/>
    <m/>
    <m/>
    <n v="0"/>
    <m/>
    <m/>
    <n v="0"/>
    <m/>
    <m/>
    <n v="0"/>
    <m/>
    <m/>
    <n v="0"/>
    <m/>
    <m/>
    <m/>
    <n v="0"/>
    <m/>
    <m/>
    <n v="0"/>
    <s v="PAC"/>
    <m/>
  </r>
  <r>
    <n v="439"/>
    <x v="0"/>
    <s v="Shipment 1 B-10124 Fired Proces Heater"/>
    <x v="0"/>
    <x v="0"/>
    <m/>
    <m/>
    <s v="HEATER"/>
    <m/>
    <s v="S2"/>
    <s v="U285-AS-13MK523-1"/>
    <s v="13MK523-1(2/2)"/>
    <s v="PACKING FOR TRANSPORT"/>
    <n v="1"/>
    <n v="328.7999999999999"/>
    <n v="328.7999999999999"/>
    <s v="(3060x205x450)"/>
    <m/>
    <m/>
    <m/>
    <m/>
    <m/>
    <m/>
    <m/>
    <m/>
    <m/>
    <m/>
    <m/>
    <m/>
    <m/>
    <n v="0"/>
    <n v="328.7999999999999"/>
    <m/>
    <m/>
    <n v="0"/>
    <m/>
    <m/>
    <n v="0"/>
    <m/>
    <m/>
    <n v="0"/>
    <m/>
    <m/>
    <n v="0"/>
    <m/>
    <m/>
    <m/>
    <n v="0"/>
    <m/>
    <m/>
    <n v="0"/>
    <s v="PAC"/>
    <m/>
  </r>
  <r>
    <n v="440"/>
    <x v="0"/>
    <s v="Shipment 1 B-10124 Fired Proces Heater"/>
    <x v="0"/>
    <x v="0"/>
    <m/>
    <m/>
    <s v="HEATER"/>
    <m/>
    <s v="S2"/>
    <s v="U285-AS-13MK523-2"/>
    <s v="13MK523-2(1/2)"/>
    <s v="PACKING FOR TRANSPORT"/>
    <n v="1"/>
    <n v="328.7999999999999"/>
    <n v="328.7999999999999"/>
    <s v="(3060x205x450)"/>
    <m/>
    <m/>
    <m/>
    <m/>
    <m/>
    <m/>
    <m/>
    <m/>
    <m/>
    <m/>
    <m/>
    <m/>
    <m/>
    <n v="0"/>
    <n v="328.7999999999999"/>
    <m/>
    <m/>
    <n v="0"/>
    <m/>
    <m/>
    <n v="0"/>
    <m/>
    <m/>
    <n v="0"/>
    <m/>
    <m/>
    <n v="0"/>
    <m/>
    <m/>
    <m/>
    <n v="0"/>
    <m/>
    <m/>
    <n v="0"/>
    <s v="PAC"/>
    <m/>
  </r>
  <r>
    <n v="441"/>
    <x v="0"/>
    <s v="Shipment 1 B-10124 Fired Proces Heater"/>
    <x v="0"/>
    <x v="0"/>
    <m/>
    <m/>
    <s v="HEATER"/>
    <m/>
    <s v="S2"/>
    <s v="U285-AS-13MK523-2"/>
    <s v="13MK523-2(2/2)"/>
    <s v="PACKING FOR TRANSPORT"/>
    <n v="1"/>
    <n v="328.7999999999999"/>
    <n v="328.7999999999999"/>
    <s v="(3060x205x450)"/>
    <m/>
    <m/>
    <m/>
    <m/>
    <m/>
    <m/>
    <m/>
    <m/>
    <m/>
    <m/>
    <m/>
    <m/>
    <m/>
    <n v="0"/>
    <n v="328.7999999999999"/>
    <m/>
    <m/>
    <n v="0"/>
    <m/>
    <m/>
    <n v="0"/>
    <m/>
    <m/>
    <n v="0"/>
    <m/>
    <m/>
    <n v="0"/>
    <m/>
    <m/>
    <m/>
    <n v="0"/>
    <m/>
    <m/>
    <n v="0"/>
    <s v="PAC"/>
    <m/>
  </r>
  <r>
    <n v="442"/>
    <x v="0"/>
    <s v="Shipment 1 B-10124 Fired Proces Heater"/>
    <x v="0"/>
    <x v="0"/>
    <m/>
    <m/>
    <s v="HEATER"/>
    <m/>
    <s v="S2"/>
    <s v="U285-AS-13MK524-1"/>
    <s v="13MK524-1"/>
    <s v="PACKING FOR TRANSPORT"/>
    <n v="1"/>
    <n v="585.79999999999995"/>
    <n v="585.79999999999995"/>
    <s v="(3152x991x496)"/>
    <m/>
    <m/>
    <m/>
    <m/>
    <m/>
    <m/>
    <m/>
    <m/>
    <m/>
    <m/>
    <m/>
    <m/>
    <m/>
    <n v="0"/>
    <n v="585.79999999999995"/>
    <m/>
    <m/>
    <n v="0"/>
    <m/>
    <m/>
    <n v="0"/>
    <m/>
    <m/>
    <n v="0"/>
    <m/>
    <m/>
    <n v="0"/>
    <m/>
    <m/>
    <m/>
    <n v="0"/>
    <m/>
    <m/>
    <n v="0"/>
    <s v="PAC"/>
    <m/>
  </r>
  <r>
    <n v="443"/>
    <x v="0"/>
    <s v="Shipment 1 B-10124 Fired Proces Heater"/>
    <x v="0"/>
    <x v="0"/>
    <m/>
    <m/>
    <s v="HEATER"/>
    <m/>
    <s v="S2"/>
    <s v="U285-AS-13MK525-1"/>
    <s v="13MK525-1"/>
    <s v="PACKING FOR TRANSPORT"/>
    <n v="1"/>
    <n v="585.79999999999995"/>
    <n v="585.79999999999995"/>
    <s v="(3151x991x496)"/>
    <m/>
    <m/>
    <m/>
    <m/>
    <m/>
    <m/>
    <m/>
    <m/>
    <m/>
    <m/>
    <m/>
    <m/>
    <m/>
    <n v="0"/>
    <n v="585.79999999999995"/>
    <m/>
    <m/>
    <n v="0"/>
    <m/>
    <m/>
    <n v="0"/>
    <m/>
    <m/>
    <n v="0"/>
    <m/>
    <m/>
    <n v="0"/>
    <m/>
    <m/>
    <m/>
    <n v="0"/>
    <m/>
    <m/>
    <n v="0"/>
    <s v="PAC"/>
    <m/>
  </r>
  <r>
    <n v="444"/>
    <x v="0"/>
    <s v="Shipment 1 B-10124 Fired Proces Heater"/>
    <x v="0"/>
    <x v="0"/>
    <m/>
    <m/>
    <s v="HEATER"/>
    <m/>
    <s v="S2"/>
    <s v="U285-AS-13MK526-1"/>
    <s v="13MK526-1"/>
    <s v="PACKING FOR TRANSPORT"/>
    <n v="1"/>
    <n v="224.1"/>
    <n v="224.1"/>
    <s v="(2205x465x496)"/>
    <m/>
    <m/>
    <m/>
    <m/>
    <m/>
    <m/>
    <m/>
    <m/>
    <m/>
    <m/>
    <m/>
    <m/>
    <m/>
    <n v="0"/>
    <n v="224.1"/>
    <m/>
    <m/>
    <n v="0"/>
    <m/>
    <m/>
    <n v="0"/>
    <m/>
    <m/>
    <n v="0"/>
    <m/>
    <m/>
    <n v="0"/>
    <m/>
    <m/>
    <m/>
    <n v="0"/>
    <m/>
    <m/>
    <n v="0"/>
    <s v="PAC"/>
    <m/>
  </r>
  <r>
    <n v="445"/>
    <x v="0"/>
    <s v="Shipment 1 B-10124 Fired Proces Heater"/>
    <x v="0"/>
    <x v="0"/>
    <m/>
    <m/>
    <s v="HEATER"/>
    <m/>
    <s v="S2"/>
    <s v="U285-AS-13MK527-1"/>
    <s v="13MK527-1"/>
    <s v="PACKING FOR TRANSPORT"/>
    <n v="1"/>
    <n v="224.2"/>
    <n v="224.2"/>
    <s v="(2205x465x496)"/>
    <m/>
    <m/>
    <m/>
    <m/>
    <m/>
    <m/>
    <m/>
    <m/>
    <m/>
    <m/>
    <m/>
    <m/>
    <m/>
    <n v="0"/>
    <n v="224.2"/>
    <m/>
    <m/>
    <n v="0"/>
    <m/>
    <m/>
    <n v="0"/>
    <m/>
    <m/>
    <n v="0"/>
    <m/>
    <m/>
    <n v="0"/>
    <m/>
    <m/>
    <m/>
    <n v="0"/>
    <m/>
    <m/>
    <n v="0"/>
    <s v="PAC"/>
    <m/>
  </r>
  <r>
    <n v="446"/>
    <x v="0"/>
    <s v="Shipment 1 B-10124 Fired Proces Heater"/>
    <x v="0"/>
    <x v="0"/>
    <m/>
    <m/>
    <s v="HEATER"/>
    <m/>
    <s v="S2"/>
    <s v="U285-AS-13MK528-1"/>
    <s v="13MK528-1"/>
    <s v="PACKING FOR TRANSPORT"/>
    <n v="1"/>
    <n v="227.29999999999998"/>
    <n v="227.29999999999998"/>
    <s v="(2204x584x496)"/>
    <m/>
    <m/>
    <m/>
    <m/>
    <m/>
    <m/>
    <m/>
    <m/>
    <m/>
    <m/>
    <m/>
    <m/>
    <m/>
    <n v="0"/>
    <n v="227.29999999999998"/>
    <m/>
    <m/>
    <n v="0"/>
    <m/>
    <m/>
    <n v="0"/>
    <m/>
    <m/>
    <n v="0"/>
    <m/>
    <m/>
    <n v="0"/>
    <m/>
    <m/>
    <m/>
    <n v="0"/>
    <m/>
    <m/>
    <n v="0"/>
    <s v="PAC"/>
    <m/>
  </r>
  <r>
    <n v="447"/>
    <x v="0"/>
    <s v="Shipment 1 B-10124 Fired Proces Heater"/>
    <x v="0"/>
    <x v="0"/>
    <m/>
    <m/>
    <s v="HEATER"/>
    <m/>
    <s v="S2"/>
    <s v="U285-AS-13MK529-1"/>
    <s v="13MK529-1"/>
    <s v="PACKING FOR TRANSPORT"/>
    <n v="1"/>
    <n v="227.29999999999998"/>
    <n v="227.29999999999998"/>
    <s v="(2204x584x496)"/>
    <m/>
    <m/>
    <m/>
    <m/>
    <m/>
    <m/>
    <m/>
    <m/>
    <m/>
    <m/>
    <m/>
    <m/>
    <m/>
    <n v="0"/>
    <n v="227.29999999999998"/>
    <m/>
    <m/>
    <n v="0"/>
    <m/>
    <m/>
    <n v="0"/>
    <m/>
    <m/>
    <n v="0"/>
    <m/>
    <m/>
    <n v="0"/>
    <m/>
    <m/>
    <m/>
    <n v="0"/>
    <m/>
    <m/>
    <n v="0"/>
    <s v="PAC"/>
    <m/>
  </r>
  <r>
    <n v="448"/>
    <x v="0"/>
    <s v="Shipment 1 B-10124 Fired Proces Heater"/>
    <x v="0"/>
    <x v="0"/>
    <m/>
    <m/>
    <s v="HEATER"/>
    <m/>
    <s v="S2"/>
    <s v="U285-AS-13MK530-1"/>
    <s v="13MK530-1(1/2)"/>
    <s v="PACKING FOR TRANSPORT"/>
    <n v="1"/>
    <n v="13.3"/>
    <n v="13.3"/>
    <s v="(520x10x350)"/>
    <m/>
    <m/>
    <m/>
    <m/>
    <m/>
    <m/>
    <m/>
    <m/>
    <m/>
    <m/>
    <m/>
    <m/>
    <m/>
    <n v="0"/>
    <n v="13.3"/>
    <m/>
    <m/>
    <n v="0"/>
    <m/>
    <m/>
    <n v="0"/>
    <m/>
    <m/>
    <n v="0"/>
    <m/>
    <m/>
    <n v="0"/>
    <m/>
    <m/>
    <m/>
    <n v="0"/>
    <m/>
    <m/>
    <n v="0"/>
    <s v="PAC"/>
    <m/>
  </r>
  <r>
    <n v="449"/>
    <x v="0"/>
    <s v="Shipment 1 B-10124 Fired Proces Heater"/>
    <x v="0"/>
    <x v="0"/>
    <m/>
    <m/>
    <s v="HEATER"/>
    <m/>
    <s v="S2"/>
    <s v="U285-AS-13MK530-1"/>
    <s v="13MK530-1(2/2)"/>
    <s v="PACKING FOR TRANSPORT"/>
    <n v="1"/>
    <n v="13.3"/>
    <n v="13.3"/>
    <s v="(520x10x350)"/>
    <m/>
    <m/>
    <m/>
    <m/>
    <m/>
    <m/>
    <m/>
    <m/>
    <m/>
    <m/>
    <m/>
    <m/>
    <m/>
    <n v="0"/>
    <n v="13.3"/>
    <m/>
    <m/>
    <n v="0"/>
    <m/>
    <m/>
    <n v="0"/>
    <m/>
    <m/>
    <n v="0"/>
    <m/>
    <m/>
    <n v="0"/>
    <m/>
    <m/>
    <m/>
    <n v="0"/>
    <m/>
    <m/>
    <n v="0"/>
    <s v="PAC"/>
    <m/>
  </r>
  <r>
    <n v="450"/>
    <x v="0"/>
    <s v="Shipment 1 B-10124 Fired Proces Heater"/>
    <x v="0"/>
    <x v="0"/>
    <m/>
    <m/>
    <s v="HEATER"/>
    <m/>
    <s v="S2"/>
    <s v="U285-AS-13MK531-1"/>
    <s v="13MK531-1(1/4)"/>
    <s v="PACKING FOR TRANSPORT"/>
    <n v="1"/>
    <n v="53.375"/>
    <n v="53.375"/>
    <s v="(3999x90x90)"/>
    <m/>
    <m/>
    <m/>
    <m/>
    <m/>
    <m/>
    <m/>
    <m/>
    <m/>
    <m/>
    <m/>
    <m/>
    <m/>
    <n v="0"/>
    <n v="53.375"/>
    <m/>
    <m/>
    <n v="0"/>
    <m/>
    <m/>
    <n v="0"/>
    <m/>
    <m/>
    <n v="0"/>
    <m/>
    <m/>
    <n v="0"/>
    <m/>
    <m/>
    <m/>
    <n v="0"/>
    <m/>
    <m/>
    <n v="0"/>
    <s v="PAC"/>
    <m/>
  </r>
  <r>
    <n v="451"/>
    <x v="0"/>
    <s v="Shipment 1 B-10124 Fired Proces Heater"/>
    <x v="0"/>
    <x v="0"/>
    <m/>
    <m/>
    <s v="HEATER"/>
    <m/>
    <s v="S2"/>
    <s v="U285-AS-13MK531-1"/>
    <s v="13MK531-1(2/4)"/>
    <s v="PACKING FOR TRANSPORT"/>
    <n v="1"/>
    <n v="53.375"/>
    <n v="53.375"/>
    <s v="(3999x90x90)"/>
    <m/>
    <m/>
    <m/>
    <m/>
    <m/>
    <m/>
    <m/>
    <m/>
    <m/>
    <m/>
    <m/>
    <m/>
    <m/>
    <n v="0"/>
    <n v="53.375"/>
    <m/>
    <m/>
    <n v="0"/>
    <m/>
    <m/>
    <n v="0"/>
    <m/>
    <m/>
    <n v="0"/>
    <m/>
    <m/>
    <n v="0"/>
    <m/>
    <m/>
    <m/>
    <n v="0"/>
    <m/>
    <m/>
    <n v="0"/>
    <s v="PAC"/>
    <m/>
  </r>
  <r>
    <n v="452"/>
    <x v="0"/>
    <s v="Shipment 1 B-10124 Fired Proces Heater"/>
    <x v="0"/>
    <x v="0"/>
    <m/>
    <m/>
    <s v="HEATER"/>
    <m/>
    <s v="S2"/>
    <s v="U285-AS-13MK531-1"/>
    <s v="13MK531-1(3/4)"/>
    <s v="PACKING FOR TRANSPORT"/>
    <n v="1"/>
    <n v="53.375"/>
    <n v="53.375"/>
    <s v="(3999x90x90)"/>
    <m/>
    <m/>
    <m/>
    <m/>
    <m/>
    <m/>
    <m/>
    <m/>
    <m/>
    <m/>
    <m/>
    <m/>
    <m/>
    <n v="0"/>
    <n v="53.375"/>
    <m/>
    <m/>
    <n v="0"/>
    <m/>
    <m/>
    <n v="0"/>
    <m/>
    <m/>
    <n v="0"/>
    <m/>
    <m/>
    <n v="0"/>
    <m/>
    <m/>
    <m/>
    <n v="0"/>
    <m/>
    <m/>
    <n v="0"/>
    <s v="PAC"/>
    <m/>
  </r>
  <r>
    <n v="453"/>
    <x v="0"/>
    <s v="Shipment 1 B-10124 Fired Proces Heater"/>
    <x v="0"/>
    <x v="0"/>
    <m/>
    <m/>
    <s v="HEATER"/>
    <m/>
    <s v="S2"/>
    <s v="U285-AS-13MK531-1"/>
    <s v="13MK531-1(4/4)"/>
    <s v="PACKING FOR TRANSPORT"/>
    <n v="1"/>
    <n v="53.375"/>
    <n v="53.375"/>
    <s v="(3999x90x90)"/>
    <m/>
    <m/>
    <m/>
    <m/>
    <m/>
    <m/>
    <m/>
    <m/>
    <m/>
    <m/>
    <m/>
    <m/>
    <m/>
    <n v="0"/>
    <n v="53.375"/>
    <m/>
    <m/>
    <n v="0"/>
    <m/>
    <m/>
    <n v="0"/>
    <m/>
    <m/>
    <n v="0"/>
    <m/>
    <m/>
    <n v="0"/>
    <m/>
    <m/>
    <m/>
    <n v="0"/>
    <m/>
    <m/>
    <n v="0"/>
    <s v="PAC"/>
    <m/>
  </r>
  <r>
    <n v="454"/>
    <x v="0"/>
    <s v="Shipment 1 B-10124 Fired Proces Heater"/>
    <x v="0"/>
    <x v="0"/>
    <m/>
    <m/>
    <s v="HEATER"/>
    <m/>
    <s v="S2"/>
    <s v="U285-AS-13MK532-1"/>
    <s v="13MK532-1(1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55"/>
    <x v="0"/>
    <s v="Shipment 1 B-10124 Fired Proces Heater"/>
    <x v="0"/>
    <x v="0"/>
    <m/>
    <m/>
    <s v="HEATER"/>
    <m/>
    <s v="S2"/>
    <s v="U285-AS-13MK532-1"/>
    <s v="13MK532-1(2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56"/>
    <x v="0"/>
    <s v="Shipment 1 B-10124 Fired Proces Heater"/>
    <x v="0"/>
    <x v="0"/>
    <m/>
    <m/>
    <s v="HEATER"/>
    <m/>
    <s v="S2"/>
    <s v="U285-AS-13MK532-1"/>
    <s v="13MK532-1(3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57"/>
    <x v="0"/>
    <s v="Shipment 1 B-10124 Fired Proces Heater"/>
    <x v="0"/>
    <x v="0"/>
    <m/>
    <m/>
    <s v="HEATER"/>
    <m/>
    <s v="S2"/>
    <s v="U285-AS-13MK532-1"/>
    <s v="13MK532-1(4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58"/>
    <x v="0"/>
    <s v="Shipment 1 B-10124 Fired Proces Heater"/>
    <x v="0"/>
    <x v="0"/>
    <m/>
    <m/>
    <s v="HEATER"/>
    <m/>
    <s v="S2"/>
    <s v="U285-AS-13MK532-1"/>
    <s v="13MK532-1(5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59"/>
    <x v="0"/>
    <s v="Shipment 1 B-10124 Fired Proces Heater"/>
    <x v="0"/>
    <x v="0"/>
    <m/>
    <m/>
    <s v="HEATER"/>
    <m/>
    <s v="S2"/>
    <s v="U285-AS-13MK532-1"/>
    <s v="13MK532-1(6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60"/>
    <x v="0"/>
    <s v="Shipment 1 B-10124 Fired Proces Heater"/>
    <x v="0"/>
    <x v="0"/>
    <m/>
    <m/>
    <s v="HEATER"/>
    <m/>
    <s v="S2"/>
    <s v="U285-AS-13MK532-1"/>
    <s v="13MK532-1(7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61"/>
    <x v="0"/>
    <s v="Shipment 1 B-10124 Fired Proces Heater"/>
    <x v="0"/>
    <x v="0"/>
    <m/>
    <m/>
    <s v="HEATER"/>
    <m/>
    <s v="S2"/>
    <s v="U285-AS-13MK532-1"/>
    <s v="13MK532-1(8/8)"/>
    <s v="PACKING FOR TRANSPORT"/>
    <n v="1"/>
    <n v="25.087499999999999"/>
    <n v="25.087499999999999"/>
    <s v="(1880x90x90)"/>
    <m/>
    <m/>
    <m/>
    <m/>
    <m/>
    <m/>
    <m/>
    <m/>
    <m/>
    <m/>
    <m/>
    <m/>
    <m/>
    <n v="0"/>
    <n v="25.087499999999999"/>
    <m/>
    <m/>
    <n v="0"/>
    <m/>
    <m/>
    <n v="0"/>
    <m/>
    <m/>
    <n v="0"/>
    <m/>
    <m/>
    <n v="0"/>
    <m/>
    <m/>
    <m/>
    <n v="0"/>
    <m/>
    <m/>
    <n v="0"/>
    <s v="PAC"/>
    <m/>
  </r>
  <r>
    <n v="462"/>
    <x v="0"/>
    <s v="Shipment 1 B-10124 Fired Proces Heater"/>
    <x v="0"/>
    <x v="0"/>
    <m/>
    <m/>
    <s v="HEATER"/>
    <m/>
    <s v="S2"/>
    <s v="U285-AS-13MK533-1"/>
    <s v="13MK533-1"/>
    <s v="PACKING FOR TRANSPORT"/>
    <n v="1"/>
    <n v="13.3"/>
    <n v="13.3"/>
    <s v="(520x10x350)"/>
    <m/>
    <m/>
    <m/>
    <m/>
    <m/>
    <m/>
    <m/>
    <m/>
    <m/>
    <m/>
    <m/>
    <m/>
    <m/>
    <n v="0"/>
    <n v="13.3"/>
    <m/>
    <m/>
    <n v="0"/>
    <m/>
    <m/>
    <n v="0"/>
    <m/>
    <m/>
    <n v="0"/>
    <m/>
    <m/>
    <n v="0"/>
    <m/>
    <m/>
    <m/>
    <n v="0"/>
    <m/>
    <m/>
    <n v="0"/>
    <s v="PAC"/>
    <m/>
  </r>
  <r>
    <n v="463"/>
    <x v="0"/>
    <s v="Shipment 1 B-10124 Fired Proces Heater"/>
    <x v="0"/>
    <x v="0"/>
    <m/>
    <m/>
    <s v="HEATER"/>
    <m/>
    <s v="S2"/>
    <s v="U285-AS-13MK534-1"/>
    <s v="13MK534-1(1/2)"/>
    <s v="PACKING FOR TRANSPORT"/>
    <n v="1"/>
    <n v="56.6"/>
    <n v="56.6"/>
    <s v="(4240x90x90)"/>
    <m/>
    <m/>
    <m/>
    <m/>
    <m/>
    <m/>
    <m/>
    <m/>
    <m/>
    <m/>
    <m/>
    <m/>
    <m/>
    <n v="0"/>
    <n v="56.6"/>
    <m/>
    <m/>
    <n v="0"/>
    <m/>
    <m/>
    <n v="0"/>
    <m/>
    <m/>
    <n v="0"/>
    <m/>
    <m/>
    <n v="0"/>
    <m/>
    <m/>
    <m/>
    <n v="0"/>
    <m/>
    <m/>
    <n v="0"/>
    <s v="PAC"/>
    <m/>
  </r>
  <r>
    <n v="464"/>
    <x v="0"/>
    <s v="Shipment 1 B-10124 Fired Proces Heater"/>
    <x v="0"/>
    <x v="0"/>
    <m/>
    <m/>
    <s v="HEATER"/>
    <m/>
    <s v="S2"/>
    <s v="U285-AS-13MK534-1"/>
    <s v="13MK534-1(2/2)"/>
    <s v="PACKING FOR TRANSPORT"/>
    <n v="1"/>
    <n v="56.6"/>
    <n v="56.6"/>
    <s v="(4240x90x90)"/>
    <m/>
    <m/>
    <m/>
    <m/>
    <m/>
    <m/>
    <m/>
    <m/>
    <m/>
    <m/>
    <m/>
    <m/>
    <m/>
    <n v="0"/>
    <n v="56.6"/>
    <m/>
    <m/>
    <n v="0"/>
    <m/>
    <m/>
    <n v="0"/>
    <m/>
    <m/>
    <n v="0"/>
    <m/>
    <m/>
    <n v="0"/>
    <m/>
    <m/>
    <m/>
    <n v="0"/>
    <m/>
    <m/>
    <n v="0"/>
    <s v="PAC"/>
    <m/>
  </r>
  <r>
    <n v="465"/>
    <x v="0"/>
    <s v="Shipment 1 B-10124 Fired Proces Heater"/>
    <x v="0"/>
    <x v="0"/>
    <m/>
    <m/>
    <s v="HEATER"/>
    <m/>
    <s v="S2"/>
    <s v="U285-AS-13MK535-1"/>
    <s v="13MK535-1(1/4)"/>
    <s v="PACKING FOR TRANSPORT"/>
    <n v="1"/>
    <n v="26.7"/>
    <n v="26.7"/>
    <s v="(2000x90x90)"/>
    <m/>
    <m/>
    <m/>
    <m/>
    <m/>
    <m/>
    <m/>
    <m/>
    <m/>
    <m/>
    <m/>
    <m/>
    <m/>
    <n v="0"/>
    <n v="26.7"/>
    <m/>
    <m/>
    <n v="0"/>
    <m/>
    <m/>
    <n v="0"/>
    <m/>
    <m/>
    <n v="0"/>
    <m/>
    <m/>
    <n v="0"/>
    <m/>
    <m/>
    <m/>
    <n v="0"/>
    <m/>
    <m/>
    <n v="0"/>
    <s v="PAC"/>
    <m/>
  </r>
  <r>
    <n v="466"/>
    <x v="0"/>
    <s v="Shipment 1 B-10124 Fired Proces Heater"/>
    <x v="0"/>
    <x v="0"/>
    <m/>
    <m/>
    <s v="HEATER"/>
    <m/>
    <s v="S2"/>
    <s v="U285-AS-13MK535-1"/>
    <s v="13MK535-1(2/4)"/>
    <s v="PACKING FOR TRANSPORT"/>
    <n v="1"/>
    <n v="26.7"/>
    <n v="26.7"/>
    <s v="(2000x90x90)"/>
    <m/>
    <m/>
    <m/>
    <m/>
    <m/>
    <m/>
    <m/>
    <m/>
    <m/>
    <m/>
    <m/>
    <m/>
    <m/>
    <n v="0"/>
    <n v="26.7"/>
    <m/>
    <m/>
    <n v="0"/>
    <m/>
    <m/>
    <n v="0"/>
    <m/>
    <m/>
    <n v="0"/>
    <m/>
    <m/>
    <n v="0"/>
    <m/>
    <m/>
    <m/>
    <n v="0"/>
    <m/>
    <m/>
    <n v="0"/>
    <s v="PAC"/>
    <m/>
  </r>
  <r>
    <n v="467"/>
    <x v="0"/>
    <s v="Shipment 1 B-10124 Fired Proces Heater"/>
    <x v="0"/>
    <x v="0"/>
    <m/>
    <m/>
    <s v="HEATER"/>
    <m/>
    <s v="S2"/>
    <s v="U285-AS-13MK535-1"/>
    <s v="13MK535-1(3/4)"/>
    <s v="PACKING FOR TRANSPORT"/>
    <n v="1"/>
    <n v="26.7"/>
    <n v="26.7"/>
    <s v="(2000x90x90)"/>
    <m/>
    <m/>
    <m/>
    <m/>
    <m/>
    <m/>
    <m/>
    <m/>
    <m/>
    <m/>
    <m/>
    <m/>
    <m/>
    <n v="0"/>
    <n v="26.7"/>
    <m/>
    <m/>
    <n v="0"/>
    <m/>
    <m/>
    <n v="0"/>
    <m/>
    <m/>
    <n v="0"/>
    <m/>
    <m/>
    <n v="0"/>
    <m/>
    <m/>
    <m/>
    <n v="0"/>
    <m/>
    <m/>
    <n v="0"/>
    <s v="PAC"/>
    <m/>
  </r>
  <r>
    <n v="468"/>
    <x v="0"/>
    <s v="Shipment 1 B-10124 Fired Proces Heater"/>
    <x v="0"/>
    <x v="0"/>
    <m/>
    <m/>
    <s v="HEATER"/>
    <m/>
    <s v="S2"/>
    <s v="U285-AS-13MK535-1"/>
    <s v="13MK535-1(4/4)"/>
    <s v="PACKING FOR TRANSPORT"/>
    <n v="1"/>
    <n v="26.7"/>
    <n v="26.7"/>
    <s v="(2000x90x90)"/>
    <m/>
    <m/>
    <m/>
    <m/>
    <m/>
    <m/>
    <m/>
    <m/>
    <m/>
    <m/>
    <m/>
    <m/>
    <m/>
    <n v="0"/>
    <n v="26.7"/>
    <m/>
    <m/>
    <n v="0"/>
    <m/>
    <m/>
    <n v="0"/>
    <m/>
    <m/>
    <n v="0"/>
    <m/>
    <m/>
    <n v="0"/>
    <m/>
    <m/>
    <m/>
    <n v="0"/>
    <m/>
    <m/>
    <n v="0"/>
    <s v="PAC"/>
    <m/>
  </r>
  <r>
    <n v="469"/>
    <x v="0"/>
    <s v="Shipment 1 B-10124 Fired Proces Heater"/>
    <x v="0"/>
    <x v="0"/>
    <m/>
    <m/>
    <s v="HEATER"/>
    <m/>
    <s v="S2"/>
    <s v="U285-AS-13MK536-1"/>
    <s v="13MK536-1(1/2)"/>
    <s v="PACKING FOR TRANSPORT"/>
    <n v="1"/>
    <n v="1221.2499999999998"/>
    <n v="1221.2499999999998"/>
    <s v="(8392x368x516)"/>
    <m/>
    <m/>
    <m/>
    <m/>
    <m/>
    <m/>
    <m/>
    <m/>
    <m/>
    <m/>
    <m/>
    <m/>
    <m/>
    <n v="0"/>
    <n v="1221.2499999999998"/>
    <m/>
    <m/>
    <n v="0"/>
    <m/>
    <m/>
    <n v="0"/>
    <m/>
    <m/>
    <n v="0"/>
    <m/>
    <m/>
    <n v="0"/>
    <m/>
    <m/>
    <m/>
    <n v="0"/>
    <m/>
    <m/>
    <n v="0"/>
    <s v="PAC"/>
    <m/>
  </r>
  <r>
    <n v="470"/>
    <x v="0"/>
    <s v="Shipment 1 B-10124 Fired Proces Heater"/>
    <x v="0"/>
    <x v="0"/>
    <m/>
    <m/>
    <s v="HEATER"/>
    <m/>
    <s v="S2"/>
    <s v="U285-AS-13MK536-1"/>
    <s v="13MK536-1(2/2)"/>
    <s v="PACKING FOR TRANSPORT"/>
    <n v="1"/>
    <n v="1221.2499999999998"/>
    <n v="1221.2499999999998"/>
    <s v="(8392x368x516)"/>
    <m/>
    <m/>
    <m/>
    <m/>
    <m/>
    <m/>
    <m/>
    <m/>
    <m/>
    <m/>
    <m/>
    <m/>
    <m/>
    <n v="0"/>
    <n v="1221.2499999999998"/>
    <m/>
    <m/>
    <n v="0"/>
    <m/>
    <m/>
    <n v="0"/>
    <m/>
    <m/>
    <n v="0"/>
    <m/>
    <m/>
    <n v="0"/>
    <m/>
    <m/>
    <m/>
    <n v="0"/>
    <m/>
    <m/>
    <n v="0"/>
    <s v="PAC"/>
    <m/>
  </r>
  <r>
    <n v="471"/>
    <x v="0"/>
    <s v="Shipment 1 B-10124 Fired Proces Heater"/>
    <x v="0"/>
    <x v="0"/>
    <m/>
    <m/>
    <s v="HEATER"/>
    <m/>
    <s v="S2"/>
    <s v="U285-AS-13MK536A-1"/>
    <s v="13MK536A-1(1/2)"/>
    <s v="PACKING FOR TRANSPORT"/>
    <n v="1"/>
    <n v="176.45"/>
    <n v="176.45"/>
    <s v="(772x440x356)"/>
    <m/>
    <m/>
    <m/>
    <m/>
    <m/>
    <m/>
    <m/>
    <m/>
    <m/>
    <m/>
    <m/>
    <m/>
    <m/>
    <n v="0"/>
    <n v="176.45"/>
    <m/>
    <m/>
    <n v="0"/>
    <m/>
    <m/>
    <n v="0"/>
    <m/>
    <m/>
    <n v="0"/>
    <m/>
    <m/>
    <n v="0"/>
    <m/>
    <m/>
    <m/>
    <n v="0"/>
    <m/>
    <m/>
    <n v="0"/>
    <s v="PAC"/>
    <m/>
  </r>
  <r>
    <n v="472"/>
    <x v="0"/>
    <s v="Shipment 1 B-10124 Fired Proces Heater"/>
    <x v="0"/>
    <x v="0"/>
    <m/>
    <m/>
    <s v="HEATER"/>
    <m/>
    <s v="S2"/>
    <s v="U285-AS-13MK536A-1"/>
    <s v="13MK536A-1(2/2)"/>
    <s v="PACKING FOR TRANSPORT"/>
    <n v="1"/>
    <n v="176.45"/>
    <n v="176.45"/>
    <s v="(772x440x356)"/>
    <m/>
    <m/>
    <m/>
    <m/>
    <m/>
    <m/>
    <m/>
    <m/>
    <m/>
    <m/>
    <m/>
    <m/>
    <m/>
    <n v="0"/>
    <n v="176.45"/>
    <m/>
    <m/>
    <n v="0"/>
    <m/>
    <m/>
    <n v="0"/>
    <m/>
    <m/>
    <n v="0"/>
    <m/>
    <m/>
    <n v="0"/>
    <m/>
    <m/>
    <m/>
    <n v="0"/>
    <m/>
    <m/>
    <n v="0"/>
    <s v="PAC"/>
    <m/>
  </r>
  <r>
    <n v="473"/>
    <x v="0"/>
    <s v="Shipment 1 B-10124 Fired Proces Heater"/>
    <x v="0"/>
    <x v="0"/>
    <m/>
    <m/>
    <s v="HEATER"/>
    <m/>
    <s v="S2"/>
    <s v="U285-AS-13MK537-1"/>
    <s v="13MK537-1(1/2)"/>
    <s v="PACKING FOR TRANSPORT"/>
    <n v="1"/>
    <n v="505.2"/>
    <n v="505.2"/>
    <s v="(8311x206x370)"/>
    <m/>
    <m/>
    <m/>
    <m/>
    <m/>
    <m/>
    <m/>
    <m/>
    <m/>
    <m/>
    <m/>
    <m/>
    <m/>
    <n v="0"/>
    <n v="505.2"/>
    <m/>
    <m/>
    <n v="0"/>
    <m/>
    <m/>
    <n v="0"/>
    <m/>
    <m/>
    <n v="0"/>
    <m/>
    <m/>
    <n v="0"/>
    <m/>
    <m/>
    <m/>
    <n v="0"/>
    <m/>
    <m/>
    <n v="0"/>
    <s v="PAC"/>
    <m/>
  </r>
  <r>
    <n v="474"/>
    <x v="0"/>
    <s v="Shipment 1 B-10124 Fired Proces Heater"/>
    <x v="0"/>
    <x v="0"/>
    <m/>
    <m/>
    <s v="HEATER"/>
    <m/>
    <s v="S2"/>
    <s v="U285-AS-13MK537-1"/>
    <s v="13MK537-1(2/2)"/>
    <s v="PACKING FOR TRANSPORT"/>
    <n v="1"/>
    <n v="505.2"/>
    <n v="505.2"/>
    <s v="(8311x206x370)"/>
    <m/>
    <m/>
    <m/>
    <m/>
    <m/>
    <m/>
    <m/>
    <m/>
    <m/>
    <m/>
    <m/>
    <m/>
    <m/>
    <n v="0"/>
    <n v="505.2"/>
    <m/>
    <m/>
    <n v="0"/>
    <m/>
    <m/>
    <n v="0"/>
    <m/>
    <m/>
    <n v="0"/>
    <m/>
    <m/>
    <n v="0"/>
    <m/>
    <m/>
    <m/>
    <n v="0"/>
    <m/>
    <m/>
    <n v="0"/>
    <s v="PAC"/>
    <m/>
  </r>
  <r>
    <n v="475"/>
    <x v="0"/>
    <s v="Shipment 1 B-10124 Fired Proces Heater"/>
    <x v="0"/>
    <x v="0"/>
    <m/>
    <m/>
    <s v="HEATER"/>
    <m/>
    <s v="S2"/>
    <s v="U285-AS-13MK537A-1"/>
    <s v="13MK537A-1(1/2)"/>
    <s v="PACKING FOR TRANSPORT"/>
    <n v="1"/>
    <n v="46.3"/>
    <n v="46.3"/>
    <s v="(368x320x280)"/>
    <m/>
    <m/>
    <m/>
    <m/>
    <m/>
    <m/>
    <m/>
    <m/>
    <m/>
    <m/>
    <m/>
    <m/>
    <m/>
    <n v="0"/>
    <n v="46.3"/>
    <m/>
    <m/>
    <n v="0"/>
    <m/>
    <m/>
    <n v="0"/>
    <m/>
    <m/>
    <n v="0"/>
    <m/>
    <m/>
    <n v="0"/>
    <m/>
    <m/>
    <m/>
    <n v="0"/>
    <m/>
    <m/>
    <n v="0"/>
    <s v="PAC"/>
    <m/>
  </r>
  <r>
    <n v="476"/>
    <x v="0"/>
    <s v="Shipment 1 B-10124 Fired Proces Heater"/>
    <x v="0"/>
    <x v="0"/>
    <m/>
    <m/>
    <s v="HEATER"/>
    <m/>
    <s v="S2"/>
    <s v="U285-AS-13MK537A-1"/>
    <s v="13MK537A-1(2/2)"/>
    <s v="PACKING FOR TRANSPORT"/>
    <n v="1"/>
    <n v="46.3"/>
    <n v="46.3"/>
    <s v="(368x320x280)"/>
    <m/>
    <m/>
    <m/>
    <m/>
    <m/>
    <m/>
    <m/>
    <m/>
    <m/>
    <m/>
    <m/>
    <m/>
    <m/>
    <n v="0"/>
    <n v="46.3"/>
    <m/>
    <m/>
    <n v="0"/>
    <m/>
    <m/>
    <n v="0"/>
    <m/>
    <m/>
    <n v="0"/>
    <m/>
    <m/>
    <n v="0"/>
    <m/>
    <m/>
    <m/>
    <n v="0"/>
    <m/>
    <m/>
    <n v="0"/>
    <s v="PAC"/>
    <m/>
  </r>
  <r>
    <n v="477"/>
    <x v="0"/>
    <s v="Shipment 1 B-10124 Fired Proces Heater"/>
    <x v="0"/>
    <x v="0"/>
    <m/>
    <m/>
    <s v="HEATER"/>
    <m/>
    <s v="S2"/>
    <s v="U285-AS-13MK538-1"/>
    <s v="13MK538-1(1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78"/>
    <x v="0"/>
    <s v="Shipment 1 B-10124 Fired Proces Heater"/>
    <x v="0"/>
    <x v="0"/>
    <m/>
    <m/>
    <s v="HEATER"/>
    <m/>
    <s v="S2"/>
    <s v="U285-AS-13MK538-1"/>
    <s v="13MK538-1(2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79"/>
    <x v="0"/>
    <s v="Shipment 1 B-10124 Fired Proces Heater"/>
    <x v="0"/>
    <x v="0"/>
    <m/>
    <m/>
    <s v="HEATER"/>
    <m/>
    <s v="S2"/>
    <s v="U285-AS-13MK538-1"/>
    <s v="13MK538-1(3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0"/>
    <x v="0"/>
    <s v="Shipment 1 B-10124 Fired Proces Heater"/>
    <x v="0"/>
    <x v="0"/>
    <m/>
    <m/>
    <s v="HEATER"/>
    <m/>
    <s v="S2"/>
    <s v="U285-AS-13MK538-1"/>
    <s v="13MK538-1(4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1"/>
    <x v="0"/>
    <s v="Shipment 1 B-10124 Fired Proces Heater"/>
    <x v="0"/>
    <x v="0"/>
    <m/>
    <m/>
    <s v="HEATER"/>
    <m/>
    <s v="S2"/>
    <s v="U285-AS-13MK538-1"/>
    <s v="13MK538-1(5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2"/>
    <x v="0"/>
    <s v="Shipment 1 B-10124 Fired Proces Heater"/>
    <x v="0"/>
    <x v="0"/>
    <m/>
    <m/>
    <s v="HEATER"/>
    <m/>
    <s v="S2"/>
    <s v="U285-AS-13MK538-1"/>
    <s v="13MK538-1(6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3"/>
    <x v="0"/>
    <s v="Shipment 1 B-10124 Fired Proces Heater"/>
    <x v="0"/>
    <x v="0"/>
    <m/>
    <m/>
    <s v="HEATER"/>
    <m/>
    <s v="S2"/>
    <s v="U285-AS-13MK538-1"/>
    <s v="13MK538-1(7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4"/>
    <x v="0"/>
    <s v="Shipment 1 B-10124 Fired Proces Heater"/>
    <x v="0"/>
    <x v="0"/>
    <m/>
    <m/>
    <s v="HEATER"/>
    <m/>
    <s v="S2"/>
    <s v="U285-AS-13MK538-1"/>
    <s v="13MK538-1(8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5"/>
    <x v="0"/>
    <s v="Shipment 1 B-10124 Fired Proces Heater"/>
    <x v="0"/>
    <x v="0"/>
    <m/>
    <m/>
    <s v="HEATER"/>
    <m/>
    <s v="S2"/>
    <s v="U285-AS-13MK538-1"/>
    <s v="13MK538-1(9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6"/>
    <x v="0"/>
    <s v="Shipment 1 B-10124 Fired Proces Heater"/>
    <x v="0"/>
    <x v="0"/>
    <m/>
    <m/>
    <s v="HEATER"/>
    <m/>
    <s v="S2"/>
    <s v="U285-AS-13MK538-1"/>
    <s v="13MK538-1(10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7"/>
    <x v="0"/>
    <s v="Shipment 1 B-10124 Fired Proces Heater"/>
    <x v="0"/>
    <x v="0"/>
    <m/>
    <m/>
    <s v="HEATER"/>
    <m/>
    <s v="S2"/>
    <s v="U285-AS-13MK538-1"/>
    <s v="13MK538-1(11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8"/>
    <x v="0"/>
    <s v="Shipment 1 B-10124 Fired Proces Heater"/>
    <x v="0"/>
    <x v="0"/>
    <m/>
    <m/>
    <s v="HEATER"/>
    <m/>
    <s v="S2"/>
    <s v="U285-AS-13MK538-1"/>
    <s v="13MK538-1(12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89"/>
    <x v="0"/>
    <s v="Shipment 1 B-10124 Fired Proces Heater"/>
    <x v="0"/>
    <x v="0"/>
    <m/>
    <m/>
    <s v="HEATER"/>
    <m/>
    <s v="S2"/>
    <s v="U285-AS-13MK538-1"/>
    <s v="13MK538-1(13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0"/>
    <x v="0"/>
    <s v="Shipment 1 B-10124 Fired Proces Heater"/>
    <x v="0"/>
    <x v="0"/>
    <m/>
    <m/>
    <s v="HEATER"/>
    <m/>
    <s v="S2"/>
    <s v="U285-AS-13MK538-1"/>
    <s v="13MK538-1(14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1"/>
    <x v="0"/>
    <s v="Shipment 1 B-10124 Fired Proces Heater"/>
    <x v="0"/>
    <x v="0"/>
    <m/>
    <m/>
    <s v="HEATER"/>
    <m/>
    <s v="S2"/>
    <s v="U285-AS-13MK538-1"/>
    <s v="13MK538-1(15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2"/>
    <x v="0"/>
    <s v="Shipment 1 B-10124 Fired Proces Heater"/>
    <x v="0"/>
    <x v="0"/>
    <m/>
    <m/>
    <s v="HEATER"/>
    <m/>
    <s v="S2"/>
    <s v="U285-AS-13MK538-1"/>
    <s v="13MK538-1(16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3"/>
    <x v="0"/>
    <s v="Shipment 1 B-10124 Fired Proces Heater"/>
    <x v="0"/>
    <x v="0"/>
    <m/>
    <m/>
    <s v="HEATER"/>
    <m/>
    <s v="S2"/>
    <s v="U285-AS-13MK538-1"/>
    <s v="13MK538-1(17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4"/>
    <x v="0"/>
    <s v="Shipment 1 B-10124 Fired Proces Heater"/>
    <x v="0"/>
    <x v="0"/>
    <m/>
    <m/>
    <s v="HEATER"/>
    <m/>
    <s v="S2"/>
    <s v="U285-AS-13MK538-1"/>
    <s v="13MK538-1(18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5"/>
    <x v="0"/>
    <s v="Shipment 1 B-10124 Fired Proces Heater"/>
    <x v="0"/>
    <x v="0"/>
    <m/>
    <m/>
    <s v="HEATER"/>
    <m/>
    <s v="S2"/>
    <s v="U285-AS-13MK538-1"/>
    <s v="13MK538-1(19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6"/>
    <x v="0"/>
    <s v="Shipment 1 B-10124 Fired Proces Heater"/>
    <x v="0"/>
    <x v="0"/>
    <m/>
    <m/>
    <s v="HEATER"/>
    <m/>
    <s v="S2"/>
    <s v="U285-AS-13MK538-1"/>
    <s v="13MK538-1(20/20)"/>
    <s v="PACKING FOR TRANSPORT"/>
    <n v="1"/>
    <n v="140.52000000000001"/>
    <n v="140.52000000000001"/>
    <s v="(2545x203x363)"/>
    <m/>
    <m/>
    <m/>
    <m/>
    <m/>
    <m/>
    <m/>
    <m/>
    <m/>
    <m/>
    <m/>
    <m/>
    <m/>
    <n v="0"/>
    <n v="140.52000000000001"/>
    <m/>
    <m/>
    <n v="0"/>
    <m/>
    <m/>
    <n v="0"/>
    <m/>
    <m/>
    <n v="0"/>
    <m/>
    <m/>
    <n v="0"/>
    <m/>
    <m/>
    <m/>
    <n v="0"/>
    <m/>
    <m/>
    <n v="0"/>
    <s v="PAC"/>
    <m/>
  </r>
  <r>
    <n v="497"/>
    <x v="0"/>
    <s v="Shipment 1 B-10124 Fired Proces Heater"/>
    <x v="0"/>
    <x v="0"/>
    <m/>
    <m/>
    <s v="HEATER"/>
    <m/>
    <s v="S2"/>
    <s v="U285-AS-13MK539-1"/>
    <s v="13MK539-1(1/2)"/>
    <s v="PACKING FOR TRANSPORT"/>
    <n v="1"/>
    <n v="966.30000000000007"/>
    <n v="966.30000000000007"/>
    <s v="(6493x368x515)"/>
    <m/>
    <m/>
    <m/>
    <m/>
    <m/>
    <m/>
    <m/>
    <m/>
    <m/>
    <m/>
    <m/>
    <m/>
    <m/>
    <n v="0"/>
    <n v="966.30000000000007"/>
    <m/>
    <m/>
    <n v="0"/>
    <m/>
    <m/>
    <n v="0"/>
    <m/>
    <m/>
    <n v="0"/>
    <m/>
    <m/>
    <n v="0"/>
    <m/>
    <m/>
    <m/>
    <n v="0"/>
    <m/>
    <m/>
    <n v="0"/>
    <s v="PAC"/>
    <m/>
  </r>
  <r>
    <n v="498"/>
    <x v="0"/>
    <s v="Shipment 1 B-10124 Fired Proces Heater"/>
    <x v="0"/>
    <x v="0"/>
    <m/>
    <m/>
    <s v="HEATER"/>
    <m/>
    <s v="S2"/>
    <s v="U285-AS-13MK539-1"/>
    <s v="13MK539-1(2/2)"/>
    <s v="PACKING FOR TRANSPORT"/>
    <n v="1"/>
    <n v="966.30000000000007"/>
    <n v="966.30000000000007"/>
    <s v="(6493x368x515)"/>
    <m/>
    <m/>
    <m/>
    <m/>
    <m/>
    <m/>
    <m/>
    <m/>
    <m/>
    <m/>
    <m/>
    <m/>
    <m/>
    <n v="0"/>
    <n v="966.30000000000007"/>
    <m/>
    <m/>
    <n v="0"/>
    <m/>
    <m/>
    <n v="0"/>
    <m/>
    <m/>
    <n v="0"/>
    <m/>
    <m/>
    <n v="0"/>
    <m/>
    <m/>
    <m/>
    <n v="0"/>
    <m/>
    <m/>
    <n v="0"/>
    <s v="PAC"/>
    <m/>
  </r>
  <r>
    <n v="499"/>
    <x v="0"/>
    <s v="Shipment 1 B-10124 Fired Proces Heater"/>
    <x v="0"/>
    <x v="0"/>
    <m/>
    <m/>
    <s v="HEATER"/>
    <m/>
    <s v="S2"/>
    <s v="U285-AS-13MK540-1"/>
    <s v="13MK540-1(1/2)"/>
    <s v="PACKING FOR TRANSPORT"/>
    <n v="1"/>
    <n v="380.74999999999994"/>
    <n v="380.74999999999994"/>
    <s v="(6225x206x370)"/>
    <m/>
    <m/>
    <m/>
    <m/>
    <m/>
    <m/>
    <m/>
    <m/>
    <m/>
    <m/>
    <m/>
    <m/>
    <m/>
    <n v="0"/>
    <n v="380.74999999999994"/>
    <m/>
    <m/>
    <n v="0"/>
    <m/>
    <m/>
    <n v="0"/>
    <m/>
    <m/>
    <n v="0"/>
    <m/>
    <m/>
    <n v="0"/>
    <m/>
    <m/>
    <m/>
    <n v="0"/>
    <m/>
    <m/>
    <n v="0"/>
    <s v="PAC"/>
    <m/>
  </r>
  <r>
    <n v="500"/>
    <x v="0"/>
    <s v="Shipment 1 B-10124 Fired Proces Heater"/>
    <x v="0"/>
    <x v="0"/>
    <m/>
    <m/>
    <s v="HEATER"/>
    <m/>
    <s v="S2"/>
    <s v="U285-AS-13MK540-1"/>
    <s v="13MK540-1(2/2)"/>
    <s v="PACKING FOR TRANSPORT"/>
    <n v="1"/>
    <n v="380.74999999999994"/>
    <n v="380.74999999999994"/>
    <s v="(6225x206x370)"/>
    <m/>
    <m/>
    <m/>
    <m/>
    <m/>
    <m/>
    <m/>
    <m/>
    <m/>
    <m/>
    <m/>
    <m/>
    <m/>
    <n v="0"/>
    <n v="380.74999999999994"/>
    <m/>
    <m/>
    <n v="0"/>
    <m/>
    <m/>
    <n v="0"/>
    <m/>
    <m/>
    <n v="0"/>
    <m/>
    <m/>
    <n v="0"/>
    <m/>
    <m/>
    <m/>
    <n v="0"/>
    <m/>
    <m/>
    <n v="0"/>
    <s v="PAC"/>
    <m/>
  </r>
  <r>
    <n v="501"/>
    <x v="0"/>
    <s v="Shipment 1 B-10124 Fired Proces Heater"/>
    <x v="0"/>
    <x v="0"/>
    <m/>
    <m/>
    <s v="HEATER"/>
    <m/>
    <s v="S2"/>
    <s v="U285-AS-13MK541-1"/>
    <s v="13MK541-1(1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2"/>
    <x v="0"/>
    <s v="Shipment 1 B-10124 Fired Proces Heater"/>
    <x v="0"/>
    <x v="0"/>
    <m/>
    <m/>
    <s v="HEATER"/>
    <m/>
    <s v="S2"/>
    <s v="U285-AS-13MK541-1"/>
    <s v="13MK541-1(2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3"/>
    <x v="0"/>
    <s v="Shipment 1 B-10124 Fired Proces Heater"/>
    <x v="0"/>
    <x v="0"/>
    <m/>
    <m/>
    <s v="HEATER"/>
    <m/>
    <s v="S2"/>
    <s v="U285-AS-13MK541-1"/>
    <s v="13MK541-1(3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4"/>
    <x v="0"/>
    <s v="Shipment 1 B-10124 Fired Proces Heater"/>
    <x v="0"/>
    <x v="0"/>
    <m/>
    <m/>
    <s v="HEATER"/>
    <m/>
    <s v="S2"/>
    <s v="U285-AS-13MK541-1"/>
    <s v="13MK541-1(4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5"/>
    <x v="0"/>
    <s v="Shipment 1 B-10124 Fired Proces Heater"/>
    <x v="0"/>
    <x v="0"/>
    <m/>
    <m/>
    <s v="HEATER"/>
    <m/>
    <s v="S2"/>
    <s v="U285-AS-13MK541-1"/>
    <s v="13MK541-1(5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6"/>
    <x v="0"/>
    <s v="Shipment 1 B-10124 Fired Proces Heater"/>
    <x v="0"/>
    <x v="0"/>
    <m/>
    <m/>
    <s v="HEATER"/>
    <m/>
    <s v="S2"/>
    <s v="U285-AS-13MK541-1"/>
    <s v="13MK541-1(6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7"/>
    <x v="0"/>
    <s v="Shipment 1 B-10124 Fired Proces Heater"/>
    <x v="0"/>
    <x v="0"/>
    <m/>
    <m/>
    <s v="HEATER"/>
    <m/>
    <s v="S2"/>
    <s v="U285-AS-13MK541-1"/>
    <s v="13MK541-1(7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8"/>
    <x v="0"/>
    <s v="Shipment 1 B-10124 Fired Proces Heater"/>
    <x v="0"/>
    <x v="0"/>
    <m/>
    <m/>
    <s v="HEATER"/>
    <m/>
    <s v="S2"/>
    <s v="U285-AS-13MK541-1"/>
    <s v="13MK541-1(8/8)"/>
    <s v="PACKING FOR TRANSPORT"/>
    <n v="1"/>
    <n v="140.875"/>
    <n v="140.875"/>
    <s v="(2553x203x363)"/>
    <m/>
    <m/>
    <m/>
    <m/>
    <m/>
    <m/>
    <m/>
    <m/>
    <m/>
    <m/>
    <m/>
    <m/>
    <m/>
    <n v="0"/>
    <n v="140.875"/>
    <m/>
    <m/>
    <n v="0"/>
    <m/>
    <m/>
    <n v="0"/>
    <m/>
    <m/>
    <n v="0"/>
    <m/>
    <m/>
    <n v="0"/>
    <m/>
    <m/>
    <m/>
    <n v="0"/>
    <m/>
    <m/>
    <n v="0"/>
    <s v="PAC"/>
    <m/>
  </r>
  <r>
    <n v="509"/>
    <x v="0"/>
    <s v="Shipment 1 B-10124 Fired Proces Heater"/>
    <x v="0"/>
    <x v="0"/>
    <m/>
    <m/>
    <s v="HEATER"/>
    <m/>
    <s v="S2"/>
    <s v="U285-AS-13MK542-1"/>
    <s v="13MK542-1(1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0"/>
    <x v="0"/>
    <s v="Shipment 1 B-10124 Fired Proces Heater"/>
    <x v="0"/>
    <x v="0"/>
    <m/>
    <m/>
    <s v="HEATER"/>
    <m/>
    <s v="S2"/>
    <s v="U285-AS-13MK542-1"/>
    <s v="13MK542-1(2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1"/>
    <x v="0"/>
    <s v="Shipment 1 B-10124 Fired Proces Heater"/>
    <x v="0"/>
    <x v="0"/>
    <m/>
    <m/>
    <s v="HEATER"/>
    <m/>
    <s v="S2"/>
    <s v="U285-AS-13MK542-1"/>
    <s v="13MK542-1(3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2"/>
    <x v="0"/>
    <s v="Shipment 1 B-10124 Fired Proces Heater"/>
    <x v="0"/>
    <x v="0"/>
    <m/>
    <m/>
    <s v="HEATER"/>
    <m/>
    <s v="S2"/>
    <s v="U285-AS-13MK542-1"/>
    <s v="13MK542-1(4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3"/>
    <x v="0"/>
    <s v="Shipment 1 B-10124 Fired Proces Heater"/>
    <x v="0"/>
    <x v="0"/>
    <m/>
    <m/>
    <s v="HEATER"/>
    <m/>
    <s v="S2"/>
    <s v="U285-AS-13MK542-1"/>
    <s v="13MK542-1(5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4"/>
    <x v="0"/>
    <s v="Shipment 1 B-10124 Fired Proces Heater"/>
    <x v="0"/>
    <x v="0"/>
    <m/>
    <m/>
    <s v="HEATER"/>
    <m/>
    <s v="S2"/>
    <s v="U285-AS-13MK542-1"/>
    <s v="13MK542-1(6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5"/>
    <x v="0"/>
    <s v="Shipment 1 B-10124 Fired Proces Heater"/>
    <x v="0"/>
    <x v="0"/>
    <m/>
    <m/>
    <s v="HEATER"/>
    <m/>
    <s v="S2"/>
    <s v="U285-AS-13MK542-1"/>
    <s v="13MK542-1(7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6"/>
    <x v="0"/>
    <s v="Shipment 1 B-10124 Fired Proces Heater"/>
    <x v="0"/>
    <x v="0"/>
    <m/>
    <m/>
    <s v="HEATER"/>
    <m/>
    <s v="S2"/>
    <s v="U285-AS-13MK542-1"/>
    <s v="13MK542-1(8/8)"/>
    <s v="PACKING FOR TRANSPORT"/>
    <n v="1"/>
    <n v="36.200000000000003"/>
    <n v="36.200000000000003"/>
    <s v="(335x150x247)"/>
    <m/>
    <m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PAC"/>
    <m/>
  </r>
  <r>
    <n v="517"/>
    <x v="0"/>
    <s v="Shipment 1 B-10124 Fired Proces Heater"/>
    <x v="0"/>
    <x v="0"/>
    <m/>
    <m/>
    <s v="HEATER"/>
    <m/>
    <s v="S2"/>
    <s v="U285-AS-13MK543-1"/>
    <s v="13MK543-1(1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18"/>
    <x v="0"/>
    <s v="Shipment 1 B-10124 Fired Proces Heater"/>
    <x v="0"/>
    <x v="0"/>
    <m/>
    <m/>
    <s v="HEATER"/>
    <m/>
    <s v="S2"/>
    <s v="U285-AS-13MK543-1"/>
    <s v="13MK543-1(2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19"/>
    <x v="0"/>
    <s v="Shipment 1 B-10124 Fired Proces Heater"/>
    <x v="0"/>
    <x v="0"/>
    <m/>
    <m/>
    <s v="HEATER"/>
    <m/>
    <s v="S2"/>
    <s v="U285-AS-13MK543-1"/>
    <s v="13MK543-1(3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0"/>
    <x v="0"/>
    <s v="Shipment 1 B-10124 Fired Proces Heater"/>
    <x v="0"/>
    <x v="0"/>
    <m/>
    <m/>
    <s v="HEATER"/>
    <m/>
    <s v="S2"/>
    <s v="U285-AS-13MK543-1"/>
    <s v="13MK543-1(4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1"/>
    <x v="0"/>
    <s v="Shipment 1 B-10124 Fired Proces Heater"/>
    <x v="0"/>
    <x v="0"/>
    <m/>
    <m/>
    <s v="HEATER"/>
    <m/>
    <s v="S2"/>
    <s v="U285-AS-13MK543-1"/>
    <s v="13MK543-1(5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2"/>
    <x v="0"/>
    <s v="Shipment 1 B-10124 Fired Proces Heater"/>
    <x v="0"/>
    <x v="0"/>
    <m/>
    <m/>
    <s v="HEATER"/>
    <m/>
    <s v="S2"/>
    <s v="U285-AS-13MK543-1"/>
    <s v="13MK543-1(6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3"/>
    <x v="0"/>
    <s v="Shipment 1 B-10124 Fired Proces Heater"/>
    <x v="0"/>
    <x v="0"/>
    <m/>
    <m/>
    <s v="HEATER"/>
    <m/>
    <s v="S2"/>
    <s v="U285-AS-13MK543-1"/>
    <s v="13MK543-1(7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4"/>
    <x v="0"/>
    <s v="Shipment 1 B-10124 Fired Proces Heater"/>
    <x v="0"/>
    <x v="0"/>
    <m/>
    <m/>
    <s v="HEATER"/>
    <m/>
    <s v="S2"/>
    <s v="U285-AS-13MK543-1"/>
    <s v="13MK543-1(8/8)"/>
    <s v="PACKING FOR TRANSPORT"/>
    <n v="1"/>
    <n v="2"/>
    <n v="2"/>
    <s v="(134x50x111)"/>
    <m/>
    <m/>
    <m/>
    <m/>
    <m/>
    <m/>
    <m/>
    <m/>
    <m/>
    <m/>
    <m/>
    <m/>
    <m/>
    <n v="0"/>
    <n v="2"/>
    <m/>
    <m/>
    <n v="0"/>
    <m/>
    <m/>
    <n v="0"/>
    <m/>
    <m/>
    <n v="0"/>
    <m/>
    <m/>
    <n v="0"/>
    <m/>
    <m/>
    <m/>
    <n v="0"/>
    <m/>
    <m/>
    <n v="0"/>
    <s v="PAC"/>
    <m/>
  </r>
  <r>
    <n v="525"/>
    <x v="0"/>
    <s v="Shipment 1 B-10124 Fired Proces Heater"/>
    <x v="0"/>
    <x v="0"/>
    <m/>
    <m/>
    <s v="HEATER"/>
    <m/>
    <s v="S2"/>
    <s v="U285-AS-13MK544-1"/>
    <s v="13MK544-1"/>
    <s v="PACKING FOR TRANSPORT"/>
    <n v="56"/>
    <n v="11.625"/>
    <n v="651.20000000000005"/>
    <s v="(210x100x187)"/>
    <m/>
    <m/>
    <m/>
    <m/>
    <m/>
    <m/>
    <m/>
    <m/>
    <m/>
    <m/>
    <m/>
    <m/>
    <m/>
    <n v="0"/>
    <n v="651.20000000000005"/>
    <m/>
    <m/>
    <n v="0"/>
    <m/>
    <m/>
    <n v="0"/>
    <m/>
    <m/>
    <n v="0"/>
    <m/>
    <m/>
    <n v="0"/>
    <m/>
    <m/>
    <m/>
    <n v="0"/>
    <m/>
    <m/>
    <n v="0"/>
    <s v="PAC"/>
    <m/>
  </r>
  <r>
    <n v="526"/>
    <x v="0"/>
    <s v="Shipment 1 B-10124 Fired Proces Heater"/>
    <x v="0"/>
    <x v="0"/>
    <m/>
    <m/>
    <s v="HEATER"/>
    <m/>
    <s v="S1"/>
    <s v="U285-AS-13KM602-1"/>
    <s v="13KM602-1(1/4)"/>
    <s v="FLUE GAS DUCT BELOW CONVECTION"/>
    <n v="1"/>
    <n v="2.9750000000000001"/>
    <n v="2.9750000000000001"/>
    <s v="(180x15x140)"/>
    <m/>
    <m/>
    <m/>
    <m/>
    <m/>
    <m/>
    <m/>
    <m/>
    <m/>
    <m/>
    <m/>
    <m/>
    <m/>
    <n v="0"/>
    <n v="2.9750000000000001"/>
    <m/>
    <m/>
    <n v="0"/>
    <m/>
    <m/>
    <n v="0"/>
    <m/>
    <m/>
    <n v="0"/>
    <m/>
    <m/>
    <n v="0"/>
    <m/>
    <m/>
    <m/>
    <n v="0"/>
    <m/>
    <m/>
    <n v="0"/>
    <s v="PAC"/>
    <m/>
  </r>
  <r>
    <n v="527"/>
    <x v="0"/>
    <s v="Shipment 1 B-10124 Fired Proces Heater"/>
    <x v="0"/>
    <x v="0"/>
    <m/>
    <m/>
    <s v="HEATER"/>
    <m/>
    <s v="S1"/>
    <s v="U285-AS-13KM602-1"/>
    <s v="13KM602-1(2/4)"/>
    <s v="FLUE GAS DUCT BELOW CONVECTION"/>
    <n v="1"/>
    <n v="2.9750000000000001"/>
    <n v="2.9750000000000001"/>
    <s v="(180x15x140)"/>
    <m/>
    <m/>
    <m/>
    <m/>
    <m/>
    <m/>
    <m/>
    <m/>
    <m/>
    <m/>
    <m/>
    <m/>
    <m/>
    <n v="0"/>
    <n v="2.9750000000000001"/>
    <m/>
    <m/>
    <n v="0"/>
    <m/>
    <m/>
    <n v="0"/>
    <m/>
    <m/>
    <n v="0"/>
    <m/>
    <m/>
    <n v="0"/>
    <m/>
    <m/>
    <m/>
    <n v="0"/>
    <m/>
    <m/>
    <n v="0"/>
    <s v="PAC"/>
    <m/>
  </r>
  <r>
    <n v="528"/>
    <x v="0"/>
    <s v="Shipment 1 B-10124 Fired Proces Heater"/>
    <x v="0"/>
    <x v="0"/>
    <m/>
    <m/>
    <s v="HEATER"/>
    <m/>
    <s v="S1"/>
    <s v="U285-AS-13KM602-1"/>
    <s v="13KM602-1(3/4)"/>
    <s v="FLUE GAS DUCT BELOW CONVECTION"/>
    <n v="1"/>
    <n v="2.9750000000000001"/>
    <n v="2.9750000000000001"/>
    <s v="(180x15x140)"/>
    <m/>
    <m/>
    <m/>
    <m/>
    <m/>
    <m/>
    <m/>
    <m/>
    <m/>
    <m/>
    <m/>
    <m/>
    <m/>
    <n v="0"/>
    <n v="2.9750000000000001"/>
    <m/>
    <m/>
    <n v="0"/>
    <m/>
    <m/>
    <n v="0"/>
    <m/>
    <m/>
    <n v="0"/>
    <m/>
    <m/>
    <n v="0"/>
    <m/>
    <m/>
    <m/>
    <n v="0"/>
    <m/>
    <m/>
    <n v="0"/>
    <s v="PAC"/>
    <m/>
  </r>
  <r>
    <n v="529"/>
    <x v="0"/>
    <s v="Shipment 1 B-10124 Fired Proces Heater"/>
    <x v="0"/>
    <x v="0"/>
    <m/>
    <m/>
    <s v="HEATER"/>
    <m/>
    <s v="S1"/>
    <s v="U285-AS-13KM602-1"/>
    <s v="13KM602-1(4/4)"/>
    <s v="FLUE GAS DUCT BELOW CONVECTION"/>
    <n v="1"/>
    <n v="2.9750000000000001"/>
    <n v="2.9750000000000001"/>
    <s v="(180x15x140)"/>
    <m/>
    <m/>
    <m/>
    <m/>
    <m/>
    <m/>
    <m/>
    <m/>
    <m/>
    <m/>
    <m/>
    <m/>
    <m/>
    <n v="0"/>
    <n v="2.9750000000000001"/>
    <m/>
    <m/>
    <n v="0"/>
    <m/>
    <m/>
    <n v="0"/>
    <m/>
    <m/>
    <n v="0"/>
    <m/>
    <m/>
    <n v="0"/>
    <m/>
    <m/>
    <m/>
    <n v="0"/>
    <m/>
    <m/>
    <n v="0"/>
    <s v="PAC"/>
    <m/>
  </r>
  <r>
    <n v="530"/>
    <x v="0"/>
    <s v="Shipment 1 B-10124 Fired Proces Heater"/>
    <x v="0"/>
    <x v="0"/>
    <m/>
    <m/>
    <s v="HEATER"/>
    <m/>
    <s v="S1"/>
    <s v="U285-AS-13KM603-1"/>
    <s v="13KM603-1"/>
    <s v="FLUE GAS DUCT BELOW CONVECTION"/>
    <n v="1"/>
    <n v="51.1"/>
    <n v="51.1"/>
    <s v="(321x371x580)"/>
    <m/>
    <m/>
    <m/>
    <m/>
    <m/>
    <m/>
    <m/>
    <m/>
    <m/>
    <m/>
    <m/>
    <m/>
    <m/>
    <n v="0"/>
    <n v="51.1"/>
    <m/>
    <m/>
    <n v="0"/>
    <m/>
    <m/>
    <n v="0"/>
    <m/>
    <m/>
    <n v="0"/>
    <m/>
    <m/>
    <n v="0"/>
    <m/>
    <m/>
    <m/>
    <n v="0"/>
    <m/>
    <m/>
    <n v="0"/>
    <s v="PAC"/>
    <m/>
  </r>
  <r>
    <n v="531"/>
    <x v="0"/>
    <s v="Shipment 1 B-10124 Fired Proces Heater"/>
    <x v="0"/>
    <x v="0"/>
    <m/>
    <m/>
    <s v="HEATER"/>
    <m/>
    <s v="S1"/>
    <s v="U285-AS-13KM603-2"/>
    <s v="13KM603-2"/>
    <s v="FLUE GAS DUCT BELOW CONVECTION"/>
    <n v="1"/>
    <n v="51.1"/>
    <n v="51.1"/>
    <s v="(321x371x580)"/>
    <m/>
    <m/>
    <m/>
    <m/>
    <m/>
    <m/>
    <m/>
    <m/>
    <m/>
    <m/>
    <m/>
    <m/>
    <m/>
    <n v="0"/>
    <n v="51.1"/>
    <m/>
    <m/>
    <n v="0"/>
    <m/>
    <m/>
    <n v="0"/>
    <m/>
    <m/>
    <n v="0"/>
    <m/>
    <m/>
    <n v="0"/>
    <m/>
    <m/>
    <m/>
    <n v="0"/>
    <m/>
    <m/>
    <n v="0"/>
    <s v="PAC"/>
    <m/>
  </r>
  <r>
    <n v="532"/>
    <x v="0"/>
    <s v="Shipment 1 B-10124 Fired Proces Heater"/>
    <x v="0"/>
    <x v="0"/>
    <m/>
    <m/>
    <s v="HEATER"/>
    <m/>
    <s v="S2"/>
    <s v="U285-AS-13MK596-1"/>
    <s v="13MK596-1(1/4)"/>
    <s v="PACKING FOR TRANSPORT"/>
    <n v="1"/>
    <n v="222.7"/>
    <n v="222.7"/>
    <s v="(1878x400x400)"/>
    <m/>
    <m/>
    <m/>
    <m/>
    <m/>
    <m/>
    <m/>
    <m/>
    <m/>
    <m/>
    <m/>
    <m/>
    <m/>
    <n v="0"/>
    <n v="222.7"/>
    <m/>
    <m/>
    <n v="0"/>
    <m/>
    <m/>
    <n v="0"/>
    <m/>
    <m/>
    <n v="0"/>
    <m/>
    <m/>
    <n v="0"/>
    <m/>
    <m/>
    <m/>
    <n v="0"/>
    <m/>
    <m/>
    <n v="0"/>
    <s v="PAC"/>
    <m/>
  </r>
  <r>
    <n v="533"/>
    <x v="0"/>
    <s v="Shipment 1 B-10124 Fired Proces Heater"/>
    <x v="0"/>
    <x v="0"/>
    <m/>
    <m/>
    <s v="HEATER"/>
    <m/>
    <s v="S2"/>
    <s v="U285-AS-13MK596-1"/>
    <s v="13MK596-1(2/4)"/>
    <s v="PACKING FOR TRANSPORT"/>
    <n v="1"/>
    <n v="222.7"/>
    <n v="222.7"/>
    <s v="(1878x400x400)"/>
    <m/>
    <m/>
    <m/>
    <m/>
    <m/>
    <m/>
    <m/>
    <m/>
    <m/>
    <m/>
    <m/>
    <m/>
    <m/>
    <n v="0"/>
    <n v="222.7"/>
    <m/>
    <m/>
    <n v="0"/>
    <m/>
    <m/>
    <n v="0"/>
    <m/>
    <m/>
    <n v="0"/>
    <m/>
    <m/>
    <n v="0"/>
    <m/>
    <m/>
    <m/>
    <n v="0"/>
    <m/>
    <m/>
    <n v="0"/>
    <s v="PAC"/>
    <m/>
  </r>
  <r>
    <n v="534"/>
    <x v="0"/>
    <s v="Shipment 1 B-10124 Fired Proces Heater"/>
    <x v="0"/>
    <x v="0"/>
    <m/>
    <m/>
    <s v="HEATER"/>
    <m/>
    <s v="S2"/>
    <s v="U285-AS-13MK596-1"/>
    <s v="13MK596-1(3/4)"/>
    <s v="PACKING FOR TRANSPORT"/>
    <n v="1"/>
    <n v="222.7"/>
    <n v="222.7"/>
    <s v="(1878x400x400)"/>
    <m/>
    <m/>
    <m/>
    <m/>
    <m/>
    <m/>
    <m/>
    <m/>
    <m/>
    <m/>
    <m/>
    <m/>
    <m/>
    <n v="0"/>
    <n v="222.7"/>
    <m/>
    <m/>
    <n v="0"/>
    <m/>
    <m/>
    <n v="0"/>
    <m/>
    <m/>
    <n v="0"/>
    <m/>
    <m/>
    <n v="0"/>
    <m/>
    <m/>
    <m/>
    <n v="0"/>
    <m/>
    <m/>
    <n v="0"/>
    <s v="PAC"/>
    <m/>
  </r>
  <r>
    <n v="535"/>
    <x v="0"/>
    <s v="Shipment 1 B-10124 Fired Proces Heater"/>
    <x v="0"/>
    <x v="0"/>
    <m/>
    <m/>
    <s v="HEATER"/>
    <m/>
    <s v="S2"/>
    <s v="U285-AS-13MK596-1"/>
    <s v="13MK596-1(4/4)"/>
    <s v="PACKING FOR TRANSPORT"/>
    <n v="1"/>
    <n v="222.7"/>
    <n v="222.7"/>
    <s v="(1878x400x400)"/>
    <m/>
    <m/>
    <m/>
    <m/>
    <m/>
    <m/>
    <m/>
    <m/>
    <m/>
    <m/>
    <m/>
    <m/>
    <m/>
    <n v="0"/>
    <n v="222.7"/>
    <m/>
    <m/>
    <n v="0"/>
    <m/>
    <m/>
    <n v="0"/>
    <m/>
    <m/>
    <n v="0"/>
    <m/>
    <m/>
    <n v="0"/>
    <m/>
    <m/>
    <m/>
    <n v="0"/>
    <m/>
    <m/>
    <n v="0"/>
    <s v="PAC"/>
    <m/>
  </r>
  <r>
    <n v="536"/>
    <x v="0"/>
    <s v="Shipment 1 B-10124 Fired Proces Heater"/>
    <x v="0"/>
    <x v="0"/>
    <m/>
    <m/>
    <s v="HEATER"/>
    <m/>
    <s v="S2"/>
    <s v="U285-AS-13MK597-1"/>
    <s v="13MK597-1(1/2)"/>
    <s v="PACKING FOR TRANSPORT"/>
    <n v="1"/>
    <n v="225.6"/>
    <n v="225.6"/>
    <s v="(1908x400x400)"/>
    <m/>
    <m/>
    <m/>
    <m/>
    <m/>
    <m/>
    <m/>
    <m/>
    <m/>
    <m/>
    <m/>
    <m/>
    <m/>
    <n v="0"/>
    <n v="225.6"/>
    <m/>
    <m/>
    <n v="0"/>
    <m/>
    <m/>
    <n v="0"/>
    <m/>
    <m/>
    <n v="0"/>
    <m/>
    <m/>
    <n v="0"/>
    <m/>
    <m/>
    <m/>
    <n v="0"/>
    <m/>
    <m/>
    <n v="0"/>
    <s v="PAC"/>
    <m/>
  </r>
  <r>
    <n v="537"/>
    <x v="0"/>
    <s v="Shipment 1 B-10124 Fired Proces Heater"/>
    <x v="0"/>
    <x v="0"/>
    <m/>
    <m/>
    <s v="HEATER"/>
    <m/>
    <s v="S2"/>
    <s v="U285-AS-13MK597-1"/>
    <s v="13MK597-1(2/2)"/>
    <s v="PACKING FOR TRANSPORT"/>
    <n v="1"/>
    <n v="225.6"/>
    <n v="225.6"/>
    <s v="(1908x400x400)"/>
    <m/>
    <m/>
    <m/>
    <m/>
    <m/>
    <m/>
    <m/>
    <m/>
    <m/>
    <m/>
    <m/>
    <m/>
    <m/>
    <n v="0"/>
    <n v="225.6"/>
    <m/>
    <m/>
    <n v="0"/>
    <m/>
    <m/>
    <n v="0"/>
    <m/>
    <m/>
    <n v="0"/>
    <m/>
    <m/>
    <n v="0"/>
    <m/>
    <m/>
    <m/>
    <n v="0"/>
    <m/>
    <m/>
    <n v="0"/>
    <s v="PAC"/>
    <m/>
  </r>
  <r>
    <n v="538"/>
    <x v="0"/>
    <s v="Shipment 1 B-10124 Fired Proces Heater"/>
    <x v="0"/>
    <x v="0"/>
    <m/>
    <m/>
    <s v="HEATER"/>
    <m/>
    <s v="S2"/>
    <s v="U285-AS-13MK598-1"/>
    <s v="13MK598-1(1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39"/>
    <x v="0"/>
    <s v="Shipment 1 B-10124 Fired Proces Heater"/>
    <x v="0"/>
    <x v="0"/>
    <m/>
    <m/>
    <s v="HEATER"/>
    <m/>
    <s v="S2"/>
    <s v="U285-AS-13MK598-1"/>
    <s v="13MK598-1(10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0"/>
    <x v="0"/>
    <s v="Shipment 1 B-10124 Fired Proces Heater"/>
    <x v="0"/>
    <x v="0"/>
    <m/>
    <m/>
    <s v="HEATER"/>
    <m/>
    <s v="S2"/>
    <s v="U285-AS-13MK598-1"/>
    <s v="13MK598-1(11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1"/>
    <x v="0"/>
    <s v="Shipment 1 B-10124 Fired Proces Heater"/>
    <x v="0"/>
    <x v="0"/>
    <m/>
    <m/>
    <s v="HEATER"/>
    <m/>
    <s v="S2"/>
    <s v="U285-AS-13MK598-1"/>
    <s v="13MK598-1(12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2"/>
    <x v="0"/>
    <s v="Shipment 1 B-10124 Fired Proces Heater"/>
    <x v="0"/>
    <x v="0"/>
    <m/>
    <m/>
    <s v="HEATER"/>
    <m/>
    <s v="S2"/>
    <s v="U285-AS-13MK598-1"/>
    <s v="13MK598-1(2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3"/>
    <x v="0"/>
    <s v="Shipment 1 B-10124 Fired Proces Heater"/>
    <x v="0"/>
    <x v="0"/>
    <m/>
    <m/>
    <s v="HEATER"/>
    <m/>
    <s v="S2"/>
    <s v="U285-AS-13MK598-1"/>
    <s v="13MK598-1(3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4"/>
    <x v="0"/>
    <s v="Shipment 1 B-10124 Fired Proces Heater"/>
    <x v="0"/>
    <x v="0"/>
    <m/>
    <m/>
    <s v="HEATER"/>
    <m/>
    <s v="S2"/>
    <s v="U285-AS-13MK598-1"/>
    <s v="13MK598-1(4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5"/>
    <x v="0"/>
    <s v="Shipment 1 B-10124 Fired Proces Heater"/>
    <x v="0"/>
    <x v="0"/>
    <m/>
    <m/>
    <s v="HEATER"/>
    <m/>
    <s v="S2"/>
    <s v="U285-AS-13MK598-1"/>
    <s v="13MK598-1(5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6"/>
    <x v="0"/>
    <s v="Shipment 1 B-10124 Fired Proces Heater"/>
    <x v="0"/>
    <x v="0"/>
    <m/>
    <m/>
    <s v="HEATER"/>
    <m/>
    <s v="S2"/>
    <s v="U285-AS-13MK598-1"/>
    <s v="13MK598-1(6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7"/>
    <x v="0"/>
    <s v="Shipment 1 B-10124 Fired Proces Heater"/>
    <x v="0"/>
    <x v="0"/>
    <m/>
    <m/>
    <s v="HEATER"/>
    <m/>
    <s v="S2"/>
    <s v="U285-AS-13MK598-1"/>
    <s v="13MK598-1(7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8"/>
    <x v="0"/>
    <s v="Shipment 1 B-10124 Fired Proces Heater"/>
    <x v="0"/>
    <x v="0"/>
    <m/>
    <m/>
    <s v="HEATER"/>
    <m/>
    <s v="S2"/>
    <s v="U285-AS-13MK598-1"/>
    <s v="13MK598-1(8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49"/>
    <x v="0"/>
    <s v="Shipment 1 B-10124 Fired Proces Heater"/>
    <x v="0"/>
    <x v="0"/>
    <m/>
    <m/>
    <s v="HEATER"/>
    <m/>
    <s v="S2"/>
    <s v="U285-AS-13MK598-1"/>
    <s v="13MK598-1(9/12)"/>
    <s v="PACKING FOR TRANSPORT"/>
    <n v="1"/>
    <n v="63.6"/>
    <n v="63.6"/>
    <s v="(230x400x400)"/>
    <m/>
    <m/>
    <m/>
    <m/>
    <m/>
    <m/>
    <m/>
    <m/>
    <m/>
    <m/>
    <m/>
    <m/>
    <m/>
    <n v="0"/>
    <n v="63.6"/>
    <m/>
    <m/>
    <n v="0"/>
    <m/>
    <m/>
    <n v="0"/>
    <m/>
    <m/>
    <n v="0"/>
    <m/>
    <m/>
    <n v="0"/>
    <m/>
    <m/>
    <m/>
    <n v="0"/>
    <m/>
    <m/>
    <n v="0"/>
    <s v="PAC"/>
    <m/>
  </r>
  <r>
    <n v="550"/>
    <x v="0"/>
    <s v="Shipment 1 B-10124 Fired Proces Heater"/>
    <x v="0"/>
    <x v="0"/>
    <m/>
    <m/>
    <s v="HEATER"/>
    <m/>
    <s v="S2"/>
    <s v="U285-AS-13MK599-1"/>
    <s v="13MK599-1(1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1"/>
    <x v="0"/>
    <s v="Shipment 1 B-10124 Fired Proces Heater"/>
    <x v="0"/>
    <x v="0"/>
    <m/>
    <m/>
    <s v="HEATER"/>
    <m/>
    <s v="S2"/>
    <s v="U285-AS-13MK599-1"/>
    <s v="13MK599-1(2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2"/>
    <x v="0"/>
    <s v="Shipment 1 B-10124 Fired Proces Heater"/>
    <x v="0"/>
    <x v="0"/>
    <m/>
    <m/>
    <s v="HEATER"/>
    <m/>
    <s v="S2"/>
    <s v="U285-AS-13MK599-1"/>
    <s v="13MK599-1(3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3"/>
    <x v="0"/>
    <s v="Shipment 1 B-10124 Fired Proces Heater"/>
    <x v="0"/>
    <x v="0"/>
    <m/>
    <m/>
    <s v="HEATER"/>
    <m/>
    <s v="S2"/>
    <s v="U285-AS-13MK599-1"/>
    <s v="13MK599-1(4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4"/>
    <x v="0"/>
    <s v="Shipment 1 B-10124 Fired Proces Heater"/>
    <x v="0"/>
    <x v="0"/>
    <m/>
    <m/>
    <s v="HEATER"/>
    <m/>
    <s v="S2"/>
    <s v="U285-AS-13MK599-1"/>
    <s v="13MK599-1(5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5"/>
    <x v="0"/>
    <s v="Shipment 1 B-10124 Fired Proces Heater"/>
    <x v="0"/>
    <x v="0"/>
    <m/>
    <m/>
    <s v="HEATER"/>
    <m/>
    <s v="S2"/>
    <s v="U285-AS-13MK599-1"/>
    <s v="13MK599-1(6/6)"/>
    <s v="PACKING FOR TRANSPORT"/>
    <n v="1"/>
    <n v="66.5"/>
    <n v="66.5"/>
    <s v="(260x400x400)"/>
    <m/>
    <m/>
    <m/>
    <m/>
    <m/>
    <m/>
    <m/>
    <m/>
    <m/>
    <m/>
    <m/>
    <m/>
    <m/>
    <n v="0"/>
    <n v="66.5"/>
    <m/>
    <m/>
    <n v="0"/>
    <m/>
    <m/>
    <n v="0"/>
    <m/>
    <m/>
    <n v="0"/>
    <m/>
    <m/>
    <n v="0"/>
    <m/>
    <m/>
    <m/>
    <n v="0"/>
    <m/>
    <m/>
    <n v="0"/>
    <s v="PAC"/>
    <m/>
  </r>
  <r>
    <n v="556"/>
    <x v="0"/>
    <s v="Shipment 1 B-10124 Fired Proces Heater"/>
    <x v="0"/>
    <x v="0"/>
    <m/>
    <m/>
    <s v="HEATER"/>
    <m/>
    <s v="S1"/>
    <s v="U285-AS-13MK600-2"/>
    <s v="13MK600-2"/>
    <s v="FLUE GAS DUCT BELOW CONVECTION"/>
    <n v="1"/>
    <n v="180.5"/>
    <n v="180.5"/>
    <s v="(3383x203x360)"/>
    <m/>
    <m/>
    <m/>
    <m/>
    <m/>
    <m/>
    <m/>
    <m/>
    <m/>
    <m/>
    <m/>
    <m/>
    <m/>
    <n v="0"/>
    <n v="180.5"/>
    <m/>
    <m/>
    <n v="0"/>
    <m/>
    <m/>
    <n v="0"/>
    <m/>
    <m/>
    <n v="0"/>
    <m/>
    <m/>
    <n v="0"/>
    <m/>
    <m/>
    <m/>
    <n v="0"/>
    <m/>
    <m/>
    <n v="0"/>
    <s v="PAC"/>
    <m/>
  </r>
  <r>
    <n v="557"/>
    <x v="0"/>
    <s v="Shipment 1 B-10124 Fired Proces Heater"/>
    <x v="0"/>
    <x v="0"/>
    <m/>
    <m/>
    <s v="HEATER"/>
    <m/>
    <s v="S1"/>
    <s v="U285-AS-13MK601-1"/>
    <s v="13MK601-1(1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58"/>
    <x v="0"/>
    <s v="Shipment 1 B-10124 Fired Proces Heater"/>
    <x v="0"/>
    <x v="0"/>
    <m/>
    <m/>
    <s v="HEATER"/>
    <m/>
    <s v="S1"/>
    <s v="U285-AS-13MK601-1"/>
    <s v="13MK601-1(2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59"/>
    <x v="0"/>
    <s v="Shipment 1 B-10124 Fired Proces Heater"/>
    <x v="0"/>
    <x v="0"/>
    <m/>
    <m/>
    <s v="HEATER"/>
    <m/>
    <s v="S1"/>
    <s v="U285-AS-13MK601-1"/>
    <s v="13MK601-1(3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0"/>
    <x v="0"/>
    <s v="Shipment 1 B-10124 Fired Proces Heater"/>
    <x v="0"/>
    <x v="0"/>
    <m/>
    <m/>
    <s v="HEATER"/>
    <m/>
    <s v="S1"/>
    <s v="U285-AS-13MK601-1"/>
    <s v="13MK601-1(4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1"/>
    <x v="0"/>
    <s v="Shipment 1 B-10124 Fired Proces Heater"/>
    <x v="0"/>
    <x v="0"/>
    <m/>
    <m/>
    <s v="HEATER"/>
    <m/>
    <s v="S1"/>
    <s v="U285-AS-13MK601-1"/>
    <s v="13MK601-1(5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2"/>
    <x v="0"/>
    <s v="Shipment 1 B-10124 Fired Proces Heater"/>
    <x v="0"/>
    <x v="0"/>
    <m/>
    <m/>
    <s v="HEATER"/>
    <m/>
    <s v="S1"/>
    <s v="U285-AS-13MK601-1"/>
    <s v="13MK601-1(6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3"/>
    <x v="0"/>
    <s v="Shipment 1 B-10124 Fired Proces Heater"/>
    <x v="0"/>
    <x v="0"/>
    <m/>
    <m/>
    <s v="HEATER"/>
    <m/>
    <s v="S1"/>
    <s v="U285-AS-13MK601-1"/>
    <s v="13MK601-1(7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4"/>
    <x v="0"/>
    <s v="Shipment 1 B-10124 Fired Proces Heater"/>
    <x v="0"/>
    <x v="0"/>
    <m/>
    <m/>
    <s v="HEATER"/>
    <m/>
    <s v="S1"/>
    <s v="U285-AS-13MK601-1"/>
    <s v="13MK601-1(8/8)"/>
    <s v="FLUE GAS DUCT BELOW CONVECTION"/>
    <n v="1"/>
    <n v="33.262500000000003"/>
    <n v="33.262500000000003"/>
    <s v="(1630x60x203)"/>
    <m/>
    <m/>
    <m/>
    <m/>
    <m/>
    <m/>
    <m/>
    <m/>
    <m/>
    <m/>
    <m/>
    <m/>
    <m/>
    <n v="0"/>
    <n v="33.262500000000003"/>
    <m/>
    <m/>
    <n v="0"/>
    <m/>
    <m/>
    <n v="0"/>
    <m/>
    <m/>
    <n v="0"/>
    <m/>
    <m/>
    <n v="0"/>
    <m/>
    <m/>
    <m/>
    <n v="0"/>
    <m/>
    <m/>
    <n v="0"/>
    <s v="PAC"/>
    <m/>
  </r>
  <r>
    <n v="565"/>
    <x v="0"/>
    <s v="Shipment 1 B-10124 Fired Proces Heater"/>
    <x v="0"/>
    <x v="0"/>
    <m/>
    <m/>
    <s v="HEATER"/>
    <m/>
    <s v="S1"/>
    <s v="U285-AS-13MK603-3"/>
    <s v="13MK603-3(1/2)"/>
    <s v="FLUE GAS DUCT BELOW CONVECTION"/>
    <n v="1"/>
    <n v="51.05"/>
    <n v="51.05"/>
    <s v="(321x371x580)"/>
    <m/>
    <m/>
    <m/>
    <m/>
    <m/>
    <m/>
    <m/>
    <m/>
    <m/>
    <m/>
    <m/>
    <m/>
    <m/>
    <n v="0"/>
    <n v="51.05"/>
    <m/>
    <m/>
    <n v="0"/>
    <m/>
    <m/>
    <n v="0"/>
    <m/>
    <m/>
    <n v="0"/>
    <m/>
    <m/>
    <n v="0"/>
    <m/>
    <m/>
    <m/>
    <n v="0"/>
    <m/>
    <m/>
    <n v="0"/>
    <s v="PAC"/>
    <m/>
  </r>
  <r>
    <n v="566"/>
    <x v="0"/>
    <s v="Shipment 1 B-10124 Fired Proces Heater"/>
    <x v="0"/>
    <x v="0"/>
    <m/>
    <m/>
    <s v="HEATER"/>
    <m/>
    <s v="S1"/>
    <s v="U285-AS-13MK603-3"/>
    <s v="13MK603-3(2/2)"/>
    <s v="FLUE GAS DUCT BELOW CONVECTION"/>
    <n v="1"/>
    <n v="51.05"/>
    <n v="51.05"/>
    <s v="(321x371x580)"/>
    <m/>
    <m/>
    <m/>
    <m/>
    <m/>
    <m/>
    <m/>
    <m/>
    <m/>
    <m/>
    <m/>
    <m/>
    <m/>
    <n v="0"/>
    <n v="51.05"/>
    <m/>
    <m/>
    <n v="0"/>
    <m/>
    <m/>
    <n v="0"/>
    <m/>
    <m/>
    <n v="0"/>
    <m/>
    <m/>
    <n v="0"/>
    <m/>
    <m/>
    <m/>
    <n v="0"/>
    <m/>
    <m/>
    <n v="0"/>
    <s v="PAC"/>
    <m/>
  </r>
  <r>
    <n v="567"/>
    <x v="0"/>
    <s v="Shipment 1 B-10124 Fired Proces Heater"/>
    <x v="0"/>
    <x v="0"/>
    <m/>
    <m/>
    <s v="HEATER"/>
    <m/>
    <s v="S2"/>
    <s v="U285-AS-13MK700-1"/>
    <s v="13MK700-1"/>
    <s v="COMMON AIR DUCT(1/7)"/>
    <n v="1"/>
    <n v="2149"/>
    <n v="2149"/>
    <s v="(1959x6797x1783)"/>
    <m/>
    <m/>
    <m/>
    <m/>
    <m/>
    <m/>
    <m/>
    <m/>
    <m/>
    <m/>
    <m/>
    <m/>
    <m/>
    <n v="0"/>
    <n v="2149"/>
    <m/>
    <m/>
    <n v="0"/>
    <m/>
    <m/>
    <n v="0"/>
    <m/>
    <m/>
    <n v="0"/>
    <m/>
    <m/>
    <n v="0"/>
    <m/>
    <m/>
    <m/>
    <n v="0"/>
    <m/>
    <m/>
    <n v="0"/>
    <s v="PAC"/>
    <m/>
  </r>
  <r>
    <n v="568"/>
    <x v="0"/>
    <s v="Shipment 1 B-10124 Fired Proces Heater"/>
    <x v="0"/>
    <x v="0"/>
    <m/>
    <m/>
    <s v="HEATER"/>
    <m/>
    <s v="S2"/>
    <s v="U285-AS-13MK700A-1"/>
    <s v="13MK700A-1"/>
    <s v="COMMON AIR DUCT (1/6)"/>
    <n v="1"/>
    <n v="933.9"/>
    <n v="933.9"/>
    <s v="(1076x2426x3733)"/>
    <m/>
    <m/>
    <m/>
    <m/>
    <m/>
    <m/>
    <m/>
    <m/>
    <m/>
    <m/>
    <m/>
    <m/>
    <m/>
    <n v="0"/>
    <n v="933.9"/>
    <m/>
    <m/>
    <n v="0"/>
    <m/>
    <m/>
    <n v="0"/>
    <m/>
    <m/>
    <n v="0"/>
    <m/>
    <m/>
    <n v="0"/>
    <m/>
    <m/>
    <m/>
    <n v="0"/>
    <m/>
    <m/>
    <n v="0"/>
    <s v="PAC"/>
    <m/>
  </r>
  <r>
    <n v="569"/>
    <x v="0"/>
    <s v="Shipment 1 B-10124 Fired Proces Heater"/>
    <x v="0"/>
    <x v="0"/>
    <m/>
    <m/>
    <s v="HEATER"/>
    <m/>
    <s v="S2"/>
    <s v="U285-AS-13MK701-1"/>
    <s v="13MK701-1"/>
    <s v="COMMON AIR DUCT (1/5)"/>
    <n v="1"/>
    <n v="1459.4"/>
    <n v="1459.4"/>
    <s v="(1909x5400x1745)"/>
    <m/>
    <m/>
    <m/>
    <m/>
    <m/>
    <m/>
    <m/>
    <m/>
    <m/>
    <m/>
    <m/>
    <m/>
    <m/>
    <n v="0"/>
    <n v="1459.4"/>
    <m/>
    <m/>
    <n v="0"/>
    <m/>
    <m/>
    <n v="0"/>
    <m/>
    <m/>
    <n v="0"/>
    <m/>
    <m/>
    <n v="0"/>
    <m/>
    <m/>
    <m/>
    <n v="0"/>
    <m/>
    <m/>
    <n v="0"/>
    <s v="PAC"/>
    <m/>
  </r>
  <r>
    <n v="570"/>
    <x v="0"/>
    <s v="Shipment 1 B-10124 Fired Proces Heater"/>
    <x v="0"/>
    <x v="0"/>
    <m/>
    <m/>
    <s v="HEATER"/>
    <m/>
    <s v="S2"/>
    <s v="U285-AS-13MK702-1"/>
    <s v="13MK702-1"/>
    <s v="COMMON AIR DUCT(1/2)"/>
    <n v="1"/>
    <n v="724.1"/>
    <n v="724.1"/>
    <s v="(1532x2353x2817)"/>
    <m/>
    <m/>
    <m/>
    <m/>
    <m/>
    <m/>
    <m/>
    <m/>
    <m/>
    <m/>
    <m/>
    <m/>
    <m/>
    <n v="0"/>
    <n v="724.1"/>
    <m/>
    <m/>
    <n v="0"/>
    <m/>
    <m/>
    <n v="0"/>
    <m/>
    <m/>
    <n v="0"/>
    <m/>
    <m/>
    <n v="0"/>
    <m/>
    <m/>
    <m/>
    <n v="0"/>
    <m/>
    <m/>
    <n v="0"/>
    <s v="PAC"/>
    <m/>
  </r>
  <r>
    <n v="571"/>
    <x v="0"/>
    <s v="Shipment 1 B-10124 Fired Proces Heater"/>
    <x v="0"/>
    <x v="0"/>
    <m/>
    <m/>
    <s v="HEATER"/>
    <m/>
    <s v="S2"/>
    <s v="U285-AS-13MK703-1"/>
    <s v="13MK703-1"/>
    <s v="COMMON AIR DUCT(1/2)"/>
    <n v="1"/>
    <n v="794.6"/>
    <n v="794.6"/>
    <s v="(1477x2280x3236)"/>
    <m/>
    <m/>
    <m/>
    <m/>
    <m/>
    <m/>
    <m/>
    <m/>
    <m/>
    <m/>
    <m/>
    <m/>
    <m/>
    <n v="0"/>
    <n v="794.6"/>
    <m/>
    <m/>
    <n v="0"/>
    <m/>
    <m/>
    <n v="0"/>
    <m/>
    <m/>
    <n v="0"/>
    <m/>
    <m/>
    <n v="0"/>
    <m/>
    <m/>
    <m/>
    <n v="0"/>
    <m/>
    <m/>
    <n v="0"/>
    <s v="PAC"/>
    <m/>
  </r>
  <r>
    <n v="572"/>
    <x v="0"/>
    <s v="Shipment 1 B-10124 Fired Proces Heater"/>
    <x v="0"/>
    <x v="0"/>
    <m/>
    <m/>
    <s v="HEATER"/>
    <m/>
    <s v="S2"/>
    <s v="U285-AS-13MK704-1"/>
    <s v="13MK704-1"/>
    <s v="COMMON AIR DUCT (1/3)"/>
    <n v="1"/>
    <n v="196"/>
    <n v="196"/>
    <s v="(1278x978x938)"/>
    <m/>
    <m/>
    <m/>
    <m/>
    <m/>
    <m/>
    <m/>
    <m/>
    <m/>
    <m/>
    <m/>
    <m/>
    <m/>
    <n v="0"/>
    <n v="196"/>
    <m/>
    <m/>
    <n v="0"/>
    <m/>
    <m/>
    <n v="0"/>
    <m/>
    <m/>
    <n v="0"/>
    <m/>
    <m/>
    <n v="0"/>
    <m/>
    <m/>
    <m/>
    <n v="0"/>
    <m/>
    <m/>
    <n v="0"/>
    <s v="PAC"/>
    <m/>
  </r>
  <r>
    <n v="573"/>
    <x v="0"/>
    <s v="Shipment 1 B-10124 Fired Proces Heater"/>
    <x v="0"/>
    <x v="0"/>
    <m/>
    <m/>
    <s v="HEATER"/>
    <m/>
    <s v="S2"/>
    <s v="U285-AS-13MK705-1"/>
    <s v="13MK705-1"/>
    <s v="COMMON AIR DUCT(1/2)"/>
    <n v="1"/>
    <n v="501.5"/>
    <n v="501.5"/>
    <s v="(1220x2866x1469)"/>
    <m/>
    <m/>
    <m/>
    <m/>
    <m/>
    <m/>
    <m/>
    <m/>
    <m/>
    <m/>
    <m/>
    <m/>
    <m/>
    <n v="0"/>
    <n v="501.5"/>
    <m/>
    <m/>
    <n v="0"/>
    <m/>
    <m/>
    <n v="0"/>
    <m/>
    <m/>
    <n v="0"/>
    <m/>
    <m/>
    <n v="0"/>
    <m/>
    <m/>
    <m/>
    <n v="0"/>
    <m/>
    <m/>
    <n v="0"/>
    <s v="PAC"/>
    <m/>
  </r>
  <r>
    <n v="574"/>
    <x v="0"/>
    <s v="Shipment 1 B-10124 Fired Proces Heater"/>
    <x v="0"/>
    <x v="0"/>
    <m/>
    <m/>
    <s v="HEATER"/>
    <m/>
    <s v="S2"/>
    <s v="U285-AS-13MK706A-1"/>
    <s v="13MK706A-1"/>
    <s v="COMMON AIR DUCT(1/3)"/>
    <n v="1"/>
    <n v="740.59999999999991"/>
    <n v="740.59999999999991"/>
    <s v="(985x978x4268)"/>
    <m/>
    <m/>
    <m/>
    <m/>
    <m/>
    <m/>
    <m/>
    <m/>
    <m/>
    <m/>
    <m/>
    <m/>
    <m/>
    <n v="0"/>
    <n v="740.59999999999991"/>
    <m/>
    <m/>
    <n v="0"/>
    <m/>
    <m/>
    <n v="0"/>
    <m/>
    <m/>
    <n v="0"/>
    <m/>
    <m/>
    <n v="0"/>
    <m/>
    <m/>
    <m/>
    <n v="0"/>
    <m/>
    <m/>
    <n v="0"/>
    <s v="PAC"/>
    <m/>
  </r>
  <r>
    <n v="575"/>
    <x v="0"/>
    <s v="Shipment 1 B-10124 Fired Proces Heater"/>
    <x v="0"/>
    <x v="0"/>
    <m/>
    <m/>
    <s v="HEATER"/>
    <m/>
    <s v="S2"/>
    <s v="U285-AS-13MK706B-1"/>
    <s v="13MK706B-1"/>
    <s v="COMMON AIR DUCT (1/4)"/>
    <n v="1"/>
    <n v="1137.4000000000001"/>
    <n v="1137.4000000000001"/>
    <s v="(1235x1235x5639)"/>
    <m/>
    <m/>
    <m/>
    <m/>
    <m/>
    <m/>
    <m/>
    <m/>
    <m/>
    <m/>
    <m/>
    <m/>
    <m/>
    <n v="0"/>
    <n v="1137.4000000000001"/>
    <m/>
    <m/>
    <n v="0"/>
    <m/>
    <m/>
    <n v="0"/>
    <m/>
    <m/>
    <n v="0"/>
    <m/>
    <m/>
    <n v="0"/>
    <m/>
    <m/>
    <m/>
    <n v="0"/>
    <m/>
    <m/>
    <n v="0"/>
    <s v="PAC"/>
    <m/>
  </r>
  <r>
    <n v="576"/>
    <x v="0"/>
    <s v="Shipment 1 B-10124 Fired Proces Heater"/>
    <x v="0"/>
    <x v="0"/>
    <m/>
    <m/>
    <s v="HEATER"/>
    <m/>
    <s v="S2"/>
    <s v="U285-AS-13MK707A-1"/>
    <s v="13MK707A-1"/>
    <s v="AIR DUCT FROM VENTURI"/>
    <n v="1"/>
    <n v="185.40000000000003"/>
    <n v="185.40000000000003"/>
    <s v="(1082x799x1266)"/>
    <m/>
    <m/>
    <m/>
    <m/>
    <m/>
    <m/>
    <m/>
    <m/>
    <m/>
    <m/>
    <m/>
    <m/>
    <m/>
    <n v="0"/>
    <n v="185.40000000000003"/>
    <m/>
    <m/>
    <n v="0"/>
    <m/>
    <m/>
    <n v="0"/>
    <m/>
    <m/>
    <n v="0"/>
    <m/>
    <m/>
    <n v="0"/>
    <m/>
    <m/>
    <m/>
    <n v="0"/>
    <m/>
    <m/>
    <n v="0"/>
    <s v="PAC"/>
    <m/>
  </r>
  <r>
    <n v="577"/>
    <x v="0"/>
    <s v="Shipment 1 B-10124 Fired Proces Heater"/>
    <x v="0"/>
    <x v="0"/>
    <m/>
    <m/>
    <s v="HEATER"/>
    <m/>
    <s v="S2"/>
    <s v="U285-AS-13MK707B-1"/>
    <s v="13MK707B-1"/>
    <s v="AIR DUCT FROM VENTURI"/>
    <n v="1"/>
    <n v="268"/>
    <n v="268"/>
    <s v="(1318x899x1525)"/>
    <m/>
    <m/>
    <m/>
    <m/>
    <m/>
    <m/>
    <m/>
    <m/>
    <m/>
    <m/>
    <m/>
    <m/>
    <m/>
    <n v="0"/>
    <n v="268"/>
    <m/>
    <m/>
    <n v="0"/>
    <m/>
    <m/>
    <n v="0"/>
    <m/>
    <m/>
    <n v="0"/>
    <m/>
    <m/>
    <n v="0"/>
    <m/>
    <m/>
    <m/>
    <n v="0"/>
    <m/>
    <m/>
    <n v="0"/>
    <s v="PAC"/>
    <m/>
  </r>
  <r>
    <n v="578"/>
    <x v="0"/>
    <s v="Shipment 1 B-10124 Fired Proces Heater"/>
    <x v="0"/>
    <x v="0"/>
    <m/>
    <m/>
    <s v="HEATER"/>
    <m/>
    <s v="S2"/>
    <s v="U285-AS-13MK708-1"/>
    <s v="13MK708-1"/>
    <s v="AIR DUCT FROM VENTURI(1/5)"/>
    <n v="1"/>
    <n v="900.9"/>
    <n v="900.9"/>
    <s v="(1100x1202x4978)"/>
    <m/>
    <m/>
    <m/>
    <m/>
    <m/>
    <m/>
    <m/>
    <m/>
    <m/>
    <m/>
    <m/>
    <m/>
    <m/>
    <n v="0"/>
    <n v="900.9"/>
    <m/>
    <m/>
    <n v="0"/>
    <m/>
    <m/>
    <n v="0"/>
    <m/>
    <m/>
    <n v="0"/>
    <m/>
    <m/>
    <n v="0"/>
    <m/>
    <m/>
    <m/>
    <n v="0"/>
    <m/>
    <m/>
    <n v="0"/>
    <s v="PAC"/>
    <m/>
  </r>
  <r>
    <n v="579"/>
    <x v="0"/>
    <s v="Shipment 1 B-10124 Fired Proces Heater"/>
    <x v="0"/>
    <x v="0"/>
    <m/>
    <m/>
    <s v="HEATER"/>
    <m/>
    <s v="S2"/>
    <s v="U285-AS-13MK709-1"/>
    <s v="13MK709-1"/>
    <s v="AIR DUCT FROM VENTURI(1/6)"/>
    <n v="1"/>
    <n v="533.79999999999995"/>
    <n v="533.79999999999995"/>
    <s v="(874x825x4835)"/>
    <m/>
    <m/>
    <m/>
    <m/>
    <m/>
    <m/>
    <m/>
    <m/>
    <m/>
    <m/>
    <m/>
    <m/>
    <m/>
    <n v="0"/>
    <n v="533.79999999999995"/>
    <m/>
    <m/>
    <n v="0"/>
    <m/>
    <m/>
    <n v="0"/>
    <m/>
    <m/>
    <n v="0"/>
    <m/>
    <m/>
    <n v="0"/>
    <m/>
    <m/>
    <m/>
    <n v="0"/>
    <m/>
    <m/>
    <n v="0"/>
    <s v="PAC"/>
    <m/>
  </r>
  <r>
    <n v="580"/>
    <x v="0"/>
    <s v="Shipment 1 B-10124 Fired Proces Heater"/>
    <x v="0"/>
    <x v="0"/>
    <m/>
    <m/>
    <s v="HEATER"/>
    <m/>
    <s v="S2"/>
    <s v="U285-AS-13MK710-1"/>
    <s v="13MK710-1"/>
    <s v="AIR DUCT FROM VENTURI(1/7)"/>
    <n v="1"/>
    <n v="1146.5"/>
    <n v="1146.5"/>
    <s v="(1350x1461x4943)"/>
    <m/>
    <m/>
    <m/>
    <m/>
    <m/>
    <m/>
    <m/>
    <m/>
    <m/>
    <m/>
    <m/>
    <m/>
    <m/>
    <n v="0"/>
    <n v="1146.5"/>
    <m/>
    <m/>
    <n v="0"/>
    <m/>
    <m/>
    <n v="0"/>
    <m/>
    <m/>
    <n v="0"/>
    <m/>
    <m/>
    <n v="0"/>
    <m/>
    <m/>
    <m/>
    <n v="0"/>
    <m/>
    <m/>
    <n v="0"/>
    <s v="PAC"/>
    <m/>
  </r>
  <r>
    <n v="581"/>
    <x v="0"/>
    <s v="Shipment 1 B-10124 Fired Proces Heater"/>
    <x v="0"/>
    <x v="0"/>
    <m/>
    <m/>
    <s v="HEATER"/>
    <m/>
    <s v="S2"/>
    <s v="U285-AS-13MK711-1"/>
    <s v="13MK711-1"/>
    <s v="AIR DUCT FROM VENTURI(1/3)"/>
    <n v="1"/>
    <n v="638.20000000000005"/>
    <n v="638.20000000000005"/>
    <s v="(1010x984x3658)"/>
    <m/>
    <m/>
    <m/>
    <m/>
    <m/>
    <m/>
    <m/>
    <m/>
    <m/>
    <m/>
    <m/>
    <m/>
    <m/>
    <n v="0"/>
    <n v="638.20000000000005"/>
    <m/>
    <m/>
    <n v="0"/>
    <m/>
    <m/>
    <n v="0"/>
    <m/>
    <m/>
    <n v="0"/>
    <m/>
    <m/>
    <n v="0"/>
    <m/>
    <m/>
    <m/>
    <n v="0"/>
    <m/>
    <m/>
    <n v="0"/>
    <s v="PAC"/>
    <m/>
  </r>
  <r>
    <n v="582"/>
    <x v="0"/>
    <s v="Shipment 1 B-10124 Fired Proces Heater"/>
    <x v="0"/>
    <x v="0"/>
    <m/>
    <m/>
    <s v="HEATER"/>
    <m/>
    <s v="S2"/>
    <s v="U285-AS-13MK712-1"/>
    <s v="13MK712-1"/>
    <s v="AIR DUCT FROM VENTURI(1/6)"/>
    <n v="1"/>
    <n v="525.09999999999991"/>
    <n v="525.09999999999991"/>
    <s v="(975x984x3658)"/>
    <m/>
    <m/>
    <m/>
    <m/>
    <m/>
    <m/>
    <m/>
    <m/>
    <m/>
    <m/>
    <m/>
    <m/>
    <m/>
    <n v="0"/>
    <n v="525.09999999999991"/>
    <m/>
    <m/>
    <n v="0"/>
    <m/>
    <m/>
    <n v="0"/>
    <m/>
    <m/>
    <n v="0"/>
    <m/>
    <m/>
    <n v="0"/>
    <m/>
    <m/>
    <m/>
    <n v="0"/>
    <m/>
    <m/>
    <n v="0"/>
    <s v="PAC"/>
    <m/>
  </r>
  <r>
    <n v="583"/>
    <x v="0"/>
    <s v="Shipment 1 B-10124 Fired Proces Heater"/>
    <x v="0"/>
    <x v="0"/>
    <m/>
    <m/>
    <s v="HEATER"/>
    <m/>
    <s v="S2"/>
    <s v="U285-AS-13MK713-1"/>
    <s v="13MK713-1"/>
    <s v="AIR DUCT FROM VENTURI(1/7)"/>
    <n v="1"/>
    <n v="403.29999999999995"/>
    <n v="403.29999999999995"/>
    <s v="(855x774x4717)"/>
    <m/>
    <m/>
    <m/>
    <m/>
    <m/>
    <m/>
    <m/>
    <m/>
    <m/>
    <m/>
    <m/>
    <m/>
    <m/>
    <n v="0"/>
    <n v="403.29999999999995"/>
    <m/>
    <m/>
    <n v="0"/>
    <m/>
    <m/>
    <n v="0"/>
    <m/>
    <m/>
    <n v="0"/>
    <m/>
    <m/>
    <n v="0"/>
    <m/>
    <m/>
    <m/>
    <n v="0"/>
    <m/>
    <m/>
    <n v="0"/>
    <s v="PAC"/>
    <m/>
  </r>
  <r>
    <n v="584"/>
    <x v="0"/>
    <s v="Shipment 1 B-10124 Fired Proces Heater"/>
    <x v="0"/>
    <x v="0"/>
    <m/>
    <m/>
    <s v="HEATER"/>
    <m/>
    <s v="S2"/>
    <s v="U285-AS-13MK714-1"/>
    <s v="13MK714-1"/>
    <s v="AIR DUCT FROM VENTURI UNDER FLOOR"/>
    <n v="1"/>
    <n v="851.4"/>
    <n v="851.4"/>
    <s v="(575x10865x1119)"/>
    <m/>
    <m/>
    <m/>
    <m/>
    <m/>
    <m/>
    <m/>
    <m/>
    <m/>
    <m/>
    <m/>
    <m/>
    <m/>
    <n v="0"/>
    <n v="851.4"/>
    <m/>
    <m/>
    <n v="0"/>
    <m/>
    <m/>
    <n v="0"/>
    <m/>
    <m/>
    <n v="0"/>
    <m/>
    <m/>
    <n v="0"/>
    <m/>
    <m/>
    <m/>
    <n v="0"/>
    <m/>
    <m/>
    <n v="0"/>
    <s v="PAC"/>
    <m/>
  </r>
  <r>
    <n v="585"/>
    <x v="0"/>
    <s v="Shipment 1 B-10124 Fired Proces Heater"/>
    <x v="0"/>
    <x v="0"/>
    <m/>
    <m/>
    <s v="HEATER"/>
    <m/>
    <s v="S2"/>
    <s v="U285-AS-13MK714A-1"/>
    <s v="13MK714A-1(1/4)"/>
    <s v="AIR DUCT FROM VENTURI UNDER FLOOR"/>
    <n v="1"/>
    <n v="61.775000000000006"/>
    <n v="61.775000000000006"/>
    <s v="(390x897x655)"/>
    <m/>
    <m/>
    <m/>
    <m/>
    <m/>
    <m/>
    <m/>
    <m/>
    <m/>
    <m/>
    <m/>
    <m/>
    <m/>
    <n v="0"/>
    <n v="61.775000000000006"/>
    <m/>
    <m/>
    <n v="0"/>
    <m/>
    <m/>
    <n v="0"/>
    <m/>
    <m/>
    <n v="0"/>
    <m/>
    <m/>
    <n v="0"/>
    <m/>
    <m/>
    <m/>
    <n v="0"/>
    <m/>
    <m/>
    <n v="0"/>
    <s v="PAC"/>
    <m/>
  </r>
  <r>
    <n v="586"/>
    <x v="0"/>
    <s v="Shipment 1 B-10124 Fired Proces Heater"/>
    <x v="0"/>
    <x v="0"/>
    <m/>
    <m/>
    <s v="HEATER"/>
    <m/>
    <s v="S2"/>
    <s v="U285-AS-13MK714A-1"/>
    <s v="13MK714A-1(2/4)"/>
    <s v="AIR DUCT FROM VENTURI UNDER FLOOR"/>
    <n v="1"/>
    <n v="61.775000000000006"/>
    <n v="61.775000000000006"/>
    <s v="(390x897x655)"/>
    <m/>
    <m/>
    <m/>
    <m/>
    <m/>
    <m/>
    <m/>
    <m/>
    <m/>
    <m/>
    <m/>
    <m/>
    <m/>
    <n v="0"/>
    <n v="61.775000000000006"/>
    <m/>
    <m/>
    <n v="0"/>
    <m/>
    <m/>
    <n v="0"/>
    <m/>
    <m/>
    <n v="0"/>
    <m/>
    <m/>
    <n v="0"/>
    <m/>
    <m/>
    <m/>
    <n v="0"/>
    <m/>
    <m/>
    <n v="0"/>
    <s v="PAC"/>
    <m/>
  </r>
  <r>
    <n v="587"/>
    <x v="0"/>
    <s v="Shipment 1 B-10124 Fired Proces Heater"/>
    <x v="0"/>
    <x v="0"/>
    <m/>
    <m/>
    <s v="HEATER"/>
    <m/>
    <s v="S2"/>
    <s v="U285-AS-13MK714A-1"/>
    <s v="13MK714A-1(3/4)"/>
    <s v="AIR DUCT FROM VENTURI UNDER FLOOR"/>
    <n v="1"/>
    <n v="61.775000000000006"/>
    <n v="61.775000000000006"/>
    <s v="(390x897x655)"/>
    <m/>
    <m/>
    <m/>
    <m/>
    <m/>
    <m/>
    <m/>
    <m/>
    <m/>
    <m/>
    <m/>
    <m/>
    <m/>
    <n v="0"/>
    <n v="61.775000000000006"/>
    <m/>
    <m/>
    <n v="0"/>
    <m/>
    <m/>
    <n v="0"/>
    <m/>
    <m/>
    <n v="0"/>
    <m/>
    <m/>
    <n v="0"/>
    <m/>
    <m/>
    <m/>
    <n v="0"/>
    <m/>
    <m/>
    <n v="0"/>
    <s v="PAC"/>
    <m/>
  </r>
  <r>
    <n v="588"/>
    <x v="0"/>
    <s v="Shipment 1 B-10124 Fired Proces Heater"/>
    <x v="0"/>
    <x v="0"/>
    <m/>
    <m/>
    <s v="HEATER"/>
    <m/>
    <s v="S2"/>
    <s v="U285-AS-13MK714A-1"/>
    <s v="13MK714A-1(4/4)"/>
    <s v="AIR DUCT FROM VENTURI UNDER FLOOR"/>
    <n v="1"/>
    <n v="61.775000000000006"/>
    <n v="61.775000000000006"/>
    <s v="(390x897x655)"/>
    <m/>
    <m/>
    <m/>
    <m/>
    <m/>
    <m/>
    <m/>
    <m/>
    <m/>
    <m/>
    <m/>
    <m/>
    <m/>
    <n v="0"/>
    <n v="61.775000000000006"/>
    <m/>
    <m/>
    <n v="0"/>
    <m/>
    <m/>
    <n v="0"/>
    <m/>
    <m/>
    <n v="0"/>
    <m/>
    <m/>
    <n v="0"/>
    <m/>
    <m/>
    <m/>
    <n v="0"/>
    <m/>
    <m/>
    <n v="0"/>
    <s v="PAC"/>
    <m/>
  </r>
  <r>
    <n v="589"/>
    <x v="0"/>
    <s v="Shipment 1 B-10124 Fired Proces Heater"/>
    <x v="0"/>
    <x v="0"/>
    <m/>
    <m/>
    <s v="HEATER"/>
    <m/>
    <s v="S2"/>
    <s v="U285-AS-13MK714B-1"/>
    <s v="13MK714B-1(1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0"/>
    <x v="0"/>
    <s v="Shipment 1 B-10124 Fired Proces Heater"/>
    <x v="0"/>
    <x v="0"/>
    <m/>
    <m/>
    <s v="HEATER"/>
    <m/>
    <s v="S2"/>
    <s v="U285-AS-13MK714B-1"/>
    <s v="13MK714B-1(2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1"/>
    <x v="0"/>
    <s v="Shipment 1 B-10124 Fired Proces Heater"/>
    <x v="0"/>
    <x v="0"/>
    <m/>
    <m/>
    <s v="HEATER"/>
    <m/>
    <s v="S2"/>
    <s v="U285-AS-13MK714B-1"/>
    <s v="13MK714B-1(3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2"/>
    <x v="0"/>
    <s v="Shipment 1 B-10124 Fired Proces Heater"/>
    <x v="0"/>
    <x v="0"/>
    <m/>
    <m/>
    <s v="HEATER"/>
    <m/>
    <s v="S2"/>
    <s v="U285-AS-13MK714B-1"/>
    <s v="13MK714B-1(4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3"/>
    <x v="0"/>
    <s v="Shipment 1 B-10124 Fired Proces Heater"/>
    <x v="0"/>
    <x v="0"/>
    <m/>
    <m/>
    <s v="HEATER"/>
    <m/>
    <s v="S2"/>
    <s v="U285-AS-13MK714B-1"/>
    <s v="13MK714B-1(5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4"/>
    <x v="0"/>
    <s v="Shipment 1 B-10124 Fired Proces Heater"/>
    <x v="0"/>
    <x v="0"/>
    <m/>
    <m/>
    <s v="HEATER"/>
    <m/>
    <s v="S2"/>
    <s v="U285-AS-13MK714B-1"/>
    <s v="13MK714B-1(6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5"/>
    <x v="0"/>
    <s v="Shipment 1 B-10124 Fired Proces Heater"/>
    <x v="0"/>
    <x v="0"/>
    <m/>
    <m/>
    <s v="HEATER"/>
    <m/>
    <s v="S2"/>
    <s v="U285-AS-13MK714B-1"/>
    <s v="13MK714B-1(7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6"/>
    <x v="0"/>
    <s v="Shipment 1 B-10124 Fired Proces Heater"/>
    <x v="0"/>
    <x v="0"/>
    <m/>
    <m/>
    <s v="HEATER"/>
    <m/>
    <s v="S2"/>
    <s v="U285-AS-13MK714B-1"/>
    <s v="13MK714B-1(8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7"/>
    <x v="0"/>
    <s v="Shipment 1 B-10124 Fired Proces Heater"/>
    <x v="0"/>
    <x v="0"/>
    <m/>
    <m/>
    <s v="HEATER"/>
    <m/>
    <s v="S2"/>
    <s v="U285-AS-13MK714B-1"/>
    <s v="13MK714B-1(9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8"/>
    <x v="0"/>
    <s v="Shipment 1 B-10124 Fired Proces Heater"/>
    <x v="0"/>
    <x v="0"/>
    <m/>
    <m/>
    <s v="HEATER"/>
    <m/>
    <s v="S2"/>
    <s v="U285-AS-13MK714B-1"/>
    <s v="13MK714B-1(10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599"/>
    <x v="0"/>
    <s v="Shipment 1 B-10124 Fired Proces Heater"/>
    <x v="0"/>
    <x v="0"/>
    <m/>
    <m/>
    <s v="HEATER"/>
    <m/>
    <s v="S2"/>
    <s v="U285-AS-13MK714B-1"/>
    <s v="13MK714B-1(11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0"/>
    <x v="0"/>
    <s v="Shipment 1 B-10124 Fired Proces Heater"/>
    <x v="0"/>
    <x v="0"/>
    <m/>
    <m/>
    <s v="HEATER"/>
    <m/>
    <s v="S2"/>
    <s v="U285-AS-13MK714B-1"/>
    <s v="13MK714B-1(12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1"/>
    <x v="0"/>
    <s v="Shipment 1 B-10124 Fired Proces Heater"/>
    <x v="0"/>
    <x v="0"/>
    <m/>
    <m/>
    <s v="HEATER"/>
    <m/>
    <s v="S2"/>
    <s v="U285-AS-13MK714B-1"/>
    <s v="13MK714B-1(13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2"/>
    <x v="0"/>
    <s v="Shipment 1 B-10124 Fired Proces Heater"/>
    <x v="0"/>
    <x v="0"/>
    <m/>
    <m/>
    <s v="HEATER"/>
    <m/>
    <s v="S2"/>
    <s v="U285-AS-13MK714B-1"/>
    <s v="13MK714B-1(14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3"/>
    <x v="0"/>
    <s v="Shipment 1 B-10124 Fired Proces Heater"/>
    <x v="0"/>
    <x v="0"/>
    <m/>
    <m/>
    <s v="HEATER"/>
    <m/>
    <s v="S2"/>
    <s v="U285-AS-13MK714B-1"/>
    <s v="13MK714B-1(15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4"/>
    <x v="0"/>
    <s v="Shipment 1 B-10124 Fired Proces Heater"/>
    <x v="0"/>
    <x v="0"/>
    <m/>
    <m/>
    <s v="HEATER"/>
    <m/>
    <s v="S2"/>
    <s v="U285-AS-13MK714B-1"/>
    <s v="13MK714B-1(16/16)"/>
    <s v="AIR DUCT FROM VENTURI UNDER FLOOR"/>
    <n v="1"/>
    <n v="46.206250000000004"/>
    <n v="46.206250000000004"/>
    <s v="(595x639x520)"/>
    <m/>
    <m/>
    <m/>
    <m/>
    <m/>
    <m/>
    <m/>
    <m/>
    <m/>
    <m/>
    <m/>
    <m/>
    <m/>
    <n v="0"/>
    <n v="46.206250000000004"/>
    <m/>
    <m/>
    <n v="0"/>
    <m/>
    <m/>
    <n v="0"/>
    <m/>
    <m/>
    <n v="0"/>
    <m/>
    <m/>
    <n v="0"/>
    <m/>
    <m/>
    <m/>
    <n v="0"/>
    <m/>
    <m/>
    <n v="0"/>
    <s v="PAC"/>
    <m/>
  </r>
  <r>
    <n v="605"/>
    <x v="0"/>
    <s v="Shipment 1 B-10124 Fired Proces Heater"/>
    <x v="0"/>
    <x v="0"/>
    <m/>
    <m/>
    <s v="HEATER"/>
    <m/>
    <s v="S2"/>
    <s v="U285-AS-13MK714C-1"/>
    <s v="13MK714C-1"/>
    <s v="AIR DUCT FROM VENTURI UNDER FLOOR"/>
    <n v="1"/>
    <n v="116.1"/>
    <n v="116.1"/>
    <s v="(1575x1589x655)"/>
    <m/>
    <m/>
    <m/>
    <m/>
    <m/>
    <m/>
    <m/>
    <m/>
    <m/>
    <m/>
    <m/>
    <m/>
    <m/>
    <n v="0"/>
    <n v="116.1"/>
    <m/>
    <m/>
    <n v="0"/>
    <m/>
    <m/>
    <n v="0"/>
    <m/>
    <m/>
    <n v="0"/>
    <m/>
    <m/>
    <n v="0"/>
    <m/>
    <m/>
    <m/>
    <n v="0"/>
    <m/>
    <m/>
    <n v="0"/>
    <s v="PAC"/>
    <m/>
  </r>
  <r>
    <n v="606"/>
    <x v="0"/>
    <s v="Shipment 1 B-10124 Fired Proces Heater"/>
    <x v="0"/>
    <x v="0"/>
    <m/>
    <m/>
    <s v="HEATER"/>
    <m/>
    <s v="S2"/>
    <s v="U285-AS-13MK714D-1"/>
    <s v="13MK714D-1(1/4)"/>
    <s v="AIR DUCT FROM VENTURI UNDER FLOOR"/>
    <n v="1"/>
    <n v="46.674999999999997"/>
    <n v="46.674999999999997"/>
    <s v="(450x655x520)"/>
    <m/>
    <m/>
    <m/>
    <m/>
    <m/>
    <m/>
    <m/>
    <m/>
    <m/>
    <m/>
    <m/>
    <m/>
    <m/>
    <n v="0"/>
    <n v="46.674999999999997"/>
    <m/>
    <m/>
    <n v="0"/>
    <m/>
    <m/>
    <n v="0"/>
    <m/>
    <m/>
    <n v="0"/>
    <m/>
    <m/>
    <n v="0"/>
    <m/>
    <m/>
    <m/>
    <n v="0"/>
    <m/>
    <m/>
    <n v="0"/>
    <s v="PAC"/>
    <m/>
  </r>
  <r>
    <n v="607"/>
    <x v="0"/>
    <s v="Shipment 1 B-10124 Fired Proces Heater"/>
    <x v="0"/>
    <x v="0"/>
    <m/>
    <m/>
    <s v="HEATER"/>
    <m/>
    <s v="S2"/>
    <s v="U285-AS-13MK714D-1"/>
    <s v="13MK714D-1(2/4)"/>
    <s v="AIR DUCT FROM VENTURI UNDER FLOOR"/>
    <n v="1"/>
    <n v="46.674999999999997"/>
    <n v="46.674999999999997"/>
    <s v="(450x655x520)"/>
    <m/>
    <m/>
    <m/>
    <m/>
    <m/>
    <m/>
    <m/>
    <m/>
    <m/>
    <m/>
    <m/>
    <m/>
    <m/>
    <n v="0"/>
    <n v="46.674999999999997"/>
    <m/>
    <m/>
    <n v="0"/>
    <m/>
    <m/>
    <n v="0"/>
    <m/>
    <m/>
    <n v="0"/>
    <m/>
    <m/>
    <n v="0"/>
    <m/>
    <m/>
    <m/>
    <n v="0"/>
    <m/>
    <m/>
    <n v="0"/>
    <s v="PAC"/>
    <m/>
  </r>
  <r>
    <n v="608"/>
    <x v="0"/>
    <s v="Shipment 1 B-10124 Fired Proces Heater"/>
    <x v="0"/>
    <x v="0"/>
    <m/>
    <m/>
    <s v="HEATER"/>
    <m/>
    <s v="S2"/>
    <s v="U285-AS-13MK714D-1"/>
    <s v="13MK714D-1(3/4)"/>
    <s v="AIR DUCT FROM VENTURI UNDER FLOOR"/>
    <n v="1"/>
    <n v="46.674999999999997"/>
    <n v="46.674999999999997"/>
    <s v="(450x655x520)"/>
    <m/>
    <m/>
    <m/>
    <m/>
    <m/>
    <m/>
    <m/>
    <m/>
    <m/>
    <m/>
    <m/>
    <m/>
    <m/>
    <n v="0"/>
    <n v="46.674999999999997"/>
    <m/>
    <m/>
    <n v="0"/>
    <m/>
    <m/>
    <n v="0"/>
    <m/>
    <m/>
    <n v="0"/>
    <m/>
    <m/>
    <n v="0"/>
    <m/>
    <m/>
    <m/>
    <n v="0"/>
    <m/>
    <m/>
    <n v="0"/>
    <s v="PAC"/>
    <m/>
  </r>
  <r>
    <n v="609"/>
    <x v="0"/>
    <s v="Shipment 1 B-10124 Fired Proces Heater"/>
    <x v="0"/>
    <x v="0"/>
    <m/>
    <m/>
    <s v="HEATER"/>
    <m/>
    <s v="S2"/>
    <s v="U285-AS-13MK714D-1"/>
    <s v="13MK714D-1(4/4)"/>
    <s v="AIR DUCT FROM VENTURI UNDER FLOOR"/>
    <n v="1"/>
    <n v="46.674999999999997"/>
    <n v="46.674999999999997"/>
    <s v="(450x655x520)"/>
    <m/>
    <m/>
    <m/>
    <m/>
    <m/>
    <m/>
    <m/>
    <m/>
    <m/>
    <m/>
    <m/>
    <m/>
    <m/>
    <n v="0"/>
    <n v="46.674999999999997"/>
    <m/>
    <m/>
    <n v="0"/>
    <m/>
    <m/>
    <n v="0"/>
    <m/>
    <m/>
    <n v="0"/>
    <m/>
    <m/>
    <n v="0"/>
    <m/>
    <m/>
    <m/>
    <n v="0"/>
    <m/>
    <m/>
    <n v="0"/>
    <s v="PAC"/>
    <m/>
  </r>
  <r>
    <n v="610"/>
    <x v="0"/>
    <s v="Shipment 1 B-10124 Fired Proces Heater"/>
    <x v="0"/>
    <x v="0"/>
    <m/>
    <m/>
    <s v="HEATER"/>
    <m/>
    <s v="S2"/>
    <s v="U285-AS-13MK715-1"/>
    <s v="13MK715-1"/>
    <s v="AIR DUCT FROM VENTURI UNDER FLOOR"/>
    <n v="1"/>
    <n v="1140.0999999999999"/>
    <n v="1140.0999999999999"/>
    <s v="(655x12180x1107)"/>
    <m/>
    <m/>
    <m/>
    <m/>
    <m/>
    <m/>
    <m/>
    <m/>
    <m/>
    <m/>
    <m/>
    <m/>
    <m/>
    <n v="0"/>
    <n v="1140.0999999999999"/>
    <m/>
    <m/>
    <n v="0"/>
    <m/>
    <m/>
    <n v="0"/>
    <m/>
    <m/>
    <n v="0"/>
    <m/>
    <m/>
    <n v="0"/>
    <m/>
    <m/>
    <m/>
    <n v="0"/>
    <m/>
    <m/>
    <n v="0"/>
    <s v="PAC"/>
    <m/>
  </r>
  <r>
    <n v="611"/>
    <x v="0"/>
    <s v="Shipment 1 B-10124 Fired Proces Heater"/>
    <x v="0"/>
    <x v="0"/>
    <m/>
    <m/>
    <s v="HEATER"/>
    <m/>
    <s v="S2"/>
    <s v="U285-AS-13MK715A-1"/>
    <s v="13MK715A-1(1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2"/>
    <x v="0"/>
    <s v="Shipment 1 B-10124 Fired Proces Heater"/>
    <x v="0"/>
    <x v="0"/>
    <m/>
    <m/>
    <s v="HEATER"/>
    <m/>
    <s v="S2"/>
    <s v="U285-AS-13MK715A-1"/>
    <s v="13MK715A-1(2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3"/>
    <x v="0"/>
    <s v="Shipment 1 B-10124 Fired Proces Heater"/>
    <x v="0"/>
    <x v="0"/>
    <m/>
    <m/>
    <s v="HEATER"/>
    <m/>
    <s v="S2"/>
    <s v="U285-AS-13MK715A-1"/>
    <s v="13MK715A-1(3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4"/>
    <x v="0"/>
    <s v="Shipment 1 B-10124 Fired Proces Heater"/>
    <x v="0"/>
    <x v="0"/>
    <m/>
    <m/>
    <s v="HEATER"/>
    <m/>
    <s v="S2"/>
    <s v="U285-AS-13MK715A-1"/>
    <s v="13MK715A-1(4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5"/>
    <x v="0"/>
    <s v="Shipment 1 B-10124 Fired Proces Heater"/>
    <x v="0"/>
    <x v="0"/>
    <m/>
    <m/>
    <s v="HEATER"/>
    <m/>
    <s v="S2"/>
    <s v="U285-AS-13MK715A-1"/>
    <s v="13MK715A-1(5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6"/>
    <x v="0"/>
    <s v="Shipment 1 B-10124 Fired Proces Heater"/>
    <x v="0"/>
    <x v="0"/>
    <m/>
    <m/>
    <s v="HEATER"/>
    <m/>
    <s v="S2"/>
    <s v="U285-AS-13MK715A-1"/>
    <s v="13MK715A-1(6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7"/>
    <x v="0"/>
    <s v="Shipment 1 B-10124 Fired Proces Heater"/>
    <x v="0"/>
    <x v="0"/>
    <m/>
    <m/>
    <s v="HEATER"/>
    <m/>
    <s v="S2"/>
    <s v="U285-AS-13MK715A-1"/>
    <s v="13MK715A-1(7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8"/>
    <x v="0"/>
    <s v="Shipment 1 B-10124 Fired Proces Heater"/>
    <x v="0"/>
    <x v="0"/>
    <m/>
    <m/>
    <s v="HEATER"/>
    <m/>
    <s v="S2"/>
    <s v="U285-AS-13MK715A-1"/>
    <s v="13MK715A-1(8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19"/>
    <x v="0"/>
    <s v="Shipment 1 B-10124 Fired Proces Heater"/>
    <x v="0"/>
    <x v="0"/>
    <m/>
    <m/>
    <s v="HEATER"/>
    <m/>
    <s v="S2"/>
    <s v="U285-AS-13MK715A-1"/>
    <s v="13MK715A-1(9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20"/>
    <x v="0"/>
    <s v="Shipment 1 B-10124 Fired Proces Heater"/>
    <x v="0"/>
    <x v="0"/>
    <m/>
    <m/>
    <s v="HEATER"/>
    <m/>
    <s v="S2"/>
    <s v="U285-AS-13MK715A-1"/>
    <s v="13MK715A-1(10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21"/>
    <x v="0"/>
    <s v="Shipment 1 B-10124 Fired Proces Heater"/>
    <x v="0"/>
    <x v="0"/>
    <m/>
    <m/>
    <s v="HEATER"/>
    <m/>
    <s v="S2"/>
    <s v="U285-AS-13MK715A-1"/>
    <s v="13MK715A-1(11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22"/>
    <x v="0"/>
    <s v="Shipment 1 B-10124 Fired Proces Heater"/>
    <x v="0"/>
    <x v="0"/>
    <m/>
    <m/>
    <s v="HEATER"/>
    <m/>
    <s v="S2"/>
    <s v="U285-AS-13MK715A-1"/>
    <s v="13MK715A-1(12/12)"/>
    <s v="AIR DUCT FROM VENTURI UNDER FLOOR"/>
    <n v="1"/>
    <n v="36.041666666666664"/>
    <n v="36.041666666666664"/>
    <s v="(490x486x521)"/>
    <m/>
    <m/>
    <m/>
    <m/>
    <m/>
    <m/>
    <m/>
    <m/>
    <m/>
    <m/>
    <m/>
    <m/>
    <m/>
    <n v="0"/>
    <n v="36.041666666666664"/>
    <m/>
    <m/>
    <n v="0"/>
    <m/>
    <m/>
    <n v="0"/>
    <m/>
    <m/>
    <n v="0"/>
    <m/>
    <m/>
    <n v="0"/>
    <m/>
    <m/>
    <m/>
    <n v="0"/>
    <m/>
    <m/>
    <n v="0"/>
    <s v="PAC"/>
    <m/>
  </r>
  <r>
    <n v="623"/>
    <x v="0"/>
    <s v="Shipment 1 B-10124 Fired Proces Heater"/>
    <x v="0"/>
    <x v="0"/>
    <m/>
    <m/>
    <s v="HEATER"/>
    <m/>
    <s v="S2"/>
    <s v="U285-AS-13MK715B-1"/>
    <s v="13MK715B-1(1/4)"/>
    <s v="AIR DUCT FROM VENTURI UNDER FLOOR"/>
    <n v="1"/>
    <n v="25.324999999999999"/>
    <n v="25.324999999999999"/>
    <s v="(450x240x520)"/>
    <m/>
    <m/>
    <m/>
    <m/>
    <m/>
    <m/>
    <m/>
    <m/>
    <m/>
    <m/>
    <m/>
    <m/>
    <m/>
    <n v="0"/>
    <n v="25.324999999999999"/>
    <m/>
    <m/>
    <n v="0"/>
    <m/>
    <m/>
    <n v="0"/>
    <m/>
    <m/>
    <n v="0"/>
    <m/>
    <m/>
    <n v="0"/>
    <m/>
    <m/>
    <m/>
    <n v="0"/>
    <m/>
    <m/>
    <n v="0"/>
    <s v="PAC"/>
    <m/>
  </r>
  <r>
    <n v="624"/>
    <x v="0"/>
    <s v="Shipment 1 B-10124 Fired Proces Heater"/>
    <x v="0"/>
    <x v="0"/>
    <m/>
    <m/>
    <s v="HEATER"/>
    <m/>
    <s v="S2"/>
    <s v="U285-AS-13MK715B-1"/>
    <s v="13MK715B-1(2/4)"/>
    <s v="AIR DUCT FROM VENTURI UNDER FLOOR"/>
    <n v="1"/>
    <n v="25.324999999999999"/>
    <n v="25.324999999999999"/>
    <s v="(450x240x520)"/>
    <m/>
    <m/>
    <m/>
    <m/>
    <m/>
    <m/>
    <m/>
    <m/>
    <m/>
    <m/>
    <m/>
    <m/>
    <m/>
    <n v="0"/>
    <n v="25.324999999999999"/>
    <m/>
    <m/>
    <n v="0"/>
    <m/>
    <m/>
    <n v="0"/>
    <m/>
    <m/>
    <n v="0"/>
    <m/>
    <m/>
    <n v="0"/>
    <m/>
    <m/>
    <m/>
    <n v="0"/>
    <m/>
    <m/>
    <n v="0"/>
    <s v="PAC"/>
    <m/>
  </r>
  <r>
    <n v="625"/>
    <x v="0"/>
    <s v="Shipment 1 B-10124 Fired Proces Heater"/>
    <x v="0"/>
    <x v="0"/>
    <m/>
    <m/>
    <s v="HEATER"/>
    <m/>
    <s v="S2"/>
    <s v="U285-AS-13MK715B-1"/>
    <s v="13MK715B-1(3/4)"/>
    <s v="AIR DUCT FROM VENTURI UNDER FLOOR"/>
    <n v="1"/>
    <n v="25.324999999999999"/>
    <n v="25.324999999999999"/>
    <s v="(450x240x520)"/>
    <m/>
    <m/>
    <m/>
    <m/>
    <m/>
    <m/>
    <m/>
    <m/>
    <m/>
    <m/>
    <m/>
    <m/>
    <m/>
    <n v="0"/>
    <n v="25.324999999999999"/>
    <m/>
    <m/>
    <n v="0"/>
    <m/>
    <m/>
    <n v="0"/>
    <m/>
    <m/>
    <n v="0"/>
    <m/>
    <m/>
    <n v="0"/>
    <m/>
    <m/>
    <m/>
    <n v="0"/>
    <m/>
    <m/>
    <n v="0"/>
    <s v="PAC"/>
    <m/>
  </r>
  <r>
    <n v="626"/>
    <x v="0"/>
    <s v="Shipment 1 B-10124 Fired Proces Heater"/>
    <x v="0"/>
    <x v="0"/>
    <m/>
    <m/>
    <s v="HEATER"/>
    <m/>
    <s v="S2"/>
    <s v="U285-AS-13MK715B-1"/>
    <s v="13MK715B-1(4/4)"/>
    <s v="AIR DUCT FROM VENTURI UNDER FLOOR"/>
    <n v="1"/>
    <n v="25.324999999999999"/>
    <n v="25.324999999999999"/>
    <s v="(450x240x520)"/>
    <m/>
    <m/>
    <m/>
    <m/>
    <m/>
    <m/>
    <m/>
    <m/>
    <m/>
    <m/>
    <m/>
    <m/>
    <m/>
    <n v="0"/>
    <n v="25.324999999999999"/>
    <m/>
    <m/>
    <n v="0"/>
    <m/>
    <m/>
    <n v="0"/>
    <m/>
    <m/>
    <n v="0"/>
    <m/>
    <m/>
    <n v="0"/>
    <m/>
    <m/>
    <m/>
    <n v="0"/>
    <m/>
    <m/>
    <n v="0"/>
    <s v="PAC"/>
    <m/>
  </r>
  <r>
    <n v="627"/>
    <x v="0"/>
    <s v="Shipment 1 B-10124 Fired Proces Heater"/>
    <x v="0"/>
    <x v="0"/>
    <m/>
    <m/>
    <s v="HEATER"/>
    <m/>
    <s v="S2"/>
    <s v="U285-AS-13MK715C-1"/>
    <s v="13MK715C-1(1/4)"/>
    <s v="AIR DUCT FROM VENTURI UNDER FLOOR"/>
    <n v="1"/>
    <n v="63.150000000000006"/>
    <n v="63.150000000000006"/>
    <s v="(885x850x520)"/>
    <m/>
    <m/>
    <m/>
    <m/>
    <m/>
    <m/>
    <m/>
    <m/>
    <m/>
    <m/>
    <m/>
    <m/>
    <m/>
    <n v="0"/>
    <n v="63.150000000000006"/>
    <m/>
    <m/>
    <n v="0"/>
    <m/>
    <m/>
    <n v="0"/>
    <m/>
    <m/>
    <n v="0"/>
    <m/>
    <m/>
    <n v="0"/>
    <m/>
    <m/>
    <m/>
    <n v="0"/>
    <m/>
    <m/>
    <n v="0"/>
    <s v="PAC"/>
    <m/>
  </r>
  <r>
    <n v="628"/>
    <x v="0"/>
    <s v="Shipment 1 B-10124 Fired Proces Heater"/>
    <x v="0"/>
    <x v="0"/>
    <m/>
    <m/>
    <s v="HEATER"/>
    <m/>
    <s v="S2"/>
    <s v="U285-AS-13MK715C-1"/>
    <s v="13MK715C-1(2/4)"/>
    <s v="AIR DUCT FROM VENTURI UNDER FLOOR"/>
    <n v="1"/>
    <n v="63.150000000000006"/>
    <n v="63.150000000000006"/>
    <s v="(885x850x520)"/>
    <m/>
    <m/>
    <m/>
    <m/>
    <m/>
    <m/>
    <m/>
    <m/>
    <m/>
    <m/>
    <m/>
    <m/>
    <m/>
    <n v="0"/>
    <n v="63.150000000000006"/>
    <m/>
    <m/>
    <n v="0"/>
    <m/>
    <m/>
    <n v="0"/>
    <m/>
    <m/>
    <n v="0"/>
    <m/>
    <m/>
    <n v="0"/>
    <m/>
    <m/>
    <m/>
    <n v="0"/>
    <m/>
    <m/>
    <n v="0"/>
    <s v="PAC"/>
    <m/>
  </r>
  <r>
    <n v="629"/>
    <x v="0"/>
    <s v="Shipment 1 B-10124 Fired Proces Heater"/>
    <x v="0"/>
    <x v="0"/>
    <m/>
    <m/>
    <s v="HEATER"/>
    <m/>
    <s v="S2"/>
    <s v="U285-AS-13MK715C-1"/>
    <s v="13MK715C-1(3/4)"/>
    <s v="AIR DUCT FROM VENTURI UNDER FLOOR"/>
    <n v="1"/>
    <n v="63.150000000000006"/>
    <n v="63.150000000000006"/>
    <s v="(885x850x520)"/>
    <m/>
    <m/>
    <m/>
    <m/>
    <m/>
    <m/>
    <m/>
    <m/>
    <m/>
    <m/>
    <m/>
    <m/>
    <m/>
    <n v="0"/>
    <n v="63.150000000000006"/>
    <m/>
    <m/>
    <n v="0"/>
    <m/>
    <m/>
    <n v="0"/>
    <m/>
    <m/>
    <n v="0"/>
    <m/>
    <m/>
    <n v="0"/>
    <m/>
    <m/>
    <m/>
    <n v="0"/>
    <m/>
    <m/>
    <n v="0"/>
    <s v="PAC"/>
    <m/>
  </r>
  <r>
    <n v="630"/>
    <x v="0"/>
    <s v="Shipment 1 B-10124 Fired Proces Heater"/>
    <x v="0"/>
    <x v="0"/>
    <m/>
    <m/>
    <s v="HEATER"/>
    <m/>
    <s v="S2"/>
    <s v="U285-AS-13MK715C-1"/>
    <s v="13MK715C-1(4/4)"/>
    <s v="AIR DUCT FROM VENTURI UNDER FLOOR"/>
    <n v="1"/>
    <n v="63.150000000000006"/>
    <n v="63.150000000000006"/>
    <s v="(885x850x520)"/>
    <m/>
    <m/>
    <m/>
    <m/>
    <m/>
    <m/>
    <m/>
    <m/>
    <m/>
    <m/>
    <m/>
    <m/>
    <m/>
    <n v="0"/>
    <n v="63.150000000000006"/>
    <m/>
    <m/>
    <n v="0"/>
    <m/>
    <m/>
    <n v="0"/>
    <m/>
    <m/>
    <n v="0"/>
    <m/>
    <m/>
    <n v="0"/>
    <m/>
    <m/>
    <m/>
    <n v="0"/>
    <m/>
    <m/>
    <n v="0"/>
    <s v="PAC"/>
    <m/>
  </r>
  <r>
    <n v="631"/>
    <x v="0"/>
    <s v="Shipment 1 B-10124 Fired Proces Heater"/>
    <x v="0"/>
    <x v="0"/>
    <m/>
    <m/>
    <s v="HEATER"/>
    <m/>
    <s v="S2"/>
    <s v="U285-AS-13MK716-1"/>
    <s v="13MK716-1"/>
    <s v="AIR DUCT FROM VENTURI UNDER FLOOR"/>
    <n v="1"/>
    <n v="824.2"/>
    <n v="824.2"/>
    <s v="(525x11246x751)"/>
    <m/>
    <m/>
    <m/>
    <m/>
    <m/>
    <m/>
    <m/>
    <m/>
    <m/>
    <m/>
    <m/>
    <m/>
    <m/>
    <n v="0"/>
    <n v="824.2"/>
    <m/>
    <m/>
    <n v="0"/>
    <m/>
    <m/>
    <n v="0"/>
    <m/>
    <m/>
    <n v="0"/>
    <m/>
    <m/>
    <n v="0"/>
    <m/>
    <m/>
    <m/>
    <n v="0"/>
    <m/>
    <m/>
    <n v="0"/>
    <s v="PAC"/>
    <m/>
  </r>
  <r>
    <n v="632"/>
    <x v="0"/>
    <s v="Shipment 1 B-10124 Fired Proces Heater"/>
    <x v="0"/>
    <x v="0"/>
    <m/>
    <m/>
    <s v="HEATER"/>
    <m/>
    <s v="S2"/>
    <s v="U285-AS-13MK716A-1"/>
    <s v="13MK716A-1(1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3"/>
    <x v="0"/>
    <s v="Shipment 1 B-10124 Fired Proces Heater"/>
    <x v="0"/>
    <x v="0"/>
    <m/>
    <m/>
    <s v="HEATER"/>
    <m/>
    <s v="S2"/>
    <s v="U285-AS-13MK716A-1"/>
    <s v="13MK716A-1(2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4"/>
    <x v="0"/>
    <s v="Shipment 1 B-10124 Fired Proces Heater"/>
    <x v="0"/>
    <x v="0"/>
    <m/>
    <m/>
    <s v="HEATER"/>
    <m/>
    <s v="S2"/>
    <s v="U285-AS-13MK716A-1"/>
    <s v="13MK716A-1(3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5"/>
    <x v="0"/>
    <s v="Shipment 1 B-10124 Fired Proces Heater"/>
    <x v="0"/>
    <x v="0"/>
    <m/>
    <m/>
    <s v="HEATER"/>
    <m/>
    <s v="S2"/>
    <s v="U285-AS-13MK716A-1"/>
    <s v="13MK716A-1(4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6"/>
    <x v="0"/>
    <s v="Shipment 1 B-10124 Fired Proces Heater"/>
    <x v="0"/>
    <x v="0"/>
    <m/>
    <m/>
    <s v="HEATER"/>
    <m/>
    <s v="S2"/>
    <s v="U285-AS-13MK716A-1"/>
    <s v="13MK716A-1(5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7"/>
    <x v="0"/>
    <s v="Shipment 1 B-10124 Fired Proces Heater"/>
    <x v="0"/>
    <x v="0"/>
    <m/>
    <m/>
    <s v="HEATER"/>
    <m/>
    <s v="S2"/>
    <s v="U285-AS-13MK716A-1"/>
    <s v="13MK716A-1(6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8"/>
    <x v="0"/>
    <s v="Shipment 1 B-10124 Fired Proces Heater"/>
    <x v="0"/>
    <x v="0"/>
    <m/>
    <m/>
    <s v="HEATER"/>
    <m/>
    <s v="S2"/>
    <s v="U285-AS-13MK716A-1"/>
    <s v="13MK716A-1(7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39"/>
    <x v="0"/>
    <s v="Shipment 1 B-10124 Fired Proces Heater"/>
    <x v="0"/>
    <x v="0"/>
    <m/>
    <m/>
    <s v="HEATER"/>
    <m/>
    <s v="S2"/>
    <s v="U285-AS-13MK716A-1"/>
    <s v="13MK716A-1(8/8)"/>
    <s v="AIR DUCT FROM VENTURI UNDER FLOOR"/>
    <n v="1"/>
    <n v="48.599999999999994"/>
    <n v="48.599999999999994"/>
    <s v="(390x590x671)"/>
    <m/>
    <m/>
    <m/>
    <m/>
    <m/>
    <m/>
    <m/>
    <m/>
    <m/>
    <m/>
    <m/>
    <m/>
    <m/>
    <n v="0"/>
    <n v="48.599999999999994"/>
    <m/>
    <m/>
    <n v="0"/>
    <m/>
    <m/>
    <n v="0"/>
    <m/>
    <m/>
    <n v="0"/>
    <m/>
    <m/>
    <n v="0"/>
    <m/>
    <m/>
    <m/>
    <n v="0"/>
    <m/>
    <m/>
    <n v="0"/>
    <s v="PAC"/>
    <m/>
  </r>
  <r>
    <n v="640"/>
    <x v="0"/>
    <s v="Shipment 1 B-10124 Fired Proces Heater"/>
    <x v="0"/>
    <x v="0"/>
    <m/>
    <m/>
    <s v="HEATER"/>
    <m/>
    <s v="S2"/>
    <s v="U285-AS-13MK716B-1"/>
    <s v="13MK716B-1"/>
    <s v="AIR DUCT FROM VENTURI UNDER FLOOR"/>
    <n v="1"/>
    <n v="91.600000000000009"/>
    <n v="91.600000000000009"/>
    <s v="(1218x1207x671)"/>
    <m/>
    <m/>
    <m/>
    <m/>
    <m/>
    <m/>
    <m/>
    <m/>
    <m/>
    <m/>
    <m/>
    <m/>
    <m/>
    <n v="0"/>
    <n v="91.600000000000009"/>
    <m/>
    <m/>
    <n v="0"/>
    <m/>
    <m/>
    <n v="0"/>
    <m/>
    <m/>
    <n v="0"/>
    <m/>
    <m/>
    <n v="0"/>
    <m/>
    <m/>
    <m/>
    <n v="0"/>
    <m/>
    <m/>
    <n v="0"/>
    <s v="PAC"/>
    <m/>
  </r>
  <r>
    <n v="641"/>
    <x v="0"/>
    <s v="Shipment 1 B-10124 Fired Proces Heater"/>
    <x v="0"/>
    <x v="0"/>
    <m/>
    <m/>
    <s v="HEATER"/>
    <m/>
    <s v="S2"/>
    <s v="U285-AS-13MK717-1"/>
    <s v="13MK717-1"/>
    <s v="AIR DUCT FROM VENTURI UNDER FLOOR"/>
    <n v="1"/>
    <n v="774.1"/>
    <n v="774.1"/>
    <s v="(490x11221x726)"/>
    <m/>
    <m/>
    <m/>
    <m/>
    <m/>
    <m/>
    <m/>
    <m/>
    <m/>
    <m/>
    <m/>
    <m/>
    <m/>
    <n v="0"/>
    <n v="774.1"/>
    <m/>
    <m/>
    <n v="0"/>
    <m/>
    <m/>
    <n v="0"/>
    <m/>
    <m/>
    <n v="0"/>
    <m/>
    <m/>
    <n v="0"/>
    <m/>
    <m/>
    <m/>
    <n v="0"/>
    <m/>
    <m/>
    <n v="0"/>
    <s v="PAC"/>
    <m/>
  </r>
  <r>
    <n v="642"/>
    <x v="0"/>
    <s v="Shipment 1 B-10124 Fired Proces Heater"/>
    <x v="0"/>
    <x v="0"/>
    <m/>
    <m/>
    <s v="HEATER"/>
    <m/>
    <s v="S2"/>
    <s v="U285-AS-13MK717A-1"/>
    <s v="13MK717A-1"/>
    <s v="AIR DUCT FROM VENTURI UNDER FLOOR"/>
    <n v="1"/>
    <n v="91.600000000000009"/>
    <n v="91.600000000000009"/>
    <s v="(1218x1207x671)"/>
    <m/>
    <m/>
    <m/>
    <m/>
    <m/>
    <m/>
    <m/>
    <m/>
    <m/>
    <m/>
    <m/>
    <m/>
    <m/>
    <n v="0"/>
    <n v="91.600000000000009"/>
    <m/>
    <m/>
    <n v="0"/>
    <m/>
    <m/>
    <n v="0"/>
    <m/>
    <m/>
    <n v="0"/>
    <m/>
    <m/>
    <n v="0"/>
    <m/>
    <m/>
    <m/>
    <n v="0"/>
    <m/>
    <m/>
    <n v="0"/>
    <s v="PAC"/>
    <m/>
  </r>
  <r>
    <n v="643"/>
    <x v="0"/>
    <s v="Shipment 1 B-10124 Fired Proces Heater"/>
    <x v="0"/>
    <x v="0"/>
    <m/>
    <m/>
    <s v="HEATER"/>
    <m/>
    <s v="S2"/>
    <s v="U285-AS-13MK718-1"/>
    <s v="13MK718-1(1/3)"/>
    <s v="AIR DUCT FROM VENTURI UNDER FLOOR"/>
    <n v="1"/>
    <n v="1135.9999999999998"/>
    <n v="1135.9999999999998"/>
    <s v="(495x12340x1267)"/>
    <m/>
    <m/>
    <m/>
    <m/>
    <m/>
    <m/>
    <m/>
    <m/>
    <m/>
    <m/>
    <m/>
    <m/>
    <m/>
    <n v="0"/>
    <n v="1135.9999999999998"/>
    <m/>
    <m/>
    <n v="0"/>
    <m/>
    <m/>
    <n v="0"/>
    <m/>
    <m/>
    <n v="0"/>
    <m/>
    <m/>
    <n v="0"/>
    <m/>
    <m/>
    <m/>
    <n v="0"/>
    <m/>
    <m/>
    <n v="0"/>
    <s v="PAC"/>
    <m/>
  </r>
  <r>
    <n v="644"/>
    <x v="0"/>
    <s v="Shipment 1 B-10124 Fired Proces Heater"/>
    <x v="0"/>
    <x v="0"/>
    <m/>
    <m/>
    <s v="HEATER"/>
    <m/>
    <s v="S2"/>
    <s v="U285-AS-13MK718-1"/>
    <s v="13MK718-1(2/3)"/>
    <s v="AIR DUCT FROM VENTURI UNDER FLOOR"/>
    <n v="1"/>
    <n v="1135.9999999999998"/>
    <n v="1135.9999999999998"/>
    <s v="(495x12340x1267)"/>
    <m/>
    <m/>
    <m/>
    <m/>
    <m/>
    <m/>
    <m/>
    <m/>
    <m/>
    <m/>
    <m/>
    <m/>
    <m/>
    <n v="0"/>
    <n v="1135.9999999999998"/>
    <m/>
    <m/>
    <n v="0"/>
    <m/>
    <m/>
    <n v="0"/>
    <m/>
    <m/>
    <n v="0"/>
    <m/>
    <m/>
    <n v="0"/>
    <m/>
    <m/>
    <m/>
    <n v="0"/>
    <m/>
    <m/>
    <n v="0"/>
    <s v="PAC"/>
    <m/>
  </r>
  <r>
    <n v="645"/>
    <x v="0"/>
    <s v="Shipment 1 B-10124 Fired Proces Heater"/>
    <x v="0"/>
    <x v="0"/>
    <m/>
    <m/>
    <s v="HEATER"/>
    <m/>
    <s v="S2"/>
    <s v="U285-AS-13MK718-1"/>
    <s v="13MK718-1(3/3)"/>
    <s v="AIR DUCT FROM VENTURI UNDER FLOOR"/>
    <n v="1"/>
    <n v="1135.9999999999998"/>
    <n v="1135.9999999999998"/>
    <s v="(495x12340x1267)"/>
    <m/>
    <m/>
    <m/>
    <m/>
    <m/>
    <m/>
    <m/>
    <m/>
    <m/>
    <m/>
    <m/>
    <m/>
    <m/>
    <n v="0"/>
    <n v="1135.9999999999998"/>
    <m/>
    <m/>
    <n v="0"/>
    <m/>
    <m/>
    <n v="0"/>
    <m/>
    <m/>
    <n v="0"/>
    <m/>
    <m/>
    <n v="0"/>
    <m/>
    <m/>
    <m/>
    <n v="0"/>
    <m/>
    <m/>
    <n v="0"/>
    <s v="PAC"/>
    <m/>
  </r>
  <r>
    <n v="646"/>
    <x v="0"/>
    <s v="Shipment 1 B-10124 Fired Proces Heater"/>
    <x v="0"/>
    <x v="0"/>
    <m/>
    <m/>
    <s v="HEATER"/>
    <m/>
    <s v="S2"/>
    <s v="U285-AS-13MK719-1"/>
    <s v="13MK719-1"/>
    <s v="AIR DUCT FROM VENTURI UNDER FLOO***"/>
    <n v="1"/>
    <n v="744.1"/>
    <n v="744.1"/>
    <s v="(490x10938x726)"/>
    <m/>
    <m/>
    <m/>
    <m/>
    <m/>
    <m/>
    <m/>
    <m/>
    <m/>
    <m/>
    <m/>
    <m/>
    <m/>
    <n v="0"/>
    <n v="744.1"/>
    <m/>
    <m/>
    <n v="0"/>
    <m/>
    <m/>
    <n v="0"/>
    <m/>
    <m/>
    <n v="0"/>
    <m/>
    <m/>
    <n v="0"/>
    <m/>
    <m/>
    <m/>
    <n v="0"/>
    <m/>
    <m/>
    <n v="0"/>
    <s v="PAC"/>
    <m/>
  </r>
  <r>
    <n v="647"/>
    <x v="0"/>
    <s v="Shipment 1 B-10124 Fired Proces Heater"/>
    <x v="0"/>
    <x v="0"/>
    <m/>
    <m/>
    <s v="HEATER"/>
    <m/>
    <s v="S2"/>
    <s v="U285-AS-13MK719A-1"/>
    <s v="13MK719A-1(1/4)"/>
    <s v="AIR DUCT FROM VENTURI UNDER FLOOR"/>
    <n v="1"/>
    <n v="61.275000000000006"/>
    <n v="61.275000000000006"/>
    <s v="(390x864x671)"/>
    <m/>
    <m/>
    <m/>
    <m/>
    <m/>
    <m/>
    <m/>
    <m/>
    <m/>
    <m/>
    <m/>
    <m/>
    <m/>
    <n v="0"/>
    <n v="61.275000000000006"/>
    <m/>
    <m/>
    <n v="0"/>
    <m/>
    <m/>
    <n v="0"/>
    <m/>
    <m/>
    <n v="0"/>
    <m/>
    <m/>
    <n v="0"/>
    <m/>
    <m/>
    <m/>
    <n v="0"/>
    <m/>
    <m/>
    <n v="0"/>
    <s v="PAC"/>
    <m/>
  </r>
  <r>
    <n v="648"/>
    <x v="0"/>
    <s v="Shipment 1 B-10124 Fired Proces Heater"/>
    <x v="0"/>
    <x v="0"/>
    <m/>
    <m/>
    <s v="HEATER"/>
    <m/>
    <s v="S2"/>
    <s v="U285-AS-13MK719A-1"/>
    <s v="13MK719A-1(2/4)"/>
    <s v="AIR DUCT FROM VENTURI UNDER FLOOR"/>
    <n v="1"/>
    <n v="61.275000000000006"/>
    <n v="61.275000000000006"/>
    <s v="(390x864x671)"/>
    <m/>
    <m/>
    <m/>
    <m/>
    <m/>
    <m/>
    <m/>
    <m/>
    <m/>
    <m/>
    <m/>
    <m/>
    <m/>
    <n v="0"/>
    <n v="61.275000000000006"/>
    <m/>
    <m/>
    <n v="0"/>
    <m/>
    <m/>
    <n v="0"/>
    <m/>
    <m/>
    <n v="0"/>
    <m/>
    <m/>
    <n v="0"/>
    <m/>
    <m/>
    <m/>
    <n v="0"/>
    <m/>
    <m/>
    <n v="0"/>
    <s v="PAC"/>
    <m/>
  </r>
  <r>
    <n v="649"/>
    <x v="0"/>
    <s v="Shipment 1 B-10124 Fired Proces Heater"/>
    <x v="0"/>
    <x v="0"/>
    <m/>
    <m/>
    <s v="HEATER"/>
    <m/>
    <s v="S2"/>
    <s v="U285-AS-13MK719A-1"/>
    <s v="13MK719A-1(3/4)"/>
    <s v="AIR DUCT FROM VENTURI UNDER FLOOR"/>
    <n v="1"/>
    <n v="61.275000000000006"/>
    <n v="61.275000000000006"/>
    <s v="(390x864x671)"/>
    <m/>
    <m/>
    <m/>
    <m/>
    <m/>
    <m/>
    <m/>
    <m/>
    <m/>
    <m/>
    <m/>
    <m/>
    <m/>
    <n v="0"/>
    <n v="61.275000000000006"/>
    <m/>
    <m/>
    <n v="0"/>
    <m/>
    <m/>
    <n v="0"/>
    <m/>
    <m/>
    <n v="0"/>
    <m/>
    <m/>
    <n v="0"/>
    <m/>
    <m/>
    <m/>
    <n v="0"/>
    <m/>
    <m/>
    <n v="0"/>
    <s v="PAC"/>
    <m/>
  </r>
  <r>
    <n v="650"/>
    <x v="0"/>
    <s v="Shipment 1 B-10124 Fired Proces Heater"/>
    <x v="0"/>
    <x v="0"/>
    <m/>
    <m/>
    <s v="HEATER"/>
    <m/>
    <s v="S2"/>
    <s v="U285-AS-13MK719A-1"/>
    <s v="13MK719A-1(4/4)"/>
    <s v="AIR DUCT FROM VENTURI UNDER FLOOR"/>
    <n v="1"/>
    <n v="61.275000000000006"/>
    <n v="61.275000000000006"/>
    <s v="(390x864x671)"/>
    <m/>
    <m/>
    <m/>
    <m/>
    <m/>
    <m/>
    <m/>
    <m/>
    <m/>
    <m/>
    <m/>
    <m/>
    <m/>
    <n v="0"/>
    <n v="61.275000000000006"/>
    <m/>
    <m/>
    <n v="0"/>
    <m/>
    <m/>
    <n v="0"/>
    <m/>
    <m/>
    <n v="0"/>
    <m/>
    <m/>
    <n v="0"/>
    <m/>
    <m/>
    <m/>
    <n v="0"/>
    <m/>
    <m/>
    <n v="0"/>
    <s v="PAC"/>
    <m/>
  </r>
  <r>
    <n v="651"/>
    <x v="0"/>
    <s v="Shipment 1 B-10124 Fired Proces Heater"/>
    <x v="0"/>
    <x v="0"/>
    <m/>
    <m/>
    <s v="HEATER"/>
    <m/>
    <s v="S2"/>
    <s v="U285-AS-13MK719B-1"/>
    <s v="13MK719B-1"/>
    <s v="AIR DUCT FROM VENTURI UNDER FLOOR"/>
    <n v="1"/>
    <n v="110.50000000000001"/>
    <n v="110.50000000000001"/>
    <s v="(1492x1491x671)"/>
    <m/>
    <m/>
    <m/>
    <m/>
    <m/>
    <m/>
    <m/>
    <m/>
    <m/>
    <m/>
    <m/>
    <m/>
    <m/>
    <n v="0"/>
    <n v="110.50000000000001"/>
    <m/>
    <m/>
    <n v="0"/>
    <m/>
    <m/>
    <n v="0"/>
    <m/>
    <m/>
    <n v="0"/>
    <m/>
    <m/>
    <n v="0"/>
    <m/>
    <m/>
    <m/>
    <n v="0"/>
    <m/>
    <m/>
    <n v="0"/>
    <s v="PAC"/>
    <m/>
  </r>
  <r>
    <n v="652"/>
    <x v="0"/>
    <s v="Shipment 1 B-10124 Fired Proces Heater"/>
    <x v="0"/>
    <x v="0"/>
    <m/>
    <m/>
    <s v="HEATER"/>
    <m/>
    <s v="S2"/>
    <s v="U285-AS-13MK720-1"/>
    <s v="13MK720-1"/>
    <s v="AIR DUCT FROM VENTURI UNDER FLOOR"/>
    <n v="87"/>
    <n v="2.7620689655172415"/>
    <n v="240.3"/>
    <s v="(100x140x100)"/>
    <m/>
    <m/>
    <m/>
    <m/>
    <m/>
    <m/>
    <m/>
    <m/>
    <m/>
    <m/>
    <m/>
    <m/>
    <m/>
    <n v="0"/>
    <n v="240.3"/>
    <m/>
    <m/>
    <n v="0"/>
    <m/>
    <m/>
    <n v="0"/>
    <m/>
    <m/>
    <n v="0"/>
    <m/>
    <m/>
    <n v="0"/>
    <m/>
    <m/>
    <m/>
    <n v="0"/>
    <m/>
    <m/>
    <n v="0"/>
    <s v="PAC"/>
    <m/>
  </r>
  <r>
    <n v="653"/>
    <x v="0"/>
    <s v="Shipment 1 B-10124 Fired Proces Heater"/>
    <x v="0"/>
    <x v="0"/>
    <m/>
    <m/>
    <s v="HEATER"/>
    <m/>
    <s v="S2"/>
    <s v="U285-AS-13MK720-2"/>
    <s v="13MK720-2"/>
    <s v="AIR DUCT FROM VENTURI UNDER FLOOR"/>
    <n v="90"/>
    <n v="0.57222222222222219"/>
    <n v="51.5"/>
    <s v="(60x83x50)"/>
    <m/>
    <m/>
    <m/>
    <m/>
    <m/>
    <m/>
    <m/>
    <m/>
    <m/>
    <m/>
    <m/>
    <m/>
    <m/>
    <n v="0"/>
    <n v="51.5"/>
    <m/>
    <m/>
    <n v="0"/>
    <m/>
    <m/>
    <n v="0"/>
    <m/>
    <m/>
    <n v="0"/>
    <m/>
    <m/>
    <n v="0"/>
    <m/>
    <m/>
    <m/>
    <n v="0"/>
    <m/>
    <m/>
    <n v="0"/>
    <s v="PAC"/>
    <m/>
  </r>
  <r>
    <n v="654"/>
    <x v="0"/>
    <s v="Shipment 1 B-10124 Fired Proces Heater"/>
    <x v="0"/>
    <x v="0"/>
    <m/>
    <m/>
    <s v="HEATER"/>
    <m/>
    <s v="S2"/>
    <s v="U285-AS-13MK720-3"/>
    <s v="13MK720-3"/>
    <s v="AIR DUCT FROM VENTURI UNDER FLOOR"/>
    <n v="1"/>
    <n v="2.8"/>
    <n v="2.8"/>
    <s v="(100x140x100)"/>
    <m/>
    <m/>
    <m/>
    <m/>
    <m/>
    <m/>
    <m/>
    <m/>
    <m/>
    <m/>
    <m/>
    <m/>
    <m/>
    <n v="0"/>
    <n v="2.8"/>
    <m/>
    <m/>
    <n v="0"/>
    <m/>
    <m/>
    <n v="0"/>
    <m/>
    <m/>
    <n v="0"/>
    <m/>
    <m/>
    <n v="0"/>
    <m/>
    <m/>
    <m/>
    <n v="0"/>
    <m/>
    <m/>
    <n v="0"/>
    <s v="PAC"/>
    <m/>
  </r>
  <r>
    <n v="655"/>
    <x v="0"/>
    <s v="Shipment 1 B-10124 Fired Proces Heater"/>
    <x v="0"/>
    <x v="0"/>
    <m/>
    <m/>
    <s v="HEATER"/>
    <m/>
    <s v="S2"/>
    <s v="U285-AS-13MK720-4"/>
    <s v="13MK720-4"/>
    <s v="AIR DUCT FROM VENTURI UNDER FLOOR"/>
    <n v="1"/>
    <n v="2.7"/>
    <n v="2.7"/>
    <s v="(100x140x100)"/>
    <m/>
    <m/>
    <m/>
    <m/>
    <m/>
    <m/>
    <m/>
    <m/>
    <m/>
    <m/>
    <m/>
    <m/>
    <m/>
    <n v="0"/>
    <n v="2.7"/>
    <m/>
    <m/>
    <n v="0"/>
    <m/>
    <m/>
    <n v="0"/>
    <m/>
    <m/>
    <n v="0"/>
    <m/>
    <m/>
    <n v="0"/>
    <m/>
    <m/>
    <m/>
    <n v="0"/>
    <m/>
    <m/>
    <n v="0"/>
    <s v="PAC"/>
    <m/>
  </r>
  <r>
    <n v="656"/>
    <x v="0"/>
    <s v="Shipment 1 B-10124 Fired Proces Heater"/>
    <x v="0"/>
    <x v="0"/>
    <m/>
    <m/>
    <s v="HEATER"/>
    <m/>
    <s v="S2"/>
    <s v="U285-AS-13MK720-5"/>
    <s v="13MK720-5"/>
    <s v="AIR DUCT FROM VENTURI UNDER FLOOR"/>
    <n v="1"/>
    <n v="2.8"/>
    <n v="2.8"/>
    <s v="(100x140x100)"/>
    <m/>
    <m/>
    <m/>
    <m/>
    <m/>
    <m/>
    <m/>
    <m/>
    <m/>
    <m/>
    <m/>
    <m/>
    <m/>
    <n v="0"/>
    <n v="2.8"/>
    <m/>
    <m/>
    <n v="0"/>
    <m/>
    <m/>
    <n v="0"/>
    <m/>
    <m/>
    <n v="0"/>
    <m/>
    <m/>
    <n v="0"/>
    <m/>
    <m/>
    <m/>
    <n v="0"/>
    <m/>
    <m/>
    <n v="0"/>
    <s v="PAC"/>
    <m/>
  </r>
  <r>
    <n v="657"/>
    <x v="0"/>
    <s v="Shipment 1 B-10124 Fired Proces Heater"/>
    <x v="0"/>
    <x v="0"/>
    <m/>
    <m/>
    <s v="HEATER"/>
    <m/>
    <s v="S2"/>
    <s v="U285-AS-13MK721-1"/>
    <s v="13MK721-1"/>
    <s v="AIR DUCT FROM VENTURI UNDER FLOOR"/>
    <n v="16"/>
    <n v="2.8375000000000004"/>
    <n v="45.400000000000006"/>
    <s v="(130x120x100)"/>
    <m/>
    <m/>
    <m/>
    <m/>
    <m/>
    <m/>
    <m/>
    <m/>
    <m/>
    <m/>
    <m/>
    <m/>
    <m/>
    <n v="0"/>
    <n v="45.400000000000006"/>
    <m/>
    <m/>
    <n v="0"/>
    <m/>
    <m/>
    <n v="0"/>
    <m/>
    <m/>
    <n v="0"/>
    <m/>
    <m/>
    <n v="0"/>
    <m/>
    <m/>
    <m/>
    <n v="0"/>
    <m/>
    <m/>
    <n v="0"/>
    <s v="PAC"/>
    <m/>
  </r>
  <r>
    <n v="658"/>
    <x v="0"/>
    <s v="Shipment 1 B-10124 Fired Proces Heater"/>
    <x v="0"/>
    <x v="0"/>
    <m/>
    <m/>
    <s v="HEATER"/>
    <m/>
    <s v="S2"/>
    <s v="U285-AS-13MK721-2"/>
    <s v="13MK721-2"/>
    <s v="AIR DUCT FROM VENTURI UNDER FLOOR"/>
    <n v="16"/>
    <n v="0.57499999999999996"/>
    <n v="9.1999999999999993"/>
    <s v="(60x83x50)"/>
    <m/>
    <m/>
    <m/>
    <m/>
    <m/>
    <m/>
    <m/>
    <m/>
    <m/>
    <m/>
    <m/>
    <m/>
    <m/>
    <n v="0"/>
    <n v="9.1999999999999993"/>
    <m/>
    <m/>
    <n v="0"/>
    <m/>
    <m/>
    <n v="0"/>
    <m/>
    <m/>
    <n v="0"/>
    <m/>
    <m/>
    <n v="0"/>
    <m/>
    <m/>
    <m/>
    <n v="0"/>
    <m/>
    <m/>
    <n v="0"/>
    <s v="PAC"/>
    <m/>
  </r>
  <r>
    <n v="659"/>
    <x v="0"/>
    <s v="Shipment 1 B-10124 Fired Proces Heater"/>
    <x v="0"/>
    <x v="0"/>
    <m/>
    <m/>
    <s v="HEATER"/>
    <m/>
    <s v="S1"/>
    <s v="U285-AS-13MK800-1"/>
    <s v="13MK800-1"/>
    <s v="FLUE GAS DUCT"/>
    <n v="1"/>
    <n v="414.20000000000005"/>
    <n v="414.20000000000005"/>
    <s v="(6280x337x410)"/>
    <m/>
    <m/>
    <m/>
    <m/>
    <m/>
    <m/>
    <m/>
    <m/>
    <m/>
    <m/>
    <m/>
    <m/>
    <m/>
    <n v="0"/>
    <n v="414.20000000000005"/>
    <m/>
    <m/>
    <n v="0"/>
    <m/>
    <m/>
    <n v="0"/>
    <m/>
    <m/>
    <n v="0"/>
    <m/>
    <m/>
    <n v="0"/>
    <m/>
    <m/>
    <m/>
    <n v="0"/>
    <m/>
    <m/>
    <n v="0"/>
    <s v="PAC"/>
    <m/>
  </r>
  <r>
    <n v="660"/>
    <x v="0"/>
    <s v="Shipment 1 B-10124 Fired Proces Heater"/>
    <x v="0"/>
    <x v="0"/>
    <m/>
    <m/>
    <s v="HEATER"/>
    <m/>
    <s v="S1"/>
    <s v="U285-AS-13MK800-2"/>
    <s v="13MK800-2(1/2)"/>
    <s v="FLUE GAS DUCT"/>
    <n v="1"/>
    <n v="21.900000000000002"/>
    <n v="21.900000000000002"/>
    <s v="(6060x51x50)"/>
    <m/>
    <m/>
    <m/>
    <m/>
    <m/>
    <m/>
    <m/>
    <m/>
    <m/>
    <m/>
    <m/>
    <m/>
    <m/>
    <n v="0"/>
    <n v="21.900000000000002"/>
    <m/>
    <m/>
    <n v="0"/>
    <m/>
    <m/>
    <n v="0"/>
    <m/>
    <m/>
    <n v="0"/>
    <m/>
    <m/>
    <n v="0"/>
    <m/>
    <m/>
    <m/>
    <n v="0"/>
    <m/>
    <m/>
    <n v="0"/>
    <s v="PAC"/>
    <m/>
  </r>
  <r>
    <n v="661"/>
    <x v="0"/>
    <s v="Shipment 1 B-10124 Fired Proces Heater"/>
    <x v="0"/>
    <x v="0"/>
    <m/>
    <m/>
    <s v="HEATER"/>
    <m/>
    <s v="S1"/>
    <s v="U285-AS-13MK800-2"/>
    <s v="13MK800-2(2/2)"/>
    <s v="FLUE GAS DUCT"/>
    <n v="1"/>
    <n v="21.900000000000002"/>
    <n v="21.900000000000002"/>
    <s v="(6060x51x50)"/>
    <m/>
    <m/>
    <m/>
    <m/>
    <m/>
    <m/>
    <m/>
    <m/>
    <m/>
    <m/>
    <m/>
    <m/>
    <m/>
    <n v="0"/>
    <n v="21.900000000000002"/>
    <m/>
    <m/>
    <n v="0"/>
    <m/>
    <m/>
    <n v="0"/>
    <m/>
    <m/>
    <n v="0"/>
    <m/>
    <m/>
    <n v="0"/>
    <m/>
    <m/>
    <m/>
    <n v="0"/>
    <m/>
    <m/>
    <n v="0"/>
    <s v="PAC"/>
    <m/>
  </r>
  <r>
    <n v="662"/>
    <x v="0"/>
    <s v="Shipment 1 B-10124 Fired Proces Heater"/>
    <x v="0"/>
    <x v="0"/>
    <m/>
    <m/>
    <s v="HEATER"/>
    <m/>
    <s v="S1"/>
    <s v="U285-AS-13MK800-4"/>
    <s v="13MK800-4"/>
    <s v="FLUE GAS DUCT"/>
    <n v="1"/>
    <n v="414.6"/>
    <n v="414.6"/>
    <s v="(6280x337x410)"/>
    <m/>
    <m/>
    <m/>
    <m/>
    <m/>
    <m/>
    <m/>
    <m/>
    <m/>
    <m/>
    <m/>
    <m/>
    <m/>
    <n v="0"/>
    <n v="414.6"/>
    <m/>
    <m/>
    <n v="0"/>
    <m/>
    <m/>
    <n v="0"/>
    <m/>
    <m/>
    <n v="0"/>
    <m/>
    <m/>
    <n v="0"/>
    <m/>
    <m/>
    <m/>
    <n v="0"/>
    <m/>
    <m/>
    <n v="0"/>
    <s v="PAC"/>
    <m/>
  </r>
  <r>
    <n v="663"/>
    <x v="0"/>
    <s v="Shipment 1 B-10124 Fired Proces Heater"/>
    <x v="0"/>
    <x v="0"/>
    <m/>
    <m/>
    <s v="HEATER"/>
    <m/>
    <s v="S1"/>
    <s v="U285-AS-13MK800-7"/>
    <s v="13MK800-7(1/2)"/>
    <s v="FLUE GAS DUCT"/>
    <n v="1"/>
    <n v="401.55"/>
    <n v="401.55"/>
    <s v="(6280x337x210)"/>
    <m/>
    <m/>
    <m/>
    <m/>
    <m/>
    <m/>
    <m/>
    <m/>
    <m/>
    <m/>
    <m/>
    <m/>
    <m/>
    <n v="0"/>
    <n v="401.55"/>
    <m/>
    <m/>
    <n v="0"/>
    <m/>
    <m/>
    <n v="0"/>
    <m/>
    <m/>
    <n v="0"/>
    <m/>
    <m/>
    <n v="0"/>
    <m/>
    <m/>
    <m/>
    <n v="0"/>
    <m/>
    <m/>
    <n v="0"/>
    <s v="PAC"/>
    <m/>
  </r>
  <r>
    <n v="664"/>
    <x v="0"/>
    <s v="Shipment 1 B-10124 Fired Proces Heater"/>
    <x v="0"/>
    <x v="0"/>
    <m/>
    <m/>
    <s v="HEATER"/>
    <m/>
    <s v="S1"/>
    <s v="U285-AS-13MK800-7"/>
    <s v="13MK800-7(2/2)"/>
    <s v="FLUE GAS DUCT"/>
    <n v="1"/>
    <n v="401.55"/>
    <n v="401.55"/>
    <s v="(6280x337x210)"/>
    <m/>
    <m/>
    <m/>
    <m/>
    <m/>
    <m/>
    <m/>
    <m/>
    <m/>
    <m/>
    <m/>
    <m/>
    <m/>
    <n v="0"/>
    <n v="401.55"/>
    <m/>
    <m/>
    <n v="0"/>
    <m/>
    <m/>
    <n v="0"/>
    <m/>
    <m/>
    <n v="0"/>
    <m/>
    <m/>
    <n v="0"/>
    <m/>
    <m/>
    <m/>
    <n v="0"/>
    <m/>
    <m/>
    <n v="0"/>
    <s v="PAC"/>
    <m/>
  </r>
  <r>
    <n v="665"/>
    <x v="0"/>
    <s v="Shipment 1 B-10124 Fired Proces Heater"/>
    <x v="0"/>
    <x v="0"/>
    <m/>
    <m/>
    <s v="HEATER"/>
    <m/>
    <s v="S1"/>
    <s v="U285-AS-13MK800-9"/>
    <s v="13MK800-9"/>
    <s v="FLUE GAS DUCT (1/4)"/>
    <n v="1"/>
    <n v="4817.3"/>
    <n v="4817.3"/>
    <s v="(16975x470x5473)"/>
    <m/>
    <m/>
    <m/>
    <m/>
    <m/>
    <m/>
    <m/>
    <m/>
    <m/>
    <m/>
    <m/>
    <m/>
    <m/>
    <n v="0"/>
    <n v="4817.3"/>
    <m/>
    <m/>
    <n v="0"/>
    <m/>
    <m/>
    <n v="0"/>
    <m/>
    <m/>
    <n v="0"/>
    <m/>
    <m/>
    <n v="0"/>
    <m/>
    <m/>
    <m/>
    <n v="0"/>
    <m/>
    <m/>
    <n v="0"/>
    <s v="PAC"/>
    <m/>
  </r>
  <r>
    <n v="666"/>
    <x v="0"/>
    <s v="Shipment 1 B-10124 Fired Proces Heater"/>
    <x v="0"/>
    <x v="0"/>
    <m/>
    <m/>
    <s v="HEATER"/>
    <m/>
    <s v="S1"/>
    <s v="U285-AS-13MK800-10"/>
    <s v="13MK800-10"/>
    <s v="FLUE GAS DUCT (1/4)"/>
    <n v="1"/>
    <n v="4779.1000000000004"/>
    <n v="4779.1000000000004"/>
    <s v="(16975x470x5473)"/>
    <m/>
    <m/>
    <m/>
    <m/>
    <m/>
    <m/>
    <m/>
    <m/>
    <m/>
    <m/>
    <m/>
    <m/>
    <m/>
    <n v="0"/>
    <n v="4779.1000000000004"/>
    <m/>
    <m/>
    <n v="0"/>
    <m/>
    <m/>
    <n v="0"/>
    <m/>
    <m/>
    <n v="0"/>
    <m/>
    <m/>
    <n v="0"/>
    <m/>
    <m/>
    <m/>
    <n v="0"/>
    <m/>
    <m/>
    <n v="0"/>
    <s v="PAC"/>
    <m/>
  </r>
  <r>
    <n v="667"/>
    <x v="0"/>
    <s v="Shipment 1 B-10124 Fired Proces Heater"/>
    <x v="0"/>
    <x v="0"/>
    <m/>
    <m/>
    <s v="HEATER"/>
    <m/>
    <s v="S1"/>
    <s v="U285-AS-13MK800-14"/>
    <s v="13MK800-14"/>
    <s v="FLUE GAS DUCT(1/2)"/>
    <n v="1"/>
    <n v="1203.7999999999997"/>
    <n v="1203.7999999999997"/>
    <s v="(2742x268x6280)"/>
    <m/>
    <m/>
    <m/>
    <m/>
    <m/>
    <m/>
    <m/>
    <m/>
    <m/>
    <m/>
    <m/>
    <m/>
    <m/>
    <n v="0"/>
    <n v="1203.7999999999997"/>
    <m/>
    <m/>
    <n v="0"/>
    <m/>
    <m/>
    <n v="0"/>
    <m/>
    <m/>
    <n v="0"/>
    <m/>
    <m/>
    <n v="0"/>
    <m/>
    <m/>
    <m/>
    <n v="0"/>
    <m/>
    <m/>
    <n v="0"/>
    <s v="PAC"/>
    <m/>
  </r>
  <r>
    <n v="668"/>
    <x v="0"/>
    <s v="Shipment 1 B-10124 Fired Proces Heater"/>
    <x v="0"/>
    <x v="0"/>
    <m/>
    <m/>
    <s v="HEATER"/>
    <m/>
    <s v="S1"/>
    <s v="U285-AS-13MK801-1"/>
    <s v="13MK801-1"/>
    <s v="FLUE GAS DUCT"/>
    <n v="1"/>
    <n v="1434.0000000000002"/>
    <n v="1434.0000000000002"/>
    <s v="(6060x3538x353)"/>
    <m/>
    <m/>
    <m/>
    <m/>
    <m/>
    <m/>
    <m/>
    <m/>
    <m/>
    <m/>
    <m/>
    <m/>
    <m/>
    <n v="0"/>
    <n v="1434.0000000000002"/>
    <m/>
    <m/>
    <n v="0"/>
    <m/>
    <m/>
    <n v="0"/>
    <m/>
    <m/>
    <n v="0"/>
    <m/>
    <m/>
    <n v="0"/>
    <m/>
    <m/>
    <m/>
    <n v="0"/>
    <m/>
    <m/>
    <n v="0"/>
    <s v="PAC"/>
    <m/>
  </r>
  <r>
    <n v="669"/>
    <x v="0"/>
    <s v="Shipment 1 B-10124 Fired Proces Heater"/>
    <x v="0"/>
    <x v="0"/>
    <m/>
    <m/>
    <s v="HEATER"/>
    <m/>
    <s v="S1"/>
    <s v="U285-AS-13MK802-1"/>
    <s v="13MK802-1"/>
    <s v="FLUE GAS DUCT"/>
    <n v="1"/>
    <n v="757.2"/>
    <n v="757.2"/>
    <s v="(6060x1618x353)"/>
    <m/>
    <m/>
    <m/>
    <m/>
    <m/>
    <m/>
    <m/>
    <m/>
    <m/>
    <m/>
    <m/>
    <m/>
    <m/>
    <n v="0"/>
    <n v="757.2"/>
    <m/>
    <m/>
    <n v="0"/>
    <m/>
    <m/>
    <n v="0"/>
    <m/>
    <m/>
    <n v="0"/>
    <m/>
    <m/>
    <n v="0"/>
    <m/>
    <m/>
    <m/>
    <n v="0"/>
    <m/>
    <m/>
    <n v="0"/>
    <s v="PAC"/>
    <m/>
  </r>
  <r>
    <n v="670"/>
    <x v="0"/>
    <s v="Shipment 1 B-10124 Fired Proces Heater"/>
    <x v="0"/>
    <x v="0"/>
    <m/>
    <m/>
    <s v="HEATER"/>
    <m/>
    <s v="S1"/>
    <s v="U285-AS-13MK803-1"/>
    <s v="13MK803-1"/>
    <s v="FLUE GAS DUCT"/>
    <n v="1"/>
    <n v="1434.1000000000001"/>
    <n v="1434.1000000000001"/>
    <s v="(6060x3538x353)"/>
    <m/>
    <m/>
    <m/>
    <m/>
    <m/>
    <m/>
    <m/>
    <m/>
    <m/>
    <m/>
    <m/>
    <m/>
    <m/>
    <n v="0"/>
    <n v="1434.1000000000001"/>
    <m/>
    <m/>
    <n v="0"/>
    <m/>
    <m/>
    <n v="0"/>
    <m/>
    <m/>
    <n v="0"/>
    <m/>
    <m/>
    <n v="0"/>
    <m/>
    <m/>
    <m/>
    <n v="0"/>
    <m/>
    <m/>
    <n v="0"/>
    <s v="PAC"/>
    <m/>
  </r>
  <r>
    <n v="671"/>
    <x v="0"/>
    <s v="Shipment 1 B-10124 Fired Proces Heater"/>
    <x v="0"/>
    <x v="0"/>
    <m/>
    <m/>
    <s v="HEATER"/>
    <m/>
    <s v="S1"/>
    <s v="U285-AS-13MK804-1"/>
    <s v="13MK804-1"/>
    <s v="FLUE GAS DUCT"/>
    <n v="1"/>
    <n v="1383.9"/>
    <n v="1383.9"/>
    <s v="(6060x3379x353)"/>
    <m/>
    <m/>
    <m/>
    <m/>
    <m/>
    <m/>
    <m/>
    <m/>
    <m/>
    <m/>
    <m/>
    <m/>
    <m/>
    <n v="0"/>
    <n v="1383.9"/>
    <m/>
    <m/>
    <n v="0"/>
    <m/>
    <m/>
    <n v="0"/>
    <m/>
    <m/>
    <n v="0"/>
    <m/>
    <m/>
    <n v="0"/>
    <m/>
    <m/>
    <m/>
    <n v="0"/>
    <m/>
    <m/>
    <n v="0"/>
    <s v="PAC"/>
    <m/>
  </r>
  <r>
    <n v="672"/>
    <x v="0"/>
    <s v="Shipment 1 B-10124 Fired Proces Heater"/>
    <x v="0"/>
    <x v="0"/>
    <m/>
    <m/>
    <s v="HEATER"/>
    <m/>
    <s v="S1"/>
    <s v="U285-AS-13MK805-1"/>
    <s v="13MK805-1"/>
    <s v="FLUE GAS DUCT"/>
    <n v="1"/>
    <n v="1342.5"/>
    <n v="1342.5"/>
    <s v="(6060x3248x353)"/>
    <m/>
    <m/>
    <m/>
    <m/>
    <m/>
    <m/>
    <m/>
    <m/>
    <m/>
    <m/>
    <m/>
    <m/>
    <m/>
    <n v="0"/>
    <n v="1342.5"/>
    <m/>
    <m/>
    <n v="0"/>
    <m/>
    <m/>
    <n v="0"/>
    <m/>
    <m/>
    <n v="0"/>
    <m/>
    <m/>
    <n v="0"/>
    <m/>
    <m/>
    <m/>
    <n v="0"/>
    <m/>
    <m/>
    <n v="0"/>
    <s v="PAC"/>
    <m/>
  </r>
  <r>
    <n v="673"/>
    <x v="0"/>
    <s v="Shipment 1 B-10124 Fired Proces Heater"/>
    <x v="0"/>
    <x v="0"/>
    <m/>
    <m/>
    <s v="HEATER"/>
    <m/>
    <s v="S1"/>
    <s v="U285-AS-13MK806-1"/>
    <s v="13MK806-1"/>
    <s v="FLUE GAS DUCT(1/11)"/>
    <n v="1"/>
    <n v="10533.300000000003"/>
    <n v="10533.300000000003"/>
    <s v="(11314x5000x4723)"/>
    <m/>
    <m/>
    <m/>
    <m/>
    <m/>
    <m/>
    <m/>
    <m/>
    <m/>
    <m/>
    <m/>
    <m/>
    <m/>
    <n v="0"/>
    <n v="10533.300000000003"/>
    <m/>
    <m/>
    <n v="0"/>
    <m/>
    <m/>
    <n v="0"/>
    <m/>
    <m/>
    <n v="0"/>
    <m/>
    <m/>
    <n v="0"/>
    <m/>
    <m/>
    <m/>
    <n v="0"/>
    <m/>
    <m/>
    <n v="0"/>
    <s v="PAC"/>
    <m/>
  </r>
  <r>
    <n v="674"/>
    <x v="0"/>
    <s v="Shipment 1 B-10124 Fired Proces Heater"/>
    <x v="0"/>
    <x v="0"/>
    <m/>
    <m/>
    <s v="HEATER"/>
    <m/>
    <s v="S1"/>
    <s v="U285-AS-13MK806-3"/>
    <s v="13MK806-3"/>
    <s v="FLUE GAS DUCT(1/4)"/>
    <n v="1"/>
    <n v="3176.6"/>
    <n v="3176.6"/>
    <s v="(5683x1314x6440)"/>
    <m/>
    <m/>
    <m/>
    <m/>
    <m/>
    <m/>
    <m/>
    <m/>
    <m/>
    <m/>
    <m/>
    <m/>
    <m/>
    <n v="0"/>
    <n v="3176.6"/>
    <m/>
    <m/>
    <n v="0"/>
    <m/>
    <m/>
    <n v="0"/>
    <m/>
    <m/>
    <n v="0"/>
    <m/>
    <m/>
    <n v="0"/>
    <m/>
    <m/>
    <m/>
    <n v="0"/>
    <m/>
    <m/>
    <n v="0"/>
    <s v="PAC"/>
    <m/>
  </r>
  <r>
    <n v="675"/>
    <x v="0"/>
    <s v="Shipment 1 B-10124 Fired Proces Heater"/>
    <x v="0"/>
    <x v="0"/>
    <m/>
    <m/>
    <s v="HEATER"/>
    <m/>
    <s v="S1"/>
    <s v="U285-AS-13MK806-AD5-1"/>
    <s v="13MK806-AD5-1(1/4)"/>
    <m/>
    <n v="1"/>
    <n v="7.4999999999999997E-2"/>
    <n v="7.4999999999999997E-2"/>
    <s v="(50x5x50)"/>
    <m/>
    <m/>
    <m/>
    <m/>
    <m/>
    <m/>
    <m/>
    <m/>
    <m/>
    <m/>
    <m/>
    <m/>
    <m/>
    <n v="0"/>
    <n v="7.4999999999999997E-2"/>
    <m/>
    <m/>
    <n v="0"/>
    <m/>
    <m/>
    <n v="0"/>
    <m/>
    <m/>
    <n v="0"/>
    <m/>
    <m/>
    <n v="0"/>
    <m/>
    <m/>
    <m/>
    <n v="0"/>
    <m/>
    <m/>
    <n v="0"/>
    <s v="PAC"/>
    <m/>
  </r>
  <r>
    <n v="676"/>
    <x v="0"/>
    <s v="Shipment 1 B-10124 Fired Proces Heater"/>
    <x v="0"/>
    <x v="0"/>
    <m/>
    <m/>
    <s v="HEATER"/>
    <m/>
    <s v="S1"/>
    <s v="U285-AS-13MK806-AD5-1"/>
    <s v="13MK806-AD5-1(2/4)"/>
    <m/>
    <n v="1"/>
    <n v="7.4999999999999997E-2"/>
    <n v="7.4999999999999997E-2"/>
    <s v="(50x5x50)"/>
    <m/>
    <m/>
    <m/>
    <m/>
    <m/>
    <m/>
    <m/>
    <m/>
    <m/>
    <m/>
    <m/>
    <m/>
    <m/>
    <n v="0"/>
    <n v="7.4999999999999997E-2"/>
    <m/>
    <m/>
    <n v="0"/>
    <m/>
    <m/>
    <n v="0"/>
    <m/>
    <m/>
    <n v="0"/>
    <m/>
    <m/>
    <n v="0"/>
    <m/>
    <m/>
    <m/>
    <n v="0"/>
    <m/>
    <m/>
    <n v="0"/>
    <s v="PAC"/>
    <m/>
  </r>
  <r>
    <n v="677"/>
    <x v="0"/>
    <s v="Shipment 1 B-10124 Fired Proces Heater"/>
    <x v="0"/>
    <x v="0"/>
    <m/>
    <m/>
    <s v="HEATER"/>
    <m/>
    <s v="S1"/>
    <s v="U285-AS-13MK806-AD5-1"/>
    <s v="13MK806-AD5-1(3/4)"/>
    <m/>
    <n v="1"/>
    <n v="7.4999999999999997E-2"/>
    <n v="7.4999999999999997E-2"/>
    <s v="(50x5x50)"/>
    <m/>
    <m/>
    <m/>
    <m/>
    <m/>
    <m/>
    <m/>
    <m/>
    <m/>
    <m/>
    <m/>
    <m/>
    <m/>
    <n v="0"/>
    <n v="7.4999999999999997E-2"/>
    <m/>
    <m/>
    <n v="0"/>
    <m/>
    <m/>
    <n v="0"/>
    <m/>
    <m/>
    <n v="0"/>
    <m/>
    <m/>
    <n v="0"/>
    <m/>
    <m/>
    <m/>
    <n v="0"/>
    <m/>
    <m/>
    <n v="0"/>
    <s v="PAC"/>
    <m/>
  </r>
  <r>
    <n v="678"/>
    <x v="0"/>
    <s v="Shipment 1 B-10124 Fired Proces Heater"/>
    <x v="0"/>
    <x v="0"/>
    <m/>
    <m/>
    <s v="HEATER"/>
    <m/>
    <s v="S1"/>
    <s v="U285-AS-13MK806-AD5-1"/>
    <s v="13MK806-AD5-1(4/4)"/>
    <m/>
    <n v="1"/>
    <n v="7.4999999999999997E-2"/>
    <n v="7.4999999999999997E-2"/>
    <s v="(50x5x50)"/>
    <m/>
    <m/>
    <m/>
    <m/>
    <m/>
    <m/>
    <m/>
    <m/>
    <m/>
    <m/>
    <m/>
    <m/>
    <m/>
    <n v="0"/>
    <n v="7.4999999999999997E-2"/>
    <m/>
    <m/>
    <n v="0"/>
    <m/>
    <m/>
    <n v="0"/>
    <m/>
    <m/>
    <n v="0"/>
    <m/>
    <m/>
    <n v="0"/>
    <m/>
    <m/>
    <m/>
    <n v="0"/>
    <m/>
    <m/>
    <n v="0"/>
    <s v="PAC"/>
    <m/>
  </r>
  <r>
    <n v="679"/>
    <x v="0"/>
    <s v="Shipment 1 B-10124 Fired Proces Heater"/>
    <x v="0"/>
    <x v="0"/>
    <m/>
    <m/>
    <s v="HEATER"/>
    <m/>
    <s v="S1"/>
    <s v="U285-AS-13MK806-AD5-2"/>
    <s v="13MK806-AD5-2"/>
    <m/>
    <n v="1"/>
    <n v="79.600000000000009"/>
    <n v="79.600000000000009"/>
    <s v="(877x317x762)"/>
    <m/>
    <m/>
    <m/>
    <m/>
    <m/>
    <m/>
    <m/>
    <m/>
    <m/>
    <m/>
    <m/>
    <m/>
    <m/>
    <n v="0"/>
    <n v="79.600000000000009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915"/>
  <sheetViews>
    <sheetView tabSelected="1" zoomScale="70" zoomScaleNormal="70" workbookViewId="0">
      <pane xSplit="18" ySplit="3" topLeftCell="S97" activePane="bottomRight" state="frozen"/>
      <selection pane="topRight" activeCell="S1" sqref="S1"/>
      <selection pane="bottomLeft" activeCell="A4" sqref="A4"/>
      <selection pane="bottomRight" activeCell="M129" sqref="M129:O151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21.375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31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ÁN:U285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46312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SUBTOTAL(9,AK4:AK914)</f>
        <v>152</v>
      </c>
      <c r="AL2" s="68">
        <f>SUBTOTAL(9,AL4:AL914)</f>
        <v>156040.95000000004</v>
      </c>
      <c r="AM2" s="15"/>
      <c r="AN2" s="67">
        <f>SUBTOTAL(9,AN4:AN914)</f>
        <v>131</v>
      </c>
      <c r="AO2" s="68">
        <f>SUBTOTAL(9,AO4:AO914)</f>
        <v>142921.42000000004</v>
      </c>
      <c r="AP2" s="15"/>
      <c r="AQ2" s="67">
        <f>SUBTOTAL(9,AQ4:AQ914)</f>
        <v>12</v>
      </c>
      <c r="AR2" s="68">
        <f>SUBTOTAL(9,AR4:AR914)</f>
        <v>48023.4</v>
      </c>
      <c r="AS2" s="16" t="str">
        <f>SUBSTITUTE(A1,"DỰ ÁN:","")&amp;"-"</f>
        <v>U285-</v>
      </c>
      <c r="AT2" s="17"/>
      <c r="AU2" s="67">
        <f>SUBTOTAL(9,AU4:AU914)</f>
        <v>46</v>
      </c>
      <c r="AV2" s="68">
        <f>SUBTOTAL(9,AV4:AV914)</f>
        <v>48922.100000000028</v>
      </c>
      <c r="AW2" s="16"/>
      <c r="AX2" s="67">
        <f>SUBTOTAL(9,AX4:AX914)</f>
        <v>46</v>
      </c>
      <c r="AY2" s="67">
        <f>SUBTOTAL(9,AY4:AY914)</f>
        <v>48922.100000000028</v>
      </c>
      <c r="AZ2" s="17"/>
      <c r="BA2" s="18" t="str">
        <f>SUBSTITUTE(A1,"DỰ ÁN:","")&amp;"-"</f>
        <v>U285-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840</v>
      </c>
      <c r="C4" s="25" t="str">
        <f>D4&amp;" "&amp;E4</f>
        <v>Shipment 1 B-10124 Fired Proces Heater</v>
      </c>
      <c r="D4" s="25" t="s">
        <v>839</v>
      </c>
      <c r="E4" s="25" t="s">
        <v>838</v>
      </c>
      <c r="F4" s="25"/>
      <c r="G4" s="65"/>
      <c r="H4" s="25" t="s">
        <v>842</v>
      </c>
      <c r="I4" s="25"/>
      <c r="J4" s="26" t="s">
        <v>843</v>
      </c>
      <c r="K4" s="27" t="s">
        <v>69</v>
      </c>
      <c r="L4" s="28" t="s">
        <v>70</v>
      </c>
      <c r="M4" s="28" t="s">
        <v>704</v>
      </c>
      <c r="N4" s="25">
        <v>1</v>
      </c>
      <c r="O4" s="29">
        <v>5.55</v>
      </c>
      <c r="P4" s="29">
        <v>5.55</v>
      </c>
      <c r="Q4" s="25" t="s">
        <v>705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0</v>
      </c>
      <c r="AF4" s="32">
        <f>+P4-AE4</f>
        <v>5.55</v>
      </c>
      <c r="AG4" s="30"/>
      <c r="AH4" s="33"/>
      <c r="AI4" s="34">
        <f>+AH4*P4</f>
        <v>0</v>
      </c>
      <c r="AJ4" s="35"/>
      <c r="AK4" s="30"/>
      <c r="AL4" s="36">
        <f>IFERROR(AK4*$P4/$N4,0)</f>
        <v>0</v>
      </c>
      <c r="AM4" s="35"/>
      <c r="AN4" s="30"/>
      <c r="AO4" s="36">
        <f>IFERROR(AN4*$P4/$N4,0)</f>
        <v>0</v>
      </c>
      <c r="AP4" s="35"/>
      <c r="AQ4" s="30"/>
      <c r="AR4" s="36">
        <f>IFERROR(AQ4*$P4/$N4,0)</f>
        <v>0</v>
      </c>
      <c r="AS4" s="27"/>
      <c r="AT4" s="37"/>
      <c r="AU4" s="30"/>
      <c r="AV4" s="36">
        <f>IFERROR(AU4*$P4/$N4,0)</f>
        <v>0</v>
      </c>
      <c r="AW4" s="35"/>
      <c r="AX4" s="30"/>
      <c r="AY4" s="32">
        <f>IFERROR(AX4*$P4/$N4,0)</f>
        <v>0</v>
      </c>
      <c r="AZ4" s="30" t="s">
        <v>841</v>
      </c>
      <c r="BA4" s="63"/>
      <c r="BB4" s="71" t="e">
        <f>SUMIFS([1]Form!$F$9:$F$22,[1]Form!$K$9:$K$22,K4)</f>
        <v>#VALUE!</v>
      </c>
      <c r="BC4" s="71"/>
      <c r="BD4" s="71"/>
      <c r="BF4" s="59" t="s">
        <v>840</v>
      </c>
      <c r="BG4" s="72">
        <v>292413.6999999999</v>
      </c>
      <c r="BH4" s="70">
        <v>156040.95000000004</v>
      </c>
    </row>
    <row r="5" spans="1:60" x14ac:dyDescent="0.25">
      <c r="A5" s="24">
        <f>IF(B5="","",SUBTOTAL(3,$B$4:B5))</f>
        <v>2</v>
      </c>
      <c r="B5" s="25" t="s">
        <v>840</v>
      </c>
      <c r="C5" s="25" t="str">
        <f t="shared" ref="C5:C44" si="0">D5&amp;" "&amp;E5</f>
        <v>Shipment 1 B-10124 Fired Proces Heater</v>
      </c>
      <c r="D5" s="25" t="s">
        <v>839</v>
      </c>
      <c r="E5" s="25" t="s">
        <v>838</v>
      </c>
      <c r="F5" s="25"/>
      <c r="G5" s="65"/>
      <c r="H5" s="25" t="s">
        <v>842</v>
      </c>
      <c r="I5" s="25"/>
      <c r="J5" s="26" t="s">
        <v>843</v>
      </c>
      <c r="K5" s="27" t="s">
        <v>69</v>
      </c>
      <c r="L5" s="28" t="s">
        <v>71</v>
      </c>
      <c r="M5" s="28" t="s">
        <v>704</v>
      </c>
      <c r="N5" s="25">
        <v>1</v>
      </c>
      <c r="O5" s="29">
        <v>5.55</v>
      </c>
      <c r="P5" s="29">
        <v>5.55</v>
      </c>
      <c r="Q5" s="25" t="s">
        <v>705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914" si="1">+AL5*0.5+AO5*0.4+AV5*0.1</f>
        <v>0</v>
      </c>
      <c r="AF5" s="32">
        <f t="shared" ref="AF5:AF914" si="2">+P5-AE5</f>
        <v>5.55</v>
      </c>
      <c r="AG5" s="30"/>
      <c r="AH5" s="33"/>
      <c r="AI5" s="34">
        <f t="shared" ref="AI5:AI914" si="3">+AH5*P5</f>
        <v>0</v>
      </c>
      <c r="AJ5" s="35"/>
      <c r="AK5" s="30"/>
      <c r="AL5" s="36">
        <f t="shared" ref="AL5:AL914" si="4">IFERROR(AK5*$P5/$N5,0)</f>
        <v>0</v>
      </c>
      <c r="AM5" s="35"/>
      <c r="AN5" s="30"/>
      <c r="AO5" s="36">
        <f t="shared" ref="AO5:AO914" si="5">IFERROR(AN5*$P5/$N5,0)</f>
        <v>0</v>
      </c>
      <c r="AP5" s="35"/>
      <c r="AQ5" s="30"/>
      <c r="AR5" s="36">
        <f t="shared" ref="AR5:AR914" si="6">IFERROR(AQ5*$P5/$N5,0)</f>
        <v>0</v>
      </c>
      <c r="AS5" s="27"/>
      <c r="AT5" s="37"/>
      <c r="AU5" s="30"/>
      <c r="AV5" s="36">
        <f t="shared" ref="AV5:AV914" si="7">IFERROR(AU5*$P5/$N5,0)</f>
        <v>0</v>
      </c>
      <c r="AW5" s="35"/>
      <c r="AX5" s="30"/>
      <c r="AY5" s="32">
        <f t="shared" ref="AY5:AY914" si="8">IFERROR(AX5*$P5/$N5,0)</f>
        <v>0</v>
      </c>
      <c r="AZ5" s="30" t="s">
        <v>841</v>
      </c>
      <c r="BA5" s="63"/>
      <c r="BB5" s="71" t="e">
        <f>SUMIFS([1]Form!$F$9:$F$22,[1]Form!$K$9:$K$22,K5)</f>
        <v>#VALUE!</v>
      </c>
      <c r="BC5" s="71"/>
      <c r="BD5" s="71"/>
      <c r="BF5" s="60" t="s">
        <v>839</v>
      </c>
      <c r="BG5" s="72">
        <v>292413.6999999999</v>
      </c>
      <c r="BH5" s="70">
        <v>156040.95000000004</v>
      </c>
    </row>
    <row r="6" spans="1:60" x14ac:dyDescent="0.25">
      <c r="A6" s="24">
        <f>IF(B6="","",SUBTOTAL(3,$B$4:B6))</f>
        <v>3</v>
      </c>
      <c r="B6" s="25" t="s">
        <v>840</v>
      </c>
      <c r="C6" s="25" t="str">
        <f t="shared" si="0"/>
        <v>Shipment 1 B-10124 Fired Proces Heater</v>
      </c>
      <c r="D6" s="25" t="s">
        <v>839</v>
      </c>
      <c r="E6" s="25" t="s">
        <v>838</v>
      </c>
      <c r="F6" s="25"/>
      <c r="G6" s="65"/>
      <c r="H6" s="25" t="s">
        <v>842</v>
      </c>
      <c r="I6" s="25"/>
      <c r="J6" s="26" t="s">
        <v>843</v>
      </c>
      <c r="K6" s="27" t="s">
        <v>69</v>
      </c>
      <c r="L6" s="28" t="s">
        <v>72</v>
      </c>
      <c r="M6" s="28" t="s">
        <v>704</v>
      </c>
      <c r="N6" s="25">
        <v>1</v>
      </c>
      <c r="O6" s="29">
        <v>5.55</v>
      </c>
      <c r="P6" s="29">
        <v>5.55</v>
      </c>
      <c r="Q6" s="25" t="s">
        <v>705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0</v>
      </c>
      <c r="AF6" s="32">
        <f t="shared" si="2"/>
        <v>5.55</v>
      </c>
      <c r="AG6" s="30"/>
      <c r="AH6" s="33"/>
      <c r="AI6" s="34">
        <f t="shared" si="3"/>
        <v>0</v>
      </c>
      <c r="AJ6" s="35"/>
      <c r="AK6" s="30"/>
      <c r="AL6" s="36">
        <f t="shared" si="4"/>
        <v>0</v>
      </c>
      <c r="AM6" s="35"/>
      <c r="AN6" s="30"/>
      <c r="AO6" s="36">
        <f t="shared" si="5"/>
        <v>0</v>
      </c>
      <c r="AP6" s="35"/>
      <c r="AQ6" s="30"/>
      <c r="AR6" s="36">
        <f t="shared" si="6"/>
        <v>0</v>
      </c>
      <c r="AS6" s="27"/>
      <c r="AT6" s="37"/>
      <c r="AU6" s="30"/>
      <c r="AV6" s="36">
        <f t="shared" si="7"/>
        <v>0</v>
      </c>
      <c r="AW6" s="35"/>
      <c r="AX6" s="30"/>
      <c r="AY6" s="32">
        <f t="shared" si="8"/>
        <v>0</v>
      </c>
      <c r="AZ6" s="30" t="s">
        <v>841</v>
      </c>
      <c r="BA6" s="63"/>
      <c r="BB6" s="71" t="e">
        <f>SUMIFS([1]Form!$F$9:$F$22,[1]Form!$K$9:$K$22,K6)</f>
        <v>#VALUE!</v>
      </c>
      <c r="BC6" s="71"/>
      <c r="BD6" s="71"/>
      <c r="BF6" s="61" t="s">
        <v>838</v>
      </c>
      <c r="BG6" s="72">
        <v>292413.6999999999</v>
      </c>
      <c r="BH6" s="70">
        <v>156040.95000000004</v>
      </c>
    </row>
    <row r="7" spans="1:60" x14ac:dyDescent="0.25">
      <c r="A7" s="24">
        <f>IF(B7="","",SUBTOTAL(3,$B$4:B7))</f>
        <v>4</v>
      </c>
      <c r="B7" s="25" t="s">
        <v>840</v>
      </c>
      <c r="C7" s="25" t="str">
        <f t="shared" si="0"/>
        <v>Shipment 1 B-10124 Fired Proces Heater</v>
      </c>
      <c r="D7" s="25" t="s">
        <v>839</v>
      </c>
      <c r="E7" s="25" t="s">
        <v>838</v>
      </c>
      <c r="F7" s="25"/>
      <c r="G7" s="65"/>
      <c r="H7" s="25" t="s">
        <v>842</v>
      </c>
      <c r="I7" s="25"/>
      <c r="J7" s="26" t="s">
        <v>843</v>
      </c>
      <c r="K7" s="27" t="s">
        <v>69</v>
      </c>
      <c r="L7" s="28" t="s">
        <v>73</v>
      </c>
      <c r="M7" s="28" t="s">
        <v>704</v>
      </c>
      <c r="N7" s="25">
        <v>1</v>
      </c>
      <c r="O7" s="29">
        <v>5.55</v>
      </c>
      <c r="P7" s="29">
        <v>5.55</v>
      </c>
      <c r="Q7" s="25" t="s">
        <v>705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0</v>
      </c>
      <c r="AF7" s="32">
        <f t="shared" si="2"/>
        <v>5.55</v>
      </c>
      <c r="AG7" s="30"/>
      <c r="AH7" s="33"/>
      <c r="AI7" s="34">
        <f t="shared" si="3"/>
        <v>0</v>
      </c>
      <c r="AJ7" s="35"/>
      <c r="AK7" s="30"/>
      <c r="AL7" s="36">
        <f t="shared" si="4"/>
        <v>0</v>
      </c>
      <c r="AM7" s="35"/>
      <c r="AN7" s="30"/>
      <c r="AO7" s="36">
        <f t="shared" si="5"/>
        <v>0</v>
      </c>
      <c r="AP7" s="35"/>
      <c r="AQ7" s="30"/>
      <c r="AR7" s="36">
        <f t="shared" si="6"/>
        <v>0</v>
      </c>
      <c r="AS7" s="27"/>
      <c r="AT7" s="37"/>
      <c r="AU7" s="30"/>
      <c r="AV7" s="36">
        <f t="shared" si="7"/>
        <v>0</v>
      </c>
      <c r="AW7" s="35"/>
      <c r="AX7" s="30"/>
      <c r="AY7" s="32">
        <f t="shared" si="8"/>
        <v>0</v>
      </c>
      <c r="AZ7" s="30" t="s">
        <v>841</v>
      </c>
      <c r="BA7" s="63"/>
      <c r="BB7" s="71" t="e">
        <f>SUMIFS([1]Form!$F$9:$F$22,[1]Form!$K$9:$K$22,K7)</f>
        <v>#VALUE!</v>
      </c>
      <c r="BC7" s="71"/>
      <c r="BD7" s="71"/>
      <c r="BF7" s="59" t="s">
        <v>50</v>
      </c>
      <c r="BG7" s="72">
        <v>292413.6999999999</v>
      </c>
      <c r="BH7" s="70">
        <v>156040.95000000004</v>
      </c>
    </row>
    <row r="8" spans="1:60" x14ac:dyDescent="0.25">
      <c r="A8" s="24">
        <f>IF(B8="","",SUBTOTAL(3,$B$4:B8))</f>
        <v>5</v>
      </c>
      <c r="B8" s="25" t="s">
        <v>840</v>
      </c>
      <c r="C8" s="25" t="str">
        <f t="shared" si="0"/>
        <v>Shipment 1 B-10124 Fired Proces Heater</v>
      </c>
      <c r="D8" s="25" t="s">
        <v>839</v>
      </c>
      <c r="E8" s="25" t="s">
        <v>838</v>
      </c>
      <c r="F8" s="25"/>
      <c r="G8" s="65"/>
      <c r="H8" s="25" t="s">
        <v>842</v>
      </c>
      <c r="I8" s="25"/>
      <c r="J8" s="26" t="s">
        <v>843</v>
      </c>
      <c r="K8" s="27" t="s">
        <v>69</v>
      </c>
      <c r="L8" s="28" t="s">
        <v>74</v>
      </c>
      <c r="M8" s="28" t="s">
        <v>704</v>
      </c>
      <c r="N8" s="25">
        <v>1</v>
      </c>
      <c r="O8" s="29">
        <v>5.55</v>
      </c>
      <c r="P8" s="29">
        <v>5.55</v>
      </c>
      <c r="Q8" s="25" t="s">
        <v>705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0</v>
      </c>
      <c r="AF8" s="32">
        <f t="shared" si="2"/>
        <v>5.55</v>
      </c>
      <c r="AG8" s="30"/>
      <c r="AH8" s="33"/>
      <c r="AI8" s="34">
        <f t="shared" si="3"/>
        <v>0</v>
      </c>
      <c r="AJ8" s="35"/>
      <c r="AK8" s="30"/>
      <c r="AL8" s="36">
        <f t="shared" si="4"/>
        <v>0</v>
      </c>
      <c r="AM8" s="35"/>
      <c r="AN8" s="30"/>
      <c r="AO8" s="36">
        <f t="shared" si="5"/>
        <v>0</v>
      </c>
      <c r="AP8" s="35"/>
      <c r="AQ8" s="30"/>
      <c r="AR8" s="36">
        <f t="shared" si="6"/>
        <v>0</v>
      </c>
      <c r="AS8" s="27"/>
      <c r="AT8" s="37"/>
      <c r="AU8" s="30"/>
      <c r="AV8" s="36">
        <f t="shared" si="7"/>
        <v>0</v>
      </c>
      <c r="AW8" s="35"/>
      <c r="AX8" s="30"/>
      <c r="AY8" s="32">
        <f t="shared" si="8"/>
        <v>0</v>
      </c>
      <c r="AZ8" s="30" t="s">
        <v>841</v>
      </c>
      <c r="BA8" s="63"/>
      <c r="BB8" s="71" t="e">
        <f>SUMIFS([1]Form!$F$9:$F$22,[1]Form!$K$9:$K$22,K8)</f>
        <v>#VALUE!</v>
      </c>
      <c r="BC8" s="71"/>
      <c r="BD8" s="71"/>
    </row>
    <row r="9" spans="1:60" x14ac:dyDescent="0.25">
      <c r="A9" s="24">
        <f>IF(B9="","",SUBTOTAL(3,$B$4:B9))</f>
        <v>6</v>
      </c>
      <c r="B9" s="25" t="s">
        <v>840</v>
      </c>
      <c r="C9" s="25" t="str">
        <f t="shared" si="0"/>
        <v>Shipment 1 B-10124 Fired Proces Heater</v>
      </c>
      <c r="D9" s="25" t="s">
        <v>839</v>
      </c>
      <c r="E9" s="25" t="s">
        <v>838</v>
      </c>
      <c r="F9" s="25"/>
      <c r="G9" s="65"/>
      <c r="H9" s="25" t="s">
        <v>842</v>
      </c>
      <c r="I9" s="25"/>
      <c r="J9" s="26" t="s">
        <v>843</v>
      </c>
      <c r="K9" s="27" t="s">
        <v>69</v>
      </c>
      <c r="L9" s="28" t="s">
        <v>75</v>
      </c>
      <c r="M9" s="28" t="s">
        <v>704</v>
      </c>
      <c r="N9" s="25">
        <v>1</v>
      </c>
      <c r="O9" s="29">
        <v>5.55</v>
      </c>
      <c r="P9" s="29">
        <v>5.55</v>
      </c>
      <c r="Q9" s="25" t="s">
        <v>705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0</v>
      </c>
      <c r="AF9" s="32">
        <f t="shared" si="2"/>
        <v>5.55</v>
      </c>
      <c r="AG9" s="30"/>
      <c r="AH9" s="33"/>
      <c r="AI9" s="34">
        <f t="shared" si="3"/>
        <v>0</v>
      </c>
      <c r="AJ9" s="35"/>
      <c r="AK9" s="30"/>
      <c r="AL9" s="36">
        <f t="shared" si="4"/>
        <v>0</v>
      </c>
      <c r="AM9" s="35"/>
      <c r="AN9" s="30"/>
      <c r="AO9" s="36">
        <f t="shared" si="5"/>
        <v>0</v>
      </c>
      <c r="AP9" s="35"/>
      <c r="AQ9" s="30"/>
      <c r="AR9" s="36">
        <f t="shared" si="6"/>
        <v>0</v>
      </c>
      <c r="AS9" s="27"/>
      <c r="AT9" s="37"/>
      <c r="AU9" s="30"/>
      <c r="AV9" s="36">
        <f t="shared" si="7"/>
        <v>0</v>
      </c>
      <c r="AW9" s="35"/>
      <c r="AX9" s="30"/>
      <c r="AY9" s="32">
        <f t="shared" si="8"/>
        <v>0</v>
      </c>
      <c r="AZ9" s="30" t="s">
        <v>841</v>
      </c>
      <c r="BA9" s="63"/>
      <c r="BB9" s="71" t="e">
        <f>SUMIFS([1]Form!$F$9:$F$22,[1]Form!$K$9:$K$22,K9)</f>
        <v>#VALUE!</v>
      </c>
      <c r="BC9" s="71"/>
      <c r="BD9" s="71"/>
    </row>
    <row r="10" spans="1:60" x14ac:dyDescent="0.25">
      <c r="A10" s="24">
        <f>IF(B10="","",SUBTOTAL(3,$B$4:B10))</f>
        <v>7</v>
      </c>
      <c r="B10" s="25" t="s">
        <v>840</v>
      </c>
      <c r="C10" s="25" t="str">
        <f t="shared" si="0"/>
        <v>Shipment 1 B-10124 Fired Proces Heater</v>
      </c>
      <c r="D10" s="25" t="s">
        <v>839</v>
      </c>
      <c r="E10" s="25" t="s">
        <v>838</v>
      </c>
      <c r="F10" s="25"/>
      <c r="G10" s="65"/>
      <c r="H10" s="25" t="s">
        <v>842</v>
      </c>
      <c r="I10" s="25"/>
      <c r="J10" s="26" t="s">
        <v>843</v>
      </c>
      <c r="K10" s="27" t="s">
        <v>69</v>
      </c>
      <c r="L10" s="28" t="s">
        <v>76</v>
      </c>
      <c r="M10" s="28" t="s">
        <v>704</v>
      </c>
      <c r="N10" s="25">
        <v>1</v>
      </c>
      <c r="O10" s="29">
        <v>5.55</v>
      </c>
      <c r="P10" s="29">
        <v>5.55</v>
      </c>
      <c r="Q10" s="25" t="s">
        <v>705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0</v>
      </c>
      <c r="AF10" s="32">
        <f t="shared" si="2"/>
        <v>5.55</v>
      </c>
      <c r="AG10" s="30"/>
      <c r="AH10" s="33"/>
      <c r="AI10" s="34">
        <f t="shared" si="3"/>
        <v>0</v>
      </c>
      <c r="AJ10" s="35"/>
      <c r="AK10" s="30"/>
      <c r="AL10" s="36">
        <f t="shared" si="4"/>
        <v>0</v>
      </c>
      <c r="AM10" s="35"/>
      <c r="AN10" s="30"/>
      <c r="AO10" s="36">
        <f t="shared" si="5"/>
        <v>0</v>
      </c>
      <c r="AP10" s="35"/>
      <c r="AQ10" s="30"/>
      <c r="AR10" s="36">
        <f t="shared" si="6"/>
        <v>0</v>
      </c>
      <c r="AS10" s="27"/>
      <c r="AT10" s="37"/>
      <c r="AU10" s="30"/>
      <c r="AV10" s="36">
        <f t="shared" si="7"/>
        <v>0</v>
      </c>
      <c r="AW10" s="35"/>
      <c r="AX10" s="30"/>
      <c r="AY10" s="32">
        <f t="shared" si="8"/>
        <v>0</v>
      </c>
      <c r="AZ10" s="30" t="s">
        <v>841</v>
      </c>
      <c r="BA10" s="63"/>
      <c r="BB10" s="71" t="e">
        <f>SUMIFS([1]Form!$F$9:$F$22,[1]Form!$K$9:$K$22,K10)</f>
        <v>#VALUE!</v>
      </c>
      <c r="BC10" s="71"/>
      <c r="BD10" s="71"/>
    </row>
    <row r="11" spans="1:60" x14ac:dyDescent="0.25">
      <c r="A11" s="24">
        <f>IF(B11="","",SUBTOTAL(3,$B$4:B11))</f>
        <v>8</v>
      </c>
      <c r="B11" s="25" t="s">
        <v>840</v>
      </c>
      <c r="C11" s="25" t="str">
        <f t="shared" si="0"/>
        <v>Shipment 1 B-10124 Fired Proces Heater</v>
      </c>
      <c r="D11" s="25" t="s">
        <v>839</v>
      </c>
      <c r="E11" s="25" t="s">
        <v>838</v>
      </c>
      <c r="F11" s="25"/>
      <c r="G11" s="65"/>
      <c r="H11" s="25" t="s">
        <v>842</v>
      </c>
      <c r="I11" s="25"/>
      <c r="J11" s="26" t="s">
        <v>843</v>
      </c>
      <c r="K11" s="27" t="s">
        <v>69</v>
      </c>
      <c r="L11" s="28" t="s">
        <v>77</v>
      </c>
      <c r="M11" s="28" t="s">
        <v>704</v>
      </c>
      <c r="N11" s="25">
        <v>1</v>
      </c>
      <c r="O11" s="29">
        <v>5.55</v>
      </c>
      <c r="P11" s="29">
        <v>5.55</v>
      </c>
      <c r="Q11" s="25" t="s">
        <v>705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ref="AE11:AE18" si="9">+AL11*0.5+AO11*0.4+AV11*0.1</f>
        <v>0</v>
      </c>
      <c r="AF11" s="32">
        <f t="shared" ref="AF11:AF18" si="10">+P11-AE11</f>
        <v>5.55</v>
      </c>
      <c r="AG11" s="30"/>
      <c r="AH11" s="33"/>
      <c r="AI11" s="34">
        <f t="shared" ref="AI11:AI18" si="11">+AH11*P11</f>
        <v>0</v>
      </c>
      <c r="AJ11" s="35"/>
      <c r="AK11" s="30"/>
      <c r="AL11" s="36">
        <f t="shared" ref="AL11:AL18" si="12">IFERROR(AK11*$P11/$N11,0)</f>
        <v>0</v>
      </c>
      <c r="AM11" s="35"/>
      <c r="AN11" s="30"/>
      <c r="AO11" s="36">
        <f t="shared" ref="AO11:AO18" si="13">IFERROR(AN11*$P11/$N11,0)</f>
        <v>0</v>
      </c>
      <c r="AP11" s="35"/>
      <c r="AQ11" s="30"/>
      <c r="AR11" s="36">
        <f t="shared" ref="AR11:AR18" si="14">IFERROR(AQ11*$P11/$N11,0)</f>
        <v>0</v>
      </c>
      <c r="AS11" s="27"/>
      <c r="AT11" s="37"/>
      <c r="AU11" s="30"/>
      <c r="AV11" s="36">
        <f t="shared" ref="AV11:AV18" si="15">IFERROR(AU11*$P11/$N11,0)</f>
        <v>0</v>
      </c>
      <c r="AW11" s="35"/>
      <c r="AX11" s="30"/>
      <c r="AY11" s="32">
        <f t="shared" ref="AY11:AY18" si="16">IFERROR(AX11*$P11/$N11,0)</f>
        <v>0</v>
      </c>
      <c r="AZ11" s="30" t="s">
        <v>841</v>
      </c>
      <c r="BA11" s="63"/>
      <c r="BB11" s="71" t="e">
        <f>SUMIFS([1]Form!$F$9:$F$22,[1]Form!$K$9:$K$22,K11)</f>
        <v>#VALUE!</v>
      </c>
      <c r="BC11" s="71"/>
      <c r="BD11" s="71"/>
    </row>
    <row r="12" spans="1:60" x14ac:dyDescent="0.25">
      <c r="A12" s="24">
        <f>IF(B12="","",SUBTOTAL(3,$B$4:B12))</f>
        <v>9</v>
      </c>
      <c r="B12" s="25" t="s">
        <v>840</v>
      </c>
      <c r="C12" s="25" t="str">
        <f t="shared" si="0"/>
        <v>Shipment 1 B-10124 Fired Proces Heater</v>
      </c>
      <c r="D12" s="25" t="s">
        <v>839</v>
      </c>
      <c r="E12" s="25" t="s">
        <v>838</v>
      </c>
      <c r="F12" s="25"/>
      <c r="G12" s="65"/>
      <c r="H12" s="25" t="s">
        <v>842</v>
      </c>
      <c r="I12" s="25"/>
      <c r="J12" s="26" t="s">
        <v>843</v>
      </c>
      <c r="K12" s="27" t="s">
        <v>69</v>
      </c>
      <c r="L12" s="28" t="s">
        <v>78</v>
      </c>
      <c r="M12" s="28" t="s">
        <v>704</v>
      </c>
      <c r="N12" s="25">
        <v>1</v>
      </c>
      <c r="O12" s="29">
        <v>5.55</v>
      </c>
      <c r="P12" s="29">
        <v>5.55</v>
      </c>
      <c r="Q12" s="25" t="s">
        <v>705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9"/>
        <v>0</v>
      </c>
      <c r="AF12" s="32">
        <f t="shared" si="10"/>
        <v>5.55</v>
      </c>
      <c r="AG12" s="30"/>
      <c r="AH12" s="33"/>
      <c r="AI12" s="34">
        <f t="shared" si="11"/>
        <v>0</v>
      </c>
      <c r="AJ12" s="35"/>
      <c r="AK12" s="30"/>
      <c r="AL12" s="36">
        <f t="shared" si="12"/>
        <v>0</v>
      </c>
      <c r="AM12" s="35"/>
      <c r="AN12" s="30"/>
      <c r="AO12" s="36">
        <f t="shared" si="13"/>
        <v>0</v>
      </c>
      <c r="AP12" s="35"/>
      <c r="AQ12" s="30"/>
      <c r="AR12" s="36">
        <f t="shared" si="14"/>
        <v>0</v>
      </c>
      <c r="AS12" s="27"/>
      <c r="AT12" s="37"/>
      <c r="AU12" s="30"/>
      <c r="AV12" s="36">
        <f t="shared" si="15"/>
        <v>0</v>
      </c>
      <c r="AW12" s="35"/>
      <c r="AX12" s="30"/>
      <c r="AY12" s="32">
        <f t="shared" si="16"/>
        <v>0</v>
      </c>
      <c r="AZ12" s="30" t="s">
        <v>841</v>
      </c>
      <c r="BA12" s="63"/>
      <c r="BB12" s="71" t="e">
        <f>SUMIFS([1]Form!$F$9:$F$22,[1]Form!$K$9:$K$22,K12)</f>
        <v>#VALUE!</v>
      </c>
      <c r="BC12" s="71"/>
      <c r="BD12" s="71"/>
    </row>
    <row r="13" spans="1:60" x14ac:dyDescent="0.25">
      <c r="A13" s="24">
        <f>IF(B13="","",SUBTOTAL(3,$B$4:B13))</f>
        <v>10</v>
      </c>
      <c r="B13" s="25" t="s">
        <v>840</v>
      </c>
      <c r="C13" s="25" t="str">
        <f t="shared" si="0"/>
        <v>Shipment 1 B-10124 Fired Proces Heater</v>
      </c>
      <c r="D13" s="25" t="s">
        <v>839</v>
      </c>
      <c r="E13" s="25" t="s">
        <v>838</v>
      </c>
      <c r="F13" s="25"/>
      <c r="G13" s="65"/>
      <c r="H13" s="25" t="s">
        <v>842</v>
      </c>
      <c r="I13" s="25"/>
      <c r="J13" s="26" t="s">
        <v>843</v>
      </c>
      <c r="K13" s="27" t="s">
        <v>69</v>
      </c>
      <c r="L13" s="28" t="s">
        <v>79</v>
      </c>
      <c r="M13" s="28" t="s">
        <v>704</v>
      </c>
      <c r="N13" s="25">
        <v>1</v>
      </c>
      <c r="O13" s="29">
        <v>5.55</v>
      </c>
      <c r="P13" s="29">
        <v>5.55</v>
      </c>
      <c r="Q13" s="25" t="s">
        <v>705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9"/>
        <v>0</v>
      </c>
      <c r="AF13" s="32">
        <f t="shared" si="10"/>
        <v>5.55</v>
      </c>
      <c r="AG13" s="30"/>
      <c r="AH13" s="33"/>
      <c r="AI13" s="34">
        <f t="shared" si="11"/>
        <v>0</v>
      </c>
      <c r="AJ13" s="35"/>
      <c r="AK13" s="30"/>
      <c r="AL13" s="36">
        <f t="shared" si="12"/>
        <v>0</v>
      </c>
      <c r="AM13" s="35"/>
      <c r="AN13" s="30"/>
      <c r="AO13" s="36">
        <f t="shared" si="13"/>
        <v>0</v>
      </c>
      <c r="AP13" s="35"/>
      <c r="AQ13" s="30"/>
      <c r="AR13" s="36">
        <f t="shared" si="14"/>
        <v>0</v>
      </c>
      <c r="AS13" s="27"/>
      <c r="AT13" s="37"/>
      <c r="AU13" s="30"/>
      <c r="AV13" s="36">
        <f t="shared" si="15"/>
        <v>0</v>
      </c>
      <c r="AW13" s="35"/>
      <c r="AX13" s="30"/>
      <c r="AY13" s="32">
        <f t="shared" si="16"/>
        <v>0</v>
      </c>
      <c r="AZ13" s="30" t="s">
        <v>841</v>
      </c>
      <c r="BA13" s="63"/>
      <c r="BB13" s="71" t="e">
        <f>SUMIFS([1]Form!$F$9:$F$22,[1]Form!$K$9:$K$22,K13)</f>
        <v>#VALUE!</v>
      </c>
      <c r="BC13" s="71"/>
      <c r="BD13" s="71"/>
    </row>
    <row r="14" spans="1:60" x14ac:dyDescent="0.25">
      <c r="A14" s="24">
        <f>IF(B14="","",SUBTOTAL(3,$B$4:B14))</f>
        <v>11</v>
      </c>
      <c r="B14" s="25" t="s">
        <v>840</v>
      </c>
      <c r="C14" s="25" t="str">
        <f t="shared" si="0"/>
        <v>Shipment 1 B-10124 Fired Proces Heater</v>
      </c>
      <c r="D14" s="25" t="s">
        <v>839</v>
      </c>
      <c r="E14" s="25" t="s">
        <v>838</v>
      </c>
      <c r="F14" s="25"/>
      <c r="G14" s="65"/>
      <c r="H14" s="25" t="s">
        <v>842</v>
      </c>
      <c r="I14" s="25"/>
      <c r="J14" s="26" t="s">
        <v>843</v>
      </c>
      <c r="K14" s="27" t="s">
        <v>69</v>
      </c>
      <c r="L14" s="28" t="s">
        <v>80</v>
      </c>
      <c r="M14" s="28" t="s">
        <v>704</v>
      </c>
      <c r="N14" s="25">
        <v>1</v>
      </c>
      <c r="O14" s="29">
        <v>5.55</v>
      </c>
      <c r="P14" s="29">
        <v>5.55</v>
      </c>
      <c r="Q14" s="25" t="s">
        <v>705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9"/>
        <v>0</v>
      </c>
      <c r="AF14" s="32">
        <f t="shared" si="10"/>
        <v>5.55</v>
      </c>
      <c r="AG14" s="30"/>
      <c r="AH14" s="33"/>
      <c r="AI14" s="34">
        <f t="shared" si="11"/>
        <v>0</v>
      </c>
      <c r="AJ14" s="35"/>
      <c r="AK14" s="30"/>
      <c r="AL14" s="36">
        <f t="shared" si="12"/>
        <v>0</v>
      </c>
      <c r="AM14" s="35"/>
      <c r="AN14" s="30"/>
      <c r="AO14" s="36">
        <f t="shared" si="13"/>
        <v>0</v>
      </c>
      <c r="AP14" s="35"/>
      <c r="AQ14" s="30"/>
      <c r="AR14" s="36">
        <f t="shared" si="14"/>
        <v>0</v>
      </c>
      <c r="AS14" s="27"/>
      <c r="AT14" s="37"/>
      <c r="AU14" s="30"/>
      <c r="AV14" s="36">
        <f t="shared" si="15"/>
        <v>0</v>
      </c>
      <c r="AW14" s="35"/>
      <c r="AX14" s="30"/>
      <c r="AY14" s="32">
        <f t="shared" si="16"/>
        <v>0</v>
      </c>
      <c r="AZ14" s="30" t="s">
        <v>841</v>
      </c>
      <c r="BA14" s="63"/>
      <c r="BB14" s="71" t="e">
        <f>SUMIFS([1]Form!$F$9:$F$22,[1]Form!$K$9:$K$22,K14)</f>
        <v>#VALUE!</v>
      </c>
      <c r="BC14" s="71"/>
      <c r="BD14" s="71"/>
    </row>
    <row r="15" spans="1:60" x14ac:dyDescent="0.25">
      <c r="A15" s="24">
        <f>IF(B15="","",SUBTOTAL(3,$B$4:B15))</f>
        <v>12</v>
      </c>
      <c r="B15" s="25" t="s">
        <v>840</v>
      </c>
      <c r="C15" s="25" t="str">
        <f t="shared" si="0"/>
        <v>Shipment 1 B-10124 Fired Proces Heater</v>
      </c>
      <c r="D15" s="25" t="s">
        <v>839</v>
      </c>
      <c r="E15" s="25" t="s">
        <v>838</v>
      </c>
      <c r="F15" s="25"/>
      <c r="G15" s="65"/>
      <c r="H15" s="25" t="s">
        <v>842</v>
      </c>
      <c r="I15" s="25"/>
      <c r="J15" s="26" t="s">
        <v>843</v>
      </c>
      <c r="K15" s="27" t="s">
        <v>69</v>
      </c>
      <c r="L15" s="28" t="s">
        <v>81</v>
      </c>
      <c r="M15" s="28" t="s">
        <v>704</v>
      </c>
      <c r="N15" s="25">
        <v>1</v>
      </c>
      <c r="O15" s="29">
        <v>5.55</v>
      </c>
      <c r="P15" s="29">
        <v>5.55</v>
      </c>
      <c r="Q15" s="25" t="s">
        <v>705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9"/>
        <v>0</v>
      </c>
      <c r="AF15" s="32">
        <f t="shared" si="10"/>
        <v>5.55</v>
      </c>
      <c r="AG15" s="30"/>
      <c r="AH15" s="33"/>
      <c r="AI15" s="34">
        <f t="shared" si="11"/>
        <v>0</v>
      </c>
      <c r="AJ15" s="35"/>
      <c r="AK15" s="30"/>
      <c r="AL15" s="36">
        <f t="shared" si="12"/>
        <v>0</v>
      </c>
      <c r="AM15" s="35"/>
      <c r="AN15" s="30"/>
      <c r="AO15" s="36">
        <f t="shared" si="13"/>
        <v>0</v>
      </c>
      <c r="AP15" s="35"/>
      <c r="AQ15" s="30"/>
      <c r="AR15" s="36">
        <f t="shared" si="14"/>
        <v>0</v>
      </c>
      <c r="AS15" s="27"/>
      <c r="AT15" s="37"/>
      <c r="AU15" s="30"/>
      <c r="AV15" s="36">
        <f t="shared" si="15"/>
        <v>0</v>
      </c>
      <c r="AW15" s="35"/>
      <c r="AX15" s="30"/>
      <c r="AY15" s="32">
        <f t="shared" si="16"/>
        <v>0</v>
      </c>
      <c r="AZ15" s="30" t="s">
        <v>841</v>
      </c>
      <c r="BA15" s="63"/>
      <c r="BB15" s="71" t="e">
        <f>SUMIFS([1]Form!$F$9:$F$22,[1]Form!$K$9:$K$22,K15)</f>
        <v>#VALUE!</v>
      </c>
      <c r="BC15" s="71"/>
      <c r="BD15" s="71"/>
    </row>
    <row r="16" spans="1:60" x14ac:dyDescent="0.25">
      <c r="A16" s="24">
        <f>IF(B16="","",SUBTOTAL(3,$B$4:B16))</f>
        <v>13</v>
      </c>
      <c r="B16" s="25" t="s">
        <v>840</v>
      </c>
      <c r="C16" s="25" t="str">
        <f t="shared" si="0"/>
        <v>Shipment 1 B-10124 Fired Proces Heater</v>
      </c>
      <c r="D16" s="25" t="s">
        <v>839</v>
      </c>
      <c r="E16" s="25" t="s">
        <v>838</v>
      </c>
      <c r="F16" s="25"/>
      <c r="G16" s="65"/>
      <c r="H16" s="25" t="s">
        <v>842</v>
      </c>
      <c r="I16" s="25"/>
      <c r="J16" s="26" t="s">
        <v>843</v>
      </c>
      <c r="K16" s="27" t="s">
        <v>82</v>
      </c>
      <c r="L16" s="28" t="s">
        <v>83</v>
      </c>
      <c r="M16" s="28" t="s">
        <v>704</v>
      </c>
      <c r="N16" s="25">
        <v>1</v>
      </c>
      <c r="O16" s="29">
        <v>5.55</v>
      </c>
      <c r="P16" s="29">
        <v>5.55</v>
      </c>
      <c r="Q16" s="25" t="s">
        <v>705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9"/>
        <v>0</v>
      </c>
      <c r="AF16" s="32">
        <f t="shared" si="10"/>
        <v>5.55</v>
      </c>
      <c r="AG16" s="30"/>
      <c r="AH16" s="33"/>
      <c r="AI16" s="34">
        <f t="shared" si="11"/>
        <v>0</v>
      </c>
      <c r="AJ16" s="35"/>
      <c r="AK16" s="30"/>
      <c r="AL16" s="36">
        <f t="shared" si="12"/>
        <v>0</v>
      </c>
      <c r="AM16" s="35"/>
      <c r="AN16" s="30"/>
      <c r="AO16" s="36">
        <f t="shared" si="13"/>
        <v>0</v>
      </c>
      <c r="AP16" s="35"/>
      <c r="AQ16" s="30"/>
      <c r="AR16" s="36">
        <f t="shared" si="14"/>
        <v>0</v>
      </c>
      <c r="AS16" s="27"/>
      <c r="AT16" s="37"/>
      <c r="AU16" s="30"/>
      <c r="AV16" s="36">
        <f t="shared" si="15"/>
        <v>0</v>
      </c>
      <c r="AW16" s="35"/>
      <c r="AX16" s="30"/>
      <c r="AY16" s="32">
        <f t="shared" si="16"/>
        <v>0</v>
      </c>
      <c r="AZ16" s="30" t="s">
        <v>841</v>
      </c>
      <c r="BA16" s="63"/>
      <c r="BB16" s="71" t="e">
        <f>SUMIFS([1]Form!$F$9:$F$22,[1]Form!$K$9:$K$22,K16)</f>
        <v>#VALUE!</v>
      </c>
      <c r="BC16" s="71"/>
      <c r="BD16" s="71"/>
    </row>
    <row r="17" spans="1:56" x14ac:dyDescent="0.25">
      <c r="A17" s="24">
        <f>IF(B17="","",SUBTOTAL(3,$B$4:B17))</f>
        <v>14</v>
      </c>
      <c r="B17" s="25" t="s">
        <v>840</v>
      </c>
      <c r="C17" s="25" t="str">
        <f t="shared" si="0"/>
        <v>Shipment 1 B-10124 Fired Proces Heater</v>
      </c>
      <c r="D17" s="25" t="s">
        <v>839</v>
      </c>
      <c r="E17" s="25" t="s">
        <v>838</v>
      </c>
      <c r="F17" s="25"/>
      <c r="G17" s="65"/>
      <c r="H17" s="25" t="s">
        <v>842</v>
      </c>
      <c r="I17" s="25"/>
      <c r="J17" s="26" t="s">
        <v>843</v>
      </c>
      <c r="K17" s="27" t="s">
        <v>82</v>
      </c>
      <c r="L17" s="28" t="s">
        <v>84</v>
      </c>
      <c r="M17" s="28" t="s">
        <v>704</v>
      </c>
      <c r="N17" s="25">
        <v>1</v>
      </c>
      <c r="O17" s="29">
        <v>5.55</v>
      </c>
      <c r="P17" s="29">
        <v>5.55</v>
      </c>
      <c r="Q17" s="25" t="s">
        <v>705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9"/>
        <v>0</v>
      </c>
      <c r="AF17" s="32">
        <f t="shared" si="10"/>
        <v>5.55</v>
      </c>
      <c r="AG17" s="30"/>
      <c r="AH17" s="33"/>
      <c r="AI17" s="34">
        <f t="shared" si="11"/>
        <v>0</v>
      </c>
      <c r="AJ17" s="35"/>
      <c r="AK17" s="30"/>
      <c r="AL17" s="36">
        <f t="shared" si="12"/>
        <v>0</v>
      </c>
      <c r="AM17" s="35"/>
      <c r="AN17" s="30"/>
      <c r="AO17" s="36">
        <f t="shared" si="13"/>
        <v>0</v>
      </c>
      <c r="AP17" s="35"/>
      <c r="AQ17" s="30"/>
      <c r="AR17" s="36">
        <f t="shared" si="14"/>
        <v>0</v>
      </c>
      <c r="AS17" s="27"/>
      <c r="AT17" s="37"/>
      <c r="AU17" s="30"/>
      <c r="AV17" s="36">
        <f t="shared" si="15"/>
        <v>0</v>
      </c>
      <c r="AW17" s="35"/>
      <c r="AX17" s="30"/>
      <c r="AY17" s="32">
        <f t="shared" si="16"/>
        <v>0</v>
      </c>
      <c r="AZ17" s="30" t="s">
        <v>841</v>
      </c>
      <c r="BA17" s="63"/>
      <c r="BB17" s="71" t="e">
        <f>SUMIFS([1]Form!$F$9:$F$22,[1]Form!$K$9:$K$22,K17)</f>
        <v>#VALUE!</v>
      </c>
      <c r="BC17" s="71"/>
      <c r="BD17" s="71"/>
    </row>
    <row r="18" spans="1:56" x14ac:dyDescent="0.25">
      <c r="A18" s="24">
        <f>IF(B18="","",SUBTOTAL(3,$B$4:B18))</f>
        <v>15</v>
      </c>
      <c r="B18" s="25" t="s">
        <v>840</v>
      </c>
      <c r="C18" s="25" t="str">
        <f t="shared" si="0"/>
        <v>Shipment 1 B-10124 Fired Proces Heater</v>
      </c>
      <c r="D18" s="25" t="s">
        <v>839</v>
      </c>
      <c r="E18" s="25" t="s">
        <v>838</v>
      </c>
      <c r="F18" s="25"/>
      <c r="G18" s="65"/>
      <c r="H18" s="25" t="s">
        <v>842</v>
      </c>
      <c r="I18" s="25"/>
      <c r="J18" s="26" t="s">
        <v>843</v>
      </c>
      <c r="K18" s="27" t="s">
        <v>82</v>
      </c>
      <c r="L18" s="28" t="s">
        <v>85</v>
      </c>
      <c r="M18" s="28" t="s">
        <v>704</v>
      </c>
      <c r="N18" s="25">
        <v>1</v>
      </c>
      <c r="O18" s="29">
        <v>5.55</v>
      </c>
      <c r="P18" s="29">
        <v>5.55</v>
      </c>
      <c r="Q18" s="25" t="s">
        <v>705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9"/>
        <v>0</v>
      </c>
      <c r="AF18" s="32">
        <f t="shared" si="10"/>
        <v>5.55</v>
      </c>
      <c r="AG18" s="30"/>
      <c r="AH18" s="33"/>
      <c r="AI18" s="34">
        <f t="shared" si="11"/>
        <v>0</v>
      </c>
      <c r="AJ18" s="35"/>
      <c r="AK18" s="30"/>
      <c r="AL18" s="36">
        <f t="shared" si="12"/>
        <v>0</v>
      </c>
      <c r="AM18" s="35"/>
      <c r="AN18" s="30"/>
      <c r="AO18" s="36">
        <f t="shared" si="13"/>
        <v>0</v>
      </c>
      <c r="AP18" s="35"/>
      <c r="AQ18" s="30"/>
      <c r="AR18" s="36">
        <f t="shared" si="14"/>
        <v>0</v>
      </c>
      <c r="AS18" s="27"/>
      <c r="AT18" s="37"/>
      <c r="AU18" s="30"/>
      <c r="AV18" s="36">
        <f t="shared" si="15"/>
        <v>0</v>
      </c>
      <c r="AW18" s="35"/>
      <c r="AX18" s="30"/>
      <c r="AY18" s="32">
        <f t="shared" si="16"/>
        <v>0</v>
      </c>
      <c r="AZ18" s="30" t="s">
        <v>841</v>
      </c>
      <c r="BA18" s="63"/>
      <c r="BB18" s="71" t="e">
        <f>SUMIFS([1]Form!$F$9:$F$22,[1]Form!$K$9:$K$22,K18)</f>
        <v>#VALUE!</v>
      </c>
      <c r="BC18" s="71"/>
      <c r="BD18" s="71"/>
    </row>
    <row r="19" spans="1:56" x14ac:dyDescent="0.25">
      <c r="A19" s="24">
        <f>IF(B19="","",SUBTOTAL(3,$B$4:B19))</f>
        <v>16</v>
      </c>
      <c r="B19" s="25" t="s">
        <v>840</v>
      </c>
      <c r="C19" s="25" t="str">
        <f t="shared" si="0"/>
        <v>Shipment 1 B-10124 Fired Proces Heater</v>
      </c>
      <c r="D19" s="25" t="s">
        <v>839</v>
      </c>
      <c r="E19" s="25" t="s">
        <v>838</v>
      </c>
      <c r="F19" s="25"/>
      <c r="G19" s="65"/>
      <c r="H19" s="25" t="s">
        <v>842</v>
      </c>
      <c r="I19" s="25"/>
      <c r="J19" s="26" t="s">
        <v>843</v>
      </c>
      <c r="K19" s="27" t="s">
        <v>82</v>
      </c>
      <c r="L19" s="28" t="s">
        <v>86</v>
      </c>
      <c r="M19" s="28" t="s">
        <v>704</v>
      </c>
      <c r="N19" s="25">
        <v>1</v>
      </c>
      <c r="O19" s="29">
        <v>5.55</v>
      </c>
      <c r="P19" s="29">
        <v>5.55</v>
      </c>
      <c r="Q19" s="25" t="s">
        <v>705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ref="AE19:AE44" si="17">+AL19*0.5+AO19*0.4+AV19*0.1</f>
        <v>0</v>
      </c>
      <c r="AF19" s="32">
        <f t="shared" ref="AF19:AF44" si="18">+P19-AE19</f>
        <v>5.55</v>
      </c>
      <c r="AG19" s="30"/>
      <c r="AH19" s="33"/>
      <c r="AI19" s="34">
        <f t="shared" ref="AI19:AI44" si="19">+AH19*P19</f>
        <v>0</v>
      </c>
      <c r="AJ19" s="35"/>
      <c r="AK19" s="30"/>
      <c r="AL19" s="36">
        <f t="shared" ref="AL19:AL44" si="20">IFERROR(AK19*$P19/$N19,0)</f>
        <v>0</v>
      </c>
      <c r="AM19" s="35"/>
      <c r="AN19" s="30"/>
      <c r="AO19" s="36">
        <f t="shared" ref="AO19:AO44" si="21">IFERROR(AN19*$P19/$N19,0)</f>
        <v>0</v>
      </c>
      <c r="AP19" s="35"/>
      <c r="AQ19" s="30"/>
      <c r="AR19" s="36">
        <f t="shared" ref="AR19:AR44" si="22">IFERROR(AQ19*$P19/$N19,0)</f>
        <v>0</v>
      </c>
      <c r="AS19" s="27"/>
      <c r="AT19" s="37"/>
      <c r="AU19" s="30"/>
      <c r="AV19" s="36">
        <f t="shared" ref="AV19:AV44" si="23">IFERROR(AU19*$P19/$N19,0)</f>
        <v>0</v>
      </c>
      <c r="AW19" s="35"/>
      <c r="AX19" s="30"/>
      <c r="AY19" s="32">
        <f t="shared" ref="AY19:AY44" si="24">IFERROR(AX19*$P19/$N19,0)</f>
        <v>0</v>
      </c>
      <c r="AZ19" s="30" t="s">
        <v>841</v>
      </c>
      <c r="BA19" s="63"/>
      <c r="BB19" s="71" t="e">
        <f>SUMIFS([1]Form!$F$9:$F$22,[1]Form!$K$9:$K$22,K19)</f>
        <v>#VALUE!</v>
      </c>
      <c r="BC19" s="71"/>
      <c r="BD19" s="71"/>
    </row>
    <row r="20" spans="1:56" x14ac:dyDescent="0.25">
      <c r="A20" s="24">
        <f>IF(B20="","",SUBTOTAL(3,$B$4:B20))</f>
        <v>17</v>
      </c>
      <c r="B20" s="25" t="s">
        <v>840</v>
      </c>
      <c r="C20" s="25" t="str">
        <f t="shared" si="0"/>
        <v>Shipment 1 B-10124 Fired Proces Heater</v>
      </c>
      <c r="D20" s="25" t="s">
        <v>839</v>
      </c>
      <c r="E20" s="25" t="s">
        <v>838</v>
      </c>
      <c r="F20" s="25"/>
      <c r="G20" s="65"/>
      <c r="H20" s="25" t="s">
        <v>842</v>
      </c>
      <c r="I20" s="25"/>
      <c r="J20" s="26" t="s">
        <v>843</v>
      </c>
      <c r="K20" s="27" t="s">
        <v>82</v>
      </c>
      <c r="L20" s="28" t="s">
        <v>87</v>
      </c>
      <c r="M20" s="28" t="s">
        <v>704</v>
      </c>
      <c r="N20" s="25">
        <v>1</v>
      </c>
      <c r="O20" s="29">
        <v>5.55</v>
      </c>
      <c r="P20" s="29">
        <v>5.55</v>
      </c>
      <c r="Q20" s="25" t="s">
        <v>705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7"/>
        <v>0</v>
      </c>
      <c r="AF20" s="32">
        <f t="shared" si="18"/>
        <v>5.55</v>
      </c>
      <c r="AG20" s="30"/>
      <c r="AH20" s="33"/>
      <c r="AI20" s="34">
        <f t="shared" si="19"/>
        <v>0</v>
      </c>
      <c r="AJ20" s="35"/>
      <c r="AK20" s="30"/>
      <c r="AL20" s="36">
        <f t="shared" si="20"/>
        <v>0</v>
      </c>
      <c r="AM20" s="35"/>
      <c r="AN20" s="30"/>
      <c r="AO20" s="36">
        <f t="shared" si="21"/>
        <v>0</v>
      </c>
      <c r="AP20" s="35"/>
      <c r="AQ20" s="30"/>
      <c r="AR20" s="36">
        <f t="shared" si="22"/>
        <v>0</v>
      </c>
      <c r="AS20" s="27"/>
      <c r="AT20" s="37"/>
      <c r="AU20" s="30"/>
      <c r="AV20" s="36">
        <f t="shared" si="23"/>
        <v>0</v>
      </c>
      <c r="AW20" s="35"/>
      <c r="AX20" s="30"/>
      <c r="AY20" s="32">
        <f t="shared" si="24"/>
        <v>0</v>
      </c>
      <c r="AZ20" s="30" t="s">
        <v>841</v>
      </c>
      <c r="BA20" s="63"/>
      <c r="BB20" s="71" t="e">
        <f>SUMIFS([1]Form!$F$9:$F$22,[1]Form!$K$9:$K$22,K20)</f>
        <v>#VALUE!</v>
      </c>
      <c r="BC20" s="71"/>
      <c r="BD20" s="71"/>
    </row>
    <row r="21" spans="1:56" x14ac:dyDescent="0.25">
      <c r="A21" s="24">
        <f>IF(B21="","",SUBTOTAL(3,$B$4:B21))</f>
        <v>18</v>
      </c>
      <c r="B21" s="25" t="s">
        <v>840</v>
      </c>
      <c r="C21" s="25" t="str">
        <f t="shared" si="0"/>
        <v>Shipment 1 B-10124 Fired Proces Heater</v>
      </c>
      <c r="D21" s="25" t="s">
        <v>839</v>
      </c>
      <c r="E21" s="25" t="s">
        <v>838</v>
      </c>
      <c r="F21" s="25"/>
      <c r="G21" s="65"/>
      <c r="H21" s="25" t="s">
        <v>842</v>
      </c>
      <c r="I21" s="25"/>
      <c r="J21" s="26" t="s">
        <v>843</v>
      </c>
      <c r="K21" s="27" t="s">
        <v>82</v>
      </c>
      <c r="L21" s="28" t="s">
        <v>88</v>
      </c>
      <c r="M21" s="28" t="s">
        <v>704</v>
      </c>
      <c r="N21" s="25">
        <v>1</v>
      </c>
      <c r="O21" s="29">
        <v>5.55</v>
      </c>
      <c r="P21" s="29">
        <v>5.55</v>
      </c>
      <c r="Q21" s="25" t="s">
        <v>705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7"/>
        <v>0</v>
      </c>
      <c r="AF21" s="32">
        <f t="shared" si="18"/>
        <v>5.55</v>
      </c>
      <c r="AG21" s="30"/>
      <c r="AH21" s="33"/>
      <c r="AI21" s="34">
        <f t="shared" si="19"/>
        <v>0</v>
      </c>
      <c r="AJ21" s="35"/>
      <c r="AK21" s="30"/>
      <c r="AL21" s="36">
        <f t="shared" si="20"/>
        <v>0</v>
      </c>
      <c r="AM21" s="35"/>
      <c r="AN21" s="30"/>
      <c r="AO21" s="36">
        <f t="shared" si="21"/>
        <v>0</v>
      </c>
      <c r="AP21" s="35"/>
      <c r="AQ21" s="30"/>
      <c r="AR21" s="36">
        <f t="shared" si="22"/>
        <v>0</v>
      </c>
      <c r="AS21" s="27"/>
      <c r="AT21" s="37"/>
      <c r="AU21" s="30"/>
      <c r="AV21" s="36">
        <f t="shared" si="23"/>
        <v>0</v>
      </c>
      <c r="AW21" s="35"/>
      <c r="AX21" s="30"/>
      <c r="AY21" s="32">
        <f t="shared" si="24"/>
        <v>0</v>
      </c>
      <c r="AZ21" s="30" t="s">
        <v>841</v>
      </c>
      <c r="BA21" s="63"/>
      <c r="BB21" s="71" t="e">
        <f>SUMIFS([1]Form!$F$9:$F$22,[1]Form!$K$9:$K$22,K21)</f>
        <v>#VALUE!</v>
      </c>
      <c r="BC21" s="71"/>
      <c r="BD21" s="71"/>
    </row>
    <row r="22" spans="1:56" x14ac:dyDescent="0.25">
      <c r="A22" s="24">
        <f>IF(B22="","",SUBTOTAL(3,$B$4:B22))</f>
        <v>19</v>
      </c>
      <c r="B22" s="25" t="s">
        <v>840</v>
      </c>
      <c r="C22" s="25" t="str">
        <f t="shared" si="0"/>
        <v>Shipment 1 B-10124 Fired Proces Heater</v>
      </c>
      <c r="D22" s="25" t="s">
        <v>839</v>
      </c>
      <c r="E22" s="25" t="s">
        <v>838</v>
      </c>
      <c r="F22" s="25"/>
      <c r="G22" s="65"/>
      <c r="H22" s="25" t="s">
        <v>842</v>
      </c>
      <c r="I22" s="25"/>
      <c r="J22" s="26" t="s">
        <v>843</v>
      </c>
      <c r="K22" s="27" t="s">
        <v>82</v>
      </c>
      <c r="L22" s="28" t="s">
        <v>89</v>
      </c>
      <c r="M22" s="28" t="s">
        <v>704</v>
      </c>
      <c r="N22" s="25">
        <v>1</v>
      </c>
      <c r="O22" s="29">
        <v>5.55</v>
      </c>
      <c r="P22" s="29">
        <v>5.55</v>
      </c>
      <c r="Q22" s="25" t="s">
        <v>705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7"/>
        <v>0</v>
      </c>
      <c r="AF22" s="32">
        <f t="shared" si="18"/>
        <v>5.55</v>
      </c>
      <c r="AG22" s="30"/>
      <c r="AH22" s="33"/>
      <c r="AI22" s="34">
        <f t="shared" si="19"/>
        <v>0</v>
      </c>
      <c r="AJ22" s="35"/>
      <c r="AK22" s="30"/>
      <c r="AL22" s="36">
        <f t="shared" si="20"/>
        <v>0</v>
      </c>
      <c r="AM22" s="35"/>
      <c r="AN22" s="30"/>
      <c r="AO22" s="36">
        <f t="shared" si="21"/>
        <v>0</v>
      </c>
      <c r="AP22" s="35"/>
      <c r="AQ22" s="30"/>
      <c r="AR22" s="36">
        <f t="shared" si="22"/>
        <v>0</v>
      </c>
      <c r="AS22" s="27"/>
      <c r="AT22" s="37"/>
      <c r="AU22" s="30"/>
      <c r="AV22" s="36">
        <f t="shared" si="23"/>
        <v>0</v>
      </c>
      <c r="AW22" s="35"/>
      <c r="AX22" s="30"/>
      <c r="AY22" s="32">
        <f t="shared" si="24"/>
        <v>0</v>
      </c>
      <c r="AZ22" s="30" t="s">
        <v>841</v>
      </c>
      <c r="BA22" s="63"/>
      <c r="BB22" s="71" t="e">
        <f>SUMIFS([1]Form!$F$9:$F$22,[1]Form!$K$9:$K$22,K22)</f>
        <v>#VALUE!</v>
      </c>
      <c r="BC22" s="71"/>
      <c r="BD22" s="71"/>
    </row>
    <row r="23" spans="1:56" x14ac:dyDescent="0.25">
      <c r="A23" s="24">
        <f>IF(B23="","",SUBTOTAL(3,$B$4:B23))</f>
        <v>20</v>
      </c>
      <c r="B23" s="25" t="s">
        <v>840</v>
      </c>
      <c r="C23" s="25" t="str">
        <f t="shared" si="0"/>
        <v>Shipment 1 B-10124 Fired Proces Heater</v>
      </c>
      <c r="D23" s="25" t="s">
        <v>839</v>
      </c>
      <c r="E23" s="25" t="s">
        <v>838</v>
      </c>
      <c r="F23" s="25"/>
      <c r="G23" s="65"/>
      <c r="H23" s="25" t="s">
        <v>842</v>
      </c>
      <c r="I23" s="25"/>
      <c r="J23" s="26" t="s">
        <v>843</v>
      </c>
      <c r="K23" s="27" t="s">
        <v>82</v>
      </c>
      <c r="L23" s="28" t="s">
        <v>90</v>
      </c>
      <c r="M23" s="28" t="s">
        <v>704</v>
      </c>
      <c r="N23" s="25">
        <v>1</v>
      </c>
      <c r="O23" s="29">
        <v>5.55</v>
      </c>
      <c r="P23" s="29">
        <v>5.55</v>
      </c>
      <c r="Q23" s="25" t="s">
        <v>705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7"/>
        <v>0</v>
      </c>
      <c r="AF23" s="32">
        <f t="shared" si="18"/>
        <v>5.55</v>
      </c>
      <c r="AG23" s="30"/>
      <c r="AH23" s="33"/>
      <c r="AI23" s="34">
        <f t="shared" si="19"/>
        <v>0</v>
      </c>
      <c r="AJ23" s="35"/>
      <c r="AK23" s="30"/>
      <c r="AL23" s="36">
        <f t="shared" si="20"/>
        <v>0</v>
      </c>
      <c r="AM23" s="35"/>
      <c r="AN23" s="30"/>
      <c r="AO23" s="36">
        <f t="shared" si="21"/>
        <v>0</v>
      </c>
      <c r="AP23" s="35"/>
      <c r="AQ23" s="30"/>
      <c r="AR23" s="36">
        <f t="shared" si="22"/>
        <v>0</v>
      </c>
      <c r="AS23" s="27"/>
      <c r="AT23" s="37"/>
      <c r="AU23" s="30"/>
      <c r="AV23" s="36">
        <f t="shared" si="23"/>
        <v>0</v>
      </c>
      <c r="AW23" s="35"/>
      <c r="AX23" s="30"/>
      <c r="AY23" s="32">
        <f t="shared" si="24"/>
        <v>0</v>
      </c>
      <c r="AZ23" s="30" t="s">
        <v>841</v>
      </c>
      <c r="BA23" s="63"/>
      <c r="BB23" s="71" t="e">
        <f>SUMIFS([1]Form!$F$9:$F$22,[1]Form!$K$9:$K$22,K23)</f>
        <v>#VALUE!</v>
      </c>
      <c r="BC23" s="71"/>
      <c r="BD23" s="71"/>
    </row>
    <row r="24" spans="1:56" x14ac:dyDescent="0.25">
      <c r="A24" s="24">
        <f>IF(B24="","",SUBTOTAL(3,$B$4:B24))</f>
        <v>21</v>
      </c>
      <c r="B24" s="25" t="s">
        <v>840</v>
      </c>
      <c r="C24" s="25" t="str">
        <f t="shared" si="0"/>
        <v>Shipment 1 B-10124 Fired Proces Heater</v>
      </c>
      <c r="D24" s="25" t="s">
        <v>839</v>
      </c>
      <c r="E24" s="25" t="s">
        <v>838</v>
      </c>
      <c r="F24" s="25"/>
      <c r="G24" s="65"/>
      <c r="H24" s="25" t="s">
        <v>842</v>
      </c>
      <c r="I24" s="25"/>
      <c r="J24" s="26" t="s">
        <v>843</v>
      </c>
      <c r="K24" s="27" t="s">
        <v>82</v>
      </c>
      <c r="L24" s="28" t="s">
        <v>91</v>
      </c>
      <c r="M24" s="28" t="s">
        <v>704</v>
      </c>
      <c r="N24" s="25">
        <v>1</v>
      </c>
      <c r="O24" s="29">
        <v>5.55</v>
      </c>
      <c r="P24" s="29">
        <v>5.55</v>
      </c>
      <c r="Q24" s="25" t="s">
        <v>705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7"/>
        <v>0</v>
      </c>
      <c r="AF24" s="32">
        <f t="shared" si="18"/>
        <v>5.55</v>
      </c>
      <c r="AG24" s="30"/>
      <c r="AH24" s="33"/>
      <c r="AI24" s="34">
        <f t="shared" si="19"/>
        <v>0</v>
      </c>
      <c r="AJ24" s="35"/>
      <c r="AK24" s="30"/>
      <c r="AL24" s="36">
        <f t="shared" si="20"/>
        <v>0</v>
      </c>
      <c r="AM24" s="35"/>
      <c r="AN24" s="30"/>
      <c r="AO24" s="36">
        <f t="shared" si="21"/>
        <v>0</v>
      </c>
      <c r="AP24" s="35"/>
      <c r="AQ24" s="30"/>
      <c r="AR24" s="36">
        <f t="shared" si="22"/>
        <v>0</v>
      </c>
      <c r="AS24" s="27"/>
      <c r="AT24" s="37"/>
      <c r="AU24" s="30"/>
      <c r="AV24" s="36">
        <f t="shared" si="23"/>
        <v>0</v>
      </c>
      <c r="AW24" s="35"/>
      <c r="AX24" s="30"/>
      <c r="AY24" s="32">
        <f t="shared" si="24"/>
        <v>0</v>
      </c>
      <c r="AZ24" s="30" t="s">
        <v>841</v>
      </c>
      <c r="BA24" s="63"/>
      <c r="BB24" s="71" t="e">
        <f>SUMIFS([1]Form!$F$9:$F$22,[1]Form!$K$9:$K$22,K24)</f>
        <v>#VALUE!</v>
      </c>
      <c r="BC24" s="71"/>
      <c r="BD24" s="71"/>
    </row>
    <row r="25" spans="1:56" x14ac:dyDescent="0.25">
      <c r="A25" s="24">
        <f>IF(B25="","",SUBTOTAL(3,$B$4:B25))</f>
        <v>22</v>
      </c>
      <c r="B25" s="25" t="s">
        <v>840</v>
      </c>
      <c r="C25" s="25" t="str">
        <f t="shared" si="0"/>
        <v>Shipment 1 B-10124 Fired Proces Heater</v>
      </c>
      <c r="D25" s="25" t="s">
        <v>839</v>
      </c>
      <c r="E25" s="25" t="s">
        <v>838</v>
      </c>
      <c r="F25" s="25"/>
      <c r="G25" s="65"/>
      <c r="H25" s="25" t="s">
        <v>842</v>
      </c>
      <c r="I25" s="25"/>
      <c r="J25" s="26" t="s">
        <v>843</v>
      </c>
      <c r="K25" s="27" t="s">
        <v>82</v>
      </c>
      <c r="L25" s="28" t="s">
        <v>92</v>
      </c>
      <c r="M25" s="28" t="s">
        <v>704</v>
      </c>
      <c r="N25" s="25">
        <v>1</v>
      </c>
      <c r="O25" s="29">
        <v>5.55</v>
      </c>
      <c r="P25" s="29">
        <v>5.55</v>
      </c>
      <c r="Q25" s="25" t="s">
        <v>705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7"/>
        <v>0</v>
      </c>
      <c r="AF25" s="32">
        <f t="shared" si="18"/>
        <v>5.55</v>
      </c>
      <c r="AG25" s="30"/>
      <c r="AH25" s="33"/>
      <c r="AI25" s="34">
        <f t="shared" si="19"/>
        <v>0</v>
      </c>
      <c r="AJ25" s="35"/>
      <c r="AK25" s="30"/>
      <c r="AL25" s="36">
        <f t="shared" si="20"/>
        <v>0</v>
      </c>
      <c r="AM25" s="35"/>
      <c r="AN25" s="30"/>
      <c r="AO25" s="36">
        <f t="shared" si="21"/>
        <v>0</v>
      </c>
      <c r="AP25" s="35"/>
      <c r="AQ25" s="30"/>
      <c r="AR25" s="36">
        <f t="shared" si="22"/>
        <v>0</v>
      </c>
      <c r="AS25" s="27"/>
      <c r="AT25" s="37"/>
      <c r="AU25" s="30"/>
      <c r="AV25" s="36">
        <f t="shared" si="23"/>
        <v>0</v>
      </c>
      <c r="AW25" s="35"/>
      <c r="AX25" s="30"/>
      <c r="AY25" s="32">
        <f t="shared" si="24"/>
        <v>0</v>
      </c>
      <c r="AZ25" s="30" t="s">
        <v>841</v>
      </c>
      <c r="BA25" s="63"/>
      <c r="BB25" s="71" t="e">
        <f>SUMIFS([1]Form!$F$9:$F$22,[1]Form!$K$9:$K$22,K25)</f>
        <v>#VALUE!</v>
      </c>
      <c r="BC25" s="71"/>
      <c r="BD25" s="71"/>
    </row>
    <row r="26" spans="1:56" x14ac:dyDescent="0.25">
      <c r="A26" s="24">
        <f>IF(B26="","",SUBTOTAL(3,$B$4:B26))</f>
        <v>23</v>
      </c>
      <c r="B26" s="25" t="s">
        <v>840</v>
      </c>
      <c r="C26" s="25" t="str">
        <f t="shared" si="0"/>
        <v>Shipment 1 B-10124 Fired Proces Heater</v>
      </c>
      <c r="D26" s="25" t="s">
        <v>839</v>
      </c>
      <c r="E26" s="25" t="s">
        <v>838</v>
      </c>
      <c r="F26" s="25"/>
      <c r="G26" s="65"/>
      <c r="H26" s="25" t="s">
        <v>842</v>
      </c>
      <c r="I26" s="25"/>
      <c r="J26" s="26" t="s">
        <v>843</v>
      </c>
      <c r="K26" s="27" t="s">
        <v>82</v>
      </c>
      <c r="L26" s="28" t="s">
        <v>93</v>
      </c>
      <c r="M26" s="28" t="s">
        <v>704</v>
      </c>
      <c r="N26" s="25">
        <v>1</v>
      </c>
      <c r="O26" s="29">
        <v>5.55</v>
      </c>
      <c r="P26" s="29">
        <v>5.55</v>
      </c>
      <c r="Q26" s="25" t="s">
        <v>705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7"/>
        <v>0</v>
      </c>
      <c r="AF26" s="32">
        <f t="shared" si="18"/>
        <v>5.55</v>
      </c>
      <c r="AG26" s="30"/>
      <c r="AH26" s="33"/>
      <c r="AI26" s="34">
        <f t="shared" si="19"/>
        <v>0</v>
      </c>
      <c r="AJ26" s="35"/>
      <c r="AK26" s="30"/>
      <c r="AL26" s="36">
        <f t="shared" si="20"/>
        <v>0</v>
      </c>
      <c r="AM26" s="35"/>
      <c r="AN26" s="30"/>
      <c r="AO26" s="36">
        <f t="shared" si="21"/>
        <v>0</v>
      </c>
      <c r="AP26" s="35"/>
      <c r="AQ26" s="30"/>
      <c r="AR26" s="36">
        <f t="shared" si="22"/>
        <v>0</v>
      </c>
      <c r="AS26" s="27"/>
      <c r="AT26" s="37"/>
      <c r="AU26" s="30"/>
      <c r="AV26" s="36">
        <f t="shared" si="23"/>
        <v>0</v>
      </c>
      <c r="AW26" s="35"/>
      <c r="AX26" s="30"/>
      <c r="AY26" s="32">
        <f t="shared" si="24"/>
        <v>0</v>
      </c>
      <c r="AZ26" s="30" t="s">
        <v>841</v>
      </c>
      <c r="BA26" s="63"/>
      <c r="BB26" s="71" t="e">
        <f>SUMIFS([1]Form!$F$9:$F$22,[1]Form!$K$9:$K$22,K26)</f>
        <v>#VALUE!</v>
      </c>
      <c r="BC26" s="71"/>
      <c r="BD26" s="71"/>
    </row>
    <row r="27" spans="1:56" x14ac:dyDescent="0.25">
      <c r="A27" s="24">
        <f>IF(B27="","",SUBTOTAL(3,$B$4:B27))</f>
        <v>24</v>
      </c>
      <c r="B27" s="25" t="s">
        <v>840</v>
      </c>
      <c r="C27" s="25" t="str">
        <f t="shared" si="0"/>
        <v>Shipment 1 B-10124 Fired Proces Heater</v>
      </c>
      <c r="D27" s="25" t="s">
        <v>839</v>
      </c>
      <c r="E27" s="25" t="s">
        <v>838</v>
      </c>
      <c r="F27" s="25"/>
      <c r="G27" s="65"/>
      <c r="H27" s="25" t="s">
        <v>842</v>
      </c>
      <c r="I27" s="25"/>
      <c r="J27" s="26" t="s">
        <v>843</v>
      </c>
      <c r="K27" s="27" t="s">
        <v>82</v>
      </c>
      <c r="L27" s="28" t="s">
        <v>94</v>
      </c>
      <c r="M27" s="28" t="s">
        <v>704</v>
      </c>
      <c r="N27" s="25">
        <v>1</v>
      </c>
      <c r="O27" s="29">
        <v>5.55</v>
      </c>
      <c r="P27" s="29">
        <v>5.55</v>
      </c>
      <c r="Q27" s="25" t="s">
        <v>705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7"/>
        <v>0</v>
      </c>
      <c r="AF27" s="32">
        <f t="shared" si="18"/>
        <v>5.55</v>
      </c>
      <c r="AG27" s="30"/>
      <c r="AH27" s="33"/>
      <c r="AI27" s="34">
        <f t="shared" si="19"/>
        <v>0</v>
      </c>
      <c r="AJ27" s="35"/>
      <c r="AK27" s="30"/>
      <c r="AL27" s="36">
        <f t="shared" si="20"/>
        <v>0</v>
      </c>
      <c r="AM27" s="35"/>
      <c r="AN27" s="30"/>
      <c r="AO27" s="36">
        <f t="shared" si="21"/>
        <v>0</v>
      </c>
      <c r="AP27" s="35"/>
      <c r="AQ27" s="30"/>
      <c r="AR27" s="36">
        <f t="shared" si="22"/>
        <v>0</v>
      </c>
      <c r="AS27" s="27"/>
      <c r="AT27" s="37"/>
      <c r="AU27" s="30"/>
      <c r="AV27" s="36">
        <f t="shared" si="23"/>
        <v>0</v>
      </c>
      <c r="AW27" s="35"/>
      <c r="AX27" s="30"/>
      <c r="AY27" s="32">
        <f t="shared" si="24"/>
        <v>0</v>
      </c>
      <c r="AZ27" s="30" t="s">
        <v>841</v>
      </c>
      <c r="BA27" s="63"/>
      <c r="BB27" s="71" t="e">
        <f>SUMIFS([1]Form!$F$9:$F$22,[1]Form!$K$9:$K$22,K27)</f>
        <v>#VALUE!</v>
      </c>
      <c r="BC27" s="71"/>
      <c r="BD27" s="71"/>
    </row>
    <row r="28" spans="1:56" x14ac:dyDescent="0.25">
      <c r="A28" s="24">
        <f>IF(B28="","",SUBTOTAL(3,$B$4:B28))</f>
        <v>25</v>
      </c>
      <c r="B28" s="25" t="s">
        <v>840</v>
      </c>
      <c r="C28" s="25" t="str">
        <f t="shared" si="0"/>
        <v>Shipment 1 B-10124 Fired Proces Heater</v>
      </c>
      <c r="D28" s="25" t="s">
        <v>839</v>
      </c>
      <c r="E28" s="25" t="s">
        <v>838</v>
      </c>
      <c r="F28" s="25"/>
      <c r="G28" s="65"/>
      <c r="H28" s="25" t="s">
        <v>842</v>
      </c>
      <c r="I28" s="25"/>
      <c r="J28" s="26" t="s">
        <v>843</v>
      </c>
      <c r="K28" s="27" t="s">
        <v>95</v>
      </c>
      <c r="L28" s="28" t="s">
        <v>846</v>
      </c>
      <c r="M28" s="28" t="s">
        <v>704</v>
      </c>
      <c r="N28" s="25">
        <v>44</v>
      </c>
      <c r="O28" s="29">
        <v>6.1431818181818185</v>
      </c>
      <c r="P28" s="29">
        <v>270.3</v>
      </c>
      <c r="Q28" s="25" t="s">
        <v>706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7"/>
        <v>0</v>
      </c>
      <c r="AF28" s="32">
        <f t="shared" si="18"/>
        <v>270.3</v>
      </c>
      <c r="AG28" s="30"/>
      <c r="AH28" s="33"/>
      <c r="AI28" s="34">
        <f t="shared" si="19"/>
        <v>0</v>
      </c>
      <c r="AJ28" s="35"/>
      <c r="AK28" s="30"/>
      <c r="AL28" s="36">
        <f t="shared" si="20"/>
        <v>0</v>
      </c>
      <c r="AM28" s="35"/>
      <c r="AN28" s="30"/>
      <c r="AO28" s="36">
        <f t="shared" si="21"/>
        <v>0</v>
      </c>
      <c r="AP28" s="35"/>
      <c r="AQ28" s="30"/>
      <c r="AR28" s="36">
        <f t="shared" si="22"/>
        <v>0</v>
      </c>
      <c r="AS28" s="27"/>
      <c r="AT28" s="37"/>
      <c r="AU28" s="30"/>
      <c r="AV28" s="36">
        <f t="shared" si="23"/>
        <v>0</v>
      </c>
      <c r="AW28" s="35"/>
      <c r="AX28" s="30"/>
      <c r="AY28" s="32">
        <f t="shared" si="24"/>
        <v>0</v>
      </c>
      <c r="AZ28" s="30" t="s">
        <v>841</v>
      </c>
      <c r="BA28" s="63"/>
      <c r="BB28" s="71" t="e">
        <f>SUMIFS([1]Form!$F$9:$F$22,[1]Form!$K$9:$K$22,K28)</f>
        <v>#VALUE!</v>
      </c>
      <c r="BC28" s="71"/>
      <c r="BD28" s="71"/>
    </row>
    <row r="29" spans="1:56" x14ac:dyDescent="0.25">
      <c r="A29" s="24">
        <f>IF(B29="","",SUBTOTAL(3,$B$4:B29))</f>
        <v>26</v>
      </c>
      <c r="B29" s="25" t="s">
        <v>840</v>
      </c>
      <c r="C29" s="25" t="str">
        <f t="shared" si="0"/>
        <v>Shipment 1 B-10124 Fired Proces Heater</v>
      </c>
      <c r="D29" s="25" t="s">
        <v>839</v>
      </c>
      <c r="E29" s="25" t="s">
        <v>838</v>
      </c>
      <c r="F29" s="25"/>
      <c r="G29" s="65"/>
      <c r="H29" s="25" t="s">
        <v>842</v>
      </c>
      <c r="I29" s="25"/>
      <c r="J29" s="26" t="s">
        <v>843</v>
      </c>
      <c r="K29" s="27" t="s">
        <v>96</v>
      </c>
      <c r="L29" s="28" t="s">
        <v>97</v>
      </c>
      <c r="M29" s="28" t="s">
        <v>704</v>
      </c>
      <c r="N29" s="25">
        <v>1</v>
      </c>
      <c r="O29" s="29">
        <v>6.15</v>
      </c>
      <c r="P29" s="29">
        <v>6.15</v>
      </c>
      <c r="Q29" s="25" t="s">
        <v>706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7"/>
        <v>0</v>
      </c>
      <c r="AF29" s="32">
        <f t="shared" si="18"/>
        <v>6.15</v>
      </c>
      <c r="AG29" s="30"/>
      <c r="AH29" s="33"/>
      <c r="AI29" s="34">
        <f t="shared" si="19"/>
        <v>0</v>
      </c>
      <c r="AJ29" s="35"/>
      <c r="AK29" s="30"/>
      <c r="AL29" s="36">
        <f t="shared" si="20"/>
        <v>0</v>
      </c>
      <c r="AM29" s="35"/>
      <c r="AN29" s="30"/>
      <c r="AO29" s="36">
        <f t="shared" si="21"/>
        <v>0</v>
      </c>
      <c r="AP29" s="35"/>
      <c r="AQ29" s="30"/>
      <c r="AR29" s="36">
        <f t="shared" si="22"/>
        <v>0</v>
      </c>
      <c r="AS29" s="27"/>
      <c r="AT29" s="37"/>
      <c r="AU29" s="30"/>
      <c r="AV29" s="36">
        <f t="shared" si="23"/>
        <v>0</v>
      </c>
      <c r="AW29" s="35"/>
      <c r="AX29" s="30"/>
      <c r="AY29" s="32">
        <f t="shared" si="24"/>
        <v>0</v>
      </c>
      <c r="AZ29" s="30" t="s">
        <v>841</v>
      </c>
      <c r="BA29" s="63"/>
      <c r="BB29" s="71" t="e">
        <f>SUMIFS([1]Form!$F$9:$F$22,[1]Form!$K$9:$K$22,K29)</f>
        <v>#VALUE!</v>
      </c>
      <c r="BC29" s="71"/>
      <c r="BD29" s="71"/>
    </row>
    <row r="30" spans="1:56" x14ac:dyDescent="0.25">
      <c r="A30" s="24">
        <f>IF(B30="","",SUBTOTAL(3,$B$4:B30))</f>
        <v>27</v>
      </c>
      <c r="B30" s="25" t="s">
        <v>840</v>
      </c>
      <c r="C30" s="25" t="str">
        <f t="shared" si="0"/>
        <v>Shipment 1 B-10124 Fired Proces Heater</v>
      </c>
      <c r="D30" s="25" t="s">
        <v>839</v>
      </c>
      <c r="E30" s="25" t="s">
        <v>838</v>
      </c>
      <c r="F30" s="25"/>
      <c r="G30" s="65"/>
      <c r="H30" s="25" t="s">
        <v>842</v>
      </c>
      <c r="I30" s="25"/>
      <c r="J30" s="26" t="s">
        <v>843</v>
      </c>
      <c r="K30" s="27" t="s">
        <v>96</v>
      </c>
      <c r="L30" s="28" t="s">
        <v>98</v>
      </c>
      <c r="M30" s="28" t="s">
        <v>704</v>
      </c>
      <c r="N30" s="25">
        <v>1</v>
      </c>
      <c r="O30" s="29">
        <v>6.15</v>
      </c>
      <c r="P30" s="29">
        <v>6.15</v>
      </c>
      <c r="Q30" s="25" t="s">
        <v>706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7"/>
        <v>0</v>
      </c>
      <c r="AF30" s="32">
        <f t="shared" si="18"/>
        <v>6.15</v>
      </c>
      <c r="AG30" s="30"/>
      <c r="AH30" s="33"/>
      <c r="AI30" s="34">
        <f t="shared" si="19"/>
        <v>0</v>
      </c>
      <c r="AJ30" s="35"/>
      <c r="AK30" s="30"/>
      <c r="AL30" s="36">
        <f t="shared" si="20"/>
        <v>0</v>
      </c>
      <c r="AM30" s="35"/>
      <c r="AN30" s="30"/>
      <c r="AO30" s="36">
        <f t="shared" si="21"/>
        <v>0</v>
      </c>
      <c r="AP30" s="35"/>
      <c r="AQ30" s="30"/>
      <c r="AR30" s="36">
        <f t="shared" si="22"/>
        <v>0</v>
      </c>
      <c r="AS30" s="27"/>
      <c r="AT30" s="37"/>
      <c r="AU30" s="30"/>
      <c r="AV30" s="36">
        <f t="shared" si="23"/>
        <v>0</v>
      </c>
      <c r="AW30" s="35"/>
      <c r="AX30" s="30"/>
      <c r="AY30" s="32">
        <f t="shared" si="24"/>
        <v>0</v>
      </c>
      <c r="AZ30" s="30" t="s">
        <v>841</v>
      </c>
      <c r="BA30" s="63"/>
      <c r="BB30" s="71" t="e">
        <f>SUMIFS([1]Form!$F$9:$F$22,[1]Form!$K$9:$K$22,K30)</f>
        <v>#VALUE!</v>
      </c>
      <c r="BC30" s="71"/>
      <c r="BD30" s="71"/>
    </row>
    <row r="31" spans="1:56" x14ac:dyDescent="0.25">
      <c r="A31" s="24">
        <f>IF(B31="","",SUBTOTAL(3,$B$4:B31))</f>
        <v>28</v>
      </c>
      <c r="B31" s="25" t="s">
        <v>840</v>
      </c>
      <c r="C31" s="25" t="str">
        <f t="shared" si="0"/>
        <v>Shipment 1 B-10124 Fired Proces Heater</v>
      </c>
      <c r="D31" s="25" t="s">
        <v>839</v>
      </c>
      <c r="E31" s="25" t="s">
        <v>838</v>
      </c>
      <c r="F31" s="25"/>
      <c r="G31" s="65"/>
      <c r="H31" s="25" t="s">
        <v>842</v>
      </c>
      <c r="I31" s="25"/>
      <c r="J31" s="26" t="s">
        <v>843</v>
      </c>
      <c r="K31" s="27" t="s">
        <v>96</v>
      </c>
      <c r="L31" s="28" t="s">
        <v>99</v>
      </c>
      <c r="M31" s="28" t="s">
        <v>704</v>
      </c>
      <c r="N31" s="25">
        <v>1</v>
      </c>
      <c r="O31" s="29">
        <v>6.15</v>
      </c>
      <c r="P31" s="29">
        <v>6.15</v>
      </c>
      <c r="Q31" s="25" t="s">
        <v>706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7"/>
        <v>0</v>
      </c>
      <c r="AF31" s="32">
        <f t="shared" si="18"/>
        <v>6.15</v>
      </c>
      <c r="AG31" s="30"/>
      <c r="AH31" s="33"/>
      <c r="AI31" s="34">
        <f t="shared" si="19"/>
        <v>0</v>
      </c>
      <c r="AJ31" s="35"/>
      <c r="AK31" s="30"/>
      <c r="AL31" s="36">
        <f t="shared" si="20"/>
        <v>0</v>
      </c>
      <c r="AM31" s="35"/>
      <c r="AN31" s="30"/>
      <c r="AO31" s="36">
        <f t="shared" si="21"/>
        <v>0</v>
      </c>
      <c r="AP31" s="35"/>
      <c r="AQ31" s="30"/>
      <c r="AR31" s="36">
        <f t="shared" si="22"/>
        <v>0</v>
      </c>
      <c r="AS31" s="27"/>
      <c r="AT31" s="37"/>
      <c r="AU31" s="30"/>
      <c r="AV31" s="36">
        <f t="shared" si="23"/>
        <v>0</v>
      </c>
      <c r="AW31" s="35"/>
      <c r="AX31" s="30"/>
      <c r="AY31" s="32">
        <f t="shared" si="24"/>
        <v>0</v>
      </c>
      <c r="AZ31" s="30" t="s">
        <v>841</v>
      </c>
      <c r="BA31" s="63"/>
      <c r="BB31" s="71" t="e">
        <f>SUMIFS([1]Form!$F$9:$F$22,[1]Form!$K$9:$K$22,K31)</f>
        <v>#VALUE!</v>
      </c>
      <c r="BC31" s="71"/>
      <c r="BD31" s="71"/>
    </row>
    <row r="32" spans="1:56" x14ac:dyDescent="0.25">
      <c r="A32" s="24">
        <f>IF(B32="","",SUBTOTAL(3,$B$4:B32))</f>
        <v>29</v>
      </c>
      <c r="B32" s="25" t="s">
        <v>840</v>
      </c>
      <c r="C32" s="25" t="str">
        <f t="shared" si="0"/>
        <v>Shipment 1 B-10124 Fired Proces Heater</v>
      </c>
      <c r="D32" s="25" t="s">
        <v>839</v>
      </c>
      <c r="E32" s="25" t="s">
        <v>838</v>
      </c>
      <c r="F32" s="25"/>
      <c r="G32" s="65"/>
      <c r="H32" s="25" t="s">
        <v>842</v>
      </c>
      <c r="I32" s="25"/>
      <c r="J32" s="26" t="s">
        <v>843</v>
      </c>
      <c r="K32" s="27" t="s">
        <v>96</v>
      </c>
      <c r="L32" s="28" t="s">
        <v>100</v>
      </c>
      <c r="M32" s="28" t="s">
        <v>704</v>
      </c>
      <c r="N32" s="25">
        <v>1</v>
      </c>
      <c r="O32" s="29">
        <v>6.15</v>
      </c>
      <c r="P32" s="29">
        <v>6.15</v>
      </c>
      <c r="Q32" s="25" t="s">
        <v>706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7"/>
        <v>0</v>
      </c>
      <c r="AF32" s="32">
        <f t="shared" si="18"/>
        <v>6.15</v>
      </c>
      <c r="AG32" s="30"/>
      <c r="AH32" s="33"/>
      <c r="AI32" s="34">
        <f t="shared" si="19"/>
        <v>0</v>
      </c>
      <c r="AJ32" s="35"/>
      <c r="AK32" s="30"/>
      <c r="AL32" s="36">
        <f t="shared" si="20"/>
        <v>0</v>
      </c>
      <c r="AM32" s="35"/>
      <c r="AN32" s="30"/>
      <c r="AO32" s="36">
        <f t="shared" si="21"/>
        <v>0</v>
      </c>
      <c r="AP32" s="35"/>
      <c r="AQ32" s="30"/>
      <c r="AR32" s="36">
        <f t="shared" si="22"/>
        <v>0</v>
      </c>
      <c r="AS32" s="27"/>
      <c r="AT32" s="37"/>
      <c r="AU32" s="30"/>
      <c r="AV32" s="36">
        <f t="shared" si="23"/>
        <v>0</v>
      </c>
      <c r="AW32" s="35"/>
      <c r="AX32" s="30"/>
      <c r="AY32" s="32">
        <f t="shared" si="24"/>
        <v>0</v>
      </c>
      <c r="AZ32" s="30" t="s">
        <v>841</v>
      </c>
      <c r="BA32" s="63"/>
      <c r="BB32" s="71" t="e">
        <f>SUMIFS([1]Form!$F$9:$F$22,[1]Form!$K$9:$K$22,K32)</f>
        <v>#VALUE!</v>
      </c>
      <c r="BC32" s="71"/>
      <c r="BD32" s="71"/>
    </row>
    <row r="33" spans="1:56" x14ac:dyDescent="0.25">
      <c r="A33" s="24">
        <f>IF(B33="","",SUBTOTAL(3,$B$4:B33))</f>
        <v>30</v>
      </c>
      <c r="B33" s="25" t="s">
        <v>840</v>
      </c>
      <c r="C33" s="25" t="str">
        <f t="shared" si="0"/>
        <v>Shipment 1 B-10124 Fired Proces Heater</v>
      </c>
      <c r="D33" s="25" t="s">
        <v>839</v>
      </c>
      <c r="E33" s="25" t="s">
        <v>838</v>
      </c>
      <c r="F33" s="25"/>
      <c r="G33" s="65"/>
      <c r="H33" s="25" t="s">
        <v>842</v>
      </c>
      <c r="I33" s="25"/>
      <c r="J33" s="26" t="s">
        <v>843</v>
      </c>
      <c r="K33" s="27" t="s">
        <v>101</v>
      </c>
      <c r="L33" s="28" t="s">
        <v>102</v>
      </c>
      <c r="M33" s="28" t="s">
        <v>704</v>
      </c>
      <c r="N33" s="25">
        <v>1</v>
      </c>
      <c r="O33" s="29">
        <v>1.2333333333333334</v>
      </c>
      <c r="P33" s="29">
        <v>1.2333333333333334</v>
      </c>
      <c r="Q33" s="25" t="s">
        <v>707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7"/>
        <v>0</v>
      </c>
      <c r="AF33" s="32">
        <f t="shared" si="18"/>
        <v>1.2333333333333334</v>
      </c>
      <c r="AG33" s="30"/>
      <c r="AH33" s="33"/>
      <c r="AI33" s="34">
        <f t="shared" si="19"/>
        <v>0</v>
      </c>
      <c r="AJ33" s="35"/>
      <c r="AK33" s="30"/>
      <c r="AL33" s="36">
        <f t="shared" si="20"/>
        <v>0</v>
      </c>
      <c r="AM33" s="35"/>
      <c r="AN33" s="30"/>
      <c r="AO33" s="36">
        <f t="shared" si="21"/>
        <v>0</v>
      </c>
      <c r="AP33" s="35"/>
      <c r="AQ33" s="30"/>
      <c r="AR33" s="36">
        <f t="shared" si="22"/>
        <v>0</v>
      </c>
      <c r="AS33" s="27"/>
      <c r="AT33" s="37"/>
      <c r="AU33" s="30"/>
      <c r="AV33" s="36">
        <f t="shared" si="23"/>
        <v>0</v>
      </c>
      <c r="AW33" s="35"/>
      <c r="AX33" s="30"/>
      <c r="AY33" s="32">
        <f t="shared" si="24"/>
        <v>0</v>
      </c>
      <c r="AZ33" s="30" t="s">
        <v>841</v>
      </c>
      <c r="BA33" s="63"/>
      <c r="BB33" s="71" t="e">
        <f>SUMIFS([1]Form!$F$9:$F$22,[1]Form!$K$9:$K$22,K33)</f>
        <v>#VALUE!</v>
      </c>
      <c r="BC33" s="71"/>
      <c r="BD33" s="71"/>
    </row>
    <row r="34" spans="1:56" x14ac:dyDescent="0.25">
      <c r="A34" s="24">
        <f>IF(B34="","",SUBTOTAL(3,$B$4:B34))</f>
        <v>31</v>
      </c>
      <c r="B34" s="25" t="s">
        <v>840</v>
      </c>
      <c r="C34" s="25" t="str">
        <f t="shared" si="0"/>
        <v>Shipment 1 B-10124 Fired Proces Heater</v>
      </c>
      <c r="D34" s="25" t="s">
        <v>839</v>
      </c>
      <c r="E34" s="25" t="s">
        <v>838</v>
      </c>
      <c r="F34" s="25"/>
      <c r="G34" s="65"/>
      <c r="H34" s="25" t="s">
        <v>842</v>
      </c>
      <c r="I34" s="25"/>
      <c r="J34" s="26" t="s">
        <v>843</v>
      </c>
      <c r="K34" s="27" t="s">
        <v>101</v>
      </c>
      <c r="L34" s="28" t="s">
        <v>103</v>
      </c>
      <c r="M34" s="28" t="s">
        <v>704</v>
      </c>
      <c r="N34" s="25">
        <v>1</v>
      </c>
      <c r="O34" s="29">
        <v>1.2333333333333334</v>
      </c>
      <c r="P34" s="29">
        <v>1.2333333333333334</v>
      </c>
      <c r="Q34" s="25" t="s">
        <v>707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7"/>
        <v>0</v>
      </c>
      <c r="AF34" s="32">
        <f t="shared" si="18"/>
        <v>1.2333333333333334</v>
      </c>
      <c r="AG34" s="30"/>
      <c r="AH34" s="33"/>
      <c r="AI34" s="34">
        <f t="shared" si="19"/>
        <v>0</v>
      </c>
      <c r="AJ34" s="35"/>
      <c r="AK34" s="30"/>
      <c r="AL34" s="36">
        <f t="shared" si="20"/>
        <v>0</v>
      </c>
      <c r="AM34" s="35"/>
      <c r="AN34" s="30"/>
      <c r="AO34" s="36">
        <f t="shared" si="21"/>
        <v>0</v>
      </c>
      <c r="AP34" s="35"/>
      <c r="AQ34" s="30"/>
      <c r="AR34" s="36">
        <f t="shared" si="22"/>
        <v>0</v>
      </c>
      <c r="AS34" s="27"/>
      <c r="AT34" s="37"/>
      <c r="AU34" s="30"/>
      <c r="AV34" s="36">
        <f t="shared" si="23"/>
        <v>0</v>
      </c>
      <c r="AW34" s="35"/>
      <c r="AX34" s="30"/>
      <c r="AY34" s="32">
        <f t="shared" si="24"/>
        <v>0</v>
      </c>
      <c r="AZ34" s="30" t="s">
        <v>841</v>
      </c>
      <c r="BA34" s="63"/>
      <c r="BB34" s="71" t="e">
        <f>SUMIFS([1]Form!$F$9:$F$22,[1]Form!$K$9:$K$22,K34)</f>
        <v>#VALUE!</v>
      </c>
      <c r="BC34" s="71"/>
      <c r="BD34" s="71"/>
    </row>
    <row r="35" spans="1:56" x14ac:dyDescent="0.25">
      <c r="A35" s="24">
        <f>IF(B35="","",SUBTOTAL(3,$B$4:B35))</f>
        <v>32</v>
      </c>
      <c r="B35" s="25" t="s">
        <v>840</v>
      </c>
      <c r="C35" s="25" t="str">
        <f t="shared" si="0"/>
        <v>Shipment 1 B-10124 Fired Proces Heater</v>
      </c>
      <c r="D35" s="25" t="s">
        <v>839</v>
      </c>
      <c r="E35" s="25" t="s">
        <v>838</v>
      </c>
      <c r="F35" s="25"/>
      <c r="G35" s="65"/>
      <c r="H35" s="25" t="s">
        <v>842</v>
      </c>
      <c r="I35" s="25"/>
      <c r="J35" s="26" t="s">
        <v>843</v>
      </c>
      <c r="K35" s="27" t="s">
        <v>101</v>
      </c>
      <c r="L35" s="28" t="s">
        <v>104</v>
      </c>
      <c r="M35" s="28" t="s">
        <v>704</v>
      </c>
      <c r="N35" s="25">
        <v>1</v>
      </c>
      <c r="O35" s="29">
        <v>1.2333333333333334</v>
      </c>
      <c r="P35" s="29">
        <v>1.2333333333333334</v>
      </c>
      <c r="Q35" s="25" t="s">
        <v>707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7"/>
        <v>0</v>
      </c>
      <c r="AF35" s="32">
        <f t="shared" si="18"/>
        <v>1.2333333333333334</v>
      </c>
      <c r="AG35" s="30"/>
      <c r="AH35" s="33"/>
      <c r="AI35" s="34">
        <f t="shared" si="19"/>
        <v>0</v>
      </c>
      <c r="AJ35" s="35"/>
      <c r="AK35" s="30"/>
      <c r="AL35" s="36">
        <f t="shared" si="20"/>
        <v>0</v>
      </c>
      <c r="AM35" s="35"/>
      <c r="AN35" s="30"/>
      <c r="AO35" s="36">
        <f t="shared" si="21"/>
        <v>0</v>
      </c>
      <c r="AP35" s="35"/>
      <c r="AQ35" s="30"/>
      <c r="AR35" s="36">
        <f t="shared" si="22"/>
        <v>0</v>
      </c>
      <c r="AS35" s="27"/>
      <c r="AT35" s="37"/>
      <c r="AU35" s="30"/>
      <c r="AV35" s="36">
        <f t="shared" si="23"/>
        <v>0</v>
      </c>
      <c r="AW35" s="35"/>
      <c r="AX35" s="30"/>
      <c r="AY35" s="32">
        <f t="shared" si="24"/>
        <v>0</v>
      </c>
      <c r="AZ35" s="30" t="s">
        <v>841</v>
      </c>
      <c r="BA35" s="63"/>
      <c r="BB35" s="71" t="e">
        <f>SUMIFS([1]Form!$F$9:$F$22,[1]Form!$K$9:$K$22,K35)</f>
        <v>#VALUE!</v>
      </c>
      <c r="BC35" s="71"/>
      <c r="BD35" s="71"/>
    </row>
    <row r="36" spans="1:56" x14ac:dyDescent="0.25">
      <c r="A36" s="24">
        <f>IF(B36="","",SUBTOTAL(3,$B$4:B36))</f>
        <v>33</v>
      </c>
      <c r="B36" s="25" t="s">
        <v>840</v>
      </c>
      <c r="C36" s="25" t="str">
        <f t="shared" si="0"/>
        <v>Shipment 1 B-10124 Fired Proces Heater</v>
      </c>
      <c r="D36" s="25" t="s">
        <v>839</v>
      </c>
      <c r="E36" s="25" t="s">
        <v>838</v>
      </c>
      <c r="F36" s="25"/>
      <c r="G36" s="65"/>
      <c r="H36" s="25" t="s">
        <v>842</v>
      </c>
      <c r="I36" s="25"/>
      <c r="J36" s="26" t="s">
        <v>843</v>
      </c>
      <c r="K36" s="27" t="s">
        <v>101</v>
      </c>
      <c r="L36" s="28" t="s">
        <v>105</v>
      </c>
      <c r="M36" s="28" t="s">
        <v>704</v>
      </c>
      <c r="N36" s="25">
        <v>1</v>
      </c>
      <c r="O36" s="29">
        <v>1.2333333333333334</v>
      </c>
      <c r="P36" s="29">
        <v>1.2333333333333334</v>
      </c>
      <c r="Q36" s="25" t="s">
        <v>707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7"/>
        <v>0</v>
      </c>
      <c r="AF36" s="32">
        <f t="shared" si="18"/>
        <v>1.2333333333333334</v>
      </c>
      <c r="AG36" s="30"/>
      <c r="AH36" s="33"/>
      <c r="AI36" s="34">
        <f t="shared" si="19"/>
        <v>0</v>
      </c>
      <c r="AJ36" s="35"/>
      <c r="AK36" s="30"/>
      <c r="AL36" s="36">
        <f t="shared" si="20"/>
        <v>0</v>
      </c>
      <c r="AM36" s="35"/>
      <c r="AN36" s="30"/>
      <c r="AO36" s="36">
        <f t="shared" si="21"/>
        <v>0</v>
      </c>
      <c r="AP36" s="35"/>
      <c r="AQ36" s="30"/>
      <c r="AR36" s="36">
        <f t="shared" si="22"/>
        <v>0</v>
      </c>
      <c r="AS36" s="27"/>
      <c r="AT36" s="37"/>
      <c r="AU36" s="30"/>
      <c r="AV36" s="36">
        <f t="shared" si="23"/>
        <v>0</v>
      </c>
      <c r="AW36" s="35"/>
      <c r="AX36" s="30"/>
      <c r="AY36" s="32">
        <f t="shared" si="24"/>
        <v>0</v>
      </c>
      <c r="AZ36" s="30" t="s">
        <v>841</v>
      </c>
      <c r="BA36" s="63"/>
      <c r="BB36" s="71" t="e">
        <f>SUMIFS([1]Form!$F$9:$F$22,[1]Form!$K$9:$K$22,K36)</f>
        <v>#VALUE!</v>
      </c>
      <c r="BC36" s="71"/>
      <c r="BD36" s="71"/>
    </row>
    <row r="37" spans="1:56" x14ac:dyDescent="0.25">
      <c r="A37" s="24">
        <f>IF(B37="","",SUBTOTAL(3,$B$4:B37))</f>
        <v>34</v>
      </c>
      <c r="B37" s="25" t="s">
        <v>840</v>
      </c>
      <c r="C37" s="25" t="str">
        <f t="shared" si="0"/>
        <v>Shipment 1 B-10124 Fired Proces Heater</v>
      </c>
      <c r="D37" s="25" t="s">
        <v>839</v>
      </c>
      <c r="E37" s="25" t="s">
        <v>838</v>
      </c>
      <c r="F37" s="25"/>
      <c r="G37" s="65"/>
      <c r="H37" s="25" t="s">
        <v>842</v>
      </c>
      <c r="I37" s="25"/>
      <c r="J37" s="26" t="s">
        <v>843</v>
      </c>
      <c r="K37" s="27" t="s">
        <v>101</v>
      </c>
      <c r="L37" s="28" t="s">
        <v>106</v>
      </c>
      <c r="M37" s="28" t="s">
        <v>704</v>
      </c>
      <c r="N37" s="25">
        <v>1</v>
      </c>
      <c r="O37" s="29">
        <v>1.2333333333333334</v>
      </c>
      <c r="P37" s="29">
        <v>1.2333333333333334</v>
      </c>
      <c r="Q37" s="25" t="s">
        <v>707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7"/>
        <v>0</v>
      </c>
      <c r="AF37" s="32">
        <f t="shared" si="18"/>
        <v>1.2333333333333334</v>
      </c>
      <c r="AG37" s="30"/>
      <c r="AH37" s="33"/>
      <c r="AI37" s="34">
        <f t="shared" si="19"/>
        <v>0</v>
      </c>
      <c r="AJ37" s="35"/>
      <c r="AK37" s="30"/>
      <c r="AL37" s="36">
        <f t="shared" si="20"/>
        <v>0</v>
      </c>
      <c r="AM37" s="35"/>
      <c r="AN37" s="30"/>
      <c r="AO37" s="36">
        <f t="shared" si="21"/>
        <v>0</v>
      </c>
      <c r="AP37" s="35"/>
      <c r="AQ37" s="30"/>
      <c r="AR37" s="36">
        <f t="shared" si="22"/>
        <v>0</v>
      </c>
      <c r="AS37" s="27"/>
      <c r="AT37" s="37"/>
      <c r="AU37" s="30"/>
      <c r="AV37" s="36">
        <f t="shared" si="23"/>
        <v>0</v>
      </c>
      <c r="AW37" s="35"/>
      <c r="AX37" s="30"/>
      <c r="AY37" s="32">
        <f t="shared" si="24"/>
        <v>0</v>
      </c>
      <c r="AZ37" s="30" t="s">
        <v>841</v>
      </c>
      <c r="BA37" s="63"/>
      <c r="BB37" s="71" t="e">
        <f>SUMIFS([1]Form!$F$9:$F$22,[1]Form!$K$9:$K$22,K37)</f>
        <v>#VALUE!</v>
      </c>
      <c r="BC37" s="71"/>
      <c r="BD37" s="71"/>
    </row>
    <row r="38" spans="1:56" x14ac:dyDescent="0.25">
      <c r="A38" s="24">
        <f>IF(B38="","",SUBTOTAL(3,$B$4:B38))</f>
        <v>35</v>
      </c>
      <c r="B38" s="25" t="s">
        <v>840</v>
      </c>
      <c r="C38" s="25" t="str">
        <f t="shared" si="0"/>
        <v>Shipment 1 B-10124 Fired Proces Heater</v>
      </c>
      <c r="D38" s="25" t="s">
        <v>839</v>
      </c>
      <c r="E38" s="25" t="s">
        <v>838</v>
      </c>
      <c r="F38" s="25"/>
      <c r="G38" s="65"/>
      <c r="H38" s="25" t="s">
        <v>842</v>
      </c>
      <c r="I38" s="25"/>
      <c r="J38" s="26" t="s">
        <v>843</v>
      </c>
      <c r="K38" s="27" t="s">
        <v>101</v>
      </c>
      <c r="L38" s="28" t="s">
        <v>107</v>
      </c>
      <c r="M38" s="28" t="s">
        <v>704</v>
      </c>
      <c r="N38" s="25">
        <v>1</v>
      </c>
      <c r="O38" s="29">
        <v>1.2333333333333334</v>
      </c>
      <c r="P38" s="29">
        <v>1.2333333333333334</v>
      </c>
      <c r="Q38" s="25" t="s">
        <v>707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7"/>
        <v>0</v>
      </c>
      <c r="AF38" s="32">
        <f t="shared" si="18"/>
        <v>1.2333333333333334</v>
      </c>
      <c r="AG38" s="30"/>
      <c r="AH38" s="33"/>
      <c r="AI38" s="34">
        <f t="shared" si="19"/>
        <v>0</v>
      </c>
      <c r="AJ38" s="35"/>
      <c r="AK38" s="30"/>
      <c r="AL38" s="36">
        <f t="shared" si="20"/>
        <v>0</v>
      </c>
      <c r="AM38" s="35"/>
      <c r="AN38" s="30"/>
      <c r="AO38" s="36">
        <f t="shared" si="21"/>
        <v>0</v>
      </c>
      <c r="AP38" s="35"/>
      <c r="AQ38" s="30"/>
      <c r="AR38" s="36">
        <f t="shared" si="22"/>
        <v>0</v>
      </c>
      <c r="AS38" s="27"/>
      <c r="AT38" s="37"/>
      <c r="AU38" s="30"/>
      <c r="AV38" s="36">
        <f t="shared" si="23"/>
        <v>0</v>
      </c>
      <c r="AW38" s="35"/>
      <c r="AX38" s="30"/>
      <c r="AY38" s="32">
        <f t="shared" si="24"/>
        <v>0</v>
      </c>
      <c r="AZ38" s="30" t="s">
        <v>841</v>
      </c>
      <c r="BA38" s="63"/>
      <c r="BB38" s="71" t="e">
        <f>SUMIFS([1]Form!$F$9:$F$22,[1]Form!$K$9:$K$22,K38)</f>
        <v>#VALUE!</v>
      </c>
      <c r="BC38" s="71"/>
      <c r="BD38" s="71"/>
    </row>
    <row r="39" spans="1:56" x14ac:dyDescent="0.25">
      <c r="A39" s="24">
        <f>IF(B39="","",SUBTOTAL(3,$B$4:B39))</f>
        <v>36</v>
      </c>
      <c r="B39" s="25" t="s">
        <v>840</v>
      </c>
      <c r="C39" s="25" t="str">
        <f t="shared" si="0"/>
        <v>Shipment 1 B-10124 Fired Proces Heater</v>
      </c>
      <c r="D39" s="25" t="s">
        <v>839</v>
      </c>
      <c r="E39" s="25" t="s">
        <v>838</v>
      </c>
      <c r="F39" s="25"/>
      <c r="G39" s="65"/>
      <c r="H39" s="25" t="s">
        <v>842</v>
      </c>
      <c r="I39" s="25"/>
      <c r="J39" s="26" t="s">
        <v>843</v>
      </c>
      <c r="K39" s="27" t="s">
        <v>101</v>
      </c>
      <c r="L39" s="28" t="s">
        <v>108</v>
      </c>
      <c r="M39" s="28" t="s">
        <v>704</v>
      </c>
      <c r="N39" s="25">
        <v>1</v>
      </c>
      <c r="O39" s="29">
        <v>1.2333333333333334</v>
      </c>
      <c r="P39" s="29">
        <v>1.2333333333333334</v>
      </c>
      <c r="Q39" s="25" t="s">
        <v>707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7"/>
        <v>0</v>
      </c>
      <c r="AF39" s="32">
        <f t="shared" si="18"/>
        <v>1.2333333333333334</v>
      </c>
      <c r="AG39" s="30"/>
      <c r="AH39" s="33"/>
      <c r="AI39" s="34">
        <f t="shared" si="19"/>
        <v>0</v>
      </c>
      <c r="AJ39" s="35"/>
      <c r="AK39" s="30"/>
      <c r="AL39" s="36">
        <f t="shared" si="20"/>
        <v>0</v>
      </c>
      <c r="AM39" s="35"/>
      <c r="AN39" s="30"/>
      <c r="AO39" s="36">
        <f t="shared" si="21"/>
        <v>0</v>
      </c>
      <c r="AP39" s="35"/>
      <c r="AQ39" s="30"/>
      <c r="AR39" s="36">
        <f t="shared" si="22"/>
        <v>0</v>
      </c>
      <c r="AS39" s="27"/>
      <c r="AT39" s="37"/>
      <c r="AU39" s="30"/>
      <c r="AV39" s="36">
        <f t="shared" si="23"/>
        <v>0</v>
      </c>
      <c r="AW39" s="35"/>
      <c r="AX39" s="30"/>
      <c r="AY39" s="32">
        <f t="shared" si="24"/>
        <v>0</v>
      </c>
      <c r="AZ39" s="30" t="s">
        <v>841</v>
      </c>
      <c r="BA39" s="63"/>
      <c r="BB39" s="71" t="e">
        <f>SUMIFS([1]Form!$F$9:$F$22,[1]Form!$K$9:$K$22,K39)</f>
        <v>#VALUE!</v>
      </c>
      <c r="BC39" s="71"/>
      <c r="BD39" s="71"/>
    </row>
    <row r="40" spans="1:56" x14ac:dyDescent="0.25">
      <c r="A40" s="24">
        <f>IF(B40="","",SUBTOTAL(3,$B$4:B40))</f>
        <v>37</v>
      </c>
      <c r="B40" s="25" t="s">
        <v>840</v>
      </c>
      <c r="C40" s="25" t="str">
        <f t="shared" si="0"/>
        <v>Shipment 1 B-10124 Fired Proces Heater</v>
      </c>
      <c r="D40" s="25" t="s">
        <v>839</v>
      </c>
      <c r="E40" s="25" t="s">
        <v>838</v>
      </c>
      <c r="F40" s="25"/>
      <c r="G40" s="65"/>
      <c r="H40" s="25" t="s">
        <v>842</v>
      </c>
      <c r="I40" s="25"/>
      <c r="J40" s="26" t="s">
        <v>843</v>
      </c>
      <c r="K40" s="27" t="s">
        <v>101</v>
      </c>
      <c r="L40" s="28" t="s">
        <v>109</v>
      </c>
      <c r="M40" s="28" t="s">
        <v>704</v>
      </c>
      <c r="N40" s="25">
        <v>1</v>
      </c>
      <c r="O40" s="29">
        <v>1.2333333333333334</v>
      </c>
      <c r="P40" s="29">
        <v>1.2333333333333334</v>
      </c>
      <c r="Q40" s="25" t="s">
        <v>707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7"/>
        <v>0</v>
      </c>
      <c r="AF40" s="32">
        <f t="shared" si="18"/>
        <v>1.2333333333333334</v>
      </c>
      <c r="AG40" s="30"/>
      <c r="AH40" s="33"/>
      <c r="AI40" s="34">
        <f t="shared" si="19"/>
        <v>0</v>
      </c>
      <c r="AJ40" s="35"/>
      <c r="AK40" s="30"/>
      <c r="AL40" s="36">
        <f t="shared" si="20"/>
        <v>0</v>
      </c>
      <c r="AM40" s="35"/>
      <c r="AN40" s="30"/>
      <c r="AO40" s="36">
        <f t="shared" si="21"/>
        <v>0</v>
      </c>
      <c r="AP40" s="35"/>
      <c r="AQ40" s="30"/>
      <c r="AR40" s="36">
        <f t="shared" si="22"/>
        <v>0</v>
      </c>
      <c r="AS40" s="27"/>
      <c r="AT40" s="37"/>
      <c r="AU40" s="30"/>
      <c r="AV40" s="36">
        <f t="shared" si="23"/>
        <v>0</v>
      </c>
      <c r="AW40" s="35"/>
      <c r="AX40" s="30"/>
      <c r="AY40" s="32">
        <f t="shared" si="24"/>
        <v>0</v>
      </c>
      <c r="AZ40" s="30" t="s">
        <v>841</v>
      </c>
      <c r="BA40" s="63"/>
      <c r="BB40" s="71" t="e">
        <f>SUMIFS([1]Form!$F$9:$F$22,[1]Form!$K$9:$K$22,K40)</f>
        <v>#VALUE!</v>
      </c>
      <c r="BC40" s="71"/>
      <c r="BD40" s="71"/>
    </row>
    <row r="41" spans="1:56" x14ac:dyDescent="0.25">
      <c r="A41" s="24">
        <f>IF(B41="","",SUBTOTAL(3,$B$4:B41))</f>
        <v>38</v>
      </c>
      <c r="B41" s="25" t="s">
        <v>840</v>
      </c>
      <c r="C41" s="25" t="str">
        <f t="shared" si="0"/>
        <v>Shipment 1 B-10124 Fired Proces Heater</v>
      </c>
      <c r="D41" s="25" t="s">
        <v>839</v>
      </c>
      <c r="E41" s="25" t="s">
        <v>838</v>
      </c>
      <c r="F41" s="25"/>
      <c r="G41" s="65"/>
      <c r="H41" s="25" t="s">
        <v>842</v>
      </c>
      <c r="I41" s="25"/>
      <c r="J41" s="26" t="s">
        <v>843</v>
      </c>
      <c r="K41" s="27" t="s">
        <v>101</v>
      </c>
      <c r="L41" s="28" t="s">
        <v>110</v>
      </c>
      <c r="M41" s="28" t="s">
        <v>704</v>
      </c>
      <c r="N41" s="25">
        <v>1</v>
      </c>
      <c r="O41" s="29">
        <v>1.2333333333333334</v>
      </c>
      <c r="P41" s="29">
        <v>1.2333333333333334</v>
      </c>
      <c r="Q41" s="25" t="s">
        <v>707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7"/>
        <v>0</v>
      </c>
      <c r="AF41" s="32">
        <f t="shared" si="18"/>
        <v>1.2333333333333334</v>
      </c>
      <c r="AG41" s="30"/>
      <c r="AH41" s="33"/>
      <c r="AI41" s="34">
        <f t="shared" si="19"/>
        <v>0</v>
      </c>
      <c r="AJ41" s="35"/>
      <c r="AK41" s="30"/>
      <c r="AL41" s="36">
        <f t="shared" si="20"/>
        <v>0</v>
      </c>
      <c r="AM41" s="35"/>
      <c r="AN41" s="30"/>
      <c r="AO41" s="36">
        <f t="shared" si="21"/>
        <v>0</v>
      </c>
      <c r="AP41" s="35"/>
      <c r="AQ41" s="30"/>
      <c r="AR41" s="36">
        <f t="shared" si="22"/>
        <v>0</v>
      </c>
      <c r="AS41" s="27"/>
      <c r="AT41" s="37"/>
      <c r="AU41" s="30"/>
      <c r="AV41" s="36">
        <f t="shared" si="23"/>
        <v>0</v>
      </c>
      <c r="AW41" s="35"/>
      <c r="AX41" s="30"/>
      <c r="AY41" s="32">
        <f t="shared" si="24"/>
        <v>0</v>
      </c>
      <c r="AZ41" s="30" t="s">
        <v>841</v>
      </c>
      <c r="BA41" s="63"/>
      <c r="BB41" s="71" t="e">
        <f>SUMIFS([1]Form!$F$9:$F$22,[1]Form!$K$9:$K$22,K41)</f>
        <v>#VALUE!</v>
      </c>
      <c r="BC41" s="71"/>
      <c r="BD41" s="71"/>
    </row>
    <row r="42" spans="1:56" x14ac:dyDescent="0.25">
      <c r="A42" s="24">
        <f>IF(B42="","",SUBTOTAL(3,$B$4:B42))</f>
        <v>39</v>
      </c>
      <c r="B42" s="25" t="s">
        <v>840</v>
      </c>
      <c r="C42" s="25" t="str">
        <f t="shared" si="0"/>
        <v>Shipment 1 B-10124 Fired Proces Heater</v>
      </c>
      <c r="D42" s="25" t="s">
        <v>839</v>
      </c>
      <c r="E42" s="25" t="s">
        <v>838</v>
      </c>
      <c r="F42" s="25"/>
      <c r="G42" s="65"/>
      <c r="H42" s="25" t="s">
        <v>842</v>
      </c>
      <c r="I42" s="25"/>
      <c r="J42" s="26" t="s">
        <v>843</v>
      </c>
      <c r="K42" s="27" t="s">
        <v>101</v>
      </c>
      <c r="L42" s="28" t="s">
        <v>111</v>
      </c>
      <c r="M42" s="28" t="s">
        <v>704</v>
      </c>
      <c r="N42" s="25">
        <v>1</v>
      </c>
      <c r="O42" s="29">
        <v>1.2333333333333334</v>
      </c>
      <c r="P42" s="29">
        <v>1.2333333333333334</v>
      </c>
      <c r="Q42" s="25" t="s">
        <v>707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7"/>
        <v>0</v>
      </c>
      <c r="AF42" s="32">
        <f t="shared" si="18"/>
        <v>1.2333333333333334</v>
      </c>
      <c r="AG42" s="30"/>
      <c r="AH42" s="33"/>
      <c r="AI42" s="34">
        <f t="shared" si="19"/>
        <v>0</v>
      </c>
      <c r="AJ42" s="35"/>
      <c r="AK42" s="30"/>
      <c r="AL42" s="36">
        <f t="shared" si="20"/>
        <v>0</v>
      </c>
      <c r="AM42" s="35"/>
      <c r="AN42" s="30"/>
      <c r="AO42" s="36">
        <f t="shared" si="21"/>
        <v>0</v>
      </c>
      <c r="AP42" s="35"/>
      <c r="AQ42" s="30"/>
      <c r="AR42" s="36">
        <f t="shared" si="22"/>
        <v>0</v>
      </c>
      <c r="AS42" s="27"/>
      <c r="AT42" s="37"/>
      <c r="AU42" s="30"/>
      <c r="AV42" s="36">
        <f t="shared" si="23"/>
        <v>0</v>
      </c>
      <c r="AW42" s="35"/>
      <c r="AX42" s="30"/>
      <c r="AY42" s="32">
        <f t="shared" si="24"/>
        <v>0</v>
      </c>
      <c r="AZ42" s="30" t="s">
        <v>841</v>
      </c>
      <c r="BA42" s="63"/>
      <c r="BB42" s="71" t="e">
        <f>SUMIFS([1]Form!$F$9:$F$22,[1]Form!$K$9:$K$22,K42)</f>
        <v>#VALUE!</v>
      </c>
      <c r="BC42" s="71"/>
      <c r="BD42" s="71"/>
    </row>
    <row r="43" spans="1:56" x14ac:dyDescent="0.25">
      <c r="A43" s="24">
        <f>IF(B43="","",SUBTOTAL(3,$B$4:B43))</f>
        <v>40</v>
      </c>
      <c r="B43" s="25" t="s">
        <v>840</v>
      </c>
      <c r="C43" s="25" t="str">
        <f t="shared" si="0"/>
        <v>Shipment 1 B-10124 Fired Proces Heater</v>
      </c>
      <c r="D43" s="25" t="s">
        <v>839</v>
      </c>
      <c r="E43" s="25" t="s">
        <v>838</v>
      </c>
      <c r="F43" s="25"/>
      <c r="G43" s="65"/>
      <c r="H43" s="25" t="s">
        <v>842</v>
      </c>
      <c r="I43" s="25"/>
      <c r="J43" s="26" t="s">
        <v>843</v>
      </c>
      <c r="K43" s="27" t="s">
        <v>101</v>
      </c>
      <c r="L43" s="28" t="s">
        <v>112</v>
      </c>
      <c r="M43" s="28" t="s">
        <v>704</v>
      </c>
      <c r="N43" s="25">
        <v>1</v>
      </c>
      <c r="O43" s="29">
        <v>1.2333333333333334</v>
      </c>
      <c r="P43" s="29">
        <v>1.2333333333333334</v>
      </c>
      <c r="Q43" s="25" t="s">
        <v>707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7"/>
        <v>0</v>
      </c>
      <c r="AF43" s="32">
        <f t="shared" si="18"/>
        <v>1.2333333333333334</v>
      </c>
      <c r="AG43" s="30"/>
      <c r="AH43" s="33"/>
      <c r="AI43" s="34">
        <f t="shared" si="19"/>
        <v>0</v>
      </c>
      <c r="AJ43" s="35"/>
      <c r="AK43" s="30"/>
      <c r="AL43" s="36">
        <f t="shared" si="20"/>
        <v>0</v>
      </c>
      <c r="AM43" s="35"/>
      <c r="AN43" s="30"/>
      <c r="AO43" s="36">
        <f t="shared" si="21"/>
        <v>0</v>
      </c>
      <c r="AP43" s="35"/>
      <c r="AQ43" s="30"/>
      <c r="AR43" s="36">
        <f t="shared" si="22"/>
        <v>0</v>
      </c>
      <c r="AS43" s="27"/>
      <c r="AT43" s="37"/>
      <c r="AU43" s="30"/>
      <c r="AV43" s="36">
        <f t="shared" si="23"/>
        <v>0</v>
      </c>
      <c r="AW43" s="35"/>
      <c r="AX43" s="30"/>
      <c r="AY43" s="32">
        <f t="shared" si="24"/>
        <v>0</v>
      </c>
      <c r="AZ43" s="30" t="s">
        <v>841</v>
      </c>
      <c r="BA43" s="63"/>
      <c r="BB43" s="71" t="e">
        <f>SUMIFS([1]Form!$F$9:$F$22,[1]Form!$K$9:$K$22,K43)</f>
        <v>#VALUE!</v>
      </c>
      <c r="BC43" s="71"/>
      <c r="BD43" s="71"/>
    </row>
    <row r="44" spans="1:56" x14ac:dyDescent="0.25">
      <c r="A44" s="24">
        <f>IF(B44="","",SUBTOTAL(3,$B$4:B44))</f>
        <v>41</v>
      </c>
      <c r="B44" s="25" t="s">
        <v>840</v>
      </c>
      <c r="C44" s="25" t="str">
        <f t="shared" si="0"/>
        <v>Shipment 1 B-10124 Fired Proces Heater</v>
      </c>
      <c r="D44" s="25" t="s">
        <v>839</v>
      </c>
      <c r="E44" s="25" t="s">
        <v>838</v>
      </c>
      <c r="F44" s="25"/>
      <c r="G44" s="65"/>
      <c r="H44" s="25" t="s">
        <v>842</v>
      </c>
      <c r="I44" s="25"/>
      <c r="J44" s="26" t="s">
        <v>843</v>
      </c>
      <c r="K44" s="27" t="s">
        <v>101</v>
      </c>
      <c r="L44" s="28" t="s">
        <v>113</v>
      </c>
      <c r="M44" s="28" t="s">
        <v>704</v>
      </c>
      <c r="N44" s="25">
        <v>1</v>
      </c>
      <c r="O44" s="29">
        <v>1.2333333333333334</v>
      </c>
      <c r="P44" s="29">
        <v>1.2333333333333334</v>
      </c>
      <c r="Q44" s="25" t="s">
        <v>707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7"/>
        <v>0</v>
      </c>
      <c r="AF44" s="32">
        <f t="shared" si="18"/>
        <v>1.2333333333333334</v>
      </c>
      <c r="AG44" s="30"/>
      <c r="AH44" s="33"/>
      <c r="AI44" s="34">
        <f t="shared" si="19"/>
        <v>0</v>
      </c>
      <c r="AJ44" s="35"/>
      <c r="AK44" s="30"/>
      <c r="AL44" s="36">
        <f t="shared" si="20"/>
        <v>0</v>
      </c>
      <c r="AM44" s="35"/>
      <c r="AN44" s="30"/>
      <c r="AO44" s="36">
        <f t="shared" si="21"/>
        <v>0</v>
      </c>
      <c r="AP44" s="35"/>
      <c r="AQ44" s="30"/>
      <c r="AR44" s="36">
        <f t="shared" si="22"/>
        <v>0</v>
      </c>
      <c r="AS44" s="27"/>
      <c r="AT44" s="37"/>
      <c r="AU44" s="30"/>
      <c r="AV44" s="36">
        <f t="shared" si="23"/>
        <v>0</v>
      </c>
      <c r="AW44" s="35"/>
      <c r="AX44" s="30"/>
      <c r="AY44" s="32">
        <f t="shared" si="24"/>
        <v>0</v>
      </c>
      <c r="AZ44" s="30" t="s">
        <v>841</v>
      </c>
      <c r="BA44" s="63"/>
      <c r="BB44" s="71" t="e">
        <f>SUMIFS([1]Form!$F$9:$F$22,[1]Form!$K$9:$K$22,K44)</f>
        <v>#VALUE!</v>
      </c>
      <c r="BC44" s="71"/>
      <c r="BD44" s="71"/>
    </row>
    <row r="45" spans="1:56" x14ac:dyDescent="0.25">
      <c r="A45" s="24">
        <f>IF(B45="","",SUBTOTAL(3,$B$4:B45))</f>
        <v>42</v>
      </c>
      <c r="B45" s="25" t="s">
        <v>840</v>
      </c>
      <c r="C45" s="25" t="str">
        <f t="shared" ref="C45" si="25">D45&amp;" "&amp;E45</f>
        <v>Shipment 1 B-10124 Fired Proces Heater</v>
      </c>
      <c r="D45" s="25" t="s">
        <v>839</v>
      </c>
      <c r="E45" s="25" t="s">
        <v>838</v>
      </c>
      <c r="F45" s="25"/>
      <c r="G45" s="65"/>
      <c r="H45" s="25" t="s">
        <v>842</v>
      </c>
      <c r="I45" s="25"/>
      <c r="J45" s="26" t="s">
        <v>843</v>
      </c>
      <c r="K45" s="27" t="s">
        <v>1187</v>
      </c>
      <c r="L45" s="28" t="s">
        <v>1186</v>
      </c>
      <c r="M45" s="28"/>
      <c r="N45" s="25">
        <v>160</v>
      </c>
      <c r="O45" s="29">
        <v>1.3</v>
      </c>
      <c r="P45" s="29">
        <v>208.9</v>
      </c>
      <c r="Q45" s="25" t="s">
        <v>1188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ref="AE45" si="26">+AL45*0.5+AO45*0.4+AV45*0.1</f>
        <v>0</v>
      </c>
      <c r="AF45" s="32">
        <f t="shared" ref="AF45" si="27">+P45-AE45</f>
        <v>208.9</v>
      </c>
      <c r="AG45" s="30"/>
      <c r="AH45" s="33"/>
      <c r="AI45" s="34">
        <f t="shared" ref="AI45" si="28">+AH45*P45</f>
        <v>0</v>
      </c>
      <c r="AJ45" s="35"/>
      <c r="AK45" s="30"/>
      <c r="AL45" s="36">
        <f t="shared" ref="AL45" si="29">IFERROR(AK45*$P45/$N45,0)</f>
        <v>0</v>
      </c>
      <c r="AM45" s="35"/>
      <c r="AN45" s="30"/>
      <c r="AO45" s="36">
        <f t="shared" ref="AO45" si="30">IFERROR(AN45*$P45/$N45,0)</f>
        <v>0</v>
      </c>
      <c r="AP45" s="35"/>
      <c r="AQ45" s="30"/>
      <c r="AR45" s="36">
        <f t="shared" ref="AR45" si="31">IFERROR(AQ45*$P45/$N45,0)</f>
        <v>0</v>
      </c>
      <c r="AS45" s="27"/>
      <c r="AT45" s="37"/>
      <c r="AU45" s="30"/>
      <c r="AV45" s="36">
        <f t="shared" ref="AV45" si="32">IFERROR(AU45*$P45/$N45,0)</f>
        <v>0</v>
      </c>
      <c r="AW45" s="35"/>
      <c r="AX45" s="30"/>
      <c r="AY45" s="32">
        <f t="shared" ref="AY45" si="33">IFERROR(AX45*$P45/$N45,0)</f>
        <v>0</v>
      </c>
      <c r="AZ45" s="30" t="s">
        <v>841</v>
      </c>
      <c r="BA45" s="63"/>
      <c r="BB45" s="71" t="e">
        <f>SUMIFS([1]Form!$F$9:$F$22,[1]Form!$K$9:$K$22,K45)</f>
        <v>#VALUE!</v>
      </c>
      <c r="BC45" s="71"/>
      <c r="BD45" s="71"/>
    </row>
    <row r="46" spans="1:56" x14ac:dyDescent="0.25">
      <c r="A46" s="24">
        <f>IF(B46="","",SUBTOTAL(3,$B$4:B46))</f>
        <v>43</v>
      </c>
      <c r="B46" s="25" t="s">
        <v>840</v>
      </c>
      <c r="C46" s="25" t="str">
        <f t="shared" ref="C46" si="34">D46&amp;" "&amp;E46</f>
        <v>Shipment 1 B-10124 Fired Proces Heater</v>
      </c>
      <c r="D46" s="25" t="s">
        <v>839</v>
      </c>
      <c r="E46" s="25" t="s">
        <v>838</v>
      </c>
      <c r="F46" s="25"/>
      <c r="G46" s="65"/>
      <c r="H46" s="25" t="s">
        <v>842</v>
      </c>
      <c r="I46" s="25"/>
      <c r="J46" s="26" t="s">
        <v>843</v>
      </c>
      <c r="K46" s="27" t="s">
        <v>1190</v>
      </c>
      <c r="L46" s="28" t="s">
        <v>1189</v>
      </c>
      <c r="M46" s="28"/>
      <c r="N46" s="25">
        <v>160</v>
      </c>
      <c r="O46" s="29">
        <v>0.9</v>
      </c>
      <c r="P46" s="29">
        <v>144.5</v>
      </c>
      <c r="Q46" s="25" t="s">
        <v>1191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ref="AE46" si="35">+AL46*0.5+AO46*0.4+AV46*0.1</f>
        <v>0</v>
      </c>
      <c r="AF46" s="32">
        <f t="shared" ref="AF46" si="36">+P46-AE46</f>
        <v>144.5</v>
      </c>
      <c r="AG46" s="30"/>
      <c r="AH46" s="33"/>
      <c r="AI46" s="34">
        <f t="shared" ref="AI46" si="37">+AH46*P46</f>
        <v>0</v>
      </c>
      <c r="AJ46" s="35"/>
      <c r="AK46" s="30"/>
      <c r="AL46" s="36">
        <f t="shared" ref="AL46" si="38">IFERROR(AK46*$P46/$N46,0)</f>
        <v>0</v>
      </c>
      <c r="AM46" s="35"/>
      <c r="AN46" s="30"/>
      <c r="AO46" s="36">
        <f t="shared" ref="AO46" si="39">IFERROR(AN46*$P46/$N46,0)</f>
        <v>0</v>
      </c>
      <c r="AP46" s="35"/>
      <c r="AQ46" s="30"/>
      <c r="AR46" s="36">
        <f t="shared" ref="AR46" si="40">IFERROR(AQ46*$P46/$N46,0)</f>
        <v>0</v>
      </c>
      <c r="AS46" s="27"/>
      <c r="AT46" s="37"/>
      <c r="AU46" s="30"/>
      <c r="AV46" s="36">
        <f t="shared" ref="AV46" si="41">IFERROR(AU46*$P46/$N46,0)</f>
        <v>0</v>
      </c>
      <c r="AW46" s="35"/>
      <c r="AX46" s="30"/>
      <c r="AY46" s="32">
        <f t="shared" ref="AY46" si="42">IFERROR(AX46*$P46/$N46,0)</f>
        <v>0</v>
      </c>
      <c r="AZ46" s="30" t="s">
        <v>841</v>
      </c>
      <c r="BA46" s="63"/>
      <c r="BB46" s="71" t="e">
        <f>SUMIFS([1]Form!$F$9:$F$22,[1]Form!$K$9:$K$22,K46)</f>
        <v>#VALUE!</v>
      </c>
      <c r="BC46" s="71"/>
      <c r="BD46" s="71"/>
    </row>
    <row r="47" spans="1:56" x14ac:dyDescent="0.25">
      <c r="A47" s="24">
        <f>IF(B47="","",SUBTOTAL(3,$B$4:B47))</f>
        <v>44</v>
      </c>
      <c r="B47" s="25" t="s">
        <v>840</v>
      </c>
      <c r="C47" s="25" t="str">
        <f t="shared" ref="C47:C91" si="43">D47&amp;" "&amp;E47</f>
        <v>Shipment 1 B-10124 Fired Proces Heater</v>
      </c>
      <c r="D47" s="25" t="s">
        <v>839</v>
      </c>
      <c r="E47" s="25" t="s">
        <v>838</v>
      </c>
      <c r="F47" s="25"/>
      <c r="G47" s="65"/>
      <c r="H47" s="25" t="s">
        <v>842</v>
      </c>
      <c r="I47" s="25"/>
      <c r="J47" s="26" t="s">
        <v>843</v>
      </c>
      <c r="K47" s="27" t="s">
        <v>114</v>
      </c>
      <c r="L47" s="28" t="s">
        <v>115</v>
      </c>
      <c r="M47" s="28" t="s">
        <v>708</v>
      </c>
      <c r="N47" s="25">
        <v>1</v>
      </c>
      <c r="O47" s="29">
        <v>8219.2000000000007</v>
      </c>
      <c r="P47" s="29">
        <v>8219.2000000000007</v>
      </c>
      <c r="Q47" s="25" t="s">
        <v>1154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ref="AE47:AE105" si="44">+AL47*0.5+AO47*0.4+AV47*0.1</f>
        <v>8219.2000000000007</v>
      </c>
      <c r="AF47" s="32">
        <f t="shared" ref="AF47:AF105" si="45">+P47-AE47</f>
        <v>0</v>
      </c>
      <c r="AG47" s="30"/>
      <c r="AH47" s="33"/>
      <c r="AI47" s="34">
        <f t="shared" ref="AI47:AI105" si="46">+AH47*P47</f>
        <v>0</v>
      </c>
      <c r="AJ47" s="35">
        <v>46211</v>
      </c>
      <c r="AK47" s="30">
        <v>1</v>
      </c>
      <c r="AL47" s="36">
        <f t="shared" ref="AL47:AL105" si="47">IFERROR(AK47*$P47/$N47,0)</f>
        <v>8219.2000000000007</v>
      </c>
      <c r="AM47" s="35">
        <v>46242</v>
      </c>
      <c r="AN47" s="30">
        <v>1</v>
      </c>
      <c r="AO47" s="36">
        <f t="shared" ref="AO47:AO105" si="48">IFERROR(AN47*$P47/$N47,0)</f>
        <v>8219.2000000000007</v>
      </c>
      <c r="AP47" s="35">
        <v>46277</v>
      </c>
      <c r="AQ47" s="30">
        <v>1</v>
      </c>
      <c r="AR47" s="36">
        <f t="shared" ref="AR47:AR105" si="49">IFERROR(AQ47*$P47/$N47,0)</f>
        <v>8219.2000000000007</v>
      </c>
      <c r="AS47" s="27" t="s">
        <v>1152</v>
      </c>
      <c r="AT47" s="37">
        <v>46277</v>
      </c>
      <c r="AU47" s="30">
        <v>1</v>
      </c>
      <c r="AV47" s="36">
        <f t="shared" ref="AV47:AV105" si="50">IFERROR(AU47*$P47/$N47,0)</f>
        <v>8219.2000000000007</v>
      </c>
      <c r="AW47" s="35">
        <v>46281</v>
      </c>
      <c r="AX47" s="30">
        <v>1</v>
      </c>
      <c r="AY47" s="32">
        <f t="shared" ref="AY47:AY105" si="51">IFERROR(AX47*$P47/$N47,0)</f>
        <v>8219.2000000000007</v>
      </c>
      <c r="AZ47" s="30" t="s">
        <v>841</v>
      </c>
      <c r="BA47" s="63" t="s">
        <v>1150</v>
      </c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840</v>
      </c>
      <c r="C48" s="25" t="str">
        <f t="shared" si="43"/>
        <v>Shipment 1 B-10124 Fired Proces Heater</v>
      </c>
      <c r="D48" s="25" t="s">
        <v>839</v>
      </c>
      <c r="E48" s="25" t="s">
        <v>838</v>
      </c>
      <c r="F48" s="25"/>
      <c r="G48" s="65"/>
      <c r="H48" s="25" t="s">
        <v>842</v>
      </c>
      <c r="I48" s="25"/>
      <c r="J48" s="26" t="s">
        <v>843</v>
      </c>
      <c r="K48" s="27" t="s">
        <v>116</v>
      </c>
      <c r="L48" s="28" t="s">
        <v>117</v>
      </c>
      <c r="M48" s="28" t="s">
        <v>709</v>
      </c>
      <c r="N48" s="25">
        <v>1</v>
      </c>
      <c r="O48" s="29">
        <v>1955.8</v>
      </c>
      <c r="P48" s="29">
        <v>1955.8</v>
      </c>
      <c r="Q48" s="25" t="s">
        <v>710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44"/>
        <v>977.9</v>
      </c>
      <c r="AF48" s="32">
        <f t="shared" si="45"/>
        <v>977.9</v>
      </c>
      <c r="AG48" s="30"/>
      <c r="AH48" s="33"/>
      <c r="AI48" s="34">
        <f t="shared" si="46"/>
        <v>0</v>
      </c>
      <c r="AJ48" s="35">
        <v>46231</v>
      </c>
      <c r="AK48" s="30">
        <v>1</v>
      </c>
      <c r="AL48" s="36">
        <f t="shared" si="47"/>
        <v>1955.8</v>
      </c>
      <c r="AM48" s="35"/>
      <c r="AN48" s="30"/>
      <c r="AO48" s="36">
        <f t="shared" si="48"/>
        <v>0</v>
      </c>
      <c r="AP48" s="35"/>
      <c r="AQ48" s="30"/>
      <c r="AR48" s="36">
        <f t="shared" si="49"/>
        <v>0</v>
      </c>
      <c r="AS48" s="27"/>
      <c r="AT48" s="37"/>
      <c r="AU48" s="30"/>
      <c r="AV48" s="36">
        <f t="shared" si="50"/>
        <v>0</v>
      </c>
      <c r="AW48" s="35"/>
      <c r="AX48" s="30"/>
      <c r="AY48" s="32">
        <f t="shared" si="51"/>
        <v>0</v>
      </c>
      <c r="AZ48" s="30" t="s">
        <v>841</v>
      </c>
      <c r="BA48" s="63"/>
      <c r="BB48" s="71" t="e">
        <f>SUMIFS([1]Form!$F$9:$F$22,[1]Form!$K$9:$K$22,K48)</f>
        <v>#VALUE!</v>
      </c>
      <c r="BC48" s="71"/>
      <c r="BD48" s="71"/>
    </row>
    <row r="49" spans="1:56" x14ac:dyDescent="0.25">
      <c r="A49" s="24">
        <f>IF(B49="","",SUBTOTAL(3,$B$4:B49))</f>
        <v>46</v>
      </c>
      <c r="B49" s="25" t="s">
        <v>840</v>
      </c>
      <c r="C49" s="25" t="str">
        <f t="shared" si="43"/>
        <v>Shipment 1 B-10124 Fired Proces Heater</v>
      </c>
      <c r="D49" s="25" t="s">
        <v>839</v>
      </c>
      <c r="E49" s="25" t="s">
        <v>838</v>
      </c>
      <c r="F49" s="25"/>
      <c r="G49" s="65"/>
      <c r="H49" s="25" t="s">
        <v>842</v>
      </c>
      <c r="I49" s="25"/>
      <c r="J49" s="26" t="s">
        <v>843</v>
      </c>
      <c r="K49" s="27" t="s">
        <v>118</v>
      </c>
      <c r="L49" s="28" t="s">
        <v>119</v>
      </c>
      <c r="M49" s="28" t="s">
        <v>704</v>
      </c>
      <c r="N49" s="25">
        <v>1</v>
      </c>
      <c r="O49" s="29">
        <v>15.4</v>
      </c>
      <c r="P49" s="29">
        <v>15.4</v>
      </c>
      <c r="Q49" s="25" t="s">
        <v>711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44"/>
        <v>0</v>
      </c>
      <c r="AF49" s="32">
        <f t="shared" si="45"/>
        <v>15.4</v>
      </c>
      <c r="AG49" s="30"/>
      <c r="AH49" s="33"/>
      <c r="AI49" s="34">
        <f t="shared" si="46"/>
        <v>0</v>
      </c>
      <c r="AJ49" s="35"/>
      <c r="AK49" s="30"/>
      <c r="AL49" s="36">
        <f t="shared" si="47"/>
        <v>0</v>
      </c>
      <c r="AM49" s="35"/>
      <c r="AN49" s="30"/>
      <c r="AO49" s="36">
        <f t="shared" si="48"/>
        <v>0</v>
      </c>
      <c r="AP49" s="35"/>
      <c r="AQ49" s="30"/>
      <c r="AR49" s="36">
        <f t="shared" si="49"/>
        <v>0</v>
      </c>
      <c r="AS49" s="27"/>
      <c r="AT49" s="37"/>
      <c r="AU49" s="30"/>
      <c r="AV49" s="36">
        <f t="shared" si="50"/>
        <v>0</v>
      </c>
      <c r="AW49" s="35"/>
      <c r="AX49" s="30"/>
      <c r="AY49" s="32">
        <f t="shared" si="51"/>
        <v>0</v>
      </c>
      <c r="AZ49" s="30" t="s">
        <v>841</v>
      </c>
      <c r="BA49" s="63"/>
      <c r="BB49" s="71" t="e">
        <f>SUMIFS([1]Form!$F$9:$F$22,[1]Form!$K$9:$K$22,K49)</f>
        <v>#VALUE!</v>
      </c>
      <c r="BC49" s="71"/>
      <c r="BD49" s="71"/>
    </row>
    <row r="50" spans="1:56" x14ac:dyDescent="0.25">
      <c r="A50" s="24">
        <f>IF(B50="","",SUBTOTAL(3,$B$4:B50))</f>
        <v>47</v>
      </c>
      <c r="B50" s="25" t="s">
        <v>840</v>
      </c>
      <c r="C50" s="25" t="str">
        <f t="shared" si="43"/>
        <v>Shipment 1 B-10124 Fired Proces Heater</v>
      </c>
      <c r="D50" s="25" t="s">
        <v>839</v>
      </c>
      <c r="E50" s="25" t="s">
        <v>838</v>
      </c>
      <c r="F50" s="25"/>
      <c r="G50" s="65"/>
      <c r="H50" s="25" t="s">
        <v>842</v>
      </c>
      <c r="I50" s="25"/>
      <c r="J50" s="26" t="s">
        <v>843</v>
      </c>
      <c r="K50" s="27" t="s">
        <v>118</v>
      </c>
      <c r="L50" s="28" t="s">
        <v>120</v>
      </c>
      <c r="M50" s="28" t="s">
        <v>704</v>
      </c>
      <c r="N50" s="25">
        <v>1</v>
      </c>
      <c r="O50" s="29">
        <v>15.4</v>
      </c>
      <c r="P50" s="29">
        <v>15.4</v>
      </c>
      <c r="Q50" s="25" t="s">
        <v>711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44"/>
        <v>0</v>
      </c>
      <c r="AF50" s="32">
        <f t="shared" si="45"/>
        <v>15.4</v>
      </c>
      <c r="AG50" s="30"/>
      <c r="AH50" s="33"/>
      <c r="AI50" s="34">
        <f t="shared" si="46"/>
        <v>0</v>
      </c>
      <c r="AJ50" s="35"/>
      <c r="AK50" s="30"/>
      <c r="AL50" s="36">
        <f t="shared" si="47"/>
        <v>0</v>
      </c>
      <c r="AM50" s="35"/>
      <c r="AN50" s="30"/>
      <c r="AO50" s="36">
        <f t="shared" si="48"/>
        <v>0</v>
      </c>
      <c r="AP50" s="35"/>
      <c r="AQ50" s="30"/>
      <c r="AR50" s="36">
        <f t="shared" si="49"/>
        <v>0</v>
      </c>
      <c r="AS50" s="27"/>
      <c r="AT50" s="37"/>
      <c r="AU50" s="30"/>
      <c r="AV50" s="36">
        <f t="shared" si="50"/>
        <v>0</v>
      </c>
      <c r="AW50" s="35"/>
      <c r="AX50" s="30"/>
      <c r="AY50" s="32">
        <f t="shared" si="51"/>
        <v>0</v>
      </c>
      <c r="AZ50" s="30" t="s">
        <v>841</v>
      </c>
      <c r="BA50" s="63"/>
      <c r="BB50" s="71" t="e">
        <f>SUMIFS([1]Form!$F$9:$F$22,[1]Form!$K$9:$K$22,K50)</f>
        <v>#VALUE!</v>
      </c>
      <c r="BC50" s="71"/>
      <c r="BD50" s="71"/>
    </row>
    <row r="51" spans="1:56" x14ac:dyDescent="0.25">
      <c r="A51" s="24">
        <f>IF(B51="","",SUBTOTAL(3,$B$4:B51))</f>
        <v>48</v>
      </c>
      <c r="B51" s="25" t="s">
        <v>840</v>
      </c>
      <c r="C51" s="25" t="str">
        <f t="shared" si="43"/>
        <v>Shipment 1 B-10124 Fired Proces Heater</v>
      </c>
      <c r="D51" s="25" t="s">
        <v>839</v>
      </c>
      <c r="E51" s="25" t="s">
        <v>838</v>
      </c>
      <c r="F51" s="25"/>
      <c r="G51" s="65"/>
      <c r="H51" s="25" t="s">
        <v>842</v>
      </c>
      <c r="I51" s="25"/>
      <c r="J51" s="26" t="s">
        <v>843</v>
      </c>
      <c r="K51" s="27" t="s">
        <v>118</v>
      </c>
      <c r="L51" s="28" t="s">
        <v>121</v>
      </c>
      <c r="M51" s="28" t="s">
        <v>704</v>
      </c>
      <c r="N51" s="25">
        <v>1</v>
      </c>
      <c r="O51" s="29">
        <v>15.4</v>
      </c>
      <c r="P51" s="29">
        <v>15.4</v>
      </c>
      <c r="Q51" s="25" t="s">
        <v>711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44"/>
        <v>0</v>
      </c>
      <c r="AF51" s="32">
        <f t="shared" si="45"/>
        <v>15.4</v>
      </c>
      <c r="AG51" s="30"/>
      <c r="AH51" s="33"/>
      <c r="AI51" s="34">
        <f t="shared" si="46"/>
        <v>0</v>
      </c>
      <c r="AJ51" s="35"/>
      <c r="AK51" s="30"/>
      <c r="AL51" s="36">
        <f t="shared" si="47"/>
        <v>0</v>
      </c>
      <c r="AM51" s="35"/>
      <c r="AN51" s="30"/>
      <c r="AO51" s="36">
        <f t="shared" si="48"/>
        <v>0</v>
      </c>
      <c r="AP51" s="35"/>
      <c r="AQ51" s="30"/>
      <c r="AR51" s="36">
        <f t="shared" si="49"/>
        <v>0</v>
      </c>
      <c r="AS51" s="27"/>
      <c r="AT51" s="37"/>
      <c r="AU51" s="30"/>
      <c r="AV51" s="36">
        <f t="shared" si="50"/>
        <v>0</v>
      </c>
      <c r="AW51" s="35"/>
      <c r="AX51" s="30"/>
      <c r="AY51" s="32">
        <f t="shared" si="51"/>
        <v>0</v>
      </c>
      <c r="AZ51" s="30" t="s">
        <v>841</v>
      </c>
      <c r="BA51" s="63"/>
      <c r="BB51" s="71" t="e">
        <f>SUMIFS([1]Form!$F$9:$F$22,[1]Form!$K$9:$K$22,K51)</f>
        <v>#VALUE!</v>
      </c>
      <c r="BC51" s="71"/>
      <c r="BD51" s="71"/>
    </row>
    <row r="52" spans="1:56" x14ac:dyDescent="0.25">
      <c r="A52" s="24">
        <f>IF(B52="","",SUBTOTAL(3,$B$4:B52))</f>
        <v>49</v>
      </c>
      <c r="B52" s="25" t="s">
        <v>840</v>
      </c>
      <c r="C52" s="25" t="str">
        <f t="shared" si="43"/>
        <v>Shipment 1 B-10124 Fired Proces Heater</v>
      </c>
      <c r="D52" s="25" t="s">
        <v>839</v>
      </c>
      <c r="E52" s="25" t="s">
        <v>838</v>
      </c>
      <c r="F52" s="25"/>
      <c r="G52" s="65"/>
      <c r="H52" s="25" t="s">
        <v>842</v>
      </c>
      <c r="I52" s="25"/>
      <c r="J52" s="26" t="s">
        <v>843</v>
      </c>
      <c r="K52" s="27" t="s">
        <v>118</v>
      </c>
      <c r="L52" s="28" t="s">
        <v>122</v>
      </c>
      <c r="M52" s="28" t="s">
        <v>704</v>
      </c>
      <c r="N52" s="25">
        <v>1</v>
      </c>
      <c r="O52" s="29">
        <v>15.4</v>
      </c>
      <c r="P52" s="29">
        <v>15.4</v>
      </c>
      <c r="Q52" s="25" t="s">
        <v>711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44"/>
        <v>0</v>
      </c>
      <c r="AF52" s="32">
        <f t="shared" si="45"/>
        <v>15.4</v>
      </c>
      <c r="AG52" s="30"/>
      <c r="AH52" s="33"/>
      <c r="AI52" s="34">
        <f t="shared" si="46"/>
        <v>0</v>
      </c>
      <c r="AJ52" s="35"/>
      <c r="AK52" s="30"/>
      <c r="AL52" s="36">
        <f t="shared" si="47"/>
        <v>0</v>
      </c>
      <c r="AM52" s="35"/>
      <c r="AN52" s="30"/>
      <c r="AO52" s="36">
        <f t="shared" si="48"/>
        <v>0</v>
      </c>
      <c r="AP52" s="35"/>
      <c r="AQ52" s="30"/>
      <c r="AR52" s="36">
        <f t="shared" si="49"/>
        <v>0</v>
      </c>
      <c r="AS52" s="27"/>
      <c r="AT52" s="37"/>
      <c r="AU52" s="30"/>
      <c r="AV52" s="36">
        <f t="shared" si="50"/>
        <v>0</v>
      </c>
      <c r="AW52" s="35"/>
      <c r="AX52" s="30"/>
      <c r="AY52" s="32">
        <f t="shared" si="51"/>
        <v>0</v>
      </c>
      <c r="AZ52" s="30" t="s">
        <v>841</v>
      </c>
      <c r="BA52" s="63"/>
      <c r="BB52" s="71" t="e">
        <f>SUMIFS([1]Form!$F$9:$F$22,[1]Form!$K$9:$K$22,K52)</f>
        <v>#VALUE!</v>
      </c>
      <c r="BC52" s="71"/>
      <c r="BD52" s="71"/>
    </row>
    <row r="53" spans="1:56" x14ac:dyDescent="0.25">
      <c r="A53" s="24">
        <f>IF(B53="","",SUBTOTAL(3,$B$4:B53))</f>
        <v>50</v>
      </c>
      <c r="B53" s="25" t="s">
        <v>840</v>
      </c>
      <c r="C53" s="25" t="str">
        <f t="shared" si="43"/>
        <v>Shipment 1 B-10124 Fired Proces Heater</v>
      </c>
      <c r="D53" s="25" t="s">
        <v>839</v>
      </c>
      <c r="E53" s="25" t="s">
        <v>838</v>
      </c>
      <c r="F53" s="25"/>
      <c r="G53" s="65"/>
      <c r="H53" s="25" t="s">
        <v>842</v>
      </c>
      <c r="I53" s="25"/>
      <c r="J53" s="26" t="s">
        <v>843</v>
      </c>
      <c r="K53" s="27" t="s">
        <v>123</v>
      </c>
      <c r="L53" s="28" t="s">
        <v>124</v>
      </c>
      <c r="M53" s="28" t="s">
        <v>704</v>
      </c>
      <c r="N53" s="25">
        <v>1</v>
      </c>
      <c r="O53" s="29">
        <v>20.299999999999997</v>
      </c>
      <c r="P53" s="29">
        <v>20.299999999999997</v>
      </c>
      <c r="Q53" s="25" t="s">
        <v>712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44"/>
        <v>0</v>
      </c>
      <c r="AF53" s="32">
        <f t="shared" si="45"/>
        <v>20.299999999999997</v>
      </c>
      <c r="AG53" s="30"/>
      <c r="AH53" s="33"/>
      <c r="AI53" s="34">
        <f t="shared" si="46"/>
        <v>0</v>
      </c>
      <c r="AJ53" s="35"/>
      <c r="AK53" s="30"/>
      <c r="AL53" s="36">
        <f t="shared" si="47"/>
        <v>0</v>
      </c>
      <c r="AM53" s="35"/>
      <c r="AN53" s="30"/>
      <c r="AO53" s="36">
        <f t="shared" si="48"/>
        <v>0</v>
      </c>
      <c r="AP53" s="35"/>
      <c r="AQ53" s="30"/>
      <c r="AR53" s="36">
        <f t="shared" si="49"/>
        <v>0</v>
      </c>
      <c r="AS53" s="27"/>
      <c r="AT53" s="37"/>
      <c r="AU53" s="30"/>
      <c r="AV53" s="36">
        <f t="shared" si="50"/>
        <v>0</v>
      </c>
      <c r="AW53" s="35"/>
      <c r="AX53" s="30"/>
      <c r="AY53" s="32">
        <f t="shared" si="51"/>
        <v>0</v>
      </c>
      <c r="AZ53" s="30" t="s">
        <v>841</v>
      </c>
      <c r="BA53" s="63"/>
      <c r="BB53" s="71" t="e">
        <f>SUMIFS([1]Form!$F$9:$F$22,[1]Form!$K$9:$K$22,K53)</f>
        <v>#VALUE!</v>
      </c>
      <c r="BC53" s="71"/>
      <c r="BD53" s="71"/>
    </row>
    <row r="54" spans="1:56" x14ac:dyDescent="0.25">
      <c r="A54" s="24">
        <f>IF(B54="","",SUBTOTAL(3,$B$4:B54))</f>
        <v>51</v>
      </c>
      <c r="B54" s="25" t="s">
        <v>840</v>
      </c>
      <c r="C54" s="25" t="str">
        <f t="shared" si="43"/>
        <v>Shipment 1 B-10124 Fired Proces Heater</v>
      </c>
      <c r="D54" s="25" t="s">
        <v>839</v>
      </c>
      <c r="E54" s="25" t="s">
        <v>838</v>
      </c>
      <c r="F54" s="25"/>
      <c r="G54" s="65"/>
      <c r="H54" s="25" t="s">
        <v>842</v>
      </c>
      <c r="I54" s="25"/>
      <c r="J54" s="26" t="s">
        <v>843</v>
      </c>
      <c r="K54" s="27" t="s">
        <v>125</v>
      </c>
      <c r="L54" s="28" t="s">
        <v>126</v>
      </c>
      <c r="M54" s="28" t="s">
        <v>713</v>
      </c>
      <c r="N54" s="25">
        <v>1</v>
      </c>
      <c r="O54" s="29">
        <v>4859.1000000000004</v>
      </c>
      <c r="P54" s="29">
        <v>4859.1000000000004</v>
      </c>
      <c r="Q54" s="25" t="s">
        <v>847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44"/>
        <v>0</v>
      </c>
      <c r="AF54" s="32">
        <f t="shared" si="45"/>
        <v>4859.1000000000004</v>
      </c>
      <c r="AG54" s="30"/>
      <c r="AH54" s="33"/>
      <c r="AI54" s="34">
        <f t="shared" si="46"/>
        <v>0</v>
      </c>
      <c r="AJ54" s="35"/>
      <c r="AK54" s="30"/>
      <c r="AL54" s="36">
        <f t="shared" si="47"/>
        <v>0</v>
      </c>
      <c r="AM54" s="35"/>
      <c r="AN54" s="30"/>
      <c r="AO54" s="36">
        <f t="shared" si="48"/>
        <v>0</v>
      </c>
      <c r="AP54" s="35"/>
      <c r="AQ54" s="30"/>
      <c r="AR54" s="36">
        <f t="shared" si="49"/>
        <v>0</v>
      </c>
      <c r="AS54" s="27"/>
      <c r="AT54" s="37"/>
      <c r="AU54" s="30"/>
      <c r="AV54" s="36">
        <f t="shared" si="50"/>
        <v>0</v>
      </c>
      <c r="AW54" s="35"/>
      <c r="AX54" s="30"/>
      <c r="AY54" s="32">
        <f t="shared" si="51"/>
        <v>0</v>
      </c>
      <c r="AZ54" s="30" t="s">
        <v>841</v>
      </c>
      <c r="BA54" s="63"/>
      <c r="BB54" s="71" t="e">
        <f>SUMIFS([1]Form!$F$9:$F$22,[1]Form!$K$9:$K$22,K54)</f>
        <v>#VALUE!</v>
      </c>
      <c r="BC54" s="71"/>
      <c r="BD54" s="71"/>
    </row>
    <row r="55" spans="1:56" x14ac:dyDescent="0.25">
      <c r="A55" s="24">
        <f>IF(B55="","",SUBTOTAL(3,$B$4:B55))</f>
        <v>52</v>
      </c>
      <c r="B55" s="25" t="s">
        <v>840</v>
      </c>
      <c r="C55" s="25" t="str">
        <f t="shared" si="43"/>
        <v>Shipment 1 B-10124 Fired Proces Heater</v>
      </c>
      <c r="D55" s="25" t="s">
        <v>839</v>
      </c>
      <c r="E55" s="25" t="s">
        <v>838</v>
      </c>
      <c r="F55" s="25"/>
      <c r="G55" s="65"/>
      <c r="H55" s="25" t="s">
        <v>842</v>
      </c>
      <c r="I55" s="25"/>
      <c r="J55" s="26" t="s">
        <v>843</v>
      </c>
      <c r="K55" s="27" t="s">
        <v>127</v>
      </c>
      <c r="L55" s="28" t="s">
        <v>128</v>
      </c>
      <c r="M55" s="28" t="s">
        <v>709</v>
      </c>
      <c r="N55" s="25">
        <v>1</v>
      </c>
      <c r="O55" s="29">
        <v>3550.5</v>
      </c>
      <c r="P55" s="29">
        <v>3550.5</v>
      </c>
      <c r="Q55" s="25" t="s">
        <v>714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44"/>
        <v>0</v>
      </c>
      <c r="AF55" s="32">
        <f t="shared" si="45"/>
        <v>3550.5</v>
      </c>
      <c r="AG55" s="30"/>
      <c r="AH55" s="33"/>
      <c r="AI55" s="34">
        <f t="shared" si="46"/>
        <v>0</v>
      </c>
      <c r="AJ55" s="35"/>
      <c r="AK55" s="30"/>
      <c r="AL55" s="36">
        <f t="shared" si="47"/>
        <v>0</v>
      </c>
      <c r="AM55" s="35"/>
      <c r="AN55" s="30"/>
      <c r="AO55" s="36">
        <f t="shared" si="48"/>
        <v>0</v>
      </c>
      <c r="AP55" s="35"/>
      <c r="AQ55" s="30"/>
      <c r="AR55" s="36">
        <f t="shared" si="49"/>
        <v>0</v>
      </c>
      <c r="AS55" s="27"/>
      <c r="AT55" s="37"/>
      <c r="AU55" s="30"/>
      <c r="AV55" s="36">
        <f t="shared" si="50"/>
        <v>0</v>
      </c>
      <c r="AW55" s="35"/>
      <c r="AX55" s="30"/>
      <c r="AY55" s="32">
        <f t="shared" si="51"/>
        <v>0</v>
      </c>
      <c r="AZ55" s="30" t="s">
        <v>841</v>
      </c>
      <c r="BA55" s="63"/>
      <c r="BB55" s="71" t="e">
        <f>SUMIFS([1]Form!$F$9:$F$22,[1]Form!$K$9:$K$22,K55)</f>
        <v>#VALUE!</v>
      </c>
      <c r="BC55" s="71"/>
      <c r="BD55" s="71"/>
    </row>
    <row r="56" spans="1:56" x14ac:dyDescent="0.25">
      <c r="A56" s="24">
        <f>IF(B56="","",SUBTOTAL(3,$B$4:B56))</f>
        <v>53</v>
      </c>
      <c r="B56" s="25" t="s">
        <v>840</v>
      </c>
      <c r="C56" s="25" t="str">
        <f t="shared" si="43"/>
        <v>Shipment 1 B-10124 Fired Proces Heater</v>
      </c>
      <c r="D56" s="25" t="s">
        <v>839</v>
      </c>
      <c r="E56" s="25" t="s">
        <v>838</v>
      </c>
      <c r="F56" s="25"/>
      <c r="G56" s="65"/>
      <c r="H56" s="25" t="s">
        <v>842</v>
      </c>
      <c r="I56" s="25"/>
      <c r="J56" s="26" t="s">
        <v>843</v>
      </c>
      <c r="K56" s="27" t="s">
        <v>129</v>
      </c>
      <c r="L56" s="28" t="s">
        <v>130</v>
      </c>
      <c r="M56" s="28" t="s">
        <v>704</v>
      </c>
      <c r="N56" s="25">
        <v>1</v>
      </c>
      <c r="O56" s="29">
        <v>19.399999999999999</v>
      </c>
      <c r="P56" s="29">
        <v>19.399999999999999</v>
      </c>
      <c r="Q56" s="25" t="s">
        <v>715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44"/>
        <v>0</v>
      </c>
      <c r="AF56" s="32">
        <f t="shared" si="45"/>
        <v>19.399999999999999</v>
      </c>
      <c r="AG56" s="30"/>
      <c r="AH56" s="33"/>
      <c r="AI56" s="34">
        <f t="shared" si="46"/>
        <v>0</v>
      </c>
      <c r="AJ56" s="35"/>
      <c r="AK56" s="30"/>
      <c r="AL56" s="36">
        <f t="shared" si="47"/>
        <v>0</v>
      </c>
      <c r="AM56" s="35"/>
      <c r="AN56" s="30"/>
      <c r="AO56" s="36">
        <f t="shared" si="48"/>
        <v>0</v>
      </c>
      <c r="AP56" s="35"/>
      <c r="AQ56" s="30"/>
      <c r="AR56" s="36">
        <f t="shared" si="49"/>
        <v>0</v>
      </c>
      <c r="AS56" s="27"/>
      <c r="AT56" s="37"/>
      <c r="AU56" s="30"/>
      <c r="AV56" s="36">
        <f t="shared" si="50"/>
        <v>0</v>
      </c>
      <c r="AW56" s="35"/>
      <c r="AX56" s="30"/>
      <c r="AY56" s="32">
        <f t="shared" si="51"/>
        <v>0</v>
      </c>
      <c r="AZ56" s="30" t="s">
        <v>841</v>
      </c>
      <c r="BA56" s="63"/>
      <c r="BB56" s="71" t="e">
        <f>SUMIFS([1]Form!$F$9:$F$22,[1]Form!$K$9:$K$22,K56)</f>
        <v>#VALUE!</v>
      </c>
      <c r="BC56" s="71"/>
      <c r="BD56" s="71"/>
    </row>
    <row r="57" spans="1:56" x14ac:dyDescent="0.25">
      <c r="A57" s="24">
        <f>IF(B57="","",SUBTOTAL(3,$B$4:B57))</f>
        <v>54</v>
      </c>
      <c r="B57" s="25" t="s">
        <v>840</v>
      </c>
      <c r="C57" s="25" t="str">
        <f t="shared" si="43"/>
        <v>Shipment 1 B-10124 Fired Proces Heater</v>
      </c>
      <c r="D57" s="25" t="s">
        <v>839</v>
      </c>
      <c r="E57" s="25" t="s">
        <v>838</v>
      </c>
      <c r="F57" s="25"/>
      <c r="G57" s="65"/>
      <c r="H57" s="25" t="s">
        <v>842</v>
      </c>
      <c r="I57" s="25"/>
      <c r="J57" s="26" t="s">
        <v>843</v>
      </c>
      <c r="K57" s="27" t="s">
        <v>129</v>
      </c>
      <c r="L57" s="28" t="s">
        <v>131</v>
      </c>
      <c r="M57" s="28" t="s">
        <v>704</v>
      </c>
      <c r="N57" s="25">
        <v>1</v>
      </c>
      <c r="O57" s="29">
        <v>19.399999999999999</v>
      </c>
      <c r="P57" s="29">
        <v>19.399999999999999</v>
      </c>
      <c r="Q57" s="25" t="s">
        <v>715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44"/>
        <v>0</v>
      </c>
      <c r="AF57" s="32">
        <f t="shared" si="45"/>
        <v>19.399999999999999</v>
      </c>
      <c r="AG57" s="30"/>
      <c r="AH57" s="33"/>
      <c r="AI57" s="34">
        <f t="shared" si="46"/>
        <v>0</v>
      </c>
      <c r="AJ57" s="35"/>
      <c r="AK57" s="30"/>
      <c r="AL57" s="36">
        <f t="shared" si="47"/>
        <v>0</v>
      </c>
      <c r="AM57" s="35"/>
      <c r="AN57" s="30"/>
      <c r="AO57" s="36">
        <f t="shared" si="48"/>
        <v>0</v>
      </c>
      <c r="AP57" s="35"/>
      <c r="AQ57" s="30"/>
      <c r="AR57" s="36">
        <f t="shared" si="49"/>
        <v>0</v>
      </c>
      <c r="AS57" s="27"/>
      <c r="AT57" s="37"/>
      <c r="AU57" s="30"/>
      <c r="AV57" s="36">
        <f t="shared" si="50"/>
        <v>0</v>
      </c>
      <c r="AW57" s="35"/>
      <c r="AX57" s="30"/>
      <c r="AY57" s="32">
        <f t="shared" si="51"/>
        <v>0</v>
      </c>
      <c r="AZ57" s="30" t="s">
        <v>841</v>
      </c>
      <c r="BA57" s="63"/>
      <c r="BB57" s="71" t="e">
        <f>SUMIFS([1]Form!$F$9:$F$22,[1]Form!$K$9:$K$22,K57)</f>
        <v>#VALUE!</v>
      </c>
      <c r="BC57" s="71"/>
      <c r="BD57" s="71"/>
    </row>
    <row r="58" spans="1:56" x14ac:dyDescent="0.25">
      <c r="A58" s="24">
        <f>IF(B58="","",SUBTOTAL(3,$B$4:B58))</f>
        <v>55</v>
      </c>
      <c r="B58" s="25" t="s">
        <v>840</v>
      </c>
      <c r="C58" s="25" t="str">
        <f t="shared" si="43"/>
        <v>Shipment 1 B-10124 Fired Proces Heater</v>
      </c>
      <c r="D58" s="25" t="s">
        <v>839</v>
      </c>
      <c r="E58" s="25" t="s">
        <v>838</v>
      </c>
      <c r="F58" s="25"/>
      <c r="G58" s="65"/>
      <c r="H58" s="25" t="s">
        <v>842</v>
      </c>
      <c r="I58" s="25"/>
      <c r="J58" s="26" t="s">
        <v>843</v>
      </c>
      <c r="K58" s="27" t="s">
        <v>132</v>
      </c>
      <c r="L58" s="28" t="s">
        <v>133</v>
      </c>
      <c r="M58" s="28" t="s">
        <v>709</v>
      </c>
      <c r="N58" s="25">
        <v>1</v>
      </c>
      <c r="O58" s="29">
        <v>3550.4999999999995</v>
      </c>
      <c r="P58" s="29">
        <v>3550.4999999999995</v>
      </c>
      <c r="Q58" s="25" t="s">
        <v>714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44"/>
        <v>0</v>
      </c>
      <c r="AF58" s="32">
        <f t="shared" si="45"/>
        <v>3550.4999999999995</v>
      </c>
      <c r="AG58" s="30"/>
      <c r="AH58" s="33"/>
      <c r="AI58" s="34">
        <f t="shared" si="46"/>
        <v>0</v>
      </c>
      <c r="AJ58" s="35"/>
      <c r="AK58" s="30"/>
      <c r="AL58" s="36">
        <f t="shared" si="47"/>
        <v>0</v>
      </c>
      <c r="AM58" s="35"/>
      <c r="AN58" s="30"/>
      <c r="AO58" s="36">
        <f t="shared" si="48"/>
        <v>0</v>
      </c>
      <c r="AP58" s="35"/>
      <c r="AQ58" s="30"/>
      <c r="AR58" s="36">
        <f t="shared" si="49"/>
        <v>0</v>
      </c>
      <c r="AS58" s="27"/>
      <c r="AT58" s="37"/>
      <c r="AU58" s="30"/>
      <c r="AV58" s="36">
        <f t="shared" si="50"/>
        <v>0</v>
      </c>
      <c r="AW58" s="35"/>
      <c r="AX58" s="30"/>
      <c r="AY58" s="32">
        <f t="shared" si="51"/>
        <v>0</v>
      </c>
      <c r="AZ58" s="30" t="s">
        <v>841</v>
      </c>
      <c r="BA58" s="63"/>
      <c r="BB58" s="71" t="e">
        <f>SUMIFS([1]Form!$F$9:$F$22,[1]Form!$K$9:$K$22,K58)</f>
        <v>#VALUE!</v>
      </c>
      <c r="BC58" s="71"/>
      <c r="BD58" s="71"/>
    </row>
    <row r="59" spans="1:56" x14ac:dyDescent="0.25">
      <c r="A59" s="24">
        <f>IF(B59="","",SUBTOTAL(3,$B$4:B59))</f>
        <v>56</v>
      </c>
      <c r="B59" s="25" t="s">
        <v>840</v>
      </c>
      <c r="C59" s="25" t="str">
        <f t="shared" si="43"/>
        <v>Shipment 1 B-10124 Fired Proces Heater</v>
      </c>
      <c r="D59" s="25" t="s">
        <v>839</v>
      </c>
      <c r="E59" s="25" t="s">
        <v>838</v>
      </c>
      <c r="F59" s="25"/>
      <c r="G59" s="65"/>
      <c r="H59" s="25" t="s">
        <v>842</v>
      </c>
      <c r="I59" s="25"/>
      <c r="J59" s="26" t="s">
        <v>843</v>
      </c>
      <c r="K59" s="27" t="s">
        <v>134</v>
      </c>
      <c r="L59" s="28" t="s">
        <v>135</v>
      </c>
      <c r="M59" s="28" t="s">
        <v>709</v>
      </c>
      <c r="N59" s="25">
        <v>1</v>
      </c>
      <c r="O59" s="29">
        <v>3554.2</v>
      </c>
      <c r="P59" s="29">
        <v>3554.2</v>
      </c>
      <c r="Q59" s="25" t="s">
        <v>714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44"/>
        <v>1777.1</v>
      </c>
      <c r="AF59" s="32">
        <f t="shared" si="45"/>
        <v>1777.1</v>
      </c>
      <c r="AG59" s="30"/>
      <c r="AH59" s="33"/>
      <c r="AI59" s="34">
        <f t="shared" si="46"/>
        <v>0</v>
      </c>
      <c r="AJ59" s="35">
        <v>46311</v>
      </c>
      <c r="AK59" s="30">
        <v>1</v>
      </c>
      <c r="AL59" s="36">
        <f t="shared" si="47"/>
        <v>3554.2</v>
      </c>
      <c r="AM59" s="35"/>
      <c r="AN59" s="30"/>
      <c r="AO59" s="36">
        <f t="shared" si="48"/>
        <v>0</v>
      </c>
      <c r="AP59" s="35"/>
      <c r="AQ59" s="30"/>
      <c r="AR59" s="36">
        <f t="shared" si="49"/>
        <v>0</v>
      </c>
      <c r="AS59" s="27"/>
      <c r="AT59" s="37"/>
      <c r="AU59" s="30"/>
      <c r="AV59" s="36">
        <f t="shared" si="50"/>
        <v>0</v>
      </c>
      <c r="AW59" s="35"/>
      <c r="AX59" s="30"/>
      <c r="AY59" s="32">
        <f t="shared" si="51"/>
        <v>0</v>
      </c>
      <c r="AZ59" s="30" t="s">
        <v>841</v>
      </c>
      <c r="BA59" s="63"/>
      <c r="BB59" s="71" t="e">
        <f>SUMIFS([1]Form!$F$9:$F$22,[1]Form!$K$9:$K$22,K59)</f>
        <v>#VALUE!</v>
      </c>
      <c r="BC59" s="71"/>
      <c r="BD59" s="71"/>
    </row>
    <row r="60" spans="1:56" x14ac:dyDescent="0.25">
      <c r="A60" s="24">
        <f>IF(B60="","",SUBTOTAL(3,$B$4:B60))</f>
        <v>57</v>
      </c>
      <c r="B60" s="25" t="s">
        <v>840</v>
      </c>
      <c r="C60" s="25" t="str">
        <f t="shared" si="43"/>
        <v>Shipment 1 B-10124 Fired Proces Heater</v>
      </c>
      <c r="D60" s="25" t="s">
        <v>839</v>
      </c>
      <c r="E60" s="25" t="s">
        <v>838</v>
      </c>
      <c r="F60" s="25"/>
      <c r="G60" s="65"/>
      <c r="H60" s="25" t="s">
        <v>842</v>
      </c>
      <c r="I60" s="25"/>
      <c r="J60" s="26" t="s">
        <v>843</v>
      </c>
      <c r="K60" s="27" t="s">
        <v>136</v>
      </c>
      <c r="L60" s="28" t="s">
        <v>137</v>
      </c>
      <c r="M60" s="28" t="s">
        <v>1155</v>
      </c>
      <c r="N60" s="25">
        <v>1</v>
      </c>
      <c r="O60" s="29">
        <v>5347.9</v>
      </c>
      <c r="P60" s="29">
        <v>5347.9</v>
      </c>
      <c r="Q60" s="25" t="s">
        <v>716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44"/>
        <v>0</v>
      </c>
      <c r="AF60" s="32">
        <f t="shared" si="45"/>
        <v>5347.9</v>
      </c>
      <c r="AG60" s="30"/>
      <c r="AH60" s="33"/>
      <c r="AI60" s="34">
        <f t="shared" si="46"/>
        <v>0</v>
      </c>
      <c r="AJ60" s="35"/>
      <c r="AK60" s="30"/>
      <c r="AL60" s="36">
        <f t="shared" si="47"/>
        <v>0</v>
      </c>
      <c r="AM60" s="35"/>
      <c r="AN60" s="30"/>
      <c r="AO60" s="36">
        <f t="shared" si="48"/>
        <v>0</v>
      </c>
      <c r="AP60" s="35"/>
      <c r="AQ60" s="30"/>
      <c r="AR60" s="36">
        <f t="shared" si="49"/>
        <v>0</v>
      </c>
      <c r="AS60" s="27"/>
      <c r="AT60" s="37"/>
      <c r="AU60" s="30"/>
      <c r="AV60" s="36">
        <f t="shared" si="50"/>
        <v>0</v>
      </c>
      <c r="AW60" s="35"/>
      <c r="AX60" s="30"/>
      <c r="AY60" s="32">
        <f t="shared" si="51"/>
        <v>0</v>
      </c>
      <c r="AZ60" s="30" t="s">
        <v>841</v>
      </c>
      <c r="BA60" s="63"/>
      <c r="BB60" s="71" t="e">
        <f>SUMIFS([1]Form!$F$9:$F$22,[1]Form!$K$9:$K$22,K60)</f>
        <v>#VALUE!</v>
      </c>
      <c r="BC60" s="71"/>
      <c r="BD60" s="71"/>
    </row>
    <row r="61" spans="1:56" x14ac:dyDescent="0.25">
      <c r="A61" s="24">
        <f>IF(B61="","",SUBTOTAL(3,$B$4:B61))</f>
        <v>58</v>
      </c>
      <c r="B61" s="25" t="s">
        <v>840</v>
      </c>
      <c r="C61" s="25" t="str">
        <f t="shared" si="43"/>
        <v>Shipment 1 B-10124 Fired Proces Heater</v>
      </c>
      <c r="D61" s="25" t="s">
        <v>839</v>
      </c>
      <c r="E61" s="25" t="s">
        <v>838</v>
      </c>
      <c r="F61" s="25"/>
      <c r="G61" s="65"/>
      <c r="H61" s="25" t="s">
        <v>842</v>
      </c>
      <c r="I61" s="25"/>
      <c r="J61" s="26" t="s">
        <v>843</v>
      </c>
      <c r="K61" s="27" t="s">
        <v>138</v>
      </c>
      <c r="L61" s="28" t="s">
        <v>139</v>
      </c>
      <c r="M61" s="28" t="s">
        <v>713</v>
      </c>
      <c r="N61" s="25">
        <v>1</v>
      </c>
      <c r="O61" s="29">
        <v>5251.1</v>
      </c>
      <c r="P61" s="29">
        <v>5251.1</v>
      </c>
      <c r="Q61" s="25" t="s">
        <v>716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44"/>
        <v>0</v>
      </c>
      <c r="AF61" s="32">
        <f t="shared" si="45"/>
        <v>5251.1</v>
      </c>
      <c r="AG61" s="30"/>
      <c r="AH61" s="33"/>
      <c r="AI61" s="34">
        <f t="shared" si="46"/>
        <v>0</v>
      </c>
      <c r="AJ61" s="35"/>
      <c r="AK61" s="30"/>
      <c r="AL61" s="36">
        <f t="shared" si="47"/>
        <v>0</v>
      </c>
      <c r="AM61" s="35"/>
      <c r="AN61" s="30"/>
      <c r="AO61" s="36">
        <f t="shared" si="48"/>
        <v>0</v>
      </c>
      <c r="AP61" s="35"/>
      <c r="AQ61" s="30"/>
      <c r="AR61" s="36">
        <f t="shared" si="49"/>
        <v>0</v>
      </c>
      <c r="AS61" s="27"/>
      <c r="AT61" s="37"/>
      <c r="AU61" s="30"/>
      <c r="AV61" s="36">
        <f t="shared" si="50"/>
        <v>0</v>
      </c>
      <c r="AW61" s="35"/>
      <c r="AX61" s="30"/>
      <c r="AY61" s="32">
        <f t="shared" si="51"/>
        <v>0</v>
      </c>
      <c r="AZ61" s="30" t="s">
        <v>841</v>
      </c>
      <c r="BA61" s="63"/>
      <c r="BB61" s="71" t="e">
        <f>SUMIFS([1]Form!$F$9:$F$22,[1]Form!$K$9:$K$22,K61)</f>
        <v>#VALUE!</v>
      </c>
      <c r="BC61" s="71"/>
      <c r="BD61" s="71"/>
    </row>
    <row r="62" spans="1:56" x14ac:dyDescent="0.25">
      <c r="A62" s="24">
        <f>IF(B62="","",SUBTOTAL(3,$B$4:B62))</f>
        <v>59</v>
      </c>
      <c r="B62" s="25" t="s">
        <v>840</v>
      </c>
      <c r="C62" s="25" t="str">
        <f t="shared" si="43"/>
        <v>Shipment 1 B-10124 Fired Proces Heater</v>
      </c>
      <c r="D62" s="25" t="s">
        <v>839</v>
      </c>
      <c r="E62" s="25" t="s">
        <v>838</v>
      </c>
      <c r="F62" s="25"/>
      <c r="G62" s="65"/>
      <c r="H62" s="25" t="s">
        <v>842</v>
      </c>
      <c r="I62" s="25"/>
      <c r="J62" s="26" t="s">
        <v>843</v>
      </c>
      <c r="K62" s="27" t="s">
        <v>140</v>
      </c>
      <c r="L62" s="28" t="s">
        <v>141</v>
      </c>
      <c r="M62" s="28" t="s">
        <v>704</v>
      </c>
      <c r="N62" s="25">
        <v>1</v>
      </c>
      <c r="O62" s="29">
        <v>19.133333333333329</v>
      </c>
      <c r="P62" s="29">
        <v>19.133333333333329</v>
      </c>
      <c r="Q62" s="25" t="s">
        <v>717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44"/>
        <v>0</v>
      </c>
      <c r="AF62" s="32">
        <f t="shared" si="45"/>
        <v>19.133333333333329</v>
      </c>
      <c r="AG62" s="30"/>
      <c r="AH62" s="33"/>
      <c r="AI62" s="34">
        <f t="shared" si="46"/>
        <v>0</v>
      </c>
      <c r="AJ62" s="35"/>
      <c r="AK62" s="30"/>
      <c r="AL62" s="36">
        <f t="shared" si="47"/>
        <v>0</v>
      </c>
      <c r="AM62" s="35"/>
      <c r="AN62" s="30"/>
      <c r="AO62" s="36">
        <f t="shared" si="48"/>
        <v>0</v>
      </c>
      <c r="AP62" s="35"/>
      <c r="AQ62" s="30"/>
      <c r="AR62" s="36">
        <f t="shared" si="49"/>
        <v>0</v>
      </c>
      <c r="AS62" s="27"/>
      <c r="AT62" s="37"/>
      <c r="AU62" s="30"/>
      <c r="AV62" s="36">
        <f t="shared" si="50"/>
        <v>0</v>
      </c>
      <c r="AW62" s="35"/>
      <c r="AX62" s="30"/>
      <c r="AY62" s="32">
        <f t="shared" si="51"/>
        <v>0</v>
      </c>
      <c r="AZ62" s="30" t="s">
        <v>841</v>
      </c>
      <c r="BA62" s="63"/>
      <c r="BB62" s="71" t="e">
        <f>SUMIFS([1]Form!$F$9:$F$22,[1]Form!$K$9:$K$22,K62)</f>
        <v>#VALUE!</v>
      </c>
      <c r="BC62" s="71"/>
      <c r="BD62" s="71"/>
    </row>
    <row r="63" spans="1:56" x14ac:dyDescent="0.25">
      <c r="A63" s="24">
        <f>IF(B63="","",SUBTOTAL(3,$B$4:B63))</f>
        <v>60</v>
      </c>
      <c r="B63" s="25" t="s">
        <v>840</v>
      </c>
      <c r="C63" s="25" t="str">
        <f t="shared" si="43"/>
        <v>Shipment 1 B-10124 Fired Proces Heater</v>
      </c>
      <c r="D63" s="25" t="s">
        <v>839</v>
      </c>
      <c r="E63" s="25" t="s">
        <v>838</v>
      </c>
      <c r="F63" s="25"/>
      <c r="G63" s="65"/>
      <c r="H63" s="25" t="s">
        <v>842</v>
      </c>
      <c r="I63" s="25"/>
      <c r="J63" s="26" t="s">
        <v>843</v>
      </c>
      <c r="K63" s="27" t="s">
        <v>140</v>
      </c>
      <c r="L63" s="28" t="s">
        <v>142</v>
      </c>
      <c r="M63" s="28" t="s">
        <v>704</v>
      </c>
      <c r="N63" s="25">
        <v>1</v>
      </c>
      <c r="O63" s="29">
        <v>19.133333333333329</v>
      </c>
      <c r="P63" s="29">
        <v>19.133333333333329</v>
      </c>
      <c r="Q63" s="25" t="s">
        <v>717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44"/>
        <v>0</v>
      </c>
      <c r="AF63" s="32">
        <f t="shared" si="45"/>
        <v>19.133333333333329</v>
      </c>
      <c r="AG63" s="30"/>
      <c r="AH63" s="33"/>
      <c r="AI63" s="34">
        <f t="shared" si="46"/>
        <v>0</v>
      </c>
      <c r="AJ63" s="35"/>
      <c r="AK63" s="30"/>
      <c r="AL63" s="36">
        <f t="shared" si="47"/>
        <v>0</v>
      </c>
      <c r="AM63" s="35"/>
      <c r="AN63" s="30"/>
      <c r="AO63" s="36">
        <f t="shared" si="48"/>
        <v>0</v>
      </c>
      <c r="AP63" s="35"/>
      <c r="AQ63" s="30"/>
      <c r="AR63" s="36">
        <f t="shared" si="49"/>
        <v>0</v>
      </c>
      <c r="AS63" s="27"/>
      <c r="AT63" s="37"/>
      <c r="AU63" s="30"/>
      <c r="AV63" s="36">
        <f t="shared" si="50"/>
        <v>0</v>
      </c>
      <c r="AW63" s="35"/>
      <c r="AX63" s="30"/>
      <c r="AY63" s="32">
        <f t="shared" si="51"/>
        <v>0</v>
      </c>
      <c r="AZ63" s="30" t="s">
        <v>841</v>
      </c>
      <c r="BA63" s="63"/>
      <c r="BB63" s="71" t="e">
        <f>SUMIFS([1]Form!$F$9:$F$22,[1]Form!$K$9:$K$22,K63)</f>
        <v>#VALUE!</v>
      </c>
      <c r="BC63" s="71"/>
      <c r="BD63" s="71"/>
    </row>
    <row r="64" spans="1:56" x14ac:dyDescent="0.25">
      <c r="A64" s="24">
        <f>IF(B64="","",SUBTOTAL(3,$B$4:B64))</f>
        <v>61</v>
      </c>
      <c r="B64" s="25" t="s">
        <v>840</v>
      </c>
      <c r="C64" s="25" t="str">
        <f t="shared" si="43"/>
        <v>Shipment 1 B-10124 Fired Proces Heater</v>
      </c>
      <c r="D64" s="25" t="s">
        <v>839</v>
      </c>
      <c r="E64" s="25" t="s">
        <v>838</v>
      </c>
      <c r="F64" s="25"/>
      <c r="G64" s="65"/>
      <c r="H64" s="25" t="s">
        <v>842</v>
      </c>
      <c r="I64" s="25"/>
      <c r="J64" s="26" t="s">
        <v>843</v>
      </c>
      <c r="K64" s="27" t="s">
        <v>140</v>
      </c>
      <c r="L64" s="28" t="s">
        <v>143</v>
      </c>
      <c r="M64" s="28" t="s">
        <v>704</v>
      </c>
      <c r="N64" s="25">
        <v>1</v>
      </c>
      <c r="O64" s="29">
        <v>19.133333333333329</v>
      </c>
      <c r="P64" s="29">
        <v>19.133333333333329</v>
      </c>
      <c r="Q64" s="25" t="s">
        <v>717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44"/>
        <v>0</v>
      </c>
      <c r="AF64" s="32">
        <f t="shared" si="45"/>
        <v>19.133333333333329</v>
      </c>
      <c r="AG64" s="30"/>
      <c r="AH64" s="33"/>
      <c r="AI64" s="34">
        <f t="shared" si="46"/>
        <v>0</v>
      </c>
      <c r="AJ64" s="35"/>
      <c r="AK64" s="30"/>
      <c r="AL64" s="36">
        <f t="shared" si="47"/>
        <v>0</v>
      </c>
      <c r="AM64" s="35"/>
      <c r="AN64" s="30"/>
      <c r="AO64" s="36">
        <f t="shared" si="48"/>
        <v>0</v>
      </c>
      <c r="AP64" s="35"/>
      <c r="AQ64" s="30"/>
      <c r="AR64" s="36">
        <f t="shared" si="49"/>
        <v>0</v>
      </c>
      <c r="AS64" s="27"/>
      <c r="AT64" s="37"/>
      <c r="AU64" s="30"/>
      <c r="AV64" s="36">
        <f t="shared" si="50"/>
        <v>0</v>
      </c>
      <c r="AW64" s="35"/>
      <c r="AX64" s="30"/>
      <c r="AY64" s="32">
        <f t="shared" si="51"/>
        <v>0</v>
      </c>
      <c r="AZ64" s="30" t="s">
        <v>841</v>
      </c>
      <c r="BA64" s="63"/>
      <c r="BB64" s="71" t="e">
        <f>SUMIFS([1]Form!$F$9:$F$22,[1]Form!$K$9:$K$22,K64)</f>
        <v>#VALUE!</v>
      </c>
      <c r="BC64" s="71"/>
      <c r="BD64" s="71"/>
    </row>
    <row r="65" spans="1:56" x14ac:dyDescent="0.25">
      <c r="A65" s="24">
        <f>IF(B65="","",SUBTOTAL(3,$B$4:B65))</f>
        <v>62</v>
      </c>
      <c r="B65" s="25" t="s">
        <v>840</v>
      </c>
      <c r="C65" s="25" t="str">
        <f t="shared" si="43"/>
        <v>Shipment 1 B-10124 Fired Proces Heater</v>
      </c>
      <c r="D65" s="25" t="s">
        <v>839</v>
      </c>
      <c r="E65" s="25" t="s">
        <v>838</v>
      </c>
      <c r="F65" s="25"/>
      <c r="G65" s="65"/>
      <c r="H65" s="25" t="s">
        <v>842</v>
      </c>
      <c r="I65" s="25"/>
      <c r="J65" s="26" t="s">
        <v>843</v>
      </c>
      <c r="K65" s="27" t="s">
        <v>144</v>
      </c>
      <c r="L65" s="28" t="s">
        <v>145</v>
      </c>
      <c r="M65" s="28" t="s">
        <v>718</v>
      </c>
      <c r="N65" s="25">
        <v>1</v>
      </c>
      <c r="O65" s="29">
        <v>1775.8</v>
      </c>
      <c r="P65" s="29">
        <v>1775.8</v>
      </c>
      <c r="Q65" s="25" t="s">
        <v>719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44"/>
        <v>1775.8</v>
      </c>
      <c r="AF65" s="32">
        <f t="shared" si="45"/>
        <v>0</v>
      </c>
      <c r="AG65" s="30"/>
      <c r="AH65" s="33"/>
      <c r="AI65" s="34">
        <f t="shared" si="46"/>
        <v>0</v>
      </c>
      <c r="AJ65" s="35">
        <v>46276</v>
      </c>
      <c r="AK65" s="30">
        <v>1</v>
      </c>
      <c r="AL65" s="36">
        <f t="shared" si="47"/>
        <v>1775.8</v>
      </c>
      <c r="AM65" s="35">
        <v>46289</v>
      </c>
      <c r="AN65" s="30">
        <v>1</v>
      </c>
      <c r="AO65" s="36">
        <f t="shared" si="48"/>
        <v>1775.8</v>
      </c>
      <c r="AP65" s="35">
        <v>46289</v>
      </c>
      <c r="AQ65" s="30">
        <v>1</v>
      </c>
      <c r="AR65" s="36">
        <f t="shared" si="49"/>
        <v>1775.8</v>
      </c>
      <c r="AS65" s="27" t="s">
        <v>1152</v>
      </c>
      <c r="AT65" s="37">
        <v>46289</v>
      </c>
      <c r="AU65" s="30">
        <v>1</v>
      </c>
      <c r="AV65" s="36">
        <f t="shared" si="50"/>
        <v>1775.8</v>
      </c>
      <c r="AW65" s="35">
        <v>46290</v>
      </c>
      <c r="AX65" s="30">
        <v>1</v>
      </c>
      <c r="AY65" s="32">
        <f t="shared" si="51"/>
        <v>1775.8</v>
      </c>
      <c r="AZ65" s="30" t="s">
        <v>841</v>
      </c>
      <c r="BA65" s="63" t="s">
        <v>1152</v>
      </c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840</v>
      </c>
      <c r="C66" s="25" t="str">
        <f t="shared" si="43"/>
        <v>Shipment 1 B-10124 Fired Proces Heater</v>
      </c>
      <c r="D66" s="25" t="s">
        <v>839</v>
      </c>
      <c r="E66" s="25" t="s">
        <v>838</v>
      </c>
      <c r="F66" s="25"/>
      <c r="G66" s="65"/>
      <c r="H66" s="25" t="s">
        <v>842</v>
      </c>
      <c r="I66" s="25"/>
      <c r="J66" s="26" t="s">
        <v>843</v>
      </c>
      <c r="K66" s="27" t="s">
        <v>146</v>
      </c>
      <c r="L66" s="28" t="s">
        <v>147</v>
      </c>
      <c r="M66" s="28" t="s">
        <v>709</v>
      </c>
      <c r="N66" s="25">
        <v>1</v>
      </c>
      <c r="O66" s="29">
        <v>1968.1999999999998</v>
      </c>
      <c r="P66" s="29">
        <v>1968.1999999999998</v>
      </c>
      <c r="Q66" s="25" t="s">
        <v>710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44"/>
        <v>984.09999999999991</v>
      </c>
      <c r="AF66" s="32">
        <f t="shared" si="45"/>
        <v>984.09999999999991</v>
      </c>
      <c r="AG66" s="30"/>
      <c r="AH66" s="33"/>
      <c r="AI66" s="34">
        <f t="shared" si="46"/>
        <v>0</v>
      </c>
      <c r="AJ66" s="35">
        <v>46309</v>
      </c>
      <c r="AK66" s="30">
        <v>1</v>
      </c>
      <c r="AL66" s="36">
        <f t="shared" si="47"/>
        <v>1968.1999999999998</v>
      </c>
      <c r="AM66" s="35"/>
      <c r="AN66" s="30"/>
      <c r="AO66" s="36">
        <f t="shared" si="48"/>
        <v>0</v>
      </c>
      <c r="AP66" s="35"/>
      <c r="AQ66" s="30"/>
      <c r="AR66" s="36">
        <f t="shared" si="49"/>
        <v>0</v>
      </c>
      <c r="AS66" s="27"/>
      <c r="AT66" s="37"/>
      <c r="AU66" s="30"/>
      <c r="AV66" s="36">
        <f t="shared" si="50"/>
        <v>0</v>
      </c>
      <c r="AW66" s="35"/>
      <c r="AX66" s="30"/>
      <c r="AY66" s="32">
        <f t="shared" si="51"/>
        <v>0</v>
      </c>
      <c r="AZ66" s="30" t="s">
        <v>841</v>
      </c>
      <c r="BA66" s="63"/>
      <c r="BB66" s="71" t="e">
        <f>SUMIFS([1]Form!$F$9:$F$22,[1]Form!$K$9:$K$22,K66)</f>
        <v>#VALUE!</v>
      </c>
      <c r="BC66" s="71"/>
      <c r="BD66" s="71"/>
    </row>
    <row r="67" spans="1:56" x14ac:dyDescent="0.25">
      <c r="A67" s="24">
        <f>IF(B67="","",SUBTOTAL(3,$B$4:B67))</f>
        <v>64</v>
      </c>
      <c r="B67" s="25" t="s">
        <v>840</v>
      </c>
      <c r="C67" s="25" t="str">
        <f t="shared" si="43"/>
        <v>Shipment 1 B-10124 Fired Proces Heater</v>
      </c>
      <c r="D67" s="25" t="s">
        <v>839</v>
      </c>
      <c r="E67" s="25" t="s">
        <v>838</v>
      </c>
      <c r="F67" s="25"/>
      <c r="G67" s="65"/>
      <c r="H67" s="25" t="s">
        <v>842</v>
      </c>
      <c r="I67" s="25"/>
      <c r="J67" s="26" t="s">
        <v>843</v>
      </c>
      <c r="K67" s="27" t="s">
        <v>148</v>
      </c>
      <c r="L67" s="28" t="s">
        <v>149</v>
      </c>
      <c r="M67" s="28" t="s">
        <v>718</v>
      </c>
      <c r="N67" s="25">
        <v>1</v>
      </c>
      <c r="O67" s="29">
        <v>3473.3999999999996</v>
      </c>
      <c r="P67" s="29">
        <v>3473.3999999999996</v>
      </c>
      <c r="Q67" s="25" t="s">
        <v>720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44"/>
        <v>3473.3999999999996</v>
      </c>
      <c r="AF67" s="32">
        <f t="shared" si="45"/>
        <v>0</v>
      </c>
      <c r="AG67" s="30"/>
      <c r="AH67" s="33"/>
      <c r="AI67" s="34">
        <f t="shared" si="46"/>
        <v>0</v>
      </c>
      <c r="AJ67" s="35">
        <v>46256</v>
      </c>
      <c r="AK67" s="30">
        <v>1</v>
      </c>
      <c r="AL67" s="36">
        <f t="shared" si="47"/>
        <v>3473.3999999999996</v>
      </c>
      <c r="AM67" s="35">
        <v>46274</v>
      </c>
      <c r="AN67" s="30">
        <v>1</v>
      </c>
      <c r="AO67" s="36">
        <f t="shared" si="48"/>
        <v>3473.3999999999996</v>
      </c>
      <c r="AP67" s="35">
        <v>46289</v>
      </c>
      <c r="AQ67" s="30">
        <v>1</v>
      </c>
      <c r="AR67" s="36">
        <f t="shared" si="49"/>
        <v>3473.3999999999996</v>
      </c>
      <c r="AS67" s="27" t="s">
        <v>1152</v>
      </c>
      <c r="AT67" s="37">
        <v>46289</v>
      </c>
      <c r="AU67" s="30">
        <v>1</v>
      </c>
      <c r="AV67" s="36">
        <f t="shared" si="50"/>
        <v>3473.3999999999996</v>
      </c>
      <c r="AW67" s="35">
        <v>46290</v>
      </c>
      <c r="AX67" s="30">
        <v>1</v>
      </c>
      <c r="AY67" s="32">
        <f t="shared" ref="AY67:AY68" si="52">IFERROR(AX67*$P67/$N67,0)</f>
        <v>3473.3999999999996</v>
      </c>
      <c r="AZ67" s="30" t="s">
        <v>841</v>
      </c>
      <c r="BA67" s="63" t="s">
        <v>1152</v>
      </c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840</v>
      </c>
      <c r="C68" s="25" t="str">
        <f t="shared" si="43"/>
        <v>Shipment 1 B-10124 Fired Proces Heater</v>
      </c>
      <c r="D68" s="25" t="s">
        <v>839</v>
      </c>
      <c r="E68" s="25" t="s">
        <v>838</v>
      </c>
      <c r="F68" s="25"/>
      <c r="G68" s="65"/>
      <c r="H68" s="25" t="s">
        <v>842</v>
      </c>
      <c r="I68" s="25"/>
      <c r="J68" s="26" t="s">
        <v>843</v>
      </c>
      <c r="K68" s="27" t="s">
        <v>150</v>
      </c>
      <c r="L68" s="28" t="s">
        <v>151</v>
      </c>
      <c r="M68" s="28" t="s">
        <v>718</v>
      </c>
      <c r="N68" s="25">
        <v>1</v>
      </c>
      <c r="O68" s="29">
        <v>3473.1999999999994</v>
      </c>
      <c r="P68" s="29">
        <v>3473.1999999999994</v>
      </c>
      <c r="Q68" s="25" t="s">
        <v>720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44"/>
        <v>3473.1999999999989</v>
      </c>
      <c r="AF68" s="32">
        <f t="shared" si="45"/>
        <v>0</v>
      </c>
      <c r="AG68" s="30"/>
      <c r="AH68" s="33"/>
      <c r="AI68" s="34">
        <f t="shared" si="46"/>
        <v>0</v>
      </c>
      <c r="AJ68" s="35">
        <v>46273</v>
      </c>
      <c r="AK68" s="30">
        <v>1</v>
      </c>
      <c r="AL68" s="36">
        <f t="shared" si="47"/>
        <v>3473.1999999999994</v>
      </c>
      <c r="AM68" s="35">
        <v>46273</v>
      </c>
      <c r="AN68" s="30">
        <v>1</v>
      </c>
      <c r="AO68" s="36">
        <f t="shared" si="48"/>
        <v>3473.1999999999994</v>
      </c>
      <c r="AP68" s="35">
        <v>46289</v>
      </c>
      <c r="AQ68" s="30">
        <v>1</v>
      </c>
      <c r="AR68" s="36">
        <f t="shared" si="49"/>
        <v>3473.1999999999994</v>
      </c>
      <c r="AS68" s="27" t="s">
        <v>1152</v>
      </c>
      <c r="AT68" s="37">
        <v>46289</v>
      </c>
      <c r="AU68" s="30">
        <v>1</v>
      </c>
      <c r="AV68" s="36">
        <f t="shared" si="50"/>
        <v>3473.1999999999994</v>
      </c>
      <c r="AW68" s="35">
        <v>46290</v>
      </c>
      <c r="AX68" s="30">
        <v>1</v>
      </c>
      <c r="AY68" s="32">
        <f t="shared" si="52"/>
        <v>3473.1999999999994</v>
      </c>
      <c r="AZ68" s="30" t="s">
        <v>841</v>
      </c>
      <c r="BA68" s="63" t="s">
        <v>1152</v>
      </c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840</v>
      </c>
      <c r="C69" s="25" t="str">
        <f t="shared" si="43"/>
        <v>Shipment 1 B-10124 Fired Proces Heater</v>
      </c>
      <c r="D69" s="25" t="s">
        <v>839</v>
      </c>
      <c r="E69" s="25" t="s">
        <v>838</v>
      </c>
      <c r="F69" s="25"/>
      <c r="G69" s="65"/>
      <c r="H69" s="25" t="s">
        <v>842</v>
      </c>
      <c r="I69" s="25"/>
      <c r="J69" s="26" t="s">
        <v>843</v>
      </c>
      <c r="K69" s="27" t="s">
        <v>152</v>
      </c>
      <c r="L69" s="28" t="s">
        <v>153</v>
      </c>
      <c r="M69" s="28" t="s">
        <v>718</v>
      </c>
      <c r="N69" s="25">
        <v>1</v>
      </c>
      <c r="O69" s="29">
        <v>3522.0000000000005</v>
      </c>
      <c r="P69" s="29">
        <v>3522.0000000000005</v>
      </c>
      <c r="Q69" s="25" t="s">
        <v>1156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44"/>
        <v>3522</v>
      </c>
      <c r="AF69" s="32">
        <f t="shared" si="45"/>
        <v>0</v>
      </c>
      <c r="AG69" s="30"/>
      <c r="AH69" s="33"/>
      <c r="AI69" s="34">
        <f t="shared" si="46"/>
        <v>0</v>
      </c>
      <c r="AJ69" s="35">
        <v>46226</v>
      </c>
      <c r="AK69" s="30">
        <v>1</v>
      </c>
      <c r="AL69" s="36">
        <f t="shared" si="47"/>
        <v>3522.0000000000005</v>
      </c>
      <c r="AM69" s="35">
        <v>46232</v>
      </c>
      <c r="AN69" s="30">
        <v>1</v>
      </c>
      <c r="AO69" s="36">
        <f t="shared" si="48"/>
        <v>3522.0000000000005</v>
      </c>
      <c r="AP69" s="35">
        <v>46272</v>
      </c>
      <c r="AQ69" s="30">
        <v>1</v>
      </c>
      <c r="AR69" s="36">
        <f t="shared" si="49"/>
        <v>3522.0000000000005</v>
      </c>
      <c r="AS69" s="27" t="s">
        <v>1150</v>
      </c>
      <c r="AT69" s="37">
        <v>46272</v>
      </c>
      <c r="AU69" s="30">
        <v>1</v>
      </c>
      <c r="AV69" s="36">
        <f t="shared" si="50"/>
        <v>3522.0000000000005</v>
      </c>
      <c r="AW69" s="35">
        <v>46281</v>
      </c>
      <c r="AX69" s="30">
        <v>1</v>
      </c>
      <c r="AY69" s="32">
        <f t="shared" si="51"/>
        <v>3522.0000000000005</v>
      </c>
      <c r="AZ69" s="30" t="s">
        <v>841</v>
      </c>
      <c r="BA69" s="63" t="s">
        <v>1153</v>
      </c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840</v>
      </c>
      <c r="C70" s="25" t="str">
        <f t="shared" si="43"/>
        <v>Shipment 1 B-10124 Fired Proces Heater</v>
      </c>
      <c r="D70" s="25" t="s">
        <v>839</v>
      </c>
      <c r="E70" s="25" t="s">
        <v>838</v>
      </c>
      <c r="F70" s="25"/>
      <c r="G70" s="65"/>
      <c r="H70" s="25" t="s">
        <v>842</v>
      </c>
      <c r="I70" s="25"/>
      <c r="J70" s="26" t="s">
        <v>843</v>
      </c>
      <c r="K70" s="27" t="s">
        <v>154</v>
      </c>
      <c r="L70" s="28" t="s">
        <v>155</v>
      </c>
      <c r="M70" s="28" t="s">
        <v>721</v>
      </c>
      <c r="N70" s="25">
        <v>1</v>
      </c>
      <c r="O70" s="29">
        <v>713.1</v>
      </c>
      <c r="P70" s="29">
        <v>713.1</v>
      </c>
      <c r="Q70" s="25" t="s">
        <v>722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44"/>
        <v>641.79</v>
      </c>
      <c r="AF70" s="32">
        <f t="shared" si="45"/>
        <v>71.310000000000059</v>
      </c>
      <c r="AG70" s="30"/>
      <c r="AH70" s="33"/>
      <c r="AI70" s="34">
        <f t="shared" si="46"/>
        <v>0</v>
      </c>
      <c r="AJ70" s="35">
        <v>46256</v>
      </c>
      <c r="AK70" s="30">
        <v>1</v>
      </c>
      <c r="AL70" s="36">
        <f t="shared" si="47"/>
        <v>713.1</v>
      </c>
      <c r="AM70" s="35">
        <v>46289</v>
      </c>
      <c r="AN70" s="30">
        <v>1</v>
      </c>
      <c r="AO70" s="36">
        <f t="shared" si="48"/>
        <v>713.1</v>
      </c>
      <c r="AP70" s="35"/>
      <c r="AQ70" s="30"/>
      <c r="AR70" s="36">
        <f t="shared" si="49"/>
        <v>0</v>
      </c>
      <c r="AS70" s="27"/>
      <c r="AT70" s="37"/>
      <c r="AU70" s="30"/>
      <c r="AV70" s="36">
        <f t="shared" si="50"/>
        <v>0</v>
      </c>
      <c r="AW70" s="35"/>
      <c r="AX70" s="30"/>
      <c r="AY70" s="32">
        <f t="shared" si="51"/>
        <v>0</v>
      </c>
      <c r="AZ70" s="30" t="s">
        <v>841</v>
      </c>
      <c r="BA70" s="63"/>
      <c r="BB70" s="71" t="e">
        <f>SUMIFS([1]Form!$F$9:$F$22,[1]Form!$K$9:$K$22,K70)</f>
        <v>#VALUE!</v>
      </c>
      <c r="BC70" s="71"/>
      <c r="BD70" s="71"/>
    </row>
    <row r="71" spans="1:56" x14ac:dyDescent="0.25">
      <c r="A71" s="24">
        <f>IF(B71="","",SUBTOTAL(3,$B$4:B71))</f>
        <v>68</v>
      </c>
      <c r="B71" s="25" t="s">
        <v>840</v>
      </c>
      <c r="C71" s="25" t="str">
        <f t="shared" si="43"/>
        <v>Shipment 1 B-10124 Fired Proces Heater</v>
      </c>
      <c r="D71" s="25" t="s">
        <v>839</v>
      </c>
      <c r="E71" s="25" t="s">
        <v>838</v>
      </c>
      <c r="F71" s="25"/>
      <c r="G71" s="65"/>
      <c r="H71" s="25" t="s">
        <v>842</v>
      </c>
      <c r="I71" s="25"/>
      <c r="J71" s="26" t="s">
        <v>843</v>
      </c>
      <c r="K71" s="27" t="s">
        <v>156</v>
      </c>
      <c r="L71" s="28" t="s">
        <v>157</v>
      </c>
      <c r="M71" s="28" t="s">
        <v>721</v>
      </c>
      <c r="N71" s="25">
        <v>1</v>
      </c>
      <c r="O71" s="29">
        <v>713.1</v>
      </c>
      <c r="P71" s="29">
        <v>713.1</v>
      </c>
      <c r="Q71" s="25" t="s">
        <v>722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44"/>
        <v>641.79</v>
      </c>
      <c r="AF71" s="32">
        <f t="shared" si="45"/>
        <v>71.310000000000059</v>
      </c>
      <c r="AG71" s="30"/>
      <c r="AH71" s="33"/>
      <c r="AI71" s="34">
        <f t="shared" si="46"/>
        <v>0</v>
      </c>
      <c r="AJ71" s="35">
        <v>46256</v>
      </c>
      <c r="AK71" s="30">
        <v>1</v>
      </c>
      <c r="AL71" s="36">
        <f t="shared" si="47"/>
        <v>713.1</v>
      </c>
      <c r="AM71" s="35">
        <v>46289</v>
      </c>
      <c r="AN71" s="30">
        <v>1</v>
      </c>
      <c r="AO71" s="36">
        <f t="shared" si="48"/>
        <v>713.1</v>
      </c>
      <c r="AP71" s="35"/>
      <c r="AQ71" s="30"/>
      <c r="AR71" s="36">
        <f t="shared" si="49"/>
        <v>0</v>
      </c>
      <c r="AS71" s="27"/>
      <c r="AT71" s="37"/>
      <c r="AU71" s="30"/>
      <c r="AV71" s="36">
        <f t="shared" si="50"/>
        <v>0</v>
      </c>
      <c r="AW71" s="35"/>
      <c r="AX71" s="30"/>
      <c r="AY71" s="32">
        <f t="shared" si="51"/>
        <v>0</v>
      </c>
      <c r="AZ71" s="30" t="s">
        <v>841</v>
      </c>
      <c r="BA71" s="63"/>
      <c r="BB71" s="71" t="e">
        <f>SUMIFS([1]Form!$F$9:$F$22,[1]Form!$K$9:$K$22,K71)</f>
        <v>#VALUE!</v>
      </c>
      <c r="BC71" s="71"/>
      <c r="BD71" s="71"/>
    </row>
    <row r="72" spans="1:56" x14ac:dyDescent="0.25">
      <c r="A72" s="24">
        <f>IF(B72="","",SUBTOTAL(3,$B$4:B72))</f>
        <v>69</v>
      </c>
      <c r="B72" s="25" t="s">
        <v>840</v>
      </c>
      <c r="C72" s="25" t="str">
        <f t="shared" si="43"/>
        <v>Shipment 1 B-10124 Fired Proces Heater</v>
      </c>
      <c r="D72" s="25" t="s">
        <v>839</v>
      </c>
      <c r="E72" s="25" t="s">
        <v>838</v>
      </c>
      <c r="F72" s="25"/>
      <c r="G72" s="65"/>
      <c r="H72" s="25" t="s">
        <v>842</v>
      </c>
      <c r="I72" s="25"/>
      <c r="J72" s="26" t="s">
        <v>843</v>
      </c>
      <c r="K72" s="27" t="s">
        <v>158</v>
      </c>
      <c r="L72" s="28" t="s">
        <v>159</v>
      </c>
      <c r="M72" s="28" t="s">
        <v>704</v>
      </c>
      <c r="N72" s="25">
        <v>1</v>
      </c>
      <c r="O72" s="29">
        <v>104.25</v>
      </c>
      <c r="P72" s="29">
        <v>104.25</v>
      </c>
      <c r="Q72" s="25" t="s">
        <v>723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44"/>
        <v>0</v>
      </c>
      <c r="AF72" s="32">
        <f t="shared" si="45"/>
        <v>104.25</v>
      </c>
      <c r="AG72" s="30"/>
      <c r="AH72" s="33"/>
      <c r="AI72" s="34">
        <f t="shared" si="46"/>
        <v>0</v>
      </c>
      <c r="AJ72" s="35"/>
      <c r="AK72" s="30"/>
      <c r="AL72" s="36">
        <f t="shared" si="47"/>
        <v>0</v>
      </c>
      <c r="AM72" s="35"/>
      <c r="AN72" s="30"/>
      <c r="AO72" s="36">
        <f t="shared" si="48"/>
        <v>0</v>
      </c>
      <c r="AP72" s="35"/>
      <c r="AQ72" s="30"/>
      <c r="AR72" s="36">
        <f t="shared" si="49"/>
        <v>0</v>
      </c>
      <c r="AS72" s="27"/>
      <c r="AT72" s="37"/>
      <c r="AU72" s="30"/>
      <c r="AV72" s="36">
        <f t="shared" si="50"/>
        <v>0</v>
      </c>
      <c r="AW72" s="35"/>
      <c r="AX72" s="30"/>
      <c r="AY72" s="32">
        <f t="shared" si="51"/>
        <v>0</v>
      </c>
      <c r="AZ72" s="30" t="s">
        <v>841</v>
      </c>
      <c r="BA72" s="63"/>
      <c r="BB72" s="71" t="e">
        <f>SUMIFS([1]Form!$F$9:$F$22,[1]Form!$K$9:$K$22,K72)</f>
        <v>#VALUE!</v>
      </c>
      <c r="BC72" s="71"/>
      <c r="BD72" s="71"/>
    </row>
    <row r="73" spans="1:56" x14ac:dyDescent="0.25">
      <c r="A73" s="24">
        <f>IF(B73="","",SUBTOTAL(3,$B$4:B73))</f>
        <v>70</v>
      </c>
      <c r="B73" s="25" t="s">
        <v>840</v>
      </c>
      <c r="C73" s="25" t="str">
        <f t="shared" si="43"/>
        <v>Shipment 1 B-10124 Fired Proces Heater</v>
      </c>
      <c r="D73" s="25" t="s">
        <v>839</v>
      </c>
      <c r="E73" s="25" t="s">
        <v>838</v>
      </c>
      <c r="F73" s="25"/>
      <c r="G73" s="65"/>
      <c r="H73" s="25" t="s">
        <v>842</v>
      </c>
      <c r="I73" s="25"/>
      <c r="J73" s="26" t="s">
        <v>843</v>
      </c>
      <c r="K73" s="27" t="s">
        <v>158</v>
      </c>
      <c r="L73" s="28" t="s">
        <v>160</v>
      </c>
      <c r="M73" s="28" t="s">
        <v>704</v>
      </c>
      <c r="N73" s="25">
        <v>1</v>
      </c>
      <c r="O73" s="29">
        <v>104.25</v>
      </c>
      <c r="P73" s="29">
        <v>104.25</v>
      </c>
      <c r="Q73" s="25" t="s">
        <v>723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44"/>
        <v>0</v>
      </c>
      <c r="AF73" s="32">
        <f t="shared" si="45"/>
        <v>104.25</v>
      </c>
      <c r="AG73" s="30"/>
      <c r="AH73" s="33"/>
      <c r="AI73" s="34">
        <f t="shared" si="46"/>
        <v>0</v>
      </c>
      <c r="AJ73" s="35"/>
      <c r="AK73" s="30"/>
      <c r="AL73" s="36">
        <f t="shared" si="47"/>
        <v>0</v>
      </c>
      <c r="AM73" s="35"/>
      <c r="AN73" s="30"/>
      <c r="AO73" s="36">
        <f t="shared" si="48"/>
        <v>0</v>
      </c>
      <c r="AP73" s="35"/>
      <c r="AQ73" s="30"/>
      <c r="AR73" s="36">
        <f t="shared" si="49"/>
        <v>0</v>
      </c>
      <c r="AS73" s="27"/>
      <c r="AT73" s="37"/>
      <c r="AU73" s="30"/>
      <c r="AV73" s="36">
        <f t="shared" si="50"/>
        <v>0</v>
      </c>
      <c r="AW73" s="35"/>
      <c r="AX73" s="30"/>
      <c r="AY73" s="32">
        <f t="shared" si="51"/>
        <v>0</v>
      </c>
      <c r="AZ73" s="30" t="s">
        <v>841</v>
      </c>
      <c r="BA73" s="63"/>
      <c r="BB73" s="71" t="e">
        <f>SUMIFS([1]Form!$F$9:$F$22,[1]Form!$K$9:$K$22,K73)</f>
        <v>#VALUE!</v>
      </c>
      <c r="BC73" s="71"/>
      <c r="BD73" s="71"/>
    </row>
    <row r="74" spans="1:56" x14ac:dyDescent="0.25">
      <c r="A74" s="24">
        <f>IF(B74="","",SUBTOTAL(3,$B$4:B74))</f>
        <v>71</v>
      </c>
      <c r="B74" s="25" t="s">
        <v>840</v>
      </c>
      <c r="C74" s="25" t="str">
        <f t="shared" si="43"/>
        <v>Shipment 1 B-10124 Fired Proces Heater</v>
      </c>
      <c r="D74" s="25" t="s">
        <v>839</v>
      </c>
      <c r="E74" s="25" t="s">
        <v>838</v>
      </c>
      <c r="F74" s="25"/>
      <c r="G74" s="65"/>
      <c r="H74" s="25" t="s">
        <v>842</v>
      </c>
      <c r="I74" s="25"/>
      <c r="J74" s="26" t="s">
        <v>843</v>
      </c>
      <c r="K74" s="27" t="s">
        <v>161</v>
      </c>
      <c r="L74" s="28" t="s">
        <v>162</v>
      </c>
      <c r="M74" s="28" t="s">
        <v>704</v>
      </c>
      <c r="N74" s="25">
        <v>1</v>
      </c>
      <c r="O74" s="29">
        <v>56.1</v>
      </c>
      <c r="P74" s="29">
        <v>56.1</v>
      </c>
      <c r="Q74" s="25" t="s">
        <v>724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44"/>
        <v>0</v>
      </c>
      <c r="AF74" s="32">
        <f t="shared" si="45"/>
        <v>56.1</v>
      </c>
      <c r="AG74" s="30"/>
      <c r="AH74" s="33"/>
      <c r="AI74" s="34">
        <f t="shared" si="46"/>
        <v>0</v>
      </c>
      <c r="AJ74" s="35"/>
      <c r="AK74" s="30"/>
      <c r="AL74" s="36">
        <f t="shared" si="47"/>
        <v>0</v>
      </c>
      <c r="AM74" s="35"/>
      <c r="AN74" s="30"/>
      <c r="AO74" s="36">
        <f t="shared" si="48"/>
        <v>0</v>
      </c>
      <c r="AP74" s="35"/>
      <c r="AQ74" s="30"/>
      <c r="AR74" s="36">
        <f t="shared" si="49"/>
        <v>0</v>
      </c>
      <c r="AS74" s="27"/>
      <c r="AT74" s="37"/>
      <c r="AU74" s="30"/>
      <c r="AV74" s="36">
        <f t="shared" si="50"/>
        <v>0</v>
      </c>
      <c r="AW74" s="35"/>
      <c r="AX74" s="30"/>
      <c r="AY74" s="32">
        <f t="shared" si="51"/>
        <v>0</v>
      </c>
      <c r="AZ74" s="30" t="s">
        <v>841</v>
      </c>
      <c r="BA74" s="63"/>
      <c r="BB74" s="71" t="e">
        <f>SUMIFS([1]Form!$F$9:$F$22,[1]Form!$K$9:$K$22,K74)</f>
        <v>#VALUE!</v>
      </c>
      <c r="BC74" s="71"/>
      <c r="BD74" s="71"/>
    </row>
    <row r="75" spans="1:56" x14ac:dyDescent="0.25">
      <c r="A75" s="24">
        <f>IF(B75="","",SUBTOTAL(3,$B$4:B75))</f>
        <v>72</v>
      </c>
      <c r="B75" s="25" t="s">
        <v>840</v>
      </c>
      <c r="C75" s="25" t="str">
        <f t="shared" si="43"/>
        <v>Shipment 1 B-10124 Fired Proces Heater</v>
      </c>
      <c r="D75" s="25" t="s">
        <v>839</v>
      </c>
      <c r="E75" s="25" t="s">
        <v>838</v>
      </c>
      <c r="F75" s="25"/>
      <c r="G75" s="65"/>
      <c r="H75" s="25" t="s">
        <v>842</v>
      </c>
      <c r="I75" s="25"/>
      <c r="J75" s="26" t="s">
        <v>843</v>
      </c>
      <c r="K75" s="27" t="s">
        <v>161</v>
      </c>
      <c r="L75" s="28" t="s">
        <v>163</v>
      </c>
      <c r="M75" s="28" t="s">
        <v>704</v>
      </c>
      <c r="N75" s="25">
        <v>1</v>
      </c>
      <c r="O75" s="29">
        <v>56.1</v>
      </c>
      <c r="P75" s="29">
        <v>56.1</v>
      </c>
      <c r="Q75" s="25" t="s">
        <v>724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44"/>
        <v>0</v>
      </c>
      <c r="AF75" s="32">
        <f t="shared" si="45"/>
        <v>56.1</v>
      </c>
      <c r="AG75" s="30"/>
      <c r="AH75" s="33"/>
      <c r="AI75" s="34">
        <f t="shared" si="46"/>
        <v>0</v>
      </c>
      <c r="AJ75" s="35"/>
      <c r="AK75" s="30"/>
      <c r="AL75" s="36">
        <f t="shared" si="47"/>
        <v>0</v>
      </c>
      <c r="AM75" s="35"/>
      <c r="AN75" s="30"/>
      <c r="AO75" s="36">
        <f t="shared" si="48"/>
        <v>0</v>
      </c>
      <c r="AP75" s="35"/>
      <c r="AQ75" s="30"/>
      <c r="AR75" s="36">
        <f t="shared" si="49"/>
        <v>0</v>
      </c>
      <c r="AS75" s="27"/>
      <c r="AT75" s="37"/>
      <c r="AU75" s="30"/>
      <c r="AV75" s="36">
        <f t="shared" si="50"/>
        <v>0</v>
      </c>
      <c r="AW75" s="35"/>
      <c r="AX75" s="30"/>
      <c r="AY75" s="32">
        <f t="shared" si="51"/>
        <v>0</v>
      </c>
      <c r="AZ75" s="30" t="s">
        <v>841</v>
      </c>
      <c r="BA75" s="63"/>
      <c r="BB75" s="71" t="e">
        <f>SUMIFS([1]Form!$F$9:$F$22,[1]Form!$K$9:$K$22,K75)</f>
        <v>#VALUE!</v>
      </c>
      <c r="BC75" s="71"/>
      <c r="BD75" s="71"/>
    </row>
    <row r="76" spans="1:56" x14ac:dyDescent="0.25">
      <c r="A76" s="24">
        <f>IF(B76="","",SUBTOTAL(3,$B$4:B76))</f>
        <v>73</v>
      </c>
      <c r="B76" s="25" t="s">
        <v>840</v>
      </c>
      <c r="C76" s="25" t="str">
        <f t="shared" si="43"/>
        <v>Shipment 1 B-10124 Fired Proces Heater</v>
      </c>
      <c r="D76" s="25" t="s">
        <v>839</v>
      </c>
      <c r="E76" s="25" t="s">
        <v>838</v>
      </c>
      <c r="F76" s="25"/>
      <c r="G76" s="65"/>
      <c r="H76" s="25" t="s">
        <v>842</v>
      </c>
      <c r="I76" s="25"/>
      <c r="J76" s="26" t="s">
        <v>843</v>
      </c>
      <c r="K76" s="27" t="s">
        <v>164</v>
      </c>
      <c r="L76" s="28" t="s">
        <v>165</v>
      </c>
      <c r="M76" s="28" t="s">
        <v>718</v>
      </c>
      <c r="N76" s="25">
        <v>1</v>
      </c>
      <c r="O76" s="29">
        <v>3473.3</v>
      </c>
      <c r="P76" s="29">
        <v>3473.3</v>
      </c>
      <c r="Q76" s="25" t="s">
        <v>720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44"/>
        <v>3473.3</v>
      </c>
      <c r="AF76" s="32">
        <f t="shared" si="45"/>
        <v>0</v>
      </c>
      <c r="AG76" s="30"/>
      <c r="AH76" s="33"/>
      <c r="AI76" s="34">
        <f t="shared" si="46"/>
        <v>0</v>
      </c>
      <c r="AJ76" s="35">
        <v>46287</v>
      </c>
      <c r="AK76" s="30">
        <v>1</v>
      </c>
      <c r="AL76" s="36">
        <f t="shared" si="47"/>
        <v>3473.3</v>
      </c>
      <c r="AM76" s="35">
        <v>46288</v>
      </c>
      <c r="AN76" s="30">
        <v>1</v>
      </c>
      <c r="AO76" s="36">
        <f t="shared" si="48"/>
        <v>3473.3</v>
      </c>
      <c r="AP76" s="35">
        <v>46296</v>
      </c>
      <c r="AQ76" s="30">
        <v>1</v>
      </c>
      <c r="AR76" s="36">
        <f t="shared" si="49"/>
        <v>3473.3</v>
      </c>
      <c r="AS76" s="27" t="s">
        <v>1244</v>
      </c>
      <c r="AT76" s="37">
        <v>46296</v>
      </c>
      <c r="AU76" s="30">
        <v>1</v>
      </c>
      <c r="AV76" s="36">
        <f t="shared" si="50"/>
        <v>3473.3</v>
      </c>
      <c r="AW76" s="35">
        <v>46310</v>
      </c>
      <c r="AX76" s="30">
        <v>1</v>
      </c>
      <c r="AY76" s="32">
        <f t="shared" si="51"/>
        <v>3473.3</v>
      </c>
      <c r="AZ76" s="30" t="s">
        <v>841</v>
      </c>
      <c r="BA76" s="63" t="s">
        <v>1152</v>
      </c>
      <c r="BB76" s="71"/>
      <c r="BC76" s="71"/>
      <c r="BD76" s="71"/>
    </row>
    <row r="77" spans="1:56" x14ac:dyDescent="0.25">
      <c r="A77" s="24">
        <f>IF(B77="","",SUBTOTAL(3,$B$4:B77))</f>
        <v>74</v>
      </c>
      <c r="B77" s="25" t="s">
        <v>840</v>
      </c>
      <c r="C77" s="25" t="str">
        <f t="shared" si="43"/>
        <v>Shipment 1 B-10124 Fired Proces Heater</v>
      </c>
      <c r="D77" s="25" t="s">
        <v>839</v>
      </c>
      <c r="E77" s="25" t="s">
        <v>838</v>
      </c>
      <c r="F77" s="25"/>
      <c r="G77" s="65"/>
      <c r="H77" s="25" t="s">
        <v>842</v>
      </c>
      <c r="I77" s="25"/>
      <c r="J77" s="26" t="s">
        <v>843</v>
      </c>
      <c r="K77" s="27" t="s">
        <v>166</v>
      </c>
      <c r="L77" s="28" t="s">
        <v>167</v>
      </c>
      <c r="M77" s="28" t="s">
        <v>718</v>
      </c>
      <c r="N77" s="25">
        <v>1</v>
      </c>
      <c r="O77" s="29">
        <v>3473.1999999999994</v>
      </c>
      <c r="P77" s="29">
        <v>3473.1999999999994</v>
      </c>
      <c r="Q77" s="25" t="s">
        <v>720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44"/>
        <v>3473.1999999999989</v>
      </c>
      <c r="AF77" s="32">
        <f t="shared" si="45"/>
        <v>0</v>
      </c>
      <c r="AG77" s="30"/>
      <c r="AH77" s="33"/>
      <c r="AI77" s="34">
        <f t="shared" si="46"/>
        <v>0</v>
      </c>
      <c r="AJ77" s="35">
        <v>46256</v>
      </c>
      <c r="AK77" s="30">
        <v>1</v>
      </c>
      <c r="AL77" s="36">
        <f t="shared" si="47"/>
        <v>3473.1999999999994</v>
      </c>
      <c r="AM77" s="35">
        <v>46258</v>
      </c>
      <c r="AN77" s="30">
        <v>1</v>
      </c>
      <c r="AO77" s="36">
        <f t="shared" si="48"/>
        <v>3473.1999999999994</v>
      </c>
      <c r="AP77" s="35">
        <v>46296</v>
      </c>
      <c r="AQ77" s="30">
        <v>1</v>
      </c>
      <c r="AR77" s="36">
        <f t="shared" si="49"/>
        <v>3473.1999999999994</v>
      </c>
      <c r="AS77" s="27" t="s">
        <v>1244</v>
      </c>
      <c r="AT77" s="37">
        <v>46296</v>
      </c>
      <c r="AU77" s="30">
        <v>1</v>
      </c>
      <c r="AV77" s="36">
        <f t="shared" si="50"/>
        <v>3473.1999999999994</v>
      </c>
      <c r="AW77" s="35">
        <v>46310</v>
      </c>
      <c r="AX77" s="30">
        <v>1</v>
      </c>
      <c r="AY77" s="32">
        <f t="shared" ref="AY77" si="53">IFERROR(AX77*$P77/$N77,0)</f>
        <v>3473.1999999999994</v>
      </c>
      <c r="AZ77" s="30" t="s">
        <v>841</v>
      </c>
      <c r="BA77" s="63" t="s">
        <v>1152</v>
      </c>
      <c r="BB77" s="71"/>
      <c r="BC77" s="71"/>
      <c r="BD77" s="71"/>
    </row>
    <row r="78" spans="1:56" x14ac:dyDescent="0.25">
      <c r="A78" s="24">
        <f>IF(B78="","",SUBTOTAL(3,$B$4:B78))</f>
        <v>75</v>
      </c>
      <c r="B78" s="25" t="s">
        <v>840</v>
      </c>
      <c r="C78" s="25" t="str">
        <f t="shared" si="43"/>
        <v>Shipment 1 B-10124 Fired Proces Heater</v>
      </c>
      <c r="D78" s="25" t="s">
        <v>839</v>
      </c>
      <c r="E78" s="25" t="s">
        <v>838</v>
      </c>
      <c r="F78" s="25"/>
      <c r="G78" s="65"/>
      <c r="H78" s="25" t="s">
        <v>842</v>
      </c>
      <c r="I78" s="25"/>
      <c r="J78" s="26" t="s">
        <v>843</v>
      </c>
      <c r="K78" s="27" t="s">
        <v>168</v>
      </c>
      <c r="L78" s="28" t="s">
        <v>169</v>
      </c>
      <c r="M78" s="28" t="s">
        <v>709</v>
      </c>
      <c r="N78" s="25">
        <v>1</v>
      </c>
      <c r="O78" s="29">
        <v>1965.7999999999997</v>
      </c>
      <c r="P78" s="29">
        <v>1965.7999999999997</v>
      </c>
      <c r="Q78" s="25" t="s">
        <v>710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44"/>
        <v>0</v>
      </c>
      <c r="AF78" s="32">
        <f t="shared" si="45"/>
        <v>1965.7999999999997</v>
      </c>
      <c r="AG78" s="30"/>
      <c r="AH78" s="33"/>
      <c r="AI78" s="34">
        <f t="shared" si="46"/>
        <v>0</v>
      </c>
      <c r="AJ78" s="35"/>
      <c r="AK78" s="30"/>
      <c r="AL78" s="36">
        <f t="shared" si="47"/>
        <v>0</v>
      </c>
      <c r="AM78" s="35"/>
      <c r="AN78" s="30"/>
      <c r="AO78" s="36">
        <f t="shared" si="48"/>
        <v>0</v>
      </c>
      <c r="AP78" s="35"/>
      <c r="AQ78" s="30"/>
      <c r="AR78" s="36">
        <f t="shared" si="49"/>
        <v>0</v>
      </c>
      <c r="AS78" s="27"/>
      <c r="AT78" s="37"/>
      <c r="AU78" s="30"/>
      <c r="AV78" s="36">
        <f t="shared" si="50"/>
        <v>0</v>
      </c>
      <c r="AW78" s="35"/>
      <c r="AX78" s="30"/>
      <c r="AY78" s="32">
        <f t="shared" si="51"/>
        <v>0</v>
      </c>
      <c r="AZ78" s="30" t="s">
        <v>841</v>
      </c>
      <c r="BA78" s="63"/>
      <c r="BB78" s="71" t="e">
        <f>SUMIFS([1]Form!$F$9:$F$22,[1]Form!$K$9:$K$22,K78)</f>
        <v>#VALUE!</v>
      </c>
      <c r="BC78" s="71"/>
      <c r="BD78" s="71"/>
    </row>
    <row r="79" spans="1:56" x14ac:dyDescent="0.25">
      <c r="A79" s="24">
        <f>IF(B79="","",SUBTOTAL(3,$B$4:B79))</f>
        <v>76</v>
      </c>
      <c r="B79" s="25" t="s">
        <v>840</v>
      </c>
      <c r="C79" s="25" t="str">
        <f t="shared" si="43"/>
        <v>Shipment 1 B-10124 Fired Proces Heater</v>
      </c>
      <c r="D79" s="25" t="s">
        <v>839</v>
      </c>
      <c r="E79" s="25" t="s">
        <v>838</v>
      </c>
      <c r="F79" s="25"/>
      <c r="G79" s="65"/>
      <c r="H79" s="25" t="s">
        <v>842</v>
      </c>
      <c r="I79" s="25"/>
      <c r="J79" s="26" t="s">
        <v>843</v>
      </c>
      <c r="K79" s="27" t="s">
        <v>170</v>
      </c>
      <c r="L79" s="28" t="s">
        <v>171</v>
      </c>
      <c r="M79" s="28" t="s">
        <v>718</v>
      </c>
      <c r="N79" s="25">
        <v>1</v>
      </c>
      <c r="O79" s="29">
        <v>1775.8</v>
      </c>
      <c r="P79" s="29">
        <v>1775.8</v>
      </c>
      <c r="Q79" s="25" t="s">
        <v>719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44"/>
        <v>1775.8</v>
      </c>
      <c r="AF79" s="32">
        <f t="shared" si="45"/>
        <v>0</v>
      </c>
      <c r="AG79" s="30"/>
      <c r="AH79" s="33"/>
      <c r="AI79" s="34">
        <f t="shared" si="46"/>
        <v>0</v>
      </c>
      <c r="AJ79" s="35">
        <v>46257</v>
      </c>
      <c r="AK79" s="30">
        <v>1</v>
      </c>
      <c r="AL79" s="36">
        <f t="shared" si="47"/>
        <v>1775.8</v>
      </c>
      <c r="AM79" s="35">
        <v>46287</v>
      </c>
      <c r="AN79" s="30">
        <v>1</v>
      </c>
      <c r="AO79" s="36">
        <f t="shared" si="48"/>
        <v>1775.8</v>
      </c>
      <c r="AP79" s="35">
        <v>46296</v>
      </c>
      <c r="AQ79" s="30">
        <v>1</v>
      </c>
      <c r="AR79" s="36">
        <f t="shared" si="49"/>
        <v>1775.8</v>
      </c>
      <c r="AS79" s="27" t="s">
        <v>1244</v>
      </c>
      <c r="AT79" s="37">
        <v>46296</v>
      </c>
      <c r="AU79" s="30">
        <v>1</v>
      </c>
      <c r="AV79" s="36">
        <f t="shared" si="50"/>
        <v>1775.8</v>
      </c>
      <c r="AW79" s="35">
        <v>46310</v>
      </c>
      <c r="AX79" s="30">
        <v>1</v>
      </c>
      <c r="AY79" s="32">
        <f t="shared" ref="AY79" si="54">IFERROR(AX79*$P79/$N79,0)</f>
        <v>1775.8</v>
      </c>
      <c r="AZ79" s="30" t="s">
        <v>841</v>
      </c>
      <c r="BA79" s="63" t="s">
        <v>1152</v>
      </c>
      <c r="BB79" s="71"/>
      <c r="BC79" s="71"/>
      <c r="BD79" s="71"/>
    </row>
    <row r="80" spans="1:56" x14ac:dyDescent="0.25">
      <c r="A80" s="24">
        <f>IF(B80="","",SUBTOTAL(3,$B$4:B80))</f>
        <v>77</v>
      </c>
      <c r="B80" s="25" t="s">
        <v>840</v>
      </c>
      <c r="C80" s="25" t="str">
        <f t="shared" si="43"/>
        <v>Shipment 1 B-10124 Fired Proces Heater</v>
      </c>
      <c r="D80" s="25" t="s">
        <v>839</v>
      </c>
      <c r="E80" s="25" t="s">
        <v>838</v>
      </c>
      <c r="F80" s="25"/>
      <c r="G80" s="65"/>
      <c r="H80" s="25" t="s">
        <v>842</v>
      </c>
      <c r="I80" s="25"/>
      <c r="J80" s="26" t="s">
        <v>843</v>
      </c>
      <c r="K80" s="27" t="s">
        <v>172</v>
      </c>
      <c r="L80" s="28" t="s">
        <v>173</v>
      </c>
      <c r="M80" s="28" t="s">
        <v>704</v>
      </c>
      <c r="N80" s="25">
        <v>1</v>
      </c>
      <c r="O80" s="29">
        <v>17.3</v>
      </c>
      <c r="P80" s="29">
        <v>17.3</v>
      </c>
      <c r="Q80" s="25" t="s">
        <v>725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44"/>
        <v>0</v>
      </c>
      <c r="AF80" s="32">
        <f t="shared" si="45"/>
        <v>17.3</v>
      </c>
      <c r="AG80" s="30"/>
      <c r="AH80" s="33"/>
      <c r="AI80" s="34">
        <f t="shared" si="46"/>
        <v>0</v>
      </c>
      <c r="AJ80" s="35"/>
      <c r="AK80" s="30"/>
      <c r="AL80" s="36">
        <f t="shared" si="47"/>
        <v>0</v>
      </c>
      <c r="AM80" s="35"/>
      <c r="AN80" s="30"/>
      <c r="AO80" s="36">
        <f t="shared" si="48"/>
        <v>0</v>
      </c>
      <c r="AP80" s="35"/>
      <c r="AQ80" s="30"/>
      <c r="AR80" s="36">
        <f t="shared" si="49"/>
        <v>0</v>
      </c>
      <c r="AS80" s="27"/>
      <c r="AT80" s="37"/>
      <c r="AU80" s="30"/>
      <c r="AV80" s="36">
        <f t="shared" si="50"/>
        <v>0</v>
      </c>
      <c r="AW80" s="35"/>
      <c r="AX80" s="30"/>
      <c r="AY80" s="32">
        <f t="shared" si="51"/>
        <v>0</v>
      </c>
      <c r="AZ80" s="30" t="s">
        <v>841</v>
      </c>
      <c r="BA80" s="63"/>
      <c r="BB80" s="71" t="e">
        <f>SUMIFS([1]Form!$F$9:$F$22,[1]Form!$K$9:$K$22,K80)</f>
        <v>#VALUE!</v>
      </c>
      <c r="BC80" s="71"/>
      <c r="BD80" s="71"/>
    </row>
    <row r="81" spans="1:56" x14ac:dyDescent="0.25">
      <c r="A81" s="24">
        <f>IF(B81="","",SUBTOTAL(3,$B$4:B81))</f>
        <v>78</v>
      </c>
      <c r="B81" s="25" t="s">
        <v>840</v>
      </c>
      <c r="C81" s="25" t="str">
        <f t="shared" si="43"/>
        <v>Shipment 1 B-10124 Fired Proces Heater</v>
      </c>
      <c r="D81" s="25" t="s">
        <v>839</v>
      </c>
      <c r="E81" s="25" t="s">
        <v>838</v>
      </c>
      <c r="F81" s="25"/>
      <c r="G81" s="65"/>
      <c r="H81" s="25" t="s">
        <v>842</v>
      </c>
      <c r="I81" s="25"/>
      <c r="J81" s="26" t="s">
        <v>843</v>
      </c>
      <c r="K81" s="27" t="s">
        <v>172</v>
      </c>
      <c r="L81" s="28" t="s">
        <v>174</v>
      </c>
      <c r="M81" s="28" t="s">
        <v>704</v>
      </c>
      <c r="N81" s="25">
        <v>1</v>
      </c>
      <c r="O81" s="29">
        <v>17.3</v>
      </c>
      <c r="P81" s="29">
        <v>17.3</v>
      </c>
      <c r="Q81" s="25" t="s">
        <v>725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44"/>
        <v>0</v>
      </c>
      <c r="AF81" s="32">
        <f t="shared" si="45"/>
        <v>17.3</v>
      </c>
      <c r="AG81" s="30"/>
      <c r="AH81" s="33"/>
      <c r="AI81" s="34">
        <f t="shared" si="46"/>
        <v>0</v>
      </c>
      <c r="AJ81" s="35"/>
      <c r="AK81" s="30"/>
      <c r="AL81" s="36">
        <f t="shared" si="47"/>
        <v>0</v>
      </c>
      <c r="AM81" s="35"/>
      <c r="AN81" s="30"/>
      <c r="AO81" s="36">
        <f t="shared" si="48"/>
        <v>0</v>
      </c>
      <c r="AP81" s="35"/>
      <c r="AQ81" s="30"/>
      <c r="AR81" s="36">
        <f t="shared" si="49"/>
        <v>0</v>
      </c>
      <c r="AS81" s="27"/>
      <c r="AT81" s="37"/>
      <c r="AU81" s="30"/>
      <c r="AV81" s="36">
        <f t="shared" si="50"/>
        <v>0</v>
      </c>
      <c r="AW81" s="35"/>
      <c r="AX81" s="30"/>
      <c r="AY81" s="32">
        <f t="shared" si="51"/>
        <v>0</v>
      </c>
      <c r="AZ81" s="30" t="s">
        <v>841</v>
      </c>
      <c r="BA81" s="63"/>
      <c r="BB81" s="71" t="e">
        <f>SUMIFS([1]Form!$F$9:$F$22,[1]Form!$K$9:$K$22,K81)</f>
        <v>#VALUE!</v>
      </c>
      <c r="BC81" s="71"/>
      <c r="BD81" s="71"/>
    </row>
    <row r="82" spans="1:56" x14ac:dyDescent="0.25">
      <c r="A82" s="24">
        <f>IF(B82="","",SUBTOTAL(3,$B$4:B82))</f>
        <v>79</v>
      </c>
      <c r="B82" s="25" t="s">
        <v>840</v>
      </c>
      <c r="C82" s="25" t="str">
        <f t="shared" si="43"/>
        <v>Shipment 1 B-10124 Fired Proces Heater</v>
      </c>
      <c r="D82" s="25" t="s">
        <v>839</v>
      </c>
      <c r="E82" s="25" t="s">
        <v>838</v>
      </c>
      <c r="F82" s="25"/>
      <c r="G82" s="65"/>
      <c r="H82" s="25" t="s">
        <v>842</v>
      </c>
      <c r="I82" s="25"/>
      <c r="J82" s="26" t="s">
        <v>843</v>
      </c>
      <c r="K82" s="27" t="s">
        <v>175</v>
      </c>
      <c r="L82" s="28" t="s">
        <v>176</v>
      </c>
      <c r="M82" s="28" t="s">
        <v>713</v>
      </c>
      <c r="N82" s="25">
        <v>1</v>
      </c>
      <c r="O82" s="29">
        <v>4859.7</v>
      </c>
      <c r="P82" s="29">
        <v>4859.7</v>
      </c>
      <c r="Q82" s="25" t="s">
        <v>847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44"/>
        <v>0</v>
      </c>
      <c r="AF82" s="32">
        <f t="shared" si="45"/>
        <v>4859.7</v>
      </c>
      <c r="AG82" s="30"/>
      <c r="AH82" s="33"/>
      <c r="AI82" s="34">
        <f t="shared" si="46"/>
        <v>0</v>
      </c>
      <c r="AJ82" s="35"/>
      <c r="AK82" s="30"/>
      <c r="AL82" s="36">
        <f t="shared" si="47"/>
        <v>0</v>
      </c>
      <c r="AM82" s="35"/>
      <c r="AN82" s="30"/>
      <c r="AO82" s="36">
        <f t="shared" si="48"/>
        <v>0</v>
      </c>
      <c r="AP82" s="35"/>
      <c r="AQ82" s="30"/>
      <c r="AR82" s="36">
        <f t="shared" si="49"/>
        <v>0</v>
      </c>
      <c r="AS82" s="27"/>
      <c r="AT82" s="37"/>
      <c r="AU82" s="30"/>
      <c r="AV82" s="36">
        <f t="shared" si="50"/>
        <v>0</v>
      </c>
      <c r="AW82" s="35"/>
      <c r="AX82" s="30"/>
      <c r="AY82" s="32">
        <f t="shared" si="51"/>
        <v>0</v>
      </c>
      <c r="AZ82" s="30" t="s">
        <v>841</v>
      </c>
      <c r="BA82" s="63"/>
      <c r="BB82" s="71" t="e">
        <f>SUMIFS([1]Form!$F$9:$F$22,[1]Form!$K$9:$K$22,K82)</f>
        <v>#VALUE!</v>
      </c>
      <c r="BC82" s="71"/>
      <c r="BD82" s="71"/>
    </row>
    <row r="83" spans="1:56" x14ac:dyDescent="0.25">
      <c r="A83" s="24">
        <f>IF(B83="","",SUBTOTAL(3,$B$4:B83))</f>
        <v>80</v>
      </c>
      <c r="B83" s="25" t="s">
        <v>840</v>
      </c>
      <c r="C83" s="25" t="str">
        <f t="shared" si="43"/>
        <v>Shipment 1 B-10124 Fired Proces Heater</v>
      </c>
      <c r="D83" s="25" t="s">
        <v>839</v>
      </c>
      <c r="E83" s="25" t="s">
        <v>838</v>
      </c>
      <c r="F83" s="25"/>
      <c r="G83" s="65"/>
      <c r="H83" s="25" t="s">
        <v>842</v>
      </c>
      <c r="I83" s="25"/>
      <c r="J83" s="26" t="s">
        <v>843</v>
      </c>
      <c r="K83" s="27" t="s">
        <v>177</v>
      </c>
      <c r="L83" s="28" t="s">
        <v>178</v>
      </c>
      <c r="M83" s="28" t="s">
        <v>709</v>
      </c>
      <c r="N83" s="25">
        <v>1</v>
      </c>
      <c r="O83" s="29">
        <v>3551.7</v>
      </c>
      <c r="P83" s="29">
        <v>3551.7</v>
      </c>
      <c r="Q83" s="25" t="s">
        <v>714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44"/>
        <v>0</v>
      </c>
      <c r="AF83" s="32">
        <f t="shared" si="45"/>
        <v>3551.7</v>
      </c>
      <c r="AG83" s="30"/>
      <c r="AH83" s="33"/>
      <c r="AI83" s="34">
        <f t="shared" si="46"/>
        <v>0</v>
      </c>
      <c r="AJ83" s="35"/>
      <c r="AK83" s="30"/>
      <c r="AL83" s="36">
        <f t="shared" si="47"/>
        <v>0</v>
      </c>
      <c r="AM83" s="35"/>
      <c r="AN83" s="30"/>
      <c r="AO83" s="36">
        <f t="shared" si="48"/>
        <v>0</v>
      </c>
      <c r="AP83" s="35"/>
      <c r="AQ83" s="30"/>
      <c r="AR83" s="36">
        <f t="shared" si="49"/>
        <v>0</v>
      </c>
      <c r="AS83" s="27"/>
      <c r="AT83" s="37"/>
      <c r="AU83" s="30"/>
      <c r="AV83" s="36">
        <f t="shared" si="50"/>
        <v>0</v>
      </c>
      <c r="AW83" s="35"/>
      <c r="AX83" s="30"/>
      <c r="AY83" s="32">
        <f t="shared" si="51"/>
        <v>0</v>
      </c>
      <c r="AZ83" s="30" t="s">
        <v>841</v>
      </c>
      <c r="BA83" s="63"/>
      <c r="BB83" s="71" t="e">
        <f>SUMIFS([1]Form!$F$9:$F$22,[1]Form!$K$9:$K$22,K83)</f>
        <v>#VALUE!</v>
      </c>
      <c r="BC83" s="71"/>
      <c r="BD83" s="71"/>
    </row>
    <row r="84" spans="1:56" x14ac:dyDescent="0.25">
      <c r="A84" s="24">
        <f>IF(B84="","",SUBTOTAL(3,$B$4:B84))</f>
        <v>81</v>
      </c>
      <c r="B84" s="25" t="s">
        <v>840</v>
      </c>
      <c r="C84" s="25" t="str">
        <f t="shared" si="43"/>
        <v>Shipment 1 B-10124 Fired Proces Heater</v>
      </c>
      <c r="D84" s="25" t="s">
        <v>839</v>
      </c>
      <c r="E84" s="25" t="s">
        <v>838</v>
      </c>
      <c r="F84" s="25"/>
      <c r="G84" s="65"/>
      <c r="H84" s="25" t="s">
        <v>842</v>
      </c>
      <c r="I84" s="25"/>
      <c r="J84" s="26" t="s">
        <v>843</v>
      </c>
      <c r="K84" s="27" t="s">
        <v>179</v>
      </c>
      <c r="L84" s="28" t="s">
        <v>180</v>
      </c>
      <c r="M84" s="28" t="s">
        <v>709</v>
      </c>
      <c r="N84" s="25">
        <v>1</v>
      </c>
      <c r="O84" s="29">
        <v>1955.6000000000001</v>
      </c>
      <c r="P84" s="29">
        <v>1955.6000000000001</v>
      </c>
      <c r="Q84" s="25" t="s">
        <v>710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44"/>
        <v>0</v>
      </c>
      <c r="AF84" s="32">
        <f t="shared" si="45"/>
        <v>1955.6000000000001</v>
      </c>
      <c r="AG84" s="30"/>
      <c r="AH84" s="33"/>
      <c r="AI84" s="34">
        <f t="shared" si="46"/>
        <v>0</v>
      </c>
      <c r="AJ84" s="35"/>
      <c r="AK84" s="30"/>
      <c r="AL84" s="36">
        <f t="shared" si="47"/>
        <v>0</v>
      </c>
      <c r="AM84" s="35"/>
      <c r="AN84" s="30"/>
      <c r="AO84" s="36">
        <f t="shared" si="48"/>
        <v>0</v>
      </c>
      <c r="AP84" s="35"/>
      <c r="AQ84" s="30"/>
      <c r="AR84" s="36">
        <f t="shared" si="49"/>
        <v>0</v>
      </c>
      <c r="AS84" s="27"/>
      <c r="AT84" s="37"/>
      <c r="AU84" s="30"/>
      <c r="AV84" s="36">
        <f t="shared" si="50"/>
        <v>0</v>
      </c>
      <c r="AW84" s="35"/>
      <c r="AX84" s="30"/>
      <c r="AY84" s="32">
        <f t="shared" si="51"/>
        <v>0</v>
      </c>
      <c r="AZ84" s="30" t="s">
        <v>841</v>
      </c>
      <c r="BA84" s="63"/>
      <c r="BB84" s="71" t="e">
        <f>SUMIFS([1]Form!$F$9:$F$22,[1]Form!$K$9:$K$22,K84)</f>
        <v>#VALUE!</v>
      </c>
      <c r="BC84" s="71"/>
      <c r="BD84" s="71"/>
    </row>
    <row r="85" spans="1:56" x14ac:dyDescent="0.25">
      <c r="A85" s="24">
        <f>IF(B85="","",SUBTOTAL(3,$B$4:B85))</f>
        <v>82</v>
      </c>
      <c r="B85" s="25" t="s">
        <v>840</v>
      </c>
      <c r="C85" s="25" t="str">
        <f t="shared" si="43"/>
        <v>Shipment 1 B-10124 Fired Proces Heater</v>
      </c>
      <c r="D85" s="25" t="s">
        <v>839</v>
      </c>
      <c r="E85" s="25" t="s">
        <v>838</v>
      </c>
      <c r="F85" s="25"/>
      <c r="G85" s="65"/>
      <c r="H85" s="25" t="s">
        <v>842</v>
      </c>
      <c r="I85" s="25"/>
      <c r="J85" s="26" t="s">
        <v>843</v>
      </c>
      <c r="K85" s="27" t="s">
        <v>181</v>
      </c>
      <c r="L85" s="28" t="s">
        <v>182</v>
      </c>
      <c r="M85" s="28" t="s">
        <v>708</v>
      </c>
      <c r="N85" s="25">
        <v>1</v>
      </c>
      <c r="O85" s="29">
        <v>8256.6</v>
      </c>
      <c r="P85" s="29">
        <v>8256.6</v>
      </c>
      <c r="Q85" s="25" t="s">
        <v>1157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44"/>
        <v>8256.6</v>
      </c>
      <c r="AF85" s="32">
        <f t="shared" si="45"/>
        <v>0</v>
      </c>
      <c r="AG85" s="30"/>
      <c r="AH85" s="33"/>
      <c r="AI85" s="34">
        <f t="shared" si="46"/>
        <v>0</v>
      </c>
      <c r="AJ85" s="35">
        <v>46234</v>
      </c>
      <c r="AK85" s="30">
        <v>1</v>
      </c>
      <c r="AL85" s="36">
        <f t="shared" si="47"/>
        <v>8256.6</v>
      </c>
      <c r="AM85" s="35">
        <v>46237</v>
      </c>
      <c r="AN85" s="30">
        <v>1</v>
      </c>
      <c r="AO85" s="36">
        <f t="shared" si="48"/>
        <v>8256.6</v>
      </c>
      <c r="AP85" s="35">
        <v>46276</v>
      </c>
      <c r="AQ85" s="30">
        <v>1</v>
      </c>
      <c r="AR85" s="36">
        <f t="shared" si="49"/>
        <v>8256.6</v>
      </c>
      <c r="AS85" s="27" t="s">
        <v>1151</v>
      </c>
      <c r="AT85" s="37">
        <v>46276</v>
      </c>
      <c r="AU85" s="30">
        <v>1</v>
      </c>
      <c r="AV85" s="36">
        <f t="shared" si="50"/>
        <v>8256.6</v>
      </c>
      <c r="AW85" s="35">
        <v>46281</v>
      </c>
      <c r="AX85" s="30">
        <v>1</v>
      </c>
      <c r="AY85" s="32">
        <f t="shared" si="51"/>
        <v>8256.6</v>
      </c>
      <c r="AZ85" s="30" t="s">
        <v>841</v>
      </c>
      <c r="BA85" s="63" t="s">
        <v>1151</v>
      </c>
      <c r="BB85" s="71"/>
      <c r="BC85" s="71"/>
      <c r="BD85" s="71"/>
    </row>
    <row r="86" spans="1:56" x14ac:dyDescent="0.25">
      <c r="A86" s="24">
        <f>IF(B86="","",SUBTOTAL(3,$B$4:B86))</f>
        <v>83</v>
      </c>
      <c r="B86" s="25" t="s">
        <v>840</v>
      </c>
      <c r="C86" s="25" t="str">
        <f t="shared" si="43"/>
        <v>Shipment 1 B-10124 Fired Proces Heater</v>
      </c>
      <c r="D86" s="25" t="s">
        <v>839</v>
      </c>
      <c r="E86" s="25" t="s">
        <v>838</v>
      </c>
      <c r="F86" s="25"/>
      <c r="G86" s="65"/>
      <c r="H86" s="25" t="s">
        <v>842</v>
      </c>
      <c r="I86" s="25"/>
      <c r="J86" s="26" t="s">
        <v>843</v>
      </c>
      <c r="K86" s="27" t="s">
        <v>183</v>
      </c>
      <c r="L86" s="28" t="s">
        <v>184</v>
      </c>
      <c r="M86" s="28" t="s">
        <v>718</v>
      </c>
      <c r="N86" s="25">
        <v>1</v>
      </c>
      <c r="O86" s="29">
        <v>3522.6</v>
      </c>
      <c r="P86" s="29">
        <v>3522.6</v>
      </c>
      <c r="Q86" s="25" t="s">
        <v>1156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44"/>
        <v>3522.6000000000004</v>
      </c>
      <c r="AF86" s="32">
        <f t="shared" si="45"/>
        <v>0</v>
      </c>
      <c r="AG86" s="30"/>
      <c r="AH86" s="33"/>
      <c r="AI86" s="34">
        <f t="shared" si="46"/>
        <v>0</v>
      </c>
      <c r="AJ86" s="35">
        <v>46226</v>
      </c>
      <c r="AK86" s="30">
        <v>1</v>
      </c>
      <c r="AL86" s="36">
        <f t="shared" si="47"/>
        <v>3522.6</v>
      </c>
      <c r="AM86" s="35">
        <v>46246</v>
      </c>
      <c r="AN86" s="30">
        <v>1</v>
      </c>
      <c r="AO86" s="36">
        <f t="shared" si="48"/>
        <v>3522.6</v>
      </c>
      <c r="AP86" s="35">
        <v>46272</v>
      </c>
      <c r="AQ86" s="30">
        <v>1</v>
      </c>
      <c r="AR86" s="36">
        <f t="shared" si="49"/>
        <v>3522.6</v>
      </c>
      <c r="AS86" s="27" t="s">
        <v>1150</v>
      </c>
      <c r="AT86" s="37">
        <v>46272</v>
      </c>
      <c r="AU86" s="30">
        <v>1</v>
      </c>
      <c r="AV86" s="36">
        <f t="shared" si="50"/>
        <v>3522.6</v>
      </c>
      <c r="AW86" s="35">
        <v>46281</v>
      </c>
      <c r="AX86" s="30">
        <v>1</v>
      </c>
      <c r="AY86" s="32">
        <f t="shared" ref="AY86" si="55">IFERROR(AX86*$P86/$N86,0)</f>
        <v>3522.6</v>
      </c>
      <c r="AZ86" s="30" t="s">
        <v>841</v>
      </c>
      <c r="BA86" s="63" t="s">
        <v>1153</v>
      </c>
      <c r="BB86" s="71"/>
      <c r="BC86" s="71"/>
      <c r="BD86" s="71"/>
    </row>
    <row r="87" spans="1:56" x14ac:dyDescent="0.25">
      <c r="A87" s="24">
        <f>IF(B87="","",SUBTOTAL(3,$B$4:B87))</f>
        <v>84</v>
      </c>
      <c r="B87" s="25" t="s">
        <v>840</v>
      </c>
      <c r="C87" s="25" t="str">
        <f t="shared" si="43"/>
        <v>Shipment 1 B-10124 Fired Proces Heater</v>
      </c>
      <c r="D87" s="25" t="s">
        <v>839</v>
      </c>
      <c r="E87" s="25" t="s">
        <v>838</v>
      </c>
      <c r="F87" s="25"/>
      <c r="G87" s="65"/>
      <c r="H87" s="25" t="s">
        <v>842</v>
      </c>
      <c r="I87" s="25"/>
      <c r="J87" s="26" t="s">
        <v>843</v>
      </c>
      <c r="K87" s="27" t="s">
        <v>185</v>
      </c>
      <c r="L87" s="28" t="s">
        <v>186</v>
      </c>
      <c r="M87" s="28" t="s">
        <v>726</v>
      </c>
      <c r="N87" s="25">
        <v>1</v>
      </c>
      <c r="O87" s="29">
        <v>8461</v>
      </c>
      <c r="P87" s="29">
        <v>8461</v>
      </c>
      <c r="Q87" s="25" t="s">
        <v>1158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44"/>
        <v>7614.9</v>
      </c>
      <c r="AF87" s="32">
        <f t="shared" si="45"/>
        <v>846.10000000000036</v>
      </c>
      <c r="AG87" s="30"/>
      <c r="AH87" s="33"/>
      <c r="AI87" s="34">
        <f t="shared" si="46"/>
        <v>0</v>
      </c>
      <c r="AJ87" s="35">
        <v>46243</v>
      </c>
      <c r="AK87" s="30">
        <v>1</v>
      </c>
      <c r="AL87" s="36">
        <f t="shared" si="47"/>
        <v>8461</v>
      </c>
      <c r="AM87" s="35">
        <v>46251</v>
      </c>
      <c r="AN87" s="30">
        <v>1</v>
      </c>
      <c r="AO87" s="36">
        <f t="shared" si="48"/>
        <v>8461</v>
      </c>
      <c r="AP87" s="35"/>
      <c r="AQ87" s="30"/>
      <c r="AR87" s="36">
        <f t="shared" si="49"/>
        <v>0</v>
      </c>
      <c r="AS87" s="27"/>
      <c r="AT87" s="37"/>
      <c r="AU87" s="30"/>
      <c r="AV87" s="36">
        <f t="shared" si="50"/>
        <v>0</v>
      </c>
      <c r="AW87" s="35"/>
      <c r="AX87" s="30"/>
      <c r="AY87" s="32">
        <f t="shared" si="51"/>
        <v>0</v>
      </c>
      <c r="AZ87" s="30" t="s">
        <v>841</v>
      </c>
      <c r="BA87" s="63"/>
      <c r="BB87" s="71" t="e">
        <f>SUMIFS([1]Form!$F$9:$F$22,[1]Form!$K$9:$K$22,K87)</f>
        <v>#VALUE!</v>
      </c>
      <c r="BC87" s="71"/>
      <c r="BD87" s="71"/>
    </row>
    <row r="88" spans="1:56" x14ac:dyDescent="0.25">
      <c r="A88" s="24">
        <f>IF(B88="","",SUBTOTAL(3,$B$4:B88))</f>
        <v>85</v>
      </c>
      <c r="B88" s="25" t="s">
        <v>840</v>
      </c>
      <c r="C88" s="25" t="str">
        <f t="shared" si="43"/>
        <v>Shipment 1 B-10124 Fired Proces Heater</v>
      </c>
      <c r="D88" s="25" t="s">
        <v>839</v>
      </c>
      <c r="E88" s="25" t="s">
        <v>838</v>
      </c>
      <c r="F88" s="25"/>
      <c r="G88" s="65"/>
      <c r="H88" s="25" t="s">
        <v>842</v>
      </c>
      <c r="I88" s="25"/>
      <c r="J88" s="26" t="s">
        <v>843</v>
      </c>
      <c r="K88" s="27" t="s">
        <v>187</v>
      </c>
      <c r="L88" s="28" t="s">
        <v>188</v>
      </c>
      <c r="M88" s="28" t="s">
        <v>726</v>
      </c>
      <c r="N88" s="25">
        <v>1</v>
      </c>
      <c r="O88" s="29">
        <v>8497.4</v>
      </c>
      <c r="P88" s="29">
        <v>8497.4</v>
      </c>
      <c r="Q88" s="25" t="s">
        <v>1158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44"/>
        <v>7647.66</v>
      </c>
      <c r="AF88" s="32">
        <f t="shared" si="45"/>
        <v>849.73999999999978</v>
      </c>
      <c r="AG88" s="30"/>
      <c r="AH88" s="33"/>
      <c r="AI88" s="34">
        <f t="shared" si="46"/>
        <v>0</v>
      </c>
      <c r="AJ88" s="35">
        <v>46246</v>
      </c>
      <c r="AK88" s="30">
        <v>1</v>
      </c>
      <c r="AL88" s="36">
        <f t="shared" si="47"/>
        <v>8497.4</v>
      </c>
      <c r="AM88" s="35">
        <v>46258</v>
      </c>
      <c r="AN88" s="30">
        <v>1</v>
      </c>
      <c r="AO88" s="36">
        <f t="shared" si="48"/>
        <v>8497.4</v>
      </c>
      <c r="AP88" s="35"/>
      <c r="AQ88" s="30"/>
      <c r="AR88" s="36">
        <f t="shared" si="49"/>
        <v>0</v>
      </c>
      <c r="AS88" s="27"/>
      <c r="AT88" s="37"/>
      <c r="AU88" s="30"/>
      <c r="AV88" s="36">
        <f t="shared" si="50"/>
        <v>0</v>
      </c>
      <c r="AW88" s="35"/>
      <c r="AX88" s="30"/>
      <c r="AY88" s="32">
        <f t="shared" si="51"/>
        <v>0</v>
      </c>
      <c r="AZ88" s="30" t="s">
        <v>841</v>
      </c>
      <c r="BA88" s="63"/>
      <c r="BB88" s="71" t="e">
        <f>SUMIFS([1]Form!$F$9:$F$22,[1]Form!$K$9:$K$22,K88)</f>
        <v>#VALUE!</v>
      </c>
      <c r="BC88" s="71"/>
      <c r="BD88" s="71"/>
    </row>
    <row r="89" spans="1:56" x14ac:dyDescent="0.25">
      <c r="A89" s="24">
        <f>IF(B89="","",SUBTOTAL(3,$B$4:B89))</f>
        <v>86</v>
      </c>
      <c r="B89" s="25" t="s">
        <v>840</v>
      </c>
      <c r="C89" s="25" t="str">
        <f t="shared" si="43"/>
        <v>Shipment 1 B-10124 Fired Proces Heater</v>
      </c>
      <c r="D89" s="25" t="s">
        <v>839</v>
      </c>
      <c r="E89" s="25" t="s">
        <v>838</v>
      </c>
      <c r="F89" s="25"/>
      <c r="G89" s="65"/>
      <c r="H89" s="25" t="s">
        <v>842</v>
      </c>
      <c r="I89" s="25"/>
      <c r="J89" s="26" t="s">
        <v>843</v>
      </c>
      <c r="K89" s="27" t="s">
        <v>189</v>
      </c>
      <c r="L89" s="28" t="s">
        <v>190</v>
      </c>
      <c r="M89" s="28" t="s">
        <v>727</v>
      </c>
      <c r="N89" s="25">
        <v>1</v>
      </c>
      <c r="O89" s="29">
        <v>5534.5</v>
      </c>
      <c r="P89" s="29">
        <v>5534.5</v>
      </c>
      <c r="Q89" s="25" t="s">
        <v>1159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44"/>
        <v>4981.05</v>
      </c>
      <c r="AF89" s="32">
        <f t="shared" si="45"/>
        <v>553.44999999999982</v>
      </c>
      <c r="AG89" s="30"/>
      <c r="AH89" s="33"/>
      <c r="AI89" s="34">
        <f t="shared" si="46"/>
        <v>0</v>
      </c>
      <c r="AJ89" s="35">
        <v>46250</v>
      </c>
      <c r="AK89" s="30">
        <v>1</v>
      </c>
      <c r="AL89" s="36">
        <f t="shared" si="47"/>
        <v>5534.5</v>
      </c>
      <c r="AM89" s="35">
        <v>46259</v>
      </c>
      <c r="AN89" s="30">
        <v>1</v>
      </c>
      <c r="AO89" s="36">
        <f t="shared" si="48"/>
        <v>5534.5</v>
      </c>
      <c r="AP89" s="35"/>
      <c r="AQ89" s="30"/>
      <c r="AR89" s="36">
        <f t="shared" si="49"/>
        <v>0</v>
      </c>
      <c r="AS89" s="27"/>
      <c r="AT89" s="37"/>
      <c r="AU89" s="30"/>
      <c r="AV89" s="36">
        <f t="shared" si="50"/>
        <v>0</v>
      </c>
      <c r="AW89" s="35"/>
      <c r="AX89" s="30"/>
      <c r="AY89" s="32">
        <f t="shared" si="51"/>
        <v>0</v>
      </c>
      <c r="AZ89" s="30" t="s">
        <v>841</v>
      </c>
      <c r="BA89" s="63"/>
      <c r="BB89" s="71" t="e">
        <f>SUMIFS([1]Form!$F$9:$F$22,[1]Form!$K$9:$K$22,K89)</f>
        <v>#VALUE!</v>
      </c>
      <c r="BC89" s="71"/>
      <c r="BD89" s="71"/>
    </row>
    <row r="90" spans="1:56" x14ac:dyDescent="0.25">
      <c r="A90" s="24">
        <f>IF(B90="","",SUBTOTAL(3,$B$4:B90))</f>
        <v>87</v>
      </c>
      <c r="B90" s="25" t="s">
        <v>840</v>
      </c>
      <c r="C90" s="25" t="str">
        <f t="shared" si="43"/>
        <v>Shipment 1 B-10124 Fired Proces Heater</v>
      </c>
      <c r="D90" s="25" t="s">
        <v>839</v>
      </c>
      <c r="E90" s="25" t="s">
        <v>838</v>
      </c>
      <c r="F90" s="25"/>
      <c r="G90" s="65"/>
      <c r="H90" s="25" t="s">
        <v>842</v>
      </c>
      <c r="I90" s="25"/>
      <c r="J90" s="26" t="s">
        <v>843</v>
      </c>
      <c r="K90" s="27" t="s">
        <v>191</v>
      </c>
      <c r="L90" s="28" t="s">
        <v>192</v>
      </c>
      <c r="M90" s="28" t="s">
        <v>708</v>
      </c>
      <c r="N90" s="25">
        <v>1</v>
      </c>
      <c r="O90" s="29">
        <v>5546.4</v>
      </c>
      <c r="P90" s="29">
        <v>5546.4</v>
      </c>
      <c r="Q90" s="25" t="s">
        <v>1159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44"/>
        <v>4991.76</v>
      </c>
      <c r="AF90" s="32">
        <f t="shared" si="45"/>
        <v>554.63999999999942</v>
      </c>
      <c r="AG90" s="30"/>
      <c r="AH90" s="33"/>
      <c r="AI90" s="34">
        <f t="shared" si="46"/>
        <v>0</v>
      </c>
      <c r="AJ90" s="35">
        <v>46269</v>
      </c>
      <c r="AK90" s="30">
        <v>1</v>
      </c>
      <c r="AL90" s="36">
        <f t="shared" si="47"/>
        <v>5546.4</v>
      </c>
      <c r="AM90" s="35">
        <v>46274</v>
      </c>
      <c r="AN90" s="30">
        <v>1</v>
      </c>
      <c r="AO90" s="36">
        <f t="shared" si="48"/>
        <v>5546.4</v>
      </c>
      <c r="AP90" s="35"/>
      <c r="AQ90" s="30"/>
      <c r="AR90" s="36">
        <f t="shared" si="49"/>
        <v>0</v>
      </c>
      <c r="AS90" s="27"/>
      <c r="AT90" s="37"/>
      <c r="AU90" s="30"/>
      <c r="AV90" s="36">
        <f t="shared" si="50"/>
        <v>0</v>
      </c>
      <c r="AW90" s="35"/>
      <c r="AX90" s="30"/>
      <c r="AY90" s="32">
        <f t="shared" si="51"/>
        <v>0</v>
      </c>
      <c r="AZ90" s="30" t="s">
        <v>841</v>
      </c>
      <c r="BA90" s="63"/>
      <c r="BB90" s="71" t="e">
        <f>SUMIFS([1]Form!$F$9:$F$22,[1]Form!$K$9:$K$22,K90)</f>
        <v>#VALUE!</v>
      </c>
      <c r="BC90" s="71"/>
      <c r="BD90" s="71"/>
    </row>
    <row r="91" spans="1:56" x14ac:dyDescent="0.25">
      <c r="A91" s="24">
        <f>IF(B91="","",SUBTOTAL(3,$B$4:B91))</f>
        <v>88</v>
      </c>
      <c r="B91" s="25" t="s">
        <v>840</v>
      </c>
      <c r="C91" s="25" t="str">
        <f t="shared" si="43"/>
        <v>Shipment 1 B-10124 Fired Proces Heater</v>
      </c>
      <c r="D91" s="25" t="s">
        <v>839</v>
      </c>
      <c r="E91" s="25" t="s">
        <v>838</v>
      </c>
      <c r="F91" s="25"/>
      <c r="G91" s="65"/>
      <c r="H91" s="25" t="s">
        <v>842</v>
      </c>
      <c r="I91" s="25"/>
      <c r="J91" s="26" t="s">
        <v>843</v>
      </c>
      <c r="K91" s="27" t="s">
        <v>193</v>
      </c>
      <c r="L91" s="28" t="s">
        <v>194</v>
      </c>
      <c r="M91" s="28" t="s">
        <v>708</v>
      </c>
      <c r="N91" s="25">
        <v>1</v>
      </c>
      <c r="O91" s="29">
        <v>5516.6</v>
      </c>
      <c r="P91" s="29">
        <v>5516.6</v>
      </c>
      <c r="Q91" s="25" t="s">
        <v>1159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44"/>
        <v>4964.9400000000005</v>
      </c>
      <c r="AF91" s="32">
        <f t="shared" si="45"/>
        <v>551.65999999999985</v>
      </c>
      <c r="AG91" s="30"/>
      <c r="AH91" s="33"/>
      <c r="AI91" s="34">
        <f t="shared" si="46"/>
        <v>0</v>
      </c>
      <c r="AJ91" s="35">
        <v>46274</v>
      </c>
      <c r="AK91" s="30">
        <v>1</v>
      </c>
      <c r="AL91" s="36">
        <f t="shared" si="47"/>
        <v>5516.6</v>
      </c>
      <c r="AM91" s="35">
        <v>46286</v>
      </c>
      <c r="AN91" s="30">
        <v>1</v>
      </c>
      <c r="AO91" s="36">
        <f t="shared" si="48"/>
        <v>5516.6</v>
      </c>
      <c r="AP91" s="35"/>
      <c r="AQ91" s="30"/>
      <c r="AR91" s="36">
        <f t="shared" si="49"/>
        <v>0</v>
      </c>
      <c r="AS91" s="27"/>
      <c r="AT91" s="37"/>
      <c r="AU91" s="30"/>
      <c r="AV91" s="36">
        <f t="shared" si="50"/>
        <v>0</v>
      </c>
      <c r="AW91" s="35"/>
      <c r="AX91" s="30"/>
      <c r="AY91" s="32">
        <f t="shared" si="51"/>
        <v>0</v>
      </c>
      <c r="AZ91" s="30" t="s">
        <v>841</v>
      </c>
      <c r="BA91" s="63"/>
      <c r="BB91" s="71" t="e">
        <f>SUMIFS([1]Form!$F$9:$F$22,[1]Form!$K$9:$K$22,K91)</f>
        <v>#VALUE!</v>
      </c>
      <c r="BC91" s="71"/>
      <c r="BD91" s="71"/>
    </row>
    <row r="92" spans="1:56" x14ac:dyDescent="0.25">
      <c r="A92" s="24">
        <f>IF(B92="","",SUBTOTAL(3,$B$4:B92))</f>
        <v>89</v>
      </c>
      <c r="B92" s="25" t="s">
        <v>840</v>
      </c>
      <c r="C92" s="25" t="str">
        <f t="shared" ref="C92:C155" si="56">D92&amp;" "&amp;E92</f>
        <v>Shipment 1 B-10124 Fired Proces Heater</v>
      </c>
      <c r="D92" s="25" t="s">
        <v>839</v>
      </c>
      <c r="E92" s="25" t="s">
        <v>838</v>
      </c>
      <c r="F92" s="25"/>
      <c r="G92" s="65"/>
      <c r="H92" s="25" t="s">
        <v>842</v>
      </c>
      <c r="I92" s="25"/>
      <c r="J92" s="26" t="s">
        <v>843</v>
      </c>
      <c r="K92" s="27" t="s">
        <v>195</v>
      </c>
      <c r="L92" s="28" t="s">
        <v>196</v>
      </c>
      <c r="M92" s="28" t="s">
        <v>727</v>
      </c>
      <c r="N92" s="25">
        <v>1</v>
      </c>
      <c r="O92" s="29">
        <v>5511.9</v>
      </c>
      <c r="P92" s="29">
        <v>5511.9</v>
      </c>
      <c r="Q92" s="25" t="s">
        <v>1159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44"/>
        <v>4960.7099999999991</v>
      </c>
      <c r="AF92" s="32">
        <f t="shared" si="45"/>
        <v>551.19000000000051</v>
      </c>
      <c r="AG92" s="30"/>
      <c r="AH92" s="33"/>
      <c r="AI92" s="34">
        <f t="shared" si="46"/>
        <v>0</v>
      </c>
      <c r="AJ92" s="35">
        <v>46252</v>
      </c>
      <c r="AK92" s="30">
        <v>1</v>
      </c>
      <c r="AL92" s="36">
        <f t="shared" si="47"/>
        <v>5511.9</v>
      </c>
      <c r="AM92" s="35">
        <v>46276</v>
      </c>
      <c r="AN92" s="30">
        <v>1</v>
      </c>
      <c r="AO92" s="36">
        <f t="shared" si="48"/>
        <v>5511.9</v>
      </c>
      <c r="AP92" s="35"/>
      <c r="AQ92" s="30"/>
      <c r="AR92" s="36">
        <f t="shared" si="49"/>
        <v>0</v>
      </c>
      <c r="AS92" s="27"/>
      <c r="AT92" s="37"/>
      <c r="AU92" s="30"/>
      <c r="AV92" s="36">
        <f t="shared" si="50"/>
        <v>0</v>
      </c>
      <c r="AW92" s="35"/>
      <c r="AX92" s="30"/>
      <c r="AY92" s="32">
        <f t="shared" si="51"/>
        <v>0</v>
      </c>
      <c r="AZ92" s="30" t="s">
        <v>841</v>
      </c>
      <c r="BA92" s="63"/>
      <c r="BB92" s="71" t="e">
        <f>SUMIFS([1]Form!$F$9:$F$22,[1]Form!$K$9:$K$22,K92)</f>
        <v>#VALUE!</v>
      </c>
      <c r="BC92" s="71"/>
      <c r="BD92" s="71"/>
    </row>
    <row r="93" spans="1:56" x14ac:dyDescent="0.25">
      <c r="A93" s="24">
        <f>IF(B93="","",SUBTOTAL(3,$B$4:B93))</f>
        <v>90</v>
      </c>
      <c r="B93" s="25" t="s">
        <v>840</v>
      </c>
      <c r="C93" s="25" t="str">
        <f t="shared" si="56"/>
        <v>Shipment 1 B-10124 Fired Proces Heater</v>
      </c>
      <c r="D93" s="25" t="s">
        <v>839</v>
      </c>
      <c r="E93" s="25" t="s">
        <v>838</v>
      </c>
      <c r="F93" s="25"/>
      <c r="G93" s="65"/>
      <c r="H93" s="25" t="s">
        <v>842</v>
      </c>
      <c r="I93" s="25"/>
      <c r="J93" s="26" t="s">
        <v>843</v>
      </c>
      <c r="K93" s="27" t="s">
        <v>197</v>
      </c>
      <c r="L93" s="28" t="s">
        <v>198</v>
      </c>
      <c r="M93" s="28" t="s">
        <v>728</v>
      </c>
      <c r="N93" s="25">
        <v>1</v>
      </c>
      <c r="O93" s="29">
        <v>5628.4</v>
      </c>
      <c r="P93" s="29">
        <v>5628.4</v>
      </c>
      <c r="Q93" s="25" t="s">
        <v>1160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44"/>
        <v>5065.5599999999995</v>
      </c>
      <c r="AF93" s="32">
        <f t="shared" si="45"/>
        <v>562.84000000000015</v>
      </c>
      <c r="AG93" s="30"/>
      <c r="AH93" s="33"/>
      <c r="AI93" s="34">
        <f t="shared" si="46"/>
        <v>0</v>
      </c>
      <c r="AJ93" s="35">
        <v>46247</v>
      </c>
      <c r="AK93" s="30">
        <v>1</v>
      </c>
      <c r="AL93" s="36">
        <f t="shared" si="47"/>
        <v>5628.4</v>
      </c>
      <c r="AM93" s="35">
        <v>46261</v>
      </c>
      <c r="AN93" s="30">
        <v>1</v>
      </c>
      <c r="AO93" s="36">
        <f t="shared" si="48"/>
        <v>5628.4</v>
      </c>
      <c r="AP93" s="35"/>
      <c r="AQ93" s="30"/>
      <c r="AR93" s="36">
        <f t="shared" si="49"/>
        <v>0</v>
      </c>
      <c r="AS93" s="27"/>
      <c r="AT93" s="37"/>
      <c r="AU93" s="30"/>
      <c r="AV93" s="36">
        <f t="shared" si="50"/>
        <v>0</v>
      </c>
      <c r="AW93" s="35"/>
      <c r="AX93" s="30"/>
      <c r="AY93" s="32">
        <f t="shared" si="51"/>
        <v>0</v>
      </c>
      <c r="AZ93" s="30" t="s">
        <v>841</v>
      </c>
      <c r="BA93" s="63"/>
      <c r="BB93" s="71" t="e">
        <f>SUMIFS([1]Form!$F$9:$F$22,[1]Form!$K$9:$K$22,K93)</f>
        <v>#VALUE!</v>
      </c>
      <c r="BC93" s="71"/>
      <c r="BD93" s="71"/>
    </row>
    <row r="94" spans="1:56" x14ac:dyDescent="0.25">
      <c r="A94" s="24">
        <f>IF(B94="","",SUBTOTAL(3,$B$4:B94))</f>
        <v>91</v>
      </c>
      <c r="B94" s="25" t="s">
        <v>840</v>
      </c>
      <c r="C94" s="25" t="str">
        <f t="shared" si="56"/>
        <v>Shipment 1 B-10124 Fired Proces Heater</v>
      </c>
      <c r="D94" s="25" t="s">
        <v>839</v>
      </c>
      <c r="E94" s="25" t="s">
        <v>838</v>
      </c>
      <c r="F94" s="25"/>
      <c r="G94" s="65"/>
      <c r="H94" s="25" t="s">
        <v>842</v>
      </c>
      <c r="I94" s="25"/>
      <c r="J94" s="26" t="s">
        <v>843</v>
      </c>
      <c r="K94" s="27" t="s">
        <v>199</v>
      </c>
      <c r="L94" s="28" t="s">
        <v>200</v>
      </c>
      <c r="M94" s="28" t="s">
        <v>728</v>
      </c>
      <c r="N94" s="25">
        <v>1</v>
      </c>
      <c r="O94" s="29">
        <v>5626.2</v>
      </c>
      <c r="P94" s="29">
        <v>5626.2</v>
      </c>
      <c r="Q94" s="25" t="s">
        <v>1160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44"/>
        <v>5063.58</v>
      </c>
      <c r="AF94" s="32">
        <f t="shared" si="45"/>
        <v>562.61999999999989</v>
      </c>
      <c r="AG94" s="30"/>
      <c r="AH94" s="33"/>
      <c r="AI94" s="34">
        <f t="shared" si="46"/>
        <v>0</v>
      </c>
      <c r="AJ94" s="35">
        <v>46249</v>
      </c>
      <c r="AK94" s="30">
        <v>1</v>
      </c>
      <c r="AL94" s="36">
        <f t="shared" si="47"/>
        <v>5626.2</v>
      </c>
      <c r="AM94" s="35">
        <v>46264</v>
      </c>
      <c r="AN94" s="30">
        <v>1</v>
      </c>
      <c r="AO94" s="36">
        <f t="shared" si="48"/>
        <v>5626.2</v>
      </c>
      <c r="AP94" s="35"/>
      <c r="AQ94" s="30"/>
      <c r="AR94" s="36">
        <f t="shared" si="49"/>
        <v>0</v>
      </c>
      <c r="AS94" s="27"/>
      <c r="AT94" s="37"/>
      <c r="AU94" s="30"/>
      <c r="AV94" s="36">
        <f t="shared" si="50"/>
        <v>0</v>
      </c>
      <c r="AW94" s="35"/>
      <c r="AX94" s="30"/>
      <c r="AY94" s="32">
        <f t="shared" si="51"/>
        <v>0</v>
      </c>
      <c r="AZ94" s="30" t="s">
        <v>841</v>
      </c>
      <c r="BA94" s="63"/>
      <c r="BB94" s="71" t="e">
        <f>SUMIFS([1]Form!$F$9:$F$22,[1]Form!$K$9:$K$22,K94)</f>
        <v>#VALUE!</v>
      </c>
      <c r="BC94" s="71"/>
      <c r="BD94" s="71"/>
    </row>
    <row r="95" spans="1:56" x14ac:dyDescent="0.25">
      <c r="A95" s="24">
        <f>IF(B95="","",SUBTOTAL(3,$B$4:B95))</f>
        <v>92</v>
      </c>
      <c r="B95" s="25" t="s">
        <v>840</v>
      </c>
      <c r="C95" s="25" t="str">
        <f t="shared" si="56"/>
        <v>Shipment 1 B-10124 Fired Proces Heater</v>
      </c>
      <c r="D95" s="25" t="s">
        <v>839</v>
      </c>
      <c r="E95" s="25" t="s">
        <v>838</v>
      </c>
      <c r="F95" s="25"/>
      <c r="G95" s="65"/>
      <c r="H95" s="25" t="s">
        <v>842</v>
      </c>
      <c r="I95" s="25"/>
      <c r="J95" s="26" t="s">
        <v>843</v>
      </c>
      <c r="K95" s="27" t="s">
        <v>201</v>
      </c>
      <c r="L95" s="28" t="s">
        <v>202</v>
      </c>
      <c r="M95" s="28" t="s">
        <v>729</v>
      </c>
      <c r="N95" s="25">
        <v>1</v>
      </c>
      <c r="O95" s="29">
        <v>4407.5</v>
      </c>
      <c r="P95" s="29">
        <v>4407.5</v>
      </c>
      <c r="Q95" s="25" t="s">
        <v>730</v>
      </c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44"/>
        <v>3966.75</v>
      </c>
      <c r="AF95" s="32">
        <f t="shared" si="45"/>
        <v>440.75</v>
      </c>
      <c r="AG95" s="30"/>
      <c r="AH95" s="33"/>
      <c r="AI95" s="34">
        <f t="shared" si="46"/>
        <v>0</v>
      </c>
      <c r="AJ95" s="35">
        <v>46259</v>
      </c>
      <c r="AK95" s="30">
        <v>1</v>
      </c>
      <c r="AL95" s="36">
        <f t="shared" si="47"/>
        <v>4407.5</v>
      </c>
      <c r="AM95" s="35">
        <v>46277</v>
      </c>
      <c r="AN95" s="30">
        <v>1</v>
      </c>
      <c r="AO95" s="36">
        <f t="shared" si="48"/>
        <v>4407.5</v>
      </c>
      <c r="AP95" s="35"/>
      <c r="AQ95" s="30"/>
      <c r="AR95" s="36">
        <f t="shared" si="49"/>
        <v>0</v>
      </c>
      <c r="AS95" s="27"/>
      <c r="AT95" s="37"/>
      <c r="AU95" s="30"/>
      <c r="AV95" s="36">
        <f t="shared" si="50"/>
        <v>0</v>
      </c>
      <c r="AW95" s="35"/>
      <c r="AX95" s="30"/>
      <c r="AY95" s="32">
        <f t="shared" si="51"/>
        <v>0</v>
      </c>
      <c r="AZ95" s="30" t="s">
        <v>841</v>
      </c>
      <c r="BA95" s="63"/>
      <c r="BB95" s="71" t="e">
        <f>SUMIFS([1]Form!$F$9:$F$22,[1]Form!$K$9:$K$22,K95)</f>
        <v>#VALUE!</v>
      </c>
      <c r="BC95" s="71"/>
      <c r="BD95" s="71"/>
    </row>
    <row r="96" spans="1:56" x14ac:dyDescent="0.25">
      <c r="A96" s="24">
        <f>IF(B96="","",SUBTOTAL(3,$B$4:B96))</f>
        <v>93</v>
      </c>
      <c r="B96" s="25" t="s">
        <v>840</v>
      </c>
      <c r="C96" s="25" t="str">
        <f t="shared" si="56"/>
        <v>Shipment 1 B-10124 Fired Proces Heater</v>
      </c>
      <c r="D96" s="25" t="s">
        <v>839</v>
      </c>
      <c r="E96" s="25" t="s">
        <v>838</v>
      </c>
      <c r="F96" s="25"/>
      <c r="G96" s="65"/>
      <c r="H96" s="25" t="s">
        <v>842</v>
      </c>
      <c r="I96" s="25"/>
      <c r="J96" s="26" t="s">
        <v>843</v>
      </c>
      <c r="K96" s="27" t="s">
        <v>203</v>
      </c>
      <c r="L96" s="28" t="s">
        <v>204</v>
      </c>
      <c r="M96" s="28" t="s">
        <v>728</v>
      </c>
      <c r="N96" s="25">
        <v>1</v>
      </c>
      <c r="O96" s="29">
        <v>5660.8</v>
      </c>
      <c r="P96" s="29">
        <v>5660.8</v>
      </c>
      <c r="Q96" s="25" t="s">
        <v>1161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44"/>
        <v>5094.72</v>
      </c>
      <c r="AF96" s="32">
        <f t="shared" si="45"/>
        <v>566.07999999999993</v>
      </c>
      <c r="AG96" s="30"/>
      <c r="AH96" s="33"/>
      <c r="AI96" s="34">
        <f t="shared" si="46"/>
        <v>0</v>
      </c>
      <c r="AJ96" s="35">
        <v>46261</v>
      </c>
      <c r="AK96" s="30">
        <v>1</v>
      </c>
      <c r="AL96" s="36">
        <f t="shared" si="47"/>
        <v>5660.8</v>
      </c>
      <c r="AM96" s="35">
        <v>46280</v>
      </c>
      <c r="AN96" s="30">
        <v>1</v>
      </c>
      <c r="AO96" s="36">
        <f t="shared" si="48"/>
        <v>5660.8</v>
      </c>
      <c r="AP96" s="35"/>
      <c r="AQ96" s="30"/>
      <c r="AR96" s="36">
        <f t="shared" si="49"/>
        <v>0</v>
      </c>
      <c r="AS96" s="27"/>
      <c r="AT96" s="37"/>
      <c r="AU96" s="30"/>
      <c r="AV96" s="36">
        <f t="shared" si="50"/>
        <v>0</v>
      </c>
      <c r="AW96" s="35"/>
      <c r="AX96" s="30"/>
      <c r="AY96" s="32">
        <f t="shared" si="51"/>
        <v>0</v>
      </c>
      <c r="AZ96" s="30" t="s">
        <v>841</v>
      </c>
      <c r="BA96" s="63"/>
      <c r="BB96" s="71" t="e">
        <f>SUMIFS([1]Form!$F$9:$F$22,[1]Form!$K$9:$K$22,K96)</f>
        <v>#VALUE!</v>
      </c>
      <c r="BC96" s="71"/>
      <c r="BD96" s="71"/>
    </row>
    <row r="97" spans="1:56" x14ac:dyDescent="0.25">
      <c r="A97" s="24">
        <f>IF(B97="","",SUBTOTAL(3,$B$4:B97))</f>
        <v>94</v>
      </c>
      <c r="B97" s="25" t="s">
        <v>840</v>
      </c>
      <c r="C97" s="25" t="str">
        <f t="shared" si="56"/>
        <v>Shipment 1 B-10124 Fired Proces Heater</v>
      </c>
      <c r="D97" s="25" t="s">
        <v>839</v>
      </c>
      <c r="E97" s="25" t="s">
        <v>838</v>
      </c>
      <c r="F97" s="25"/>
      <c r="G97" s="65"/>
      <c r="H97" s="25" t="s">
        <v>842</v>
      </c>
      <c r="I97" s="25"/>
      <c r="J97" s="26" t="s">
        <v>843</v>
      </c>
      <c r="K97" s="27" t="s">
        <v>205</v>
      </c>
      <c r="L97" s="28" t="s">
        <v>206</v>
      </c>
      <c r="M97" s="28" t="s">
        <v>728</v>
      </c>
      <c r="N97" s="25">
        <v>1</v>
      </c>
      <c r="O97" s="29">
        <v>5637.5</v>
      </c>
      <c r="P97" s="29">
        <v>5637.5</v>
      </c>
      <c r="Q97" s="25" t="s">
        <v>1161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44"/>
        <v>5073.75</v>
      </c>
      <c r="AF97" s="32">
        <f t="shared" si="45"/>
        <v>563.75</v>
      </c>
      <c r="AG97" s="30"/>
      <c r="AH97" s="33"/>
      <c r="AI97" s="34">
        <f t="shared" si="46"/>
        <v>0</v>
      </c>
      <c r="AJ97" s="35">
        <v>46263</v>
      </c>
      <c r="AK97" s="30">
        <v>1</v>
      </c>
      <c r="AL97" s="36">
        <f t="shared" si="47"/>
        <v>5637.5</v>
      </c>
      <c r="AM97" s="35">
        <v>46280</v>
      </c>
      <c r="AN97" s="30">
        <v>1</v>
      </c>
      <c r="AO97" s="36">
        <f t="shared" si="48"/>
        <v>5637.5</v>
      </c>
      <c r="AP97" s="35"/>
      <c r="AQ97" s="30"/>
      <c r="AR97" s="36">
        <f t="shared" si="49"/>
        <v>0</v>
      </c>
      <c r="AS97" s="27"/>
      <c r="AT97" s="37"/>
      <c r="AU97" s="30"/>
      <c r="AV97" s="36">
        <f t="shared" si="50"/>
        <v>0</v>
      </c>
      <c r="AW97" s="35"/>
      <c r="AX97" s="30"/>
      <c r="AY97" s="32">
        <f t="shared" si="51"/>
        <v>0</v>
      </c>
      <c r="AZ97" s="30" t="s">
        <v>841</v>
      </c>
      <c r="BA97" s="63"/>
      <c r="BB97" s="71" t="e">
        <f>SUMIFS([1]Form!$F$9:$F$22,[1]Form!$K$9:$K$22,K97)</f>
        <v>#VALUE!</v>
      </c>
      <c r="BC97" s="71"/>
      <c r="BD97" s="71"/>
    </row>
    <row r="98" spans="1:56" x14ac:dyDescent="0.25">
      <c r="A98" s="24">
        <f>IF(B98="","",SUBTOTAL(3,$B$4:B98))</f>
        <v>95</v>
      </c>
      <c r="B98" s="25" t="s">
        <v>840</v>
      </c>
      <c r="C98" s="25" t="str">
        <f t="shared" si="56"/>
        <v>Shipment 1 B-10124 Fired Proces Heater</v>
      </c>
      <c r="D98" s="25" t="s">
        <v>839</v>
      </c>
      <c r="E98" s="25" t="s">
        <v>838</v>
      </c>
      <c r="F98" s="25"/>
      <c r="G98" s="65"/>
      <c r="H98" s="25" t="s">
        <v>842</v>
      </c>
      <c r="I98" s="25"/>
      <c r="J98" s="26" t="s">
        <v>843</v>
      </c>
      <c r="K98" s="27" t="s">
        <v>207</v>
      </c>
      <c r="L98" s="28" t="s">
        <v>208</v>
      </c>
      <c r="M98" s="28" t="s">
        <v>731</v>
      </c>
      <c r="N98" s="25">
        <v>1</v>
      </c>
      <c r="O98" s="29">
        <v>8350.0000000000018</v>
      </c>
      <c r="P98" s="29">
        <v>8350.0000000000018</v>
      </c>
      <c r="Q98" s="25" t="s">
        <v>1162</v>
      </c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44"/>
        <v>7515.0000000000018</v>
      </c>
      <c r="AF98" s="32">
        <f t="shared" si="45"/>
        <v>835</v>
      </c>
      <c r="AG98" s="30"/>
      <c r="AH98" s="33"/>
      <c r="AI98" s="34">
        <f t="shared" si="46"/>
        <v>0</v>
      </c>
      <c r="AJ98" s="35">
        <v>46275</v>
      </c>
      <c r="AK98" s="30">
        <v>1</v>
      </c>
      <c r="AL98" s="36">
        <f t="shared" si="47"/>
        <v>8350.0000000000018</v>
      </c>
      <c r="AM98" s="35">
        <v>46280</v>
      </c>
      <c r="AN98" s="30">
        <v>1</v>
      </c>
      <c r="AO98" s="36">
        <f t="shared" si="48"/>
        <v>8350.0000000000018</v>
      </c>
      <c r="AP98" s="35"/>
      <c r="AQ98" s="30"/>
      <c r="AR98" s="36">
        <f t="shared" si="49"/>
        <v>0</v>
      </c>
      <c r="AS98" s="27"/>
      <c r="AT98" s="37"/>
      <c r="AU98" s="30"/>
      <c r="AV98" s="36">
        <f t="shared" si="50"/>
        <v>0</v>
      </c>
      <c r="AW98" s="35"/>
      <c r="AX98" s="30"/>
      <c r="AY98" s="32">
        <f t="shared" si="51"/>
        <v>0</v>
      </c>
      <c r="AZ98" s="30" t="s">
        <v>841</v>
      </c>
      <c r="BA98" s="63"/>
      <c r="BB98" s="71" t="e">
        <f>SUMIFS([1]Form!$F$9:$F$22,[1]Form!$K$9:$K$22,K98)</f>
        <v>#VALUE!</v>
      </c>
      <c r="BC98" s="71"/>
      <c r="BD98" s="71"/>
    </row>
    <row r="99" spans="1:56" x14ac:dyDescent="0.25">
      <c r="A99" s="24">
        <f>IF(B99="","",SUBTOTAL(3,$B$4:B99))</f>
        <v>96</v>
      </c>
      <c r="B99" s="25" t="s">
        <v>840</v>
      </c>
      <c r="C99" s="25" t="str">
        <f t="shared" si="56"/>
        <v>Shipment 1 B-10124 Fired Proces Heater</v>
      </c>
      <c r="D99" s="25" t="s">
        <v>839</v>
      </c>
      <c r="E99" s="25" t="s">
        <v>838</v>
      </c>
      <c r="F99" s="25"/>
      <c r="G99" s="65"/>
      <c r="H99" s="25" t="s">
        <v>842</v>
      </c>
      <c r="I99" s="25"/>
      <c r="J99" s="26" t="s">
        <v>843</v>
      </c>
      <c r="K99" s="27" t="s">
        <v>209</v>
      </c>
      <c r="L99" s="28" t="s">
        <v>210</v>
      </c>
      <c r="M99" s="28" t="s">
        <v>731</v>
      </c>
      <c r="N99" s="25">
        <v>1</v>
      </c>
      <c r="O99" s="29">
        <v>8352.5</v>
      </c>
      <c r="P99" s="29">
        <v>8352.5</v>
      </c>
      <c r="Q99" s="25" t="s">
        <v>1162</v>
      </c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44"/>
        <v>7517.25</v>
      </c>
      <c r="AF99" s="32">
        <f t="shared" si="45"/>
        <v>835.25</v>
      </c>
      <c r="AG99" s="30"/>
      <c r="AH99" s="33"/>
      <c r="AI99" s="34">
        <f t="shared" si="46"/>
        <v>0</v>
      </c>
      <c r="AJ99" s="35">
        <v>46279</v>
      </c>
      <c r="AK99" s="30">
        <v>1</v>
      </c>
      <c r="AL99" s="36">
        <f t="shared" si="47"/>
        <v>8352.5</v>
      </c>
      <c r="AM99" s="35">
        <v>46291</v>
      </c>
      <c r="AN99" s="30">
        <v>1</v>
      </c>
      <c r="AO99" s="36">
        <f t="shared" si="48"/>
        <v>8352.5</v>
      </c>
      <c r="AP99" s="35"/>
      <c r="AQ99" s="30"/>
      <c r="AR99" s="36">
        <f t="shared" si="49"/>
        <v>0</v>
      </c>
      <c r="AS99" s="27"/>
      <c r="AT99" s="37"/>
      <c r="AU99" s="30"/>
      <c r="AV99" s="36">
        <f t="shared" si="50"/>
        <v>0</v>
      </c>
      <c r="AW99" s="35"/>
      <c r="AX99" s="30"/>
      <c r="AY99" s="32">
        <f t="shared" si="51"/>
        <v>0</v>
      </c>
      <c r="AZ99" s="30" t="s">
        <v>841</v>
      </c>
      <c r="BA99" s="63"/>
      <c r="BB99" s="71" t="e">
        <f>SUMIFS([1]Form!$F$9:$F$22,[1]Form!$K$9:$K$22,K99)</f>
        <v>#VALUE!</v>
      </c>
      <c r="BC99" s="71"/>
      <c r="BD99" s="71"/>
    </row>
    <row r="100" spans="1:56" x14ac:dyDescent="0.25">
      <c r="A100" s="24">
        <f>IF(B100="","",SUBTOTAL(3,$B$4:B100))</f>
        <v>97</v>
      </c>
      <c r="B100" s="25" t="s">
        <v>840</v>
      </c>
      <c r="C100" s="25" t="str">
        <f t="shared" si="56"/>
        <v>Shipment 1 B-10124 Fired Proces Heater</v>
      </c>
      <c r="D100" s="25" t="s">
        <v>839</v>
      </c>
      <c r="E100" s="25" t="s">
        <v>838</v>
      </c>
      <c r="F100" s="25"/>
      <c r="G100" s="65"/>
      <c r="H100" s="25" t="s">
        <v>842</v>
      </c>
      <c r="I100" s="25"/>
      <c r="J100" s="26" t="s">
        <v>843</v>
      </c>
      <c r="K100" s="27" t="s">
        <v>211</v>
      </c>
      <c r="L100" s="28" t="s">
        <v>212</v>
      </c>
      <c r="M100" s="28" t="s">
        <v>718</v>
      </c>
      <c r="N100" s="25">
        <v>1</v>
      </c>
      <c r="O100" s="29">
        <v>3530.4</v>
      </c>
      <c r="P100" s="29">
        <v>3530.4</v>
      </c>
      <c r="Q100" s="25" t="s">
        <v>1163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44"/>
        <v>3530.4</v>
      </c>
      <c r="AF100" s="32">
        <f t="shared" si="45"/>
        <v>0</v>
      </c>
      <c r="AG100" s="30"/>
      <c r="AH100" s="33"/>
      <c r="AI100" s="34">
        <f t="shared" si="46"/>
        <v>0</v>
      </c>
      <c r="AJ100" s="35">
        <v>46218</v>
      </c>
      <c r="AK100" s="30">
        <v>1</v>
      </c>
      <c r="AL100" s="36">
        <f t="shared" si="47"/>
        <v>3530.4</v>
      </c>
      <c r="AM100" s="35">
        <v>46229</v>
      </c>
      <c r="AN100" s="30">
        <v>1</v>
      </c>
      <c r="AO100" s="36">
        <f t="shared" si="48"/>
        <v>3530.4</v>
      </c>
      <c r="AP100" s="35">
        <v>46276</v>
      </c>
      <c r="AQ100" s="30">
        <v>1</v>
      </c>
      <c r="AR100" s="36">
        <f t="shared" si="49"/>
        <v>3530.4</v>
      </c>
      <c r="AS100" s="27" t="s">
        <v>1151</v>
      </c>
      <c r="AT100" s="37">
        <v>46276</v>
      </c>
      <c r="AU100" s="30">
        <v>1</v>
      </c>
      <c r="AV100" s="36">
        <f t="shared" si="50"/>
        <v>3530.4</v>
      </c>
      <c r="AW100" s="35">
        <v>46281</v>
      </c>
      <c r="AX100" s="30">
        <v>1</v>
      </c>
      <c r="AY100" s="32">
        <f t="shared" ref="AY100:AY101" si="57">IFERROR(AX100*$P100/$N100,0)</f>
        <v>3530.4</v>
      </c>
      <c r="AZ100" s="30" t="s">
        <v>841</v>
      </c>
      <c r="BA100" s="63" t="s">
        <v>1151</v>
      </c>
      <c r="BB100" s="71"/>
      <c r="BC100" s="71"/>
      <c r="BD100" s="71"/>
    </row>
    <row r="101" spans="1:56" x14ac:dyDescent="0.25">
      <c r="A101" s="24">
        <f>IF(B101="","",SUBTOTAL(3,$B$4:B101))</f>
        <v>98</v>
      </c>
      <c r="B101" s="25" t="s">
        <v>840</v>
      </c>
      <c r="C101" s="25" t="str">
        <f t="shared" si="56"/>
        <v>Shipment 1 B-10124 Fired Proces Heater</v>
      </c>
      <c r="D101" s="25" t="s">
        <v>839</v>
      </c>
      <c r="E101" s="25" t="s">
        <v>838</v>
      </c>
      <c r="F101" s="25"/>
      <c r="G101" s="65"/>
      <c r="H101" s="25" t="s">
        <v>842</v>
      </c>
      <c r="I101" s="25"/>
      <c r="J101" s="26" t="s">
        <v>843</v>
      </c>
      <c r="K101" s="27" t="s">
        <v>213</v>
      </c>
      <c r="L101" s="28" t="s">
        <v>214</v>
      </c>
      <c r="M101" s="28" t="s">
        <v>718</v>
      </c>
      <c r="N101" s="25">
        <v>1</v>
      </c>
      <c r="O101" s="29">
        <v>3527.9</v>
      </c>
      <c r="P101" s="29">
        <v>3527.9</v>
      </c>
      <c r="Q101" s="25" t="s">
        <v>1156</v>
      </c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44"/>
        <v>3527.9</v>
      </c>
      <c r="AF101" s="32">
        <f t="shared" si="45"/>
        <v>0</v>
      </c>
      <c r="AG101" s="30"/>
      <c r="AH101" s="33"/>
      <c r="AI101" s="34">
        <f t="shared" si="46"/>
        <v>0</v>
      </c>
      <c r="AJ101" s="35">
        <v>46234</v>
      </c>
      <c r="AK101" s="30">
        <v>1</v>
      </c>
      <c r="AL101" s="36">
        <f t="shared" si="47"/>
        <v>3527.9</v>
      </c>
      <c r="AM101" s="35">
        <v>46270</v>
      </c>
      <c r="AN101" s="30">
        <v>1</v>
      </c>
      <c r="AO101" s="36">
        <f t="shared" si="48"/>
        <v>3527.9</v>
      </c>
      <c r="AP101" s="35">
        <v>46276</v>
      </c>
      <c r="AQ101" s="30">
        <v>1</v>
      </c>
      <c r="AR101" s="36">
        <f t="shared" si="49"/>
        <v>3527.9</v>
      </c>
      <c r="AS101" s="27" t="s">
        <v>1151</v>
      </c>
      <c r="AT101" s="37">
        <v>46276</v>
      </c>
      <c r="AU101" s="30">
        <v>1</v>
      </c>
      <c r="AV101" s="36">
        <f t="shared" si="50"/>
        <v>3527.9</v>
      </c>
      <c r="AW101" s="35">
        <v>46281</v>
      </c>
      <c r="AX101" s="30">
        <v>1</v>
      </c>
      <c r="AY101" s="32">
        <f t="shared" si="57"/>
        <v>3527.9</v>
      </c>
      <c r="AZ101" s="30" t="s">
        <v>841</v>
      </c>
      <c r="BA101" s="63" t="s">
        <v>1151</v>
      </c>
      <c r="BB101" s="71"/>
      <c r="BC101" s="71"/>
      <c r="BD101" s="71"/>
    </row>
    <row r="102" spans="1:56" x14ac:dyDescent="0.25">
      <c r="A102" s="24">
        <f>IF(B102="","",SUBTOTAL(3,$B$4:B102))</f>
        <v>99</v>
      </c>
      <c r="B102" s="25" t="s">
        <v>840</v>
      </c>
      <c r="C102" s="25" t="str">
        <f t="shared" si="56"/>
        <v>Shipment 1 B-10124 Fired Proces Heater</v>
      </c>
      <c r="D102" s="25" t="s">
        <v>839</v>
      </c>
      <c r="E102" s="25" t="s">
        <v>838</v>
      </c>
      <c r="F102" s="25"/>
      <c r="G102" s="65"/>
      <c r="H102" s="25" t="s">
        <v>842</v>
      </c>
      <c r="I102" s="25"/>
      <c r="J102" s="26" t="s">
        <v>843</v>
      </c>
      <c r="K102" s="27" t="s">
        <v>215</v>
      </c>
      <c r="L102" s="28" t="s">
        <v>216</v>
      </c>
      <c r="M102" s="28" t="s">
        <v>732</v>
      </c>
      <c r="N102" s="25">
        <v>1</v>
      </c>
      <c r="O102" s="29">
        <v>47.35</v>
      </c>
      <c r="P102" s="29">
        <v>47.35</v>
      </c>
      <c r="Q102" s="25" t="s">
        <v>733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44"/>
        <v>0</v>
      </c>
      <c r="AF102" s="32">
        <f t="shared" si="45"/>
        <v>47.35</v>
      </c>
      <c r="AG102" s="30"/>
      <c r="AH102" s="33"/>
      <c r="AI102" s="34">
        <f t="shared" si="46"/>
        <v>0</v>
      </c>
      <c r="AJ102" s="35"/>
      <c r="AK102" s="30"/>
      <c r="AL102" s="36">
        <f t="shared" si="47"/>
        <v>0</v>
      </c>
      <c r="AM102" s="35"/>
      <c r="AN102" s="30"/>
      <c r="AO102" s="36">
        <f t="shared" si="48"/>
        <v>0</v>
      </c>
      <c r="AP102" s="35"/>
      <c r="AQ102" s="30"/>
      <c r="AR102" s="36">
        <f t="shared" si="49"/>
        <v>0</v>
      </c>
      <c r="AS102" s="27"/>
      <c r="AT102" s="37"/>
      <c r="AU102" s="30"/>
      <c r="AV102" s="36">
        <f t="shared" si="50"/>
        <v>0</v>
      </c>
      <c r="AW102" s="35"/>
      <c r="AX102" s="30"/>
      <c r="AY102" s="32">
        <f t="shared" si="51"/>
        <v>0</v>
      </c>
      <c r="AZ102" s="30" t="s">
        <v>841</v>
      </c>
      <c r="BA102" s="63"/>
      <c r="BB102" s="71" t="e">
        <f>SUMIFS([1]Form!$F$9:$F$22,[1]Form!$K$9:$K$22,K102)</f>
        <v>#VALUE!</v>
      </c>
      <c r="BC102" s="71"/>
      <c r="BD102" s="71"/>
    </row>
    <row r="103" spans="1:56" x14ac:dyDescent="0.25">
      <c r="A103" s="24">
        <f>IF(B103="","",SUBTOTAL(3,$B$4:B103))</f>
        <v>100</v>
      </c>
      <c r="B103" s="25" t="s">
        <v>840</v>
      </c>
      <c r="C103" s="25" t="str">
        <f t="shared" si="56"/>
        <v>Shipment 1 B-10124 Fired Proces Heater</v>
      </c>
      <c r="D103" s="25" t="s">
        <v>839</v>
      </c>
      <c r="E103" s="25" t="s">
        <v>838</v>
      </c>
      <c r="F103" s="25"/>
      <c r="G103" s="65"/>
      <c r="H103" s="25" t="s">
        <v>842</v>
      </c>
      <c r="I103" s="25"/>
      <c r="J103" s="26" t="s">
        <v>843</v>
      </c>
      <c r="K103" s="27" t="s">
        <v>215</v>
      </c>
      <c r="L103" s="28" t="s">
        <v>217</v>
      </c>
      <c r="M103" s="28" t="s">
        <v>732</v>
      </c>
      <c r="N103" s="25">
        <v>1</v>
      </c>
      <c r="O103" s="29">
        <v>47.35</v>
      </c>
      <c r="P103" s="29">
        <v>47.35</v>
      </c>
      <c r="Q103" s="25" t="s">
        <v>733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44"/>
        <v>0</v>
      </c>
      <c r="AF103" s="32">
        <f t="shared" si="45"/>
        <v>47.35</v>
      </c>
      <c r="AG103" s="30"/>
      <c r="AH103" s="33"/>
      <c r="AI103" s="34">
        <f t="shared" si="46"/>
        <v>0</v>
      </c>
      <c r="AJ103" s="35"/>
      <c r="AK103" s="30"/>
      <c r="AL103" s="36">
        <f t="shared" si="47"/>
        <v>0</v>
      </c>
      <c r="AM103" s="35"/>
      <c r="AN103" s="30"/>
      <c r="AO103" s="36">
        <f t="shared" si="48"/>
        <v>0</v>
      </c>
      <c r="AP103" s="35"/>
      <c r="AQ103" s="30"/>
      <c r="AR103" s="36">
        <f t="shared" si="49"/>
        <v>0</v>
      </c>
      <c r="AS103" s="27"/>
      <c r="AT103" s="37"/>
      <c r="AU103" s="30"/>
      <c r="AV103" s="36">
        <f t="shared" si="50"/>
        <v>0</v>
      </c>
      <c r="AW103" s="35"/>
      <c r="AX103" s="30"/>
      <c r="AY103" s="32">
        <f t="shared" si="51"/>
        <v>0</v>
      </c>
      <c r="AZ103" s="30" t="s">
        <v>841</v>
      </c>
      <c r="BA103" s="63"/>
      <c r="BB103" s="71" t="e">
        <f>SUMIFS([1]Form!$F$9:$F$22,[1]Form!$K$9:$K$22,K103)</f>
        <v>#VALUE!</v>
      </c>
      <c r="BC103" s="71"/>
      <c r="BD103" s="71"/>
    </row>
    <row r="104" spans="1:56" x14ac:dyDescent="0.25">
      <c r="A104" s="24">
        <f>IF(B104="","",SUBTOTAL(3,$B$4:B104))</f>
        <v>101</v>
      </c>
      <c r="B104" s="25" t="s">
        <v>840</v>
      </c>
      <c r="C104" s="25" t="str">
        <f t="shared" si="56"/>
        <v>Shipment 1 B-10124 Fired Proces Heater</v>
      </c>
      <c r="D104" s="25" t="s">
        <v>839</v>
      </c>
      <c r="E104" s="25" t="s">
        <v>838</v>
      </c>
      <c r="F104" s="25"/>
      <c r="G104" s="65"/>
      <c r="H104" s="25" t="s">
        <v>842</v>
      </c>
      <c r="I104" s="25"/>
      <c r="J104" s="26" t="s">
        <v>843</v>
      </c>
      <c r="K104" s="27" t="s">
        <v>218</v>
      </c>
      <c r="L104" s="28" t="s">
        <v>219</v>
      </c>
      <c r="M104" s="28" t="s">
        <v>732</v>
      </c>
      <c r="N104" s="25">
        <v>1</v>
      </c>
      <c r="O104" s="29">
        <v>60.849999999999994</v>
      </c>
      <c r="P104" s="29">
        <v>60.849999999999994</v>
      </c>
      <c r="Q104" s="25" t="s">
        <v>734</v>
      </c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44"/>
        <v>0</v>
      </c>
      <c r="AF104" s="32">
        <f t="shared" si="45"/>
        <v>60.849999999999994</v>
      </c>
      <c r="AG104" s="30"/>
      <c r="AH104" s="33"/>
      <c r="AI104" s="34">
        <f t="shared" si="46"/>
        <v>0</v>
      </c>
      <c r="AJ104" s="35"/>
      <c r="AK104" s="30"/>
      <c r="AL104" s="36">
        <f t="shared" si="47"/>
        <v>0</v>
      </c>
      <c r="AM104" s="35"/>
      <c r="AN104" s="30"/>
      <c r="AO104" s="36">
        <f t="shared" si="48"/>
        <v>0</v>
      </c>
      <c r="AP104" s="35"/>
      <c r="AQ104" s="30"/>
      <c r="AR104" s="36">
        <f t="shared" si="49"/>
        <v>0</v>
      </c>
      <c r="AS104" s="27"/>
      <c r="AT104" s="37"/>
      <c r="AU104" s="30"/>
      <c r="AV104" s="36">
        <f t="shared" si="50"/>
        <v>0</v>
      </c>
      <c r="AW104" s="35"/>
      <c r="AX104" s="30"/>
      <c r="AY104" s="32">
        <f t="shared" si="51"/>
        <v>0</v>
      </c>
      <c r="AZ104" s="30" t="s">
        <v>841</v>
      </c>
      <c r="BA104" s="63"/>
      <c r="BB104" s="71" t="e">
        <f>SUMIFS([1]Form!$F$9:$F$22,[1]Form!$K$9:$K$22,K104)</f>
        <v>#VALUE!</v>
      </c>
      <c r="BC104" s="71"/>
      <c r="BD104" s="71"/>
    </row>
    <row r="105" spans="1:56" x14ac:dyDescent="0.25">
      <c r="A105" s="24">
        <f>IF(B105="","",SUBTOTAL(3,$B$4:B105))</f>
        <v>102</v>
      </c>
      <c r="B105" s="25" t="s">
        <v>840</v>
      </c>
      <c r="C105" s="25" t="str">
        <f t="shared" si="56"/>
        <v>Shipment 1 B-10124 Fired Proces Heater</v>
      </c>
      <c r="D105" s="25" t="s">
        <v>839</v>
      </c>
      <c r="E105" s="25" t="s">
        <v>838</v>
      </c>
      <c r="F105" s="25"/>
      <c r="G105" s="65"/>
      <c r="H105" s="25" t="s">
        <v>842</v>
      </c>
      <c r="I105" s="25"/>
      <c r="J105" s="26" t="s">
        <v>843</v>
      </c>
      <c r="K105" s="27" t="s">
        <v>218</v>
      </c>
      <c r="L105" s="28" t="s">
        <v>220</v>
      </c>
      <c r="M105" s="28" t="s">
        <v>732</v>
      </c>
      <c r="N105" s="25">
        <v>1</v>
      </c>
      <c r="O105" s="29">
        <v>60.849999999999994</v>
      </c>
      <c r="P105" s="29">
        <v>60.849999999999994</v>
      </c>
      <c r="Q105" s="25" t="s">
        <v>734</v>
      </c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44"/>
        <v>0</v>
      </c>
      <c r="AF105" s="32">
        <f t="shared" si="45"/>
        <v>60.849999999999994</v>
      </c>
      <c r="AG105" s="30"/>
      <c r="AH105" s="33"/>
      <c r="AI105" s="34">
        <f t="shared" si="46"/>
        <v>0</v>
      </c>
      <c r="AJ105" s="35"/>
      <c r="AK105" s="30"/>
      <c r="AL105" s="36">
        <f t="shared" si="47"/>
        <v>0</v>
      </c>
      <c r="AM105" s="35"/>
      <c r="AN105" s="30"/>
      <c r="AO105" s="36">
        <f t="shared" si="48"/>
        <v>0</v>
      </c>
      <c r="AP105" s="35"/>
      <c r="AQ105" s="30"/>
      <c r="AR105" s="36">
        <f t="shared" si="49"/>
        <v>0</v>
      </c>
      <c r="AS105" s="27"/>
      <c r="AT105" s="37"/>
      <c r="AU105" s="30"/>
      <c r="AV105" s="36">
        <f t="shared" si="50"/>
        <v>0</v>
      </c>
      <c r="AW105" s="35"/>
      <c r="AX105" s="30"/>
      <c r="AY105" s="32">
        <f t="shared" si="51"/>
        <v>0</v>
      </c>
      <c r="AZ105" s="30" t="s">
        <v>841</v>
      </c>
      <c r="BA105" s="63"/>
      <c r="BB105" s="71" t="e">
        <f>SUMIFS([1]Form!$F$9:$F$22,[1]Form!$K$9:$K$22,K105)</f>
        <v>#VALUE!</v>
      </c>
      <c r="BC105" s="71"/>
      <c r="BD105" s="71"/>
    </row>
    <row r="106" spans="1:56" x14ac:dyDescent="0.25">
      <c r="A106" s="24">
        <f>IF(B106="","",SUBTOTAL(3,$B$4:B106))</f>
        <v>103</v>
      </c>
      <c r="B106" s="25" t="s">
        <v>840</v>
      </c>
      <c r="C106" s="25" t="str">
        <f t="shared" si="56"/>
        <v>Shipment 1 B-10124 Fired Proces Heater</v>
      </c>
      <c r="D106" s="25" t="s">
        <v>839</v>
      </c>
      <c r="E106" s="25" t="s">
        <v>838</v>
      </c>
      <c r="F106" s="25"/>
      <c r="G106" s="65"/>
      <c r="H106" s="25" t="s">
        <v>842</v>
      </c>
      <c r="I106" s="25"/>
      <c r="J106" s="26" t="s">
        <v>843</v>
      </c>
      <c r="K106" s="27" t="s">
        <v>848</v>
      </c>
      <c r="L106" s="28" t="s">
        <v>849</v>
      </c>
      <c r="M106" s="28" t="s">
        <v>850</v>
      </c>
      <c r="N106" s="25">
        <v>1</v>
      </c>
      <c r="O106" s="29">
        <v>17.858333333333331</v>
      </c>
      <c r="P106" s="29">
        <v>17.858333333333331</v>
      </c>
      <c r="Q106" s="25" t="s">
        <v>851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ref="AE106:AE169" si="58">+AL106*0.5+AO106*0.4+AV106*0.1</f>
        <v>0</v>
      </c>
      <c r="AF106" s="32">
        <f t="shared" ref="AF106:AF169" si="59">+P106-AE106</f>
        <v>17.858333333333331</v>
      </c>
      <c r="AG106" s="30"/>
      <c r="AH106" s="33"/>
      <c r="AI106" s="34">
        <f t="shared" ref="AI106:AI169" si="60">+AH106*P106</f>
        <v>0</v>
      </c>
      <c r="AJ106" s="35"/>
      <c r="AK106" s="30"/>
      <c r="AL106" s="36">
        <f t="shared" ref="AL106:AL148" si="61">IFERROR(AK106*$P106/$N106,0)</f>
        <v>0</v>
      </c>
      <c r="AM106" s="35"/>
      <c r="AN106" s="30"/>
      <c r="AO106" s="36">
        <f t="shared" ref="AO106:AO169" si="62">IFERROR(AN106*$P106/$N106,0)</f>
        <v>0</v>
      </c>
      <c r="AP106" s="35"/>
      <c r="AQ106" s="30"/>
      <c r="AR106" s="36">
        <f t="shared" ref="AR106:AR169" si="63">IFERROR(AQ106*$P106/$N106,0)</f>
        <v>0</v>
      </c>
      <c r="AS106" s="27"/>
      <c r="AT106" s="37"/>
      <c r="AU106" s="30"/>
      <c r="AV106" s="36">
        <f t="shared" ref="AV106:AV169" si="64">IFERROR(AU106*$P106/$N106,0)</f>
        <v>0</v>
      </c>
      <c r="AW106" s="35"/>
      <c r="AX106" s="30"/>
      <c r="AY106" s="32">
        <f t="shared" ref="AY106:AY169" si="65">IFERROR(AX106*$P106/$N106,0)</f>
        <v>0</v>
      </c>
      <c r="AZ106" s="30" t="s">
        <v>841</v>
      </c>
      <c r="BA106" s="63"/>
      <c r="BB106" s="71" t="e">
        <f>SUMIFS([1]Form!$F$9:$F$22,[1]Form!$K$9:$K$22,K106)</f>
        <v>#VALUE!</v>
      </c>
      <c r="BC106" s="71"/>
      <c r="BD106" s="71"/>
    </row>
    <row r="107" spans="1:56" x14ac:dyDescent="0.25">
      <c r="A107" s="24">
        <f>IF(B107="","",SUBTOTAL(3,$B$4:B107))</f>
        <v>104</v>
      </c>
      <c r="B107" s="25" t="s">
        <v>840</v>
      </c>
      <c r="C107" s="25" t="str">
        <f t="shared" si="56"/>
        <v>Shipment 1 B-10124 Fired Proces Heater</v>
      </c>
      <c r="D107" s="25" t="s">
        <v>839</v>
      </c>
      <c r="E107" s="25" t="s">
        <v>838</v>
      </c>
      <c r="F107" s="25"/>
      <c r="G107" s="65"/>
      <c r="H107" s="25" t="s">
        <v>842</v>
      </c>
      <c r="I107" s="25"/>
      <c r="J107" s="26" t="s">
        <v>843</v>
      </c>
      <c r="K107" s="27" t="s">
        <v>848</v>
      </c>
      <c r="L107" s="28" t="s">
        <v>852</v>
      </c>
      <c r="M107" s="28" t="s">
        <v>850</v>
      </c>
      <c r="N107" s="25">
        <v>1</v>
      </c>
      <c r="O107" s="29">
        <v>17.858333333333331</v>
      </c>
      <c r="P107" s="29">
        <v>17.858333333333331</v>
      </c>
      <c r="Q107" s="25" t="s">
        <v>851</v>
      </c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58"/>
        <v>0</v>
      </c>
      <c r="AF107" s="32">
        <f t="shared" si="59"/>
        <v>17.858333333333331</v>
      </c>
      <c r="AG107" s="30"/>
      <c r="AH107" s="33"/>
      <c r="AI107" s="34">
        <f t="shared" si="60"/>
        <v>0</v>
      </c>
      <c r="AJ107" s="35"/>
      <c r="AK107" s="30"/>
      <c r="AL107" s="36">
        <f t="shared" si="61"/>
        <v>0</v>
      </c>
      <c r="AM107" s="35"/>
      <c r="AN107" s="30"/>
      <c r="AO107" s="36">
        <f t="shared" si="62"/>
        <v>0</v>
      </c>
      <c r="AP107" s="35"/>
      <c r="AQ107" s="30"/>
      <c r="AR107" s="36">
        <f t="shared" si="63"/>
        <v>0</v>
      </c>
      <c r="AS107" s="27"/>
      <c r="AT107" s="37"/>
      <c r="AU107" s="30"/>
      <c r="AV107" s="36">
        <f t="shared" si="64"/>
        <v>0</v>
      </c>
      <c r="AW107" s="35"/>
      <c r="AX107" s="30"/>
      <c r="AY107" s="32">
        <f t="shared" si="65"/>
        <v>0</v>
      </c>
      <c r="AZ107" s="30" t="s">
        <v>841</v>
      </c>
      <c r="BA107" s="63"/>
      <c r="BB107" s="71" t="e">
        <f>SUMIFS([1]Form!$F$9:$F$22,[1]Form!$K$9:$K$22,K107)</f>
        <v>#VALUE!</v>
      </c>
      <c r="BC107" s="71"/>
      <c r="BD107" s="71"/>
    </row>
    <row r="108" spans="1:56" x14ac:dyDescent="0.25">
      <c r="A108" s="24">
        <f>IF(B108="","",SUBTOTAL(3,$B$4:B108))</f>
        <v>105</v>
      </c>
      <c r="B108" s="25" t="s">
        <v>840</v>
      </c>
      <c r="C108" s="25" t="str">
        <f t="shared" si="56"/>
        <v>Shipment 1 B-10124 Fired Proces Heater</v>
      </c>
      <c r="D108" s="25" t="s">
        <v>839</v>
      </c>
      <c r="E108" s="25" t="s">
        <v>838</v>
      </c>
      <c r="F108" s="25"/>
      <c r="G108" s="65"/>
      <c r="H108" s="25" t="s">
        <v>842</v>
      </c>
      <c r="I108" s="25"/>
      <c r="J108" s="26" t="s">
        <v>843</v>
      </c>
      <c r="K108" s="27" t="s">
        <v>848</v>
      </c>
      <c r="L108" s="28" t="s">
        <v>853</v>
      </c>
      <c r="M108" s="28" t="s">
        <v>850</v>
      </c>
      <c r="N108" s="25">
        <v>1</v>
      </c>
      <c r="O108" s="29">
        <v>17.858333333333331</v>
      </c>
      <c r="P108" s="29">
        <v>17.858333333333331</v>
      </c>
      <c r="Q108" s="25" t="s">
        <v>851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58"/>
        <v>0</v>
      </c>
      <c r="AF108" s="32">
        <f t="shared" si="59"/>
        <v>17.858333333333331</v>
      </c>
      <c r="AG108" s="30"/>
      <c r="AH108" s="33"/>
      <c r="AI108" s="34">
        <f t="shared" si="60"/>
        <v>0</v>
      </c>
      <c r="AJ108" s="35"/>
      <c r="AK108" s="30"/>
      <c r="AL108" s="36">
        <f t="shared" si="61"/>
        <v>0</v>
      </c>
      <c r="AM108" s="35"/>
      <c r="AN108" s="30"/>
      <c r="AO108" s="36">
        <f t="shared" si="62"/>
        <v>0</v>
      </c>
      <c r="AP108" s="35"/>
      <c r="AQ108" s="30"/>
      <c r="AR108" s="36">
        <f t="shared" si="63"/>
        <v>0</v>
      </c>
      <c r="AS108" s="27"/>
      <c r="AT108" s="37"/>
      <c r="AU108" s="30"/>
      <c r="AV108" s="36">
        <f t="shared" si="64"/>
        <v>0</v>
      </c>
      <c r="AW108" s="35"/>
      <c r="AX108" s="30"/>
      <c r="AY108" s="32">
        <f t="shared" si="65"/>
        <v>0</v>
      </c>
      <c r="AZ108" s="30" t="s">
        <v>841</v>
      </c>
      <c r="BA108" s="63"/>
      <c r="BB108" s="71" t="e">
        <f>SUMIFS([1]Form!$F$9:$F$22,[1]Form!$K$9:$K$22,K108)</f>
        <v>#VALUE!</v>
      </c>
      <c r="BC108" s="71"/>
      <c r="BD108" s="71"/>
    </row>
    <row r="109" spans="1:56" x14ac:dyDescent="0.25">
      <c r="A109" s="24">
        <f>IF(B109="","",SUBTOTAL(3,$B$4:B109))</f>
        <v>106</v>
      </c>
      <c r="B109" s="25" t="s">
        <v>840</v>
      </c>
      <c r="C109" s="25" t="str">
        <f t="shared" si="56"/>
        <v>Shipment 1 B-10124 Fired Proces Heater</v>
      </c>
      <c r="D109" s="25" t="s">
        <v>839</v>
      </c>
      <c r="E109" s="25" t="s">
        <v>838</v>
      </c>
      <c r="F109" s="25"/>
      <c r="G109" s="65"/>
      <c r="H109" s="25" t="s">
        <v>842</v>
      </c>
      <c r="I109" s="25"/>
      <c r="J109" s="26" t="s">
        <v>843</v>
      </c>
      <c r="K109" s="27" t="s">
        <v>848</v>
      </c>
      <c r="L109" s="28" t="s">
        <v>854</v>
      </c>
      <c r="M109" s="28" t="s">
        <v>850</v>
      </c>
      <c r="N109" s="25">
        <v>1</v>
      </c>
      <c r="O109" s="29">
        <v>17.858333333333331</v>
      </c>
      <c r="P109" s="29">
        <v>17.858333333333331</v>
      </c>
      <c r="Q109" s="25" t="s">
        <v>851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58"/>
        <v>0</v>
      </c>
      <c r="AF109" s="32">
        <f t="shared" si="59"/>
        <v>17.858333333333331</v>
      </c>
      <c r="AG109" s="30"/>
      <c r="AH109" s="33"/>
      <c r="AI109" s="34">
        <f t="shared" si="60"/>
        <v>0</v>
      </c>
      <c r="AJ109" s="35"/>
      <c r="AK109" s="30"/>
      <c r="AL109" s="36">
        <f t="shared" si="61"/>
        <v>0</v>
      </c>
      <c r="AM109" s="35"/>
      <c r="AN109" s="30"/>
      <c r="AO109" s="36">
        <f t="shared" si="62"/>
        <v>0</v>
      </c>
      <c r="AP109" s="35"/>
      <c r="AQ109" s="30"/>
      <c r="AR109" s="36">
        <f t="shared" si="63"/>
        <v>0</v>
      </c>
      <c r="AS109" s="27"/>
      <c r="AT109" s="37"/>
      <c r="AU109" s="30"/>
      <c r="AV109" s="36">
        <f t="shared" si="64"/>
        <v>0</v>
      </c>
      <c r="AW109" s="35"/>
      <c r="AX109" s="30"/>
      <c r="AY109" s="32">
        <f t="shared" si="65"/>
        <v>0</v>
      </c>
      <c r="AZ109" s="30" t="s">
        <v>841</v>
      </c>
      <c r="BA109" s="63"/>
      <c r="BB109" s="71" t="e">
        <f>SUMIFS([1]Form!$F$9:$F$22,[1]Form!$K$9:$K$22,K109)</f>
        <v>#VALUE!</v>
      </c>
      <c r="BC109" s="71"/>
      <c r="BD109" s="71"/>
    </row>
    <row r="110" spans="1:56" x14ac:dyDescent="0.25">
      <c r="A110" s="24">
        <f>IF(B110="","",SUBTOTAL(3,$B$4:B110))</f>
        <v>107</v>
      </c>
      <c r="B110" s="25" t="s">
        <v>840</v>
      </c>
      <c r="C110" s="25" t="str">
        <f t="shared" si="56"/>
        <v>Shipment 1 B-10124 Fired Proces Heater</v>
      </c>
      <c r="D110" s="25" t="s">
        <v>839</v>
      </c>
      <c r="E110" s="25" t="s">
        <v>838</v>
      </c>
      <c r="F110" s="25"/>
      <c r="G110" s="65"/>
      <c r="H110" s="25" t="s">
        <v>842</v>
      </c>
      <c r="I110" s="25"/>
      <c r="J110" s="26" t="s">
        <v>843</v>
      </c>
      <c r="K110" s="27" t="s">
        <v>848</v>
      </c>
      <c r="L110" s="28" t="s">
        <v>855</v>
      </c>
      <c r="M110" s="28" t="s">
        <v>850</v>
      </c>
      <c r="N110" s="25">
        <v>1</v>
      </c>
      <c r="O110" s="29">
        <v>17.858333333333331</v>
      </c>
      <c r="P110" s="29">
        <v>17.858333333333331</v>
      </c>
      <c r="Q110" s="25" t="s">
        <v>851</v>
      </c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58"/>
        <v>0</v>
      </c>
      <c r="AF110" s="32">
        <f t="shared" si="59"/>
        <v>17.858333333333331</v>
      </c>
      <c r="AG110" s="30"/>
      <c r="AH110" s="33"/>
      <c r="AI110" s="34">
        <f t="shared" si="60"/>
        <v>0</v>
      </c>
      <c r="AJ110" s="35"/>
      <c r="AK110" s="30"/>
      <c r="AL110" s="36">
        <f t="shared" si="61"/>
        <v>0</v>
      </c>
      <c r="AM110" s="35"/>
      <c r="AN110" s="30"/>
      <c r="AO110" s="36">
        <f t="shared" si="62"/>
        <v>0</v>
      </c>
      <c r="AP110" s="35"/>
      <c r="AQ110" s="30"/>
      <c r="AR110" s="36">
        <f t="shared" si="63"/>
        <v>0</v>
      </c>
      <c r="AS110" s="27"/>
      <c r="AT110" s="37"/>
      <c r="AU110" s="30"/>
      <c r="AV110" s="36">
        <f t="shared" si="64"/>
        <v>0</v>
      </c>
      <c r="AW110" s="35"/>
      <c r="AX110" s="30"/>
      <c r="AY110" s="32">
        <f t="shared" si="65"/>
        <v>0</v>
      </c>
      <c r="AZ110" s="30" t="s">
        <v>841</v>
      </c>
      <c r="BA110" s="63"/>
      <c r="BB110" s="71" t="e">
        <f>SUMIFS([1]Form!$F$9:$F$22,[1]Form!$K$9:$K$22,K110)</f>
        <v>#VALUE!</v>
      </c>
      <c r="BC110" s="71"/>
      <c r="BD110" s="71"/>
    </row>
    <row r="111" spans="1:56" x14ac:dyDescent="0.25">
      <c r="A111" s="24">
        <f>IF(B111="","",SUBTOTAL(3,$B$4:B111))</f>
        <v>108</v>
      </c>
      <c r="B111" s="25" t="s">
        <v>840</v>
      </c>
      <c r="C111" s="25" t="str">
        <f t="shared" si="56"/>
        <v>Shipment 1 B-10124 Fired Proces Heater</v>
      </c>
      <c r="D111" s="25" t="s">
        <v>839</v>
      </c>
      <c r="E111" s="25" t="s">
        <v>838</v>
      </c>
      <c r="F111" s="25"/>
      <c r="G111" s="65"/>
      <c r="H111" s="25" t="s">
        <v>842</v>
      </c>
      <c r="I111" s="25"/>
      <c r="J111" s="26" t="s">
        <v>843</v>
      </c>
      <c r="K111" s="27" t="s">
        <v>848</v>
      </c>
      <c r="L111" s="28" t="s">
        <v>856</v>
      </c>
      <c r="M111" s="28" t="s">
        <v>850</v>
      </c>
      <c r="N111" s="25">
        <v>1</v>
      </c>
      <c r="O111" s="29">
        <v>17.858333333333331</v>
      </c>
      <c r="P111" s="29">
        <v>17.858333333333331</v>
      </c>
      <c r="Q111" s="25" t="s">
        <v>851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58"/>
        <v>0</v>
      </c>
      <c r="AF111" s="32">
        <f t="shared" si="59"/>
        <v>17.858333333333331</v>
      </c>
      <c r="AG111" s="30"/>
      <c r="AH111" s="33"/>
      <c r="AI111" s="34">
        <f t="shared" si="60"/>
        <v>0</v>
      </c>
      <c r="AJ111" s="35"/>
      <c r="AK111" s="30"/>
      <c r="AL111" s="36">
        <f t="shared" si="61"/>
        <v>0</v>
      </c>
      <c r="AM111" s="35"/>
      <c r="AN111" s="30"/>
      <c r="AO111" s="36">
        <f t="shared" si="62"/>
        <v>0</v>
      </c>
      <c r="AP111" s="35"/>
      <c r="AQ111" s="30"/>
      <c r="AR111" s="36">
        <f t="shared" si="63"/>
        <v>0</v>
      </c>
      <c r="AS111" s="27"/>
      <c r="AT111" s="37"/>
      <c r="AU111" s="30"/>
      <c r="AV111" s="36">
        <f t="shared" si="64"/>
        <v>0</v>
      </c>
      <c r="AW111" s="35"/>
      <c r="AX111" s="30"/>
      <c r="AY111" s="32">
        <f t="shared" si="65"/>
        <v>0</v>
      </c>
      <c r="AZ111" s="30" t="s">
        <v>841</v>
      </c>
      <c r="BA111" s="63"/>
      <c r="BB111" s="71" t="e">
        <f>SUMIFS([1]Form!$F$9:$F$22,[1]Form!$K$9:$K$22,K111)</f>
        <v>#VALUE!</v>
      </c>
      <c r="BC111" s="71"/>
      <c r="BD111" s="71"/>
    </row>
    <row r="112" spans="1:56" x14ac:dyDescent="0.25">
      <c r="A112" s="24">
        <f>IF(B112="","",SUBTOTAL(3,$B$4:B112))</f>
        <v>109</v>
      </c>
      <c r="B112" s="25" t="s">
        <v>840</v>
      </c>
      <c r="C112" s="25" t="str">
        <f t="shared" si="56"/>
        <v>Shipment 1 B-10124 Fired Proces Heater</v>
      </c>
      <c r="D112" s="25" t="s">
        <v>839</v>
      </c>
      <c r="E112" s="25" t="s">
        <v>838</v>
      </c>
      <c r="F112" s="25"/>
      <c r="G112" s="65"/>
      <c r="H112" s="25" t="s">
        <v>842</v>
      </c>
      <c r="I112" s="25"/>
      <c r="J112" s="26" t="s">
        <v>843</v>
      </c>
      <c r="K112" s="27" t="s">
        <v>848</v>
      </c>
      <c r="L112" s="28" t="s">
        <v>857</v>
      </c>
      <c r="M112" s="28" t="s">
        <v>850</v>
      </c>
      <c r="N112" s="25">
        <v>1</v>
      </c>
      <c r="O112" s="29">
        <v>17.858333333333331</v>
      </c>
      <c r="P112" s="29">
        <v>17.858333333333331</v>
      </c>
      <c r="Q112" s="25" t="s">
        <v>851</v>
      </c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58"/>
        <v>0</v>
      </c>
      <c r="AF112" s="32">
        <f t="shared" si="59"/>
        <v>17.858333333333331</v>
      </c>
      <c r="AG112" s="30"/>
      <c r="AH112" s="33"/>
      <c r="AI112" s="34">
        <f t="shared" si="60"/>
        <v>0</v>
      </c>
      <c r="AJ112" s="35"/>
      <c r="AK112" s="30"/>
      <c r="AL112" s="36">
        <f t="shared" si="61"/>
        <v>0</v>
      </c>
      <c r="AM112" s="35"/>
      <c r="AN112" s="30"/>
      <c r="AO112" s="36">
        <f t="shared" si="62"/>
        <v>0</v>
      </c>
      <c r="AP112" s="35"/>
      <c r="AQ112" s="30"/>
      <c r="AR112" s="36">
        <f t="shared" si="63"/>
        <v>0</v>
      </c>
      <c r="AS112" s="27"/>
      <c r="AT112" s="37"/>
      <c r="AU112" s="30"/>
      <c r="AV112" s="36">
        <f t="shared" si="64"/>
        <v>0</v>
      </c>
      <c r="AW112" s="35"/>
      <c r="AX112" s="30"/>
      <c r="AY112" s="32">
        <f t="shared" si="65"/>
        <v>0</v>
      </c>
      <c r="AZ112" s="30" t="s">
        <v>841</v>
      </c>
      <c r="BA112" s="63"/>
      <c r="BB112" s="71" t="e">
        <f>SUMIFS([1]Form!$F$9:$F$22,[1]Form!$K$9:$K$22,K112)</f>
        <v>#VALUE!</v>
      </c>
      <c r="BC112" s="71"/>
      <c r="BD112" s="71"/>
    </row>
    <row r="113" spans="1:56" x14ac:dyDescent="0.25">
      <c r="A113" s="24">
        <f>IF(B113="","",SUBTOTAL(3,$B$4:B113))</f>
        <v>110</v>
      </c>
      <c r="B113" s="25" t="s">
        <v>840</v>
      </c>
      <c r="C113" s="25" t="str">
        <f t="shared" si="56"/>
        <v>Shipment 1 B-10124 Fired Proces Heater</v>
      </c>
      <c r="D113" s="25" t="s">
        <v>839</v>
      </c>
      <c r="E113" s="25" t="s">
        <v>838</v>
      </c>
      <c r="F113" s="25"/>
      <c r="G113" s="65"/>
      <c r="H113" s="25" t="s">
        <v>842</v>
      </c>
      <c r="I113" s="25"/>
      <c r="J113" s="26" t="s">
        <v>843</v>
      </c>
      <c r="K113" s="27" t="s">
        <v>848</v>
      </c>
      <c r="L113" s="28" t="s">
        <v>858</v>
      </c>
      <c r="M113" s="28" t="s">
        <v>850</v>
      </c>
      <c r="N113" s="25">
        <v>1</v>
      </c>
      <c r="O113" s="29">
        <v>17.858333333333331</v>
      </c>
      <c r="P113" s="29">
        <v>17.858333333333331</v>
      </c>
      <c r="Q113" s="25" t="s">
        <v>851</v>
      </c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58"/>
        <v>0</v>
      </c>
      <c r="AF113" s="32">
        <f t="shared" si="59"/>
        <v>17.858333333333331</v>
      </c>
      <c r="AG113" s="30"/>
      <c r="AH113" s="33"/>
      <c r="AI113" s="34">
        <f t="shared" si="60"/>
        <v>0</v>
      </c>
      <c r="AJ113" s="35"/>
      <c r="AK113" s="30"/>
      <c r="AL113" s="36">
        <f t="shared" si="61"/>
        <v>0</v>
      </c>
      <c r="AM113" s="35"/>
      <c r="AN113" s="30"/>
      <c r="AO113" s="36">
        <f t="shared" si="62"/>
        <v>0</v>
      </c>
      <c r="AP113" s="35"/>
      <c r="AQ113" s="30"/>
      <c r="AR113" s="36">
        <f t="shared" si="63"/>
        <v>0</v>
      </c>
      <c r="AS113" s="27"/>
      <c r="AT113" s="37"/>
      <c r="AU113" s="30"/>
      <c r="AV113" s="36">
        <f t="shared" si="64"/>
        <v>0</v>
      </c>
      <c r="AW113" s="35"/>
      <c r="AX113" s="30"/>
      <c r="AY113" s="32">
        <f t="shared" si="65"/>
        <v>0</v>
      </c>
      <c r="AZ113" s="30" t="s">
        <v>841</v>
      </c>
      <c r="BA113" s="63"/>
      <c r="BB113" s="71" t="e">
        <f>SUMIFS([1]Form!$F$9:$F$22,[1]Form!$K$9:$K$22,K113)</f>
        <v>#VALUE!</v>
      </c>
      <c r="BC113" s="71"/>
      <c r="BD113" s="71"/>
    </row>
    <row r="114" spans="1:56" x14ac:dyDescent="0.25">
      <c r="A114" s="24">
        <f>IF(B114="","",SUBTOTAL(3,$B$4:B114))</f>
        <v>111</v>
      </c>
      <c r="B114" s="25" t="s">
        <v>840</v>
      </c>
      <c r="C114" s="25" t="str">
        <f t="shared" si="56"/>
        <v>Shipment 1 B-10124 Fired Proces Heater</v>
      </c>
      <c r="D114" s="25" t="s">
        <v>839</v>
      </c>
      <c r="E114" s="25" t="s">
        <v>838</v>
      </c>
      <c r="F114" s="25"/>
      <c r="G114" s="65"/>
      <c r="H114" s="25" t="s">
        <v>842</v>
      </c>
      <c r="I114" s="25"/>
      <c r="J114" s="26" t="s">
        <v>843</v>
      </c>
      <c r="K114" s="27" t="s">
        <v>848</v>
      </c>
      <c r="L114" s="28" t="s">
        <v>859</v>
      </c>
      <c r="M114" s="28" t="s">
        <v>850</v>
      </c>
      <c r="N114" s="25">
        <v>1</v>
      </c>
      <c r="O114" s="29">
        <v>17.858333333333331</v>
      </c>
      <c r="P114" s="29">
        <v>17.858333333333331</v>
      </c>
      <c r="Q114" s="25" t="s">
        <v>851</v>
      </c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58"/>
        <v>0</v>
      </c>
      <c r="AF114" s="32">
        <f t="shared" si="59"/>
        <v>17.858333333333331</v>
      </c>
      <c r="AG114" s="30"/>
      <c r="AH114" s="33"/>
      <c r="AI114" s="34">
        <f t="shared" si="60"/>
        <v>0</v>
      </c>
      <c r="AJ114" s="35"/>
      <c r="AK114" s="30"/>
      <c r="AL114" s="36">
        <f t="shared" si="61"/>
        <v>0</v>
      </c>
      <c r="AM114" s="35"/>
      <c r="AN114" s="30"/>
      <c r="AO114" s="36">
        <f t="shared" si="62"/>
        <v>0</v>
      </c>
      <c r="AP114" s="35"/>
      <c r="AQ114" s="30"/>
      <c r="AR114" s="36">
        <f t="shared" si="63"/>
        <v>0</v>
      </c>
      <c r="AS114" s="27"/>
      <c r="AT114" s="37"/>
      <c r="AU114" s="30"/>
      <c r="AV114" s="36">
        <f t="shared" si="64"/>
        <v>0</v>
      </c>
      <c r="AW114" s="35"/>
      <c r="AX114" s="30"/>
      <c r="AY114" s="32">
        <f t="shared" si="65"/>
        <v>0</v>
      </c>
      <c r="AZ114" s="30" t="s">
        <v>841</v>
      </c>
      <c r="BA114" s="63"/>
      <c r="BB114" s="71" t="e">
        <f>SUMIFS([1]Form!$F$9:$F$22,[1]Form!$K$9:$K$22,K114)</f>
        <v>#VALUE!</v>
      </c>
      <c r="BC114" s="71"/>
      <c r="BD114" s="71"/>
    </row>
    <row r="115" spans="1:56" x14ac:dyDescent="0.25">
      <c r="A115" s="24">
        <f>IF(B115="","",SUBTOTAL(3,$B$4:B115))</f>
        <v>112</v>
      </c>
      <c r="B115" s="25" t="s">
        <v>840</v>
      </c>
      <c r="C115" s="25" t="str">
        <f t="shared" si="56"/>
        <v>Shipment 1 B-10124 Fired Proces Heater</v>
      </c>
      <c r="D115" s="25" t="s">
        <v>839</v>
      </c>
      <c r="E115" s="25" t="s">
        <v>838</v>
      </c>
      <c r="F115" s="25"/>
      <c r="G115" s="65"/>
      <c r="H115" s="25" t="s">
        <v>842</v>
      </c>
      <c r="I115" s="25"/>
      <c r="J115" s="26" t="s">
        <v>843</v>
      </c>
      <c r="K115" s="27" t="s">
        <v>848</v>
      </c>
      <c r="L115" s="28" t="s">
        <v>860</v>
      </c>
      <c r="M115" s="28" t="s">
        <v>850</v>
      </c>
      <c r="N115" s="25">
        <v>1</v>
      </c>
      <c r="O115" s="29">
        <v>17.858333333333331</v>
      </c>
      <c r="P115" s="29">
        <v>17.858333333333331</v>
      </c>
      <c r="Q115" s="25" t="s">
        <v>851</v>
      </c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58"/>
        <v>0</v>
      </c>
      <c r="AF115" s="32">
        <f t="shared" si="59"/>
        <v>17.858333333333331</v>
      </c>
      <c r="AG115" s="30"/>
      <c r="AH115" s="33"/>
      <c r="AI115" s="34">
        <f t="shared" si="60"/>
        <v>0</v>
      </c>
      <c r="AJ115" s="35"/>
      <c r="AK115" s="30"/>
      <c r="AL115" s="36">
        <f t="shared" si="61"/>
        <v>0</v>
      </c>
      <c r="AM115" s="35"/>
      <c r="AN115" s="30"/>
      <c r="AO115" s="36">
        <f t="shared" si="62"/>
        <v>0</v>
      </c>
      <c r="AP115" s="35"/>
      <c r="AQ115" s="30"/>
      <c r="AR115" s="36">
        <f t="shared" si="63"/>
        <v>0</v>
      </c>
      <c r="AS115" s="27"/>
      <c r="AT115" s="37"/>
      <c r="AU115" s="30"/>
      <c r="AV115" s="36">
        <f t="shared" si="64"/>
        <v>0</v>
      </c>
      <c r="AW115" s="35"/>
      <c r="AX115" s="30"/>
      <c r="AY115" s="32">
        <f t="shared" si="65"/>
        <v>0</v>
      </c>
      <c r="AZ115" s="30" t="s">
        <v>841</v>
      </c>
      <c r="BA115" s="63"/>
      <c r="BB115" s="71" t="e">
        <f>SUMIFS([1]Form!$F$9:$F$22,[1]Form!$K$9:$K$22,K115)</f>
        <v>#VALUE!</v>
      </c>
      <c r="BC115" s="71"/>
      <c r="BD115" s="71"/>
    </row>
    <row r="116" spans="1:56" x14ac:dyDescent="0.25">
      <c r="A116" s="24">
        <f>IF(B116="","",SUBTOTAL(3,$B$4:B116))</f>
        <v>113</v>
      </c>
      <c r="B116" s="25" t="s">
        <v>840</v>
      </c>
      <c r="C116" s="25" t="str">
        <f t="shared" si="56"/>
        <v>Shipment 1 B-10124 Fired Proces Heater</v>
      </c>
      <c r="D116" s="25" t="s">
        <v>839</v>
      </c>
      <c r="E116" s="25" t="s">
        <v>838</v>
      </c>
      <c r="F116" s="25"/>
      <c r="G116" s="65"/>
      <c r="H116" s="25" t="s">
        <v>842</v>
      </c>
      <c r="I116" s="25"/>
      <c r="J116" s="26" t="s">
        <v>843</v>
      </c>
      <c r="K116" s="27" t="s">
        <v>848</v>
      </c>
      <c r="L116" s="28" t="s">
        <v>861</v>
      </c>
      <c r="M116" s="28" t="s">
        <v>850</v>
      </c>
      <c r="N116" s="25">
        <v>1</v>
      </c>
      <c r="O116" s="29">
        <v>17.858333333333331</v>
      </c>
      <c r="P116" s="29">
        <v>17.858333333333331</v>
      </c>
      <c r="Q116" s="25" t="s">
        <v>851</v>
      </c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58"/>
        <v>0</v>
      </c>
      <c r="AF116" s="32">
        <f t="shared" si="59"/>
        <v>17.858333333333331</v>
      </c>
      <c r="AG116" s="30"/>
      <c r="AH116" s="33"/>
      <c r="AI116" s="34">
        <f t="shared" si="60"/>
        <v>0</v>
      </c>
      <c r="AJ116" s="35"/>
      <c r="AK116" s="30"/>
      <c r="AL116" s="36">
        <f t="shared" si="61"/>
        <v>0</v>
      </c>
      <c r="AM116" s="35"/>
      <c r="AN116" s="30"/>
      <c r="AO116" s="36">
        <f t="shared" si="62"/>
        <v>0</v>
      </c>
      <c r="AP116" s="35"/>
      <c r="AQ116" s="30"/>
      <c r="AR116" s="36">
        <f t="shared" si="63"/>
        <v>0</v>
      </c>
      <c r="AS116" s="27"/>
      <c r="AT116" s="37"/>
      <c r="AU116" s="30"/>
      <c r="AV116" s="36">
        <f t="shared" si="64"/>
        <v>0</v>
      </c>
      <c r="AW116" s="35"/>
      <c r="AX116" s="30"/>
      <c r="AY116" s="32">
        <f t="shared" si="65"/>
        <v>0</v>
      </c>
      <c r="AZ116" s="30" t="s">
        <v>841</v>
      </c>
      <c r="BA116" s="63"/>
      <c r="BB116" s="71" t="e">
        <f>SUMIFS([1]Form!$F$9:$F$22,[1]Form!$K$9:$K$22,K116)</f>
        <v>#VALUE!</v>
      </c>
      <c r="BC116" s="71"/>
      <c r="BD116" s="71"/>
    </row>
    <row r="117" spans="1:56" x14ac:dyDescent="0.25">
      <c r="A117" s="24">
        <f>IF(B117="","",SUBTOTAL(3,$B$4:B117))</f>
        <v>114</v>
      </c>
      <c r="B117" s="25" t="s">
        <v>840</v>
      </c>
      <c r="C117" s="25" t="str">
        <f t="shared" si="56"/>
        <v>Shipment 1 B-10124 Fired Proces Heater</v>
      </c>
      <c r="D117" s="25" t="s">
        <v>839</v>
      </c>
      <c r="E117" s="25" t="s">
        <v>838</v>
      </c>
      <c r="F117" s="25"/>
      <c r="G117" s="65"/>
      <c r="H117" s="25" t="s">
        <v>842</v>
      </c>
      <c r="I117" s="25"/>
      <c r="J117" s="26" t="s">
        <v>843</v>
      </c>
      <c r="K117" s="27" t="s">
        <v>848</v>
      </c>
      <c r="L117" s="28" t="s">
        <v>862</v>
      </c>
      <c r="M117" s="28" t="s">
        <v>850</v>
      </c>
      <c r="N117" s="25">
        <v>1</v>
      </c>
      <c r="O117" s="29">
        <v>17.858333333333331</v>
      </c>
      <c r="P117" s="29">
        <v>17.858333333333331</v>
      </c>
      <c r="Q117" s="25" t="s">
        <v>851</v>
      </c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58"/>
        <v>0</v>
      </c>
      <c r="AF117" s="32">
        <f t="shared" si="59"/>
        <v>17.858333333333331</v>
      </c>
      <c r="AG117" s="30"/>
      <c r="AH117" s="33"/>
      <c r="AI117" s="34">
        <f t="shared" si="60"/>
        <v>0</v>
      </c>
      <c r="AJ117" s="35"/>
      <c r="AK117" s="30"/>
      <c r="AL117" s="36">
        <f t="shared" si="61"/>
        <v>0</v>
      </c>
      <c r="AM117" s="35"/>
      <c r="AN117" s="30"/>
      <c r="AO117" s="36">
        <f t="shared" si="62"/>
        <v>0</v>
      </c>
      <c r="AP117" s="35"/>
      <c r="AQ117" s="30"/>
      <c r="AR117" s="36">
        <f t="shared" si="63"/>
        <v>0</v>
      </c>
      <c r="AS117" s="27"/>
      <c r="AT117" s="37"/>
      <c r="AU117" s="30"/>
      <c r="AV117" s="36">
        <f t="shared" si="64"/>
        <v>0</v>
      </c>
      <c r="AW117" s="35"/>
      <c r="AX117" s="30"/>
      <c r="AY117" s="32">
        <f t="shared" si="65"/>
        <v>0</v>
      </c>
      <c r="AZ117" s="30" t="s">
        <v>841</v>
      </c>
      <c r="BA117" s="63"/>
      <c r="BB117" s="71" t="e">
        <f>SUMIFS([1]Form!$F$9:$F$22,[1]Form!$K$9:$K$22,K117)</f>
        <v>#VALUE!</v>
      </c>
      <c r="BC117" s="71"/>
      <c r="BD117" s="71"/>
    </row>
    <row r="118" spans="1:56" x14ac:dyDescent="0.25">
      <c r="A118" s="24">
        <f>IF(B118="","",SUBTOTAL(3,$B$4:B118))</f>
        <v>115</v>
      </c>
      <c r="B118" s="25" t="s">
        <v>840</v>
      </c>
      <c r="C118" s="25" t="str">
        <f t="shared" si="56"/>
        <v>Shipment 1 B-10124 Fired Proces Heater</v>
      </c>
      <c r="D118" s="25" t="s">
        <v>839</v>
      </c>
      <c r="E118" s="25" t="s">
        <v>838</v>
      </c>
      <c r="F118" s="25"/>
      <c r="G118" s="65"/>
      <c r="H118" s="25" t="s">
        <v>842</v>
      </c>
      <c r="I118" s="25"/>
      <c r="J118" s="26" t="s">
        <v>843</v>
      </c>
      <c r="K118" s="27" t="s">
        <v>863</v>
      </c>
      <c r="L118" s="28" t="s">
        <v>864</v>
      </c>
      <c r="M118" s="28" t="s">
        <v>865</v>
      </c>
      <c r="N118" s="25">
        <v>1</v>
      </c>
      <c r="O118" s="29">
        <v>59.375000000000007</v>
      </c>
      <c r="P118" s="29">
        <v>59.375000000000007</v>
      </c>
      <c r="Q118" s="25" t="s">
        <v>735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58"/>
        <v>53.437500000000007</v>
      </c>
      <c r="AF118" s="32">
        <f t="shared" si="59"/>
        <v>5.9375</v>
      </c>
      <c r="AG118" s="30"/>
      <c r="AH118" s="33"/>
      <c r="AI118" s="34">
        <f t="shared" si="60"/>
        <v>0</v>
      </c>
      <c r="AJ118" s="35">
        <v>46295</v>
      </c>
      <c r="AK118" s="30">
        <v>1</v>
      </c>
      <c r="AL118" s="36">
        <f t="shared" si="61"/>
        <v>59.375000000000007</v>
      </c>
      <c r="AM118" s="35">
        <v>46301</v>
      </c>
      <c r="AN118" s="30">
        <v>1</v>
      </c>
      <c r="AO118" s="36">
        <f t="shared" si="62"/>
        <v>59.375000000000007</v>
      </c>
      <c r="AP118" s="35"/>
      <c r="AQ118" s="30"/>
      <c r="AR118" s="36">
        <f t="shared" si="63"/>
        <v>0</v>
      </c>
      <c r="AS118" s="27"/>
      <c r="AT118" s="37"/>
      <c r="AU118" s="30"/>
      <c r="AV118" s="36">
        <f t="shared" si="64"/>
        <v>0</v>
      </c>
      <c r="AW118" s="35"/>
      <c r="AX118" s="30"/>
      <c r="AY118" s="32">
        <f t="shared" si="65"/>
        <v>0</v>
      </c>
      <c r="AZ118" s="30" t="s">
        <v>841</v>
      </c>
      <c r="BA118" s="63"/>
      <c r="BB118" s="71" t="e">
        <f>SUMIFS([1]Form!$F$9:$F$22,[1]Form!$K$9:$K$22,K118)</f>
        <v>#VALUE!</v>
      </c>
      <c r="BC118" s="71"/>
      <c r="BD118" s="71"/>
    </row>
    <row r="119" spans="1:56" x14ac:dyDescent="0.25">
      <c r="A119" s="24">
        <f>IF(B119="","",SUBTOTAL(3,$B$4:B119))</f>
        <v>116</v>
      </c>
      <c r="B119" s="25" t="s">
        <v>840</v>
      </c>
      <c r="C119" s="25" t="str">
        <f t="shared" si="56"/>
        <v>Shipment 1 B-10124 Fired Proces Heater</v>
      </c>
      <c r="D119" s="25" t="s">
        <v>839</v>
      </c>
      <c r="E119" s="25" t="s">
        <v>838</v>
      </c>
      <c r="F119" s="25"/>
      <c r="G119" s="65"/>
      <c r="H119" s="25" t="s">
        <v>842</v>
      </c>
      <c r="I119" s="25"/>
      <c r="J119" s="26" t="s">
        <v>843</v>
      </c>
      <c r="K119" s="27" t="s">
        <v>863</v>
      </c>
      <c r="L119" s="28" t="s">
        <v>866</v>
      </c>
      <c r="M119" s="28" t="s">
        <v>865</v>
      </c>
      <c r="N119" s="25">
        <v>1</v>
      </c>
      <c r="O119" s="29">
        <v>59.375000000000007</v>
      </c>
      <c r="P119" s="29">
        <v>59.375000000000007</v>
      </c>
      <c r="Q119" s="25" t="s">
        <v>735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58"/>
        <v>53.437500000000007</v>
      </c>
      <c r="AF119" s="32">
        <f t="shared" si="59"/>
        <v>5.9375</v>
      </c>
      <c r="AG119" s="30"/>
      <c r="AH119" s="33"/>
      <c r="AI119" s="34">
        <f t="shared" si="60"/>
        <v>0</v>
      </c>
      <c r="AJ119" s="35">
        <v>46295</v>
      </c>
      <c r="AK119" s="30">
        <v>1</v>
      </c>
      <c r="AL119" s="36">
        <f t="shared" si="61"/>
        <v>59.375000000000007</v>
      </c>
      <c r="AM119" s="35">
        <v>46301</v>
      </c>
      <c r="AN119" s="30">
        <v>1</v>
      </c>
      <c r="AO119" s="36">
        <f t="shared" si="62"/>
        <v>59.375000000000007</v>
      </c>
      <c r="AP119" s="35"/>
      <c r="AQ119" s="30"/>
      <c r="AR119" s="36">
        <f t="shared" si="63"/>
        <v>0</v>
      </c>
      <c r="AS119" s="27"/>
      <c r="AT119" s="37"/>
      <c r="AU119" s="30"/>
      <c r="AV119" s="36">
        <f t="shared" si="64"/>
        <v>0</v>
      </c>
      <c r="AW119" s="35"/>
      <c r="AX119" s="30"/>
      <c r="AY119" s="32">
        <f t="shared" si="65"/>
        <v>0</v>
      </c>
      <c r="AZ119" s="30" t="s">
        <v>841</v>
      </c>
      <c r="BA119" s="63"/>
      <c r="BB119" s="71" t="e">
        <f>SUMIFS([1]Form!$F$9:$F$22,[1]Form!$K$9:$K$22,K119)</f>
        <v>#VALUE!</v>
      </c>
      <c r="BC119" s="71"/>
      <c r="BD119" s="71"/>
    </row>
    <row r="120" spans="1:56" x14ac:dyDescent="0.25">
      <c r="A120" s="24">
        <f>IF(B120="","",SUBTOTAL(3,$B$4:B120))</f>
        <v>117</v>
      </c>
      <c r="B120" s="25" t="s">
        <v>840</v>
      </c>
      <c r="C120" s="25" t="str">
        <f t="shared" si="56"/>
        <v>Shipment 1 B-10124 Fired Proces Heater</v>
      </c>
      <c r="D120" s="25" t="s">
        <v>839</v>
      </c>
      <c r="E120" s="25" t="s">
        <v>838</v>
      </c>
      <c r="F120" s="25"/>
      <c r="G120" s="65"/>
      <c r="H120" s="25" t="s">
        <v>842</v>
      </c>
      <c r="I120" s="25"/>
      <c r="J120" s="26" t="s">
        <v>843</v>
      </c>
      <c r="K120" s="27" t="s">
        <v>863</v>
      </c>
      <c r="L120" s="28" t="s">
        <v>867</v>
      </c>
      <c r="M120" s="28" t="s">
        <v>865</v>
      </c>
      <c r="N120" s="25">
        <v>1</v>
      </c>
      <c r="O120" s="29">
        <v>59.375000000000007</v>
      </c>
      <c r="P120" s="29">
        <v>59.375000000000007</v>
      </c>
      <c r="Q120" s="25" t="s">
        <v>735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58"/>
        <v>53.437500000000007</v>
      </c>
      <c r="AF120" s="32">
        <f t="shared" si="59"/>
        <v>5.9375</v>
      </c>
      <c r="AG120" s="30"/>
      <c r="AH120" s="33"/>
      <c r="AI120" s="34">
        <f t="shared" si="60"/>
        <v>0</v>
      </c>
      <c r="AJ120" s="35">
        <v>46295</v>
      </c>
      <c r="AK120" s="30">
        <v>1</v>
      </c>
      <c r="AL120" s="36">
        <f t="shared" si="61"/>
        <v>59.375000000000007</v>
      </c>
      <c r="AM120" s="35">
        <v>46301</v>
      </c>
      <c r="AN120" s="30">
        <v>1</v>
      </c>
      <c r="AO120" s="36">
        <f t="shared" si="62"/>
        <v>59.375000000000007</v>
      </c>
      <c r="AP120" s="35"/>
      <c r="AQ120" s="30"/>
      <c r="AR120" s="36">
        <f t="shared" si="63"/>
        <v>0</v>
      </c>
      <c r="AS120" s="27"/>
      <c r="AT120" s="37"/>
      <c r="AU120" s="30"/>
      <c r="AV120" s="36">
        <f t="shared" si="64"/>
        <v>0</v>
      </c>
      <c r="AW120" s="35"/>
      <c r="AX120" s="30"/>
      <c r="AY120" s="32">
        <f t="shared" si="65"/>
        <v>0</v>
      </c>
      <c r="AZ120" s="30" t="s">
        <v>841</v>
      </c>
      <c r="BA120" s="63"/>
      <c r="BB120" s="71" t="e">
        <f>SUMIFS([1]Form!$F$9:$F$22,[1]Form!$K$9:$K$22,K120)</f>
        <v>#VALUE!</v>
      </c>
      <c r="BC120" s="71"/>
      <c r="BD120" s="71"/>
    </row>
    <row r="121" spans="1:56" x14ac:dyDescent="0.25">
      <c r="A121" s="24">
        <f>IF(B121="","",SUBTOTAL(3,$B$4:B121))</f>
        <v>118</v>
      </c>
      <c r="B121" s="25" t="s">
        <v>840</v>
      </c>
      <c r="C121" s="25" t="str">
        <f t="shared" si="56"/>
        <v>Shipment 1 B-10124 Fired Proces Heater</v>
      </c>
      <c r="D121" s="25" t="s">
        <v>839</v>
      </c>
      <c r="E121" s="25" t="s">
        <v>838</v>
      </c>
      <c r="F121" s="25"/>
      <c r="G121" s="65"/>
      <c r="H121" s="25" t="s">
        <v>842</v>
      </c>
      <c r="I121" s="25"/>
      <c r="J121" s="26" t="s">
        <v>843</v>
      </c>
      <c r="K121" s="27" t="s">
        <v>863</v>
      </c>
      <c r="L121" s="28" t="s">
        <v>868</v>
      </c>
      <c r="M121" s="28" t="s">
        <v>865</v>
      </c>
      <c r="N121" s="25">
        <v>1</v>
      </c>
      <c r="O121" s="29">
        <v>59.375000000000007</v>
      </c>
      <c r="P121" s="29">
        <v>59.375000000000007</v>
      </c>
      <c r="Q121" s="25" t="s">
        <v>735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58"/>
        <v>53.437500000000007</v>
      </c>
      <c r="AF121" s="32">
        <f t="shared" si="59"/>
        <v>5.9375</v>
      </c>
      <c r="AG121" s="30"/>
      <c r="AH121" s="33"/>
      <c r="AI121" s="34">
        <f t="shared" si="60"/>
        <v>0</v>
      </c>
      <c r="AJ121" s="35">
        <v>46295</v>
      </c>
      <c r="AK121" s="30">
        <v>1</v>
      </c>
      <c r="AL121" s="36">
        <f t="shared" si="61"/>
        <v>59.375000000000007</v>
      </c>
      <c r="AM121" s="35">
        <v>46301</v>
      </c>
      <c r="AN121" s="30">
        <v>1</v>
      </c>
      <c r="AO121" s="36">
        <f t="shared" si="62"/>
        <v>59.375000000000007</v>
      </c>
      <c r="AP121" s="35"/>
      <c r="AQ121" s="30"/>
      <c r="AR121" s="36">
        <f t="shared" si="63"/>
        <v>0</v>
      </c>
      <c r="AS121" s="27"/>
      <c r="AT121" s="37"/>
      <c r="AU121" s="30"/>
      <c r="AV121" s="36">
        <f t="shared" si="64"/>
        <v>0</v>
      </c>
      <c r="AW121" s="35"/>
      <c r="AX121" s="30"/>
      <c r="AY121" s="32">
        <f t="shared" si="65"/>
        <v>0</v>
      </c>
      <c r="AZ121" s="30" t="s">
        <v>841</v>
      </c>
      <c r="BA121" s="63"/>
      <c r="BB121" s="71" t="e">
        <f>SUMIFS([1]Form!$F$9:$F$22,[1]Form!$K$9:$K$22,K121)</f>
        <v>#VALUE!</v>
      </c>
      <c r="BC121" s="71"/>
      <c r="BD121" s="71"/>
    </row>
    <row r="122" spans="1:56" x14ac:dyDescent="0.25">
      <c r="A122" s="24">
        <f>IF(B122="","",SUBTOTAL(3,$B$4:B122))</f>
        <v>119</v>
      </c>
      <c r="B122" s="25" t="s">
        <v>840</v>
      </c>
      <c r="C122" s="25" t="str">
        <f t="shared" si="56"/>
        <v>Shipment 1 B-10124 Fired Proces Heater</v>
      </c>
      <c r="D122" s="25" t="s">
        <v>839</v>
      </c>
      <c r="E122" s="25" t="s">
        <v>838</v>
      </c>
      <c r="F122" s="25"/>
      <c r="G122" s="65"/>
      <c r="H122" s="25" t="s">
        <v>842</v>
      </c>
      <c r="I122" s="25"/>
      <c r="J122" s="26" t="s">
        <v>843</v>
      </c>
      <c r="K122" s="27" t="s">
        <v>863</v>
      </c>
      <c r="L122" s="28" t="s">
        <v>869</v>
      </c>
      <c r="M122" s="28" t="s">
        <v>865</v>
      </c>
      <c r="N122" s="25">
        <v>1</v>
      </c>
      <c r="O122" s="29">
        <v>59.375000000000007</v>
      </c>
      <c r="P122" s="29">
        <v>59.375000000000007</v>
      </c>
      <c r="Q122" s="25" t="s">
        <v>735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58"/>
        <v>53.437500000000007</v>
      </c>
      <c r="AF122" s="32">
        <f t="shared" si="59"/>
        <v>5.9375</v>
      </c>
      <c r="AG122" s="30"/>
      <c r="AH122" s="33"/>
      <c r="AI122" s="34">
        <f t="shared" si="60"/>
        <v>0</v>
      </c>
      <c r="AJ122" s="35">
        <v>46295</v>
      </c>
      <c r="AK122" s="30">
        <v>1</v>
      </c>
      <c r="AL122" s="36">
        <f t="shared" si="61"/>
        <v>59.375000000000007</v>
      </c>
      <c r="AM122" s="35">
        <v>46301</v>
      </c>
      <c r="AN122" s="30">
        <v>1</v>
      </c>
      <c r="AO122" s="36">
        <f t="shared" si="62"/>
        <v>59.375000000000007</v>
      </c>
      <c r="AP122" s="35"/>
      <c r="AQ122" s="30"/>
      <c r="AR122" s="36">
        <f t="shared" si="63"/>
        <v>0</v>
      </c>
      <c r="AS122" s="27"/>
      <c r="AT122" s="37"/>
      <c r="AU122" s="30"/>
      <c r="AV122" s="36">
        <f t="shared" si="64"/>
        <v>0</v>
      </c>
      <c r="AW122" s="35"/>
      <c r="AX122" s="30"/>
      <c r="AY122" s="32">
        <f t="shared" si="65"/>
        <v>0</v>
      </c>
      <c r="AZ122" s="30" t="s">
        <v>841</v>
      </c>
      <c r="BA122" s="63"/>
      <c r="BB122" s="71" t="e">
        <f>SUMIFS([1]Form!$F$9:$F$22,[1]Form!$K$9:$K$22,K122)</f>
        <v>#VALUE!</v>
      </c>
      <c r="BC122" s="71"/>
      <c r="BD122" s="71"/>
    </row>
    <row r="123" spans="1:56" x14ac:dyDescent="0.25">
      <c r="A123" s="24">
        <f>IF(B123="","",SUBTOTAL(3,$B$4:B123))</f>
        <v>120</v>
      </c>
      <c r="B123" s="25" t="s">
        <v>840</v>
      </c>
      <c r="C123" s="25" t="str">
        <f t="shared" si="56"/>
        <v>Shipment 1 B-10124 Fired Proces Heater</v>
      </c>
      <c r="D123" s="25" t="s">
        <v>839</v>
      </c>
      <c r="E123" s="25" t="s">
        <v>838</v>
      </c>
      <c r="F123" s="25"/>
      <c r="G123" s="65"/>
      <c r="H123" s="25" t="s">
        <v>842</v>
      </c>
      <c r="I123" s="25"/>
      <c r="J123" s="26" t="s">
        <v>843</v>
      </c>
      <c r="K123" s="27" t="s">
        <v>863</v>
      </c>
      <c r="L123" s="28" t="s">
        <v>870</v>
      </c>
      <c r="M123" s="28" t="s">
        <v>865</v>
      </c>
      <c r="N123" s="25">
        <v>1</v>
      </c>
      <c r="O123" s="29">
        <v>59.375000000000007</v>
      </c>
      <c r="P123" s="29">
        <v>59.375000000000007</v>
      </c>
      <c r="Q123" s="25" t="s">
        <v>735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58"/>
        <v>53.437500000000007</v>
      </c>
      <c r="AF123" s="32">
        <f t="shared" si="59"/>
        <v>5.9375</v>
      </c>
      <c r="AG123" s="30"/>
      <c r="AH123" s="33"/>
      <c r="AI123" s="34">
        <f t="shared" si="60"/>
        <v>0</v>
      </c>
      <c r="AJ123" s="35">
        <v>46295</v>
      </c>
      <c r="AK123" s="30">
        <v>1</v>
      </c>
      <c r="AL123" s="36">
        <f t="shared" si="61"/>
        <v>59.375000000000007</v>
      </c>
      <c r="AM123" s="35">
        <v>46301</v>
      </c>
      <c r="AN123" s="30">
        <v>1</v>
      </c>
      <c r="AO123" s="36">
        <f t="shared" si="62"/>
        <v>59.375000000000007</v>
      </c>
      <c r="AP123" s="35"/>
      <c r="AQ123" s="30"/>
      <c r="AR123" s="36">
        <f t="shared" si="63"/>
        <v>0</v>
      </c>
      <c r="AS123" s="27"/>
      <c r="AT123" s="37"/>
      <c r="AU123" s="30"/>
      <c r="AV123" s="36">
        <f t="shared" si="64"/>
        <v>0</v>
      </c>
      <c r="AW123" s="35"/>
      <c r="AX123" s="30"/>
      <c r="AY123" s="32">
        <f t="shared" si="65"/>
        <v>0</v>
      </c>
      <c r="AZ123" s="30" t="s">
        <v>841</v>
      </c>
      <c r="BA123" s="63"/>
      <c r="BB123" s="71" t="e">
        <f>SUMIFS([1]Form!$F$9:$F$22,[1]Form!$K$9:$K$22,K123)</f>
        <v>#VALUE!</v>
      </c>
      <c r="BC123" s="71"/>
      <c r="BD123" s="71"/>
    </row>
    <row r="124" spans="1:56" x14ac:dyDescent="0.25">
      <c r="A124" s="24">
        <f>IF(B124="","",SUBTOTAL(3,$B$4:B124))</f>
        <v>121</v>
      </c>
      <c r="B124" s="25" t="s">
        <v>840</v>
      </c>
      <c r="C124" s="25" t="str">
        <f t="shared" si="56"/>
        <v>Shipment 1 B-10124 Fired Proces Heater</v>
      </c>
      <c r="D124" s="25" t="s">
        <v>839</v>
      </c>
      <c r="E124" s="25" t="s">
        <v>838</v>
      </c>
      <c r="F124" s="25"/>
      <c r="G124" s="65"/>
      <c r="H124" s="25" t="s">
        <v>842</v>
      </c>
      <c r="I124" s="25"/>
      <c r="J124" s="26" t="s">
        <v>843</v>
      </c>
      <c r="K124" s="27" t="s">
        <v>863</v>
      </c>
      <c r="L124" s="28" t="s">
        <v>871</v>
      </c>
      <c r="M124" s="28" t="s">
        <v>865</v>
      </c>
      <c r="N124" s="25">
        <v>1</v>
      </c>
      <c r="O124" s="29">
        <v>59.375000000000007</v>
      </c>
      <c r="P124" s="29">
        <v>59.375000000000007</v>
      </c>
      <c r="Q124" s="25" t="s">
        <v>735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58"/>
        <v>53.437500000000007</v>
      </c>
      <c r="AF124" s="32">
        <f t="shared" si="59"/>
        <v>5.9375</v>
      </c>
      <c r="AG124" s="30"/>
      <c r="AH124" s="33"/>
      <c r="AI124" s="34">
        <f t="shared" si="60"/>
        <v>0</v>
      </c>
      <c r="AJ124" s="35">
        <v>46295</v>
      </c>
      <c r="AK124" s="30">
        <v>1</v>
      </c>
      <c r="AL124" s="36">
        <f t="shared" si="61"/>
        <v>59.375000000000007</v>
      </c>
      <c r="AM124" s="35">
        <v>46301</v>
      </c>
      <c r="AN124" s="30">
        <v>1</v>
      </c>
      <c r="AO124" s="36">
        <f t="shared" si="62"/>
        <v>59.375000000000007</v>
      </c>
      <c r="AP124" s="35"/>
      <c r="AQ124" s="30"/>
      <c r="AR124" s="36">
        <f t="shared" si="63"/>
        <v>0</v>
      </c>
      <c r="AS124" s="27"/>
      <c r="AT124" s="37"/>
      <c r="AU124" s="30"/>
      <c r="AV124" s="36">
        <f t="shared" si="64"/>
        <v>0</v>
      </c>
      <c r="AW124" s="35"/>
      <c r="AX124" s="30"/>
      <c r="AY124" s="32">
        <f t="shared" si="65"/>
        <v>0</v>
      </c>
      <c r="AZ124" s="30" t="s">
        <v>841</v>
      </c>
      <c r="BA124" s="63"/>
      <c r="BB124" s="71" t="e">
        <f>SUMIFS([1]Form!$F$9:$F$22,[1]Form!$K$9:$K$22,K124)</f>
        <v>#VALUE!</v>
      </c>
      <c r="BC124" s="71"/>
      <c r="BD124" s="71"/>
    </row>
    <row r="125" spans="1:56" x14ac:dyDescent="0.25">
      <c r="A125" s="24">
        <f>IF(B125="","",SUBTOTAL(3,$B$4:B125))</f>
        <v>122</v>
      </c>
      <c r="B125" s="25" t="s">
        <v>840</v>
      </c>
      <c r="C125" s="25" t="str">
        <f t="shared" si="56"/>
        <v>Shipment 1 B-10124 Fired Proces Heater</v>
      </c>
      <c r="D125" s="25" t="s">
        <v>839</v>
      </c>
      <c r="E125" s="25" t="s">
        <v>838</v>
      </c>
      <c r="F125" s="25"/>
      <c r="G125" s="65"/>
      <c r="H125" s="25" t="s">
        <v>842</v>
      </c>
      <c r="I125" s="25"/>
      <c r="J125" s="26" t="s">
        <v>843</v>
      </c>
      <c r="K125" s="27" t="s">
        <v>863</v>
      </c>
      <c r="L125" s="28" t="s">
        <v>872</v>
      </c>
      <c r="M125" s="28" t="s">
        <v>865</v>
      </c>
      <c r="N125" s="25">
        <v>1</v>
      </c>
      <c r="O125" s="29">
        <v>59.375000000000007</v>
      </c>
      <c r="P125" s="29">
        <v>59.375000000000007</v>
      </c>
      <c r="Q125" s="25" t="s">
        <v>735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58"/>
        <v>53.437500000000007</v>
      </c>
      <c r="AF125" s="32">
        <f t="shared" si="59"/>
        <v>5.9375</v>
      </c>
      <c r="AG125" s="30"/>
      <c r="AH125" s="33"/>
      <c r="AI125" s="34">
        <f t="shared" si="60"/>
        <v>0</v>
      </c>
      <c r="AJ125" s="35">
        <v>46295</v>
      </c>
      <c r="AK125" s="30">
        <v>1</v>
      </c>
      <c r="AL125" s="36">
        <f t="shared" si="61"/>
        <v>59.375000000000007</v>
      </c>
      <c r="AM125" s="35">
        <v>46301</v>
      </c>
      <c r="AN125" s="30">
        <v>1</v>
      </c>
      <c r="AO125" s="36">
        <f t="shared" si="62"/>
        <v>59.375000000000007</v>
      </c>
      <c r="AP125" s="35"/>
      <c r="AQ125" s="30"/>
      <c r="AR125" s="36">
        <f t="shared" si="63"/>
        <v>0</v>
      </c>
      <c r="AS125" s="27"/>
      <c r="AT125" s="37"/>
      <c r="AU125" s="30"/>
      <c r="AV125" s="36">
        <f t="shared" si="64"/>
        <v>0</v>
      </c>
      <c r="AW125" s="35"/>
      <c r="AX125" s="30"/>
      <c r="AY125" s="32">
        <f t="shared" si="65"/>
        <v>0</v>
      </c>
      <c r="AZ125" s="30" t="s">
        <v>841</v>
      </c>
      <c r="BA125" s="63"/>
      <c r="BB125" s="71" t="e">
        <f>SUMIFS([1]Form!$F$9:$F$22,[1]Form!$K$9:$K$22,K125)</f>
        <v>#VALUE!</v>
      </c>
      <c r="BC125" s="71"/>
      <c r="BD125" s="71"/>
    </row>
    <row r="126" spans="1:56" x14ac:dyDescent="0.25">
      <c r="A126" s="24">
        <f>IF(B126="","",SUBTOTAL(3,$B$4:B126))</f>
        <v>123</v>
      </c>
      <c r="B126" s="25" t="s">
        <v>840</v>
      </c>
      <c r="C126" s="25" t="str">
        <f t="shared" si="56"/>
        <v>Shipment 1 B-10124 Fired Proces Heater</v>
      </c>
      <c r="D126" s="25" t="s">
        <v>839</v>
      </c>
      <c r="E126" s="25" t="s">
        <v>838</v>
      </c>
      <c r="F126" s="25"/>
      <c r="G126" s="65"/>
      <c r="H126" s="25" t="s">
        <v>842</v>
      </c>
      <c r="I126" s="25"/>
      <c r="J126" s="26" t="s">
        <v>843</v>
      </c>
      <c r="K126" s="27" t="s">
        <v>873</v>
      </c>
      <c r="L126" s="28" t="s">
        <v>874</v>
      </c>
      <c r="M126" s="28" t="s">
        <v>865</v>
      </c>
      <c r="N126" s="25">
        <v>1</v>
      </c>
      <c r="O126" s="29">
        <v>59.375</v>
      </c>
      <c r="P126" s="29">
        <v>59.375</v>
      </c>
      <c r="Q126" s="25" t="s">
        <v>735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58"/>
        <v>53.4375</v>
      </c>
      <c r="AF126" s="32">
        <f t="shared" si="59"/>
        <v>5.9375</v>
      </c>
      <c r="AG126" s="30"/>
      <c r="AH126" s="33"/>
      <c r="AI126" s="34">
        <f t="shared" si="60"/>
        <v>0</v>
      </c>
      <c r="AJ126" s="35">
        <v>46295</v>
      </c>
      <c r="AK126" s="30">
        <v>1</v>
      </c>
      <c r="AL126" s="36">
        <f t="shared" si="61"/>
        <v>59.375</v>
      </c>
      <c r="AM126" s="35">
        <v>46301</v>
      </c>
      <c r="AN126" s="30">
        <v>1</v>
      </c>
      <c r="AO126" s="36">
        <f t="shared" si="62"/>
        <v>59.375</v>
      </c>
      <c r="AP126" s="35"/>
      <c r="AQ126" s="30"/>
      <c r="AR126" s="36">
        <f t="shared" si="63"/>
        <v>0</v>
      </c>
      <c r="AS126" s="27"/>
      <c r="AT126" s="37"/>
      <c r="AU126" s="30"/>
      <c r="AV126" s="36">
        <f t="shared" si="64"/>
        <v>0</v>
      </c>
      <c r="AW126" s="35"/>
      <c r="AX126" s="30"/>
      <c r="AY126" s="32">
        <f t="shared" si="65"/>
        <v>0</v>
      </c>
      <c r="AZ126" s="30" t="s">
        <v>841</v>
      </c>
      <c r="BA126" s="63"/>
      <c r="BB126" s="71" t="e">
        <f>SUMIFS([1]Form!$F$9:$F$22,[1]Form!$K$9:$K$22,K126)</f>
        <v>#VALUE!</v>
      </c>
      <c r="BC126" s="71"/>
      <c r="BD126" s="71"/>
    </row>
    <row r="127" spans="1:56" x14ac:dyDescent="0.25">
      <c r="A127" s="24">
        <f>IF(B127="","",SUBTOTAL(3,$B$4:B127))</f>
        <v>124</v>
      </c>
      <c r="B127" s="25" t="s">
        <v>840</v>
      </c>
      <c r="C127" s="25" t="str">
        <f t="shared" si="56"/>
        <v>Shipment 1 B-10124 Fired Proces Heater</v>
      </c>
      <c r="D127" s="25" t="s">
        <v>839</v>
      </c>
      <c r="E127" s="25" t="s">
        <v>838</v>
      </c>
      <c r="F127" s="25"/>
      <c r="G127" s="65"/>
      <c r="H127" s="25" t="s">
        <v>842</v>
      </c>
      <c r="I127" s="25"/>
      <c r="J127" s="26" t="s">
        <v>843</v>
      </c>
      <c r="K127" s="27" t="s">
        <v>873</v>
      </c>
      <c r="L127" s="28" t="s">
        <v>875</v>
      </c>
      <c r="M127" s="28" t="s">
        <v>865</v>
      </c>
      <c r="N127" s="25">
        <v>1</v>
      </c>
      <c r="O127" s="29">
        <v>59.375</v>
      </c>
      <c r="P127" s="29">
        <v>59.375</v>
      </c>
      <c r="Q127" s="25" t="s">
        <v>735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58"/>
        <v>53.4375</v>
      </c>
      <c r="AF127" s="32">
        <f t="shared" si="59"/>
        <v>5.9375</v>
      </c>
      <c r="AG127" s="30"/>
      <c r="AH127" s="33"/>
      <c r="AI127" s="34">
        <f t="shared" si="60"/>
        <v>0</v>
      </c>
      <c r="AJ127" s="35">
        <v>46295</v>
      </c>
      <c r="AK127" s="30">
        <v>1</v>
      </c>
      <c r="AL127" s="36">
        <f t="shared" si="61"/>
        <v>59.375</v>
      </c>
      <c r="AM127" s="35">
        <v>46301</v>
      </c>
      <c r="AN127" s="30">
        <v>1</v>
      </c>
      <c r="AO127" s="36">
        <f t="shared" si="62"/>
        <v>59.375</v>
      </c>
      <c r="AP127" s="35"/>
      <c r="AQ127" s="30"/>
      <c r="AR127" s="36">
        <f t="shared" si="63"/>
        <v>0</v>
      </c>
      <c r="AS127" s="27"/>
      <c r="AT127" s="37"/>
      <c r="AU127" s="30"/>
      <c r="AV127" s="36">
        <f t="shared" si="64"/>
        <v>0</v>
      </c>
      <c r="AW127" s="35"/>
      <c r="AX127" s="30"/>
      <c r="AY127" s="32">
        <f t="shared" si="65"/>
        <v>0</v>
      </c>
      <c r="AZ127" s="30" t="s">
        <v>841</v>
      </c>
      <c r="BA127" s="63"/>
      <c r="BB127" s="71" t="e">
        <f>SUMIFS([1]Form!$F$9:$F$22,[1]Form!$K$9:$K$22,K127)</f>
        <v>#VALUE!</v>
      </c>
      <c r="BC127" s="71"/>
      <c r="BD127" s="71"/>
    </row>
    <row r="128" spans="1:56" x14ac:dyDescent="0.25">
      <c r="A128" s="24">
        <f>IF(B128="","",SUBTOTAL(3,$B$4:B128))</f>
        <v>125</v>
      </c>
      <c r="B128" s="25" t="s">
        <v>840</v>
      </c>
      <c r="C128" s="25" t="str">
        <f t="shared" si="56"/>
        <v>Shipment 1 B-10124 Fired Proces Heater</v>
      </c>
      <c r="D128" s="25" t="s">
        <v>839</v>
      </c>
      <c r="E128" s="25" t="s">
        <v>838</v>
      </c>
      <c r="F128" s="25"/>
      <c r="G128" s="65"/>
      <c r="H128" s="25" t="s">
        <v>842</v>
      </c>
      <c r="I128" s="25"/>
      <c r="J128" s="26" t="s">
        <v>843</v>
      </c>
      <c r="K128" s="27" t="s">
        <v>873</v>
      </c>
      <c r="L128" s="28" t="s">
        <v>876</v>
      </c>
      <c r="M128" s="28" t="s">
        <v>865</v>
      </c>
      <c r="N128" s="25">
        <v>1</v>
      </c>
      <c r="O128" s="29">
        <v>59.375</v>
      </c>
      <c r="P128" s="29">
        <v>59.375</v>
      </c>
      <c r="Q128" s="25" t="s">
        <v>735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58"/>
        <v>53.4375</v>
      </c>
      <c r="AF128" s="32">
        <f t="shared" si="59"/>
        <v>5.9375</v>
      </c>
      <c r="AG128" s="30"/>
      <c r="AH128" s="33"/>
      <c r="AI128" s="34">
        <f t="shared" si="60"/>
        <v>0</v>
      </c>
      <c r="AJ128" s="35">
        <v>46295</v>
      </c>
      <c r="AK128" s="30">
        <v>1</v>
      </c>
      <c r="AL128" s="36">
        <f t="shared" si="61"/>
        <v>59.375</v>
      </c>
      <c r="AM128" s="35">
        <v>46301</v>
      </c>
      <c r="AN128" s="30">
        <v>1</v>
      </c>
      <c r="AO128" s="36">
        <f t="shared" si="62"/>
        <v>59.375</v>
      </c>
      <c r="AP128" s="35"/>
      <c r="AQ128" s="30"/>
      <c r="AR128" s="36">
        <f t="shared" si="63"/>
        <v>0</v>
      </c>
      <c r="AS128" s="27"/>
      <c r="AT128" s="37"/>
      <c r="AU128" s="30"/>
      <c r="AV128" s="36">
        <f t="shared" si="64"/>
        <v>0</v>
      </c>
      <c r="AW128" s="35"/>
      <c r="AX128" s="30"/>
      <c r="AY128" s="32">
        <f t="shared" si="65"/>
        <v>0</v>
      </c>
      <c r="AZ128" s="30" t="s">
        <v>841</v>
      </c>
      <c r="BA128" s="63"/>
      <c r="BB128" s="71" t="e">
        <f>SUMIFS([1]Form!$F$9:$F$22,[1]Form!$K$9:$K$22,K128)</f>
        <v>#VALUE!</v>
      </c>
      <c r="BC128" s="71"/>
      <c r="BD128" s="71"/>
    </row>
    <row r="129" spans="1:56" x14ac:dyDescent="0.25">
      <c r="A129" s="24">
        <f>IF(B129="","",SUBTOTAL(3,$B$4:B129))</f>
        <v>126</v>
      </c>
      <c r="B129" s="25" t="s">
        <v>840</v>
      </c>
      <c r="C129" s="25" t="str">
        <f t="shared" si="56"/>
        <v>Shipment 1 B-10124 Fired Proces Heater</v>
      </c>
      <c r="D129" s="25" t="s">
        <v>839</v>
      </c>
      <c r="E129" s="25" t="s">
        <v>838</v>
      </c>
      <c r="F129" s="25"/>
      <c r="G129" s="65"/>
      <c r="H129" s="25" t="s">
        <v>842</v>
      </c>
      <c r="I129" s="25"/>
      <c r="J129" s="26" t="s">
        <v>843</v>
      </c>
      <c r="K129" s="27" t="s">
        <v>873</v>
      </c>
      <c r="L129" s="28" t="s">
        <v>877</v>
      </c>
      <c r="M129" s="28" t="s">
        <v>865</v>
      </c>
      <c r="N129" s="25">
        <v>1</v>
      </c>
      <c r="O129" s="29">
        <v>59.375</v>
      </c>
      <c r="P129" s="29">
        <v>59.375</v>
      </c>
      <c r="Q129" s="25" t="s">
        <v>735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58"/>
        <v>53.4375</v>
      </c>
      <c r="AF129" s="32">
        <f t="shared" si="59"/>
        <v>5.9375</v>
      </c>
      <c r="AG129" s="30"/>
      <c r="AH129" s="33"/>
      <c r="AI129" s="34">
        <f t="shared" si="60"/>
        <v>0</v>
      </c>
      <c r="AJ129" s="35">
        <v>46295</v>
      </c>
      <c r="AK129" s="30">
        <v>1</v>
      </c>
      <c r="AL129" s="36">
        <f t="shared" si="61"/>
        <v>59.375</v>
      </c>
      <c r="AM129" s="35">
        <v>46301</v>
      </c>
      <c r="AN129" s="30">
        <v>1</v>
      </c>
      <c r="AO129" s="36">
        <f t="shared" si="62"/>
        <v>59.375</v>
      </c>
      <c r="AP129" s="35"/>
      <c r="AQ129" s="30"/>
      <c r="AR129" s="36">
        <f t="shared" si="63"/>
        <v>0</v>
      </c>
      <c r="AS129" s="27"/>
      <c r="AT129" s="37"/>
      <c r="AU129" s="30"/>
      <c r="AV129" s="36">
        <f t="shared" si="64"/>
        <v>0</v>
      </c>
      <c r="AW129" s="35"/>
      <c r="AX129" s="30"/>
      <c r="AY129" s="32">
        <f t="shared" si="65"/>
        <v>0</v>
      </c>
      <c r="AZ129" s="30" t="s">
        <v>841</v>
      </c>
      <c r="BA129" s="63"/>
      <c r="BB129" s="71" t="e">
        <f>SUMIFS([1]Form!$F$9:$F$22,[1]Form!$K$9:$K$22,K129)</f>
        <v>#VALUE!</v>
      </c>
      <c r="BC129" s="71"/>
      <c r="BD129" s="71"/>
    </row>
    <row r="130" spans="1:56" x14ac:dyDescent="0.25">
      <c r="A130" s="24">
        <f>IF(B130="","",SUBTOTAL(3,$B$4:B130))</f>
        <v>127</v>
      </c>
      <c r="B130" s="25" t="s">
        <v>840</v>
      </c>
      <c r="C130" s="25" t="str">
        <f t="shared" si="56"/>
        <v>Shipment 1 B-10124 Fired Proces Heater</v>
      </c>
      <c r="D130" s="25" t="s">
        <v>839</v>
      </c>
      <c r="E130" s="25" t="s">
        <v>838</v>
      </c>
      <c r="F130" s="25"/>
      <c r="G130" s="65"/>
      <c r="H130" s="25" t="s">
        <v>842</v>
      </c>
      <c r="I130" s="25"/>
      <c r="J130" s="26" t="s">
        <v>843</v>
      </c>
      <c r="K130" s="27" t="s">
        <v>873</v>
      </c>
      <c r="L130" s="28" t="s">
        <v>878</v>
      </c>
      <c r="M130" s="28" t="s">
        <v>865</v>
      </c>
      <c r="N130" s="25">
        <v>1</v>
      </c>
      <c r="O130" s="29">
        <v>59.375</v>
      </c>
      <c r="P130" s="29">
        <v>59.375</v>
      </c>
      <c r="Q130" s="25" t="s">
        <v>735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58"/>
        <v>53.4375</v>
      </c>
      <c r="AF130" s="32">
        <f t="shared" si="59"/>
        <v>5.9375</v>
      </c>
      <c r="AG130" s="30"/>
      <c r="AH130" s="33"/>
      <c r="AI130" s="34">
        <f t="shared" si="60"/>
        <v>0</v>
      </c>
      <c r="AJ130" s="35">
        <v>46295</v>
      </c>
      <c r="AK130" s="30">
        <v>1</v>
      </c>
      <c r="AL130" s="36">
        <f t="shared" si="61"/>
        <v>59.375</v>
      </c>
      <c r="AM130" s="35">
        <v>46301</v>
      </c>
      <c r="AN130" s="30">
        <v>1</v>
      </c>
      <c r="AO130" s="36">
        <f t="shared" si="62"/>
        <v>59.375</v>
      </c>
      <c r="AP130" s="35"/>
      <c r="AQ130" s="30"/>
      <c r="AR130" s="36">
        <f t="shared" si="63"/>
        <v>0</v>
      </c>
      <c r="AS130" s="27"/>
      <c r="AT130" s="37"/>
      <c r="AU130" s="30"/>
      <c r="AV130" s="36">
        <f t="shared" si="64"/>
        <v>0</v>
      </c>
      <c r="AW130" s="35"/>
      <c r="AX130" s="30"/>
      <c r="AY130" s="32">
        <f t="shared" si="65"/>
        <v>0</v>
      </c>
      <c r="AZ130" s="30" t="s">
        <v>841</v>
      </c>
      <c r="BA130" s="63"/>
      <c r="BB130" s="71" t="e">
        <f>SUMIFS([1]Form!$F$9:$F$22,[1]Form!$K$9:$K$22,K130)</f>
        <v>#VALUE!</v>
      </c>
      <c r="BC130" s="71"/>
      <c r="BD130" s="71"/>
    </row>
    <row r="131" spans="1:56" x14ac:dyDescent="0.25">
      <c r="A131" s="24">
        <f>IF(B131="","",SUBTOTAL(3,$B$4:B131))</f>
        <v>128</v>
      </c>
      <c r="B131" s="25" t="s">
        <v>840</v>
      </c>
      <c r="C131" s="25" t="str">
        <f t="shared" si="56"/>
        <v>Shipment 1 B-10124 Fired Proces Heater</v>
      </c>
      <c r="D131" s="25" t="s">
        <v>839</v>
      </c>
      <c r="E131" s="25" t="s">
        <v>838</v>
      </c>
      <c r="F131" s="25"/>
      <c r="G131" s="65"/>
      <c r="H131" s="25" t="s">
        <v>842</v>
      </c>
      <c r="I131" s="25"/>
      <c r="J131" s="26" t="s">
        <v>843</v>
      </c>
      <c r="K131" s="27" t="s">
        <v>873</v>
      </c>
      <c r="L131" s="28" t="s">
        <v>879</v>
      </c>
      <c r="M131" s="28" t="s">
        <v>865</v>
      </c>
      <c r="N131" s="25">
        <v>1</v>
      </c>
      <c r="O131" s="29">
        <v>59.375</v>
      </c>
      <c r="P131" s="29">
        <v>59.375</v>
      </c>
      <c r="Q131" s="25" t="s">
        <v>735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58"/>
        <v>53.4375</v>
      </c>
      <c r="AF131" s="32">
        <f t="shared" si="59"/>
        <v>5.9375</v>
      </c>
      <c r="AG131" s="30"/>
      <c r="AH131" s="33"/>
      <c r="AI131" s="34">
        <f t="shared" si="60"/>
        <v>0</v>
      </c>
      <c r="AJ131" s="35">
        <v>46295</v>
      </c>
      <c r="AK131" s="30">
        <v>1</v>
      </c>
      <c r="AL131" s="36">
        <f t="shared" si="61"/>
        <v>59.375</v>
      </c>
      <c r="AM131" s="35">
        <v>46301</v>
      </c>
      <c r="AN131" s="30">
        <v>1</v>
      </c>
      <c r="AO131" s="36">
        <f t="shared" si="62"/>
        <v>59.375</v>
      </c>
      <c r="AP131" s="35"/>
      <c r="AQ131" s="30"/>
      <c r="AR131" s="36">
        <f t="shared" si="63"/>
        <v>0</v>
      </c>
      <c r="AS131" s="27"/>
      <c r="AT131" s="37"/>
      <c r="AU131" s="30"/>
      <c r="AV131" s="36">
        <f t="shared" si="64"/>
        <v>0</v>
      </c>
      <c r="AW131" s="35"/>
      <c r="AX131" s="30"/>
      <c r="AY131" s="32">
        <f t="shared" si="65"/>
        <v>0</v>
      </c>
      <c r="AZ131" s="30" t="s">
        <v>841</v>
      </c>
      <c r="BA131" s="63"/>
      <c r="BB131" s="71" t="e">
        <f>SUMIFS([1]Form!$F$9:$F$22,[1]Form!$K$9:$K$22,K131)</f>
        <v>#VALUE!</v>
      </c>
      <c r="BC131" s="71"/>
      <c r="BD131" s="71"/>
    </row>
    <row r="132" spans="1:56" x14ac:dyDescent="0.25">
      <c r="A132" s="24">
        <f>IF(B132="","",SUBTOTAL(3,$B$4:B132))</f>
        <v>129</v>
      </c>
      <c r="B132" s="25" t="s">
        <v>840</v>
      </c>
      <c r="C132" s="25" t="str">
        <f t="shared" si="56"/>
        <v>Shipment 1 B-10124 Fired Proces Heater</v>
      </c>
      <c r="D132" s="25" t="s">
        <v>839</v>
      </c>
      <c r="E132" s="25" t="s">
        <v>838</v>
      </c>
      <c r="F132" s="25"/>
      <c r="G132" s="65"/>
      <c r="H132" s="25" t="s">
        <v>842</v>
      </c>
      <c r="I132" s="25"/>
      <c r="J132" s="26" t="s">
        <v>843</v>
      </c>
      <c r="K132" s="27" t="s">
        <v>873</v>
      </c>
      <c r="L132" s="28" t="s">
        <v>880</v>
      </c>
      <c r="M132" s="28" t="s">
        <v>865</v>
      </c>
      <c r="N132" s="25">
        <v>1</v>
      </c>
      <c r="O132" s="29">
        <v>59.375</v>
      </c>
      <c r="P132" s="29">
        <v>59.375</v>
      </c>
      <c r="Q132" s="25" t="s">
        <v>735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58"/>
        <v>53.4375</v>
      </c>
      <c r="AF132" s="32">
        <f t="shared" si="59"/>
        <v>5.9375</v>
      </c>
      <c r="AG132" s="30"/>
      <c r="AH132" s="33"/>
      <c r="AI132" s="34">
        <f t="shared" si="60"/>
        <v>0</v>
      </c>
      <c r="AJ132" s="35">
        <v>46295</v>
      </c>
      <c r="AK132" s="30">
        <v>1</v>
      </c>
      <c r="AL132" s="36">
        <f t="shared" si="61"/>
        <v>59.375</v>
      </c>
      <c r="AM132" s="35">
        <v>46301</v>
      </c>
      <c r="AN132" s="30">
        <v>1</v>
      </c>
      <c r="AO132" s="36">
        <f t="shared" si="62"/>
        <v>59.375</v>
      </c>
      <c r="AP132" s="35"/>
      <c r="AQ132" s="30"/>
      <c r="AR132" s="36">
        <f t="shared" si="63"/>
        <v>0</v>
      </c>
      <c r="AS132" s="27"/>
      <c r="AT132" s="37"/>
      <c r="AU132" s="30"/>
      <c r="AV132" s="36">
        <f t="shared" si="64"/>
        <v>0</v>
      </c>
      <c r="AW132" s="35"/>
      <c r="AX132" s="30"/>
      <c r="AY132" s="32">
        <f t="shared" si="65"/>
        <v>0</v>
      </c>
      <c r="AZ132" s="30" t="s">
        <v>841</v>
      </c>
      <c r="BA132" s="63"/>
      <c r="BB132" s="71" t="e">
        <f>SUMIFS([1]Form!$F$9:$F$22,[1]Form!$K$9:$K$22,K132)</f>
        <v>#VALUE!</v>
      </c>
      <c r="BC132" s="71"/>
      <c r="BD132" s="71"/>
    </row>
    <row r="133" spans="1:56" x14ac:dyDescent="0.25">
      <c r="A133" s="24">
        <f>IF(B133="","",SUBTOTAL(3,$B$4:B133))</f>
        <v>130</v>
      </c>
      <c r="B133" s="25" t="s">
        <v>840</v>
      </c>
      <c r="C133" s="25" t="str">
        <f t="shared" si="56"/>
        <v>Shipment 1 B-10124 Fired Proces Heater</v>
      </c>
      <c r="D133" s="25" t="s">
        <v>839</v>
      </c>
      <c r="E133" s="25" t="s">
        <v>838</v>
      </c>
      <c r="F133" s="25"/>
      <c r="G133" s="65"/>
      <c r="H133" s="25" t="s">
        <v>842</v>
      </c>
      <c r="I133" s="25"/>
      <c r="J133" s="26" t="s">
        <v>843</v>
      </c>
      <c r="K133" s="27" t="s">
        <v>873</v>
      </c>
      <c r="L133" s="28" t="s">
        <v>881</v>
      </c>
      <c r="M133" s="28" t="s">
        <v>865</v>
      </c>
      <c r="N133" s="25">
        <v>1</v>
      </c>
      <c r="O133" s="29">
        <v>59.375</v>
      </c>
      <c r="P133" s="29">
        <v>59.375</v>
      </c>
      <c r="Q133" s="25" t="s">
        <v>735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58"/>
        <v>53.4375</v>
      </c>
      <c r="AF133" s="32">
        <f t="shared" si="59"/>
        <v>5.9375</v>
      </c>
      <c r="AG133" s="30"/>
      <c r="AH133" s="33"/>
      <c r="AI133" s="34">
        <f t="shared" si="60"/>
        <v>0</v>
      </c>
      <c r="AJ133" s="35">
        <v>46295</v>
      </c>
      <c r="AK133" s="30">
        <v>1</v>
      </c>
      <c r="AL133" s="36">
        <f t="shared" si="61"/>
        <v>59.375</v>
      </c>
      <c r="AM133" s="35">
        <v>46301</v>
      </c>
      <c r="AN133" s="30">
        <v>1</v>
      </c>
      <c r="AO133" s="36">
        <f t="shared" si="62"/>
        <v>59.375</v>
      </c>
      <c r="AP133" s="35"/>
      <c r="AQ133" s="30"/>
      <c r="AR133" s="36">
        <f t="shared" si="63"/>
        <v>0</v>
      </c>
      <c r="AS133" s="27"/>
      <c r="AT133" s="37"/>
      <c r="AU133" s="30"/>
      <c r="AV133" s="36">
        <f t="shared" si="64"/>
        <v>0</v>
      </c>
      <c r="AW133" s="35"/>
      <c r="AX133" s="30"/>
      <c r="AY133" s="32">
        <f t="shared" si="65"/>
        <v>0</v>
      </c>
      <c r="AZ133" s="30" t="s">
        <v>841</v>
      </c>
      <c r="BA133" s="63"/>
      <c r="BB133" s="71" t="e">
        <f>SUMIFS([1]Form!$F$9:$F$22,[1]Form!$K$9:$K$22,K133)</f>
        <v>#VALUE!</v>
      </c>
      <c r="BC133" s="71"/>
      <c r="BD133" s="71"/>
    </row>
    <row r="134" spans="1:56" x14ac:dyDescent="0.25">
      <c r="A134" s="24">
        <f>IF(B134="","",SUBTOTAL(3,$B$4:B134))</f>
        <v>131</v>
      </c>
      <c r="B134" s="25" t="s">
        <v>840</v>
      </c>
      <c r="C134" s="25" t="str">
        <f t="shared" si="56"/>
        <v>Shipment 1 B-10124 Fired Proces Heater</v>
      </c>
      <c r="D134" s="25" t="s">
        <v>839</v>
      </c>
      <c r="E134" s="25" t="s">
        <v>838</v>
      </c>
      <c r="F134" s="25"/>
      <c r="G134" s="65"/>
      <c r="H134" s="25" t="s">
        <v>842</v>
      </c>
      <c r="I134" s="25"/>
      <c r="J134" s="26" t="s">
        <v>843</v>
      </c>
      <c r="K134" s="27" t="s">
        <v>882</v>
      </c>
      <c r="L134" s="28" t="s">
        <v>883</v>
      </c>
      <c r="M134" s="28" t="s">
        <v>737</v>
      </c>
      <c r="N134" s="25">
        <v>64</v>
      </c>
      <c r="O134" s="29">
        <v>7.6562500000000006E-2</v>
      </c>
      <c r="P134" s="29">
        <v>4.9000000000000004</v>
      </c>
      <c r="Q134" s="25" t="s">
        <v>738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58"/>
        <v>0</v>
      </c>
      <c r="AF134" s="32">
        <f t="shared" si="59"/>
        <v>4.9000000000000004</v>
      </c>
      <c r="AG134" s="30"/>
      <c r="AH134" s="33"/>
      <c r="AI134" s="34">
        <f t="shared" si="60"/>
        <v>0</v>
      </c>
      <c r="AJ134" s="35"/>
      <c r="AK134" s="30"/>
      <c r="AL134" s="36">
        <f t="shared" si="61"/>
        <v>0</v>
      </c>
      <c r="AM134" s="35"/>
      <c r="AN134" s="30"/>
      <c r="AO134" s="36">
        <f t="shared" si="62"/>
        <v>0</v>
      </c>
      <c r="AP134" s="35"/>
      <c r="AQ134" s="30"/>
      <c r="AR134" s="36">
        <f t="shared" si="63"/>
        <v>0</v>
      </c>
      <c r="AS134" s="27"/>
      <c r="AT134" s="37"/>
      <c r="AU134" s="30"/>
      <c r="AV134" s="36">
        <f t="shared" si="64"/>
        <v>0</v>
      </c>
      <c r="AW134" s="35"/>
      <c r="AX134" s="30"/>
      <c r="AY134" s="32">
        <f t="shared" si="65"/>
        <v>0</v>
      </c>
      <c r="AZ134" s="30" t="s">
        <v>841</v>
      </c>
      <c r="BA134" s="63"/>
      <c r="BB134" s="71" t="e">
        <f>SUMIFS([1]Form!$F$9:$F$22,[1]Form!$K$9:$K$22,K134)</f>
        <v>#VALUE!</v>
      </c>
      <c r="BC134" s="71"/>
      <c r="BD134" s="71"/>
    </row>
    <row r="135" spans="1:56" x14ac:dyDescent="0.25">
      <c r="A135" s="24">
        <f>IF(B135="","",SUBTOTAL(3,$B$4:B135))</f>
        <v>132</v>
      </c>
      <c r="B135" s="25" t="s">
        <v>840</v>
      </c>
      <c r="C135" s="25" t="str">
        <f t="shared" si="56"/>
        <v>Shipment 1 B-10124 Fired Proces Heater</v>
      </c>
      <c r="D135" s="25" t="s">
        <v>839</v>
      </c>
      <c r="E135" s="25" t="s">
        <v>838</v>
      </c>
      <c r="F135" s="25"/>
      <c r="G135" s="65"/>
      <c r="H135" s="25" t="s">
        <v>842</v>
      </c>
      <c r="I135" s="25"/>
      <c r="J135" s="26" t="s">
        <v>843</v>
      </c>
      <c r="K135" s="27" t="s">
        <v>884</v>
      </c>
      <c r="L135" s="28" t="s">
        <v>885</v>
      </c>
      <c r="M135" s="28" t="s">
        <v>865</v>
      </c>
      <c r="N135" s="25">
        <v>1</v>
      </c>
      <c r="O135" s="29">
        <v>36.741666666666667</v>
      </c>
      <c r="P135" s="29">
        <v>36.741666666666667</v>
      </c>
      <c r="Q135" s="25" t="s">
        <v>736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58"/>
        <v>33.067500000000003</v>
      </c>
      <c r="AF135" s="32">
        <f t="shared" si="59"/>
        <v>3.6741666666666646</v>
      </c>
      <c r="AG135" s="30"/>
      <c r="AH135" s="33"/>
      <c r="AI135" s="34">
        <f t="shared" si="60"/>
        <v>0</v>
      </c>
      <c r="AJ135" s="35">
        <v>46295</v>
      </c>
      <c r="AK135" s="30">
        <v>1</v>
      </c>
      <c r="AL135" s="36">
        <f t="shared" si="61"/>
        <v>36.741666666666667</v>
      </c>
      <c r="AM135" s="35">
        <v>46303</v>
      </c>
      <c r="AN135" s="30">
        <v>1</v>
      </c>
      <c r="AO135" s="36">
        <f t="shared" si="62"/>
        <v>36.741666666666667</v>
      </c>
      <c r="AP135" s="35"/>
      <c r="AQ135" s="30"/>
      <c r="AR135" s="36">
        <f t="shared" si="63"/>
        <v>0</v>
      </c>
      <c r="AS135" s="27"/>
      <c r="AT135" s="37"/>
      <c r="AU135" s="30"/>
      <c r="AV135" s="36">
        <f t="shared" si="64"/>
        <v>0</v>
      </c>
      <c r="AW135" s="35"/>
      <c r="AX135" s="30"/>
      <c r="AY135" s="32">
        <f t="shared" si="65"/>
        <v>0</v>
      </c>
      <c r="AZ135" s="30" t="s">
        <v>841</v>
      </c>
      <c r="BA135" s="63"/>
      <c r="BB135" s="71" t="e">
        <f>SUMIFS([1]Form!$F$9:$F$22,[1]Form!$K$9:$K$22,K135)</f>
        <v>#VALUE!</v>
      </c>
      <c r="BC135" s="71"/>
      <c r="BD135" s="71"/>
    </row>
    <row r="136" spans="1:56" x14ac:dyDescent="0.25">
      <c r="A136" s="24">
        <f>IF(B136="","",SUBTOTAL(3,$B$4:B136))</f>
        <v>133</v>
      </c>
      <c r="B136" s="25" t="s">
        <v>840</v>
      </c>
      <c r="C136" s="25" t="str">
        <f t="shared" si="56"/>
        <v>Shipment 1 B-10124 Fired Proces Heater</v>
      </c>
      <c r="D136" s="25" t="s">
        <v>839</v>
      </c>
      <c r="E136" s="25" t="s">
        <v>838</v>
      </c>
      <c r="F136" s="25"/>
      <c r="G136" s="65"/>
      <c r="H136" s="25" t="s">
        <v>842</v>
      </c>
      <c r="I136" s="25"/>
      <c r="J136" s="26" t="s">
        <v>843</v>
      </c>
      <c r="K136" s="27" t="s">
        <v>884</v>
      </c>
      <c r="L136" s="28" t="s">
        <v>886</v>
      </c>
      <c r="M136" s="28" t="s">
        <v>865</v>
      </c>
      <c r="N136" s="25">
        <v>1</v>
      </c>
      <c r="O136" s="29">
        <v>36.741666666666667</v>
      </c>
      <c r="P136" s="29">
        <v>36.741666666666667</v>
      </c>
      <c r="Q136" s="25" t="s">
        <v>736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58"/>
        <v>33.067500000000003</v>
      </c>
      <c r="AF136" s="32">
        <f t="shared" si="59"/>
        <v>3.6741666666666646</v>
      </c>
      <c r="AG136" s="30"/>
      <c r="AH136" s="33"/>
      <c r="AI136" s="34">
        <f t="shared" si="60"/>
        <v>0</v>
      </c>
      <c r="AJ136" s="35">
        <v>46295</v>
      </c>
      <c r="AK136" s="30">
        <v>1</v>
      </c>
      <c r="AL136" s="36">
        <f t="shared" si="61"/>
        <v>36.741666666666667</v>
      </c>
      <c r="AM136" s="35">
        <v>46303</v>
      </c>
      <c r="AN136" s="30">
        <v>1</v>
      </c>
      <c r="AO136" s="36">
        <f t="shared" si="62"/>
        <v>36.741666666666667</v>
      </c>
      <c r="AP136" s="35"/>
      <c r="AQ136" s="30"/>
      <c r="AR136" s="36">
        <f t="shared" si="63"/>
        <v>0</v>
      </c>
      <c r="AS136" s="27"/>
      <c r="AT136" s="37"/>
      <c r="AU136" s="30"/>
      <c r="AV136" s="36">
        <f t="shared" si="64"/>
        <v>0</v>
      </c>
      <c r="AW136" s="35"/>
      <c r="AX136" s="30"/>
      <c r="AY136" s="32">
        <f t="shared" si="65"/>
        <v>0</v>
      </c>
      <c r="AZ136" s="30" t="s">
        <v>841</v>
      </c>
      <c r="BA136" s="63"/>
      <c r="BB136" s="71" t="e">
        <f>SUMIFS([1]Form!$F$9:$F$22,[1]Form!$K$9:$K$22,K136)</f>
        <v>#VALUE!</v>
      </c>
      <c r="BC136" s="71"/>
      <c r="BD136" s="71"/>
    </row>
    <row r="137" spans="1:56" x14ac:dyDescent="0.25">
      <c r="A137" s="24">
        <f>IF(B137="","",SUBTOTAL(3,$B$4:B137))</f>
        <v>134</v>
      </c>
      <c r="B137" s="25" t="s">
        <v>840</v>
      </c>
      <c r="C137" s="25" t="str">
        <f t="shared" si="56"/>
        <v>Shipment 1 B-10124 Fired Proces Heater</v>
      </c>
      <c r="D137" s="25" t="s">
        <v>839</v>
      </c>
      <c r="E137" s="25" t="s">
        <v>838</v>
      </c>
      <c r="F137" s="25"/>
      <c r="G137" s="65"/>
      <c r="H137" s="25" t="s">
        <v>842</v>
      </c>
      <c r="I137" s="25"/>
      <c r="J137" s="26" t="s">
        <v>843</v>
      </c>
      <c r="K137" s="27" t="s">
        <v>884</v>
      </c>
      <c r="L137" s="28" t="s">
        <v>887</v>
      </c>
      <c r="M137" s="28" t="s">
        <v>865</v>
      </c>
      <c r="N137" s="25">
        <v>1</v>
      </c>
      <c r="O137" s="29">
        <v>36.741666666666667</v>
      </c>
      <c r="P137" s="29">
        <v>36.741666666666667</v>
      </c>
      <c r="Q137" s="25" t="s">
        <v>736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58"/>
        <v>33.067500000000003</v>
      </c>
      <c r="AF137" s="32">
        <f t="shared" si="59"/>
        <v>3.6741666666666646</v>
      </c>
      <c r="AG137" s="30"/>
      <c r="AH137" s="33"/>
      <c r="AI137" s="34">
        <f t="shared" si="60"/>
        <v>0</v>
      </c>
      <c r="AJ137" s="35">
        <v>46295</v>
      </c>
      <c r="AK137" s="30">
        <v>1</v>
      </c>
      <c r="AL137" s="36">
        <f t="shared" si="61"/>
        <v>36.741666666666667</v>
      </c>
      <c r="AM137" s="35">
        <v>46303</v>
      </c>
      <c r="AN137" s="30">
        <v>1</v>
      </c>
      <c r="AO137" s="36">
        <f t="shared" si="62"/>
        <v>36.741666666666667</v>
      </c>
      <c r="AP137" s="35"/>
      <c r="AQ137" s="30"/>
      <c r="AR137" s="36">
        <f t="shared" si="63"/>
        <v>0</v>
      </c>
      <c r="AS137" s="27"/>
      <c r="AT137" s="37"/>
      <c r="AU137" s="30"/>
      <c r="AV137" s="36">
        <f t="shared" si="64"/>
        <v>0</v>
      </c>
      <c r="AW137" s="35"/>
      <c r="AX137" s="30"/>
      <c r="AY137" s="32">
        <f t="shared" si="65"/>
        <v>0</v>
      </c>
      <c r="AZ137" s="30" t="s">
        <v>841</v>
      </c>
      <c r="BA137" s="63"/>
      <c r="BB137" s="71" t="e">
        <f>SUMIFS([1]Form!$F$9:$F$22,[1]Form!$K$9:$K$22,K137)</f>
        <v>#VALUE!</v>
      </c>
      <c r="BC137" s="71"/>
      <c r="BD137" s="71"/>
    </row>
    <row r="138" spans="1:56" x14ac:dyDescent="0.25">
      <c r="A138" s="24">
        <f>IF(B138="","",SUBTOTAL(3,$B$4:B138))</f>
        <v>135</v>
      </c>
      <c r="B138" s="25" t="s">
        <v>840</v>
      </c>
      <c r="C138" s="25" t="str">
        <f t="shared" si="56"/>
        <v>Shipment 1 B-10124 Fired Proces Heater</v>
      </c>
      <c r="D138" s="25" t="s">
        <v>839</v>
      </c>
      <c r="E138" s="25" t="s">
        <v>838</v>
      </c>
      <c r="F138" s="25"/>
      <c r="G138" s="65"/>
      <c r="H138" s="25" t="s">
        <v>842</v>
      </c>
      <c r="I138" s="25"/>
      <c r="J138" s="26" t="s">
        <v>843</v>
      </c>
      <c r="K138" s="27" t="s">
        <v>884</v>
      </c>
      <c r="L138" s="28" t="s">
        <v>888</v>
      </c>
      <c r="M138" s="28" t="s">
        <v>865</v>
      </c>
      <c r="N138" s="25">
        <v>1</v>
      </c>
      <c r="O138" s="29">
        <v>36.741666666666667</v>
      </c>
      <c r="P138" s="29">
        <v>36.741666666666667</v>
      </c>
      <c r="Q138" s="25" t="s">
        <v>736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58"/>
        <v>33.067500000000003</v>
      </c>
      <c r="AF138" s="32">
        <f t="shared" si="59"/>
        <v>3.6741666666666646</v>
      </c>
      <c r="AG138" s="30"/>
      <c r="AH138" s="33"/>
      <c r="AI138" s="34">
        <f t="shared" si="60"/>
        <v>0</v>
      </c>
      <c r="AJ138" s="35">
        <v>46295</v>
      </c>
      <c r="AK138" s="30">
        <v>1</v>
      </c>
      <c r="AL138" s="36">
        <f t="shared" si="61"/>
        <v>36.741666666666667</v>
      </c>
      <c r="AM138" s="35">
        <v>46303</v>
      </c>
      <c r="AN138" s="30">
        <v>1</v>
      </c>
      <c r="AO138" s="36">
        <f t="shared" si="62"/>
        <v>36.741666666666667</v>
      </c>
      <c r="AP138" s="35"/>
      <c r="AQ138" s="30"/>
      <c r="AR138" s="36">
        <f t="shared" si="63"/>
        <v>0</v>
      </c>
      <c r="AS138" s="27"/>
      <c r="AT138" s="37"/>
      <c r="AU138" s="30"/>
      <c r="AV138" s="36">
        <f t="shared" si="64"/>
        <v>0</v>
      </c>
      <c r="AW138" s="35"/>
      <c r="AX138" s="30"/>
      <c r="AY138" s="32">
        <f t="shared" si="65"/>
        <v>0</v>
      </c>
      <c r="AZ138" s="30" t="s">
        <v>841</v>
      </c>
      <c r="BA138" s="63"/>
      <c r="BB138" s="71" t="e">
        <f>SUMIFS([1]Form!$F$9:$F$22,[1]Form!$K$9:$K$22,K138)</f>
        <v>#VALUE!</v>
      </c>
      <c r="BC138" s="71"/>
      <c r="BD138" s="71"/>
    </row>
    <row r="139" spans="1:56" x14ac:dyDescent="0.25">
      <c r="A139" s="24">
        <f>IF(B139="","",SUBTOTAL(3,$B$4:B139))</f>
        <v>136</v>
      </c>
      <c r="B139" s="25" t="s">
        <v>840</v>
      </c>
      <c r="C139" s="25" t="str">
        <f t="shared" si="56"/>
        <v>Shipment 1 B-10124 Fired Proces Heater</v>
      </c>
      <c r="D139" s="25" t="s">
        <v>839</v>
      </c>
      <c r="E139" s="25" t="s">
        <v>838</v>
      </c>
      <c r="F139" s="25"/>
      <c r="G139" s="65"/>
      <c r="H139" s="25" t="s">
        <v>842</v>
      </c>
      <c r="I139" s="25"/>
      <c r="J139" s="26" t="s">
        <v>843</v>
      </c>
      <c r="K139" s="27" t="s">
        <v>884</v>
      </c>
      <c r="L139" s="28" t="s">
        <v>889</v>
      </c>
      <c r="M139" s="28" t="s">
        <v>865</v>
      </c>
      <c r="N139" s="25">
        <v>1</v>
      </c>
      <c r="O139" s="29">
        <v>36.741666666666667</v>
      </c>
      <c r="P139" s="29">
        <v>36.741666666666667</v>
      </c>
      <c r="Q139" s="25" t="s">
        <v>736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58"/>
        <v>33.067500000000003</v>
      </c>
      <c r="AF139" s="32">
        <f t="shared" si="59"/>
        <v>3.6741666666666646</v>
      </c>
      <c r="AG139" s="30"/>
      <c r="AH139" s="33"/>
      <c r="AI139" s="34">
        <f t="shared" si="60"/>
        <v>0</v>
      </c>
      <c r="AJ139" s="35">
        <v>46295</v>
      </c>
      <c r="AK139" s="30">
        <v>1</v>
      </c>
      <c r="AL139" s="36">
        <f t="shared" si="61"/>
        <v>36.741666666666667</v>
      </c>
      <c r="AM139" s="35">
        <v>46303</v>
      </c>
      <c r="AN139" s="30">
        <v>1</v>
      </c>
      <c r="AO139" s="36">
        <f t="shared" si="62"/>
        <v>36.741666666666667</v>
      </c>
      <c r="AP139" s="35"/>
      <c r="AQ139" s="30"/>
      <c r="AR139" s="36">
        <f t="shared" si="63"/>
        <v>0</v>
      </c>
      <c r="AS139" s="27"/>
      <c r="AT139" s="37"/>
      <c r="AU139" s="30"/>
      <c r="AV139" s="36">
        <f t="shared" si="64"/>
        <v>0</v>
      </c>
      <c r="AW139" s="35"/>
      <c r="AX139" s="30"/>
      <c r="AY139" s="32">
        <f t="shared" si="65"/>
        <v>0</v>
      </c>
      <c r="AZ139" s="30" t="s">
        <v>841</v>
      </c>
      <c r="BA139" s="63"/>
      <c r="BB139" s="71" t="e">
        <f>SUMIFS([1]Form!$F$9:$F$22,[1]Form!$K$9:$K$22,K139)</f>
        <v>#VALUE!</v>
      </c>
      <c r="BC139" s="71"/>
      <c r="BD139" s="71"/>
    </row>
    <row r="140" spans="1:56" x14ac:dyDescent="0.25">
      <c r="A140" s="24">
        <f>IF(B140="","",SUBTOTAL(3,$B$4:B140))</f>
        <v>137</v>
      </c>
      <c r="B140" s="25" t="s">
        <v>840</v>
      </c>
      <c r="C140" s="25" t="str">
        <f t="shared" si="56"/>
        <v>Shipment 1 B-10124 Fired Proces Heater</v>
      </c>
      <c r="D140" s="25" t="s">
        <v>839</v>
      </c>
      <c r="E140" s="25" t="s">
        <v>838</v>
      </c>
      <c r="F140" s="25"/>
      <c r="G140" s="65"/>
      <c r="H140" s="25" t="s">
        <v>842</v>
      </c>
      <c r="I140" s="25"/>
      <c r="J140" s="26" t="s">
        <v>843</v>
      </c>
      <c r="K140" s="27" t="s">
        <v>884</v>
      </c>
      <c r="L140" s="28" t="s">
        <v>890</v>
      </c>
      <c r="M140" s="28" t="s">
        <v>865</v>
      </c>
      <c r="N140" s="25">
        <v>1</v>
      </c>
      <c r="O140" s="29">
        <v>36.741666666666667</v>
      </c>
      <c r="P140" s="29">
        <v>36.741666666666667</v>
      </c>
      <c r="Q140" s="25" t="s">
        <v>736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58"/>
        <v>33.067500000000003</v>
      </c>
      <c r="AF140" s="32">
        <f t="shared" si="59"/>
        <v>3.6741666666666646</v>
      </c>
      <c r="AG140" s="30"/>
      <c r="AH140" s="33"/>
      <c r="AI140" s="34">
        <f t="shared" si="60"/>
        <v>0</v>
      </c>
      <c r="AJ140" s="35">
        <v>46295</v>
      </c>
      <c r="AK140" s="30">
        <v>1</v>
      </c>
      <c r="AL140" s="36">
        <f t="shared" si="61"/>
        <v>36.741666666666667</v>
      </c>
      <c r="AM140" s="35">
        <v>46303</v>
      </c>
      <c r="AN140" s="30">
        <v>1</v>
      </c>
      <c r="AO140" s="36">
        <f t="shared" si="62"/>
        <v>36.741666666666667</v>
      </c>
      <c r="AP140" s="35"/>
      <c r="AQ140" s="30"/>
      <c r="AR140" s="36">
        <f t="shared" si="63"/>
        <v>0</v>
      </c>
      <c r="AS140" s="27"/>
      <c r="AT140" s="37"/>
      <c r="AU140" s="30"/>
      <c r="AV140" s="36">
        <f t="shared" si="64"/>
        <v>0</v>
      </c>
      <c r="AW140" s="35"/>
      <c r="AX140" s="30"/>
      <c r="AY140" s="32">
        <f t="shared" si="65"/>
        <v>0</v>
      </c>
      <c r="AZ140" s="30" t="s">
        <v>841</v>
      </c>
      <c r="BA140" s="63"/>
      <c r="BB140" s="71" t="e">
        <f>SUMIFS([1]Form!$F$9:$F$22,[1]Form!$K$9:$K$22,K140)</f>
        <v>#VALUE!</v>
      </c>
      <c r="BC140" s="71"/>
      <c r="BD140" s="71"/>
    </row>
    <row r="141" spans="1:56" x14ac:dyDescent="0.25">
      <c r="A141" s="24">
        <f>IF(B141="","",SUBTOTAL(3,$B$4:B141))</f>
        <v>138</v>
      </c>
      <c r="B141" s="25" t="s">
        <v>840</v>
      </c>
      <c r="C141" s="25" t="str">
        <f t="shared" si="56"/>
        <v>Shipment 1 B-10124 Fired Proces Heater</v>
      </c>
      <c r="D141" s="25" t="s">
        <v>839</v>
      </c>
      <c r="E141" s="25" t="s">
        <v>838</v>
      </c>
      <c r="F141" s="25"/>
      <c r="G141" s="65"/>
      <c r="H141" s="25" t="s">
        <v>842</v>
      </c>
      <c r="I141" s="25"/>
      <c r="J141" s="26" t="s">
        <v>843</v>
      </c>
      <c r="K141" s="27" t="s">
        <v>884</v>
      </c>
      <c r="L141" s="28" t="s">
        <v>891</v>
      </c>
      <c r="M141" s="28" t="s">
        <v>865</v>
      </c>
      <c r="N141" s="25">
        <v>1</v>
      </c>
      <c r="O141" s="29">
        <v>36.741666666666667</v>
      </c>
      <c r="P141" s="29">
        <v>36.741666666666667</v>
      </c>
      <c r="Q141" s="25" t="s">
        <v>736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58"/>
        <v>33.067500000000003</v>
      </c>
      <c r="AF141" s="32">
        <f t="shared" si="59"/>
        <v>3.6741666666666646</v>
      </c>
      <c r="AG141" s="30"/>
      <c r="AH141" s="33"/>
      <c r="AI141" s="34">
        <f t="shared" si="60"/>
        <v>0</v>
      </c>
      <c r="AJ141" s="35">
        <v>46295</v>
      </c>
      <c r="AK141" s="30">
        <v>1</v>
      </c>
      <c r="AL141" s="36">
        <f t="shared" si="61"/>
        <v>36.741666666666667</v>
      </c>
      <c r="AM141" s="35">
        <v>46303</v>
      </c>
      <c r="AN141" s="30">
        <v>1</v>
      </c>
      <c r="AO141" s="36">
        <f t="shared" si="62"/>
        <v>36.741666666666667</v>
      </c>
      <c r="AP141" s="35"/>
      <c r="AQ141" s="30"/>
      <c r="AR141" s="36">
        <f t="shared" si="63"/>
        <v>0</v>
      </c>
      <c r="AS141" s="27"/>
      <c r="AT141" s="37"/>
      <c r="AU141" s="30"/>
      <c r="AV141" s="36">
        <f t="shared" si="64"/>
        <v>0</v>
      </c>
      <c r="AW141" s="35"/>
      <c r="AX141" s="30"/>
      <c r="AY141" s="32">
        <f t="shared" si="65"/>
        <v>0</v>
      </c>
      <c r="AZ141" s="30" t="s">
        <v>841</v>
      </c>
      <c r="BA141" s="63"/>
      <c r="BB141" s="71" t="e">
        <f>SUMIFS([1]Form!$F$9:$F$22,[1]Form!$K$9:$K$22,K141)</f>
        <v>#VALUE!</v>
      </c>
      <c r="BC141" s="71"/>
      <c r="BD141" s="71"/>
    </row>
    <row r="142" spans="1:56" x14ac:dyDescent="0.25">
      <c r="A142" s="24">
        <f>IF(B142="","",SUBTOTAL(3,$B$4:B142))</f>
        <v>139</v>
      </c>
      <c r="B142" s="25" t="s">
        <v>840</v>
      </c>
      <c r="C142" s="25" t="str">
        <f t="shared" si="56"/>
        <v>Shipment 1 B-10124 Fired Proces Heater</v>
      </c>
      <c r="D142" s="25" t="s">
        <v>839</v>
      </c>
      <c r="E142" s="25" t="s">
        <v>838</v>
      </c>
      <c r="F142" s="25"/>
      <c r="G142" s="65"/>
      <c r="H142" s="25" t="s">
        <v>842</v>
      </c>
      <c r="I142" s="25"/>
      <c r="J142" s="26" t="s">
        <v>843</v>
      </c>
      <c r="K142" s="27" t="s">
        <v>884</v>
      </c>
      <c r="L142" s="28" t="s">
        <v>892</v>
      </c>
      <c r="M142" s="28" t="s">
        <v>865</v>
      </c>
      <c r="N142" s="25">
        <v>1</v>
      </c>
      <c r="O142" s="29">
        <v>36.741666666666667</v>
      </c>
      <c r="P142" s="29">
        <v>36.741666666666667</v>
      </c>
      <c r="Q142" s="25" t="s">
        <v>736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58"/>
        <v>33.067500000000003</v>
      </c>
      <c r="AF142" s="32">
        <f t="shared" si="59"/>
        <v>3.6741666666666646</v>
      </c>
      <c r="AG142" s="30"/>
      <c r="AH142" s="33"/>
      <c r="AI142" s="34">
        <f t="shared" si="60"/>
        <v>0</v>
      </c>
      <c r="AJ142" s="35">
        <v>46295</v>
      </c>
      <c r="AK142" s="30">
        <v>1</v>
      </c>
      <c r="AL142" s="36">
        <f t="shared" si="61"/>
        <v>36.741666666666667</v>
      </c>
      <c r="AM142" s="35">
        <v>46303</v>
      </c>
      <c r="AN142" s="30">
        <v>1</v>
      </c>
      <c r="AO142" s="36">
        <f t="shared" si="62"/>
        <v>36.741666666666667</v>
      </c>
      <c r="AP142" s="35"/>
      <c r="AQ142" s="30"/>
      <c r="AR142" s="36">
        <f t="shared" si="63"/>
        <v>0</v>
      </c>
      <c r="AS142" s="27"/>
      <c r="AT142" s="37"/>
      <c r="AU142" s="30"/>
      <c r="AV142" s="36">
        <f t="shared" si="64"/>
        <v>0</v>
      </c>
      <c r="AW142" s="35"/>
      <c r="AX142" s="30"/>
      <c r="AY142" s="32">
        <f t="shared" si="65"/>
        <v>0</v>
      </c>
      <c r="AZ142" s="30" t="s">
        <v>841</v>
      </c>
      <c r="BA142" s="63"/>
      <c r="BB142" s="71" t="e">
        <f>SUMIFS([1]Form!$F$9:$F$22,[1]Form!$K$9:$K$22,K142)</f>
        <v>#VALUE!</v>
      </c>
      <c r="BC142" s="71"/>
      <c r="BD142" s="71"/>
    </row>
    <row r="143" spans="1:56" x14ac:dyDescent="0.25">
      <c r="A143" s="24">
        <f>IF(B143="","",SUBTOTAL(3,$B$4:B143))</f>
        <v>140</v>
      </c>
      <c r="B143" s="25" t="s">
        <v>840</v>
      </c>
      <c r="C143" s="25" t="str">
        <f t="shared" si="56"/>
        <v>Shipment 1 B-10124 Fired Proces Heater</v>
      </c>
      <c r="D143" s="25" t="s">
        <v>839</v>
      </c>
      <c r="E143" s="25" t="s">
        <v>838</v>
      </c>
      <c r="F143" s="25"/>
      <c r="G143" s="65"/>
      <c r="H143" s="25" t="s">
        <v>842</v>
      </c>
      <c r="I143" s="25"/>
      <c r="J143" s="26" t="s">
        <v>843</v>
      </c>
      <c r="K143" s="27" t="s">
        <v>884</v>
      </c>
      <c r="L143" s="28" t="s">
        <v>893</v>
      </c>
      <c r="M143" s="28" t="s">
        <v>865</v>
      </c>
      <c r="N143" s="25">
        <v>1</v>
      </c>
      <c r="O143" s="29">
        <v>36.741666666666667</v>
      </c>
      <c r="P143" s="29">
        <v>36.741666666666667</v>
      </c>
      <c r="Q143" s="25" t="s">
        <v>736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58"/>
        <v>33.067500000000003</v>
      </c>
      <c r="AF143" s="32">
        <f t="shared" si="59"/>
        <v>3.6741666666666646</v>
      </c>
      <c r="AG143" s="30"/>
      <c r="AH143" s="33"/>
      <c r="AI143" s="34">
        <f t="shared" si="60"/>
        <v>0</v>
      </c>
      <c r="AJ143" s="35">
        <v>46295</v>
      </c>
      <c r="AK143" s="30">
        <v>1</v>
      </c>
      <c r="AL143" s="36">
        <f t="shared" si="61"/>
        <v>36.741666666666667</v>
      </c>
      <c r="AM143" s="35">
        <v>46303</v>
      </c>
      <c r="AN143" s="30">
        <v>1</v>
      </c>
      <c r="AO143" s="36">
        <f t="shared" si="62"/>
        <v>36.741666666666667</v>
      </c>
      <c r="AP143" s="35"/>
      <c r="AQ143" s="30"/>
      <c r="AR143" s="36">
        <f t="shared" si="63"/>
        <v>0</v>
      </c>
      <c r="AS143" s="27"/>
      <c r="AT143" s="37"/>
      <c r="AU143" s="30"/>
      <c r="AV143" s="36">
        <f t="shared" si="64"/>
        <v>0</v>
      </c>
      <c r="AW143" s="35"/>
      <c r="AX143" s="30"/>
      <c r="AY143" s="32">
        <f t="shared" si="65"/>
        <v>0</v>
      </c>
      <c r="AZ143" s="30" t="s">
        <v>841</v>
      </c>
      <c r="BA143" s="63"/>
      <c r="BB143" s="71" t="e">
        <f>SUMIFS([1]Form!$F$9:$F$22,[1]Form!$K$9:$K$22,K143)</f>
        <v>#VALUE!</v>
      </c>
      <c r="BC143" s="71"/>
      <c r="BD143" s="71"/>
    </row>
    <row r="144" spans="1:56" x14ac:dyDescent="0.25">
      <c r="A144" s="24">
        <f>IF(B144="","",SUBTOTAL(3,$B$4:B144))</f>
        <v>141</v>
      </c>
      <c r="B144" s="25" t="s">
        <v>840</v>
      </c>
      <c r="C144" s="25" t="str">
        <f t="shared" si="56"/>
        <v>Shipment 1 B-10124 Fired Proces Heater</v>
      </c>
      <c r="D144" s="25" t="s">
        <v>839</v>
      </c>
      <c r="E144" s="25" t="s">
        <v>838</v>
      </c>
      <c r="F144" s="25"/>
      <c r="G144" s="65"/>
      <c r="H144" s="25" t="s">
        <v>842</v>
      </c>
      <c r="I144" s="25"/>
      <c r="J144" s="26" t="s">
        <v>843</v>
      </c>
      <c r="K144" s="27" t="s">
        <v>884</v>
      </c>
      <c r="L144" s="28" t="s">
        <v>894</v>
      </c>
      <c r="M144" s="28" t="s">
        <v>865</v>
      </c>
      <c r="N144" s="25">
        <v>1</v>
      </c>
      <c r="O144" s="29">
        <v>36.741666666666667</v>
      </c>
      <c r="P144" s="29">
        <v>36.741666666666667</v>
      </c>
      <c r="Q144" s="25" t="s">
        <v>736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58"/>
        <v>33.067500000000003</v>
      </c>
      <c r="AF144" s="32">
        <f t="shared" si="59"/>
        <v>3.6741666666666646</v>
      </c>
      <c r="AG144" s="30"/>
      <c r="AH144" s="33"/>
      <c r="AI144" s="34">
        <f t="shared" si="60"/>
        <v>0</v>
      </c>
      <c r="AJ144" s="35">
        <v>46295</v>
      </c>
      <c r="AK144" s="30">
        <v>1</v>
      </c>
      <c r="AL144" s="36">
        <f t="shared" si="61"/>
        <v>36.741666666666667</v>
      </c>
      <c r="AM144" s="35">
        <v>46303</v>
      </c>
      <c r="AN144" s="30">
        <v>1</v>
      </c>
      <c r="AO144" s="36">
        <f t="shared" si="62"/>
        <v>36.741666666666667</v>
      </c>
      <c r="AP144" s="35"/>
      <c r="AQ144" s="30"/>
      <c r="AR144" s="36">
        <f t="shared" si="63"/>
        <v>0</v>
      </c>
      <c r="AS144" s="27"/>
      <c r="AT144" s="37"/>
      <c r="AU144" s="30"/>
      <c r="AV144" s="36">
        <f t="shared" si="64"/>
        <v>0</v>
      </c>
      <c r="AW144" s="35"/>
      <c r="AX144" s="30"/>
      <c r="AY144" s="32">
        <f t="shared" si="65"/>
        <v>0</v>
      </c>
      <c r="AZ144" s="30" t="s">
        <v>841</v>
      </c>
      <c r="BA144" s="63"/>
      <c r="BB144" s="71" t="e">
        <f>SUMIFS([1]Form!$F$9:$F$22,[1]Form!$K$9:$K$22,K144)</f>
        <v>#VALUE!</v>
      </c>
      <c r="BC144" s="71"/>
      <c r="BD144" s="71"/>
    </row>
    <row r="145" spans="1:56" x14ac:dyDescent="0.25">
      <c r="A145" s="24">
        <f>IF(B145="","",SUBTOTAL(3,$B$4:B145))</f>
        <v>142</v>
      </c>
      <c r="B145" s="25" t="s">
        <v>840</v>
      </c>
      <c r="C145" s="25" t="str">
        <f t="shared" si="56"/>
        <v>Shipment 1 B-10124 Fired Proces Heater</v>
      </c>
      <c r="D145" s="25" t="s">
        <v>839</v>
      </c>
      <c r="E145" s="25" t="s">
        <v>838</v>
      </c>
      <c r="F145" s="25"/>
      <c r="G145" s="65"/>
      <c r="H145" s="25" t="s">
        <v>842</v>
      </c>
      <c r="I145" s="25"/>
      <c r="J145" s="26" t="s">
        <v>843</v>
      </c>
      <c r="K145" s="27" t="s">
        <v>884</v>
      </c>
      <c r="L145" s="28" t="s">
        <v>895</v>
      </c>
      <c r="M145" s="28" t="s">
        <v>865</v>
      </c>
      <c r="N145" s="25">
        <v>1</v>
      </c>
      <c r="O145" s="29">
        <v>36.741666666666667</v>
      </c>
      <c r="P145" s="29">
        <v>36.741666666666667</v>
      </c>
      <c r="Q145" s="25" t="s">
        <v>736</v>
      </c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58"/>
        <v>33.067500000000003</v>
      </c>
      <c r="AF145" s="32">
        <f t="shared" si="59"/>
        <v>3.6741666666666646</v>
      </c>
      <c r="AG145" s="30"/>
      <c r="AH145" s="33"/>
      <c r="AI145" s="34">
        <f t="shared" si="60"/>
        <v>0</v>
      </c>
      <c r="AJ145" s="35">
        <v>46295</v>
      </c>
      <c r="AK145" s="30">
        <v>1</v>
      </c>
      <c r="AL145" s="36">
        <f t="shared" si="61"/>
        <v>36.741666666666667</v>
      </c>
      <c r="AM145" s="35">
        <v>46303</v>
      </c>
      <c r="AN145" s="30">
        <v>1</v>
      </c>
      <c r="AO145" s="36">
        <f t="shared" si="62"/>
        <v>36.741666666666667</v>
      </c>
      <c r="AP145" s="35"/>
      <c r="AQ145" s="30"/>
      <c r="AR145" s="36">
        <f t="shared" si="63"/>
        <v>0</v>
      </c>
      <c r="AS145" s="27"/>
      <c r="AT145" s="37"/>
      <c r="AU145" s="30"/>
      <c r="AV145" s="36">
        <f t="shared" si="64"/>
        <v>0</v>
      </c>
      <c r="AW145" s="35"/>
      <c r="AX145" s="30"/>
      <c r="AY145" s="32">
        <f t="shared" si="65"/>
        <v>0</v>
      </c>
      <c r="AZ145" s="30" t="s">
        <v>841</v>
      </c>
      <c r="BA145" s="63"/>
      <c r="BB145" s="71" t="e">
        <f>SUMIFS([1]Form!$F$9:$F$22,[1]Form!$K$9:$K$22,K145)</f>
        <v>#VALUE!</v>
      </c>
      <c r="BC145" s="71"/>
      <c r="BD145" s="71"/>
    </row>
    <row r="146" spans="1:56" x14ac:dyDescent="0.25">
      <c r="A146" s="24">
        <f>IF(B146="","",SUBTOTAL(3,$B$4:B146))</f>
        <v>143</v>
      </c>
      <c r="B146" s="25" t="s">
        <v>840</v>
      </c>
      <c r="C146" s="25" t="str">
        <f t="shared" si="56"/>
        <v>Shipment 1 B-10124 Fired Proces Heater</v>
      </c>
      <c r="D146" s="25" t="s">
        <v>839</v>
      </c>
      <c r="E146" s="25" t="s">
        <v>838</v>
      </c>
      <c r="F146" s="25"/>
      <c r="G146" s="65"/>
      <c r="H146" s="25" t="s">
        <v>842</v>
      </c>
      <c r="I146" s="25"/>
      <c r="J146" s="26" t="s">
        <v>843</v>
      </c>
      <c r="K146" s="27" t="s">
        <v>884</v>
      </c>
      <c r="L146" s="28" t="s">
        <v>896</v>
      </c>
      <c r="M146" s="28" t="s">
        <v>865</v>
      </c>
      <c r="N146" s="25">
        <v>1</v>
      </c>
      <c r="O146" s="29">
        <v>36.741666666666667</v>
      </c>
      <c r="P146" s="29">
        <v>36.741666666666667</v>
      </c>
      <c r="Q146" s="25" t="s">
        <v>736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58"/>
        <v>33.067500000000003</v>
      </c>
      <c r="AF146" s="32">
        <f t="shared" si="59"/>
        <v>3.6741666666666646</v>
      </c>
      <c r="AG146" s="30"/>
      <c r="AH146" s="33"/>
      <c r="AI146" s="34">
        <f t="shared" si="60"/>
        <v>0</v>
      </c>
      <c r="AJ146" s="35">
        <v>46295</v>
      </c>
      <c r="AK146" s="30">
        <v>1</v>
      </c>
      <c r="AL146" s="36">
        <f t="shared" si="61"/>
        <v>36.741666666666667</v>
      </c>
      <c r="AM146" s="35">
        <v>46303</v>
      </c>
      <c r="AN146" s="30">
        <v>1</v>
      </c>
      <c r="AO146" s="36">
        <f t="shared" si="62"/>
        <v>36.741666666666667</v>
      </c>
      <c r="AP146" s="35"/>
      <c r="AQ146" s="30"/>
      <c r="AR146" s="36">
        <f t="shared" si="63"/>
        <v>0</v>
      </c>
      <c r="AS146" s="27"/>
      <c r="AT146" s="37"/>
      <c r="AU146" s="30"/>
      <c r="AV146" s="36">
        <f t="shared" si="64"/>
        <v>0</v>
      </c>
      <c r="AW146" s="35"/>
      <c r="AX146" s="30"/>
      <c r="AY146" s="32">
        <f t="shared" si="65"/>
        <v>0</v>
      </c>
      <c r="AZ146" s="30" t="s">
        <v>841</v>
      </c>
      <c r="BA146" s="63"/>
      <c r="BB146" s="71" t="e">
        <f>SUMIFS([1]Form!$F$9:$F$22,[1]Form!$K$9:$K$22,K146)</f>
        <v>#VALUE!</v>
      </c>
      <c r="BC146" s="71"/>
      <c r="BD146" s="71"/>
    </row>
    <row r="147" spans="1:56" x14ac:dyDescent="0.25">
      <c r="A147" s="24">
        <f>IF(B147="","",SUBTOTAL(3,$B$4:B147))</f>
        <v>144</v>
      </c>
      <c r="B147" s="25" t="s">
        <v>840</v>
      </c>
      <c r="C147" s="25" t="str">
        <f t="shared" si="56"/>
        <v>Shipment 1 B-10124 Fired Proces Heater</v>
      </c>
      <c r="D147" s="25" t="s">
        <v>839</v>
      </c>
      <c r="E147" s="25" t="s">
        <v>838</v>
      </c>
      <c r="F147" s="25"/>
      <c r="G147" s="65"/>
      <c r="H147" s="25" t="s">
        <v>842</v>
      </c>
      <c r="I147" s="25"/>
      <c r="J147" s="26" t="s">
        <v>843</v>
      </c>
      <c r="K147" s="27" t="s">
        <v>897</v>
      </c>
      <c r="L147" s="28" t="s">
        <v>898</v>
      </c>
      <c r="M147" s="28" t="s">
        <v>865</v>
      </c>
      <c r="N147" s="25">
        <v>1</v>
      </c>
      <c r="O147" s="29">
        <v>96.5</v>
      </c>
      <c r="P147" s="29">
        <v>96.5</v>
      </c>
      <c r="Q147" s="25" t="s">
        <v>739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58"/>
        <v>86.85</v>
      </c>
      <c r="AF147" s="32">
        <f t="shared" si="59"/>
        <v>9.6500000000000057</v>
      </c>
      <c r="AG147" s="30"/>
      <c r="AH147" s="33"/>
      <c r="AI147" s="34">
        <f t="shared" si="60"/>
        <v>0</v>
      </c>
      <c r="AJ147" s="35">
        <v>46295</v>
      </c>
      <c r="AK147" s="30">
        <v>1</v>
      </c>
      <c r="AL147" s="36">
        <f t="shared" si="61"/>
        <v>96.5</v>
      </c>
      <c r="AM147" s="35">
        <v>46303</v>
      </c>
      <c r="AN147" s="30">
        <v>1</v>
      </c>
      <c r="AO147" s="36">
        <f t="shared" si="62"/>
        <v>96.5</v>
      </c>
      <c r="AP147" s="35"/>
      <c r="AQ147" s="30"/>
      <c r="AR147" s="36">
        <f t="shared" si="63"/>
        <v>0</v>
      </c>
      <c r="AS147" s="27"/>
      <c r="AT147" s="37"/>
      <c r="AU147" s="30"/>
      <c r="AV147" s="36">
        <f t="shared" si="64"/>
        <v>0</v>
      </c>
      <c r="AW147" s="35"/>
      <c r="AX147" s="30"/>
      <c r="AY147" s="32">
        <f t="shared" si="65"/>
        <v>0</v>
      </c>
      <c r="AZ147" s="30" t="s">
        <v>841</v>
      </c>
      <c r="BA147" s="63"/>
      <c r="BB147" s="71" t="e">
        <f>SUMIFS([1]Form!$F$9:$F$22,[1]Form!$K$9:$K$22,K147)</f>
        <v>#VALUE!</v>
      </c>
      <c r="BC147" s="71"/>
      <c r="BD147" s="71"/>
    </row>
    <row r="148" spans="1:56" x14ac:dyDescent="0.25">
      <c r="A148" s="24">
        <f>IF(B148="","",SUBTOTAL(3,$B$4:B148))</f>
        <v>145</v>
      </c>
      <c r="B148" s="25" t="s">
        <v>840</v>
      </c>
      <c r="C148" s="25" t="str">
        <f t="shared" si="56"/>
        <v>Shipment 1 B-10124 Fired Proces Heater</v>
      </c>
      <c r="D148" s="25" t="s">
        <v>839</v>
      </c>
      <c r="E148" s="25" t="s">
        <v>838</v>
      </c>
      <c r="F148" s="25"/>
      <c r="G148" s="65"/>
      <c r="H148" s="25" t="s">
        <v>842</v>
      </c>
      <c r="I148" s="25"/>
      <c r="J148" s="26" t="s">
        <v>843</v>
      </c>
      <c r="K148" s="27" t="s">
        <v>897</v>
      </c>
      <c r="L148" s="28" t="s">
        <v>899</v>
      </c>
      <c r="M148" s="28" t="s">
        <v>865</v>
      </c>
      <c r="N148" s="25">
        <v>1</v>
      </c>
      <c r="O148" s="29">
        <v>96.5</v>
      </c>
      <c r="P148" s="29">
        <v>96.5</v>
      </c>
      <c r="Q148" s="25" t="s">
        <v>739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58"/>
        <v>86.85</v>
      </c>
      <c r="AF148" s="32">
        <f t="shared" si="59"/>
        <v>9.6500000000000057</v>
      </c>
      <c r="AG148" s="30"/>
      <c r="AH148" s="33"/>
      <c r="AI148" s="34">
        <f t="shared" si="60"/>
        <v>0</v>
      </c>
      <c r="AJ148" s="35">
        <v>46304</v>
      </c>
      <c r="AK148" s="30">
        <v>1</v>
      </c>
      <c r="AL148" s="36">
        <f t="shared" si="61"/>
        <v>96.5</v>
      </c>
      <c r="AM148" s="35">
        <v>46305</v>
      </c>
      <c r="AN148" s="30">
        <v>1</v>
      </c>
      <c r="AO148" s="36">
        <f t="shared" si="62"/>
        <v>96.5</v>
      </c>
      <c r="AP148" s="35"/>
      <c r="AQ148" s="30"/>
      <c r="AR148" s="36">
        <f t="shared" si="63"/>
        <v>0</v>
      </c>
      <c r="AS148" s="27"/>
      <c r="AT148" s="37"/>
      <c r="AU148" s="30"/>
      <c r="AV148" s="36">
        <f t="shared" si="64"/>
        <v>0</v>
      </c>
      <c r="AW148" s="35"/>
      <c r="AX148" s="30"/>
      <c r="AY148" s="32">
        <f t="shared" si="65"/>
        <v>0</v>
      </c>
      <c r="AZ148" s="30" t="s">
        <v>841</v>
      </c>
      <c r="BA148" s="63"/>
      <c r="BB148" s="71" t="e">
        <f>SUMIFS([1]Form!$F$9:$F$22,[1]Form!$K$9:$K$22,K148)</f>
        <v>#VALUE!</v>
      </c>
      <c r="BC148" s="71"/>
      <c r="BD148" s="71"/>
    </row>
    <row r="149" spans="1:56" x14ac:dyDescent="0.25">
      <c r="A149" s="24">
        <f>IF(B149="","",SUBTOTAL(3,$B$4:B149))</f>
        <v>146</v>
      </c>
      <c r="B149" s="25" t="s">
        <v>840</v>
      </c>
      <c r="C149" s="25" t="str">
        <f t="shared" si="56"/>
        <v>Shipment 1 B-10124 Fired Proces Heater</v>
      </c>
      <c r="D149" s="25" t="s">
        <v>839</v>
      </c>
      <c r="E149" s="25" t="s">
        <v>838</v>
      </c>
      <c r="F149" s="25"/>
      <c r="G149" s="65"/>
      <c r="H149" s="25" t="s">
        <v>842</v>
      </c>
      <c r="I149" s="25"/>
      <c r="J149" s="26" t="s">
        <v>843</v>
      </c>
      <c r="K149" s="27" t="s">
        <v>897</v>
      </c>
      <c r="L149" s="28" t="s">
        <v>900</v>
      </c>
      <c r="M149" s="28" t="s">
        <v>865</v>
      </c>
      <c r="N149" s="25">
        <v>1</v>
      </c>
      <c r="O149" s="29">
        <v>96.5</v>
      </c>
      <c r="P149" s="29">
        <v>96.5</v>
      </c>
      <c r="Q149" s="25" t="s">
        <v>739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58"/>
        <v>86.85</v>
      </c>
      <c r="AF149" s="32">
        <f t="shared" si="59"/>
        <v>9.6500000000000057</v>
      </c>
      <c r="AG149" s="30"/>
      <c r="AH149" s="33"/>
      <c r="AI149" s="34">
        <f t="shared" si="60"/>
        <v>0</v>
      </c>
      <c r="AJ149" s="35">
        <v>46304</v>
      </c>
      <c r="AK149" s="30">
        <v>1</v>
      </c>
      <c r="AL149" s="36">
        <f t="shared" ref="AL149:AL175" si="66">IFERROR(AK149*$P149/$N149,0)</f>
        <v>96.5</v>
      </c>
      <c r="AM149" s="35">
        <v>46305</v>
      </c>
      <c r="AN149" s="30">
        <v>1</v>
      </c>
      <c r="AO149" s="36">
        <f t="shared" si="62"/>
        <v>96.5</v>
      </c>
      <c r="AP149" s="35"/>
      <c r="AQ149" s="30"/>
      <c r="AR149" s="36">
        <f t="shared" si="63"/>
        <v>0</v>
      </c>
      <c r="AS149" s="27"/>
      <c r="AT149" s="37"/>
      <c r="AU149" s="30"/>
      <c r="AV149" s="36">
        <f t="shared" si="64"/>
        <v>0</v>
      </c>
      <c r="AW149" s="35"/>
      <c r="AX149" s="30"/>
      <c r="AY149" s="32">
        <f t="shared" si="65"/>
        <v>0</v>
      </c>
      <c r="AZ149" s="30" t="s">
        <v>841</v>
      </c>
      <c r="BA149" s="63"/>
      <c r="BB149" s="71" t="e">
        <f>SUMIFS([1]Form!$F$9:$F$22,[1]Form!$K$9:$K$22,K149)</f>
        <v>#VALUE!</v>
      </c>
      <c r="BC149" s="71"/>
      <c r="BD149" s="71"/>
    </row>
    <row r="150" spans="1:56" x14ac:dyDescent="0.25">
      <c r="A150" s="24">
        <f>IF(B150="","",SUBTOTAL(3,$B$4:B150))</f>
        <v>147</v>
      </c>
      <c r="B150" s="25" t="s">
        <v>840</v>
      </c>
      <c r="C150" s="25" t="str">
        <f t="shared" si="56"/>
        <v>Shipment 1 B-10124 Fired Proces Heater</v>
      </c>
      <c r="D150" s="25" t="s">
        <v>839</v>
      </c>
      <c r="E150" s="25" t="s">
        <v>838</v>
      </c>
      <c r="F150" s="25"/>
      <c r="G150" s="65"/>
      <c r="H150" s="25" t="s">
        <v>842</v>
      </c>
      <c r="I150" s="25"/>
      <c r="J150" s="26" t="s">
        <v>843</v>
      </c>
      <c r="K150" s="27" t="s">
        <v>897</v>
      </c>
      <c r="L150" s="28" t="s">
        <v>901</v>
      </c>
      <c r="M150" s="28" t="s">
        <v>865</v>
      </c>
      <c r="N150" s="25">
        <v>1</v>
      </c>
      <c r="O150" s="29">
        <v>96.5</v>
      </c>
      <c r="P150" s="29">
        <v>96.5</v>
      </c>
      <c r="Q150" s="25" t="s">
        <v>739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58"/>
        <v>86.85</v>
      </c>
      <c r="AF150" s="32">
        <f t="shared" si="59"/>
        <v>9.6500000000000057</v>
      </c>
      <c r="AG150" s="30"/>
      <c r="AH150" s="33"/>
      <c r="AI150" s="34">
        <f t="shared" si="60"/>
        <v>0</v>
      </c>
      <c r="AJ150" s="35">
        <v>46304</v>
      </c>
      <c r="AK150" s="30">
        <v>1</v>
      </c>
      <c r="AL150" s="36">
        <f t="shared" si="66"/>
        <v>96.5</v>
      </c>
      <c r="AM150" s="35">
        <v>46305</v>
      </c>
      <c r="AN150" s="30">
        <v>1</v>
      </c>
      <c r="AO150" s="36">
        <f t="shared" si="62"/>
        <v>96.5</v>
      </c>
      <c r="AP150" s="35"/>
      <c r="AQ150" s="30"/>
      <c r="AR150" s="36">
        <f t="shared" si="63"/>
        <v>0</v>
      </c>
      <c r="AS150" s="27"/>
      <c r="AT150" s="37"/>
      <c r="AU150" s="30"/>
      <c r="AV150" s="36">
        <f t="shared" si="64"/>
        <v>0</v>
      </c>
      <c r="AW150" s="35"/>
      <c r="AX150" s="30"/>
      <c r="AY150" s="32">
        <f t="shared" si="65"/>
        <v>0</v>
      </c>
      <c r="AZ150" s="30" t="s">
        <v>841</v>
      </c>
      <c r="BA150" s="63"/>
      <c r="BB150" s="71" t="e">
        <f>SUMIFS([1]Form!$F$9:$F$22,[1]Form!$K$9:$K$22,K150)</f>
        <v>#VALUE!</v>
      </c>
      <c r="BC150" s="71"/>
      <c r="BD150" s="71"/>
    </row>
    <row r="151" spans="1:56" x14ac:dyDescent="0.25">
      <c r="A151" s="24">
        <f>IF(B151="","",SUBTOTAL(3,$B$4:B151))</f>
        <v>148</v>
      </c>
      <c r="B151" s="25" t="s">
        <v>840</v>
      </c>
      <c r="C151" s="25" t="str">
        <f t="shared" si="56"/>
        <v>Shipment 1 B-10124 Fired Proces Heater</v>
      </c>
      <c r="D151" s="25" t="s">
        <v>839</v>
      </c>
      <c r="E151" s="25" t="s">
        <v>838</v>
      </c>
      <c r="F151" s="25"/>
      <c r="G151" s="65"/>
      <c r="H151" s="25" t="s">
        <v>842</v>
      </c>
      <c r="I151" s="25"/>
      <c r="J151" s="26" t="s">
        <v>843</v>
      </c>
      <c r="K151" s="27" t="s">
        <v>902</v>
      </c>
      <c r="L151" s="28" t="s">
        <v>903</v>
      </c>
      <c r="M151" s="28" t="s">
        <v>865</v>
      </c>
      <c r="N151" s="25">
        <v>1</v>
      </c>
      <c r="O151" s="29">
        <v>16.230769230769234</v>
      </c>
      <c r="P151" s="29">
        <v>16.230769230769234</v>
      </c>
      <c r="Q151" s="25" t="s">
        <v>740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58"/>
        <v>14.607692307692311</v>
      </c>
      <c r="AF151" s="32">
        <f t="shared" si="59"/>
        <v>1.6230769230769226</v>
      </c>
      <c r="AG151" s="30"/>
      <c r="AH151" s="33"/>
      <c r="AI151" s="34">
        <f t="shared" si="60"/>
        <v>0</v>
      </c>
      <c r="AJ151" s="35">
        <v>46304</v>
      </c>
      <c r="AK151" s="30">
        <v>1</v>
      </c>
      <c r="AL151" s="36">
        <f t="shared" si="66"/>
        <v>16.230769230769234</v>
      </c>
      <c r="AM151" s="35">
        <v>46305</v>
      </c>
      <c r="AN151" s="30">
        <v>1</v>
      </c>
      <c r="AO151" s="36">
        <f t="shared" si="62"/>
        <v>16.230769230769234</v>
      </c>
      <c r="AP151" s="35"/>
      <c r="AQ151" s="30"/>
      <c r="AR151" s="36">
        <f t="shared" si="63"/>
        <v>0</v>
      </c>
      <c r="AS151" s="27"/>
      <c r="AT151" s="37"/>
      <c r="AU151" s="30"/>
      <c r="AV151" s="36">
        <f t="shared" si="64"/>
        <v>0</v>
      </c>
      <c r="AW151" s="35"/>
      <c r="AX151" s="30"/>
      <c r="AY151" s="32">
        <f t="shared" si="65"/>
        <v>0</v>
      </c>
      <c r="AZ151" s="30" t="s">
        <v>841</v>
      </c>
      <c r="BA151" s="63"/>
      <c r="BB151" s="71" t="e">
        <f>SUMIFS([1]Form!$F$9:$F$22,[1]Form!$K$9:$K$22,K151)</f>
        <v>#VALUE!</v>
      </c>
      <c r="BC151" s="71"/>
      <c r="BD151" s="71"/>
    </row>
    <row r="152" spans="1:56" x14ac:dyDescent="0.25">
      <c r="A152" s="24">
        <f>IF(B152="","",SUBTOTAL(3,$B$4:B152))</f>
        <v>149</v>
      </c>
      <c r="B152" s="25" t="s">
        <v>840</v>
      </c>
      <c r="C152" s="25" t="str">
        <f t="shared" si="56"/>
        <v>Shipment 1 B-10124 Fired Proces Heater</v>
      </c>
      <c r="D152" s="25" t="s">
        <v>839</v>
      </c>
      <c r="E152" s="25" t="s">
        <v>838</v>
      </c>
      <c r="F152" s="25"/>
      <c r="G152" s="65"/>
      <c r="H152" s="25" t="s">
        <v>842</v>
      </c>
      <c r="I152" s="25"/>
      <c r="J152" s="26" t="s">
        <v>843</v>
      </c>
      <c r="K152" s="27" t="s">
        <v>902</v>
      </c>
      <c r="L152" s="28" t="s">
        <v>904</v>
      </c>
      <c r="M152" s="28" t="s">
        <v>865</v>
      </c>
      <c r="N152" s="25">
        <v>1</v>
      </c>
      <c r="O152" s="29">
        <v>16.230769230769234</v>
      </c>
      <c r="P152" s="29">
        <v>16.230769230769234</v>
      </c>
      <c r="Q152" s="25" t="s">
        <v>740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58"/>
        <v>14.607692307692311</v>
      </c>
      <c r="AF152" s="32">
        <f t="shared" si="59"/>
        <v>1.6230769230769226</v>
      </c>
      <c r="AG152" s="30"/>
      <c r="AH152" s="33"/>
      <c r="AI152" s="34">
        <f t="shared" si="60"/>
        <v>0</v>
      </c>
      <c r="AJ152" s="35">
        <v>46304</v>
      </c>
      <c r="AK152" s="30">
        <v>1</v>
      </c>
      <c r="AL152" s="36">
        <f t="shared" si="66"/>
        <v>16.230769230769234</v>
      </c>
      <c r="AM152" s="35">
        <v>46305</v>
      </c>
      <c r="AN152" s="30">
        <v>1</v>
      </c>
      <c r="AO152" s="36">
        <f t="shared" si="62"/>
        <v>16.230769230769234</v>
      </c>
      <c r="AP152" s="35"/>
      <c r="AQ152" s="30"/>
      <c r="AR152" s="36">
        <f t="shared" si="63"/>
        <v>0</v>
      </c>
      <c r="AS152" s="27"/>
      <c r="AT152" s="37"/>
      <c r="AU152" s="30"/>
      <c r="AV152" s="36">
        <f t="shared" si="64"/>
        <v>0</v>
      </c>
      <c r="AW152" s="35"/>
      <c r="AX152" s="30"/>
      <c r="AY152" s="32">
        <f t="shared" si="65"/>
        <v>0</v>
      </c>
      <c r="AZ152" s="30" t="s">
        <v>841</v>
      </c>
      <c r="BA152" s="63"/>
      <c r="BB152" s="71" t="e">
        <f>SUMIFS([1]Form!$F$9:$F$22,[1]Form!$K$9:$K$22,K152)</f>
        <v>#VALUE!</v>
      </c>
      <c r="BC152" s="71"/>
      <c r="BD152" s="71"/>
    </row>
    <row r="153" spans="1:56" x14ac:dyDescent="0.25">
      <c r="A153" s="24">
        <f>IF(B153="","",SUBTOTAL(3,$B$4:B153))</f>
        <v>150</v>
      </c>
      <c r="B153" s="25" t="s">
        <v>840</v>
      </c>
      <c r="C153" s="25" t="str">
        <f t="shared" si="56"/>
        <v>Shipment 1 B-10124 Fired Proces Heater</v>
      </c>
      <c r="D153" s="25" t="s">
        <v>839</v>
      </c>
      <c r="E153" s="25" t="s">
        <v>838</v>
      </c>
      <c r="F153" s="25"/>
      <c r="G153" s="65"/>
      <c r="H153" s="25" t="s">
        <v>842</v>
      </c>
      <c r="I153" s="25"/>
      <c r="J153" s="26" t="s">
        <v>843</v>
      </c>
      <c r="K153" s="27" t="s">
        <v>902</v>
      </c>
      <c r="L153" s="28" t="s">
        <v>905</v>
      </c>
      <c r="M153" s="28" t="s">
        <v>865</v>
      </c>
      <c r="N153" s="25">
        <v>1</v>
      </c>
      <c r="O153" s="29">
        <v>16.230769230769234</v>
      </c>
      <c r="P153" s="29">
        <v>16.230769230769234</v>
      </c>
      <c r="Q153" s="25" t="s">
        <v>740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58"/>
        <v>14.607692307692311</v>
      </c>
      <c r="AF153" s="32">
        <f t="shared" si="59"/>
        <v>1.6230769230769226</v>
      </c>
      <c r="AG153" s="30"/>
      <c r="AH153" s="33"/>
      <c r="AI153" s="34">
        <f t="shared" si="60"/>
        <v>0</v>
      </c>
      <c r="AJ153" s="35">
        <v>46304</v>
      </c>
      <c r="AK153" s="30">
        <v>1</v>
      </c>
      <c r="AL153" s="36">
        <f t="shared" si="66"/>
        <v>16.230769230769234</v>
      </c>
      <c r="AM153" s="35">
        <v>46305</v>
      </c>
      <c r="AN153" s="30">
        <v>1</v>
      </c>
      <c r="AO153" s="36">
        <f t="shared" si="62"/>
        <v>16.230769230769234</v>
      </c>
      <c r="AP153" s="35"/>
      <c r="AQ153" s="30"/>
      <c r="AR153" s="36">
        <f t="shared" si="63"/>
        <v>0</v>
      </c>
      <c r="AS153" s="27"/>
      <c r="AT153" s="37"/>
      <c r="AU153" s="30"/>
      <c r="AV153" s="36">
        <f t="shared" si="64"/>
        <v>0</v>
      </c>
      <c r="AW153" s="35"/>
      <c r="AX153" s="30"/>
      <c r="AY153" s="32">
        <f t="shared" si="65"/>
        <v>0</v>
      </c>
      <c r="AZ153" s="30" t="s">
        <v>841</v>
      </c>
      <c r="BA153" s="63"/>
      <c r="BB153" s="71" t="e">
        <f>SUMIFS([1]Form!$F$9:$F$22,[1]Form!$K$9:$K$22,K153)</f>
        <v>#VALUE!</v>
      </c>
      <c r="BC153" s="71"/>
      <c r="BD153" s="71"/>
    </row>
    <row r="154" spans="1:56" x14ac:dyDescent="0.25">
      <c r="A154" s="24">
        <f>IF(B154="","",SUBTOTAL(3,$B$4:B154))</f>
        <v>151</v>
      </c>
      <c r="B154" s="25" t="s">
        <v>840</v>
      </c>
      <c r="C154" s="25" t="str">
        <f t="shared" si="56"/>
        <v>Shipment 1 B-10124 Fired Proces Heater</v>
      </c>
      <c r="D154" s="25" t="s">
        <v>839</v>
      </c>
      <c r="E154" s="25" t="s">
        <v>838</v>
      </c>
      <c r="F154" s="25"/>
      <c r="G154" s="65"/>
      <c r="H154" s="25" t="s">
        <v>842</v>
      </c>
      <c r="I154" s="25"/>
      <c r="J154" s="26" t="s">
        <v>843</v>
      </c>
      <c r="K154" s="27" t="s">
        <v>902</v>
      </c>
      <c r="L154" s="28" t="s">
        <v>906</v>
      </c>
      <c r="M154" s="28" t="s">
        <v>865</v>
      </c>
      <c r="N154" s="25">
        <v>1</v>
      </c>
      <c r="O154" s="29">
        <v>16.230769230769234</v>
      </c>
      <c r="P154" s="29">
        <v>16.230769230769234</v>
      </c>
      <c r="Q154" s="25" t="s">
        <v>740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58"/>
        <v>14.607692307692311</v>
      </c>
      <c r="AF154" s="32">
        <f t="shared" si="59"/>
        <v>1.6230769230769226</v>
      </c>
      <c r="AG154" s="30"/>
      <c r="AH154" s="33"/>
      <c r="AI154" s="34">
        <f t="shared" si="60"/>
        <v>0</v>
      </c>
      <c r="AJ154" s="35">
        <v>46304</v>
      </c>
      <c r="AK154" s="30">
        <v>1</v>
      </c>
      <c r="AL154" s="36">
        <f t="shared" si="66"/>
        <v>16.230769230769234</v>
      </c>
      <c r="AM154" s="35">
        <v>46305</v>
      </c>
      <c r="AN154" s="30">
        <v>1</v>
      </c>
      <c r="AO154" s="36">
        <f t="shared" si="62"/>
        <v>16.230769230769234</v>
      </c>
      <c r="AP154" s="35"/>
      <c r="AQ154" s="30"/>
      <c r="AR154" s="36">
        <f t="shared" si="63"/>
        <v>0</v>
      </c>
      <c r="AS154" s="27"/>
      <c r="AT154" s="37"/>
      <c r="AU154" s="30"/>
      <c r="AV154" s="36">
        <f t="shared" si="64"/>
        <v>0</v>
      </c>
      <c r="AW154" s="35"/>
      <c r="AX154" s="30"/>
      <c r="AY154" s="32">
        <f t="shared" si="65"/>
        <v>0</v>
      </c>
      <c r="AZ154" s="30" t="s">
        <v>841</v>
      </c>
      <c r="BA154" s="63"/>
      <c r="BB154" s="71" t="e">
        <f>SUMIFS([1]Form!$F$9:$F$22,[1]Form!$K$9:$K$22,K154)</f>
        <v>#VALUE!</v>
      </c>
      <c r="BC154" s="71"/>
      <c r="BD154" s="71"/>
    </row>
    <row r="155" spans="1:56" x14ac:dyDescent="0.25">
      <c r="A155" s="24">
        <f>IF(B155="","",SUBTOTAL(3,$B$4:B155))</f>
        <v>152</v>
      </c>
      <c r="B155" s="25" t="s">
        <v>840</v>
      </c>
      <c r="C155" s="25" t="str">
        <f t="shared" si="56"/>
        <v>Shipment 1 B-10124 Fired Proces Heater</v>
      </c>
      <c r="D155" s="25" t="s">
        <v>839</v>
      </c>
      <c r="E155" s="25" t="s">
        <v>838</v>
      </c>
      <c r="F155" s="25"/>
      <c r="G155" s="65"/>
      <c r="H155" s="25" t="s">
        <v>842</v>
      </c>
      <c r="I155" s="25"/>
      <c r="J155" s="26" t="s">
        <v>843</v>
      </c>
      <c r="K155" s="27" t="s">
        <v>902</v>
      </c>
      <c r="L155" s="28" t="s">
        <v>907</v>
      </c>
      <c r="M155" s="28" t="s">
        <v>865</v>
      </c>
      <c r="N155" s="25">
        <v>1</v>
      </c>
      <c r="O155" s="29">
        <v>16.230769230769234</v>
      </c>
      <c r="P155" s="29">
        <v>16.230769230769234</v>
      </c>
      <c r="Q155" s="25" t="s">
        <v>740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58"/>
        <v>14.607692307692311</v>
      </c>
      <c r="AF155" s="32">
        <f t="shared" si="59"/>
        <v>1.6230769230769226</v>
      </c>
      <c r="AG155" s="30"/>
      <c r="AH155" s="33"/>
      <c r="AI155" s="34">
        <f t="shared" si="60"/>
        <v>0</v>
      </c>
      <c r="AJ155" s="35">
        <v>46304</v>
      </c>
      <c r="AK155" s="30">
        <v>1</v>
      </c>
      <c r="AL155" s="36">
        <f t="shared" si="66"/>
        <v>16.230769230769234</v>
      </c>
      <c r="AM155" s="35">
        <v>46305</v>
      </c>
      <c r="AN155" s="30">
        <v>1</v>
      </c>
      <c r="AO155" s="36">
        <f t="shared" si="62"/>
        <v>16.230769230769234</v>
      </c>
      <c r="AP155" s="35"/>
      <c r="AQ155" s="30"/>
      <c r="AR155" s="36">
        <f t="shared" si="63"/>
        <v>0</v>
      </c>
      <c r="AS155" s="27"/>
      <c r="AT155" s="37"/>
      <c r="AU155" s="30"/>
      <c r="AV155" s="36">
        <f t="shared" si="64"/>
        <v>0</v>
      </c>
      <c r="AW155" s="35"/>
      <c r="AX155" s="30"/>
      <c r="AY155" s="32">
        <f t="shared" si="65"/>
        <v>0</v>
      </c>
      <c r="AZ155" s="30" t="s">
        <v>841</v>
      </c>
      <c r="BA155" s="63"/>
      <c r="BB155" s="71" t="e">
        <f>SUMIFS([1]Form!$F$9:$F$22,[1]Form!$K$9:$K$22,K155)</f>
        <v>#VALUE!</v>
      </c>
      <c r="BC155" s="71"/>
      <c r="BD155" s="71"/>
    </row>
    <row r="156" spans="1:56" x14ac:dyDescent="0.25">
      <c r="A156" s="24">
        <f>IF(B156="","",SUBTOTAL(3,$B$4:B156))</f>
        <v>153</v>
      </c>
      <c r="B156" s="25" t="s">
        <v>840</v>
      </c>
      <c r="C156" s="25" t="str">
        <f t="shared" ref="C156:C204" si="67">D156&amp;" "&amp;E156</f>
        <v>Shipment 1 B-10124 Fired Proces Heater</v>
      </c>
      <c r="D156" s="25" t="s">
        <v>839</v>
      </c>
      <c r="E156" s="25" t="s">
        <v>838</v>
      </c>
      <c r="F156" s="25"/>
      <c r="G156" s="65"/>
      <c r="H156" s="25" t="s">
        <v>842</v>
      </c>
      <c r="I156" s="25"/>
      <c r="J156" s="26" t="s">
        <v>843</v>
      </c>
      <c r="K156" s="27" t="s">
        <v>902</v>
      </c>
      <c r="L156" s="28" t="s">
        <v>908</v>
      </c>
      <c r="M156" s="28" t="s">
        <v>865</v>
      </c>
      <c r="N156" s="25">
        <v>1</v>
      </c>
      <c r="O156" s="29">
        <v>16.230769230769234</v>
      </c>
      <c r="P156" s="29">
        <v>16.230769230769234</v>
      </c>
      <c r="Q156" s="25" t="s">
        <v>740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58"/>
        <v>14.607692307692311</v>
      </c>
      <c r="AF156" s="32">
        <f t="shared" si="59"/>
        <v>1.6230769230769226</v>
      </c>
      <c r="AG156" s="30"/>
      <c r="AH156" s="33"/>
      <c r="AI156" s="34">
        <f t="shared" si="60"/>
        <v>0</v>
      </c>
      <c r="AJ156" s="35">
        <v>46304</v>
      </c>
      <c r="AK156" s="30">
        <v>1</v>
      </c>
      <c r="AL156" s="36">
        <f t="shared" si="66"/>
        <v>16.230769230769234</v>
      </c>
      <c r="AM156" s="35">
        <v>46305</v>
      </c>
      <c r="AN156" s="30">
        <v>1</v>
      </c>
      <c r="AO156" s="36">
        <f t="shared" si="62"/>
        <v>16.230769230769234</v>
      </c>
      <c r="AP156" s="35"/>
      <c r="AQ156" s="30"/>
      <c r="AR156" s="36">
        <f t="shared" si="63"/>
        <v>0</v>
      </c>
      <c r="AS156" s="27"/>
      <c r="AT156" s="37"/>
      <c r="AU156" s="30"/>
      <c r="AV156" s="36">
        <f t="shared" si="64"/>
        <v>0</v>
      </c>
      <c r="AW156" s="35"/>
      <c r="AX156" s="30"/>
      <c r="AY156" s="32">
        <f t="shared" si="65"/>
        <v>0</v>
      </c>
      <c r="AZ156" s="30" t="s">
        <v>841</v>
      </c>
      <c r="BA156" s="63"/>
      <c r="BB156" s="71" t="e">
        <f>SUMIFS([1]Form!$F$9:$F$22,[1]Form!$K$9:$K$22,K156)</f>
        <v>#VALUE!</v>
      </c>
      <c r="BC156" s="71"/>
      <c r="BD156" s="71"/>
    </row>
    <row r="157" spans="1:56" x14ac:dyDescent="0.25">
      <c r="A157" s="24">
        <f>IF(B157="","",SUBTOTAL(3,$B$4:B157))</f>
        <v>154</v>
      </c>
      <c r="B157" s="25" t="s">
        <v>840</v>
      </c>
      <c r="C157" s="25" t="str">
        <f t="shared" si="67"/>
        <v>Shipment 1 B-10124 Fired Proces Heater</v>
      </c>
      <c r="D157" s="25" t="s">
        <v>839</v>
      </c>
      <c r="E157" s="25" t="s">
        <v>838</v>
      </c>
      <c r="F157" s="25"/>
      <c r="G157" s="65"/>
      <c r="H157" s="25" t="s">
        <v>842</v>
      </c>
      <c r="I157" s="25"/>
      <c r="J157" s="26" t="s">
        <v>843</v>
      </c>
      <c r="K157" s="27" t="s">
        <v>902</v>
      </c>
      <c r="L157" s="28" t="s">
        <v>909</v>
      </c>
      <c r="M157" s="28" t="s">
        <v>865</v>
      </c>
      <c r="N157" s="25">
        <v>1</v>
      </c>
      <c r="O157" s="29">
        <v>16.230769230769234</v>
      </c>
      <c r="P157" s="29">
        <v>16.230769230769234</v>
      </c>
      <c r="Q157" s="25" t="s">
        <v>740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58"/>
        <v>14.607692307692311</v>
      </c>
      <c r="AF157" s="32">
        <f t="shared" si="59"/>
        <v>1.6230769230769226</v>
      </c>
      <c r="AG157" s="30"/>
      <c r="AH157" s="33"/>
      <c r="AI157" s="34">
        <f t="shared" si="60"/>
        <v>0</v>
      </c>
      <c r="AJ157" s="35">
        <v>46304</v>
      </c>
      <c r="AK157" s="30">
        <v>1</v>
      </c>
      <c r="AL157" s="36">
        <f t="shared" si="66"/>
        <v>16.230769230769234</v>
      </c>
      <c r="AM157" s="35">
        <v>46305</v>
      </c>
      <c r="AN157" s="30">
        <v>1</v>
      </c>
      <c r="AO157" s="36">
        <f t="shared" si="62"/>
        <v>16.230769230769234</v>
      </c>
      <c r="AP157" s="35"/>
      <c r="AQ157" s="30"/>
      <c r="AR157" s="36">
        <f t="shared" si="63"/>
        <v>0</v>
      </c>
      <c r="AS157" s="27"/>
      <c r="AT157" s="37"/>
      <c r="AU157" s="30"/>
      <c r="AV157" s="36">
        <f t="shared" si="64"/>
        <v>0</v>
      </c>
      <c r="AW157" s="35"/>
      <c r="AX157" s="30"/>
      <c r="AY157" s="32">
        <f t="shared" si="65"/>
        <v>0</v>
      </c>
      <c r="AZ157" s="30" t="s">
        <v>841</v>
      </c>
      <c r="BA157" s="63"/>
      <c r="BB157" s="71" t="e">
        <f>SUMIFS([1]Form!$F$9:$F$22,[1]Form!$K$9:$K$22,K157)</f>
        <v>#VALUE!</v>
      </c>
      <c r="BC157" s="71"/>
      <c r="BD157" s="71"/>
    </row>
    <row r="158" spans="1:56" x14ac:dyDescent="0.25">
      <c r="A158" s="24">
        <f>IF(B158="","",SUBTOTAL(3,$B$4:B158))</f>
        <v>155</v>
      </c>
      <c r="B158" s="25" t="s">
        <v>840</v>
      </c>
      <c r="C158" s="25" t="str">
        <f t="shared" si="67"/>
        <v>Shipment 1 B-10124 Fired Proces Heater</v>
      </c>
      <c r="D158" s="25" t="s">
        <v>839</v>
      </c>
      <c r="E158" s="25" t="s">
        <v>838</v>
      </c>
      <c r="F158" s="25"/>
      <c r="G158" s="65"/>
      <c r="H158" s="25" t="s">
        <v>842</v>
      </c>
      <c r="I158" s="25"/>
      <c r="J158" s="26" t="s">
        <v>843</v>
      </c>
      <c r="K158" s="27" t="s">
        <v>902</v>
      </c>
      <c r="L158" s="28" t="s">
        <v>910</v>
      </c>
      <c r="M158" s="28" t="s">
        <v>865</v>
      </c>
      <c r="N158" s="25">
        <v>1</v>
      </c>
      <c r="O158" s="29">
        <v>16.230769230769234</v>
      </c>
      <c r="P158" s="29">
        <v>16.230769230769234</v>
      </c>
      <c r="Q158" s="25" t="s">
        <v>740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58"/>
        <v>14.607692307692311</v>
      </c>
      <c r="AF158" s="32">
        <f t="shared" si="59"/>
        <v>1.6230769230769226</v>
      </c>
      <c r="AG158" s="30"/>
      <c r="AH158" s="33"/>
      <c r="AI158" s="34">
        <f t="shared" si="60"/>
        <v>0</v>
      </c>
      <c r="AJ158" s="35">
        <v>46304</v>
      </c>
      <c r="AK158" s="30">
        <v>1</v>
      </c>
      <c r="AL158" s="36">
        <f t="shared" si="66"/>
        <v>16.230769230769234</v>
      </c>
      <c r="AM158" s="35">
        <v>46305</v>
      </c>
      <c r="AN158" s="30">
        <v>1</v>
      </c>
      <c r="AO158" s="36">
        <f t="shared" si="62"/>
        <v>16.230769230769234</v>
      </c>
      <c r="AP158" s="35"/>
      <c r="AQ158" s="30"/>
      <c r="AR158" s="36">
        <f t="shared" si="63"/>
        <v>0</v>
      </c>
      <c r="AS158" s="27"/>
      <c r="AT158" s="37"/>
      <c r="AU158" s="30"/>
      <c r="AV158" s="36">
        <f t="shared" si="64"/>
        <v>0</v>
      </c>
      <c r="AW158" s="35"/>
      <c r="AX158" s="30"/>
      <c r="AY158" s="32">
        <f t="shared" si="65"/>
        <v>0</v>
      </c>
      <c r="AZ158" s="30" t="s">
        <v>841</v>
      </c>
      <c r="BA158" s="63"/>
      <c r="BB158" s="71" t="e">
        <f>SUMIFS([1]Form!$F$9:$F$22,[1]Form!$K$9:$K$22,K158)</f>
        <v>#VALUE!</v>
      </c>
      <c r="BC158" s="71"/>
      <c r="BD158" s="71"/>
    </row>
    <row r="159" spans="1:56" x14ac:dyDescent="0.25">
      <c r="A159" s="24">
        <f>IF(B159="","",SUBTOTAL(3,$B$4:B159))</f>
        <v>156</v>
      </c>
      <c r="B159" s="25" t="s">
        <v>840</v>
      </c>
      <c r="C159" s="25" t="str">
        <f t="shared" si="67"/>
        <v>Shipment 1 B-10124 Fired Proces Heater</v>
      </c>
      <c r="D159" s="25" t="s">
        <v>839</v>
      </c>
      <c r="E159" s="25" t="s">
        <v>838</v>
      </c>
      <c r="F159" s="25"/>
      <c r="G159" s="65"/>
      <c r="H159" s="25" t="s">
        <v>842</v>
      </c>
      <c r="I159" s="25"/>
      <c r="J159" s="26" t="s">
        <v>843</v>
      </c>
      <c r="K159" s="27" t="s">
        <v>902</v>
      </c>
      <c r="L159" s="28" t="s">
        <v>911</v>
      </c>
      <c r="M159" s="28" t="s">
        <v>865</v>
      </c>
      <c r="N159" s="25">
        <v>1</v>
      </c>
      <c r="O159" s="29">
        <v>16.230769230769234</v>
      </c>
      <c r="P159" s="29">
        <v>16.230769230769234</v>
      </c>
      <c r="Q159" s="25" t="s">
        <v>740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58"/>
        <v>14.607692307692311</v>
      </c>
      <c r="AF159" s="32">
        <f t="shared" si="59"/>
        <v>1.6230769230769226</v>
      </c>
      <c r="AG159" s="30"/>
      <c r="AH159" s="33"/>
      <c r="AI159" s="34">
        <f t="shared" si="60"/>
        <v>0</v>
      </c>
      <c r="AJ159" s="35">
        <v>46304</v>
      </c>
      <c r="AK159" s="30">
        <v>1</v>
      </c>
      <c r="AL159" s="36">
        <f t="shared" si="66"/>
        <v>16.230769230769234</v>
      </c>
      <c r="AM159" s="35">
        <v>46305</v>
      </c>
      <c r="AN159" s="30">
        <v>1</v>
      </c>
      <c r="AO159" s="36">
        <f t="shared" si="62"/>
        <v>16.230769230769234</v>
      </c>
      <c r="AP159" s="35"/>
      <c r="AQ159" s="30"/>
      <c r="AR159" s="36">
        <f t="shared" si="63"/>
        <v>0</v>
      </c>
      <c r="AS159" s="27"/>
      <c r="AT159" s="37"/>
      <c r="AU159" s="30"/>
      <c r="AV159" s="36">
        <f t="shared" si="64"/>
        <v>0</v>
      </c>
      <c r="AW159" s="35"/>
      <c r="AX159" s="30"/>
      <c r="AY159" s="32">
        <f t="shared" si="65"/>
        <v>0</v>
      </c>
      <c r="AZ159" s="30" t="s">
        <v>841</v>
      </c>
      <c r="BA159" s="63"/>
      <c r="BB159" s="71" t="e">
        <f>SUMIFS([1]Form!$F$9:$F$22,[1]Form!$K$9:$K$22,K159)</f>
        <v>#VALUE!</v>
      </c>
      <c r="BC159" s="71"/>
      <c r="BD159" s="71"/>
    </row>
    <row r="160" spans="1:56" x14ac:dyDescent="0.25">
      <c r="A160" s="24">
        <f>IF(B160="","",SUBTOTAL(3,$B$4:B160))</f>
        <v>157</v>
      </c>
      <c r="B160" s="25" t="s">
        <v>840</v>
      </c>
      <c r="C160" s="25" t="str">
        <f t="shared" si="67"/>
        <v>Shipment 1 B-10124 Fired Proces Heater</v>
      </c>
      <c r="D160" s="25" t="s">
        <v>839</v>
      </c>
      <c r="E160" s="25" t="s">
        <v>838</v>
      </c>
      <c r="F160" s="25"/>
      <c r="G160" s="65"/>
      <c r="H160" s="25" t="s">
        <v>842</v>
      </c>
      <c r="I160" s="25"/>
      <c r="J160" s="26" t="s">
        <v>843</v>
      </c>
      <c r="K160" s="27" t="s">
        <v>902</v>
      </c>
      <c r="L160" s="28" t="s">
        <v>912</v>
      </c>
      <c r="M160" s="28" t="s">
        <v>865</v>
      </c>
      <c r="N160" s="25">
        <v>1</v>
      </c>
      <c r="O160" s="29">
        <v>16.230769230769234</v>
      </c>
      <c r="P160" s="29">
        <v>16.230769230769234</v>
      </c>
      <c r="Q160" s="25" t="s">
        <v>740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58"/>
        <v>14.607692307692311</v>
      </c>
      <c r="AF160" s="32">
        <f t="shared" si="59"/>
        <v>1.6230769230769226</v>
      </c>
      <c r="AG160" s="30"/>
      <c r="AH160" s="33"/>
      <c r="AI160" s="34">
        <f t="shared" si="60"/>
        <v>0</v>
      </c>
      <c r="AJ160" s="35">
        <v>46304</v>
      </c>
      <c r="AK160" s="30">
        <v>1</v>
      </c>
      <c r="AL160" s="36">
        <f t="shared" si="66"/>
        <v>16.230769230769234</v>
      </c>
      <c r="AM160" s="35">
        <v>46305</v>
      </c>
      <c r="AN160" s="30">
        <v>1</v>
      </c>
      <c r="AO160" s="36">
        <f t="shared" si="62"/>
        <v>16.230769230769234</v>
      </c>
      <c r="AP160" s="35"/>
      <c r="AQ160" s="30"/>
      <c r="AR160" s="36">
        <f t="shared" si="63"/>
        <v>0</v>
      </c>
      <c r="AS160" s="27"/>
      <c r="AT160" s="37"/>
      <c r="AU160" s="30"/>
      <c r="AV160" s="36">
        <f t="shared" si="64"/>
        <v>0</v>
      </c>
      <c r="AW160" s="35"/>
      <c r="AX160" s="30"/>
      <c r="AY160" s="32">
        <f t="shared" si="65"/>
        <v>0</v>
      </c>
      <c r="AZ160" s="30" t="s">
        <v>841</v>
      </c>
      <c r="BA160" s="63"/>
      <c r="BB160" s="71" t="e">
        <f>SUMIFS([1]Form!$F$9:$F$22,[1]Form!$K$9:$K$22,K160)</f>
        <v>#VALUE!</v>
      </c>
      <c r="BC160" s="71"/>
      <c r="BD160" s="71"/>
    </row>
    <row r="161" spans="1:56" x14ac:dyDescent="0.25">
      <c r="A161" s="24">
        <f>IF(B161="","",SUBTOTAL(3,$B$4:B161))</f>
        <v>158</v>
      </c>
      <c r="B161" s="25" t="s">
        <v>840</v>
      </c>
      <c r="C161" s="25" t="str">
        <f t="shared" si="67"/>
        <v>Shipment 1 B-10124 Fired Proces Heater</v>
      </c>
      <c r="D161" s="25" t="s">
        <v>839</v>
      </c>
      <c r="E161" s="25" t="s">
        <v>838</v>
      </c>
      <c r="F161" s="25"/>
      <c r="G161" s="65"/>
      <c r="H161" s="25" t="s">
        <v>842</v>
      </c>
      <c r="I161" s="25"/>
      <c r="J161" s="26" t="s">
        <v>843</v>
      </c>
      <c r="K161" s="27" t="s">
        <v>902</v>
      </c>
      <c r="L161" s="28" t="s">
        <v>913</v>
      </c>
      <c r="M161" s="28" t="s">
        <v>865</v>
      </c>
      <c r="N161" s="25">
        <v>1</v>
      </c>
      <c r="O161" s="29">
        <v>16.230769230769234</v>
      </c>
      <c r="P161" s="29">
        <v>16.230769230769234</v>
      </c>
      <c r="Q161" s="25" t="s">
        <v>740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58"/>
        <v>14.607692307692311</v>
      </c>
      <c r="AF161" s="32">
        <f t="shared" si="59"/>
        <v>1.6230769230769226</v>
      </c>
      <c r="AG161" s="30"/>
      <c r="AH161" s="33"/>
      <c r="AI161" s="34">
        <f t="shared" si="60"/>
        <v>0</v>
      </c>
      <c r="AJ161" s="35">
        <v>46304</v>
      </c>
      <c r="AK161" s="30">
        <v>1</v>
      </c>
      <c r="AL161" s="36">
        <f t="shared" si="66"/>
        <v>16.230769230769234</v>
      </c>
      <c r="AM161" s="35">
        <v>46305</v>
      </c>
      <c r="AN161" s="30">
        <v>1</v>
      </c>
      <c r="AO161" s="36">
        <f t="shared" si="62"/>
        <v>16.230769230769234</v>
      </c>
      <c r="AP161" s="35"/>
      <c r="AQ161" s="30"/>
      <c r="AR161" s="36">
        <f t="shared" si="63"/>
        <v>0</v>
      </c>
      <c r="AS161" s="27"/>
      <c r="AT161" s="37"/>
      <c r="AU161" s="30"/>
      <c r="AV161" s="36">
        <f t="shared" si="64"/>
        <v>0</v>
      </c>
      <c r="AW161" s="35"/>
      <c r="AX161" s="30"/>
      <c r="AY161" s="32">
        <f t="shared" si="65"/>
        <v>0</v>
      </c>
      <c r="AZ161" s="30" t="s">
        <v>841</v>
      </c>
      <c r="BA161" s="63"/>
      <c r="BB161" s="71" t="e">
        <f>SUMIFS([1]Form!$F$9:$F$22,[1]Form!$K$9:$K$22,K161)</f>
        <v>#VALUE!</v>
      </c>
      <c r="BC161" s="71"/>
      <c r="BD161" s="71"/>
    </row>
    <row r="162" spans="1:56" x14ac:dyDescent="0.25">
      <c r="A162" s="24">
        <f>IF(B162="","",SUBTOTAL(3,$B$4:B162))</f>
        <v>159</v>
      </c>
      <c r="B162" s="25" t="s">
        <v>840</v>
      </c>
      <c r="C162" s="25" t="str">
        <f t="shared" si="67"/>
        <v>Shipment 1 B-10124 Fired Proces Heater</v>
      </c>
      <c r="D162" s="25" t="s">
        <v>839</v>
      </c>
      <c r="E162" s="25" t="s">
        <v>838</v>
      </c>
      <c r="F162" s="25"/>
      <c r="G162" s="65"/>
      <c r="H162" s="25" t="s">
        <v>842</v>
      </c>
      <c r="I162" s="25"/>
      <c r="J162" s="26" t="s">
        <v>843</v>
      </c>
      <c r="K162" s="27" t="s">
        <v>902</v>
      </c>
      <c r="L162" s="28" t="s">
        <v>914</v>
      </c>
      <c r="M162" s="28" t="s">
        <v>865</v>
      </c>
      <c r="N162" s="25">
        <v>1</v>
      </c>
      <c r="O162" s="29">
        <v>16.230769230769234</v>
      </c>
      <c r="P162" s="29">
        <v>16.230769230769234</v>
      </c>
      <c r="Q162" s="25" t="s">
        <v>740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58"/>
        <v>14.607692307692311</v>
      </c>
      <c r="AF162" s="32">
        <f t="shared" si="59"/>
        <v>1.6230769230769226</v>
      </c>
      <c r="AG162" s="30"/>
      <c r="AH162" s="33"/>
      <c r="AI162" s="34">
        <f t="shared" si="60"/>
        <v>0</v>
      </c>
      <c r="AJ162" s="35">
        <v>46304</v>
      </c>
      <c r="AK162" s="30">
        <v>1</v>
      </c>
      <c r="AL162" s="36">
        <f t="shared" si="66"/>
        <v>16.230769230769234</v>
      </c>
      <c r="AM162" s="35">
        <v>46305</v>
      </c>
      <c r="AN162" s="30">
        <v>1</v>
      </c>
      <c r="AO162" s="36">
        <f t="shared" si="62"/>
        <v>16.230769230769234</v>
      </c>
      <c r="AP162" s="35"/>
      <c r="AQ162" s="30"/>
      <c r="AR162" s="36">
        <f t="shared" si="63"/>
        <v>0</v>
      </c>
      <c r="AS162" s="27"/>
      <c r="AT162" s="37"/>
      <c r="AU162" s="30"/>
      <c r="AV162" s="36">
        <f t="shared" si="64"/>
        <v>0</v>
      </c>
      <c r="AW162" s="35"/>
      <c r="AX162" s="30"/>
      <c r="AY162" s="32">
        <f t="shared" si="65"/>
        <v>0</v>
      </c>
      <c r="AZ162" s="30" t="s">
        <v>841</v>
      </c>
      <c r="BA162" s="63"/>
      <c r="BB162" s="71" t="e">
        <f>SUMIFS([1]Form!$F$9:$F$22,[1]Form!$K$9:$K$22,K162)</f>
        <v>#VALUE!</v>
      </c>
      <c r="BC162" s="71"/>
      <c r="BD162" s="71"/>
    </row>
    <row r="163" spans="1:56" x14ac:dyDescent="0.25">
      <c r="A163" s="24">
        <f>IF(B163="","",SUBTOTAL(3,$B$4:B163))</f>
        <v>160</v>
      </c>
      <c r="B163" s="25" t="s">
        <v>840</v>
      </c>
      <c r="C163" s="25" t="str">
        <f t="shared" si="67"/>
        <v>Shipment 1 B-10124 Fired Proces Heater</v>
      </c>
      <c r="D163" s="25" t="s">
        <v>839</v>
      </c>
      <c r="E163" s="25" t="s">
        <v>838</v>
      </c>
      <c r="F163" s="25"/>
      <c r="G163" s="65"/>
      <c r="H163" s="25" t="s">
        <v>842</v>
      </c>
      <c r="I163" s="25"/>
      <c r="J163" s="26" t="s">
        <v>843</v>
      </c>
      <c r="K163" s="27" t="s">
        <v>902</v>
      </c>
      <c r="L163" s="28" t="s">
        <v>915</v>
      </c>
      <c r="M163" s="28" t="s">
        <v>865</v>
      </c>
      <c r="N163" s="25">
        <v>1</v>
      </c>
      <c r="O163" s="29">
        <v>16.230769230769234</v>
      </c>
      <c r="P163" s="29">
        <v>16.230769230769234</v>
      </c>
      <c r="Q163" s="25" t="s">
        <v>740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58"/>
        <v>14.607692307692311</v>
      </c>
      <c r="AF163" s="32">
        <f t="shared" si="59"/>
        <v>1.6230769230769226</v>
      </c>
      <c r="AG163" s="30"/>
      <c r="AH163" s="33"/>
      <c r="AI163" s="34">
        <f t="shared" si="60"/>
        <v>0</v>
      </c>
      <c r="AJ163" s="35">
        <v>46304</v>
      </c>
      <c r="AK163" s="30">
        <v>1</v>
      </c>
      <c r="AL163" s="36">
        <f t="shared" si="66"/>
        <v>16.230769230769234</v>
      </c>
      <c r="AM163" s="35">
        <v>46305</v>
      </c>
      <c r="AN163" s="30">
        <v>1</v>
      </c>
      <c r="AO163" s="36">
        <f t="shared" si="62"/>
        <v>16.230769230769234</v>
      </c>
      <c r="AP163" s="35"/>
      <c r="AQ163" s="30"/>
      <c r="AR163" s="36">
        <f t="shared" si="63"/>
        <v>0</v>
      </c>
      <c r="AS163" s="27"/>
      <c r="AT163" s="37"/>
      <c r="AU163" s="30"/>
      <c r="AV163" s="36">
        <f t="shared" si="64"/>
        <v>0</v>
      </c>
      <c r="AW163" s="35"/>
      <c r="AX163" s="30"/>
      <c r="AY163" s="32">
        <f t="shared" si="65"/>
        <v>0</v>
      </c>
      <c r="AZ163" s="30" t="s">
        <v>841</v>
      </c>
      <c r="BA163" s="63"/>
      <c r="BB163" s="71" t="e">
        <f>SUMIFS([1]Form!$F$9:$F$22,[1]Form!$K$9:$K$22,K163)</f>
        <v>#VALUE!</v>
      </c>
      <c r="BC163" s="71"/>
      <c r="BD163" s="71"/>
    </row>
    <row r="164" spans="1:56" x14ac:dyDescent="0.25">
      <c r="A164" s="24">
        <f>IF(B164="","",SUBTOTAL(3,$B$4:B164))</f>
        <v>161</v>
      </c>
      <c r="B164" s="25" t="s">
        <v>840</v>
      </c>
      <c r="C164" s="25" t="str">
        <f t="shared" si="67"/>
        <v>Shipment 1 B-10124 Fired Proces Heater</v>
      </c>
      <c r="D164" s="25" t="s">
        <v>839</v>
      </c>
      <c r="E164" s="25" t="s">
        <v>838</v>
      </c>
      <c r="F164" s="25"/>
      <c r="G164" s="65"/>
      <c r="H164" s="25" t="s">
        <v>842</v>
      </c>
      <c r="I164" s="25"/>
      <c r="J164" s="26" t="s">
        <v>843</v>
      </c>
      <c r="K164" s="27" t="s">
        <v>916</v>
      </c>
      <c r="L164" s="28" t="s">
        <v>917</v>
      </c>
      <c r="M164" s="28" t="s">
        <v>865</v>
      </c>
      <c r="N164" s="25">
        <v>1</v>
      </c>
      <c r="O164" s="29">
        <v>16.2</v>
      </c>
      <c r="P164" s="29">
        <v>16.2</v>
      </c>
      <c r="Q164" s="25" t="s">
        <v>740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58"/>
        <v>14.58</v>
      </c>
      <c r="AF164" s="32">
        <f t="shared" si="59"/>
        <v>1.6199999999999992</v>
      </c>
      <c r="AG164" s="30"/>
      <c r="AH164" s="33"/>
      <c r="AI164" s="34">
        <f t="shared" si="60"/>
        <v>0</v>
      </c>
      <c r="AJ164" s="35">
        <v>46304</v>
      </c>
      <c r="AK164" s="30">
        <v>1</v>
      </c>
      <c r="AL164" s="36">
        <f t="shared" si="66"/>
        <v>16.2</v>
      </c>
      <c r="AM164" s="35">
        <v>46305</v>
      </c>
      <c r="AN164" s="30">
        <v>1</v>
      </c>
      <c r="AO164" s="36">
        <f t="shared" si="62"/>
        <v>16.2</v>
      </c>
      <c r="AP164" s="35"/>
      <c r="AQ164" s="30"/>
      <c r="AR164" s="36">
        <f t="shared" si="63"/>
        <v>0</v>
      </c>
      <c r="AS164" s="27"/>
      <c r="AT164" s="37"/>
      <c r="AU164" s="30"/>
      <c r="AV164" s="36">
        <f t="shared" si="64"/>
        <v>0</v>
      </c>
      <c r="AW164" s="35"/>
      <c r="AX164" s="30"/>
      <c r="AY164" s="32">
        <f t="shared" si="65"/>
        <v>0</v>
      </c>
      <c r="AZ164" s="30" t="s">
        <v>841</v>
      </c>
      <c r="BA164" s="63"/>
      <c r="BB164" s="71" t="e">
        <f>SUMIFS([1]Form!$F$9:$F$22,[1]Form!$K$9:$K$22,K164)</f>
        <v>#VALUE!</v>
      </c>
      <c r="BC164" s="71"/>
      <c r="BD164" s="71"/>
    </row>
    <row r="165" spans="1:56" x14ac:dyDescent="0.25">
      <c r="A165" s="24">
        <f>IF(B165="","",SUBTOTAL(3,$B$4:B165))</f>
        <v>162</v>
      </c>
      <c r="B165" s="25" t="s">
        <v>840</v>
      </c>
      <c r="C165" s="25" t="str">
        <f t="shared" si="67"/>
        <v>Shipment 1 B-10124 Fired Proces Heater</v>
      </c>
      <c r="D165" s="25" t="s">
        <v>839</v>
      </c>
      <c r="E165" s="25" t="s">
        <v>838</v>
      </c>
      <c r="F165" s="25"/>
      <c r="G165" s="65"/>
      <c r="H165" s="25" t="s">
        <v>842</v>
      </c>
      <c r="I165" s="25"/>
      <c r="J165" s="26" t="s">
        <v>843</v>
      </c>
      <c r="K165" s="27" t="s">
        <v>916</v>
      </c>
      <c r="L165" s="28" t="s">
        <v>918</v>
      </c>
      <c r="M165" s="28" t="s">
        <v>865</v>
      </c>
      <c r="N165" s="25">
        <v>1</v>
      </c>
      <c r="O165" s="29">
        <v>16.2</v>
      </c>
      <c r="P165" s="29">
        <v>16.2</v>
      </c>
      <c r="Q165" s="25" t="s">
        <v>740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58"/>
        <v>14.58</v>
      </c>
      <c r="AF165" s="32">
        <f t="shared" si="59"/>
        <v>1.6199999999999992</v>
      </c>
      <c r="AG165" s="30"/>
      <c r="AH165" s="33"/>
      <c r="AI165" s="34">
        <f t="shared" si="60"/>
        <v>0</v>
      </c>
      <c r="AJ165" s="35">
        <v>46304</v>
      </c>
      <c r="AK165" s="30">
        <v>1</v>
      </c>
      <c r="AL165" s="36">
        <f t="shared" si="66"/>
        <v>16.2</v>
      </c>
      <c r="AM165" s="35">
        <v>46305</v>
      </c>
      <c r="AN165" s="30">
        <v>1</v>
      </c>
      <c r="AO165" s="36">
        <f t="shared" si="62"/>
        <v>16.2</v>
      </c>
      <c r="AP165" s="35"/>
      <c r="AQ165" s="30"/>
      <c r="AR165" s="36">
        <f t="shared" si="63"/>
        <v>0</v>
      </c>
      <c r="AS165" s="27"/>
      <c r="AT165" s="37"/>
      <c r="AU165" s="30"/>
      <c r="AV165" s="36">
        <f t="shared" si="64"/>
        <v>0</v>
      </c>
      <c r="AW165" s="35"/>
      <c r="AX165" s="30"/>
      <c r="AY165" s="32">
        <f t="shared" si="65"/>
        <v>0</v>
      </c>
      <c r="AZ165" s="30" t="s">
        <v>841</v>
      </c>
      <c r="BA165" s="63"/>
      <c r="BB165" s="71" t="e">
        <f>SUMIFS([1]Form!$F$9:$F$22,[1]Form!$K$9:$K$22,K165)</f>
        <v>#VALUE!</v>
      </c>
      <c r="BC165" s="71"/>
      <c r="BD165" s="71"/>
    </row>
    <row r="166" spans="1:56" x14ac:dyDescent="0.25">
      <c r="A166" s="24">
        <f>IF(B166="","",SUBTOTAL(3,$B$4:B166))</f>
        <v>163</v>
      </c>
      <c r="B166" s="25" t="s">
        <v>840</v>
      </c>
      <c r="C166" s="25" t="str">
        <f t="shared" si="67"/>
        <v>Shipment 1 B-10124 Fired Proces Heater</v>
      </c>
      <c r="D166" s="25" t="s">
        <v>839</v>
      </c>
      <c r="E166" s="25" t="s">
        <v>838</v>
      </c>
      <c r="F166" s="25"/>
      <c r="G166" s="65"/>
      <c r="H166" s="25" t="s">
        <v>842</v>
      </c>
      <c r="I166" s="25"/>
      <c r="J166" s="26" t="s">
        <v>843</v>
      </c>
      <c r="K166" s="27" t="s">
        <v>916</v>
      </c>
      <c r="L166" s="28" t="s">
        <v>919</v>
      </c>
      <c r="M166" s="28" t="s">
        <v>865</v>
      </c>
      <c r="N166" s="25">
        <v>1</v>
      </c>
      <c r="O166" s="29">
        <v>16.2</v>
      </c>
      <c r="P166" s="29">
        <v>16.2</v>
      </c>
      <c r="Q166" s="25" t="s">
        <v>740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58"/>
        <v>14.58</v>
      </c>
      <c r="AF166" s="32">
        <f t="shared" si="59"/>
        <v>1.6199999999999992</v>
      </c>
      <c r="AG166" s="30"/>
      <c r="AH166" s="33"/>
      <c r="AI166" s="34">
        <f t="shared" si="60"/>
        <v>0</v>
      </c>
      <c r="AJ166" s="35">
        <v>46304</v>
      </c>
      <c r="AK166" s="30">
        <v>1</v>
      </c>
      <c r="AL166" s="36">
        <f t="shared" si="66"/>
        <v>16.2</v>
      </c>
      <c r="AM166" s="35">
        <v>46305</v>
      </c>
      <c r="AN166" s="30">
        <v>1</v>
      </c>
      <c r="AO166" s="36">
        <f t="shared" si="62"/>
        <v>16.2</v>
      </c>
      <c r="AP166" s="35"/>
      <c r="AQ166" s="30"/>
      <c r="AR166" s="36">
        <f t="shared" si="63"/>
        <v>0</v>
      </c>
      <c r="AS166" s="27"/>
      <c r="AT166" s="37"/>
      <c r="AU166" s="30"/>
      <c r="AV166" s="36">
        <f t="shared" si="64"/>
        <v>0</v>
      </c>
      <c r="AW166" s="35"/>
      <c r="AX166" s="30"/>
      <c r="AY166" s="32">
        <f t="shared" si="65"/>
        <v>0</v>
      </c>
      <c r="AZ166" s="30" t="s">
        <v>841</v>
      </c>
      <c r="BA166" s="63"/>
      <c r="BB166" s="71" t="e">
        <f>SUMIFS([1]Form!$F$9:$F$22,[1]Form!$K$9:$K$22,K166)</f>
        <v>#VALUE!</v>
      </c>
      <c r="BC166" s="71"/>
      <c r="BD166" s="71"/>
    </row>
    <row r="167" spans="1:56" x14ac:dyDescent="0.25">
      <c r="A167" s="24">
        <f>IF(B167="","",SUBTOTAL(3,$B$4:B167))</f>
        <v>164</v>
      </c>
      <c r="B167" s="25" t="s">
        <v>840</v>
      </c>
      <c r="C167" s="25" t="str">
        <f t="shared" si="67"/>
        <v>Shipment 1 B-10124 Fired Proces Heater</v>
      </c>
      <c r="D167" s="25" t="s">
        <v>839</v>
      </c>
      <c r="E167" s="25" t="s">
        <v>838</v>
      </c>
      <c r="F167" s="25"/>
      <c r="G167" s="65"/>
      <c r="H167" s="25" t="s">
        <v>842</v>
      </c>
      <c r="I167" s="25"/>
      <c r="J167" s="26" t="s">
        <v>843</v>
      </c>
      <c r="K167" s="27" t="s">
        <v>920</v>
      </c>
      <c r="L167" s="28" t="s">
        <v>921</v>
      </c>
      <c r="M167" s="28" t="s">
        <v>865</v>
      </c>
      <c r="N167" s="25">
        <v>1</v>
      </c>
      <c r="O167" s="29">
        <v>16.240000000000002</v>
      </c>
      <c r="P167" s="29">
        <v>16.240000000000002</v>
      </c>
      <c r="Q167" s="25" t="s">
        <v>740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58"/>
        <v>14.616000000000003</v>
      </c>
      <c r="AF167" s="32">
        <f t="shared" si="59"/>
        <v>1.6239999999999988</v>
      </c>
      <c r="AG167" s="30"/>
      <c r="AH167" s="33"/>
      <c r="AI167" s="34">
        <f t="shared" si="60"/>
        <v>0</v>
      </c>
      <c r="AJ167" s="35">
        <v>46304</v>
      </c>
      <c r="AK167" s="30">
        <v>1</v>
      </c>
      <c r="AL167" s="36">
        <f t="shared" si="66"/>
        <v>16.240000000000002</v>
      </c>
      <c r="AM167" s="35">
        <v>46305</v>
      </c>
      <c r="AN167" s="30">
        <v>1</v>
      </c>
      <c r="AO167" s="36">
        <f t="shared" si="62"/>
        <v>16.240000000000002</v>
      </c>
      <c r="AP167" s="35"/>
      <c r="AQ167" s="30"/>
      <c r="AR167" s="36">
        <f t="shared" si="63"/>
        <v>0</v>
      </c>
      <c r="AS167" s="27"/>
      <c r="AT167" s="37"/>
      <c r="AU167" s="30"/>
      <c r="AV167" s="36">
        <f t="shared" si="64"/>
        <v>0</v>
      </c>
      <c r="AW167" s="35"/>
      <c r="AX167" s="30"/>
      <c r="AY167" s="32">
        <f t="shared" si="65"/>
        <v>0</v>
      </c>
      <c r="AZ167" s="30" t="s">
        <v>841</v>
      </c>
      <c r="BA167" s="63"/>
      <c r="BB167" s="71" t="e">
        <f>SUMIFS([1]Form!$F$9:$F$22,[1]Form!$K$9:$K$22,K167)</f>
        <v>#VALUE!</v>
      </c>
      <c r="BC167" s="71"/>
      <c r="BD167" s="71"/>
    </row>
    <row r="168" spans="1:56" x14ac:dyDescent="0.25">
      <c r="A168" s="24">
        <f>IF(B168="","",SUBTOTAL(3,$B$4:B168))</f>
        <v>165</v>
      </c>
      <c r="B168" s="25" t="s">
        <v>840</v>
      </c>
      <c r="C168" s="25" t="str">
        <f t="shared" si="67"/>
        <v>Shipment 1 B-10124 Fired Proces Heater</v>
      </c>
      <c r="D168" s="25" t="s">
        <v>839</v>
      </c>
      <c r="E168" s="25" t="s">
        <v>838</v>
      </c>
      <c r="F168" s="25"/>
      <c r="G168" s="65"/>
      <c r="H168" s="25" t="s">
        <v>842</v>
      </c>
      <c r="I168" s="25"/>
      <c r="J168" s="26" t="s">
        <v>843</v>
      </c>
      <c r="K168" s="27" t="s">
        <v>920</v>
      </c>
      <c r="L168" s="28" t="s">
        <v>922</v>
      </c>
      <c r="M168" s="28" t="s">
        <v>865</v>
      </c>
      <c r="N168" s="25">
        <v>1</v>
      </c>
      <c r="O168" s="29">
        <v>16.240000000000002</v>
      </c>
      <c r="P168" s="29">
        <v>16.240000000000002</v>
      </c>
      <c r="Q168" s="25" t="s">
        <v>740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58"/>
        <v>14.616000000000003</v>
      </c>
      <c r="AF168" s="32">
        <f t="shared" si="59"/>
        <v>1.6239999999999988</v>
      </c>
      <c r="AG168" s="30"/>
      <c r="AH168" s="33"/>
      <c r="AI168" s="34">
        <f t="shared" si="60"/>
        <v>0</v>
      </c>
      <c r="AJ168" s="35">
        <v>46304</v>
      </c>
      <c r="AK168" s="30">
        <v>1</v>
      </c>
      <c r="AL168" s="36">
        <f t="shared" si="66"/>
        <v>16.240000000000002</v>
      </c>
      <c r="AM168" s="35">
        <v>46305</v>
      </c>
      <c r="AN168" s="30">
        <v>1</v>
      </c>
      <c r="AO168" s="36">
        <f t="shared" si="62"/>
        <v>16.240000000000002</v>
      </c>
      <c r="AP168" s="35"/>
      <c r="AQ168" s="30"/>
      <c r="AR168" s="36">
        <f t="shared" si="63"/>
        <v>0</v>
      </c>
      <c r="AS168" s="27"/>
      <c r="AT168" s="37"/>
      <c r="AU168" s="30"/>
      <c r="AV168" s="36">
        <f t="shared" si="64"/>
        <v>0</v>
      </c>
      <c r="AW168" s="35"/>
      <c r="AX168" s="30"/>
      <c r="AY168" s="32">
        <f t="shared" si="65"/>
        <v>0</v>
      </c>
      <c r="AZ168" s="30" t="s">
        <v>841</v>
      </c>
      <c r="BA168" s="63"/>
      <c r="BB168" s="71" t="e">
        <f>SUMIFS([1]Form!$F$9:$F$22,[1]Form!$K$9:$K$22,K168)</f>
        <v>#VALUE!</v>
      </c>
      <c r="BC168" s="71"/>
      <c r="BD168" s="71"/>
    </row>
    <row r="169" spans="1:56" x14ac:dyDescent="0.25">
      <c r="A169" s="24">
        <f>IF(B169="","",SUBTOTAL(3,$B$4:B169))</f>
        <v>166</v>
      </c>
      <c r="B169" s="25" t="s">
        <v>840</v>
      </c>
      <c r="C169" s="25" t="str">
        <f t="shared" si="67"/>
        <v>Shipment 1 B-10124 Fired Proces Heater</v>
      </c>
      <c r="D169" s="25" t="s">
        <v>839</v>
      </c>
      <c r="E169" s="25" t="s">
        <v>838</v>
      </c>
      <c r="F169" s="25"/>
      <c r="G169" s="65"/>
      <c r="H169" s="25" t="s">
        <v>842</v>
      </c>
      <c r="I169" s="25"/>
      <c r="J169" s="26" t="s">
        <v>843</v>
      </c>
      <c r="K169" s="27" t="s">
        <v>920</v>
      </c>
      <c r="L169" s="28" t="s">
        <v>923</v>
      </c>
      <c r="M169" s="28" t="s">
        <v>865</v>
      </c>
      <c r="N169" s="25">
        <v>1</v>
      </c>
      <c r="O169" s="29">
        <v>16.240000000000002</v>
      </c>
      <c r="P169" s="29">
        <v>16.240000000000002</v>
      </c>
      <c r="Q169" s="25" t="s">
        <v>740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58"/>
        <v>14.616000000000003</v>
      </c>
      <c r="AF169" s="32">
        <f t="shared" si="59"/>
        <v>1.6239999999999988</v>
      </c>
      <c r="AG169" s="30"/>
      <c r="AH169" s="33"/>
      <c r="AI169" s="34">
        <f t="shared" si="60"/>
        <v>0</v>
      </c>
      <c r="AJ169" s="35">
        <v>46304</v>
      </c>
      <c r="AK169" s="30">
        <v>1</v>
      </c>
      <c r="AL169" s="36">
        <f t="shared" si="66"/>
        <v>16.240000000000002</v>
      </c>
      <c r="AM169" s="35">
        <v>46305</v>
      </c>
      <c r="AN169" s="30">
        <v>1</v>
      </c>
      <c r="AO169" s="36">
        <f t="shared" si="62"/>
        <v>16.240000000000002</v>
      </c>
      <c r="AP169" s="35"/>
      <c r="AQ169" s="30"/>
      <c r="AR169" s="36">
        <f t="shared" si="63"/>
        <v>0</v>
      </c>
      <c r="AS169" s="27"/>
      <c r="AT169" s="37"/>
      <c r="AU169" s="30"/>
      <c r="AV169" s="36">
        <f t="shared" si="64"/>
        <v>0</v>
      </c>
      <c r="AW169" s="35"/>
      <c r="AX169" s="30"/>
      <c r="AY169" s="32">
        <f t="shared" si="65"/>
        <v>0</v>
      </c>
      <c r="AZ169" s="30" t="s">
        <v>841</v>
      </c>
      <c r="BA169" s="63"/>
      <c r="BB169" s="71" t="e">
        <f>SUMIFS([1]Form!$F$9:$F$22,[1]Form!$K$9:$K$22,K169)</f>
        <v>#VALUE!</v>
      </c>
      <c r="BC169" s="71"/>
      <c r="BD169" s="71"/>
    </row>
    <row r="170" spans="1:56" x14ac:dyDescent="0.25">
      <c r="A170" s="24">
        <f>IF(B170="","",SUBTOTAL(3,$B$4:B170))</f>
        <v>167</v>
      </c>
      <c r="B170" s="25" t="s">
        <v>840</v>
      </c>
      <c r="C170" s="25" t="str">
        <f t="shared" si="67"/>
        <v>Shipment 1 B-10124 Fired Proces Heater</v>
      </c>
      <c r="D170" s="25" t="s">
        <v>839</v>
      </c>
      <c r="E170" s="25" t="s">
        <v>838</v>
      </c>
      <c r="F170" s="25"/>
      <c r="G170" s="65"/>
      <c r="H170" s="25" t="s">
        <v>842</v>
      </c>
      <c r="I170" s="25"/>
      <c r="J170" s="26" t="s">
        <v>843</v>
      </c>
      <c r="K170" s="27" t="s">
        <v>920</v>
      </c>
      <c r="L170" s="28" t="s">
        <v>924</v>
      </c>
      <c r="M170" s="28" t="s">
        <v>865</v>
      </c>
      <c r="N170" s="25">
        <v>1</v>
      </c>
      <c r="O170" s="29">
        <v>16.240000000000002</v>
      </c>
      <c r="P170" s="29">
        <v>16.240000000000002</v>
      </c>
      <c r="Q170" s="25" t="s">
        <v>740</v>
      </c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ref="AE170:AE218" si="68">+AL170*0.5+AO170*0.4+AV170*0.1</f>
        <v>8.120000000000001</v>
      </c>
      <c r="AF170" s="32">
        <f t="shared" ref="AF170:AF218" si="69">+P170-AE170</f>
        <v>8.120000000000001</v>
      </c>
      <c r="AG170" s="30"/>
      <c r="AH170" s="33"/>
      <c r="AI170" s="34">
        <f t="shared" ref="AI170:AI218" si="70">+AH170*P170</f>
        <v>0</v>
      </c>
      <c r="AJ170" s="35">
        <v>46304</v>
      </c>
      <c r="AK170" s="30">
        <v>1</v>
      </c>
      <c r="AL170" s="36">
        <f t="shared" si="66"/>
        <v>16.240000000000002</v>
      </c>
      <c r="AM170" s="35"/>
      <c r="AN170" s="30"/>
      <c r="AO170" s="36">
        <f t="shared" ref="AO170:AO216" si="71">IFERROR(AN170*$P170/$N170,0)</f>
        <v>0</v>
      </c>
      <c r="AP170" s="35"/>
      <c r="AQ170" s="30"/>
      <c r="AR170" s="36">
        <f t="shared" ref="AR170:AR218" si="72">IFERROR(AQ170*$P170/$N170,0)</f>
        <v>0</v>
      </c>
      <c r="AS170" s="27"/>
      <c r="AT170" s="37"/>
      <c r="AU170" s="30"/>
      <c r="AV170" s="36">
        <f t="shared" ref="AV170:AV218" si="73">IFERROR(AU170*$P170/$N170,0)</f>
        <v>0</v>
      </c>
      <c r="AW170" s="35"/>
      <c r="AX170" s="30"/>
      <c r="AY170" s="32">
        <f t="shared" ref="AY170:AY218" si="74">IFERROR(AX170*$P170/$N170,0)</f>
        <v>0</v>
      </c>
      <c r="AZ170" s="30" t="s">
        <v>841</v>
      </c>
      <c r="BA170" s="63"/>
      <c r="BB170" s="71" t="e">
        <f>SUMIFS([1]Form!$F$9:$F$22,[1]Form!$K$9:$K$22,K170)</f>
        <v>#VALUE!</v>
      </c>
      <c r="BC170" s="71"/>
      <c r="BD170" s="71"/>
    </row>
    <row r="171" spans="1:56" x14ac:dyDescent="0.25">
      <c r="A171" s="24">
        <f>IF(B171="","",SUBTOTAL(3,$B$4:B171))</f>
        <v>168</v>
      </c>
      <c r="B171" s="25" t="s">
        <v>840</v>
      </c>
      <c r="C171" s="25" t="str">
        <f t="shared" si="67"/>
        <v>Shipment 1 B-10124 Fired Proces Heater</v>
      </c>
      <c r="D171" s="25" t="s">
        <v>839</v>
      </c>
      <c r="E171" s="25" t="s">
        <v>838</v>
      </c>
      <c r="F171" s="25"/>
      <c r="G171" s="65"/>
      <c r="H171" s="25" t="s">
        <v>842</v>
      </c>
      <c r="I171" s="25"/>
      <c r="J171" s="26" t="s">
        <v>843</v>
      </c>
      <c r="K171" s="27" t="s">
        <v>920</v>
      </c>
      <c r="L171" s="28" t="s">
        <v>925</v>
      </c>
      <c r="M171" s="28" t="s">
        <v>865</v>
      </c>
      <c r="N171" s="25">
        <v>1</v>
      </c>
      <c r="O171" s="29">
        <v>16.240000000000002</v>
      </c>
      <c r="P171" s="29">
        <v>16.240000000000002</v>
      </c>
      <c r="Q171" s="25" t="s">
        <v>740</v>
      </c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68"/>
        <v>8.120000000000001</v>
      </c>
      <c r="AF171" s="32">
        <f t="shared" si="69"/>
        <v>8.120000000000001</v>
      </c>
      <c r="AG171" s="30"/>
      <c r="AH171" s="33"/>
      <c r="AI171" s="34">
        <f t="shared" si="70"/>
        <v>0</v>
      </c>
      <c r="AJ171" s="35">
        <v>46304</v>
      </c>
      <c r="AK171" s="30">
        <v>1</v>
      </c>
      <c r="AL171" s="36">
        <f t="shared" si="66"/>
        <v>16.240000000000002</v>
      </c>
      <c r="AM171" s="35"/>
      <c r="AN171" s="30"/>
      <c r="AO171" s="36">
        <f t="shared" si="71"/>
        <v>0</v>
      </c>
      <c r="AP171" s="35"/>
      <c r="AQ171" s="30"/>
      <c r="AR171" s="36">
        <f t="shared" si="72"/>
        <v>0</v>
      </c>
      <c r="AS171" s="27"/>
      <c r="AT171" s="37"/>
      <c r="AU171" s="30"/>
      <c r="AV171" s="36">
        <f t="shared" si="73"/>
        <v>0</v>
      </c>
      <c r="AW171" s="35"/>
      <c r="AX171" s="30"/>
      <c r="AY171" s="32">
        <f t="shared" si="74"/>
        <v>0</v>
      </c>
      <c r="AZ171" s="30" t="s">
        <v>841</v>
      </c>
      <c r="BA171" s="63"/>
      <c r="BB171" s="71" t="e">
        <f>SUMIFS([1]Form!$F$9:$F$22,[1]Form!$K$9:$K$22,K171)</f>
        <v>#VALUE!</v>
      </c>
      <c r="BC171" s="71"/>
      <c r="BD171" s="71"/>
    </row>
    <row r="172" spans="1:56" x14ac:dyDescent="0.25">
      <c r="A172" s="24">
        <f>IF(B172="","",SUBTOTAL(3,$B$4:B172))</f>
        <v>169</v>
      </c>
      <c r="B172" s="25" t="s">
        <v>840</v>
      </c>
      <c r="C172" s="25" t="str">
        <f t="shared" si="67"/>
        <v>Shipment 1 B-10124 Fired Proces Heater</v>
      </c>
      <c r="D172" s="25" t="s">
        <v>839</v>
      </c>
      <c r="E172" s="25" t="s">
        <v>838</v>
      </c>
      <c r="F172" s="25"/>
      <c r="G172" s="65"/>
      <c r="H172" s="25" t="s">
        <v>842</v>
      </c>
      <c r="I172" s="25"/>
      <c r="J172" s="26" t="s">
        <v>843</v>
      </c>
      <c r="K172" s="27" t="s">
        <v>926</v>
      </c>
      <c r="L172" s="28" t="s">
        <v>927</v>
      </c>
      <c r="M172" s="28" t="s">
        <v>865</v>
      </c>
      <c r="N172" s="25">
        <v>1</v>
      </c>
      <c r="O172" s="29">
        <v>16.2</v>
      </c>
      <c r="P172" s="29">
        <v>16.2</v>
      </c>
      <c r="Q172" s="25" t="s">
        <v>740</v>
      </c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68"/>
        <v>8.1</v>
      </c>
      <c r="AF172" s="32">
        <f t="shared" si="69"/>
        <v>8.1</v>
      </c>
      <c r="AG172" s="30"/>
      <c r="AH172" s="33"/>
      <c r="AI172" s="34">
        <f t="shared" si="70"/>
        <v>0</v>
      </c>
      <c r="AJ172" s="35">
        <v>46304</v>
      </c>
      <c r="AK172" s="30">
        <v>1</v>
      </c>
      <c r="AL172" s="36">
        <f t="shared" si="66"/>
        <v>16.2</v>
      </c>
      <c r="AM172" s="35"/>
      <c r="AN172" s="30"/>
      <c r="AO172" s="36">
        <f t="shared" si="71"/>
        <v>0</v>
      </c>
      <c r="AP172" s="35"/>
      <c r="AQ172" s="30"/>
      <c r="AR172" s="36">
        <f t="shared" si="72"/>
        <v>0</v>
      </c>
      <c r="AS172" s="27"/>
      <c r="AT172" s="37"/>
      <c r="AU172" s="30"/>
      <c r="AV172" s="36">
        <f t="shared" si="73"/>
        <v>0</v>
      </c>
      <c r="AW172" s="35"/>
      <c r="AX172" s="30"/>
      <c r="AY172" s="32">
        <f t="shared" si="74"/>
        <v>0</v>
      </c>
      <c r="AZ172" s="30" t="s">
        <v>841</v>
      </c>
      <c r="BA172" s="63"/>
      <c r="BB172" s="71" t="e">
        <f>SUMIFS([1]Form!$F$9:$F$22,[1]Form!$K$9:$K$22,K172)</f>
        <v>#VALUE!</v>
      </c>
      <c r="BC172" s="71"/>
      <c r="BD172" s="71"/>
    </row>
    <row r="173" spans="1:56" x14ac:dyDescent="0.25">
      <c r="A173" s="24">
        <f>IF(B173="","",SUBTOTAL(3,$B$4:B173))</f>
        <v>170</v>
      </c>
      <c r="B173" s="25" t="s">
        <v>840</v>
      </c>
      <c r="C173" s="25" t="str">
        <f t="shared" si="67"/>
        <v>Shipment 1 B-10124 Fired Proces Heater</v>
      </c>
      <c r="D173" s="25" t="s">
        <v>839</v>
      </c>
      <c r="E173" s="25" t="s">
        <v>838</v>
      </c>
      <c r="F173" s="25"/>
      <c r="G173" s="65"/>
      <c r="H173" s="25" t="s">
        <v>842</v>
      </c>
      <c r="I173" s="25"/>
      <c r="J173" s="26" t="s">
        <v>843</v>
      </c>
      <c r="K173" s="27" t="s">
        <v>926</v>
      </c>
      <c r="L173" s="28" t="s">
        <v>928</v>
      </c>
      <c r="M173" s="28" t="s">
        <v>865</v>
      </c>
      <c r="N173" s="25">
        <v>1</v>
      </c>
      <c r="O173" s="29">
        <v>16.2</v>
      </c>
      <c r="P173" s="29">
        <v>16.2</v>
      </c>
      <c r="Q173" s="25" t="s">
        <v>740</v>
      </c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68"/>
        <v>8.1</v>
      </c>
      <c r="AF173" s="32">
        <f t="shared" si="69"/>
        <v>8.1</v>
      </c>
      <c r="AG173" s="30"/>
      <c r="AH173" s="33"/>
      <c r="AI173" s="34">
        <f t="shared" si="70"/>
        <v>0</v>
      </c>
      <c r="AJ173" s="35">
        <v>46304</v>
      </c>
      <c r="AK173" s="30">
        <v>1</v>
      </c>
      <c r="AL173" s="36">
        <f t="shared" si="66"/>
        <v>16.2</v>
      </c>
      <c r="AM173" s="35"/>
      <c r="AN173" s="30"/>
      <c r="AO173" s="36">
        <f t="shared" si="71"/>
        <v>0</v>
      </c>
      <c r="AP173" s="35"/>
      <c r="AQ173" s="30"/>
      <c r="AR173" s="36">
        <f t="shared" si="72"/>
        <v>0</v>
      </c>
      <c r="AS173" s="27"/>
      <c r="AT173" s="37"/>
      <c r="AU173" s="30"/>
      <c r="AV173" s="36">
        <f t="shared" si="73"/>
        <v>0</v>
      </c>
      <c r="AW173" s="35"/>
      <c r="AX173" s="30"/>
      <c r="AY173" s="32">
        <f t="shared" si="74"/>
        <v>0</v>
      </c>
      <c r="AZ173" s="30" t="s">
        <v>841</v>
      </c>
      <c r="BA173" s="63"/>
      <c r="BB173" s="71" t="e">
        <f>SUMIFS([1]Form!$F$9:$F$22,[1]Form!$K$9:$K$22,K173)</f>
        <v>#VALUE!</v>
      </c>
      <c r="BC173" s="71"/>
      <c r="BD173" s="71"/>
    </row>
    <row r="174" spans="1:56" x14ac:dyDescent="0.25">
      <c r="A174" s="24">
        <f>IF(B174="","",SUBTOTAL(3,$B$4:B174))</f>
        <v>171</v>
      </c>
      <c r="B174" s="25" t="s">
        <v>840</v>
      </c>
      <c r="C174" s="25" t="str">
        <f t="shared" si="67"/>
        <v>Shipment 1 B-10124 Fired Proces Heater</v>
      </c>
      <c r="D174" s="25" t="s">
        <v>839</v>
      </c>
      <c r="E174" s="25" t="s">
        <v>838</v>
      </c>
      <c r="F174" s="25"/>
      <c r="G174" s="65"/>
      <c r="H174" s="25" t="s">
        <v>842</v>
      </c>
      <c r="I174" s="25"/>
      <c r="J174" s="26" t="s">
        <v>843</v>
      </c>
      <c r="K174" s="27" t="s">
        <v>926</v>
      </c>
      <c r="L174" s="28" t="s">
        <v>929</v>
      </c>
      <c r="M174" s="28" t="s">
        <v>865</v>
      </c>
      <c r="N174" s="25">
        <v>1</v>
      </c>
      <c r="O174" s="29">
        <v>16.2</v>
      </c>
      <c r="P174" s="29">
        <v>16.2</v>
      </c>
      <c r="Q174" s="25" t="s">
        <v>740</v>
      </c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68"/>
        <v>8.1</v>
      </c>
      <c r="AF174" s="32">
        <f t="shared" si="69"/>
        <v>8.1</v>
      </c>
      <c r="AG174" s="30"/>
      <c r="AH174" s="33"/>
      <c r="AI174" s="34">
        <f t="shared" si="70"/>
        <v>0</v>
      </c>
      <c r="AJ174" s="35">
        <v>46304</v>
      </c>
      <c r="AK174" s="30">
        <v>1</v>
      </c>
      <c r="AL174" s="36">
        <f t="shared" si="66"/>
        <v>16.2</v>
      </c>
      <c r="AM174" s="35"/>
      <c r="AN174" s="30"/>
      <c r="AO174" s="36">
        <f t="shared" si="71"/>
        <v>0</v>
      </c>
      <c r="AP174" s="35"/>
      <c r="AQ174" s="30"/>
      <c r="AR174" s="36">
        <f t="shared" si="72"/>
        <v>0</v>
      </c>
      <c r="AS174" s="27"/>
      <c r="AT174" s="37"/>
      <c r="AU174" s="30"/>
      <c r="AV174" s="36">
        <f t="shared" si="73"/>
        <v>0</v>
      </c>
      <c r="AW174" s="35"/>
      <c r="AX174" s="30"/>
      <c r="AY174" s="32">
        <f t="shared" si="74"/>
        <v>0</v>
      </c>
      <c r="AZ174" s="30" t="s">
        <v>841</v>
      </c>
      <c r="BA174" s="63"/>
      <c r="BB174" s="71" t="e">
        <f>SUMIFS([1]Form!$F$9:$F$22,[1]Form!$K$9:$K$22,K174)</f>
        <v>#VALUE!</v>
      </c>
      <c r="BC174" s="71"/>
      <c r="BD174" s="71"/>
    </row>
    <row r="175" spans="1:56" x14ac:dyDescent="0.25">
      <c r="A175" s="24">
        <f>IF(B175="","",SUBTOTAL(3,$B$4:B175))</f>
        <v>172</v>
      </c>
      <c r="B175" s="25" t="s">
        <v>840</v>
      </c>
      <c r="C175" s="25" t="str">
        <f t="shared" si="67"/>
        <v>Shipment 1 B-10124 Fired Proces Heater</v>
      </c>
      <c r="D175" s="25" t="s">
        <v>839</v>
      </c>
      <c r="E175" s="25" t="s">
        <v>838</v>
      </c>
      <c r="F175" s="25"/>
      <c r="G175" s="65"/>
      <c r="H175" s="25" t="s">
        <v>842</v>
      </c>
      <c r="I175" s="25"/>
      <c r="J175" s="26" t="s">
        <v>843</v>
      </c>
      <c r="K175" s="27" t="s">
        <v>221</v>
      </c>
      <c r="L175" s="28" t="s">
        <v>222</v>
      </c>
      <c r="M175" s="28" t="s">
        <v>704</v>
      </c>
      <c r="N175" s="25">
        <v>1</v>
      </c>
      <c r="O175" s="29">
        <v>78.649999999999991</v>
      </c>
      <c r="P175" s="29">
        <v>78.649999999999991</v>
      </c>
      <c r="Q175" s="25" t="s">
        <v>741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68"/>
        <v>39.324999999999996</v>
      </c>
      <c r="AF175" s="32">
        <f t="shared" si="69"/>
        <v>39.324999999999996</v>
      </c>
      <c r="AG175" s="30"/>
      <c r="AH175" s="33"/>
      <c r="AI175" s="34">
        <f t="shared" si="70"/>
        <v>0</v>
      </c>
      <c r="AJ175" s="35">
        <v>46304</v>
      </c>
      <c r="AK175" s="30">
        <v>1</v>
      </c>
      <c r="AL175" s="36">
        <f t="shared" si="66"/>
        <v>78.649999999999991</v>
      </c>
      <c r="AM175" s="35"/>
      <c r="AN175" s="30"/>
      <c r="AO175" s="36">
        <f t="shared" si="71"/>
        <v>0</v>
      </c>
      <c r="AP175" s="35"/>
      <c r="AQ175" s="30"/>
      <c r="AR175" s="36">
        <f t="shared" si="72"/>
        <v>0</v>
      </c>
      <c r="AS175" s="27"/>
      <c r="AT175" s="37"/>
      <c r="AU175" s="30"/>
      <c r="AV175" s="36">
        <f t="shared" si="73"/>
        <v>0</v>
      </c>
      <c r="AW175" s="35"/>
      <c r="AX175" s="30"/>
      <c r="AY175" s="32">
        <f t="shared" si="74"/>
        <v>0</v>
      </c>
      <c r="AZ175" s="30" t="s">
        <v>841</v>
      </c>
      <c r="BA175" s="63"/>
      <c r="BB175" s="71" t="e">
        <f>SUMIFS([1]Form!$F$9:$F$22,[1]Form!$K$9:$K$22,K175)</f>
        <v>#VALUE!</v>
      </c>
      <c r="BC175" s="71"/>
      <c r="BD175" s="71"/>
    </row>
    <row r="176" spans="1:56" x14ac:dyDescent="0.25">
      <c r="A176" s="24">
        <f>IF(B176="","",SUBTOTAL(3,$B$4:B176))</f>
        <v>173</v>
      </c>
      <c r="B176" s="25" t="s">
        <v>840</v>
      </c>
      <c r="C176" s="25" t="str">
        <f t="shared" si="67"/>
        <v>Shipment 1 B-10124 Fired Proces Heater</v>
      </c>
      <c r="D176" s="25" t="s">
        <v>839</v>
      </c>
      <c r="E176" s="25" t="s">
        <v>838</v>
      </c>
      <c r="F176" s="25"/>
      <c r="G176" s="65"/>
      <c r="H176" s="25" t="s">
        <v>842</v>
      </c>
      <c r="I176" s="25"/>
      <c r="J176" s="26" t="s">
        <v>843</v>
      </c>
      <c r="K176" s="27" t="s">
        <v>221</v>
      </c>
      <c r="L176" s="28" t="s">
        <v>223</v>
      </c>
      <c r="M176" s="28" t="s">
        <v>704</v>
      </c>
      <c r="N176" s="25">
        <v>1</v>
      </c>
      <c r="O176" s="29">
        <v>78.649999999999991</v>
      </c>
      <c r="P176" s="29">
        <v>78.649999999999991</v>
      </c>
      <c r="Q176" s="25" t="s">
        <v>741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68"/>
        <v>0</v>
      </c>
      <c r="AF176" s="32">
        <f t="shared" si="69"/>
        <v>78.649999999999991</v>
      </c>
      <c r="AG176" s="30"/>
      <c r="AH176" s="33"/>
      <c r="AI176" s="34">
        <f t="shared" si="70"/>
        <v>0</v>
      </c>
      <c r="AJ176" s="35"/>
      <c r="AK176" s="30"/>
      <c r="AL176" s="36">
        <f t="shared" ref="AL176:AL218" si="75">IFERROR(AK176*$P176/$N176,0)</f>
        <v>0</v>
      </c>
      <c r="AM176" s="35"/>
      <c r="AN176" s="30"/>
      <c r="AO176" s="36">
        <f t="shared" si="71"/>
        <v>0</v>
      </c>
      <c r="AP176" s="35"/>
      <c r="AQ176" s="30"/>
      <c r="AR176" s="36">
        <f t="shared" si="72"/>
        <v>0</v>
      </c>
      <c r="AS176" s="27"/>
      <c r="AT176" s="37"/>
      <c r="AU176" s="30"/>
      <c r="AV176" s="36">
        <f t="shared" si="73"/>
        <v>0</v>
      </c>
      <c r="AW176" s="35"/>
      <c r="AX176" s="30"/>
      <c r="AY176" s="32">
        <f t="shared" si="74"/>
        <v>0</v>
      </c>
      <c r="AZ176" s="30" t="s">
        <v>841</v>
      </c>
      <c r="BA176" s="63"/>
      <c r="BB176" s="71" t="e">
        <f>SUMIFS([1]Form!$F$9:$F$22,[1]Form!$K$9:$K$22,K176)</f>
        <v>#VALUE!</v>
      </c>
      <c r="BC176" s="71"/>
      <c r="BD176" s="71"/>
    </row>
    <row r="177" spans="1:56" x14ac:dyDescent="0.25">
      <c r="A177" s="24">
        <f>IF(B177="","",SUBTOTAL(3,$B$4:B177))</f>
        <v>174</v>
      </c>
      <c r="B177" s="25" t="s">
        <v>840</v>
      </c>
      <c r="C177" s="25" t="str">
        <f t="shared" si="67"/>
        <v>Shipment 1 B-10124 Fired Proces Heater</v>
      </c>
      <c r="D177" s="25" t="s">
        <v>839</v>
      </c>
      <c r="E177" s="25" t="s">
        <v>838</v>
      </c>
      <c r="F177" s="25"/>
      <c r="G177" s="65"/>
      <c r="H177" s="25" t="s">
        <v>842</v>
      </c>
      <c r="I177" s="25"/>
      <c r="J177" s="26" t="s">
        <v>843</v>
      </c>
      <c r="K177" s="27" t="s">
        <v>224</v>
      </c>
      <c r="L177" s="28" t="s">
        <v>225</v>
      </c>
      <c r="M177" s="28" t="s">
        <v>704</v>
      </c>
      <c r="N177" s="25">
        <v>1</v>
      </c>
      <c r="O177" s="29">
        <v>79.55</v>
      </c>
      <c r="P177" s="29">
        <v>79.55</v>
      </c>
      <c r="Q177" s="25" t="s">
        <v>741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68"/>
        <v>0</v>
      </c>
      <c r="AF177" s="32">
        <f t="shared" si="69"/>
        <v>79.55</v>
      </c>
      <c r="AG177" s="30"/>
      <c r="AH177" s="33"/>
      <c r="AI177" s="34">
        <f t="shared" si="70"/>
        <v>0</v>
      </c>
      <c r="AJ177" s="35"/>
      <c r="AK177" s="30"/>
      <c r="AL177" s="36">
        <f t="shared" si="75"/>
        <v>0</v>
      </c>
      <c r="AM177" s="35"/>
      <c r="AN177" s="30"/>
      <c r="AO177" s="36">
        <f t="shared" si="71"/>
        <v>0</v>
      </c>
      <c r="AP177" s="35"/>
      <c r="AQ177" s="30"/>
      <c r="AR177" s="36">
        <f t="shared" si="72"/>
        <v>0</v>
      </c>
      <c r="AS177" s="27"/>
      <c r="AT177" s="37"/>
      <c r="AU177" s="30"/>
      <c r="AV177" s="36">
        <f t="shared" si="73"/>
        <v>0</v>
      </c>
      <c r="AW177" s="35"/>
      <c r="AX177" s="30"/>
      <c r="AY177" s="32">
        <f t="shared" si="74"/>
        <v>0</v>
      </c>
      <c r="AZ177" s="30" t="s">
        <v>841</v>
      </c>
      <c r="BA177" s="63"/>
      <c r="BB177" s="71" t="e">
        <f>SUMIFS([1]Form!$F$9:$F$22,[1]Form!$K$9:$K$22,K177)</f>
        <v>#VALUE!</v>
      </c>
      <c r="BC177" s="71"/>
      <c r="BD177" s="71"/>
    </row>
    <row r="178" spans="1:56" x14ac:dyDescent="0.25">
      <c r="A178" s="24">
        <f>IF(B178="","",SUBTOTAL(3,$B$4:B178))</f>
        <v>175</v>
      </c>
      <c r="B178" s="25" t="s">
        <v>840</v>
      </c>
      <c r="C178" s="25" t="str">
        <f t="shared" si="67"/>
        <v>Shipment 1 B-10124 Fired Proces Heater</v>
      </c>
      <c r="D178" s="25" t="s">
        <v>839</v>
      </c>
      <c r="E178" s="25" t="s">
        <v>838</v>
      </c>
      <c r="F178" s="25"/>
      <c r="G178" s="65"/>
      <c r="H178" s="25" t="s">
        <v>842</v>
      </c>
      <c r="I178" s="25"/>
      <c r="J178" s="26" t="s">
        <v>843</v>
      </c>
      <c r="K178" s="27" t="s">
        <v>224</v>
      </c>
      <c r="L178" s="28" t="s">
        <v>226</v>
      </c>
      <c r="M178" s="28" t="s">
        <v>704</v>
      </c>
      <c r="N178" s="25">
        <v>1</v>
      </c>
      <c r="O178" s="29">
        <v>79.55</v>
      </c>
      <c r="P178" s="29">
        <v>79.55</v>
      </c>
      <c r="Q178" s="25" t="s">
        <v>741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68"/>
        <v>0</v>
      </c>
      <c r="AF178" s="32">
        <f t="shared" si="69"/>
        <v>79.55</v>
      </c>
      <c r="AG178" s="30"/>
      <c r="AH178" s="33"/>
      <c r="AI178" s="34">
        <f t="shared" si="70"/>
        <v>0</v>
      </c>
      <c r="AJ178" s="35"/>
      <c r="AK178" s="30"/>
      <c r="AL178" s="36">
        <f t="shared" si="75"/>
        <v>0</v>
      </c>
      <c r="AM178" s="35"/>
      <c r="AN178" s="30"/>
      <c r="AO178" s="36">
        <f t="shared" si="71"/>
        <v>0</v>
      </c>
      <c r="AP178" s="35"/>
      <c r="AQ178" s="30"/>
      <c r="AR178" s="36">
        <f t="shared" si="72"/>
        <v>0</v>
      </c>
      <c r="AS178" s="27"/>
      <c r="AT178" s="37"/>
      <c r="AU178" s="30"/>
      <c r="AV178" s="36">
        <f t="shared" si="73"/>
        <v>0</v>
      </c>
      <c r="AW178" s="35"/>
      <c r="AX178" s="30"/>
      <c r="AY178" s="32">
        <f t="shared" si="74"/>
        <v>0</v>
      </c>
      <c r="AZ178" s="30" t="s">
        <v>841</v>
      </c>
      <c r="BA178" s="63"/>
      <c r="BB178" s="71" t="e">
        <f>SUMIFS([1]Form!$F$9:$F$22,[1]Form!$K$9:$K$22,K178)</f>
        <v>#VALUE!</v>
      </c>
      <c r="BC178" s="71"/>
      <c r="BD178" s="71"/>
    </row>
    <row r="179" spans="1:56" x14ac:dyDescent="0.25">
      <c r="A179" s="24">
        <f>IF(B179="","",SUBTOTAL(3,$B$4:B179))</f>
        <v>176</v>
      </c>
      <c r="B179" s="25" t="s">
        <v>840</v>
      </c>
      <c r="C179" s="25" t="str">
        <f t="shared" si="67"/>
        <v>Shipment 1 B-10124 Fired Proces Heater</v>
      </c>
      <c r="D179" s="25" t="s">
        <v>839</v>
      </c>
      <c r="E179" s="25" t="s">
        <v>838</v>
      </c>
      <c r="F179" s="25"/>
      <c r="G179" s="65"/>
      <c r="H179" s="25" t="s">
        <v>842</v>
      </c>
      <c r="I179" s="25"/>
      <c r="J179" s="26" t="s">
        <v>843</v>
      </c>
      <c r="K179" s="27" t="s">
        <v>227</v>
      </c>
      <c r="L179" s="28" t="s">
        <v>228</v>
      </c>
      <c r="M179" s="28" t="s">
        <v>704</v>
      </c>
      <c r="N179" s="25">
        <v>1</v>
      </c>
      <c r="O179" s="29">
        <v>79.524999999999991</v>
      </c>
      <c r="P179" s="29">
        <v>79.524999999999991</v>
      </c>
      <c r="Q179" s="25" t="s">
        <v>741</v>
      </c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68"/>
        <v>0</v>
      </c>
      <c r="AF179" s="32">
        <f t="shared" si="69"/>
        <v>79.524999999999991</v>
      </c>
      <c r="AG179" s="30"/>
      <c r="AH179" s="33"/>
      <c r="AI179" s="34">
        <f t="shared" si="70"/>
        <v>0</v>
      </c>
      <c r="AJ179" s="35"/>
      <c r="AK179" s="30"/>
      <c r="AL179" s="36">
        <f t="shared" si="75"/>
        <v>0</v>
      </c>
      <c r="AM179" s="35"/>
      <c r="AN179" s="30"/>
      <c r="AO179" s="36">
        <f t="shared" si="71"/>
        <v>0</v>
      </c>
      <c r="AP179" s="35"/>
      <c r="AQ179" s="30"/>
      <c r="AR179" s="36">
        <f t="shared" si="72"/>
        <v>0</v>
      </c>
      <c r="AS179" s="27"/>
      <c r="AT179" s="37"/>
      <c r="AU179" s="30"/>
      <c r="AV179" s="36">
        <f t="shared" si="73"/>
        <v>0</v>
      </c>
      <c r="AW179" s="35"/>
      <c r="AX179" s="30"/>
      <c r="AY179" s="32">
        <f t="shared" si="74"/>
        <v>0</v>
      </c>
      <c r="AZ179" s="30" t="s">
        <v>841</v>
      </c>
      <c r="BA179" s="63"/>
      <c r="BB179" s="71" t="e">
        <f>SUMIFS([1]Form!$F$9:$F$22,[1]Form!$K$9:$K$22,K179)</f>
        <v>#VALUE!</v>
      </c>
      <c r="BC179" s="71"/>
      <c r="BD179" s="71"/>
    </row>
    <row r="180" spans="1:56" x14ac:dyDescent="0.25">
      <c r="A180" s="24">
        <f>IF(B180="","",SUBTOTAL(3,$B$4:B180))</f>
        <v>177</v>
      </c>
      <c r="B180" s="25" t="s">
        <v>840</v>
      </c>
      <c r="C180" s="25" t="str">
        <f t="shared" si="67"/>
        <v>Shipment 1 B-10124 Fired Proces Heater</v>
      </c>
      <c r="D180" s="25" t="s">
        <v>839</v>
      </c>
      <c r="E180" s="25" t="s">
        <v>838</v>
      </c>
      <c r="F180" s="25"/>
      <c r="G180" s="65"/>
      <c r="H180" s="25" t="s">
        <v>842</v>
      </c>
      <c r="I180" s="25"/>
      <c r="J180" s="26" t="s">
        <v>843</v>
      </c>
      <c r="K180" s="27" t="s">
        <v>227</v>
      </c>
      <c r="L180" s="28" t="s">
        <v>229</v>
      </c>
      <c r="M180" s="28" t="s">
        <v>704</v>
      </c>
      <c r="N180" s="25">
        <v>1</v>
      </c>
      <c r="O180" s="29">
        <v>79.524999999999991</v>
      </c>
      <c r="P180" s="29">
        <v>79.524999999999991</v>
      </c>
      <c r="Q180" s="25" t="s">
        <v>741</v>
      </c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68"/>
        <v>0</v>
      </c>
      <c r="AF180" s="32">
        <f t="shared" si="69"/>
        <v>79.524999999999991</v>
      </c>
      <c r="AG180" s="30"/>
      <c r="AH180" s="33"/>
      <c r="AI180" s="34">
        <f t="shared" si="70"/>
        <v>0</v>
      </c>
      <c r="AJ180" s="35"/>
      <c r="AK180" s="30"/>
      <c r="AL180" s="36">
        <f t="shared" si="75"/>
        <v>0</v>
      </c>
      <c r="AM180" s="35"/>
      <c r="AN180" s="30"/>
      <c r="AO180" s="36">
        <f t="shared" si="71"/>
        <v>0</v>
      </c>
      <c r="AP180" s="35"/>
      <c r="AQ180" s="30"/>
      <c r="AR180" s="36">
        <f t="shared" si="72"/>
        <v>0</v>
      </c>
      <c r="AS180" s="27"/>
      <c r="AT180" s="37"/>
      <c r="AU180" s="30"/>
      <c r="AV180" s="36">
        <f t="shared" si="73"/>
        <v>0</v>
      </c>
      <c r="AW180" s="35"/>
      <c r="AX180" s="30"/>
      <c r="AY180" s="32">
        <f t="shared" si="74"/>
        <v>0</v>
      </c>
      <c r="AZ180" s="30" t="s">
        <v>841</v>
      </c>
      <c r="BA180" s="63"/>
      <c r="BB180" s="71" t="e">
        <f>SUMIFS([1]Form!$F$9:$F$22,[1]Form!$K$9:$K$22,K180)</f>
        <v>#VALUE!</v>
      </c>
      <c r="BC180" s="71"/>
      <c r="BD180" s="71"/>
    </row>
    <row r="181" spans="1:56" x14ac:dyDescent="0.25">
      <c r="A181" s="24">
        <f>IF(B181="","",SUBTOTAL(3,$B$4:B181))</f>
        <v>178</v>
      </c>
      <c r="B181" s="25" t="s">
        <v>840</v>
      </c>
      <c r="C181" s="25" t="str">
        <f t="shared" si="67"/>
        <v>Shipment 1 B-10124 Fired Proces Heater</v>
      </c>
      <c r="D181" s="25" t="s">
        <v>839</v>
      </c>
      <c r="E181" s="25" t="s">
        <v>838</v>
      </c>
      <c r="F181" s="25"/>
      <c r="G181" s="65"/>
      <c r="H181" s="25" t="s">
        <v>842</v>
      </c>
      <c r="I181" s="25"/>
      <c r="J181" s="26" t="s">
        <v>843</v>
      </c>
      <c r="K181" s="27" t="s">
        <v>227</v>
      </c>
      <c r="L181" s="28" t="s">
        <v>230</v>
      </c>
      <c r="M181" s="28" t="s">
        <v>704</v>
      </c>
      <c r="N181" s="25">
        <v>1</v>
      </c>
      <c r="O181" s="29">
        <v>79.524999999999991</v>
      </c>
      <c r="P181" s="29">
        <v>79.524999999999991</v>
      </c>
      <c r="Q181" s="25" t="s">
        <v>741</v>
      </c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68"/>
        <v>0</v>
      </c>
      <c r="AF181" s="32">
        <f t="shared" si="69"/>
        <v>79.524999999999991</v>
      </c>
      <c r="AG181" s="30"/>
      <c r="AH181" s="33"/>
      <c r="AI181" s="34">
        <f t="shared" si="70"/>
        <v>0</v>
      </c>
      <c r="AJ181" s="35"/>
      <c r="AK181" s="30"/>
      <c r="AL181" s="36">
        <f t="shared" si="75"/>
        <v>0</v>
      </c>
      <c r="AM181" s="35"/>
      <c r="AN181" s="30"/>
      <c r="AO181" s="36">
        <f t="shared" si="71"/>
        <v>0</v>
      </c>
      <c r="AP181" s="35"/>
      <c r="AQ181" s="30"/>
      <c r="AR181" s="36">
        <f t="shared" si="72"/>
        <v>0</v>
      </c>
      <c r="AS181" s="27"/>
      <c r="AT181" s="37"/>
      <c r="AU181" s="30"/>
      <c r="AV181" s="36">
        <f t="shared" si="73"/>
        <v>0</v>
      </c>
      <c r="AW181" s="35"/>
      <c r="AX181" s="30"/>
      <c r="AY181" s="32">
        <f t="shared" si="74"/>
        <v>0</v>
      </c>
      <c r="AZ181" s="30" t="s">
        <v>841</v>
      </c>
      <c r="BA181" s="63"/>
      <c r="BB181" s="71" t="e">
        <f>SUMIFS([1]Form!$F$9:$F$22,[1]Form!$K$9:$K$22,K181)</f>
        <v>#VALUE!</v>
      </c>
      <c r="BC181" s="71"/>
      <c r="BD181" s="71"/>
    </row>
    <row r="182" spans="1:56" x14ac:dyDescent="0.25">
      <c r="A182" s="24">
        <f>IF(B182="","",SUBTOTAL(3,$B$4:B182))</f>
        <v>179</v>
      </c>
      <c r="B182" s="25" t="s">
        <v>840</v>
      </c>
      <c r="C182" s="25" t="str">
        <f t="shared" si="67"/>
        <v>Shipment 1 B-10124 Fired Proces Heater</v>
      </c>
      <c r="D182" s="25" t="s">
        <v>839</v>
      </c>
      <c r="E182" s="25" t="s">
        <v>838</v>
      </c>
      <c r="F182" s="25"/>
      <c r="G182" s="65"/>
      <c r="H182" s="25" t="s">
        <v>842</v>
      </c>
      <c r="I182" s="25"/>
      <c r="J182" s="26" t="s">
        <v>843</v>
      </c>
      <c r="K182" s="27" t="s">
        <v>227</v>
      </c>
      <c r="L182" s="28" t="s">
        <v>231</v>
      </c>
      <c r="M182" s="28" t="s">
        <v>704</v>
      </c>
      <c r="N182" s="25">
        <v>1</v>
      </c>
      <c r="O182" s="29">
        <v>79.524999999999991</v>
      </c>
      <c r="P182" s="29">
        <v>79.524999999999991</v>
      </c>
      <c r="Q182" s="25" t="s">
        <v>741</v>
      </c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68"/>
        <v>0</v>
      </c>
      <c r="AF182" s="32">
        <f t="shared" si="69"/>
        <v>79.524999999999991</v>
      </c>
      <c r="AG182" s="30"/>
      <c r="AH182" s="33"/>
      <c r="AI182" s="34">
        <f t="shared" si="70"/>
        <v>0</v>
      </c>
      <c r="AJ182" s="35"/>
      <c r="AK182" s="30"/>
      <c r="AL182" s="36">
        <f t="shared" si="75"/>
        <v>0</v>
      </c>
      <c r="AM182" s="35"/>
      <c r="AN182" s="30"/>
      <c r="AO182" s="36">
        <f t="shared" si="71"/>
        <v>0</v>
      </c>
      <c r="AP182" s="35"/>
      <c r="AQ182" s="30"/>
      <c r="AR182" s="36">
        <f t="shared" si="72"/>
        <v>0</v>
      </c>
      <c r="AS182" s="27"/>
      <c r="AT182" s="37"/>
      <c r="AU182" s="30"/>
      <c r="AV182" s="36">
        <f t="shared" si="73"/>
        <v>0</v>
      </c>
      <c r="AW182" s="35"/>
      <c r="AX182" s="30"/>
      <c r="AY182" s="32">
        <f t="shared" si="74"/>
        <v>0</v>
      </c>
      <c r="AZ182" s="30" t="s">
        <v>841</v>
      </c>
      <c r="BA182" s="63"/>
      <c r="BB182" s="71" t="e">
        <f>SUMIFS([1]Form!$F$9:$F$22,[1]Form!$K$9:$K$22,K182)</f>
        <v>#VALUE!</v>
      </c>
      <c r="BC182" s="71"/>
      <c r="BD182" s="71"/>
    </row>
    <row r="183" spans="1:56" x14ac:dyDescent="0.25">
      <c r="A183" s="24">
        <f>IF(B183="","",SUBTOTAL(3,$B$4:B183))</f>
        <v>180</v>
      </c>
      <c r="B183" s="25" t="s">
        <v>840</v>
      </c>
      <c r="C183" s="25" t="str">
        <f t="shared" si="67"/>
        <v>Shipment 1 B-10124 Fired Proces Heater</v>
      </c>
      <c r="D183" s="25" t="s">
        <v>839</v>
      </c>
      <c r="E183" s="25" t="s">
        <v>838</v>
      </c>
      <c r="F183" s="25"/>
      <c r="G183" s="65"/>
      <c r="H183" s="25" t="s">
        <v>842</v>
      </c>
      <c r="I183" s="25"/>
      <c r="J183" s="26" t="s">
        <v>843</v>
      </c>
      <c r="K183" s="27" t="s">
        <v>232</v>
      </c>
      <c r="L183" s="28" t="s">
        <v>930</v>
      </c>
      <c r="M183" s="28" t="s">
        <v>704</v>
      </c>
      <c r="N183" s="25">
        <v>16</v>
      </c>
      <c r="O183" s="29">
        <v>0.95625000000000004</v>
      </c>
      <c r="P183" s="29">
        <v>15.3</v>
      </c>
      <c r="Q183" s="25" t="s">
        <v>742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68"/>
        <v>0</v>
      </c>
      <c r="AF183" s="32">
        <f t="shared" si="69"/>
        <v>15.3</v>
      </c>
      <c r="AG183" s="30"/>
      <c r="AH183" s="33"/>
      <c r="AI183" s="34">
        <f t="shared" si="70"/>
        <v>0</v>
      </c>
      <c r="AJ183" s="35"/>
      <c r="AK183" s="30"/>
      <c r="AL183" s="36">
        <f t="shared" si="75"/>
        <v>0</v>
      </c>
      <c r="AM183" s="35"/>
      <c r="AN183" s="30"/>
      <c r="AO183" s="36">
        <f t="shared" si="71"/>
        <v>0</v>
      </c>
      <c r="AP183" s="35"/>
      <c r="AQ183" s="30"/>
      <c r="AR183" s="36">
        <f t="shared" si="72"/>
        <v>0</v>
      </c>
      <c r="AS183" s="27"/>
      <c r="AT183" s="37"/>
      <c r="AU183" s="30"/>
      <c r="AV183" s="36">
        <f t="shared" si="73"/>
        <v>0</v>
      </c>
      <c r="AW183" s="35"/>
      <c r="AX183" s="30"/>
      <c r="AY183" s="32">
        <f t="shared" si="74"/>
        <v>0</v>
      </c>
      <c r="AZ183" s="30" t="s">
        <v>841</v>
      </c>
      <c r="BA183" s="63"/>
      <c r="BB183" s="71" t="e">
        <f>SUMIFS([1]Form!$F$9:$F$22,[1]Form!$K$9:$K$22,K183)</f>
        <v>#VALUE!</v>
      </c>
      <c r="BC183" s="71"/>
      <c r="BD183" s="71"/>
    </row>
    <row r="184" spans="1:56" x14ac:dyDescent="0.25">
      <c r="A184" s="24">
        <f>IF(B184="","",SUBTOTAL(3,$B$4:B184))</f>
        <v>181</v>
      </c>
      <c r="B184" s="25" t="s">
        <v>840</v>
      </c>
      <c r="C184" s="25" t="str">
        <f t="shared" si="67"/>
        <v>Shipment 1 B-10124 Fired Proces Heater</v>
      </c>
      <c r="D184" s="25" t="s">
        <v>839</v>
      </c>
      <c r="E184" s="25" t="s">
        <v>838</v>
      </c>
      <c r="F184" s="25"/>
      <c r="G184" s="65"/>
      <c r="H184" s="25" t="s">
        <v>842</v>
      </c>
      <c r="I184" s="25"/>
      <c r="J184" s="26" t="s">
        <v>843</v>
      </c>
      <c r="K184" s="27" t="s">
        <v>233</v>
      </c>
      <c r="L184" s="28" t="s">
        <v>931</v>
      </c>
      <c r="M184" s="28" t="s">
        <v>704</v>
      </c>
      <c r="N184" s="25">
        <v>32</v>
      </c>
      <c r="O184" s="29">
        <v>0.57187500000000002</v>
      </c>
      <c r="P184" s="29">
        <v>18.3</v>
      </c>
      <c r="Q184" s="25" t="s">
        <v>743</v>
      </c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68"/>
        <v>0</v>
      </c>
      <c r="AF184" s="32">
        <f t="shared" si="69"/>
        <v>18.3</v>
      </c>
      <c r="AG184" s="30"/>
      <c r="AH184" s="33"/>
      <c r="AI184" s="34">
        <f t="shared" si="70"/>
        <v>0</v>
      </c>
      <c r="AJ184" s="35"/>
      <c r="AK184" s="30"/>
      <c r="AL184" s="36">
        <f t="shared" si="75"/>
        <v>0</v>
      </c>
      <c r="AM184" s="35"/>
      <c r="AN184" s="30"/>
      <c r="AO184" s="36">
        <f t="shared" si="71"/>
        <v>0</v>
      </c>
      <c r="AP184" s="35"/>
      <c r="AQ184" s="30"/>
      <c r="AR184" s="36">
        <f t="shared" si="72"/>
        <v>0</v>
      </c>
      <c r="AS184" s="27"/>
      <c r="AT184" s="37"/>
      <c r="AU184" s="30"/>
      <c r="AV184" s="36">
        <f t="shared" si="73"/>
        <v>0</v>
      </c>
      <c r="AW184" s="35"/>
      <c r="AX184" s="30"/>
      <c r="AY184" s="32">
        <f t="shared" si="74"/>
        <v>0</v>
      </c>
      <c r="AZ184" s="30" t="s">
        <v>841</v>
      </c>
      <c r="BA184" s="63"/>
      <c r="BB184" s="71" t="e">
        <f>SUMIFS([1]Form!$F$9:$F$22,[1]Form!$K$9:$K$22,K184)</f>
        <v>#VALUE!</v>
      </c>
      <c r="BC184" s="71"/>
      <c r="BD184" s="71"/>
    </row>
    <row r="185" spans="1:56" x14ac:dyDescent="0.25">
      <c r="A185" s="24">
        <f>IF(B185="","",SUBTOTAL(3,$B$4:B185))</f>
        <v>182</v>
      </c>
      <c r="B185" s="25" t="s">
        <v>840</v>
      </c>
      <c r="C185" s="25" t="str">
        <f t="shared" si="67"/>
        <v>Shipment 1 B-10124 Fired Proces Heater</v>
      </c>
      <c r="D185" s="25" t="s">
        <v>839</v>
      </c>
      <c r="E185" s="25" t="s">
        <v>838</v>
      </c>
      <c r="F185" s="25"/>
      <c r="G185" s="65"/>
      <c r="H185" s="25" t="s">
        <v>842</v>
      </c>
      <c r="I185" s="25"/>
      <c r="J185" s="26" t="s">
        <v>843</v>
      </c>
      <c r="K185" s="27" t="s">
        <v>234</v>
      </c>
      <c r="L185" s="28" t="s">
        <v>932</v>
      </c>
      <c r="M185" s="28" t="s">
        <v>704</v>
      </c>
      <c r="N185" s="25">
        <v>32</v>
      </c>
      <c r="O185" s="29">
        <v>0.38124999999999998</v>
      </c>
      <c r="P185" s="29">
        <v>12.2</v>
      </c>
      <c r="Q185" s="25" t="s">
        <v>744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68"/>
        <v>0</v>
      </c>
      <c r="AF185" s="32">
        <f t="shared" si="69"/>
        <v>12.2</v>
      </c>
      <c r="AG185" s="30"/>
      <c r="AH185" s="33"/>
      <c r="AI185" s="34">
        <f t="shared" si="70"/>
        <v>0</v>
      </c>
      <c r="AJ185" s="35"/>
      <c r="AK185" s="30"/>
      <c r="AL185" s="36">
        <f t="shared" si="75"/>
        <v>0</v>
      </c>
      <c r="AM185" s="35"/>
      <c r="AN185" s="30"/>
      <c r="AO185" s="36">
        <f t="shared" si="71"/>
        <v>0</v>
      </c>
      <c r="AP185" s="35"/>
      <c r="AQ185" s="30"/>
      <c r="AR185" s="36">
        <f t="shared" si="72"/>
        <v>0</v>
      </c>
      <c r="AS185" s="27"/>
      <c r="AT185" s="37"/>
      <c r="AU185" s="30"/>
      <c r="AV185" s="36">
        <f t="shared" si="73"/>
        <v>0</v>
      </c>
      <c r="AW185" s="35"/>
      <c r="AX185" s="30"/>
      <c r="AY185" s="32">
        <f t="shared" si="74"/>
        <v>0</v>
      </c>
      <c r="AZ185" s="30" t="s">
        <v>841</v>
      </c>
      <c r="BA185" s="63"/>
      <c r="BB185" s="71" t="e">
        <f>SUMIFS([1]Form!$F$9:$F$22,[1]Form!$K$9:$K$22,K185)</f>
        <v>#VALUE!</v>
      </c>
      <c r="BC185" s="71"/>
      <c r="BD185" s="71"/>
    </row>
    <row r="186" spans="1:56" x14ac:dyDescent="0.25">
      <c r="A186" s="24">
        <f>IF(B186="","",SUBTOTAL(3,$B$4:B186))</f>
        <v>183</v>
      </c>
      <c r="B186" s="25" t="s">
        <v>840</v>
      </c>
      <c r="C186" s="25" t="str">
        <f t="shared" si="67"/>
        <v>Shipment 1 B-10124 Fired Proces Heater</v>
      </c>
      <c r="D186" s="25" t="s">
        <v>839</v>
      </c>
      <c r="E186" s="25" t="s">
        <v>838</v>
      </c>
      <c r="F186" s="25"/>
      <c r="G186" s="65"/>
      <c r="H186" s="25" t="s">
        <v>842</v>
      </c>
      <c r="I186" s="25"/>
      <c r="J186" s="26" t="s">
        <v>843</v>
      </c>
      <c r="K186" s="27" t="s">
        <v>235</v>
      </c>
      <c r="L186" s="28" t="s">
        <v>933</v>
      </c>
      <c r="M186" s="28" t="s">
        <v>704</v>
      </c>
      <c r="N186" s="25">
        <v>32</v>
      </c>
      <c r="O186" s="29">
        <v>0.19062499999999999</v>
      </c>
      <c r="P186" s="29">
        <v>6.1</v>
      </c>
      <c r="Q186" s="25" t="s">
        <v>745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68"/>
        <v>0</v>
      </c>
      <c r="AF186" s="32">
        <f t="shared" si="69"/>
        <v>6.1</v>
      </c>
      <c r="AG186" s="30"/>
      <c r="AH186" s="33"/>
      <c r="AI186" s="34">
        <f t="shared" si="70"/>
        <v>0</v>
      </c>
      <c r="AJ186" s="35"/>
      <c r="AK186" s="30"/>
      <c r="AL186" s="36">
        <f t="shared" si="75"/>
        <v>0</v>
      </c>
      <c r="AM186" s="35"/>
      <c r="AN186" s="30"/>
      <c r="AO186" s="36">
        <f t="shared" si="71"/>
        <v>0</v>
      </c>
      <c r="AP186" s="35"/>
      <c r="AQ186" s="30"/>
      <c r="AR186" s="36">
        <f t="shared" si="72"/>
        <v>0</v>
      </c>
      <c r="AS186" s="27"/>
      <c r="AT186" s="37"/>
      <c r="AU186" s="30"/>
      <c r="AV186" s="36">
        <f t="shared" si="73"/>
        <v>0</v>
      </c>
      <c r="AW186" s="35"/>
      <c r="AX186" s="30"/>
      <c r="AY186" s="32">
        <f t="shared" si="74"/>
        <v>0</v>
      </c>
      <c r="AZ186" s="30" t="s">
        <v>841</v>
      </c>
      <c r="BA186" s="63"/>
      <c r="BB186" s="71" t="e">
        <f>SUMIFS([1]Form!$F$9:$F$22,[1]Form!$K$9:$K$22,K186)</f>
        <v>#VALUE!</v>
      </c>
      <c r="BC186" s="71"/>
      <c r="BD186" s="71"/>
    </row>
    <row r="187" spans="1:56" x14ac:dyDescent="0.25">
      <c r="A187" s="24">
        <f>IF(B187="","",SUBTOTAL(3,$B$4:B187))</f>
        <v>184</v>
      </c>
      <c r="B187" s="25" t="s">
        <v>840</v>
      </c>
      <c r="C187" s="25" t="str">
        <f t="shared" si="67"/>
        <v>Shipment 1 B-10124 Fired Proces Heater</v>
      </c>
      <c r="D187" s="25" t="s">
        <v>839</v>
      </c>
      <c r="E187" s="25" t="s">
        <v>838</v>
      </c>
      <c r="F187" s="25"/>
      <c r="G187" s="65"/>
      <c r="H187" s="25" t="s">
        <v>842</v>
      </c>
      <c r="I187" s="25"/>
      <c r="J187" s="26" t="s">
        <v>843</v>
      </c>
      <c r="K187" s="27" t="s">
        <v>236</v>
      </c>
      <c r="L187" s="28" t="s">
        <v>237</v>
      </c>
      <c r="M187" s="28" t="s">
        <v>704</v>
      </c>
      <c r="N187" s="25">
        <v>1</v>
      </c>
      <c r="O187" s="29">
        <v>84.666666666666671</v>
      </c>
      <c r="P187" s="29">
        <v>84.666666666666671</v>
      </c>
      <c r="Q187" s="25" t="s">
        <v>746</v>
      </c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68"/>
        <v>0</v>
      </c>
      <c r="AF187" s="32">
        <f t="shared" si="69"/>
        <v>84.666666666666671</v>
      </c>
      <c r="AG187" s="30"/>
      <c r="AH187" s="33"/>
      <c r="AI187" s="34">
        <f t="shared" si="70"/>
        <v>0</v>
      </c>
      <c r="AJ187" s="35"/>
      <c r="AK187" s="30"/>
      <c r="AL187" s="36">
        <f t="shared" si="75"/>
        <v>0</v>
      </c>
      <c r="AM187" s="35"/>
      <c r="AN187" s="30"/>
      <c r="AO187" s="36">
        <f t="shared" si="71"/>
        <v>0</v>
      </c>
      <c r="AP187" s="35"/>
      <c r="AQ187" s="30"/>
      <c r="AR187" s="36">
        <f t="shared" si="72"/>
        <v>0</v>
      </c>
      <c r="AS187" s="27"/>
      <c r="AT187" s="37"/>
      <c r="AU187" s="30"/>
      <c r="AV187" s="36">
        <f t="shared" si="73"/>
        <v>0</v>
      </c>
      <c r="AW187" s="35"/>
      <c r="AX187" s="30"/>
      <c r="AY187" s="32">
        <f t="shared" si="74"/>
        <v>0</v>
      </c>
      <c r="AZ187" s="30" t="s">
        <v>841</v>
      </c>
      <c r="BA187" s="63"/>
      <c r="BB187" s="71" t="e">
        <f>SUMIFS([1]Form!$F$9:$F$22,[1]Form!$K$9:$K$22,K187)</f>
        <v>#VALUE!</v>
      </c>
      <c r="BC187" s="71"/>
      <c r="BD187" s="71"/>
    </row>
    <row r="188" spans="1:56" x14ac:dyDescent="0.25">
      <c r="A188" s="24">
        <f>IF(B188="","",SUBTOTAL(3,$B$4:B188))</f>
        <v>185</v>
      </c>
      <c r="B188" s="25" t="s">
        <v>840</v>
      </c>
      <c r="C188" s="25" t="str">
        <f t="shared" si="67"/>
        <v>Shipment 1 B-10124 Fired Proces Heater</v>
      </c>
      <c r="D188" s="25" t="s">
        <v>839</v>
      </c>
      <c r="E188" s="25" t="s">
        <v>838</v>
      </c>
      <c r="F188" s="25"/>
      <c r="G188" s="65"/>
      <c r="H188" s="25" t="s">
        <v>842</v>
      </c>
      <c r="I188" s="25"/>
      <c r="J188" s="26" t="s">
        <v>843</v>
      </c>
      <c r="K188" s="27" t="s">
        <v>236</v>
      </c>
      <c r="L188" s="28" t="s">
        <v>238</v>
      </c>
      <c r="M188" s="28" t="s">
        <v>704</v>
      </c>
      <c r="N188" s="25">
        <v>1</v>
      </c>
      <c r="O188" s="29">
        <v>84.666666666666671</v>
      </c>
      <c r="P188" s="29">
        <v>84.666666666666671</v>
      </c>
      <c r="Q188" s="25" t="s">
        <v>746</v>
      </c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68"/>
        <v>0</v>
      </c>
      <c r="AF188" s="32">
        <f t="shared" si="69"/>
        <v>84.666666666666671</v>
      </c>
      <c r="AG188" s="30"/>
      <c r="AH188" s="33"/>
      <c r="AI188" s="34">
        <f t="shared" si="70"/>
        <v>0</v>
      </c>
      <c r="AJ188" s="35"/>
      <c r="AK188" s="30"/>
      <c r="AL188" s="36">
        <f t="shared" si="75"/>
        <v>0</v>
      </c>
      <c r="AM188" s="35"/>
      <c r="AN188" s="30"/>
      <c r="AO188" s="36">
        <f t="shared" si="71"/>
        <v>0</v>
      </c>
      <c r="AP188" s="35"/>
      <c r="AQ188" s="30"/>
      <c r="AR188" s="36">
        <f t="shared" si="72"/>
        <v>0</v>
      </c>
      <c r="AS188" s="27"/>
      <c r="AT188" s="37"/>
      <c r="AU188" s="30"/>
      <c r="AV188" s="36">
        <f t="shared" si="73"/>
        <v>0</v>
      </c>
      <c r="AW188" s="35"/>
      <c r="AX188" s="30"/>
      <c r="AY188" s="32">
        <f t="shared" si="74"/>
        <v>0</v>
      </c>
      <c r="AZ188" s="30" t="s">
        <v>841</v>
      </c>
      <c r="BA188" s="63"/>
      <c r="BB188" s="71" t="e">
        <f>SUMIFS([1]Form!$F$9:$F$22,[1]Form!$K$9:$K$22,K188)</f>
        <v>#VALUE!</v>
      </c>
      <c r="BC188" s="71"/>
      <c r="BD188" s="71"/>
    </row>
    <row r="189" spans="1:56" x14ac:dyDescent="0.25">
      <c r="A189" s="24">
        <f>IF(B189="","",SUBTOTAL(3,$B$4:B189))</f>
        <v>186</v>
      </c>
      <c r="B189" s="25" t="s">
        <v>840</v>
      </c>
      <c r="C189" s="25" t="str">
        <f t="shared" si="67"/>
        <v>Shipment 1 B-10124 Fired Proces Heater</v>
      </c>
      <c r="D189" s="25" t="s">
        <v>839</v>
      </c>
      <c r="E189" s="25" t="s">
        <v>838</v>
      </c>
      <c r="F189" s="25"/>
      <c r="G189" s="65"/>
      <c r="H189" s="25" t="s">
        <v>842</v>
      </c>
      <c r="I189" s="25"/>
      <c r="J189" s="26" t="s">
        <v>843</v>
      </c>
      <c r="K189" s="27" t="s">
        <v>236</v>
      </c>
      <c r="L189" s="28" t="s">
        <v>239</v>
      </c>
      <c r="M189" s="28" t="s">
        <v>704</v>
      </c>
      <c r="N189" s="25">
        <v>1</v>
      </c>
      <c r="O189" s="29">
        <v>84.666666666666671</v>
      </c>
      <c r="P189" s="29">
        <v>84.666666666666671</v>
      </c>
      <c r="Q189" s="25" t="s">
        <v>746</v>
      </c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68"/>
        <v>0</v>
      </c>
      <c r="AF189" s="32">
        <f t="shared" si="69"/>
        <v>84.666666666666671</v>
      </c>
      <c r="AG189" s="30"/>
      <c r="AH189" s="33"/>
      <c r="AI189" s="34">
        <f t="shared" si="70"/>
        <v>0</v>
      </c>
      <c r="AJ189" s="35"/>
      <c r="AK189" s="30"/>
      <c r="AL189" s="36">
        <f t="shared" si="75"/>
        <v>0</v>
      </c>
      <c r="AM189" s="35"/>
      <c r="AN189" s="30"/>
      <c r="AO189" s="36">
        <f t="shared" si="71"/>
        <v>0</v>
      </c>
      <c r="AP189" s="35"/>
      <c r="AQ189" s="30"/>
      <c r="AR189" s="36">
        <f t="shared" si="72"/>
        <v>0</v>
      </c>
      <c r="AS189" s="27"/>
      <c r="AT189" s="37"/>
      <c r="AU189" s="30"/>
      <c r="AV189" s="36">
        <f t="shared" si="73"/>
        <v>0</v>
      </c>
      <c r="AW189" s="35"/>
      <c r="AX189" s="30"/>
      <c r="AY189" s="32">
        <f t="shared" si="74"/>
        <v>0</v>
      </c>
      <c r="AZ189" s="30" t="s">
        <v>841</v>
      </c>
      <c r="BA189" s="63"/>
      <c r="BB189" s="71" t="e">
        <f>SUMIFS([1]Form!$F$9:$F$22,[1]Form!$K$9:$K$22,K189)</f>
        <v>#VALUE!</v>
      </c>
      <c r="BC189" s="71"/>
      <c r="BD189" s="71"/>
    </row>
    <row r="190" spans="1:56" x14ac:dyDescent="0.25">
      <c r="A190" s="24">
        <f>IF(B190="","",SUBTOTAL(3,$B$4:B190))</f>
        <v>187</v>
      </c>
      <c r="B190" s="25" t="s">
        <v>840</v>
      </c>
      <c r="C190" s="25" t="str">
        <f t="shared" si="67"/>
        <v>Shipment 1 B-10124 Fired Proces Heater</v>
      </c>
      <c r="D190" s="25" t="s">
        <v>839</v>
      </c>
      <c r="E190" s="25" t="s">
        <v>838</v>
      </c>
      <c r="F190" s="25"/>
      <c r="G190" s="65"/>
      <c r="H190" s="25" t="s">
        <v>842</v>
      </c>
      <c r="I190" s="25"/>
      <c r="J190" s="26" t="s">
        <v>843</v>
      </c>
      <c r="K190" s="27" t="s">
        <v>236</v>
      </c>
      <c r="L190" s="28" t="s">
        <v>240</v>
      </c>
      <c r="M190" s="28" t="s">
        <v>704</v>
      </c>
      <c r="N190" s="25">
        <v>1</v>
      </c>
      <c r="O190" s="29">
        <v>84.666666666666671</v>
      </c>
      <c r="P190" s="29">
        <v>84.666666666666671</v>
      </c>
      <c r="Q190" s="25" t="s">
        <v>746</v>
      </c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68"/>
        <v>0</v>
      </c>
      <c r="AF190" s="32">
        <f t="shared" si="69"/>
        <v>84.666666666666671</v>
      </c>
      <c r="AG190" s="30"/>
      <c r="AH190" s="33"/>
      <c r="AI190" s="34">
        <f t="shared" si="70"/>
        <v>0</v>
      </c>
      <c r="AJ190" s="35"/>
      <c r="AK190" s="30"/>
      <c r="AL190" s="36">
        <f t="shared" si="75"/>
        <v>0</v>
      </c>
      <c r="AM190" s="35"/>
      <c r="AN190" s="30"/>
      <c r="AO190" s="36">
        <f t="shared" si="71"/>
        <v>0</v>
      </c>
      <c r="AP190" s="35"/>
      <c r="AQ190" s="30"/>
      <c r="AR190" s="36">
        <f t="shared" si="72"/>
        <v>0</v>
      </c>
      <c r="AS190" s="27"/>
      <c r="AT190" s="37"/>
      <c r="AU190" s="30"/>
      <c r="AV190" s="36">
        <f t="shared" si="73"/>
        <v>0</v>
      </c>
      <c r="AW190" s="35"/>
      <c r="AX190" s="30"/>
      <c r="AY190" s="32">
        <f t="shared" si="74"/>
        <v>0</v>
      </c>
      <c r="AZ190" s="30" t="s">
        <v>841</v>
      </c>
      <c r="BA190" s="63"/>
      <c r="BB190" s="71" t="e">
        <f>SUMIFS([1]Form!$F$9:$F$22,[1]Form!$K$9:$K$22,K190)</f>
        <v>#VALUE!</v>
      </c>
      <c r="BC190" s="71"/>
      <c r="BD190" s="71"/>
    </row>
    <row r="191" spans="1:56" x14ac:dyDescent="0.25">
      <c r="A191" s="24">
        <f>IF(B191="","",SUBTOTAL(3,$B$4:B191))</f>
        <v>188</v>
      </c>
      <c r="B191" s="25" t="s">
        <v>840</v>
      </c>
      <c r="C191" s="25" t="str">
        <f t="shared" si="67"/>
        <v>Shipment 1 B-10124 Fired Proces Heater</v>
      </c>
      <c r="D191" s="25" t="s">
        <v>839</v>
      </c>
      <c r="E191" s="25" t="s">
        <v>838</v>
      </c>
      <c r="F191" s="25"/>
      <c r="G191" s="65"/>
      <c r="H191" s="25" t="s">
        <v>842</v>
      </c>
      <c r="I191" s="25"/>
      <c r="J191" s="26" t="s">
        <v>843</v>
      </c>
      <c r="K191" s="27" t="s">
        <v>236</v>
      </c>
      <c r="L191" s="28" t="s">
        <v>241</v>
      </c>
      <c r="M191" s="28" t="s">
        <v>704</v>
      </c>
      <c r="N191" s="25">
        <v>1</v>
      </c>
      <c r="O191" s="29">
        <v>84.666666666666671</v>
      </c>
      <c r="P191" s="29">
        <v>84.666666666666671</v>
      </c>
      <c r="Q191" s="25" t="s">
        <v>746</v>
      </c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68"/>
        <v>0</v>
      </c>
      <c r="AF191" s="32">
        <f t="shared" si="69"/>
        <v>84.666666666666671</v>
      </c>
      <c r="AG191" s="30"/>
      <c r="AH191" s="33"/>
      <c r="AI191" s="34">
        <f t="shared" si="70"/>
        <v>0</v>
      </c>
      <c r="AJ191" s="35"/>
      <c r="AK191" s="30"/>
      <c r="AL191" s="36">
        <f t="shared" si="75"/>
        <v>0</v>
      </c>
      <c r="AM191" s="35"/>
      <c r="AN191" s="30"/>
      <c r="AO191" s="36">
        <f t="shared" si="71"/>
        <v>0</v>
      </c>
      <c r="AP191" s="35"/>
      <c r="AQ191" s="30"/>
      <c r="AR191" s="36">
        <f t="shared" si="72"/>
        <v>0</v>
      </c>
      <c r="AS191" s="27"/>
      <c r="AT191" s="37"/>
      <c r="AU191" s="30"/>
      <c r="AV191" s="36">
        <f t="shared" si="73"/>
        <v>0</v>
      </c>
      <c r="AW191" s="35"/>
      <c r="AX191" s="30"/>
      <c r="AY191" s="32">
        <f t="shared" si="74"/>
        <v>0</v>
      </c>
      <c r="AZ191" s="30" t="s">
        <v>841</v>
      </c>
      <c r="BA191" s="63"/>
      <c r="BB191" s="71" t="e">
        <f>SUMIFS([1]Form!$F$9:$F$22,[1]Form!$K$9:$K$22,K191)</f>
        <v>#VALUE!</v>
      </c>
      <c r="BC191" s="71"/>
      <c r="BD191" s="71"/>
    </row>
    <row r="192" spans="1:56" x14ac:dyDescent="0.25">
      <c r="A192" s="24">
        <f>IF(B192="","",SUBTOTAL(3,$B$4:B192))</f>
        <v>189</v>
      </c>
      <c r="B192" s="25" t="s">
        <v>840</v>
      </c>
      <c r="C192" s="25" t="str">
        <f t="shared" si="67"/>
        <v>Shipment 1 B-10124 Fired Proces Heater</v>
      </c>
      <c r="D192" s="25" t="s">
        <v>839</v>
      </c>
      <c r="E192" s="25" t="s">
        <v>838</v>
      </c>
      <c r="F192" s="25"/>
      <c r="G192" s="65"/>
      <c r="H192" s="25" t="s">
        <v>842</v>
      </c>
      <c r="I192" s="25"/>
      <c r="J192" s="26" t="s">
        <v>843</v>
      </c>
      <c r="K192" s="27" t="s">
        <v>236</v>
      </c>
      <c r="L192" s="28" t="s">
        <v>242</v>
      </c>
      <c r="M192" s="28" t="s">
        <v>704</v>
      </c>
      <c r="N192" s="25">
        <v>1</v>
      </c>
      <c r="O192" s="29">
        <v>84.666666666666671</v>
      </c>
      <c r="P192" s="29">
        <v>84.666666666666671</v>
      </c>
      <c r="Q192" s="25" t="s">
        <v>746</v>
      </c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68"/>
        <v>0</v>
      </c>
      <c r="AF192" s="32">
        <f t="shared" si="69"/>
        <v>84.666666666666671</v>
      </c>
      <c r="AG192" s="30"/>
      <c r="AH192" s="33"/>
      <c r="AI192" s="34">
        <f t="shared" si="70"/>
        <v>0</v>
      </c>
      <c r="AJ192" s="35"/>
      <c r="AK192" s="30"/>
      <c r="AL192" s="36">
        <f t="shared" si="75"/>
        <v>0</v>
      </c>
      <c r="AM192" s="35"/>
      <c r="AN192" s="30"/>
      <c r="AO192" s="36">
        <f t="shared" si="71"/>
        <v>0</v>
      </c>
      <c r="AP192" s="35"/>
      <c r="AQ192" s="30"/>
      <c r="AR192" s="36">
        <f t="shared" si="72"/>
        <v>0</v>
      </c>
      <c r="AS192" s="27"/>
      <c r="AT192" s="37"/>
      <c r="AU192" s="30"/>
      <c r="AV192" s="36">
        <f t="shared" si="73"/>
        <v>0</v>
      </c>
      <c r="AW192" s="35"/>
      <c r="AX192" s="30"/>
      <c r="AY192" s="32">
        <f t="shared" si="74"/>
        <v>0</v>
      </c>
      <c r="AZ192" s="30" t="s">
        <v>841</v>
      </c>
      <c r="BA192" s="63"/>
      <c r="BB192" s="71" t="e">
        <f>SUMIFS([1]Form!$F$9:$F$22,[1]Form!$K$9:$K$22,K192)</f>
        <v>#VALUE!</v>
      </c>
      <c r="BC192" s="71"/>
      <c r="BD192" s="71"/>
    </row>
    <row r="193" spans="1:56" x14ac:dyDescent="0.25">
      <c r="A193" s="24">
        <f>IF(B193="","",SUBTOTAL(3,$B$4:B193))</f>
        <v>190</v>
      </c>
      <c r="B193" s="25" t="s">
        <v>840</v>
      </c>
      <c r="C193" s="25" t="str">
        <f t="shared" si="67"/>
        <v>Shipment 1 B-10124 Fired Proces Heater</v>
      </c>
      <c r="D193" s="25" t="s">
        <v>839</v>
      </c>
      <c r="E193" s="25" t="s">
        <v>838</v>
      </c>
      <c r="F193" s="25"/>
      <c r="G193" s="65"/>
      <c r="H193" s="25" t="s">
        <v>842</v>
      </c>
      <c r="I193" s="25"/>
      <c r="J193" s="26" t="s">
        <v>843</v>
      </c>
      <c r="K193" s="27" t="s">
        <v>243</v>
      </c>
      <c r="L193" s="28" t="s">
        <v>244</v>
      </c>
      <c r="M193" s="28" t="s">
        <v>704</v>
      </c>
      <c r="N193" s="25">
        <v>1</v>
      </c>
      <c r="O193" s="29">
        <v>84.65</v>
      </c>
      <c r="P193" s="29">
        <v>84.65</v>
      </c>
      <c r="Q193" s="25" t="s">
        <v>746</v>
      </c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68"/>
        <v>0</v>
      </c>
      <c r="AF193" s="32">
        <f t="shared" si="69"/>
        <v>84.65</v>
      </c>
      <c r="AG193" s="30"/>
      <c r="AH193" s="33"/>
      <c r="AI193" s="34">
        <f t="shared" si="70"/>
        <v>0</v>
      </c>
      <c r="AJ193" s="35"/>
      <c r="AK193" s="30"/>
      <c r="AL193" s="36">
        <f t="shared" si="75"/>
        <v>0</v>
      </c>
      <c r="AM193" s="35"/>
      <c r="AN193" s="30"/>
      <c r="AO193" s="36">
        <f t="shared" si="71"/>
        <v>0</v>
      </c>
      <c r="AP193" s="35"/>
      <c r="AQ193" s="30"/>
      <c r="AR193" s="36">
        <f t="shared" si="72"/>
        <v>0</v>
      </c>
      <c r="AS193" s="27"/>
      <c r="AT193" s="37"/>
      <c r="AU193" s="30"/>
      <c r="AV193" s="36">
        <f t="shared" si="73"/>
        <v>0</v>
      </c>
      <c r="AW193" s="35"/>
      <c r="AX193" s="30"/>
      <c r="AY193" s="32">
        <f t="shared" si="74"/>
        <v>0</v>
      </c>
      <c r="AZ193" s="30" t="s">
        <v>841</v>
      </c>
      <c r="BA193" s="63"/>
      <c r="BB193" s="71" t="e">
        <f>SUMIFS([1]Form!$F$9:$F$22,[1]Form!$K$9:$K$22,K193)</f>
        <v>#VALUE!</v>
      </c>
      <c r="BC193" s="71"/>
      <c r="BD193" s="71"/>
    </row>
    <row r="194" spans="1:56" x14ac:dyDescent="0.25">
      <c r="A194" s="24">
        <f>IF(B194="","",SUBTOTAL(3,$B$4:B194))</f>
        <v>191</v>
      </c>
      <c r="B194" s="25" t="s">
        <v>840</v>
      </c>
      <c r="C194" s="25" t="str">
        <f t="shared" si="67"/>
        <v>Shipment 1 B-10124 Fired Proces Heater</v>
      </c>
      <c r="D194" s="25" t="s">
        <v>839</v>
      </c>
      <c r="E194" s="25" t="s">
        <v>838</v>
      </c>
      <c r="F194" s="25"/>
      <c r="G194" s="65"/>
      <c r="H194" s="25" t="s">
        <v>842</v>
      </c>
      <c r="I194" s="25"/>
      <c r="J194" s="26" t="s">
        <v>843</v>
      </c>
      <c r="K194" s="27" t="s">
        <v>243</v>
      </c>
      <c r="L194" s="28" t="s">
        <v>245</v>
      </c>
      <c r="M194" s="28" t="s">
        <v>704</v>
      </c>
      <c r="N194" s="25">
        <v>1</v>
      </c>
      <c r="O194" s="29">
        <v>84.65</v>
      </c>
      <c r="P194" s="29">
        <v>84.65</v>
      </c>
      <c r="Q194" s="25" t="s">
        <v>746</v>
      </c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68"/>
        <v>0</v>
      </c>
      <c r="AF194" s="32">
        <f t="shared" si="69"/>
        <v>84.65</v>
      </c>
      <c r="AG194" s="30"/>
      <c r="AH194" s="33"/>
      <c r="AI194" s="34">
        <f t="shared" si="70"/>
        <v>0</v>
      </c>
      <c r="AJ194" s="35"/>
      <c r="AK194" s="30"/>
      <c r="AL194" s="36">
        <f t="shared" si="75"/>
        <v>0</v>
      </c>
      <c r="AM194" s="35"/>
      <c r="AN194" s="30"/>
      <c r="AO194" s="36">
        <f t="shared" si="71"/>
        <v>0</v>
      </c>
      <c r="AP194" s="35"/>
      <c r="AQ194" s="30"/>
      <c r="AR194" s="36">
        <f t="shared" si="72"/>
        <v>0</v>
      </c>
      <c r="AS194" s="27"/>
      <c r="AT194" s="37"/>
      <c r="AU194" s="30"/>
      <c r="AV194" s="36">
        <f t="shared" si="73"/>
        <v>0</v>
      </c>
      <c r="AW194" s="35"/>
      <c r="AX194" s="30"/>
      <c r="AY194" s="32">
        <f t="shared" si="74"/>
        <v>0</v>
      </c>
      <c r="AZ194" s="30" t="s">
        <v>841</v>
      </c>
      <c r="BA194" s="63"/>
      <c r="BB194" s="71" t="e">
        <f>SUMIFS([1]Form!$F$9:$F$22,[1]Form!$K$9:$K$22,K194)</f>
        <v>#VALUE!</v>
      </c>
      <c r="BC194" s="71"/>
      <c r="BD194" s="71"/>
    </row>
    <row r="195" spans="1:56" x14ac:dyDescent="0.25">
      <c r="A195" s="24">
        <f>IF(B195="","",SUBTOTAL(3,$B$4:B195))</f>
        <v>192</v>
      </c>
      <c r="B195" s="25" t="s">
        <v>840</v>
      </c>
      <c r="C195" s="25" t="str">
        <f t="shared" ref="C195" si="76">D195&amp;" "&amp;E195</f>
        <v>Shipment 1 B-10124 Fired Proces Heater</v>
      </c>
      <c r="D195" s="25" t="s">
        <v>839</v>
      </c>
      <c r="E195" s="25" t="s">
        <v>838</v>
      </c>
      <c r="F195" s="25"/>
      <c r="G195" s="65"/>
      <c r="H195" s="25" t="s">
        <v>842</v>
      </c>
      <c r="I195" s="25"/>
      <c r="J195" s="26" t="s">
        <v>843</v>
      </c>
      <c r="K195" s="27" t="s">
        <v>246</v>
      </c>
      <c r="L195" s="28" t="s">
        <v>1192</v>
      </c>
      <c r="M195" s="28" t="s">
        <v>704</v>
      </c>
      <c r="N195" s="25">
        <v>16</v>
      </c>
      <c r="O195" s="29">
        <v>27.6</v>
      </c>
      <c r="P195" s="29">
        <v>441.7</v>
      </c>
      <c r="Q195" s="25" t="s">
        <v>747</v>
      </c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ref="AE195" si="77">+AL195*0.5+AO195*0.4+AV195*0.1</f>
        <v>441.7</v>
      </c>
      <c r="AF195" s="32">
        <f t="shared" ref="AF195" si="78">+P195-AE195</f>
        <v>0</v>
      </c>
      <c r="AG195" s="30"/>
      <c r="AH195" s="33"/>
      <c r="AI195" s="34">
        <f t="shared" ref="AI195" si="79">+AH195*P195</f>
        <v>0</v>
      </c>
      <c r="AJ195" s="35">
        <v>46308</v>
      </c>
      <c r="AK195" s="30">
        <v>16</v>
      </c>
      <c r="AL195" s="36">
        <f t="shared" ref="AL195" si="80">IFERROR(AK195*$P195/$N195,0)</f>
        <v>441.7</v>
      </c>
      <c r="AM195" s="35">
        <v>46308</v>
      </c>
      <c r="AN195" s="30">
        <v>16</v>
      </c>
      <c r="AO195" s="36">
        <f t="shared" ref="AO195" si="81">IFERROR(AN195*$P195/$N195,0)</f>
        <v>441.7</v>
      </c>
      <c r="AP195" s="35"/>
      <c r="AQ195" s="30"/>
      <c r="AR195" s="36">
        <f t="shared" ref="AR195" si="82">IFERROR(AQ195*$P195/$N195,0)</f>
        <v>0</v>
      </c>
      <c r="AS195" s="27" t="s">
        <v>1245</v>
      </c>
      <c r="AT195" s="37">
        <v>46308</v>
      </c>
      <c r="AU195" s="30">
        <v>16</v>
      </c>
      <c r="AV195" s="36">
        <f t="shared" ref="AV195" si="83">IFERROR(AU195*$P195/$N195,0)</f>
        <v>441.7</v>
      </c>
      <c r="AW195" s="35">
        <v>46310</v>
      </c>
      <c r="AX195" s="30">
        <v>16</v>
      </c>
      <c r="AY195" s="32">
        <f t="shared" ref="AY195" si="84">IFERROR(AX195*$P195/$N195,0)</f>
        <v>441.7</v>
      </c>
      <c r="AZ195" s="30" t="s">
        <v>841</v>
      </c>
      <c r="BA195" s="63" t="s">
        <v>1244</v>
      </c>
      <c r="BB195" s="71"/>
      <c r="BC195" s="71"/>
      <c r="BD195" s="71"/>
    </row>
    <row r="196" spans="1:56" x14ac:dyDescent="0.25">
      <c r="A196" s="24">
        <f>IF(B196="","",SUBTOTAL(3,$B$4:B196))</f>
        <v>193</v>
      </c>
      <c r="B196" s="25" t="s">
        <v>840</v>
      </c>
      <c r="C196" s="25" t="str">
        <f t="shared" si="67"/>
        <v>Shipment 1 B-10124 Fired Proces Heater</v>
      </c>
      <c r="D196" s="25" t="s">
        <v>839</v>
      </c>
      <c r="E196" s="25" t="s">
        <v>838</v>
      </c>
      <c r="F196" s="25"/>
      <c r="G196" s="65"/>
      <c r="H196" s="25" t="s">
        <v>842</v>
      </c>
      <c r="I196" s="25"/>
      <c r="J196" s="26" t="s">
        <v>843</v>
      </c>
      <c r="K196" s="27" t="s">
        <v>247</v>
      </c>
      <c r="L196" s="28" t="s">
        <v>248</v>
      </c>
      <c r="M196" s="28" t="s">
        <v>704</v>
      </c>
      <c r="N196" s="25">
        <v>1</v>
      </c>
      <c r="O196" s="29">
        <v>78.599999999999994</v>
      </c>
      <c r="P196" s="29">
        <v>78.599999999999994</v>
      </c>
      <c r="Q196" s="25" t="s">
        <v>741</v>
      </c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68"/>
        <v>0</v>
      </c>
      <c r="AF196" s="32">
        <f t="shared" si="69"/>
        <v>78.599999999999994</v>
      </c>
      <c r="AG196" s="30"/>
      <c r="AH196" s="33"/>
      <c r="AI196" s="34">
        <f t="shared" si="70"/>
        <v>0</v>
      </c>
      <c r="AJ196" s="35"/>
      <c r="AK196" s="30"/>
      <c r="AL196" s="36">
        <f t="shared" si="75"/>
        <v>0</v>
      </c>
      <c r="AM196" s="35"/>
      <c r="AN196" s="30"/>
      <c r="AO196" s="36">
        <f t="shared" si="71"/>
        <v>0</v>
      </c>
      <c r="AP196" s="35"/>
      <c r="AQ196" s="30"/>
      <c r="AR196" s="36">
        <f t="shared" si="72"/>
        <v>0</v>
      </c>
      <c r="AS196" s="27"/>
      <c r="AT196" s="37"/>
      <c r="AU196" s="30"/>
      <c r="AV196" s="36">
        <f t="shared" si="73"/>
        <v>0</v>
      </c>
      <c r="AW196" s="35"/>
      <c r="AX196" s="30"/>
      <c r="AY196" s="32">
        <f t="shared" si="74"/>
        <v>0</v>
      </c>
      <c r="AZ196" s="30" t="s">
        <v>841</v>
      </c>
      <c r="BA196" s="63"/>
      <c r="BB196" s="71" t="e">
        <f>SUMIFS([1]Form!$F$9:$F$22,[1]Form!$K$9:$K$22,K196)</f>
        <v>#VALUE!</v>
      </c>
      <c r="BC196" s="71"/>
      <c r="BD196" s="71"/>
    </row>
    <row r="197" spans="1:56" x14ac:dyDescent="0.25">
      <c r="A197" s="24">
        <f>IF(B197="","",SUBTOTAL(3,$B$4:B197))</f>
        <v>194</v>
      </c>
      <c r="B197" s="25" t="s">
        <v>840</v>
      </c>
      <c r="C197" s="25" t="str">
        <f t="shared" si="67"/>
        <v>Shipment 1 B-10124 Fired Proces Heater</v>
      </c>
      <c r="D197" s="25" t="s">
        <v>839</v>
      </c>
      <c r="E197" s="25" t="s">
        <v>838</v>
      </c>
      <c r="F197" s="25"/>
      <c r="G197" s="65"/>
      <c r="H197" s="25" t="s">
        <v>842</v>
      </c>
      <c r="I197" s="25"/>
      <c r="J197" s="26" t="s">
        <v>843</v>
      </c>
      <c r="K197" s="27" t="s">
        <v>247</v>
      </c>
      <c r="L197" s="28" t="s">
        <v>249</v>
      </c>
      <c r="M197" s="28" t="s">
        <v>704</v>
      </c>
      <c r="N197" s="25">
        <v>1</v>
      </c>
      <c r="O197" s="29">
        <v>78.599999999999994</v>
      </c>
      <c r="P197" s="29">
        <v>78.599999999999994</v>
      </c>
      <c r="Q197" s="25" t="s">
        <v>741</v>
      </c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68"/>
        <v>0</v>
      </c>
      <c r="AF197" s="32">
        <f t="shared" si="69"/>
        <v>78.599999999999994</v>
      </c>
      <c r="AG197" s="30"/>
      <c r="AH197" s="33"/>
      <c r="AI197" s="34">
        <f t="shared" si="70"/>
        <v>0</v>
      </c>
      <c r="AJ197" s="35"/>
      <c r="AK197" s="30"/>
      <c r="AL197" s="36">
        <f t="shared" si="75"/>
        <v>0</v>
      </c>
      <c r="AM197" s="35"/>
      <c r="AN197" s="30"/>
      <c r="AO197" s="36">
        <f t="shared" si="71"/>
        <v>0</v>
      </c>
      <c r="AP197" s="35"/>
      <c r="AQ197" s="30"/>
      <c r="AR197" s="36">
        <f t="shared" si="72"/>
        <v>0</v>
      </c>
      <c r="AS197" s="27"/>
      <c r="AT197" s="37"/>
      <c r="AU197" s="30"/>
      <c r="AV197" s="36">
        <f t="shared" si="73"/>
        <v>0</v>
      </c>
      <c r="AW197" s="35"/>
      <c r="AX197" s="30"/>
      <c r="AY197" s="32">
        <f t="shared" si="74"/>
        <v>0</v>
      </c>
      <c r="AZ197" s="30" t="s">
        <v>841</v>
      </c>
      <c r="BA197" s="63"/>
      <c r="BB197" s="71" t="e">
        <f>SUMIFS([1]Form!$F$9:$F$22,[1]Form!$K$9:$K$22,K197)</f>
        <v>#VALUE!</v>
      </c>
      <c r="BC197" s="71"/>
      <c r="BD197" s="71"/>
    </row>
    <row r="198" spans="1:56" x14ac:dyDescent="0.25">
      <c r="A198" s="24">
        <f>IF(B198="","",SUBTOTAL(3,$B$4:B198))</f>
        <v>195</v>
      </c>
      <c r="B198" s="25" t="s">
        <v>840</v>
      </c>
      <c r="C198" s="25" t="str">
        <f t="shared" si="67"/>
        <v>Shipment 1 B-10124 Fired Proces Heater</v>
      </c>
      <c r="D198" s="25" t="s">
        <v>839</v>
      </c>
      <c r="E198" s="25" t="s">
        <v>838</v>
      </c>
      <c r="F198" s="25"/>
      <c r="G198" s="65"/>
      <c r="H198" s="25" t="s">
        <v>842</v>
      </c>
      <c r="I198" s="25"/>
      <c r="J198" s="26" t="s">
        <v>843</v>
      </c>
      <c r="K198" s="27" t="s">
        <v>250</v>
      </c>
      <c r="L198" s="28" t="s">
        <v>251</v>
      </c>
      <c r="M198" s="28" t="s">
        <v>704</v>
      </c>
      <c r="N198" s="25">
        <v>1</v>
      </c>
      <c r="O198" s="29">
        <v>78.499999999999986</v>
      </c>
      <c r="P198" s="29">
        <v>78.499999999999986</v>
      </c>
      <c r="Q198" s="25" t="s">
        <v>741</v>
      </c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68"/>
        <v>0</v>
      </c>
      <c r="AF198" s="32">
        <f t="shared" si="69"/>
        <v>78.499999999999986</v>
      </c>
      <c r="AG198" s="30"/>
      <c r="AH198" s="33"/>
      <c r="AI198" s="34">
        <f t="shared" si="70"/>
        <v>0</v>
      </c>
      <c r="AJ198" s="35"/>
      <c r="AK198" s="30"/>
      <c r="AL198" s="36">
        <f t="shared" si="75"/>
        <v>0</v>
      </c>
      <c r="AM198" s="35"/>
      <c r="AN198" s="30"/>
      <c r="AO198" s="36">
        <f t="shared" si="71"/>
        <v>0</v>
      </c>
      <c r="AP198" s="35"/>
      <c r="AQ198" s="30"/>
      <c r="AR198" s="36">
        <f t="shared" si="72"/>
        <v>0</v>
      </c>
      <c r="AS198" s="27"/>
      <c r="AT198" s="37"/>
      <c r="AU198" s="30"/>
      <c r="AV198" s="36">
        <f t="shared" si="73"/>
        <v>0</v>
      </c>
      <c r="AW198" s="35"/>
      <c r="AX198" s="30"/>
      <c r="AY198" s="32">
        <f t="shared" si="74"/>
        <v>0</v>
      </c>
      <c r="AZ198" s="30" t="s">
        <v>841</v>
      </c>
      <c r="BA198" s="63"/>
      <c r="BB198" s="71" t="e">
        <f>SUMIFS([1]Form!$F$9:$F$22,[1]Form!$K$9:$K$22,K198)</f>
        <v>#VALUE!</v>
      </c>
      <c r="BC198" s="71"/>
      <c r="BD198" s="71"/>
    </row>
    <row r="199" spans="1:56" x14ac:dyDescent="0.25">
      <c r="A199" s="24">
        <f>IF(B199="","",SUBTOTAL(3,$B$4:B199))</f>
        <v>196</v>
      </c>
      <c r="B199" s="25" t="s">
        <v>840</v>
      </c>
      <c r="C199" s="25" t="str">
        <f t="shared" si="67"/>
        <v>Shipment 1 B-10124 Fired Proces Heater</v>
      </c>
      <c r="D199" s="25" t="s">
        <v>839</v>
      </c>
      <c r="E199" s="25" t="s">
        <v>838</v>
      </c>
      <c r="F199" s="25"/>
      <c r="G199" s="65"/>
      <c r="H199" s="25" t="s">
        <v>842</v>
      </c>
      <c r="I199" s="25"/>
      <c r="J199" s="26" t="s">
        <v>843</v>
      </c>
      <c r="K199" s="27" t="s">
        <v>252</v>
      </c>
      <c r="L199" s="28" t="s">
        <v>253</v>
      </c>
      <c r="M199" s="28" t="s">
        <v>704</v>
      </c>
      <c r="N199" s="25">
        <v>1</v>
      </c>
      <c r="O199" s="29">
        <v>78.599999999999994</v>
      </c>
      <c r="P199" s="29">
        <v>314.19999999999993</v>
      </c>
      <c r="Q199" s="25" t="s">
        <v>741</v>
      </c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68"/>
        <v>0</v>
      </c>
      <c r="AF199" s="32">
        <f t="shared" si="69"/>
        <v>314.19999999999993</v>
      </c>
      <c r="AG199" s="30"/>
      <c r="AH199" s="33"/>
      <c r="AI199" s="34">
        <f t="shared" si="70"/>
        <v>0</v>
      </c>
      <c r="AJ199" s="35"/>
      <c r="AK199" s="30"/>
      <c r="AL199" s="36">
        <f t="shared" si="75"/>
        <v>0</v>
      </c>
      <c r="AM199" s="35"/>
      <c r="AN199" s="30"/>
      <c r="AO199" s="36">
        <f t="shared" si="71"/>
        <v>0</v>
      </c>
      <c r="AP199" s="35"/>
      <c r="AQ199" s="30"/>
      <c r="AR199" s="36">
        <f t="shared" si="72"/>
        <v>0</v>
      </c>
      <c r="AS199" s="27"/>
      <c r="AT199" s="37"/>
      <c r="AU199" s="30"/>
      <c r="AV199" s="36">
        <f t="shared" si="73"/>
        <v>0</v>
      </c>
      <c r="AW199" s="35"/>
      <c r="AX199" s="30"/>
      <c r="AY199" s="32">
        <f t="shared" si="74"/>
        <v>0</v>
      </c>
      <c r="AZ199" s="30" t="s">
        <v>841</v>
      </c>
      <c r="BA199" s="63"/>
      <c r="BB199" s="71" t="e">
        <f>SUMIFS([1]Form!$F$9:$F$22,[1]Form!$K$9:$K$22,K199)</f>
        <v>#VALUE!</v>
      </c>
      <c r="BC199" s="71"/>
      <c r="BD199" s="71"/>
    </row>
    <row r="200" spans="1:56" x14ac:dyDescent="0.25">
      <c r="A200" s="24">
        <f>IF(B200="","",SUBTOTAL(3,$B$4:B200))</f>
        <v>197</v>
      </c>
      <c r="B200" s="25" t="s">
        <v>840</v>
      </c>
      <c r="C200" s="25" t="str">
        <f t="shared" si="67"/>
        <v>Shipment 1 B-10124 Fired Proces Heater</v>
      </c>
      <c r="D200" s="25" t="s">
        <v>839</v>
      </c>
      <c r="E200" s="25" t="s">
        <v>838</v>
      </c>
      <c r="F200" s="25"/>
      <c r="G200" s="65"/>
      <c r="H200" s="25" t="s">
        <v>842</v>
      </c>
      <c r="I200" s="25"/>
      <c r="J200" s="26" t="s">
        <v>843</v>
      </c>
      <c r="K200" s="27" t="s">
        <v>254</v>
      </c>
      <c r="L200" s="28" t="s">
        <v>255</v>
      </c>
      <c r="M200" s="28" t="s">
        <v>704</v>
      </c>
      <c r="N200" s="25">
        <v>1</v>
      </c>
      <c r="O200" s="29">
        <v>79.399999999999991</v>
      </c>
      <c r="P200" s="29">
        <v>79.399999999999991</v>
      </c>
      <c r="Q200" s="25" t="s">
        <v>741</v>
      </c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68"/>
        <v>0</v>
      </c>
      <c r="AF200" s="32">
        <f t="shared" si="69"/>
        <v>79.399999999999991</v>
      </c>
      <c r="AG200" s="30"/>
      <c r="AH200" s="33"/>
      <c r="AI200" s="34">
        <f t="shared" si="70"/>
        <v>0</v>
      </c>
      <c r="AJ200" s="35"/>
      <c r="AK200" s="30"/>
      <c r="AL200" s="36">
        <f t="shared" si="75"/>
        <v>0</v>
      </c>
      <c r="AM200" s="35"/>
      <c r="AN200" s="30"/>
      <c r="AO200" s="36">
        <f t="shared" si="71"/>
        <v>0</v>
      </c>
      <c r="AP200" s="35"/>
      <c r="AQ200" s="30"/>
      <c r="AR200" s="36">
        <f t="shared" si="72"/>
        <v>0</v>
      </c>
      <c r="AS200" s="27"/>
      <c r="AT200" s="37"/>
      <c r="AU200" s="30"/>
      <c r="AV200" s="36">
        <f t="shared" si="73"/>
        <v>0</v>
      </c>
      <c r="AW200" s="35"/>
      <c r="AX200" s="30"/>
      <c r="AY200" s="32">
        <f t="shared" si="74"/>
        <v>0</v>
      </c>
      <c r="AZ200" s="30" t="s">
        <v>841</v>
      </c>
      <c r="BA200" s="63"/>
      <c r="BB200" s="71" t="e">
        <f>SUMIFS([1]Form!$F$9:$F$22,[1]Form!$K$9:$K$22,K200)</f>
        <v>#VALUE!</v>
      </c>
      <c r="BC200" s="71"/>
      <c r="BD200" s="71"/>
    </row>
    <row r="201" spans="1:56" x14ac:dyDescent="0.25">
      <c r="A201" s="24">
        <f>IF(B201="","",SUBTOTAL(3,$B$4:B201))</f>
        <v>198</v>
      </c>
      <c r="B201" s="25" t="s">
        <v>840</v>
      </c>
      <c r="C201" s="25" t="str">
        <f t="shared" si="67"/>
        <v>Shipment 1 B-10124 Fired Proces Heater</v>
      </c>
      <c r="D201" s="25" t="s">
        <v>839</v>
      </c>
      <c r="E201" s="25" t="s">
        <v>838</v>
      </c>
      <c r="F201" s="25"/>
      <c r="G201" s="65"/>
      <c r="H201" s="25" t="s">
        <v>842</v>
      </c>
      <c r="I201" s="25"/>
      <c r="J201" s="26" t="s">
        <v>843</v>
      </c>
      <c r="K201" s="27" t="s">
        <v>256</v>
      </c>
      <c r="L201" s="28" t="s">
        <v>257</v>
      </c>
      <c r="M201" s="28" t="s">
        <v>704</v>
      </c>
      <c r="N201" s="25">
        <v>1</v>
      </c>
      <c r="O201" s="29">
        <v>79.466666666666669</v>
      </c>
      <c r="P201" s="29">
        <v>79.466666666666669</v>
      </c>
      <c r="Q201" s="25" t="s">
        <v>741</v>
      </c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68"/>
        <v>0</v>
      </c>
      <c r="AF201" s="32">
        <f t="shared" si="69"/>
        <v>79.466666666666669</v>
      </c>
      <c r="AG201" s="30"/>
      <c r="AH201" s="33"/>
      <c r="AI201" s="34">
        <f t="shared" si="70"/>
        <v>0</v>
      </c>
      <c r="AJ201" s="35"/>
      <c r="AK201" s="30"/>
      <c r="AL201" s="36">
        <f t="shared" si="75"/>
        <v>0</v>
      </c>
      <c r="AM201" s="35"/>
      <c r="AN201" s="30"/>
      <c r="AO201" s="36">
        <f t="shared" si="71"/>
        <v>0</v>
      </c>
      <c r="AP201" s="35"/>
      <c r="AQ201" s="30"/>
      <c r="AR201" s="36">
        <f t="shared" si="72"/>
        <v>0</v>
      </c>
      <c r="AS201" s="27"/>
      <c r="AT201" s="37"/>
      <c r="AU201" s="30"/>
      <c r="AV201" s="36">
        <f t="shared" si="73"/>
        <v>0</v>
      </c>
      <c r="AW201" s="35"/>
      <c r="AX201" s="30"/>
      <c r="AY201" s="32">
        <f t="shared" si="74"/>
        <v>0</v>
      </c>
      <c r="AZ201" s="30" t="s">
        <v>841</v>
      </c>
      <c r="BA201" s="63"/>
      <c r="BB201" s="71" t="e">
        <f>SUMIFS([1]Form!$F$9:$F$22,[1]Form!$K$9:$K$22,K201)</f>
        <v>#VALUE!</v>
      </c>
      <c r="BC201" s="71"/>
      <c r="BD201" s="71"/>
    </row>
    <row r="202" spans="1:56" x14ac:dyDescent="0.25">
      <c r="A202" s="24">
        <f>IF(B202="","",SUBTOTAL(3,$B$4:B202))</f>
        <v>199</v>
      </c>
      <c r="B202" s="25" t="s">
        <v>840</v>
      </c>
      <c r="C202" s="25" t="str">
        <f t="shared" si="67"/>
        <v>Shipment 1 B-10124 Fired Proces Heater</v>
      </c>
      <c r="D202" s="25" t="s">
        <v>839</v>
      </c>
      <c r="E202" s="25" t="s">
        <v>838</v>
      </c>
      <c r="F202" s="25"/>
      <c r="G202" s="65"/>
      <c r="H202" s="25" t="s">
        <v>842</v>
      </c>
      <c r="I202" s="25"/>
      <c r="J202" s="26" t="s">
        <v>843</v>
      </c>
      <c r="K202" s="27" t="s">
        <v>256</v>
      </c>
      <c r="L202" s="28" t="s">
        <v>258</v>
      </c>
      <c r="M202" s="28" t="s">
        <v>704</v>
      </c>
      <c r="N202" s="25">
        <v>1</v>
      </c>
      <c r="O202" s="29">
        <v>79.466666666666669</v>
      </c>
      <c r="P202" s="29">
        <v>79.466666666666669</v>
      </c>
      <c r="Q202" s="25" t="s">
        <v>741</v>
      </c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68"/>
        <v>0</v>
      </c>
      <c r="AF202" s="32">
        <f t="shared" si="69"/>
        <v>79.466666666666669</v>
      </c>
      <c r="AG202" s="30"/>
      <c r="AH202" s="33"/>
      <c r="AI202" s="34">
        <f t="shared" si="70"/>
        <v>0</v>
      </c>
      <c r="AJ202" s="35"/>
      <c r="AK202" s="30"/>
      <c r="AL202" s="36">
        <f t="shared" si="75"/>
        <v>0</v>
      </c>
      <c r="AM202" s="35"/>
      <c r="AN202" s="30"/>
      <c r="AO202" s="36">
        <f t="shared" si="71"/>
        <v>0</v>
      </c>
      <c r="AP202" s="35"/>
      <c r="AQ202" s="30"/>
      <c r="AR202" s="36">
        <f t="shared" si="72"/>
        <v>0</v>
      </c>
      <c r="AS202" s="27"/>
      <c r="AT202" s="37"/>
      <c r="AU202" s="30"/>
      <c r="AV202" s="36">
        <f t="shared" si="73"/>
        <v>0</v>
      </c>
      <c r="AW202" s="35"/>
      <c r="AX202" s="30"/>
      <c r="AY202" s="32">
        <f t="shared" si="74"/>
        <v>0</v>
      </c>
      <c r="AZ202" s="30" t="s">
        <v>841</v>
      </c>
      <c r="BA202" s="63"/>
      <c r="BB202" s="71" t="e">
        <f>SUMIFS([1]Form!$F$9:$F$22,[1]Form!$K$9:$K$22,K202)</f>
        <v>#VALUE!</v>
      </c>
      <c r="BC202" s="71"/>
      <c r="BD202" s="71"/>
    </row>
    <row r="203" spans="1:56" x14ac:dyDescent="0.25">
      <c r="A203" s="24">
        <f>IF(B203="","",SUBTOTAL(3,$B$4:B203))</f>
        <v>200</v>
      </c>
      <c r="B203" s="25" t="s">
        <v>840</v>
      </c>
      <c r="C203" s="25" t="str">
        <f t="shared" si="67"/>
        <v>Shipment 1 B-10124 Fired Proces Heater</v>
      </c>
      <c r="D203" s="25" t="s">
        <v>839</v>
      </c>
      <c r="E203" s="25" t="s">
        <v>838</v>
      </c>
      <c r="F203" s="25"/>
      <c r="G203" s="65"/>
      <c r="H203" s="25" t="s">
        <v>842</v>
      </c>
      <c r="I203" s="25"/>
      <c r="J203" s="26" t="s">
        <v>843</v>
      </c>
      <c r="K203" s="27" t="s">
        <v>256</v>
      </c>
      <c r="L203" s="28" t="s">
        <v>259</v>
      </c>
      <c r="M203" s="28" t="s">
        <v>704</v>
      </c>
      <c r="N203" s="25">
        <v>1</v>
      </c>
      <c r="O203" s="29">
        <v>79.466666666666669</v>
      </c>
      <c r="P203" s="29">
        <v>79.466666666666669</v>
      </c>
      <c r="Q203" s="25" t="s">
        <v>741</v>
      </c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68"/>
        <v>0</v>
      </c>
      <c r="AF203" s="32">
        <f t="shared" si="69"/>
        <v>79.466666666666669</v>
      </c>
      <c r="AG203" s="30"/>
      <c r="AH203" s="33"/>
      <c r="AI203" s="34">
        <f t="shared" si="70"/>
        <v>0</v>
      </c>
      <c r="AJ203" s="35"/>
      <c r="AK203" s="30"/>
      <c r="AL203" s="36">
        <f t="shared" si="75"/>
        <v>0</v>
      </c>
      <c r="AM203" s="35"/>
      <c r="AN203" s="30"/>
      <c r="AO203" s="36">
        <f t="shared" si="71"/>
        <v>0</v>
      </c>
      <c r="AP203" s="35"/>
      <c r="AQ203" s="30"/>
      <c r="AR203" s="36">
        <f t="shared" si="72"/>
        <v>0</v>
      </c>
      <c r="AS203" s="27"/>
      <c r="AT203" s="37"/>
      <c r="AU203" s="30"/>
      <c r="AV203" s="36">
        <f t="shared" si="73"/>
        <v>0</v>
      </c>
      <c r="AW203" s="35"/>
      <c r="AX203" s="30"/>
      <c r="AY203" s="32">
        <f t="shared" si="74"/>
        <v>0</v>
      </c>
      <c r="AZ203" s="30" t="s">
        <v>841</v>
      </c>
      <c r="BA203" s="63"/>
      <c r="BB203" s="71" t="e">
        <f>SUMIFS([1]Form!$F$9:$F$22,[1]Form!$K$9:$K$22,K203)</f>
        <v>#VALUE!</v>
      </c>
      <c r="BC203" s="71"/>
      <c r="BD203" s="71"/>
    </row>
    <row r="204" spans="1:56" x14ac:dyDescent="0.25">
      <c r="A204" s="24">
        <f>IF(B204="","",SUBTOTAL(3,$B$4:B204))</f>
        <v>201</v>
      </c>
      <c r="B204" s="25" t="s">
        <v>840</v>
      </c>
      <c r="C204" s="25" t="str">
        <f t="shared" si="67"/>
        <v>Shipment 1 B-10124 Fired Proces Heater</v>
      </c>
      <c r="D204" s="25" t="s">
        <v>839</v>
      </c>
      <c r="E204" s="25" t="s">
        <v>838</v>
      </c>
      <c r="F204" s="25"/>
      <c r="G204" s="65"/>
      <c r="H204" s="25" t="s">
        <v>842</v>
      </c>
      <c r="I204" s="25"/>
      <c r="J204" s="26" t="s">
        <v>843</v>
      </c>
      <c r="K204" s="27" t="s">
        <v>260</v>
      </c>
      <c r="L204" s="28" t="s">
        <v>934</v>
      </c>
      <c r="M204" s="28" t="s">
        <v>704</v>
      </c>
      <c r="N204" s="25">
        <v>16</v>
      </c>
      <c r="O204" s="29">
        <v>0.86250000000000004</v>
      </c>
      <c r="P204" s="29">
        <v>13.8</v>
      </c>
      <c r="Q204" s="25" t="s">
        <v>742</v>
      </c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68"/>
        <v>0</v>
      </c>
      <c r="AF204" s="32">
        <f t="shared" si="69"/>
        <v>13.8</v>
      </c>
      <c r="AG204" s="30"/>
      <c r="AH204" s="33"/>
      <c r="AI204" s="34">
        <f t="shared" si="70"/>
        <v>0</v>
      </c>
      <c r="AJ204" s="35"/>
      <c r="AK204" s="30"/>
      <c r="AL204" s="36">
        <f t="shared" si="75"/>
        <v>0</v>
      </c>
      <c r="AM204" s="35"/>
      <c r="AN204" s="30"/>
      <c r="AO204" s="36">
        <f t="shared" si="71"/>
        <v>0</v>
      </c>
      <c r="AP204" s="35"/>
      <c r="AQ204" s="30"/>
      <c r="AR204" s="36">
        <f t="shared" si="72"/>
        <v>0</v>
      </c>
      <c r="AS204" s="27"/>
      <c r="AT204" s="37"/>
      <c r="AU204" s="30"/>
      <c r="AV204" s="36">
        <f t="shared" si="73"/>
        <v>0</v>
      </c>
      <c r="AW204" s="35"/>
      <c r="AX204" s="30"/>
      <c r="AY204" s="32">
        <f t="shared" si="74"/>
        <v>0</v>
      </c>
      <c r="AZ204" s="30" t="s">
        <v>841</v>
      </c>
      <c r="BA204" s="63"/>
      <c r="BB204" s="71" t="e">
        <f>SUMIFS([1]Form!$F$9:$F$22,[1]Form!$K$9:$K$22,K204)</f>
        <v>#VALUE!</v>
      </c>
      <c r="BC204" s="71"/>
      <c r="BD204" s="71"/>
    </row>
    <row r="205" spans="1:56" x14ac:dyDescent="0.25">
      <c r="A205" s="24">
        <f>IF(B205="","",SUBTOTAL(3,$B$4:B205))</f>
        <v>202</v>
      </c>
      <c r="B205" s="25" t="s">
        <v>840</v>
      </c>
      <c r="C205" s="25" t="str">
        <f t="shared" ref="C205:C247" si="85">D205&amp;" "&amp;E205</f>
        <v>Shipment 1 B-10124 Fired Proces Heater</v>
      </c>
      <c r="D205" s="25" t="s">
        <v>839</v>
      </c>
      <c r="E205" s="25" t="s">
        <v>838</v>
      </c>
      <c r="F205" s="25"/>
      <c r="G205" s="65"/>
      <c r="H205" s="25" t="s">
        <v>842</v>
      </c>
      <c r="I205" s="25"/>
      <c r="J205" s="26" t="s">
        <v>843</v>
      </c>
      <c r="K205" s="27" t="s">
        <v>261</v>
      </c>
      <c r="L205" s="28" t="s">
        <v>935</v>
      </c>
      <c r="M205" s="28" t="s">
        <v>704</v>
      </c>
      <c r="N205" s="25">
        <v>32</v>
      </c>
      <c r="O205" s="29">
        <v>0.515625</v>
      </c>
      <c r="P205" s="29">
        <v>16.5</v>
      </c>
      <c r="Q205" s="25" t="s">
        <v>743</v>
      </c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68"/>
        <v>0</v>
      </c>
      <c r="AF205" s="32">
        <f t="shared" si="69"/>
        <v>16.5</v>
      </c>
      <c r="AG205" s="30"/>
      <c r="AH205" s="33"/>
      <c r="AI205" s="34">
        <f t="shared" si="70"/>
        <v>0</v>
      </c>
      <c r="AJ205" s="35"/>
      <c r="AK205" s="30"/>
      <c r="AL205" s="36">
        <f t="shared" si="75"/>
        <v>0</v>
      </c>
      <c r="AM205" s="35"/>
      <c r="AN205" s="30"/>
      <c r="AO205" s="36">
        <f t="shared" si="71"/>
        <v>0</v>
      </c>
      <c r="AP205" s="35"/>
      <c r="AQ205" s="30"/>
      <c r="AR205" s="36">
        <f t="shared" si="72"/>
        <v>0</v>
      </c>
      <c r="AS205" s="27"/>
      <c r="AT205" s="37"/>
      <c r="AU205" s="30"/>
      <c r="AV205" s="36">
        <f t="shared" si="73"/>
        <v>0</v>
      </c>
      <c r="AW205" s="35"/>
      <c r="AX205" s="30"/>
      <c r="AY205" s="32">
        <f t="shared" si="74"/>
        <v>0</v>
      </c>
      <c r="AZ205" s="30" t="s">
        <v>841</v>
      </c>
      <c r="BA205" s="63"/>
      <c r="BB205" s="71" t="e">
        <f>SUMIFS([1]Form!$F$9:$F$22,[1]Form!$K$9:$K$22,K205)</f>
        <v>#VALUE!</v>
      </c>
      <c r="BC205" s="71"/>
      <c r="BD205" s="71"/>
    </row>
    <row r="206" spans="1:56" x14ac:dyDescent="0.25">
      <c r="A206" s="24">
        <f>IF(B206="","",SUBTOTAL(3,$B$4:B206))</f>
        <v>203</v>
      </c>
      <c r="B206" s="25" t="s">
        <v>840</v>
      </c>
      <c r="C206" s="25" t="str">
        <f t="shared" si="85"/>
        <v>Shipment 1 B-10124 Fired Proces Heater</v>
      </c>
      <c r="D206" s="25" t="s">
        <v>839</v>
      </c>
      <c r="E206" s="25" t="s">
        <v>838</v>
      </c>
      <c r="F206" s="25"/>
      <c r="G206" s="65"/>
      <c r="H206" s="25" t="s">
        <v>842</v>
      </c>
      <c r="I206" s="25"/>
      <c r="J206" s="26" t="s">
        <v>843</v>
      </c>
      <c r="K206" s="27" t="s">
        <v>262</v>
      </c>
      <c r="L206" s="28" t="s">
        <v>936</v>
      </c>
      <c r="M206" s="28" t="s">
        <v>704</v>
      </c>
      <c r="N206" s="25">
        <v>32</v>
      </c>
      <c r="O206" s="29">
        <v>0.34375</v>
      </c>
      <c r="P206" s="29">
        <v>11</v>
      </c>
      <c r="Q206" s="25" t="s">
        <v>744</v>
      </c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68"/>
        <v>0</v>
      </c>
      <c r="AF206" s="32">
        <f t="shared" si="69"/>
        <v>11</v>
      </c>
      <c r="AG206" s="30"/>
      <c r="AH206" s="33"/>
      <c r="AI206" s="34">
        <f t="shared" si="70"/>
        <v>0</v>
      </c>
      <c r="AJ206" s="35"/>
      <c r="AK206" s="30"/>
      <c r="AL206" s="36">
        <f t="shared" si="75"/>
        <v>0</v>
      </c>
      <c r="AM206" s="35"/>
      <c r="AN206" s="30"/>
      <c r="AO206" s="36">
        <f t="shared" si="71"/>
        <v>0</v>
      </c>
      <c r="AP206" s="35"/>
      <c r="AQ206" s="30"/>
      <c r="AR206" s="36">
        <f t="shared" si="72"/>
        <v>0</v>
      </c>
      <c r="AS206" s="27"/>
      <c r="AT206" s="37"/>
      <c r="AU206" s="30"/>
      <c r="AV206" s="36">
        <f t="shared" si="73"/>
        <v>0</v>
      </c>
      <c r="AW206" s="35"/>
      <c r="AX206" s="30"/>
      <c r="AY206" s="32">
        <f t="shared" si="74"/>
        <v>0</v>
      </c>
      <c r="AZ206" s="30" t="s">
        <v>841</v>
      </c>
      <c r="BA206" s="63"/>
      <c r="BB206" s="71" t="e">
        <f>SUMIFS([1]Form!$F$9:$F$22,[1]Form!$K$9:$K$22,K206)</f>
        <v>#VALUE!</v>
      </c>
      <c r="BC206" s="71"/>
      <c r="BD206" s="71"/>
    </row>
    <row r="207" spans="1:56" x14ac:dyDescent="0.25">
      <c r="A207" s="24">
        <f>IF(B207="","",SUBTOTAL(3,$B$4:B207))</f>
        <v>204</v>
      </c>
      <c r="B207" s="25" t="s">
        <v>840</v>
      </c>
      <c r="C207" s="25" t="str">
        <f t="shared" si="85"/>
        <v>Shipment 1 B-10124 Fired Proces Heater</v>
      </c>
      <c r="D207" s="25" t="s">
        <v>839</v>
      </c>
      <c r="E207" s="25" t="s">
        <v>838</v>
      </c>
      <c r="F207" s="25"/>
      <c r="G207" s="65"/>
      <c r="H207" s="25" t="s">
        <v>842</v>
      </c>
      <c r="I207" s="25"/>
      <c r="J207" s="26" t="s">
        <v>843</v>
      </c>
      <c r="K207" s="27" t="s">
        <v>263</v>
      </c>
      <c r="L207" s="28" t="s">
        <v>937</v>
      </c>
      <c r="M207" s="28" t="s">
        <v>704</v>
      </c>
      <c r="N207" s="25">
        <v>32</v>
      </c>
      <c r="O207" s="29">
        <v>0.171875</v>
      </c>
      <c r="P207" s="29">
        <v>5.5</v>
      </c>
      <c r="Q207" s="25" t="s">
        <v>745</v>
      </c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68"/>
        <v>0</v>
      </c>
      <c r="AF207" s="32">
        <f t="shared" si="69"/>
        <v>5.5</v>
      </c>
      <c r="AG207" s="30"/>
      <c r="AH207" s="33"/>
      <c r="AI207" s="34">
        <f t="shared" si="70"/>
        <v>0</v>
      </c>
      <c r="AJ207" s="35"/>
      <c r="AK207" s="30"/>
      <c r="AL207" s="36">
        <f t="shared" si="75"/>
        <v>0</v>
      </c>
      <c r="AM207" s="35"/>
      <c r="AN207" s="30"/>
      <c r="AO207" s="36">
        <f t="shared" si="71"/>
        <v>0</v>
      </c>
      <c r="AP207" s="35"/>
      <c r="AQ207" s="30"/>
      <c r="AR207" s="36">
        <f t="shared" si="72"/>
        <v>0</v>
      </c>
      <c r="AS207" s="27"/>
      <c r="AT207" s="37"/>
      <c r="AU207" s="30"/>
      <c r="AV207" s="36">
        <f t="shared" si="73"/>
        <v>0</v>
      </c>
      <c r="AW207" s="35"/>
      <c r="AX207" s="30"/>
      <c r="AY207" s="32">
        <f t="shared" si="74"/>
        <v>0</v>
      </c>
      <c r="AZ207" s="30" t="s">
        <v>841</v>
      </c>
      <c r="BA207" s="63"/>
      <c r="BB207" s="71" t="e">
        <f>SUMIFS([1]Form!$F$9:$F$22,[1]Form!$K$9:$K$22,K207)</f>
        <v>#VALUE!</v>
      </c>
      <c r="BC207" s="71"/>
      <c r="BD207" s="71"/>
    </row>
    <row r="208" spans="1:56" x14ac:dyDescent="0.25">
      <c r="A208" s="24">
        <f>IF(B208="","",SUBTOTAL(3,$B$4:B208))</f>
        <v>205</v>
      </c>
      <c r="B208" s="25" t="s">
        <v>840</v>
      </c>
      <c r="C208" s="25" t="str">
        <f t="shared" si="85"/>
        <v>Shipment 1 B-10124 Fired Proces Heater</v>
      </c>
      <c r="D208" s="25" t="s">
        <v>839</v>
      </c>
      <c r="E208" s="25" t="s">
        <v>838</v>
      </c>
      <c r="F208" s="25"/>
      <c r="G208" s="65"/>
      <c r="H208" s="25" t="s">
        <v>842</v>
      </c>
      <c r="I208" s="25"/>
      <c r="J208" s="26" t="s">
        <v>843</v>
      </c>
      <c r="K208" s="27" t="s">
        <v>264</v>
      </c>
      <c r="L208" s="28" t="s">
        <v>265</v>
      </c>
      <c r="M208" s="28" t="s">
        <v>704</v>
      </c>
      <c r="N208" s="25">
        <v>1</v>
      </c>
      <c r="O208" s="29">
        <v>60.050000000000004</v>
      </c>
      <c r="P208" s="29">
        <v>60.050000000000004</v>
      </c>
      <c r="Q208" s="25" t="s">
        <v>748</v>
      </c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68"/>
        <v>0</v>
      </c>
      <c r="AF208" s="32">
        <f t="shared" si="69"/>
        <v>60.050000000000004</v>
      </c>
      <c r="AG208" s="30"/>
      <c r="AH208" s="33"/>
      <c r="AI208" s="34">
        <f t="shared" si="70"/>
        <v>0</v>
      </c>
      <c r="AJ208" s="35"/>
      <c r="AK208" s="30"/>
      <c r="AL208" s="36">
        <f t="shared" si="75"/>
        <v>0</v>
      </c>
      <c r="AM208" s="35"/>
      <c r="AN208" s="30"/>
      <c r="AO208" s="36">
        <f t="shared" si="71"/>
        <v>0</v>
      </c>
      <c r="AP208" s="35"/>
      <c r="AQ208" s="30"/>
      <c r="AR208" s="36">
        <f t="shared" si="72"/>
        <v>0</v>
      </c>
      <c r="AS208" s="27"/>
      <c r="AT208" s="37"/>
      <c r="AU208" s="30"/>
      <c r="AV208" s="36">
        <f t="shared" si="73"/>
        <v>0</v>
      </c>
      <c r="AW208" s="35"/>
      <c r="AX208" s="30"/>
      <c r="AY208" s="32">
        <f t="shared" si="74"/>
        <v>0</v>
      </c>
      <c r="AZ208" s="30" t="s">
        <v>841</v>
      </c>
      <c r="BA208" s="63"/>
      <c r="BB208" s="71" t="e">
        <f>SUMIFS([1]Form!$F$9:$F$22,[1]Form!$K$9:$K$22,K208)</f>
        <v>#VALUE!</v>
      </c>
      <c r="BC208" s="71"/>
      <c r="BD208" s="71"/>
    </row>
    <row r="209" spans="1:56" x14ac:dyDescent="0.25">
      <c r="A209" s="24">
        <f>IF(B209="","",SUBTOTAL(3,$B$4:B209))</f>
        <v>206</v>
      </c>
      <c r="B209" s="25" t="s">
        <v>840</v>
      </c>
      <c r="C209" s="25" t="str">
        <f t="shared" si="85"/>
        <v>Shipment 1 B-10124 Fired Proces Heater</v>
      </c>
      <c r="D209" s="25" t="s">
        <v>839</v>
      </c>
      <c r="E209" s="25" t="s">
        <v>838</v>
      </c>
      <c r="F209" s="25"/>
      <c r="G209" s="65"/>
      <c r="H209" s="25" t="s">
        <v>842</v>
      </c>
      <c r="I209" s="25"/>
      <c r="J209" s="26" t="s">
        <v>843</v>
      </c>
      <c r="K209" s="27" t="s">
        <v>264</v>
      </c>
      <c r="L209" s="28" t="s">
        <v>266</v>
      </c>
      <c r="M209" s="28" t="s">
        <v>704</v>
      </c>
      <c r="N209" s="25">
        <v>1</v>
      </c>
      <c r="O209" s="29">
        <v>60.050000000000004</v>
      </c>
      <c r="P209" s="29">
        <v>60.050000000000004</v>
      </c>
      <c r="Q209" s="25" t="s">
        <v>748</v>
      </c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68"/>
        <v>0</v>
      </c>
      <c r="AF209" s="32">
        <f t="shared" si="69"/>
        <v>60.050000000000004</v>
      </c>
      <c r="AG209" s="30"/>
      <c r="AH209" s="33"/>
      <c r="AI209" s="34">
        <f t="shared" si="70"/>
        <v>0</v>
      </c>
      <c r="AJ209" s="35"/>
      <c r="AK209" s="30"/>
      <c r="AL209" s="36">
        <f t="shared" si="75"/>
        <v>0</v>
      </c>
      <c r="AM209" s="35"/>
      <c r="AN209" s="30"/>
      <c r="AO209" s="36">
        <f t="shared" si="71"/>
        <v>0</v>
      </c>
      <c r="AP209" s="35"/>
      <c r="AQ209" s="30"/>
      <c r="AR209" s="36">
        <f t="shared" si="72"/>
        <v>0</v>
      </c>
      <c r="AS209" s="27"/>
      <c r="AT209" s="37"/>
      <c r="AU209" s="30"/>
      <c r="AV209" s="36">
        <f t="shared" si="73"/>
        <v>0</v>
      </c>
      <c r="AW209" s="35"/>
      <c r="AX209" s="30"/>
      <c r="AY209" s="32">
        <f t="shared" si="74"/>
        <v>0</v>
      </c>
      <c r="AZ209" s="30" t="s">
        <v>841</v>
      </c>
      <c r="BA209" s="63"/>
      <c r="BB209" s="71" t="e">
        <f>SUMIFS([1]Form!$F$9:$F$22,[1]Form!$K$9:$K$22,K209)</f>
        <v>#VALUE!</v>
      </c>
      <c r="BC209" s="71"/>
      <c r="BD209" s="71"/>
    </row>
    <row r="210" spans="1:56" x14ac:dyDescent="0.25">
      <c r="A210" s="24">
        <f>IF(B210="","",SUBTOTAL(3,$B$4:B210))</f>
        <v>207</v>
      </c>
      <c r="B210" s="25" t="s">
        <v>840</v>
      </c>
      <c r="C210" s="25" t="str">
        <f t="shared" si="85"/>
        <v>Shipment 1 B-10124 Fired Proces Heater</v>
      </c>
      <c r="D210" s="25" t="s">
        <v>839</v>
      </c>
      <c r="E210" s="25" t="s">
        <v>838</v>
      </c>
      <c r="F210" s="25"/>
      <c r="G210" s="65"/>
      <c r="H210" s="25" t="s">
        <v>842</v>
      </c>
      <c r="I210" s="25"/>
      <c r="J210" s="26" t="s">
        <v>843</v>
      </c>
      <c r="K210" s="27" t="s">
        <v>264</v>
      </c>
      <c r="L210" s="28" t="s">
        <v>267</v>
      </c>
      <c r="M210" s="28" t="s">
        <v>704</v>
      </c>
      <c r="N210" s="25">
        <v>1</v>
      </c>
      <c r="O210" s="29">
        <v>60.050000000000004</v>
      </c>
      <c r="P210" s="29">
        <v>60.050000000000004</v>
      </c>
      <c r="Q210" s="25" t="s">
        <v>748</v>
      </c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68"/>
        <v>0</v>
      </c>
      <c r="AF210" s="32">
        <f t="shared" si="69"/>
        <v>60.050000000000004</v>
      </c>
      <c r="AG210" s="30"/>
      <c r="AH210" s="33"/>
      <c r="AI210" s="34">
        <f t="shared" si="70"/>
        <v>0</v>
      </c>
      <c r="AJ210" s="35"/>
      <c r="AK210" s="30"/>
      <c r="AL210" s="36">
        <f t="shared" si="75"/>
        <v>0</v>
      </c>
      <c r="AM210" s="35"/>
      <c r="AN210" s="30"/>
      <c r="AO210" s="36">
        <f t="shared" si="71"/>
        <v>0</v>
      </c>
      <c r="AP210" s="35"/>
      <c r="AQ210" s="30"/>
      <c r="AR210" s="36">
        <f t="shared" si="72"/>
        <v>0</v>
      </c>
      <c r="AS210" s="27"/>
      <c r="AT210" s="37"/>
      <c r="AU210" s="30"/>
      <c r="AV210" s="36">
        <f t="shared" si="73"/>
        <v>0</v>
      </c>
      <c r="AW210" s="35"/>
      <c r="AX210" s="30"/>
      <c r="AY210" s="32">
        <f t="shared" si="74"/>
        <v>0</v>
      </c>
      <c r="AZ210" s="30" t="s">
        <v>841</v>
      </c>
      <c r="BA210" s="63"/>
      <c r="BB210" s="71" t="e">
        <f>SUMIFS([1]Form!$F$9:$F$22,[1]Form!$K$9:$K$22,K210)</f>
        <v>#VALUE!</v>
      </c>
      <c r="BC210" s="71"/>
      <c r="BD210" s="71"/>
    </row>
    <row r="211" spans="1:56" x14ac:dyDescent="0.25">
      <c r="A211" s="24">
        <f>IF(B211="","",SUBTOTAL(3,$B$4:B211))</f>
        <v>208</v>
      </c>
      <c r="B211" s="25" t="s">
        <v>840</v>
      </c>
      <c r="C211" s="25" t="str">
        <f t="shared" si="85"/>
        <v>Shipment 1 B-10124 Fired Proces Heater</v>
      </c>
      <c r="D211" s="25" t="s">
        <v>839</v>
      </c>
      <c r="E211" s="25" t="s">
        <v>838</v>
      </c>
      <c r="F211" s="25"/>
      <c r="G211" s="65"/>
      <c r="H211" s="25" t="s">
        <v>842</v>
      </c>
      <c r="I211" s="25"/>
      <c r="J211" s="26" t="s">
        <v>843</v>
      </c>
      <c r="K211" s="27" t="s">
        <v>264</v>
      </c>
      <c r="L211" s="28" t="s">
        <v>268</v>
      </c>
      <c r="M211" s="28" t="s">
        <v>704</v>
      </c>
      <c r="N211" s="25">
        <v>1</v>
      </c>
      <c r="O211" s="29">
        <v>60.050000000000004</v>
      </c>
      <c r="P211" s="29">
        <v>60.050000000000004</v>
      </c>
      <c r="Q211" s="25" t="s">
        <v>748</v>
      </c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68"/>
        <v>0</v>
      </c>
      <c r="AF211" s="32">
        <f t="shared" si="69"/>
        <v>60.050000000000004</v>
      </c>
      <c r="AG211" s="30"/>
      <c r="AH211" s="33"/>
      <c r="AI211" s="34">
        <f t="shared" si="70"/>
        <v>0</v>
      </c>
      <c r="AJ211" s="35"/>
      <c r="AK211" s="30"/>
      <c r="AL211" s="36">
        <f t="shared" si="75"/>
        <v>0</v>
      </c>
      <c r="AM211" s="35"/>
      <c r="AN211" s="30"/>
      <c r="AO211" s="36">
        <f t="shared" si="71"/>
        <v>0</v>
      </c>
      <c r="AP211" s="35"/>
      <c r="AQ211" s="30"/>
      <c r="AR211" s="36">
        <f t="shared" si="72"/>
        <v>0</v>
      </c>
      <c r="AS211" s="27"/>
      <c r="AT211" s="37"/>
      <c r="AU211" s="30"/>
      <c r="AV211" s="36">
        <f t="shared" si="73"/>
        <v>0</v>
      </c>
      <c r="AW211" s="35"/>
      <c r="AX211" s="30"/>
      <c r="AY211" s="32">
        <f t="shared" si="74"/>
        <v>0</v>
      </c>
      <c r="AZ211" s="30" t="s">
        <v>841</v>
      </c>
      <c r="BA211" s="63"/>
      <c r="BB211" s="71" t="e">
        <f>SUMIFS([1]Form!$F$9:$F$22,[1]Form!$K$9:$K$22,K211)</f>
        <v>#VALUE!</v>
      </c>
      <c r="BC211" s="71"/>
      <c r="BD211" s="71"/>
    </row>
    <row r="212" spans="1:56" x14ac:dyDescent="0.25">
      <c r="A212" s="24">
        <f>IF(B212="","",SUBTOTAL(3,$B$4:B212))</f>
        <v>209</v>
      </c>
      <c r="B212" s="25" t="s">
        <v>840</v>
      </c>
      <c r="C212" s="25" t="str">
        <f t="shared" si="85"/>
        <v>Shipment 1 B-10124 Fired Proces Heater</v>
      </c>
      <c r="D212" s="25" t="s">
        <v>839</v>
      </c>
      <c r="E212" s="25" t="s">
        <v>838</v>
      </c>
      <c r="F212" s="25"/>
      <c r="G212" s="65"/>
      <c r="H212" s="25" t="s">
        <v>842</v>
      </c>
      <c r="I212" s="25"/>
      <c r="J212" s="26" t="s">
        <v>843</v>
      </c>
      <c r="K212" s="27" t="s">
        <v>269</v>
      </c>
      <c r="L212" s="28" t="s">
        <v>270</v>
      </c>
      <c r="M212" s="28" t="s">
        <v>704</v>
      </c>
      <c r="N212" s="25">
        <v>1</v>
      </c>
      <c r="O212" s="29">
        <v>60.050000000000004</v>
      </c>
      <c r="P212" s="29">
        <v>60.050000000000004</v>
      </c>
      <c r="Q212" s="25" t="s">
        <v>748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68"/>
        <v>0</v>
      </c>
      <c r="AF212" s="32">
        <f t="shared" si="69"/>
        <v>60.050000000000004</v>
      </c>
      <c r="AG212" s="30"/>
      <c r="AH212" s="33"/>
      <c r="AI212" s="34">
        <f t="shared" si="70"/>
        <v>0</v>
      </c>
      <c r="AJ212" s="35"/>
      <c r="AK212" s="30"/>
      <c r="AL212" s="36">
        <f t="shared" si="75"/>
        <v>0</v>
      </c>
      <c r="AM212" s="35"/>
      <c r="AN212" s="30"/>
      <c r="AO212" s="36">
        <f t="shared" si="71"/>
        <v>0</v>
      </c>
      <c r="AP212" s="35"/>
      <c r="AQ212" s="30"/>
      <c r="AR212" s="36">
        <f t="shared" si="72"/>
        <v>0</v>
      </c>
      <c r="AS212" s="27"/>
      <c r="AT212" s="37"/>
      <c r="AU212" s="30"/>
      <c r="AV212" s="36">
        <f t="shared" si="73"/>
        <v>0</v>
      </c>
      <c r="AW212" s="35"/>
      <c r="AX212" s="30"/>
      <c r="AY212" s="32">
        <f t="shared" si="74"/>
        <v>0</v>
      </c>
      <c r="AZ212" s="30" t="s">
        <v>841</v>
      </c>
      <c r="BA212" s="63"/>
      <c r="BB212" s="71" t="e">
        <f>SUMIFS([1]Form!$F$9:$F$22,[1]Form!$K$9:$K$22,K212)</f>
        <v>#VALUE!</v>
      </c>
      <c r="BC212" s="71"/>
      <c r="BD212" s="71"/>
    </row>
    <row r="213" spans="1:56" x14ac:dyDescent="0.25">
      <c r="A213" s="24">
        <f>IF(B213="","",SUBTOTAL(3,$B$4:B213))</f>
        <v>210</v>
      </c>
      <c r="B213" s="25" t="s">
        <v>840</v>
      </c>
      <c r="C213" s="25" t="str">
        <f t="shared" si="85"/>
        <v>Shipment 1 B-10124 Fired Proces Heater</v>
      </c>
      <c r="D213" s="25" t="s">
        <v>839</v>
      </c>
      <c r="E213" s="25" t="s">
        <v>838</v>
      </c>
      <c r="F213" s="25"/>
      <c r="G213" s="65"/>
      <c r="H213" s="25" t="s">
        <v>842</v>
      </c>
      <c r="I213" s="25"/>
      <c r="J213" s="26" t="s">
        <v>843</v>
      </c>
      <c r="K213" s="27" t="s">
        <v>269</v>
      </c>
      <c r="L213" s="28" t="s">
        <v>271</v>
      </c>
      <c r="M213" s="28" t="s">
        <v>704</v>
      </c>
      <c r="N213" s="25">
        <v>1</v>
      </c>
      <c r="O213" s="29">
        <v>60.050000000000004</v>
      </c>
      <c r="P213" s="29">
        <v>60.050000000000004</v>
      </c>
      <c r="Q213" s="25" t="s">
        <v>748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68"/>
        <v>0</v>
      </c>
      <c r="AF213" s="32">
        <f t="shared" si="69"/>
        <v>60.050000000000004</v>
      </c>
      <c r="AG213" s="30"/>
      <c r="AH213" s="33"/>
      <c r="AI213" s="34">
        <f t="shared" si="70"/>
        <v>0</v>
      </c>
      <c r="AJ213" s="35"/>
      <c r="AK213" s="30"/>
      <c r="AL213" s="36">
        <f t="shared" si="75"/>
        <v>0</v>
      </c>
      <c r="AM213" s="35"/>
      <c r="AN213" s="30"/>
      <c r="AO213" s="36">
        <f t="shared" si="71"/>
        <v>0</v>
      </c>
      <c r="AP213" s="35"/>
      <c r="AQ213" s="30"/>
      <c r="AR213" s="36">
        <f t="shared" si="72"/>
        <v>0</v>
      </c>
      <c r="AS213" s="27"/>
      <c r="AT213" s="37"/>
      <c r="AU213" s="30"/>
      <c r="AV213" s="36">
        <f t="shared" si="73"/>
        <v>0</v>
      </c>
      <c r="AW213" s="35"/>
      <c r="AX213" s="30"/>
      <c r="AY213" s="32">
        <f t="shared" si="74"/>
        <v>0</v>
      </c>
      <c r="AZ213" s="30" t="s">
        <v>841</v>
      </c>
      <c r="BA213" s="63"/>
      <c r="BB213" s="71" t="e">
        <f>SUMIFS([1]Form!$F$9:$F$22,[1]Form!$K$9:$K$22,K213)</f>
        <v>#VALUE!</v>
      </c>
      <c r="BC213" s="71"/>
      <c r="BD213" s="71"/>
    </row>
    <row r="214" spans="1:56" x14ac:dyDescent="0.25">
      <c r="A214" s="24">
        <f>IF(B214="","",SUBTOTAL(3,$B$4:B214))</f>
        <v>211</v>
      </c>
      <c r="B214" s="25" t="s">
        <v>840</v>
      </c>
      <c r="C214" s="25" t="str">
        <f t="shared" si="85"/>
        <v>Shipment 1 B-10124 Fired Proces Heater</v>
      </c>
      <c r="D214" s="25" t="s">
        <v>839</v>
      </c>
      <c r="E214" s="25" t="s">
        <v>838</v>
      </c>
      <c r="F214" s="25"/>
      <c r="G214" s="65"/>
      <c r="H214" s="25" t="s">
        <v>842</v>
      </c>
      <c r="I214" s="25"/>
      <c r="J214" s="26" t="s">
        <v>843</v>
      </c>
      <c r="K214" s="27" t="s">
        <v>269</v>
      </c>
      <c r="L214" s="28" t="s">
        <v>272</v>
      </c>
      <c r="M214" s="28" t="s">
        <v>704</v>
      </c>
      <c r="N214" s="25">
        <v>1</v>
      </c>
      <c r="O214" s="29">
        <v>60.050000000000004</v>
      </c>
      <c r="P214" s="29">
        <v>60.050000000000004</v>
      </c>
      <c r="Q214" s="25" t="s">
        <v>748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68"/>
        <v>0</v>
      </c>
      <c r="AF214" s="32">
        <f t="shared" si="69"/>
        <v>60.050000000000004</v>
      </c>
      <c r="AG214" s="30"/>
      <c r="AH214" s="33"/>
      <c r="AI214" s="34">
        <f t="shared" si="70"/>
        <v>0</v>
      </c>
      <c r="AJ214" s="35"/>
      <c r="AK214" s="30"/>
      <c r="AL214" s="36">
        <f t="shared" si="75"/>
        <v>0</v>
      </c>
      <c r="AM214" s="35"/>
      <c r="AN214" s="30"/>
      <c r="AO214" s="36">
        <f t="shared" si="71"/>
        <v>0</v>
      </c>
      <c r="AP214" s="35"/>
      <c r="AQ214" s="30"/>
      <c r="AR214" s="36">
        <f t="shared" si="72"/>
        <v>0</v>
      </c>
      <c r="AS214" s="27"/>
      <c r="AT214" s="37"/>
      <c r="AU214" s="30"/>
      <c r="AV214" s="36">
        <f t="shared" si="73"/>
        <v>0</v>
      </c>
      <c r="AW214" s="35"/>
      <c r="AX214" s="30"/>
      <c r="AY214" s="32">
        <f t="shared" si="74"/>
        <v>0</v>
      </c>
      <c r="AZ214" s="30" t="s">
        <v>841</v>
      </c>
      <c r="BA214" s="63"/>
      <c r="BB214" s="71" t="e">
        <f>SUMIFS([1]Form!$F$9:$F$22,[1]Form!$K$9:$K$22,K214)</f>
        <v>#VALUE!</v>
      </c>
      <c r="BC214" s="71"/>
      <c r="BD214" s="71"/>
    </row>
    <row r="215" spans="1:56" x14ac:dyDescent="0.25">
      <c r="A215" s="24">
        <f>IF(B215="","",SUBTOTAL(3,$B$4:B215))</f>
        <v>212</v>
      </c>
      <c r="B215" s="25" t="s">
        <v>840</v>
      </c>
      <c r="C215" s="25" t="str">
        <f t="shared" si="85"/>
        <v>Shipment 1 B-10124 Fired Proces Heater</v>
      </c>
      <c r="D215" s="25" t="s">
        <v>839</v>
      </c>
      <c r="E215" s="25" t="s">
        <v>838</v>
      </c>
      <c r="F215" s="25"/>
      <c r="G215" s="65"/>
      <c r="H215" s="25" t="s">
        <v>842</v>
      </c>
      <c r="I215" s="25"/>
      <c r="J215" s="26" t="s">
        <v>843</v>
      </c>
      <c r="K215" s="27" t="s">
        <v>269</v>
      </c>
      <c r="L215" s="28" t="s">
        <v>273</v>
      </c>
      <c r="M215" s="28" t="s">
        <v>704</v>
      </c>
      <c r="N215" s="25">
        <v>1</v>
      </c>
      <c r="O215" s="29">
        <v>60.050000000000004</v>
      </c>
      <c r="P215" s="29">
        <v>60.050000000000004</v>
      </c>
      <c r="Q215" s="25" t="s">
        <v>748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68"/>
        <v>0</v>
      </c>
      <c r="AF215" s="32">
        <f t="shared" si="69"/>
        <v>60.050000000000004</v>
      </c>
      <c r="AG215" s="30"/>
      <c r="AH215" s="33"/>
      <c r="AI215" s="34">
        <f t="shared" si="70"/>
        <v>0</v>
      </c>
      <c r="AJ215" s="35"/>
      <c r="AK215" s="30"/>
      <c r="AL215" s="36">
        <f t="shared" si="75"/>
        <v>0</v>
      </c>
      <c r="AM215" s="35"/>
      <c r="AN215" s="30"/>
      <c r="AO215" s="36">
        <f t="shared" si="71"/>
        <v>0</v>
      </c>
      <c r="AP215" s="35"/>
      <c r="AQ215" s="30"/>
      <c r="AR215" s="36">
        <f t="shared" si="72"/>
        <v>0</v>
      </c>
      <c r="AS215" s="27"/>
      <c r="AT215" s="37"/>
      <c r="AU215" s="30"/>
      <c r="AV215" s="36">
        <f t="shared" si="73"/>
        <v>0</v>
      </c>
      <c r="AW215" s="35"/>
      <c r="AX215" s="30"/>
      <c r="AY215" s="32">
        <f t="shared" si="74"/>
        <v>0</v>
      </c>
      <c r="AZ215" s="30" t="s">
        <v>841</v>
      </c>
      <c r="BA215" s="63"/>
      <c r="BB215" s="71" t="e">
        <f>SUMIFS([1]Form!$F$9:$F$22,[1]Form!$K$9:$K$22,K215)</f>
        <v>#VALUE!</v>
      </c>
      <c r="BC215" s="71"/>
      <c r="BD215" s="71"/>
    </row>
    <row r="216" spans="1:56" x14ac:dyDescent="0.25">
      <c r="A216" s="24">
        <f>IF(B216="","",SUBTOTAL(3,$B$4:B216))</f>
        <v>213</v>
      </c>
      <c r="B216" s="25" t="s">
        <v>840</v>
      </c>
      <c r="C216" s="25" t="str">
        <f t="shared" si="85"/>
        <v>Shipment 1 B-10124 Fired Proces Heater</v>
      </c>
      <c r="D216" s="25" t="s">
        <v>839</v>
      </c>
      <c r="E216" s="25" t="s">
        <v>838</v>
      </c>
      <c r="F216" s="25"/>
      <c r="G216" s="65"/>
      <c r="H216" s="25" t="s">
        <v>842</v>
      </c>
      <c r="I216" s="25"/>
      <c r="J216" s="26" t="s">
        <v>843</v>
      </c>
      <c r="K216" s="27" t="s">
        <v>274</v>
      </c>
      <c r="L216" s="28" t="s">
        <v>275</v>
      </c>
      <c r="M216" s="28" t="s">
        <v>749</v>
      </c>
      <c r="N216" s="25">
        <v>1</v>
      </c>
      <c r="O216" s="29">
        <v>473.90000000000003</v>
      </c>
      <c r="P216" s="29">
        <v>473.90000000000003</v>
      </c>
      <c r="Q216" s="25" t="s">
        <v>750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68"/>
        <v>426.51000000000005</v>
      </c>
      <c r="AF216" s="32">
        <f t="shared" si="69"/>
        <v>47.389999999999986</v>
      </c>
      <c r="AG216" s="30"/>
      <c r="AH216" s="33"/>
      <c r="AI216" s="34">
        <f t="shared" si="70"/>
        <v>0</v>
      </c>
      <c r="AJ216" s="35">
        <v>46308</v>
      </c>
      <c r="AK216" s="30">
        <v>1</v>
      </c>
      <c r="AL216" s="36">
        <f t="shared" si="75"/>
        <v>473.90000000000003</v>
      </c>
      <c r="AM216" s="35">
        <v>46310</v>
      </c>
      <c r="AN216" s="30">
        <v>1</v>
      </c>
      <c r="AO216" s="36">
        <f t="shared" si="71"/>
        <v>473.90000000000003</v>
      </c>
      <c r="AP216" s="35"/>
      <c r="AQ216" s="30"/>
      <c r="AR216" s="36">
        <f t="shared" si="72"/>
        <v>0</v>
      </c>
      <c r="AS216" s="27"/>
      <c r="AT216" s="37"/>
      <c r="AU216" s="30"/>
      <c r="AV216" s="36">
        <f t="shared" si="73"/>
        <v>0</v>
      </c>
      <c r="AW216" s="35"/>
      <c r="AX216" s="30"/>
      <c r="AY216" s="32">
        <f t="shared" si="74"/>
        <v>0</v>
      </c>
      <c r="AZ216" s="30" t="s">
        <v>841</v>
      </c>
      <c r="BA216" s="63"/>
      <c r="BB216" s="71" t="e">
        <f>SUMIFS([1]Form!$F$9:$F$22,[1]Form!$K$9:$K$22,K216)</f>
        <v>#VALUE!</v>
      </c>
      <c r="BC216" s="71"/>
      <c r="BD216" s="71"/>
    </row>
    <row r="217" spans="1:56" x14ac:dyDescent="0.25">
      <c r="A217" s="24">
        <f>IF(B217="","",SUBTOTAL(3,$B$4:B217))</f>
        <v>214</v>
      </c>
      <c r="B217" s="25" t="s">
        <v>840</v>
      </c>
      <c r="C217" s="25" t="str">
        <f t="shared" si="85"/>
        <v>Shipment 1 B-10124 Fired Proces Heater</v>
      </c>
      <c r="D217" s="25" t="s">
        <v>839</v>
      </c>
      <c r="E217" s="25" t="s">
        <v>838</v>
      </c>
      <c r="F217" s="25"/>
      <c r="G217" s="65"/>
      <c r="H217" s="25" t="s">
        <v>842</v>
      </c>
      <c r="I217" s="25"/>
      <c r="J217" s="26" t="s">
        <v>843</v>
      </c>
      <c r="K217" s="27" t="s">
        <v>276</v>
      </c>
      <c r="L217" s="28" t="s">
        <v>277</v>
      </c>
      <c r="M217" s="28" t="s">
        <v>749</v>
      </c>
      <c r="N217" s="25">
        <v>1</v>
      </c>
      <c r="O217" s="29">
        <v>535.5</v>
      </c>
      <c r="P217" s="29">
        <v>535.5</v>
      </c>
      <c r="Q217" s="25" t="s">
        <v>750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68"/>
        <v>481.95000000000005</v>
      </c>
      <c r="AF217" s="32">
        <f t="shared" si="69"/>
        <v>53.549999999999955</v>
      </c>
      <c r="AG217" s="30"/>
      <c r="AH217" s="33"/>
      <c r="AI217" s="34">
        <f t="shared" si="70"/>
        <v>0</v>
      </c>
      <c r="AJ217" s="35">
        <v>46308</v>
      </c>
      <c r="AK217" s="30">
        <v>1</v>
      </c>
      <c r="AL217" s="36">
        <f t="shared" si="75"/>
        <v>535.5</v>
      </c>
      <c r="AM217" s="35">
        <v>46310</v>
      </c>
      <c r="AN217" s="30">
        <v>1</v>
      </c>
      <c r="AO217" s="36">
        <f t="shared" ref="AO217:AO222" si="86">IFERROR(AN217*$P217/$N217,0)</f>
        <v>535.5</v>
      </c>
      <c r="AP217" s="35"/>
      <c r="AQ217" s="30"/>
      <c r="AR217" s="36">
        <f t="shared" si="72"/>
        <v>0</v>
      </c>
      <c r="AS217" s="27"/>
      <c r="AT217" s="37"/>
      <c r="AU217" s="30"/>
      <c r="AV217" s="36">
        <f t="shared" si="73"/>
        <v>0</v>
      </c>
      <c r="AW217" s="35"/>
      <c r="AX217" s="30"/>
      <c r="AY217" s="32">
        <f t="shared" si="74"/>
        <v>0</v>
      </c>
      <c r="AZ217" s="30" t="s">
        <v>841</v>
      </c>
      <c r="BA217" s="63"/>
      <c r="BB217" s="71" t="e">
        <f>SUMIFS([1]Form!$F$9:$F$22,[1]Form!$K$9:$K$22,K217)</f>
        <v>#VALUE!</v>
      </c>
      <c r="BC217" s="71"/>
      <c r="BD217" s="71"/>
    </row>
    <row r="218" spans="1:56" x14ac:dyDescent="0.25">
      <c r="A218" s="24">
        <f>IF(B218="","",SUBTOTAL(3,$B$4:B218))</f>
        <v>215</v>
      </c>
      <c r="B218" s="25" t="s">
        <v>840</v>
      </c>
      <c r="C218" s="25" t="str">
        <f t="shared" si="85"/>
        <v>Shipment 1 B-10124 Fired Proces Heater</v>
      </c>
      <c r="D218" s="25" t="s">
        <v>839</v>
      </c>
      <c r="E218" s="25" t="s">
        <v>838</v>
      </c>
      <c r="F218" s="25"/>
      <c r="G218" s="65"/>
      <c r="H218" s="25" t="s">
        <v>842</v>
      </c>
      <c r="I218" s="25"/>
      <c r="J218" s="26" t="s">
        <v>843</v>
      </c>
      <c r="K218" s="27" t="s">
        <v>276</v>
      </c>
      <c r="L218" s="28" t="s">
        <v>278</v>
      </c>
      <c r="M218" s="28" t="s">
        <v>749</v>
      </c>
      <c r="N218" s="25">
        <v>1</v>
      </c>
      <c r="O218" s="29">
        <v>535.5</v>
      </c>
      <c r="P218" s="29">
        <v>535.5</v>
      </c>
      <c r="Q218" s="25" t="s">
        <v>750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68"/>
        <v>481.95000000000005</v>
      </c>
      <c r="AF218" s="32">
        <f t="shared" si="69"/>
        <v>53.549999999999955</v>
      </c>
      <c r="AG218" s="30"/>
      <c r="AH218" s="33"/>
      <c r="AI218" s="34">
        <f t="shared" si="70"/>
        <v>0</v>
      </c>
      <c r="AJ218" s="35">
        <v>46308</v>
      </c>
      <c r="AK218" s="30">
        <v>1</v>
      </c>
      <c r="AL218" s="36">
        <f t="shared" si="75"/>
        <v>535.5</v>
      </c>
      <c r="AM218" s="35">
        <v>46310</v>
      </c>
      <c r="AN218" s="30">
        <v>1</v>
      </c>
      <c r="AO218" s="36">
        <f t="shared" si="86"/>
        <v>535.5</v>
      </c>
      <c r="AP218" s="35"/>
      <c r="AQ218" s="30"/>
      <c r="AR218" s="36">
        <f t="shared" si="72"/>
        <v>0</v>
      </c>
      <c r="AS218" s="27"/>
      <c r="AT218" s="37"/>
      <c r="AU218" s="30"/>
      <c r="AV218" s="36">
        <f t="shared" si="73"/>
        <v>0</v>
      </c>
      <c r="AW218" s="35"/>
      <c r="AX218" s="30"/>
      <c r="AY218" s="32">
        <f t="shared" si="74"/>
        <v>0</v>
      </c>
      <c r="AZ218" s="30" t="s">
        <v>841</v>
      </c>
      <c r="BA218" s="63"/>
      <c r="BB218" s="71" t="e">
        <f>SUMIFS([1]Form!$F$9:$F$22,[1]Form!$K$9:$K$22,K218)</f>
        <v>#VALUE!</v>
      </c>
      <c r="BC218" s="71"/>
      <c r="BD218" s="71"/>
    </row>
    <row r="219" spans="1:56" x14ac:dyDescent="0.25">
      <c r="A219" s="24">
        <f>IF(B219="","",SUBTOTAL(3,$B$4:B219))</f>
        <v>216</v>
      </c>
      <c r="B219" s="25" t="s">
        <v>840</v>
      </c>
      <c r="C219" s="25" t="str">
        <f t="shared" si="85"/>
        <v>Shipment 1 B-10124 Fired Proces Heater</v>
      </c>
      <c r="D219" s="25" t="s">
        <v>839</v>
      </c>
      <c r="E219" s="25" t="s">
        <v>838</v>
      </c>
      <c r="F219" s="25"/>
      <c r="G219" s="65"/>
      <c r="H219" s="25" t="s">
        <v>842</v>
      </c>
      <c r="I219" s="25"/>
      <c r="J219" s="26" t="s">
        <v>843</v>
      </c>
      <c r="K219" s="27" t="s">
        <v>276</v>
      </c>
      <c r="L219" s="28" t="s">
        <v>279</v>
      </c>
      <c r="M219" s="28" t="s">
        <v>749</v>
      </c>
      <c r="N219" s="25">
        <v>1</v>
      </c>
      <c r="O219" s="29">
        <v>535.5</v>
      </c>
      <c r="P219" s="29">
        <v>535.5</v>
      </c>
      <c r="Q219" s="25" t="s">
        <v>750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ref="AE219:AE247" si="87">+AL219*0.5+AO219*0.4+AV219*0.1</f>
        <v>481.95000000000005</v>
      </c>
      <c r="AF219" s="32">
        <f t="shared" ref="AF219:AF247" si="88">+P219-AE219</f>
        <v>53.549999999999955</v>
      </c>
      <c r="AG219" s="30"/>
      <c r="AH219" s="33"/>
      <c r="AI219" s="34">
        <f t="shared" ref="AI219:AI247" si="89">+AH219*P219</f>
        <v>0</v>
      </c>
      <c r="AJ219" s="35">
        <v>46308</v>
      </c>
      <c r="AK219" s="30">
        <v>1</v>
      </c>
      <c r="AL219" s="36">
        <f t="shared" ref="AL219:AL247" si="90">IFERROR(AK219*$P219/$N219,0)</f>
        <v>535.5</v>
      </c>
      <c r="AM219" s="35">
        <v>46310</v>
      </c>
      <c r="AN219" s="30">
        <v>1</v>
      </c>
      <c r="AO219" s="36">
        <f t="shared" si="86"/>
        <v>535.5</v>
      </c>
      <c r="AP219" s="35"/>
      <c r="AQ219" s="30"/>
      <c r="AR219" s="36">
        <f t="shared" ref="AR219:AR247" si="91">IFERROR(AQ219*$P219/$N219,0)</f>
        <v>0</v>
      </c>
      <c r="AS219" s="27"/>
      <c r="AT219" s="37"/>
      <c r="AU219" s="30"/>
      <c r="AV219" s="36">
        <f t="shared" ref="AV219:AV247" si="92">IFERROR(AU219*$P219/$N219,0)</f>
        <v>0</v>
      </c>
      <c r="AW219" s="35"/>
      <c r="AX219" s="30"/>
      <c r="AY219" s="32">
        <f t="shared" ref="AY219:AY247" si="93">IFERROR(AX219*$P219/$N219,0)</f>
        <v>0</v>
      </c>
      <c r="AZ219" s="30" t="s">
        <v>841</v>
      </c>
      <c r="BA219" s="63"/>
      <c r="BB219" s="71" t="e">
        <f>SUMIFS([1]Form!$F$9:$F$22,[1]Form!$K$9:$K$22,K219)</f>
        <v>#VALUE!</v>
      </c>
      <c r="BC219" s="71"/>
      <c r="BD219" s="71"/>
    </row>
    <row r="220" spans="1:56" x14ac:dyDescent="0.25">
      <c r="A220" s="24">
        <f>IF(B220="","",SUBTOTAL(3,$B$4:B220))</f>
        <v>217</v>
      </c>
      <c r="B220" s="25" t="s">
        <v>840</v>
      </c>
      <c r="C220" s="25" t="str">
        <f t="shared" si="85"/>
        <v>Shipment 1 B-10124 Fired Proces Heater</v>
      </c>
      <c r="D220" s="25" t="s">
        <v>839</v>
      </c>
      <c r="E220" s="25" t="s">
        <v>838</v>
      </c>
      <c r="F220" s="25"/>
      <c r="G220" s="65"/>
      <c r="H220" s="25" t="s">
        <v>842</v>
      </c>
      <c r="I220" s="25"/>
      <c r="J220" s="26" t="s">
        <v>843</v>
      </c>
      <c r="K220" s="27" t="s">
        <v>280</v>
      </c>
      <c r="L220" s="28" t="s">
        <v>281</v>
      </c>
      <c r="M220" s="28" t="s">
        <v>749</v>
      </c>
      <c r="N220" s="25">
        <v>1</v>
      </c>
      <c r="O220" s="29">
        <v>535.39999999999986</v>
      </c>
      <c r="P220" s="29">
        <v>1606.4</v>
      </c>
      <c r="Q220" s="25" t="s">
        <v>750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87"/>
        <v>1445.7600000000002</v>
      </c>
      <c r="AF220" s="32">
        <f t="shared" si="88"/>
        <v>160.63999999999987</v>
      </c>
      <c r="AG220" s="30"/>
      <c r="AH220" s="33"/>
      <c r="AI220" s="34">
        <f t="shared" si="89"/>
        <v>0</v>
      </c>
      <c r="AJ220" s="35">
        <v>46308</v>
      </c>
      <c r="AK220" s="30">
        <v>1</v>
      </c>
      <c r="AL220" s="36">
        <f t="shared" si="90"/>
        <v>1606.4</v>
      </c>
      <c r="AM220" s="35">
        <v>46310</v>
      </c>
      <c r="AN220" s="30">
        <v>1</v>
      </c>
      <c r="AO220" s="36">
        <f t="shared" si="86"/>
        <v>1606.4</v>
      </c>
      <c r="AP220" s="35"/>
      <c r="AQ220" s="30"/>
      <c r="AR220" s="36">
        <f t="shared" si="91"/>
        <v>0</v>
      </c>
      <c r="AS220" s="27"/>
      <c r="AT220" s="37"/>
      <c r="AU220" s="30"/>
      <c r="AV220" s="36">
        <f t="shared" si="92"/>
        <v>0</v>
      </c>
      <c r="AW220" s="35"/>
      <c r="AX220" s="30"/>
      <c r="AY220" s="32">
        <f t="shared" si="93"/>
        <v>0</v>
      </c>
      <c r="AZ220" s="30" t="s">
        <v>841</v>
      </c>
      <c r="BA220" s="63"/>
      <c r="BB220" s="71" t="e">
        <f>SUMIFS([1]Form!$F$9:$F$22,[1]Form!$K$9:$K$22,K220)</f>
        <v>#VALUE!</v>
      </c>
      <c r="BC220" s="71"/>
      <c r="BD220" s="71"/>
    </row>
    <row r="221" spans="1:56" x14ac:dyDescent="0.25">
      <c r="A221" s="24">
        <f>IF(B221="","",SUBTOTAL(3,$B$4:B221))</f>
        <v>218</v>
      </c>
      <c r="B221" s="25" t="s">
        <v>840</v>
      </c>
      <c r="C221" s="25" t="str">
        <f t="shared" si="85"/>
        <v>Shipment 1 B-10124 Fired Proces Heater</v>
      </c>
      <c r="D221" s="25" t="s">
        <v>839</v>
      </c>
      <c r="E221" s="25" t="s">
        <v>838</v>
      </c>
      <c r="F221" s="25"/>
      <c r="G221" s="65"/>
      <c r="H221" s="25" t="s">
        <v>842</v>
      </c>
      <c r="I221" s="25"/>
      <c r="J221" s="26" t="s">
        <v>843</v>
      </c>
      <c r="K221" s="27" t="s">
        <v>282</v>
      </c>
      <c r="L221" s="28" t="s">
        <v>283</v>
      </c>
      <c r="M221" s="28" t="s">
        <v>749</v>
      </c>
      <c r="N221" s="25">
        <v>1</v>
      </c>
      <c r="O221" s="29">
        <v>535.49999999999989</v>
      </c>
      <c r="P221" s="29">
        <v>535.49999999999989</v>
      </c>
      <c r="Q221" s="25" t="s">
        <v>750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87"/>
        <v>481.94999999999993</v>
      </c>
      <c r="AF221" s="32">
        <f t="shared" si="88"/>
        <v>53.549999999999955</v>
      </c>
      <c r="AG221" s="30"/>
      <c r="AH221" s="33"/>
      <c r="AI221" s="34">
        <f t="shared" si="89"/>
        <v>0</v>
      </c>
      <c r="AJ221" s="35">
        <v>46308</v>
      </c>
      <c r="AK221" s="30">
        <v>1</v>
      </c>
      <c r="AL221" s="36">
        <f t="shared" si="90"/>
        <v>535.49999999999989</v>
      </c>
      <c r="AM221" s="35">
        <v>46310</v>
      </c>
      <c r="AN221" s="30">
        <v>1</v>
      </c>
      <c r="AO221" s="36">
        <f t="shared" si="86"/>
        <v>535.49999999999989</v>
      </c>
      <c r="AP221" s="35"/>
      <c r="AQ221" s="30"/>
      <c r="AR221" s="36">
        <f t="shared" si="91"/>
        <v>0</v>
      </c>
      <c r="AS221" s="27"/>
      <c r="AT221" s="37"/>
      <c r="AU221" s="30"/>
      <c r="AV221" s="36">
        <f t="shared" si="92"/>
        <v>0</v>
      </c>
      <c r="AW221" s="35"/>
      <c r="AX221" s="30"/>
      <c r="AY221" s="32">
        <f t="shared" si="93"/>
        <v>0</v>
      </c>
      <c r="AZ221" s="30" t="s">
        <v>841</v>
      </c>
      <c r="BA221" s="63"/>
      <c r="BB221" s="71" t="e">
        <f>SUMIFS([1]Form!$F$9:$F$22,[1]Form!$K$9:$K$22,K221)</f>
        <v>#VALUE!</v>
      </c>
      <c r="BC221" s="71"/>
      <c r="BD221" s="71"/>
    </row>
    <row r="222" spans="1:56" x14ac:dyDescent="0.25">
      <c r="A222" s="24">
        <f>IF(B222="","",SUBTOTAL(3,$B$4:B222))</f>
        <v>219</v>
      </c>
      <c r="B222" s="25" t="s">
        <v>840</v>
      </c>
      <c r="C222" s="25" t="str">
        <f t="shared" si="85"/>
        <v>Shipment 1 B-10124 Fired Proces Heater</v>
      </c>
      <c r="D222" s="25" t="s">
        <v>839</v>
      </c>
      <c r="E222" s="25" t="s">
        <v>838</v>
      </c>
      <c r="F222" s="25"/>
      <c r="G222" s="65"/>
      <c r="H222" s="25" t="s">
        <v>842</v>
      </c>
      <c r="I222" s="25"/>
      <c r="J222" s="26" t="s">
        <v>843</v>
      </c>
      <c r="K222" s="27" t="s">
        <v>284</v>
      </c>
      <c r="L222" s="28" t="s">
        <v>285</v>
      </c>
      <c r="M222" s="28" t="s">
        <v>749</v>
      </c>
      <c r="N222" s="25">
        <v>1</v>
      </c>
      <c r="O222" s="29">
        <v>535.49999999999989</v>
      </c>
      <c r="P222" s="29">
        <v>535.49999999999989</v>
      </c>
      <c r="Q222" s="25" t="s">
        <v>750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87"/>
        <v>481.94999999999993</v>
      </c>
      <c r="AF222" s="32">
        <f t="shared" si="88"/>
        <v>53.549999999999955</v>
      </c>
      <c r="AG222" s="30"/>
      <c r="AH222" s="33"/>
      <c r="AI222" s="34">
        <f t="shared" si="89"/>
        <v>0</v>
      </c>
      <c r="AJ222" s="35">
        <v>46308</v>
      </c>
      <c r="AK222" s="30">
        <v>1</v>
      </c>
      <c r="AL222" s="36">
        <f t="shared" si="90"/>
        <v>535.49999999999989</v>
      </c>
      <c r="AM222" s="35">
        <v>46310</v>
      </c>
      <c r="AN222" s="30">
        <v>1</v>
      </c>
      <c r="AO222" s="36">
        <f t="shared" si="86"/>
        <v>535.49999999999989</v>
      </c>
      <c r="AP222" s="35"/>
      <c r="AQ222" s="30"/>
      <c r="AR222" s="36">
        <f t="shared" si="91"/>
        <v>0</v>
      </c>
      <c r="AS222" s="27"/>
      <c r="AT222" s="37"/>
      <c r="AU222" s="30"/>
      <c r="AV222" s="36">
        <f t="shared" si="92"/>
        <v>0</v>
      </c>
      <c r="AW222" s="35"/>
      <c r="AX222" s="30"/>
      <c r="AY222" s="32">
        <f t="shared" si="93"/>
        <v>0</v>
      </c>
      <c r="AZ222" s="30" t="s">
        <v>841</v>
      </c>
      <c r="BA222" s="63"/>
      <c r="BB222" s="71" t="e">
        <f>SUMIFS([1]Form!$F$9:$F$22,[1]Form!$K$9:$K$22,K222)</f>
        <v>#VALUE!</v>
      </c>
      <c r="BC222" s="71"/>
      <c r="BD222" s="71"/>
    </row>
    <row r="223" spans="1:56" x14ac:dyDescent="0.25">
      <c r="A223" s="24">
        <f>IF(B223="","",SUBTOTAL(3,$B$4:B223))</f>
        <v>220</v>
      </c>
      <c r="B223" s="25" t="s">
        <v>840</v>
      </c>
      <c r="C223" s="25" t="str">
        <f t="shared" si="85"/>
        <v>Shipment 1 B-10124 Fired Proces Heater</v>
      </c>
      <c r="D223" s="25" t="s">
        <v>839</v>
      </c>
      <c r="E223" s="25" t="s">
        <v>838</v>
      </c>
      <c r="F223" s="25"/>
      <c r="G223" s="65"/>
      <c r="H223" s="25" t="s">
        <v>842</v>
      </c>
      <c r="I223" s="25"/>
      <c r="J223" s="26" t="s">
        <v>843</v>
      </c>
      <c r="K223" s="27" t="s">
        <v>286</v>
      </c>
      <c r="L223" s="28" t="s">
        <v>938</v>
      </c>
      <c r="M223" s="28" t="s">
        <v>749</v>
      </c>
      <c r="N223" s="25">
        <v>1</v>
      </c>
      <c r="O223" s="29">
        <v>427.5</v>
      </c>
      <c r="P223" s="29">
        <v>427.5</v>
      </c>
      <c r="Q223" s="25" t="s">
        <v>750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87"/>
        <v>384.75</v>
      </c>
      <c r="AF223" s="32">
        <f t="shared" si="88"/>
        <v>42.75</v>
      </c>
      <c r="AG223" s="30"/>
      <c r="AH223" s="33"/>
      <c r="AI223" s="34">
        <f t="shared" si="89"/>
        <v>0</v>
      </c>
      <c r="AJ223" s="35">
        <v>46308</v>
      </c>
      <c r="AK223" s="30">
        <v>1</v>
      </c>
      <c r="AL223" s="36">
        <f t="shared" si="90"/>
        <v>427.5</v>
      </c>
      <c r="AM223" s="35">
        <v>46312</v>
      </c>
      <c r="AN223" s="30">
        <v>1</v>
      </c>
      <c r="AO223" s="36">
        <f t="shared" ref="AO223:AO247" si="94">IFERROR(AN223*$P223/$N223,0)</f>
        <v>427.5</v>
      </c>
      <c r="AP223" s="35"/>
      <c r="AQ223" s="30"/>
      <c r="AR223" s="36">
        <f t="shared" si="91"/>
        <v>0</v>
      </c>
      <c r="AS223" s="27"/>
      <c r="AT223" s="37"/>
      <c r="AU223" s="30"/>
      <c r="AV223" s="36">
        <f t="shared" si="92"/>
        <v>0</v>
      </c>
      <c r="AW223" s="35"/>
      <c r="AX223" s="30"/>
      <c r="AY223" s="32">
        <f t="shared" si="93"/>
        <v>0</v>
      </c>
      <c r="AZ223" s="30" t="s">
        <v>841</v>
      </c>
      <c r="BA223" s="63"/>
      <c r="BB223" s="71" t="e">
        <f>SUMIFS([1]Form!$F$9:$F$22,[1]Form!$K$9:$K$22,K223)</f>
        <v>#VALUE!</v>
      </c>
      <c r="BC223" s="71"/>
      <c r="BD223" s="71"/>
    </row>
    <row r="224" spans="1:56" x14ac:dyDescent="0.25">
      <c r="A224" s="24">
        <f>IF(B224="","",SUBTOTAL(3,$B$4:B224))</f>
        <v>221</v>
      </c>
      <c r="B224" s="25" t="s">
        <v>840</v>
      </c>
      <c r="C224" s="25" t="str">
        <f t="shared" si="85"/>
        <v>Shipment 1 B-10124 Fired Proces Heater</v>
      </c>
      <c r="D224" s="25" t="s">
        <v>839</v>
      </c>
      <c r="E224" s="25" t="s">
        <v>838</v>
      </c>
      <c r="F224" s="25"/>
      <c r="G224" s="65"/>
      <c r="H224" s="25" t="s">
        <v>842</v>
      </c>
      <c r="I224" s="25"/>
      <c r="J224" s="26" t="s">
        <v>843</v>
      </c>
      <c r="K224" s="27" t="s">
        <v>939</v>
      </c>
      <c r="L224" s="28" t="s">
        <v>940</v>
      </c>
      <c r="M224" s="28" t="s">
        <v>749</v>
      </c>
      <c r="N224" s="25">
        <v>1</v>
      </c>
      <c r="O224" s="29">
        <v>72.599999999999994</v>
      </c>
      <c r="P224" s="29">
        <v>72.599999999999994</v>
      </c>
      <c r="Q224" s="25" t="s">
        <v>941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87"/>
        <v>65.34</v>
      </c>
      <c r="AF224" s="32">
        <f t="shared" si="88"/>
        <v>7.2599999999999909</v>
      </c>
      <c r="AG224" s="30"/>
      <c r="AH224" s="33"/>
      <c r="AI224" s="34">
        <f t="shared" si="89"/>
        <v>0</v>
      </c>
      <c r="AJ224" s="35">
        <v>46308</v>
      </c>
      <c r="AK224" s="30">
        <v>1</v>
      </c>
      <c r="AL224" s="36">
        <f t="shared" si="90"/>
        <v>72.599999999999994</v>
      </c>
      <c r="AM224" s="35">
        <v>46312</v>
      </c>
      <c r="AN224" s="30">
        <v>1</v>
      </c>
      <c r="AO224" s="36">
        <f t="shared" ref="AO224:AO234" si="95">IFERROR(AN224*$P224/$N224,0)</f>
        <v>72.599999999999994</v>
      </c>
      <c r="AP224" s="35"/>
      <c r="AQ224" s="30"/>
      <c r="AR224" s="36">
        <f t="shared" si="91"/>
        <v>0</v>
      </c>
      <c r="AS224" s="27"/>
      <c r="AT224" s="37"/>
      <c r="AU224" s="30"/>
      <c r="AV224" s="36">
        <f t="shared" si="92"/>
        <v>0</v>
      </c>
      <c r="AW224" s="35"/>
      <c r="AX224" s="30"/>
      <c r="AY224" s="32">
        <f t="shared" si="93"/>
        <v>0</v>
      </c>
      <c r="AZ224" s="30" t="s">
        <v>841</v>
      </c>
      <c r="BA224" s="63"/>
      <c r="BB224" s="71" t="e">
        <f>SUMIFS([1]Form!$F$9:$F$22,[1]Form!$K$9:$K$22,K224)</f>
        <v>#VALUE!</v>
      </c>
      <c r="BC224" s="71"/>
      <c r="BD224" s="71"/>
    </row>
    <row r="225" spans="1:56" x14ac:dyDescent="0.25">
      <c r="A225" s="24">
        <f>IF(B225="","",SUBTOTAL(3,$B$4:B225))</f>
        <v>222</v>
      </c>
      <c r="B225" s="25" t="s">
        <v>840</v>
      </c>
      <c r="C225" s="25" t="str">
        <f t="shared" si="85"/>
        <v>Shipment 1 B-10124 Fired Proces Heater</v>
      </c>
      <c r="D225" s="25" t="s">
        <v>839</v>
      </c>
      <c r="E225" s="25" t="s">
        <v>838</v>
      </c>
      <c r="F225" s="25"/>
      <c r="G225" s="65"/>
      <c r="H225" s="25" t="s">
        <v>842</v>
      </c>
      <c r="I225" s="25"/>
      <c r="J225" s="26" t="s">
        <v>843</v>
      </c>
      <c r="K225" s="27" t="s">
        <v>939</v>
      </c>
      <c r="L225" s="28" t="s">
        <v>942</v>
      </c>
      <c r="M225" s="28" t="s">
        <v>749</v>
      </c>
      <c r="N225" s="25">
        <v>1</v>
      </c>
      <c r="O225" s="29">
        <v>72.599999999999994</v>
      </c>
      <c r="P225" s="29">
        <v>72.599999999999994</v>
      </c>
      <c r="Q225" s="25" t="s">
        <v>941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87"/>
        <v>65.34</v>
      </c>
      <c r="AF225" s="32">
        <f t="shared" si="88"/>
        <v>7.2599999999999909</v>
      </c>
      <c r="AG225" s="30"/>
      <c r="AH225" s="33"/>
      <c r="AI225" s="34">
        <f t="shared" si="89"/>
        <v>0</v>
      </c>
      <c r="AJ225" s="35">
        <v>46308</v>
      </c>
      <c r="AK225" s="30">
        <v>1</v>
      </c>
      <c r="AL225" s="36">
        <f t="shared" si="90"/>
        <v>72.599999999999994</v>
      </c>
      <c r="AM225" s="35">
        <v>46312</v>
      </c>
      <c r="AN225" s="30">
        <v>1</v>
      </c>
      <c r="AO225" s="36">
        <f t="shared" si="95"/>
        <v>72.599999999999994</v>
      </c>
      <c r="AP225" s="35"/>
      <c r="AQ225" s="30"/>
      <c r="AR225" s="36">
        <f t="shared" si="91"/>
        <v>0</v>
      </c>
      <c r="AS225" s="27"/>
      <c r="AT225" s="37"/>
      <c r="AU225" s="30"/>
      <c r="AV225" s="36">
        <f t="shared" si="92"/>
        <v>0</v>
      </c>
      <c r="AW225" s="35"/>
      <c r="AX225" s="30"/>
      <c r="AY225" s="32">
        <f t="shared" si="93"/>
        <v>0</v>
      </c>
      <c r="AZ225" s="30" t="s">
        <v>841</v>
      </c>
      <c r="BA225" s="63"/>
      <c r="BB225" s="71" t="e">
        <f>SUMIFS([1]Form!$F$9:$F$22,[1]Form!$K$9:$K$22,K225)</f>
        <v>#VALUE!</v>
      </c>
      <c r="BC225" s="71"/>
      <c r="BD225" s="71"/>
    </row>
    <row r="226" spans="1:56" x14ac:dyDescent="0.25">
      <c r="A226" s="24">
        <f>IF(B226="","",SUBTOTAL(3,$B$4:B226))</f>
        <v>223</v>
      </c>
      <c r="B226" s="25" t="s">
        <v>840</v>
      </c>
      <c r="C226" s="25" t="str">
        <f t="shared" si="85"/>
        <v>Shipment 1 B-10124 Fired Proces Heater</v>
      </c>
      <c r="D226" s="25" t="s">
        <v>839</v>
      </c>
      <c r="E226" s="25" t="s">
        <v>838</v>
      </c>
      <c r="F226" s="25"/>
      <c r="G226" s="65"/>
      <c r="H226" s="25" t="s">
        <v>842</v>
      </c>
      <c r="I226" s="25"/>
      <c r="J226" s="26" t="s">
        <v>843</v>
      </c>
      <c r="K226" s="27" t="s">
        <v>943</v>
      </c>
      <c r="L226" s="28" t="s">
        <v>944</v>
      </c>
      <c r="M226" s="28" t="s">
        <v>749</v>
      </c>
      <c r="N226" s="25">
        <v>1</v>
      </c>
      <c r="O226" s="29">
        <v>426.9</v>
      </c>
      <c r="P226" s="29">
        <v>426.9</v>
      </c>
      <c r="Q226" s="25" t="s">
        <v>750</v>
      </c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87"/>
        <v>384.21</v>
      </c>
      <c r="AF226" s="32">
        <f t="shared" si="88"/>
        <v>42.69</v>
      </c>
      <c r="AG226" s="30"/>
      <c r="AH226" s="33"/>
      <c r="AI226" s="34">
        <f t="shared" si="89"/>
        <v>0</v>
      </c>
      <c r="AJ226" s="35">
        <v>46308</v>
      </c>
      <c r="AK226" s="30">
        <v>1</v>
      </c>
      <c r="AL226" s="36">
        <f t="shared" si="90"/>
        <v>426.9</v>
      </c>
      <c r="AM226" s="35">
        <v>46312</v>
      </c>
      <c r="AN226" s="30">
        <v>1</v>
      </c>
      <c r="AO226" s="36">
        <f t="shared" si="95"/>
        <v>426.9</v>
      </c>
      <c r="AP226" s="35"/>
      <c r="AQ226" s="30"/>
      <c r="AR226" s="36">
        <f t="shared" si="91"/>
        <v>0</v>
      </c>
      <c r="AS226" s="27"/>
      <c r="AT226" s="37"/>
      <c r="AU226" s="30"/>
      <c r="AV226" s="36">
        <f t="shared" si="92"/>
        <v>0</v>
      </c>
      <c r="AW226" s="35"/>
      <c r="AX226" s="30"/>
      <c r="AY226" s="32">
        <f t="shared" si="93"/>
        <v>0</v>
      </c>
      <c r="AZ226" s="30" t="s">
        <v>841</v>
      </c>
      <c r="BA226" s="63"/>
      <c r="BB226" s="71" t="e">
        <f>SUMIFS([1]Form!$F$9:$F$22,[1]Form!$K$9:$K$22,K226)</f>
        <v>#VALUE!</v>
      </c>
      <c r="BC226" s="71"/>
      <c r="BD226" s="71"/>
    </row>
    <row r="227" spans="1:56" x14ac:dyDescent="0.25">
      <c r="A227" s="24">
        <f>IF(B227="","",SUBTOTAL(3,$B$4:B227))</f>
        <v>224</v>
      </c>
      <c r="B227" s="25" t="s">
        <v>840</v>
      </c>
      <c r="C227" s="25" t="str">
        <f t="shared" si="85"/>
        <v>Shipment 1 B-10124 Fired Proces Heater</v>
      </c>
      <c r="D227" s="25" t="s">
        <v>839</v>
      </c>
      <c r="E227" s="25" t="s">
        <v>838</v>
      </c>
      <c r="F227" s="25"/>
      <c r="G227" s="65"/>
      <c r="H227" s="25" t="s">
        <v>842</v>
      </c>
      <c r="I227" s="25"/>
      <c r="J227" s="26" t="s">
        <v>843</v>
      </c>
      <c r="K227" s="27" t="s">
        <v>945</v>
      </c>
      <c r="L227" s="28" t="s">
        <v>946</v>
      </c>
      <c r="M227" s="28" t="s">
        <v>749</v>
      </c>
      <c r="N227" s="25">
        <v>1</v>
      </c>
      <c r="O227" s="29">
        <v>427.8</v>
      </c>
      <c r="P227" s="29">
        <v>427.8</v>
      </c>
      <c r="Q227" s="25" t="s">
        <v>750</v>
      </c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87"/>
        <v>385.02</v>
      </c>
      <c r="AF227" s="32">
        <f t="shared" si="88"/>
        <v>42.78000000000003</v>
      </c>
      <c r="AG227" s="30"/>
      <c r="AH227" s="33"/>
      <c r="AI227" s="34">
        <f t="shared" si="89"/>
        <v>0</v>
      </c>
      <c r="AJ227" s="35">
        <v>46308</v>
      </c>
      <c r="AK227" s="30">
        <v>1</v>
      </c>
      <c r="AL227" s="36">
        <f t="shared" si="90"/>
        <v>427.8</v>
      </c>
      <c r="AM227" s="35">
        <v>46312</v>
      </c>
      <c r="AN227" s="30">
        <v>1</v>
      </c>
      <c r="AO227" s="36">
        <f t="shared" si="95"/>
        <v>427.8</v>
      </c>
      <c r="AP227" s="35"/>
      <c r="AQ227" s="30"/>
      <c r="AR227" s="36">
        <f t="shared" si="91"/>
        <v>0</v>
      </c>
      <c r="AS227" s="27"/>
      <c r="AT227" s="37"/>
      <c r="AU227" s="30"/>
      <c r="AV227" s="36">
        <f t="shared" si="92"/>
        <v>0</v>
      </c>
      <c r="AW227" s="35"/>
      <c r="AX227" s="30"/>
      <c r="AY227" s="32">
        <f t="shared" si="93"/>
        <v>0</v>
      </c>
      <c r="AZ227" s="30" t="s">
        <v>841</v>
      </c>
      <c r="BA227" s="63"/>
      <c r="BB227" s="71" t="e">
        <f>SUMIFS([1]Form!$F$9:$F$22,[1]Form!$K$9:$K$22,K227)</f>
        <v>#VALUE!</v>
      </c>
      <c r="BC227" s="71"/>
      <c r="BD227" s="71"/>
    </row>
    <row r="228" spans="1:56" x14ac:dyDescent="0.25">
      <c r="A228" s="24">
        <f>IF(B228="","",SUBTOTAL(3,$B$4:B228))</f>
        <v>225</v>
      </c>
      <c r="B228" s="25" t="s">
        <v>840</v>
      </c>
      <c r="C228" s="25" t="str">
        <f t="shared" si="85"/>
        <v>Shipment 1 B-10124 Fired Proces Heater</v>
      </c>
      <c r="D228" s="25" t="s">
        <v>839</v>
      </c>
      <c r="E228" s="25" t="s">
        <v>838</v>
      </c>
      <c r="F228" s="25"/>
      <c r="G228" s="65"/>
      <c r="H228" s="25" t="s">
        <v>842</v>
      </c>
      <c r="I228" s="25"/>
      <c r="J228" s="26" t="s">
        <v>843</v>
      </c>
      <c r="K228" s="27" t="s">
        <v>947</v>
      </c>
      <c r="L228" s="28" t="s">
        <v>948</v>
      </c>
      <c r="M228" s="28" t="s">
        <v>749</v>
      </c>
      <c r="N228" s="25">
        <v>1</v>
      </c>
      <c r="O228" s="29">
        <v>72.599999999999994</v>
      </c>
      <c r="P228" s="29">
        <v>72.599999999999994</v>
      </c>
      <c r="Q228" s="25" t="s">
        <v>941</v>
      </c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87"/>
        <v>65.34</v>
      </c>
      <c r="AF228" s="32">
        <f t="shared" si="88"/>
        <v>7.2599999999999909</v>
      </c>
      <c r="AG228" s="30"/>
      <c r="AH228" s="33"/>
      <c r="AI228" s="34">
        <f t="shared" si="89"/>
        <v>0</v>
      </c>
      <c r="AJ228" s="35">
        <v>46308</v>
      </c>
      <c r="AK228" s="30">
        <v>1</v>
      </c>
      <c r="AL228" s="36">
        <f t="shared" si="90"/>
        <v>72.599999999999994</v>
      </c>
      <c r="AM228" s="35">
        <v>46312</v>
      </c>
      <c r="AN228" s="30">
        <v>1</v>
      </c>
      <c r="AO228" s="36">
        <f t="shared" si="95"/>
        <v>72.599999999999994</v>
      </c>
      <c r="AP228" s="35"/>
      <c r="AQ228" s="30"/>
      <c r="AR228" s="36">
        <f t="shared" si="91"/>
        <v>0</v>
      </c>
      <c r="AS228" s="27"/>
      <c r="AT228" s="37"/>
      <c r="AU228" s="30"/>
      <c r="AV228" s="36">
        <f t="shared" si="92"/>
        <v>0</v>
      </c>
      <c r="AW228" s="35"/>
      <c r="AX228" s="30"/>
      <c r="AY228" s="32">
        <f t="shared" si="93"/>
        <v>0</v>
      </c>
      <c r="AZ228" s="30" t="s">
        <v>841</v>
      </c>
      <c r="BA228" s="63"/>
      <c r="BB228" s="71" t="e">
        <f>SUMIFS([1]Form!$F$9:$F$22,[1]Form!$K$9:$K$22,K228)</f>
        <v>#VALUE!</v>
      </c>
      <c r="BC228" s="71"/>
      <c r="BD228" s="71"/>
    </row>
    <row r="229" spans="1:56" x14ac:dyDescent="0.25">
      <c r="A229" s="24">
        <f>IF(B229="","",SUBTOTAL(3,$B$4:B229))</f>
        <v>226</v>
      </c>
      <c r="B229" s="25" t="s">
        <v>840</v>
      </c>
      <c r="C229" s="25" t="str">
        <f t="shared" si="85"/>
        <v>Shipment 1 B-10124 Fired Proces Heater</v>
      </c>
      <c r="D229" s="25" t="s">
        <v>839</v>
      </c>
      <c r="E229" s="25" t="s">
        <v>838</v>
      </c>
      <c r="F229" s="25"/>
      <c r="G229" s="65"/>
      <c r="H229" s="25" t="s">
        <v>842</v>
      </c>
      <c r="I229" s="25"/>
      <c r="J229" s="26" t="s">
        <v>843</v>
      </c>
      <c r="K229" s="27" t="s">
        <v>287</v>
      </c>
      <c r="L229" s="28" t="s">
        <v>288</v>
      </c>
      <c r="M229" s="28" t="s">
        <v>749</v>
      </c>
      <c r="N229" s="25">
        <v>1</v>
      </c>
      <c r="O229" s="29">
        <v>426.9</v>
      </c>
      <c r="P229" s="29">
        <v>426.9</v>
      </c>
      <c r="Q229" s="25" t="s">
        <v>750</v>
      </c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87"/>
        <v>384.21</v>
      </c>
      <c r="AF229" s="32">
        <f t="shared" si="88"/>
        <v>42.69</v>
      </c>
      <c r="AG229" s="30"/>
      <c r="AH229" s="33"/>
      <c r="AI229" s="34">
        <f t="shared" si="89"/>
        <v>0</v>
      </c>
      <c r="AJ229" s="35">
        <v>46309</v>
      </c>
      <c r="AK229" s="30">
        <v>1</v>
      </c>
      <c r="AL229" s="36">
        <f t="shared" si="90"/>
        <v>426.9</v>
      </c>
      <c r="AM229" s="35">
        <v>46312</v>
      </c>
      <c r="AN229" s="30">
        <v>1</v>
      </c>
      <c r="AO229" s="36">
        <f t="shared" si="95"/>
        <v>426.9</v>
      </c>
      <c r="AP229" s="35"/>
      <c r="AQ229" s="30"/>
      <c r="AR229" s="36">
        <f t="shared" si="91"/>
        <v>0</v>
      </c>
      <c r="AS229" s="27"/>
      <c r="AT229" s="37"/>
      <c r="AU229" s="30"/>
      <c r="AV229" s="36">
        <f t="shared" si="92"/>
        <v>0</v>
      </c>
      <c r="AW229" s="35"/>
      <c r="AX229" s="30"/>
      <c r="AY229" s="32">
        <f t="shared" si="93"/>
        <v>0</v>
      </c>
      <c r="AZ229" s="30" t="s">
        <v>841</v>
      </c>
      <c r="BA229" s="63"/>
      <c r="BB229" s="71" t="e">
        <f>SUMIFS([1]Form!$F$9:$F$22,[1]Form!$K$9:$K$22,K229)</f>
        <v>#VALUE!</v>
      </c>
      <c r="BC229" s="71"/>
      <c r="BD229" s="71"/>
    </row>
    <row r="230" spans="1:56" x14ac:dyDescent="0.25">
      <c r="A230" s="24">
        <f>IF(B230="","",SUBTOTAL(3,$B$4:B230))</f>
        <v>227</v>
      </c>
      <c r="B230" s="25" t="s">
        <v>840</v>
      </c>
      <c r="C230" s="25" t="str">
        <f t="shared" si="85"/>
        <v>Shipment 1 B-10124 Fired Proces Heater</v>
      </c>
      <c r="D230" s="25" t="s">
        <v>839</v>
      </c>
      <c r="E230" s="25" t="s">
        <v>838</v>
      </c>
      <c r="F230" s="25"/>
      <c r="G230" s="65"/>
      <c r="H230" s="25" t="s">
        <v>842</v>
      </c>
      <c r="I230" s="25"/>
      <c r="J230" s="26" t="s">
        <v>843</v>
      </c>
      <c r="K230" s="27" t="s">
        <v>949</v>
      </c>
      <c r="L230" s="28" t="s">
        <v>950</v>
      </c>
      <c r="M230" s="28" t="s">
        <v>749</v>
      </c>
      <c r="N230" s="25">
        <v>1</v>
      </c>
      <c r="O230" s="29">
        <v>72.599999999999994</v>
      </c>
      <c r="P230" s="29">
        <v>72.599999999999994</v>
      </c>
      <c r="Q230" s="25" t="s">
        <v>941</v>
      </c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87"/>
        <v>65.34</v>
      </c>
      <c r="AF230" s="32">
        <f t="shared" si="88"/>
        <v>7.2599999999999909</v>
      </c>
      <c r="AG230" s="30"/>
      <c r="AH230" s="33"/>
      <c r="AI230" s="34">
        <f t="shared" si="89"/>
        <v>0</v>
      </c>
      <c r="AJ230" s="35">
        <v>46309</v>
      </c>
      <c r="AK230" s="30">
        <v>1</v>
      </c>
      <c r="AL230" s="36">
        <f t="shared" ref="AL230:AL234" si="96">IFERROR(AK230*$P230/$N230,0)</f>
        <v>72.599999999999994</v>
      </c>
      <c r="AM230" s="35">
        <v>46312</v>
      </c>
      <c r="AN230" s="30">
        <v>1</v>
      </c>
      <c r="AO230" s="36">
        <f t="shared" si="95"/>
        <v>72.599999999999994</v>
      </c>
      <c r="AP230" s="35"/>
      <c r="AQ230" s="30"/>
      <c r="AR230" s="36">
        <f t="shared" si="91"/>
        <v>0</v>
      </c>
      <c r="AS230" s="27"/>
      <c r="AT230" s="37"/>
      <c r="AU230" s="30"/>
      <c r="AV230" s="36">
        <f t="shared" si="92"/>
        <v>0</v>
      </c>
      <c r="AW230" s="35"/>
      <c r="AX230" s="30"/>
      <c r="AY230" s="32">
        <f t="shared" si="93"/>
        <v>0</v>
      </c>
      <c r="AZ230" s="30" t="s">
        <v>841</v>
      </c>
      <c r="BA230" s="63"/>
      <c r="BB230" s="71" t="e">
        <f>SUMIFS([1]Form!$F$9:$F$22,[1]Form!$K$9:$K$22,K230)</f>
        <v>#VALUE!</v>
      </c>
      <c r="BC230" s="71"/>
      <c r="BD230" s="71"/>
    </row>
    <row r="231" spans="1:56" x14ac:dyDescent="0.25">
      <c r="A231" s="24">
        <f>IF(B231="","",SUBTOTAL(3,$B$4:B231))</f>
        <v>228</v>
      </c>
      <c r="B231" s="25" t="s">
        <v>840</v>
      </c>
      <c r="C231" s="25" t="str">
        <f t="shared" si="85"/>
        <v>Shipment 1 B-10124 Fired Proces Heater</v>
      </c>
      <c r="D231" s="25" t="s">
        <v>839</v>
      </c>
      <c r="E231" s="25" t="s">
        <v>838</v>
      </c>
      <c r="F231" s="25"/>
      <c r="G231" s="65"/>
      <c r="H231" s="25" t="s">
        <v>842</v>
      </c>
      <c r="I231" s="25"/>
      <c r="J231" s="26" t="s">
        <v>843</v>
      </c>
      <c r="K231" s="27" t="s">
        <v>289</v>
      </c>
      <c r="L231" s="28" t="s">
        <v>290</v>
      </c>
      <c r="M231" s="28" t="s">
        <v>749</v>
      </c>
      <c r="N231" s="25">
        <v>1</v>
      </c>
      <c r="O231" s="29">
        <v>427.8</v>
      </c>
      <c r="P231" s="29">
        <v>427.8</v>
      </c>
      <c r="Q231" s="25" t="s">
        <v>750</v>
      </c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87"/>
        <v>385.02</v>
      </c>
      <c r="AF231" s="32">
        <f t="shared" si="88"/>
        <v>42.78000000000003</v>
      </c>
      <c r="AG231" s="30"/>
      <c r="AH231" s="33"/>
      <c r="AI231" s="34">
        <f t="shared" si="89"/>
        <v>0</v>
      </c>
      <c r="AJ231" s="35">
        <v>46309</v>
      </c>
      <c r="AK231" s="30">
        <v>1</v>
      </c>
      <c r="AL231" s="36">
        <f t="shared" si="96"/>
        <v>427.8</v>
      </c>
      <c r="AM231" s="35">
        <v>46312</v>
      </c>
      <c r="AN231" s="30">
        <v>1</v>
      </c>
      <c r="AO231" s="36">
        <f t="shared" si="95"/>
        <v>427.8</v>
      </c>
      <c r="AP231" s="35"/>
      <c r="AQ231" s="30"/>
      <c r="AR231" s="36">
        <f t="shared" si="91"/>
        <v>0</v>
      </c>
      <c r="AS231" s="27"/>
      <c r="AT231" s="37"/>
      <c r="AU231" s="30"/>
      <c r="AV231" s="36">
        <f t="shared" si="92"/>
        <v>0</v>
      </c>
      <c r="AW231" s="35"/>
      <c r="AX231" s="30"/>
      <c r="AY231" s="32">
        <f t="shared" si="93"/>
        <v>0</v>
      </c>
      <c r="AZ231" s="30" t="s">
        <v>841</v>
      </c>
      <c r="BA231" s="63"/>
      <c r="BB231" s="71" t="e">
        <f>SUMIFS([1]Form!$F$9:$F$22,[1]Form!$K$9:$K$22,K231)</f>
        <v>#VALUE!</v>
      </c>
      <c r="BC231" s="71"/>
      <c r="BD231" s="71"/>
    </row>
    <row r="232" spans="1:56" x14ac:dyDescent="0.25">
      <c r="A232" s="24">
        <f>IF(B232="","",SUBTOTAL(3,$B$4:B232))</f>
        <v>229</v>
      </c>
      <c r="B232" s="25" t="s">
        <v>840</v>
      </c>
      <c r="C232" s="25" t="str">
        <f t="shared" si="85"/>
        <v>Shipment 1 B-10124 Fired Proces Heater</v>
      </c>
      <c r="D232" s="25" t="s">
        <v>839</v>
      </c>
      <c r="E232" s="25" t="s">
        <v>838</v>
      </c>
      <c r="F232" s="25"/>
      <c r="G232" s="65"/>
      <c r="H232" s="25" t="s">
        <v>842</v>
      </c>
      <c r="I232" s="25"/>
      <c r="J232" s="26" t="s">
        <v>843</v>
      </c>
      <c r="K232" s="27" t="s">
        <v>951</v>
      </c>
      <c r="L232" s="28" t="s">
        <v>952</v>
      </c>
      <c r="M232" s="28" t="s">
        <v>749</v>
      </c>
      <c r="N232" s="25">
        <v>1</v>
      </c>
      <c r="O232" s="29">
        <v>72.599999999999994</v>
      </c>
      <c r="P232" s="29">
        <v>72.599999999999994</v>
      </c>
      <c r="Q232" s="25" t="s">
        <v>941</v>
      </c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87"/>
        <v>65.34</v>
      </c>
      <c r="AF232" s="32">
        <f t="shared" si="88"/>
        <v>7.2599999999999909</v>
      </c>
      <c r="AG232" s="30"/>
      <c r="AH232" s="33"/>
      <c r="AI232" s="34">
        <f t="shared" si="89"/>
        <v>0</v>
      </c>
      <c r="AJ232" s="35">
        <v>46309</v>
      </c>
      <c r="AK232" s="30">
        <v>1</v>
      </c>
      <c r="AL232" s="36">
        <f t="shared" si="96"/>
        <v>72.599999999999994</v>
      </c>
      <c r="AM232" s="35">
        <v>46312</v>
      </c>
      <c r="AN232" s="30">
        <v>1</v>
      </c>
      <c r="AO232" s="36">
        <f t="shared" si="95"/>
        <v>72.599999999999994</v>
      </c>
      <c r="AP232" s="35"/>
      <c r="AQ232" s="30"/>
      <c r="AR232" s="36">
        <f t="shared" si="91"/>
        <v>0</v>
      </c>
      <c r="AS232" s="27"/>
      <c r="AT232" s="37"/>
      <c r="AU232" s="30"/>
      <c r="AV232" s="36">
        <f t="shared" si="92"/>
        <v>0</v>
      </c>
      <c r="AW232" s="35"/>
      <c r="AX232" s="30"/>
      <c r="AY232" s="32">
        <f t="shared" si="93"/>
        <v>0</v>
      </c>
      <c r="AZ232" s="30" t="s">
        <v>841</v>
      </c>
      <c r="BA232" s="63"/>
      <c r="BB232" s="71" t="e">
        <f>SUMIFS([1]Form!$F$9:$F$22,[1]Form!$K$9:$K$22,K232)</f>
        <v>#VALUE!</v>
      </c>
      <c r="BC232" s="71"/>
      <c r="BD232" s="71"/>
    </row>
    <row r="233" spans="1:56" x14ac:dyDescent="0.25">
      <c r="A233" s="24">
        <f>IF(B233="","",SUBTOTAL(3,$B$4:B233))</f>
        <v>230</v>
      </c>
      <c r="B233" s="25" t="s">
        <v>840</v>
      </c>
      <c r="C233" s="25" t="str">
        <f t="shared" si="85"/>
        <v>Shipment 1 B-10124 Fired Proces Heater</v>
      </c>
      <c r="D233" s="25" t="s">
        <v>839</v>
      </c>
      <c r="E233" s="25" t="s">
        <v>838</v>
      </c>
      <c r="F233" s="25"/>
      <c r="G233" s="65"/>
      <c r="H233" s="25" t="s">
        <v>842</v>
      </c>
      <c r="I233" s="25"/>
      <c r="J233" s="26" t="s">
        <v>843</v>
      </c>
      <c r="K233" s="27" t="s">
        <v>291</v>
      </c>
      <c r="L233" s="28" t="s">
        <v>292</v>
      </c>
      <c r="M233" s="28" t="s">
        <v>749</v>
      </c>
      <c r="N233" s="25">
        <v>1</v>
      </c>
      <c r="O233" s="29">
        <v>426.9</v>
      </c>
      <c r="P233" s="29">
        <v>426.9</v>
      </c>
      <c r="Q233" s="25" t="s">
        <v>750</v>
      </c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87"/>
        <v>384.21</v>
      </c>
      <c r="AF233" s="32">
        <f t="shared" si="88"/>
        <v>42.69</v>
      </c>
      <c r="AG233" s="30"/>
      <c r="AH233" s="33"/>
      <c r="AI233" s="34">
        <f t="shared" si="89"/>
        <v>0</v>
      </c>
      <c r="AJ233" s="35">
        <v>46309</v>
      </c>
      <c r="AK233" s="30">
        <v>1</v>
      </c>
      <c r="AL233" s="36">
        <f t="shared" si="96"/>
        <v>426.9</v>
      </c>
      <c r="AM233" s="35">
        <v>46312</v>
      </c>
      <c r="AN233" s="30">
        <v>1</v>
      </c>
      <c r="AO233" s="36">
        <f t="shared" si="95"/>
        <v>426.9</v>
      </c>
      <c r="AP233" s="35"/>
      <c r="AQ233" s="30"/>
      <c r="AR233" s="36">
        <f t="shared" si="91"/>
        <v>0</v>
      </c>
      <c r="AS233" s="27"/>
      <c r="AT233" s="37"/>
      <c r="AU233" s="30"/>
      <c r="AV233" s="36">
        <f t="shared" si="92"/>
        <v>0</v>
      </c>
      <c r="AW233" s="35"/>
      <c r="AX233" s="30"/>
      <c r="AY233" s="32">
        <f t="shared" si="93"/>
        <v>0</v>
      </c>
      <c r="AZ233" s="30" t="s">
        <v>841</v>
      </c>
      <c r="BA233" s="63"/>
      <c r="BB233" s="71" t="e">
        <f>SUMIFS([1]Form!$F$9:$F$22,[1]Form!$K$9:$K$22,K233)</f>
        <v>#VALUE!</v>
      </c>
      <c r="BC233" s="71"/>
      <c r="BD233" s="71"/>
    </row>
    <row r="234" spans="1:56" x14ac:dyDescent="0.25">
      <c r="A234" s="24">
        <f>IF(B234="","",SUBTOTAL(3,$B$4:B234))</f>
        <v>231</v>
      </c>
      <c r="B234" s="25" t="s">
        <v>840</v>
      </c>
      <c r="C234" s="25" t="str">
        <f t="shared" si="85"/>
        <v>Shipment 1 B-10124 Fired Proces Heater</v>
      </c>
      <c r="D234" s="25" t="s">
        <v>839</v>
      </c>
      <c r="E234" s="25" t="s">
        <v>838</v>
      </c>
      <c r="F234" s="25"/>
      <c r="G234" s="65"/>
      <c r="H234" s="25" t="s">
        <v>842</v>
      </c>
      <c r="I234" s="25"/>
      <c r="J234" s="26" t="s">
        <v>843</v>
      </c>
      <c r="K234" s="27" t="s">
        <v>953</v>
      </c>
      <c r="L234" s="28" t="s">
        <v>954</v>
      </c>
      <c r="M234" s="28" t="s">
        <v>749</v>
      </c>
      <c r="N234" s="25">
        <v>1</v>
      </c>
      <c r="O234" s="29">
        <v>72.599999999999994</v>
      </c>
      <c r="P234" s="29">
        <v>72.599999999999994</v>
      </c>
      <c r="Q234" s="25" t="s">
        <v>941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87"/>
        <v>65.34</v>
      </c>
      <c r="AF234" s="32">
        <f t="shared" si="88"/>
        <v>7.2599999999999909</v>
      </c>
      <c r="AG234" s="30"/>
      <c r="AH234" s="33"/>
      <c r="AI234" s="34">
        <f t="shared" si="89"/>
        <v>0</v>
      </c>
      <c r="AJ234" s="35">
        <v>46309</v>
      </c>
      <c r="AK234" s="30">
        <v>1</v>
      </c>
      <c r="AL234" s="36">
        <f t="shared" si="96"/>
        <v>72.599999999999994</v>
      </c>
      <c r="AM234" s="35">
        <v>46312</v>
      </c>
      <c r="AN234" s="30">
        <v>1</v>
      </c>
      <c r="AO234" s="36">
        <f t="shared" si="95"/>
        <v>72.599999999999994</v>
      </c>
      <c r="AP234" s="35"/>
      <c r="AQ234" s="30"/>
      <c r="AR234" s="36">
        <f t="shared" si="91"/>
        <v>0</v>
      </c>
      <c r="AS234" s="27"/>
      <c r="AT234" s="37"/>
      <c r="AU234" s="30"/>
      <c r="AV234" s="36">
        <f t="shared" si="92"/>
        <v>0</v>
      </c>
      <c r="AW234" s="35"/>
      <c r="AX234" s="30"/>
      <c r="AY234" s="32">
        <f t="shared" si="93"/>
        <v>0</v>
      </c>
      <c r="AZ234" s="30" t="s">
        <v>841</v>
      </c>
      <c r="BA234" s="63"/>
      <c r="BB234" s="71" t="e">
        <f>SUMIFS([1]Form!$F$9:$F$22,[1]Form!$K$9:$K$22,K234)</f>
        <v>#VALUE!</v>
      </c>
      <c r="BC234" s="71"/>
      <c r="BD234" s="71"/>
    </row>
    <row r="235" spans="1:56" x14ac:dyDescent="0.25">
      <c r="A235" s="24">
        <f>IF(B235="","",SUBTOTAL(3,$B$4:B235))</f>
        <v>232</v>
      </c>
      <c r="B235" s="25" t="s">
        <v>840</v>
      </c>
      <c r="C235" s="25" t="str">
        <f t="shared" si="85"/>
        <v>Shipment 1 B-10124 Fired Proces Heater</v>
      </c>
      <c r="D235" s="25" t="s">
        <v>839</v>
      </c>
      <c r="E235" s="25" t="s">
        <v>838</v>
      </c>
      <c r="F235" s="25"/>
      <c r="G235" s="65"/>
      <c r="H235" s="25" t="s">
        <v>842</v>
      </c>
      <c r="I235" s="25"/>
      <c r="J235" s="26" t="s">
        <v>843</v>
      </c>
      <c r="K235" s="27" t="s">
        <v>293</v>
      </c>
      <c r="L235" s="28" t="s">
        <v>294</v>
      </c>
      <c r="M235" s="28" t="s">
        <v>749</v>
      </c>
      <c r="N235" s="25">
        <v>1</v>
      </c>
      <c r="O235" s="29">
        <v>535.49999999999989</v>
      </c>
      <c r="P235" s="29">
        <v>535.49999999999989</v>
      </c>
      <c r="Q235" s="25" t="s">
        <v>751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87"/>
        <v>267.74999999999994</v>
      </c>
      <c r="AF235" s="32">
        <f t="shared" si="88"/>
        <v>267.74999999999994</v>
      </c>
      <c r="AG235" s="30"/>
      <c r="AH235" s="33"/>
      <c r="AI235" s="34">
        <f t="shared" si="89"/>
        <v>0</v>
      </c>
      <c r="AJ235" s="35">
        <v>46310</v>
      </c>
      <c r="AK235" s="30">
        <v>1</v>
      </c>
      <c r="AL235" s="36">
        <f t="shared" si="90"/>
        <v>535.49999999999989</v>
      </c>
      <c r="AM235" s="35"/>
      <c r="AN235" s="30"/>
      <c r="AO235" s="36">
        <f t="shared" si="94"/>
        <v>0</v>
      </c>
      <c r="AP235" s="35"/>
      <c r="AQ235" s="30"/>
      <c r="AR235" s="36">
        <f t="shared" si="91"/>
        <v>0</v>
      </c>
      <c r="AS235" s="27"/>
      <c r="AT235" s="37"/>
      <c r="AU235" s="30"/>
      <c r="AV235" s="36">
        <f t="shared" si="92"/>
        <v>0</v>
      </c>
      <c r="AW235" s="35"/>
      <c r="AX235" s="30"/>
      <c r="AY235" s="32">
        <f t="shared" si="93"/>
        <v>0</v>
      </c>
      <c r="AZ235" s="30" t="s">
        <v>841</v>
      </c>
      <c r="BA235" s="63"/>
      <c r="BB235" s="71" t="e">
        <f>SUMIFS([1]Form!$F$9:$F$22,[1]Form!$K$9:$K$22,K235)</f>
        <v>#VALUE!</v>
      </c>
      <c r="BC235" s="71"/>
      <c r="BD235" s="71"/>
    </row>
    <row r="236" spans="1:56" x14ac:dyDescent="0.25">
      <c r="A236" s="24">
        <f>IF(B236="","",SUBTOTAL(3,$B$4:B236))</f>
        <v>233</v>
      </c>
      <c r="B236" s="25" t="s">
        <v>840</v>
      </c>
      <c r="C236" s="25" t="str">
        <f t="shared" si="85"/>
        <v>Shipment 1 B-10124 Fired Proces Heater</v>
      </c>
      <c r="D236" s="25" t="s">
        <v>839</v>
      </c>
      <c r="E236" s="25" t="s">
        <v>838</v>
      </c>
      <c r="F236" s="25"/>
      <c r="G236" s="65"/>
      <c r="H236" s="25" t="s">
        <v>842</v>
      </c>
      <c r="I236" s="25"/>
      <c r="J236" s="26" t="s">
        <v>843</v>
      </c>
      <c r="K236" s="27" t="s">
        <v>295</v>
      </c>
      <c r="L236" s="28" t="s">
        <v>296</v>
      </c>
      <c r="M236" s="28" t="s">
        <v>749</v>
      </c>
      <c r="N236" s="25">
        <v>1</v>
      </c>
      <c r="O236" s="29">
        <v>535.49999999999989</v>
      </c>
      <c r="P236" s="29">
        <v>535.49999999999989</v>
      </c>
      <c r="Q236" s="25" t="s">
        <v>751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87"/>
        <v>267.74999999999994</v>
      </c>
      <c r="AF236" s="32">
        <f t="shared" si="88"/>
        <v>267.74999999999994</v>
      </c>
      <c r="AG236" s="30"/>
      <c r="AH236" s="33"/>
      <c r="AI236" s="34">
        <f t="shared" si="89"/>
        <v>0</v>
      </c>
      <c r="AJ236" s="35">
        <v>46310</v>
      </c>
      <c r="AK236" s="30">
        <v>1</v>
      </c>
      <c r="AL236" s="36">
        <f t="shared" ref="AL236:AL244" si="97">IFERROR(AK236*$P236/$N236,0)</f>
        <v>535.49999999999989</v>
      </c>
      <c r="AM236" s="35"/>
      <c r="AN236" s="30"/>
      <c r="AO236" s="36">
        <f t="shared" si="94"/>
        <v>0</v>
      </c>
      <c r="AP236" s="35"/>
      <c r="AQ236" s="30"/>
      <c r="AR236" s="36">
        <f t="shared" si="91"/>
        <v>0</v>
      </c>
      <c r="AS236" s="27"/>
      <c r="AT236" s="37"/>
      <c r="AU236" s="30"/>
      <c r="AV236" s="36">
        <f t="shared" si="92"/>
        <v>0</v>
      </c>
      <c r="AW236" s="35"/>
      <c r="AX236" s="30"/>
      <c r="AY236" s="32">
        <f t="shared" si="93"/>
        <v>0</v>
      </c>
      <c r="AZ236" s="30" t="s">
        <v>841</v>
      </c>
      <c r="BA236" s="63"/>
      <c r="BB236" s="71" t="e">
        <f>SUMIFS([1]Form!$F$9:$F$22,[1]Form!$K$9:$K$22,K236)</f>
        <v>#VALUE!</v>
      </c>
      <c r="BC236" s="71"/>
      <c r="BD236" s="71"/>
    </row>
    <row r="237" spans="1:56" x14ac:dyDescent="0.25">
      <c r="A237" s="24">
        <f>IF(B237="","",SUBTOTAL(3,$B$4:B237))</f>
        <v>234</v>
      </c>
      <c r="B237" s="25" t="s">
        <v>840</v>
      </c>
      <c r="C237" s="25" t="str">
        <f t="shared" si="85"/>
        <v>Shipment 1 B-10124 Fired Proces Heater</v>
      </c>
      <c r="D237" s="25" t="s">
        <v>839</v>
      </c>
      <c r="E237" s="25" t="s">
        <v>838</v>
      </c>
      <c r="F237" s="25"/>
      <c r="G237" s="65"/>
      <c r="H237" s="25" t="s">
        <v>842</v>
      </c>
      <c r="I237" s="25"/>
      <c r="J237" s="26" t="s">
        <v>843</v>
      </c>
      <c r="K237" s="27" t="s">
        <v>297</v>
      </c>
      <c r="L237" s="28" t="s">
        <v>298</v>
      </c>
      <c r="M237" s="28" t="s">
        <v>749</v>
      </c>
      <c r="N237" s="25">
        <v>1</v>
      </c>
      <c r="O237" s="29">
        <v>535.49999999999989</v>
      </c>
      <c r="P237" s="29">
        <v>535.49999999999989</v>
      </c>
      <c r="Q237" s="25" t="s">
        <v>751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87"/>
        <v>267.74999999999994</v>
      </c>
      <c r="AF237" s="32">
        <f t="shared" si="88"/>
        <v>267.74999999999994</v>
      </c>
      <c r="AG237" s="30"/>
      <c r="AH237" s="33"/>
      <c r="AI237" s="34">
        <f t="shared" si="89"/>
        <v>0</v>
      </c>
      <c r="AJ237" s="35">
        <v>46310</v>
      </c>
      <c r="AK237" s="30">
        <v>1</v>
      </c>
      <c r="AL237" s="36">
        <f t="shared" si="97"/>
        <v>535.49999999999989</v>
      </c>
      <c r="AM237" s="35"/>
      <c r="AN237" s="30"/>
      <c r="AO237" s="36">
        <f t="shared" si="94"/>
        <v>0</v>
      </c>
      <c r="AP237" s="35"/>
      <c r="AQ237" s="30"/>
      <c r="AR237" s="36">
        <f t="shared" si="91"/>
        <v>0</v>
      </c>
      <c r="AS237" s="27"/>
      <c r="AT237" s="37"/>
      <c r="AU237" s="30"/>
      <c r="AV237" s="36">
        <f t="shared" si="92"/>
        <v>0</v>
      </c>
      <c r="AW237" s="35"/>
      <c r="AX237" s="30"/>
      <c r="AY237" s="32">
        <f t="shared" si="93"/>
        <v>0</v>
      </c>
      <c r="AZ237" s="30" t="s">
        <v>841</v>
      </c>
      <c r="BA237" s="63"/>
      <c r="BB237" s="71" t="e">
        <f>SUMIFS([1]Form!$F$9:$F$22,[1]Form!$K$9:$K$22,K237)</f>
        <v>#VALUE!</v>
      </c>
      <c r="BC237" s="71"/>
      <c r="BD237" s="71"/>
    </row>
    <row r="238" spans="1:56" x14ac:dyDescent="0.25">
      <c r="A238" s="24">
        <f>IF(B238="","",SUBTOTAL(3,$B$4:B238))</f>
        <v>235</v>
      </c>
      <c r="B238" s="25" t="s">
        <v>840</v>
      </c>
      <c r="C238" s="25" t="str">
        <f t="shared" si="85"/>
        <v>Shipment 1 B-10124 Fired Proces Heater</v>
      </c>
      <c r="D238" s="25" t="s">
        <v>839</v>
      </c>
      <c r="E238" s="25" t="s">
        <v>838</v>
      </c>
      <c r="F238" s="25"/>
      <c r="G238" s="65"/>
      <c r="H238" s="25" t="s">
        <v>842</v>
      </c>
      <c r="I238" s="25"/>
      <c r="J238" s="26" t="s">
        <v>843</v>
      </c>
      <c r="K238" s="27" t="s">
        <v>299</v>
      </c>
      <c r="L238" s="28" t="s">
        <v>300</v>
      </c>
      <c r="M238" s="28" t="s">
        <v>749</v>
      </c>
      <c r="N238" s="25">
        <v>1</v>
      </c>
      <c r="O238" s="29">
        <v>535.5</v>
      </c>
      <c r="P238" s="29">
        <v>535.5</v>
      </c>
      <c r="Q238" s="25" t="s">
        <v>751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87"/>
        <v>267.75</v>
      </c>
      <c r="AF238" s="32">
        <f t="shared" si="88"/>
        <v>267.75</v>
      </c>
      <c r="AG238" s="30"/>
      <c r="AH238" s="33"/>
      <c r="AI238" s="34">
        <f t="shared" si="89"/>
        <v>0</v>
      </c>
      <c r="AJ238" s="35">
        <v>46310</v>
      </c>
      <c r="AK238" s="30">
        <v>1</v>
      </c>
      <c r="AL238" s="36">
        <f t="shared" si="97"/>
        <v>535.5</v>
      </c>
      <c r="AM238" s="35"/>
      <c r="AN238" s="30"/>
      <c r="AO238" s="36">
        <f t="shared" si="94"/>
        <v>0</v>
      </c>
      <c r="AP238" s="35"/>
      <c r="AQ238" s="30"/>
      <c r="AR238" s="36">
        <f t="shared" si="91"/>
        <v>0</v>
      </c>
      <c r="AS238" s="27"/>
      <c r="AT238" s="37"/>
      <c r="AU238" s="30"/>
      <c r="AV238" s="36">
        <f t="shared" si="92"/>
        <v>0</v>
      </c>
      <c r="AW238" s="35"/>
      <c r="AX238" s="30"/>
      <c r="AY238" s="32">
        <f t="shared" si="93"/>
        <v>0</v>
      </c>
      <c r="AZ238" s="30" t="s">
        <v>841</v>
      </c>
      <c r="BA238" s="63"/>
      <c r="BB238" s="71" t="e">
        <f>SUMIFS([1]Form!$F$9:$F$22,[1]Form!$K$9:$K$22,K238)</f>
        <v>#VALUE!</v>
      </c>
      <c r="BC238" s="71"/>
      <c r="BD238" s="71"/>
    </row>
    <row r="239" spans="1:56" x14ac:dyDescent="0.25">
      <c r="A239" s="24">
        <f>IF(B239="","",SUBTOTAL(3,$B$4:B239))</f>
        <v>236</v>
      </c>
      <c r="B239" s="25" t="s">
        <v>840</v>
      </c>
      <c r="C239" s="25" t="str">
        <f t="shared" si="85"/>
        <v>Shipment 1 B-10124 Fired Proces Heater</v>
      </c>
      <c r="D239" s="25" t="s">
        <v>839</v>
      </c>
      <c r="E239" s="25" t="s">
        <v>838</v>
      </c>
      <c r="F239" s="25"/>
      <c r="G239" s="65"/>
      <c r="H239" s="25" t="s">
        <v>842</v>
      </c>
      <c r="I239" s="25"/>
      <c r="J239" s="26" t="s">
        <v>843</v>
      </c>
      <c r="K239" s="27" t="s">
        <v>301</v>
      </c>
      <c r="L239" s="28" t="s">
        <v>302</v>
      </c>
      <c r="M239" s="28" t="s">
        <v>749</v>
      </c>
      <c r="N239" s="25">
        <v>1</v>
      </c>
      <c r="O239" s="29">
        <v>535.39999999999986</v>
      </c>
      <c r="P239" s="29">
        <v>535.39999999999986</v>
      </c>
      <c r="Q239" s="25" t="s">
        <v>751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87"/>
        <v>267.69999999999993</v>
      </c>
      <c r="AF239" s="32">
        <f t="shared" si="88"/>
        <v>267.69999999999993</v>
      </c>
      <c r="AG239" s="30"/>
      <c r="AH239" s="33"/>
      <c r="AI239" s="34">
        <f t="shared" si="89"/>
        <v>0</v>
      </c>
      <c r="AJ239" s="35">
        <v>46310</v>
      </c>
      <c r="AK239" s="30">
        <v>1</v>
      </c>
      <c r="AL239" s="36">
        <f t="shared" si="97"/>
        <v>535.39999999999986</v>
      </c>
      <c r="AM239" s="35"/>
      <c r="AN239" s="30"/>
      <c r="AO239" s="36">
        <f t="shared" si="94"/>
        <v>0</v>
      </c>
      <c r="AP239" s="35"/>
      <c r="AQ239" s="30"/>
      <c r="AR239" s="36">
        <f t="shared" si="91"/>
        <v>0</v>
      </c>
      <c r="AS239" s="27"/>
      <c r="AT239" s="37"/>
      <c r="AU239" s="30"/>
      <c r="AV239" s="36">
        <f t="shared" si="92"/>
        <v>0</v>
      </c>
      <c r="AW239" s="35"/>
      <c r="AX239" s="30"/>
      <c r="AY239" s="32">
        <f t="shared" si="93"/>
        <v>0</v>
      </c>
      <c r="AZ239" s="30" t="s">
        <v>841</v>
      </c>
      <c r="BA239" s="63"/>
      <c r="BB239" s="71" t="e">
        <f>SUMIFS([1]Form!$F$9:$F$22,[1]Form!$K$9:$K$22,K239)</f>
        <v>#VALUE!</v>
      </c>
      <c r="BC239" s="71"/>
      <c r="BD239" s="71"/>
    </row>
    <row r="240" spans="1:56" x14ac:dyDescent="0.25">
      <c r="A240" s="24">
        <f>IF(B240="","",SUBTOTAL(3,$B$4:B240))</f>
        <v>237</v>
      </c>
      <c r="B240" s="25" t="s">
        <v>840</v>
      </c>
      <c r="C240" s="25" t="str">
        <f t="shared" si="85"/>
        <v>Shipment 1 B-10124 Fired Proces Heater</v>
      </c>
      <c r="D240" s="25" t="s">
        <v>839</v>
      </c>
      <c r="E240" s="25" t="s">
        <v>838</v>
      </c>
      <c r="F240" s="25"/>
      <c r="G240" s="65"/>
      <c r="H240" s="25" t="s">
        <v>842</v>
      </c>
      <c r="I240" s="25"/>
      <c r="J240" s="26" t="s">
        <v>843</v>
      </c>
      <c r="K240" s="27" t="s">
        <v>303</v>
      </c>
      <c r="L240" s="28" t="s">
        <v>304</v>
      </c>
      <c r="M240" s="28" t="s">
        <v>749</v>
      </c>
      <c r="N240" s="25">
        <v>1</v>
      </c>
      <c r="O240" s="29">
        <v>535.49999999999989</v>
      </c>
      <c r="P240" s="29">
        <v>535.49999999999989</v>
      </c>
      <c r="Q240" s="25" t="s">
        <v>751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87"/>
        <v>267.74999999999994</v>
      </c>
      <c r="AF240" s="32">
        <f t="shared" si="88"/>
        <v>267.74999999999994</v>
      </c>
      <c r="AG240" s="30"/>
      <c r="AH240" s="33"/>
      <c r="AI240" s="34">
        <f t="shared" si="89"/>
        <v>0</v>
      </c>
      <c r="AJ240" s="35">
        <v>46310</v>
      </c>
      <c r="AK240" s="30">
        <v>1</v>
      </c>
      <c r="AL240" s="36">
        <f t="shared" si="97"/>
        <v>535.49999999999989</v>
      </c>
      <c r="AM240" s="35"/>
      <c r="AN240" s="30"/>
      <c r="AO240" s="36">
        <f t="shared" si="94"/>
        <v>0</v>
      </c>
      <c r="AP240" s="35"/>
      <c r="AQ240" s="30"/>
      <c r="AR240" s="36">
        <f t="shared" si="91"/>
        <v>0</v>
      </c>
      <c r="AS240" s="27"/>
      <c r="AT240" s="37"/>
      <c r="AU240" s="30"/>
      <c r="AV240" s="36">
        <f t="shared" si="92"/>
        <v>0</v>
      </c>
      <c r="AW240" s="35"/>
      <c r="AX240" s="30"/>
      <c r="AY240" s="32">
        <f t="shared" si="93"/>
        <v>0</v>
      </c>
      <c r="AZ240" s="30" t="s">
        <v>841</v>
      </c>
      <c r="BA240" s="63"/>
      <c r="BB240" s="71" t="e">
        <f>SUMIFS([1]Form!$F$9:$F$22,[1]Form!$K$9:$K$22,K240)</f>
        <v>#VALUE!</v>
      </c>
      <c r="BC240" s="71"/>
      <c r="BD240" s="71"/>
    </row>
    <row r="241" spans="1:56" x14ac:dyDescent="0.25">
      <c r="A241" s="24">
        <f>IF(B241="","",SUBTOTAL(3,$B$4:B241))</f>
        <v>238</v>
      </c>
      <c r="B241" s="25" t="s">
        <v>840</v>
      </c>
      <c r="C241" s="25" t="str">
        <f t="shared" si="85"/>
        <v>Shipment 1 B-10124 Fired Proces Heater</v>
      </c>
      <c r="D241" s="25" t="s">
        <v>839</v>
      </c>
      <c r="E241" s="25" t="s">
        <v>838</v>
      </c>
      <c r="F241" s="25"/>
      <c r="G241" s="65"/>
      <c r="H241" s="25" t="s">
        <v>842</v>
      </c>
      <c r="I241" s="25"/>
      <c r="J241" s="26" t="s">
        <v>843</v>
      </c>
      <c r="K241" s="27" t="s">
        <v>955</v>
      </c>
      <c r="L241" s="28" t="s">
        <v>956</v>
      </c>
      <c r="M241" s="28" t="s">
        <v>749</v>
      </c>
      <c r="N241" s="25">
        <v>1</v>
      </c>
      <c r="O241" s="29">
        <v>377.66666666666669</v>
      </c>
      <c r="P241" s="29">
        <v>377.66666666666669</v>
      </c>
      <c r="Q241" s="25" t="s">
        <v>957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87"/>
        <v>188.83333333333334</v>
      </c>
      <c r="AF241" s="32">
        <f t="shared" si="88"/>
        <v>188.83333333333334</v>
      </c>
      <c r="AG241" s="30"/>
      <c r="AH241" s="33"/>
      <c r="AI241" s="34">
        <f t="shared" si="89"/>
        <v>0</v>
      </c>
      <c r="AJ241" s="35">
        <v>46310</v>
      </c>
      <c r="AK241" s="30">
        <v>1</v>
      </c>
      <c r="AL241" s="36">
        <f t="shared" si="97"/>
        <v>377.66666666666669</v>
      </c>
      <c r="AM241" s="35"/>
      <c r="AN241" s="30"/>
      <c r="AO241" s="36">
        <f t="shared" si="94"/>
        <v>0</v>
      </c>
      <c r="AP241" s="35"/>
      <c r="AQ241" s="30"/>
      <c r="AR241" s="36">
        <f t="shared" si="91"/>
        <v>0</v>
      </c>
      <c r="AS241" s="27"/>
      <c r="AT241" s="37"/>
      <c r="AU241" s="30"/>
      <c r="AV241" s="36">
        <f t="shared" si="92"/>
        <v>0</v>
      </c>
      <c r="AW241" s="35"/>
      <c r="AX241" s="30"/>
      <c r="AY241" s="32">
        <f t="shared" si="93"/>
        <v>0</v>
      </c>
      <c r="AZ241" s="30" t="s">
        <v>841</v>
      </c>
      <c r="BA241" s="63"/>
      <c r="BB241" s="71" t="e">
        <f>SUMIFS([1]Form!$F$9:$F$22,[1]Form!$K$9:$K$22,K241)</f>
        <v>#VALUE!</v>
      </c>
      <c r="BC241" s="71"/>
      <c r="BD241" s="71"/>
    </row>
    <row r="242" spans="1:56" x14ac:dyDescent="0.25">
      <c r="A242" s="24">
        <f>IF(B242="","",SUBTOTAL(3,$B$4:B242))</f>
        <v>239</v>
      </c>
      <c r="B242" s="25" t="s">
        <v>840</v>
      </c>
      <c r="C242" s="25" t="str">
        <f t="shared" si="85"/>
        <v>Shipment 1 B-10124 Fired Proces Heater</v>
      </c>
      <c r="D242" s="25" t="s">
        <v>839</v>
      </c>
      <c r="E242" s="25" t="s">
        <v>838</v>
      </c>
      <c r="F242" s="25"/>
      <c r="G242" s="65"/>
      <c r="H242" s="25" t="s">
        <v>842</v>
      </c>
      <c r="I242" s="25"/>
      <c r="J242" s="26" t="s">
        <v>843</v>
      </c>
      <c r="K242" s="27" t="s">
        <v>955</v>
      </c>
      <c r="L242" s="28" t="s">
        <v>958</v>
      </c>
      <c r="M242" s="28" t="s">
        <v>749</v>
      </c>
      <c r="N242" s="25">
        <v>1</v>
      </c>
      <c r="O242" s="29">
        <v>377.66666666666669</v>
      </c>
      <c r="P242" s="29">
        <v>377.66666666666669</v>
      </c>
      <c r="Q242" s="25" t="s">
        <v>957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87"/>
        <v>188.83333333333334</v>
      </c>
      <c r="AF242" s="32">
        <f t="shared" si="88"/>
        <v>188.83333333333334</v>
      </c>
      <c r="AG242" s="30"/>
      <c r="AH242" s="33"/>
      <c r="AI242" s="34">
        <f t="shared" si="89"/>
        <v>0</v>
      </c>
      <c r="AJ242" s="35">
        <v>46310</v>
      </c>
      <c r="AK242" s="30">
        <v>1</v>
      </c>
      <c r="AL242" s="36">
        <f t="shared" si="97"/>
        <v>377.66666666666669</v>
      </c>
      <c r="AM242" s="35"/>
      <c r="AN242" s="30"/>
      <c r="AO242" s="36">
        <f t="shared" si="94"/>
        <v>0</v>
      </c>
      <c r="AP242" s="35"/>
      <c r="AQ242" s="30"/>
      <c r="AR242" s="36">
        <f t="shared" si="91"/>
        <v>0</v>
      </c>
      <c r="AS242" s="27"/>
      <c r="AT242" s="37"/>
      <c r="AU242" s="30"/>
      <c r="AV242" s="36">
        <f t="shared" si="92"/>
        <v>0</v>
      </c>
      <c r="AW242" s="35"/>
      <c r="AX242" s="30"/>
      <c r="AY242" s="32">
        <f t="shared" si="93"/>
        <v>0</v>
      </c>
      <c r="AZ242" s="30" t="s">
        <v>841</v>
      </c>
      <c r="BA242" s="63"/>
      <c r="BB242" s="71" t="e">
        <f>SUMIFS([1]Form!$F$9:$F$22,[1]Form!$K$9:$K$22,K242)</f>
        <v>#VALUE!</v>
      </c>
      <c r="BC242" s="71"/>
      <c r="BD242" s="71"/>
    </row>
    <row r="243" spans="1:56" x14ac:dyDescent="0.25">
      <c r="A243" s="24">
        <f>IF(B243="","",SUBTOTAL(3,$B$4:B243))</f>
        <v>240</v>
      </c>
      <c r="B243" s="25" t="s">
        <v>840</v>
      </c>
      <c r="C243" s="25" t="str">
        <f t="shared" si="85"/>
        <v>Shipment 1 B-10124 Fired Proces Heater</v>
      </c>
      <c r="D243" s="25" t="s">
        <v>839</v>
      </c>
      <c r="E243" s="25" t="s">
        <v>838</v>
      </c>
      <c r="F243" s="25"/>
      <c r="G243" s="65"/>
      <c r="H243" s="25" t="s">
        <v>842</v>
      </c>
      <c r="I243" s="25"/>
      <c r="J243" s="26" t="s">
        <v>843</v>
      </c>
      <c r="K243" s="27" t="s">
        <v>955</v>
      </c>
      <c r="L243" s="28" t="s">
        <v>959</v>
      </c>
      <c r="M243" s="28" t="s">
        <v>749</v>
      </c>
      <c r="N243" s="25">
        <v>1</v>
      </c>
      <c r="O243" s="29">
        <v>377.66666666666669</v>
      </c>
      <c r="P243" s="29">
        <v>377.66666666666669</v>
      </c>
      <c r="Q243" s="25" t="s">
        <v>957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87"/>
        <v>188.83333333333334</v>
      </c>
      <c r="AF243" s="32">
        <f t="shared" si="88"/>
        <v>188.83333333333334</v>
      </c>
      <c r="AG243" s="30"/>
      <c r="AH243" s="33"/>
      <c r="AI243" s="34">
        <f t="shared" si="89"/>
        <v>0</v>
      </c>
      <c r="AJ243" s="35">
        <v>46310</v>
      </c>
      <c r="AK243" s="30">
        <v>1</v>
      </c>
      <c r="AL243" s="36">
        <f t="shared" si="97"/>
        <v>377.66666666666669</v>
      </c>
      <c r="AM243" s="35"/>
      <c r="AN243" s="30"/>
      <c r="AO243" s="36">
        <f t="shared" si="94"/>
        <v>0</v>
      </c>
      <c r="AP243" s="35"/>
      <c r="AQ243" s="30"/>
      <c r="AR243" s="36">
        <f t="shared" si="91"/>
        <v>0</v>
      </c>
      <c r="AS243" s="27"/>
      <c r="AT243" s="37"/>
      <c r="AU243" s="30"/>
      <c r="AV243" s="36">
        <f t="shared" si="92"/>
        <v>0</v>
      </c>
      <c r="AW243" s="35"/>
      <c r="AX243" s="30"/>
      <c r="AY243" s="32">
        <f t="shared" si="93"/>
        <v>0</v>
      </c>
      <c r="AZ243" s="30" t="s">
        <v>841</v>
      </c>
      <c r="BA243" s="63"/>
      <c r="BB243" s="71" t="e">
        <f>SUMIFS([1]Form!$F$9:$F$22,[1]Form!$K$9:$K$22,K243)</f>
        <v>#VALUE!</v>
      </c>
      <c r="BC243" s="71"/>
      <c r="BD243" s="71"/>
    </row>
    <row r="244" spans="1:56" x14ac:dyDescent="0.25">
      <c r="A244" s="24">
        <f>IF(B244="","",SUBTOTAL(3,$B$4:B244))</f>
        <v>241</v>
      </c>
      <c r="B244" s="25" t="s">
        <v>840</v>
      </c>
      <c r="C244" s="25" t="str">
        <f t="shared" si="85"/>
        <v>Shipment 1 B-10124 Fired Proces Heater</v>
      </c>
      <c r="D244" s="25" t="s">
        <v>839</v>
      </c>
      <c r="E244" s="25" t="s">
        <v>838</v>
      </c>
      <c r="F244" s="25"/>
      <c r="G244" s="65"/>
      <c r="H244" s="25" t="s">
        <v>842</v>
      </c>
      <c r="I244" s="25"/>
      <c r="J244" s="26" t="s">
        <v>843</v>
      </c>
      <c r="K244" s="27" t="s">
        <v>960</v>
      </c>
      <c r="L244" s="28" t="s">
        <v>961</v>
      </c>
      <c r="M244" s="28" t="s">
        <v>749</v>
      </c>
      <c r="N244" s="25">
        <v>1</v>
      </c>
      <c r="O244" s="29">
        <v>378.56666666666666</v>
      </c>
      <c r="P244" s="29">
        <v>378.56666666666666</v>
      </c>
      <c r="Q244" s="25" t="s">
        <v>957</v>
      </c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87"/>
        <v>189.28333333333333</v>
      </c>
      <c r="AF244" s="32">
        <f t="shared" si="88"/>
        <v>189.28333333333333</v>
      </c>
      <c r="AG244" s="30"/>
      <c r="AH244" s="33"/>
      <c r="AI244" s="34">
        <f t="shared" si="89"/>
        <v>0</v>
      </c>
      <c r="AJ244" s="35">
        <v>46310</v>
      </c>
      <c r="AK244" s="30">
        <v>1</v>
      </c>
      <c r="AL244" s="36">
        <f t="shared" si="97"/>
        <v>378.56666666666666</v>
      </c>
      <c r="AM244" s="35"/>
      <c r="AN244" s="30"/>
      <c r="AO244" s="36">
        <f t="shared" si="94"/>
        <v>0</v>
      </c>
      <c r="AP244" s="35"/>
      <c r="AQ244" s="30"/>
      <c r="AR244" s="36">
        <f t="shared" si="91"/>
        <v>0</v>
      </c>
      <c r="AS244" s="27"/>
      <c r="AT244" s="37"/>
      <c r="AU244" s="30"/>
      <c r="AV244" s="36">
        <f t="shared" si="92"/>
        <v>0</v>
      </c>
      <c r="AW244" s="35"/>
      <c r="AX244" s="30"/>
      <c r="AY244" s="32">
        <f t="shared" si="93"/>
        <v>0</v>
      </c>
      <c r="AZ244" s="30" t="s">
        <v>841</v>
      </c>
      <c r="BA244" s="63"/>
      <c r="BB244" s="71" t="e">
        <f>SUMIFS([1]Form!$F$9:$F$22,[1]Form!$K$9:$K$22,K244)</f>
        <v>#VALUE!</v>
      </c>
      <c r="BC244" s="71"/>
      <c r="BD244" s="71"/>
    </row>
    <row r="245" spans="1:56" x14ac:dyDescent="0.25">
      <c r="A245" s="24">
        <f>IF(B245="","",SUBTOTAL(3,$B$4:B245))</f>
        <v>242</v>
      </c>
      <c r="B245" s="25" t="s">
        <v>840</v>
      </c>
      <c r="C245" s="25" t="str">
        <f t="shared" si="85"/>
        <v>Shipment 1 B-10124 Fired Proces Heater</v>
      </c>
      <c r="D245" s="25" t="s">
        <v>839</v>
      </c>
      <c r="E245" s="25" t="s">
        <v>838</v>
      </c>
      <c r="F245" s="25"/>
      <c r="G245" s="65"/>
      <c r="H245" s="25" t="s">
        <v>842</v>
      </c>
      <c r="I245" s="25"/>
      <c r="J245" s="26" t="s">
        <v>843</v>
      </c>
      <c r="K245" s="27" t="s">
        <v>960</v>
      </c>
      <c r="L245" s="28" t="s">
        <v>962</v>
      </c>
      <c r="M245" s="28" t="s">
        <v>749</v>
      </c>
      <c r="N245" s="25">
        <v>1</v>
      </c>
      <c r="O245" s="29">
        <v>378.56666666666666</v>
      </c>
      <c r="P245" s="29">
        <v>378.56666666666666</v>
      </c>
      <c r="Q245" s="25" t="s">
        <v>957</v>
      </c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87"/>
        <v>189.28333333333333</v>
      </c>
      <c r="AF245" s="32">
        <f t="shared" si="88"/>
        <v>189.28333333333333</v>
      </c>
      <c r="AG245" s="30"/>
      <c r="AH245" s="33"/>
      <c r="AI245" s="34">
        <f t="shared" si="89"/>
        <v>0</v>
      </c>
      <c r="AJ245" s="35">
        <v>46312</v>
      </c>
      <c r="AK245" s="30">
        <v>1</v>
      </c>
      <c r="AL245" s="36">
        <f t="shared" si="90"/>
        <v>378.56666666666666</v>
      </c>
      <c r="AM245" s="35"/>
      <c r="AN245" s="30"/>
      <c r="AO245" s="36">
        <f t="shared" si="94"/>
        <v>0</v>
      </c>
      <c r="AP245" s="35"/>
      <c r="AQ245" s="30"/>
      <c r="AR245" s="36">
        <f t="shared" si="91"/>
        <v>0</v>
      </c>
      <c r="AS245" s="27"/>
      <c r="AT245" s="37"/>
      <c r="AU245" s="30"/>
      <c r="AV245" s="36">
        <f t="shared" si="92"/>
        <v>0</v>
      </c>
      <c r="AW245" s="35"/>
      <c r="AX245" s="30"/>
      <c r="AY245" s="32">
        <f t="shared" si="93"/>
        <v>0</v>
      </c>
      <c r="AZ245" s="30" t="s">
        <v>841</v>
      </c>
      <c r="BA245" s="63"/>
      <c r="BB245" s="71" t="e">
        <f>SUMIFS([1]Form!$F$9:$F$22,[1]Form!$K$9:$K$22,K245)</f>
        <v>#VALUE!</v>
      </c>
      <c r="BC245" s="71"/>
      <c r="BD245" s="71"/>
    </row>
    <row r="246" spans="1:56" x14ac:dyDescent="0.25">
      <c r="A246" s="24">
        <f>IF(B246="","",SUBTOTAL(3,$B$4:B246))</f>
        <v>243</v>
      </c>
      <c r="B246" s="25" t="s">
        <v>840</v>
      </c>
      <c r="C246" s="25" t="str">
        <f t="shared" si="85"/>
        <v>Shipment 1 B-10124 Fired Proces Heater</v>
      </c>
      <c r="D246" s="25" t="s">
        <v>839</v>
      </c>
      <c r="E246" s="25" t="s">
        <v>838</v>
      </c>
      <c r="F246" s="25"/>
      <c r="G246" s="65"/>
      <c r="H246" s="25" t="s">
        <v>842</v>
      </c>
      <c r="I246" s="25"/>
      <c r="J246" s="26" t="s">
        <v>843</v>
      </c>
      <c r="K246" s="27" t="s">
        <v>960</v>
      </c>
      <c r="L246" s="28" t="s">
        <v>963</v>
      </c>
      <c r="M246" s="28" t="s">
        <v>749</v>
      </c>
      <c r="N246" s="25">
        <v>1</v>
      </c>
      <c r="O246" s="29">
        <v>378.56666666666666</v>
      </c>
      <c r="P246" s="29">
        <v>378.56666666666666</v>
      </c>
      <c r="Q246" s="25" t="s">
        <v>957</v>
      </c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87"/>
        <v>189.28333333333333</v>
      </c>
      <c r="AF246" s="32">
        <f t="shared" si="88"/>
        <v>189.28333333333333</v>
      </c>
      <c r="AG246" s="30"/>
      <c r="AH246" s="33"/>
      <c r="AI246" s="34">
        <f t="shared" si="89"/>
        <v>0</v>
      </c>
      <c r="AJ246" s="35">
        <v>46312</v>
      </c>
      <c r="AK246" s="30">
        <v>1</v>
      </c>
      <c r="AL246" s="36">
        <f t="shared" ref="AL246" si="98">IFERROR(AK246*$P246/$N246,0)</f>
        <v>378.56666666666666</v>
      </c>
      <c r="AM246" s="35"/>
      <c r="AN246" s="30"/>
      <c r="AO246" s="36">
        <f t="shared" si="94"/>
        <v>0</v>
      </c>
      <c r="AP246" s="35"/>
      <c r="AQ246" s="30"/>
      <c r="AR246" s="36">
        <f t="shared" si="91"/>
        <v>0</v>
      </c>
      <c r="AS246" s="27"/>
      <c r="AT246" s="37"/>
      <c r="AU246" s="30"/>
      <c r="AV246" s="36">
        <f t="shared" si="92"/>
        <v>0</v>
      </c>
      <c r="AW246" s="35"/>
      <c r="AX246" s="30"/>
      <c r="AY246" s="32">
        <f t="shared" si="93"/>
        <v>0</v>
      </c>
      <c r="AZ246" s="30" t="s">
        <v>841</v>
      </c>
      <c r="BA246" s="63"/>
      <c r="BB246" s="71" t="e">
        <f>SUMIFS([1]Form!$F$9:$F$22,[1]Form!$K$9:$K$22,K246)</f>
        <v>#VALUE!</v>
      </c>
      <c r="BC246" s="71"/>
      <c r="BD246" s="71"/>
    </row>
    <row r="247" spans="1:56" x14ac:dyDescent="0.25">
      <c r="A247" s="24">
        <f>IF(B247="","",SUBTOTAL(3,$B$4:B247))</f>
        <v>244</v>
      </c>
      <c r="B247" s="25" t="s">
        <v>840</v>
      </c>
      <c r="C247" s="25" t="str">
        <f t="shared" si="85"/>
        <v>Shipment 1 B-10124 Fired Proces Heater</v>
      </c>
      <c r="D247" s="25" t="s">
        <v>839</v>
      </c>
      <c r="E247" s="25" t="s">
        <v>838</v>
      </c>
      <c r="F247" s="25"/>
      <c r="G247" s="65"/>
      <c r="H247" s="25" t="s">
        <v>842</v>
      </c>
      <c r="I247" s="25"/>
      <c r="J247" s="26" t="s">
        <v>843</v>
      </c>
      <c r="K247" s="27" t="s">
        <v>964</v>
      </c>
      <c r="L247" s="28" t="s">
        <v>965</v>
      </c>
      <c r="M247" s="28"/>
      <c r="N247" s="25">
        <v>24</v>
      </c>
      <c r="O247" s="29">
        <v>1.3208333333333333</v>
      </c>
      <c r="P247" s="29">
        <v>31.7</v>
      </c>
      <c r="Q247" s="25" t="s">
        <v>966</v>
      </c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87"/>
        <v>0</v>
      </c>
      <c r="AF247" s="32">
        <f t="shared" si="88"/>
        <v>31.7</v>
      </c>
      <c r="AG247" s="30"/>
      <c r="AH247" s="33"/>
      <c r="AI247" s="34">
        <f t="shared" si="89"/>
        <v>0</v>
      </c>
      <c r="AJ247" s="35"/>
      <c r="AK247" s="30"/>
      <c r="AL247" s="36">
        <f t="shared" si="90"/>
        <v>0</v>
      </c>
      <c r="AM247" s="35"/>
      <c r="AN247" s="30"/>
      <c r="AO247" s="36">
        <f t="shared" si="94"/>
        <v>0</v>
      </c>
      <c r="AP247" s="35"/>
      <c r="AQ247" s="30"/>
      <c r="AR247" s="36">
        <f t="shared" si="91"/>
        <v>0</v>
      </c>
      <c r="AS247" s="27"/>
      <c r="AT247" s="37"/>
      <c r="AU247" s="30"/>
      <c r="AV247" s="36">
        <f t="shared" si="92"/>
        <v>0</v>
      </c>
      <c r="AW247" s="35"/>
      <c r="AX247" s="30"/>
      <c r="AY247" s="32">
        <f t="shared" si="93"/>
        <v>0</v>
      </c>
      <c r="AZ247" s="30" t="s">
        <v>841</v>
      </c>
      <c r="BA247" s="63"/>
      <c r="BB247" s="71" t="e">
        <f>SUMIFS([1]Form!$F$9:$F$22,[1]Form!$K$9:$K$22,K247)</f>
        <v>#VALUE!</v>
      </c>
      <c r="BC247" s="71"/>
      <c r="BD247" s="71"/>
    </row>
    <row r="248" spans="1:56" x14ac:dyDescent="0.25">
      <c r="A248" s="24">
        <f>IF(B248="","",SUBTOTAL(3,$B$4:B248))</f>
        <v>245</v>
      </c>
      <c r="B248" s="25" t="s">
        <v>840</v>
      </c>
      <c r="C248" s="25" t="str">
        <f t="shared" ref="C248" si="99">D248&amp;" "&amp;E248</f>
        <v>Shipment 1 B-10124 Fired Proces Heater</v>
      </c>
      <c r="D248" s="25" t="s">
        <v>839</v>
      </c>
      <c r="E248" s="25" t="s">
        <v>838</v>
      </c>
      <c r="F248" s="25"/>
      <c r="G248" s="65"/>
      <c r="H248" s="25" t="s">
        <v>842</v>
      </c>
      <c r="I248" s="25"/>
      <c r="J248" s="26" t="s">
        <v>843</v>
      </c>
      <c r="K248" s="27" t="s">
        <v>967</v>
      </c>
      <c r="L248" s="28" t="s">
        <v>1193</v>
      </c>
      <c r="M248" s="28"/>
      <c r="N248" s="25">
        <v>12</v>
      </c>
      <c r="O248" s="29">
        <v>0.8</v>
      </c>
      <c r="P248" s="29">
        <v>9.5</v>
      </c>
      <c r="Q248" s="25" t="s">
        <v>968</v>
      </c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ref="AE248" si="100">+AL248*0.5+AO248*0.4+AV248*0.1</f>
        <v>0</v>
      </c>
      <c r="AF248" s="32">
        <f t="shared" ref="AF248" si="101">+P248-AE248</f>
        <v>9.5</v>
      </c>
      <c r="AG248" s="30"/>
      <c r="AH248" s="33"/>
      <c r="AI248" s="34">
        <f t="shared" ref="AI248" si="102">+AH248*P248</f>
        <v>0</v>
      </c>
      <c r="AJ248" s="35"/>
      <c r="AK248" s="30"/>
      <c r="AL248" s="36">
        <f t="shared" ref="AL248" si="103">IFERROR(AK248*$P248/$N248,0)</f>
        <v>0</v>
      </c>
      <c r="AM248" s="35"/>
      <c r="AN248" s="30"/>
      <c r="AO248" s="36">
        <f t="shared" ref="AO248" si="104">IFERROR(AN248*$P248/$N248,0)</f>
        <v>0</v>
      </c>
      <c r="AP248" s="35"/>
      <c r="AQ248" s="30"/>
      <c r="AR248" s="36">
        <f t="shared" ref="AR248" si="105">IFERROR(AQ248*$P248/$N248,0)</f>
        <v>0</v>
      </c>
      <c r="AS248" s="27"/>
      <c r="AT248" s="37"/>
      <c r="AU248" s="30"/>
      <c r="AV248" s="36">
        <f t="shared" ref="AV248" si="106">IFERROR(AU248*$P248/$N248,0)</f>
        <v>0</v>
      </c>
      <c r="AW248" s="35"/>
      <c r="AX248" s="30"/>
      <c r="AY248" s="32">
        <f t="shared" ref="AY248" si="107">IFERROR(AX248*$P248/$N248,0)</f>
        <v>0</v>
      </c>
      <c r="AZ248" s="30" t="s">
        <v>841</v>
      </c>
      <c r="BA248" s="63"/>
      <c r="BB248" s="71" t="e">
        <f>SUMIFS([1]Form!$F$9:$F$22,[1]Form!$K$9:$K$22,K248)</f>
        <v>#VALUE!</v>
      </c>
      <c r="BC248" s="71"/>
      <c r="BD248" s="71"/>
    </row>
    <row r="249" spans="1:56" x14ac:dyDescent="0.25">
      <c r="A249" s="24">
        <f>IF(B249="","",SUBTOTAL(3,$B$4:B249))</f>
        <v>246</v>
      </c>
      <c r="B249" s="25" t="s">
        <v>840</v>
      </c>
      <c r="C249" s="25" t="str">
        <f t="shared" ref="C249" si="108">D249&amp;" "&amp;E249</f>
        <v>Shipment 1 B-10124 Fired Proces Heater</v>
      </c>
      <c r="D249" s="25" t="s">
        <v>839</v>
      </c>
      <c r="E249" s="25" t="s">
        <v>838</v>
      </c>
      <c r="F249" s="25"/>
      <c r="G249" s="65"/>
      <c r="H249" s="25" t="s">
        <v>842</v>
      </c>
      <c r="I249" s="25"/>
      <c r="J249" s="26" t="s">
        <v>843</v>
      </c>
      <c r="K249" s="27" t="s">
        <v>969</v>
      </c>
      <c r="L249" s="28" t="s">
        <v>1194</v>
      </c>
      <c r="M249" s="28"/>
      <c r="N249" s="25">
        <v>12</v>
      </c>
      <c r="O249" s="29">
        <v>0.5</v>
      </c>
      <c r="P249" s="29">
        <v>6.3</v>
      </c>
      <c r="Q249" s="25" t="s">
        <v>970</v>
      </c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ref="AE249" si="109">+AL249*0.5+AO249*0.4+AV249*0.1</f>
        <v>0</v>
      </c>
      <c r="AF249" s="32">
        <f t="shared" ref="AF249" si="110">+P249-AE249</f>
        <v>6.3</v>
      </c>
      <c r="AG249" s="30"/>
      <c r="AH249" s="33"/>
      <c r="AI249" s="34">
        <f t="shared" ref="AI249" si="111">+AH249*P249</f>
        <v>0</v>
      </c>
      <c r="AJ249" s="35"/>
      <c r="AK249" s="30"/>
      <c r="AL249" s="36">
        <f t="shared" ref="AL249" si="112">IFERROR(AK249*$P249/$N249,0)</f>
        <v>0</v>
      </c>
      <c r="AM249" s="35"/>
      <c r="AN249" s="30"/>
      <c r="AO249" s="36">
        <f t="shared" ref="AO249" si="113">IFERROR(AN249*$P249/$N249,0)</f>
        <v>0</v>
      </c>
      <c r="AP249" s="35"/>
      <c r="AQ249" s="30"/>
      <c r="AR249" s="36">
        <f t="shared" ref="AR249" si="114">IFERROR(AQ249*$P249/$N249,0)</f>
        <v>0</v>
      </c>
      <c r="AS249" s="27"/>
      <c r="AT249" s="37"/>
      <c r="AU249" s="30"/>
      <c r="AV249" s="36">
        <f t="shared" ref="AV249" si="115">IFERROR(AU249*$P249/$N249,0)</f>
        <v>0</v>
      </c>
      <c r="AW249" s="35"/>
      <c r="AX249" s="30"/>
      <c r="AY249" s="32">
        <f t="shared" ref="AY249" si="116">IFERROR(AX249*$P249/$N249,0)</f>
        <v>0</v>
      </c>
      <c r="AZ249" s="30" t="s">
        <v>841</v>
      </c>
      <c r="BA249" s="63"/>
      <c r="BB249" s="71" t="e">
        <f>SUMIFS([1]Form!$F$9:$F$22,[1]Form!$K$9:$K$22,K249)</f>
        <v>#VALUE!</v>
      </c>
      <c r="BC249" s="71"/>
      <c r="BD249" s="71"/>
    </row>
    <row r="250" spans="1:56" x14ac:dyDescent="0.25">
      <c r="A250" s="24">
        <f>IF(B250="","",SUBTOTAL(3,$B$4:B250))</f>
        <v>247</v>
      </c>
      <c r="B250" s="25" t="s">
        <v>840</v>
      </c>
      <c r="C250" s="25" t="str">
        <f t="shared" ref="C250" si="117">D250&amp;" "&amp;E250</f>
        <v>Shipment 1 B-10124 Fired Proces Heater</v>
      </c>
      <c r="D250" s="25" t="s">
        <v>839</v>
      </c>
      <c r="E250" s="25" t="s">
        <v>838</v>
      </c>
      <c r="F250" s="25"/>
      <c r="G250" s="65"/>
      <c r="H250" s="25" t="s">
        <v>842</v>
      </c>
      <c r="I250" s="25"/>
      <c r="J250" s="26" t="s">
        <v>843</v>
      </c>
      <c r="K250" s="27" t="s">
        <v>971</v>
      </c>
      <c r="L250" s="28" t="s">
        <v>1195</v>
      </c>
      <c r="M250" s="28"/>
      <c r="N250" s="25">
        <v>12</v>
      </c>
      <c r="O250" s="29">
        <v>0.3</v>
      </c>
      <c r="P250" s="29">
        <v>3.2</v>
      </c>
      <c r="Q250" s="25" t="s">
        <v>972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ref="AE250" si="118">+AL250*0.5+AO250*0.4+AV250*0.1</f>
        <v>0</v>
      </c>
      <c r="AF250" s="32">
        <f t="shared" ref="AF250" si="119">+P250-AE250</f>
        <v>3.2</v>
      </c>
      <c r="AG250" s="30"/>
      <c r="AH250" s="33"/>
      <c r="AI250" s="34">
        <f t="shared" ref="AI250" si="120">+AH250*P250</f>
        <v>0</v>
      </c>
      <c r="AJ250" s="35"/>
      <c r="AK250" s="30"/>
      <c r="AL250" s="36">
        <f t="shared" ref="AL250" si="121">IFERROR(AK250*$P250/$N250,0)</f>
        <v>0</v>
      </c>
      <c r="AM250" s="35"/>
      <c r="AN250" s="30"/>
      <c r="AO250" s="36">
        <f t="shared" ref="AO250" si="122">IFERROR(AN250*$P250/$N250,0)</f>
        <v>0</v>
      </c>
      <c r="AP250" s="35"/>
      <c r="AQ250" s="30"/>
      <c r="AR250" s="36">
        <f t="shared" ref="AR250" si="123">IFERROR(AQ250*$P250/$N250,0)</f>
        <v>0</v>
      </c>
      <c r="AS250" s="27"/>
      <c r="AT250" s="37"/>
      <c r="AU250" s="30"/>
      <c r="AV250" s="36">
        <f t="shared" ref="AV250" si="124">IFERROR(AU250*$P250/$N250,0)</f>
        <v>0</v>
      </c>
      <c r="AW250" s="35"/>
      <c r="AX250" s="30"/>
      <c r="AY250" s="32">
        <f t="shared" ref="AY250" si="125">IFERROR(AX250*$P250/$N250,0)</f>
        <v>0</v>
      </c>
      <c r="AZ250" s="30" t="s">
        <v>841</v>
      </c>
      <c r="BA250" s="63"/>
      <c r="BB250" s="71" t="e">
        <f>SUMIFS([1]Form!$F$9:$F$22,[1]Form!$K$9:$K$22,K250)</f>
        <v>#VALUE!</v>
      </c>
      <c r="BC250" s="71"/>
      <c r="BD250" s="71"/>
    </row>
    <row r="251" spans="1:56" x14ac:dyDescent="0.25">
      <c r="A251" s="24">
        <f>IF(B251="","",SUBTOTAL(3,$B$4:B251))</f>
        <v>248</v>
      </c>
      <c r="B251" s="25" t="s">
        <v>840</v>
      </c>
      <c r="C251" s="25" t="str">
        <f t="shared" ref="C251:C299" si="126">D251&amp;" "&amp;E251</f>
        <v>Shipment 1 B-10124 Fired Proces Heater</v>
      </c>
      <c r="D251" s="25" t="s">
        <v>839</v>
      </c>
      <c r="E251" s="25" t="s">
        <v>838</v>
      </c>
      <c r="F251" s="25"/>
      <c r="G251" s="65"/>
      <c r="H251" s="25" t="s">
        <v>842</v>
      </c>
      <c r="I251" s="25"/>
      <c r="J251" s="26" t="s">
        <v>843</v>
      </c>
      <c r="K251" s="27" t="s">
        <v>305</v>
      </c>
      <c r="L251" s="28" t="s">
        <v>306</v>
      </c>
      <c r="M251" s="28" t="s">
        <v>704</v>
      </c>
      <c r="N251" s="25">
        <v>1</v>
      </c>
      <c r="O251" s="29">
        <v>230.5</v>
      </c>
      <c r="P251" s="29">
        <v>230.5</v>
      </c>
      <c r="Q251" s="25" t="s">
        <v>752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ref="AE251:AE313" si="127">+AL251*0.5+AO251*0.4+AV251*0.1</f>
        <v>0</v>
      </c>
      <c r="AF251" s="32">
        <f t="shared" ref="AF251:AF313" si="128">+P251-AE251</f>
        <v>230.5</v>
      </c>
      <c r="AG251" s="30"/>
      <c r="AH251" s="33"/>
      <c r="AI251" s="34">
        <f t="shared" ref="AI251:AI313" si="129">+AH251*P251</f>
        <v>0</v>
      </c>
      <c r="AJ251" s="35"/>
      <c r="AK251" s="30"/>
      <c r="AL251" s="36">
        <f t="shared" ref="AL251:AL313" si="130">IFERROR(AK251*$P251/$N251,0)</f>
        <v>0</v>
      </c>
      <c r="AM251" s="35"/>
      <c r="AN251" s="30"/>
      <c r="AO251" s="36">
        <f t="shared" ref="AO251:AO313" si="131">IFERROR(AN251*$P251/$N251,0)</f>
        <v>0</v>
      </c>
      <c r="AP251" s="35"/>
      <c r="AQ251" s="30"/>
      <c r="AR251" s="36">
        <f t="shared" ref="AR251:AR313" si="132">IFERROR(AQ251*$P251/$N251,0)</f>
        <v>0</v>
      </c>
      <c r="AS251" s="27"/>
      <c r="AT251" s="37"/>
      <c r="AU251" s="30"/>
      <c r="AV251" s="36">
        <f t="shared" ref="AV251:AV313" si="133">IFERROR(AU251*$P251/$N251,0)</f>
        <v>0</v>
      </c>
      <c r="AW251" s="35"/>
      <c r="AX251" s="30"/>
      <c r="AY251" s="32">
        <f t="shared" ref="AY251:AY313" si="134">IFERROR(AX251*$P251/$N251,0)</f>
        <v>0</v>
      </c>
      <c r="AZ251" s="30" t="s">
        <v>841</v>
      </c>
      <c r="BA251" s="63"/>
      <c r="BB251" s="71" t="e">
        <f>SUMIFS([1]Form!$F$9:$F$22,[1]Form!$K$9:$K$22,K251)</f>
        <v>#VALUE!</v>
      </c>
      <c r="BC251" s="71"/>
      <c r="BD251" s="71"/>
    </row>
    <row r="252" spans="1:56" x14ac:dyDescent="0.25">
      <c r="A252" s="24">
        <f>IF(B252="","",SUBTOTAL(3,$B$4:B252))</f>
        <v>249</v>
      </c>
      <c r="B252" s="25" t="s">
        <v>840</v>
      </c>
      <c r="C252" s="25" t="str">
        <f t="shared" si="126"/>
        <v>Shipment 1 B-10124 Fired Proces Heater</v>
      </c>
      <c r="D252" s="25" t="s">
        <v>839</v>
      </c>
      <c r="E252" s="25" t="s">
        <v>838</v>
      </c>
      <c r="F252" s="25"/>
      <c r="G252" s="65"/>
      <c r="H252" s="25" t="s">
        <v>842</v>
      </c>
      <c r="I252" s="25"/>
      <c r="J252" s="26" t="s">
        <v>843</v>
      </c>
      <c r="K252" s="27" t="s">
        <v>305</v>
      </c>
      <c r="L252" s="28" t="s">
        <v>307</v>
      </c>
      <c r="M252" s="28" t="s">
        <v>704</v>
      </c>
      <c r="N252" s="25">
        <v>1</v>
      </c>
      <c r="O252" s="29">
        <v>230.5</v>
      </c>
      <c r="P252" s="29">
        <v>230.5</v>
      </c>
      <c r="Q252" s="25" t="s">
        <v>752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127"/>
        <v>0</v>
      </c>
      <c r="AF252" s="32">
        <f t="shared" si="128"/>
        <v>230.5</v>
      </c>
      <c r="AG252" s="30"/>
      <c r="AH252" s="33"/>
      <c r="AI252" s="34">
        <f t="shared" si="129"/>
        <v>0</v>
      </c>
      <c r="AJ252" s="35"/>
      <c r="AK252" s="30"/>
      <c r="AL252" s="36">
        <f t="shared" si="130"/>
        <v>0</v>
      </c>
      <c r="AM252" s="35"/>
      <c r="AN252" s="30"/>
      <c r="AO252" s="36">
        <f t="shared" si="131"/>
        <v>0</v>
      </c>
      <c r="AP252" s="35"/>
      <c r="AQ252" s="30"/>
      <c r="AR252" s="36">
        <f t="shared" si="132"/>
        <v>0</v>
      </c>
      <c r="AS252" s="27"/>
      <c r="AT252" s="37"/>
      <c r="AU252" s="30"/>
      <c r="AV252" s="36">
        <f t="shared" si="133"/>
        <v>0</v>
      </c>
      <c r="AW252" s="35"/>
      <c r="AX252" s="30"/>
      <c r="AY252" s="32">
        <f t="shared" si="134"/>
        <v>0</v>
      </c>
      <c r="AZ252" s="30" t="s">
        <v>841</v>
      </c>
      <c r="BA252" s="63"/>
      <c r="BB252" s="71" t="e">
        <f>SUMIFS([1]Form!$F$9:$F$22,[1]Form!$K$9:$K$22,K252)</f>
        <v>#VALUE!</v>
      </c>
      <c r="BC252" s="71"/>
      <c r="BD252" s="71"/>
    </row>
    <row r="253" spans="1:56" x14ac:dyDescent="0.25">
      <c r="A253" s="24">
        <f>IF(B253="","",SUBTOTAL(3,$B$4:B253))</f>
        <v>250</v>
      </c>
      <c r="B253" s="25" t="s">
        <v>840</v>
      </c>
      <c r="C253" s="25" t="str">
        <f t="shared" si="126"/>
        <v>Shipment 1 B-10124 Fired Proces Heater</v>
      </c>
      <c r="D253" s="25" t="s">
        <v>839</v>
      </c>
      <c r="E253" s="25" t="s">
        <v>838</v>
      </c>
      <c r="F253" s="25"/>
      <c r="G253" s="65"/>
      <c r="H253" s="25" t="s">
        <v>842</v>
      </c>
      <c r="I253" s="25"/>
      <c r="J253" s="26" t="s">
        <v>843</v>
      </c>
      <c r="K253" s="27" t="s">
        <v>305</v>
      </c>
      <c r="L253" s="28" t="s">
        <v>308</v>
      </c>
      <c r="M253" s="28" t="s">
        <v>704</v>
      </c>
      <c r="N253" s="25">
        <v>1</v>
      </c>
      <c r="O253" s="29">
        <v>230.5</v>
      </c>
      <c r="P253" s="29">
        <v>230.5</v>
      </c>
      <c r="Q253" s="25" t="s">
        <v>752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127"/>
        <v>0</v>
      </c>
      <c r="AF253" s="32">
        <f t="shared" si="128"/>
        <v>230.5</v>
      </c>
      <c r="AG253" s="30"/>
      <c r="AH253" s="33"/>
      <c r="AI253" s="34">
        <f t="shared" si="129"/>
        <v>0</v>
      </c>
      <c r="AJ253" s="35"/>
      <c r="AK253" s="30"/>
      <c r="AL253" s="36">
        <f t="shared" si="130"/>
        <v>0</v>
      </c>
      <c r="AM253" s="35"/>
      <c r="AN253" s="30"/>
      <c r="AO253" s="36">
        <f t="shared" si="131"/>
        <v>0</v>
      </c>
      <c r="AP253" s="35"/>
      <c r="AQ253" s="30"/>
      <c r="AR253" s="36">
        <f t="shared" si="132"/>
        <v>0</v>
      </c>
      <c r="AS253" s="27"/>
      <c r="AT253" s="37"/>
      <c r="AU253" s="30"/>
      <c r="AV253" s="36">
        <f t="shared" si="133"/>
        <v>0</v>
      </c>
      <c r="AW253" s="35"/>
      <c r="AX253" s="30"/>
      <c r="AY253" s="32">
        <f t="shared" si="134"/>
        <v>0</v>
      </c>
      <c r="AZ253" s="30" t="s">
        <v>841</v>
      </c>
      <c r="BA253" s="63"/>
      <c r="BB253" s="71" t="e">
        <f>SUMIFS([1]Form!$F$9:$F$22,[1]Form!$K$9:$K$22,K253)</f>
        <v>#VALUE!</v>
      </c>
      <c r="BC253" s="71"/>
      <c r="BD253" s="71"/>
    </row>
    <row r="254" spans="1:56" x14ac:dyDescent="0.25">
      <c r="A254" s="24">
        <f>IF(B254="","",SUBTOTAL(3,$B$4:B254))</f>
        <v>251</v>
      </c>
      <c r="B254" s="25" t="s">
        <v>840</v>
      </c>
      <c r="C254" s="25" t="str">
        <f t="shared" si="126"/>
        <v>Shipment 1 B-10124 Fired Proces Heater</v>
      </c>
      <c r="D254" s="25" t="s">
        <v>839</v>
      </c>
      <c r="E254" s="25" t="s">
        <v>838</v>
      </c>
      <c r="F254" s="25"/>
      <c r="G254" s="65"/>
      <c r="H254" s="25" t="s">
        <v>842</v>
      </c>
      <c r="I254" s="25"/>
      <c r="J254" s="26" t="s">
        <v>843</v>
      </c>
      <c r="K254" s="27" t="s">
        <v>305</v>
      </c>
      <c r="L254" s="28" t="s">
        <v>309</v>
      </c>
      <c r="M254" s="28" t="s">
        <v>704</v>
      </c>
      <c r="N254" s="25">
        <v>1</v>
      </c>
      <c r="O254" s="29">
        <v>230.5</v>
      </c>
      <c r="P254" s="29">
        <v>230.5</v>
      </c>
      <c r="Q254" s="25" t="s">
        <v>752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127"/>
        <v>0</v>
      </c>
      <c r="AF254" s="32">
        <f t="shared" si="128"/>
        <v>230.5</v>
      </c>
      <c r="AG254" s="30"/>
      <c r="AH254" s="33"/>
      <c r="AI254" s="34">
        <f t="shared" si="129"/>
        <v>0</v>
      </c>
      <c r="AJ254" s="35"/>
      <c r="AK254" s="30"/>
      <c r="AL254" s="36">
        <f t="shared" si="130"/>
        <v>0</v>
      </c>
      <c r="AM254" s="35"/>
      <c r="AN254" s="30"/>
      <c r="AO254" s="36">
        <f t="shared" si="131"/>
        <v>0</v>
      </c>
      <c r="AP254" s="35"/>
      <c r="AQ254" s="30"/>
      <c r="AR254" s="36">
        <f t="shared" si="132"/>
        <v>0</v>
      </c>
      <c r="AS254" s="27"/>
      <c r="AT254" s="37"/>
      <c r="AU254" s="30"/>
      <c r="AV254" s="36">
        <f t="shared" si="133"/>
        <v>0</v>
      </c>
      <c r="AW254" s="35"/>
      <c r="AX254" s="30"/>
      <c r="AY254" s="32">
        <f t="shared" si="134"/>
        <v>0</v>
      </c>
      <c r="AZ254" s="30" t="s">
        <v>841</v>
      </c>
      <c r="BA254" s="63"/>
      <c r="BB254" s="71" t="e">
        <f>SUMIFS([1]Form!$F$9:$F$22,[1]Form!$K$9:$K$22,K254)</f>
        <v>#VALUE!</v>
      </c>
      <c r="BC254" s="71"/>
      <c r="BD254" s="71"/>
    </row>
    <row r="255" spans="1:56" x14ac:dyDescent="0.25">
      <c r="A255" s="24">
        <f>IF(B255="","",SUBTOTAL(3,$B$4:B255))</f>
        <v>252</v>
      </c>
      <c r="B255" s="25" t="s">
        <v>840</v>
      </c>
      <c r="C255" s="25" t="str">
        <f t="shared" si="126"/>
        <v>Shipment 1 B-10124 Fired Proces Heater</v>
      </c>
      <c r="D255" s="25" t="s">
        <v>839</v>
      </c>
      <c r="E255" s="25" t="s">
        <v>838</v>
      </c>
      <c r="F255" s="25"/>
      <c r="G255" s="65"/>
      <c r="H255" s="25" t="s">
        <v>842</v>
      </c>
      <c r="I255" s="25"/>
      <c r="J255" s="26" t="s">
        <v>843</v>
      </c>
      <c r="K255" s="27" t="s">
        <v>305</v>
      </c>
      <c r="L255" s="28" t="s">
        <v>310</v>
      </c>
      <c r="M255" s="28" t="s">
        <v>704</v>
      </c>
      <c r="N255" s="25">
        <v>1</v>
      </c>
      <c r="O255" s="29">
        <v>230.5</v>
      </c>
      <c r="P255" s="29">
        <v>230.5</v>
      </c>
      <c r="Q255" s="25" t="s">
        <v>752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127"/>
        <v>0</v>
      </c>
      <c r="AF255" s="32">
        <f t="shared" si="128"/>
        <v>230.5</v>
      </c>
      <c r="AG255" s="30"/>
      <c r="AH255" s="33"/>
      <c r="AI255" s="34">
        <f t="shared" si="129"/>
        <v>0</v>
      </c>
      <c r="AJ255" s="35"/>
      <c r="AK255" s="30"/>
      <c r="AL255" s="36">
        <f t="shared" si="130"/>
        <v>0</v>
      </c>
      <c r="AM255" s="35"/>
      <c r="AN255" s="30"/>
      <c r="AO255" s="36">
        <f t="shared" si="131"/>
        <v>0</v>
      </c>
      <c r="AP255" s="35"/>
      <c r="AQ255" s="30"/>
      <c r="AR255" s="36">
        <f t="shared" si="132"/>
        <v>0</v>
      </c>
      <c r="AS255" s="27"/>
      <c r="AT255" s="37"/>
      <c r="AU255" s="30"/>
      <c r="AV255" s="36">
        <f t="shared" si="133"/>
        <v>0</v>
      </c>
      <c r="AW255" s="35"/>
      <c r="AX255" s="30"/>
      <c r="AY255" s="32">
        <f t="shared" si="134"/>
        <v>0</v>
      </c>
      <c r="AZ255" s="30" t="s">
        <v>841</v>
      </c>
      <c r="BA255" s="63"/>
      <c r="BB255" s="71" t="e">
        <f>SUMIFS([1]Form!$F$9:$F$22,[1]Form!$K$9:$K$22,K255)</f>
        <v>#VALUE!</v>
      </c>
      <c r="BC255" s="71"/>
      <c r="BD255" s="71"/>
    </row>
    <row r="256" spans="1:56" x14ac:dyDescent="0.25">
      <c r="A256" s="24">
        <f>IF(B256="","",SUBTOTAL(3,$B$4:B256))</f>
        <v>253</v>
      </c>
      <c r="B256" s="25" t="s">
        <v>840</v>
      </c>
      <c r="C256" s="25" t="str">
        <f t="shared" si="126"/>
        <v>Shipment 1 B-10124 Fired Proces Heater</v>
      </c>
      <c r="D256" s="25" t="s">
        <v>839</v>
      </c>
      <c r="E256" s="25" t="s">
        <v>838</v>
      </c>
      <c r="F256" s="25"/>
      <c r="G256" s="65"/>
      <c r="H256" s="25" t="s">
        <v>842</v>
      </c>
      <c r="I256" s="25"/>
      <c r="J256" s="26" t="s">
        <v>843</v>
      </c>
      <c r="K256" s="27" t="s">
        <v>305</v>
      </c>
      <c r="L256" s="28" t="s">
        <v>311</v>
      </c>
      <c r="M256" s="28" t="s">
        <v>704</v>
      </c>
      <c r="N256" s="25">
        <v>1</v>
      </c>
      <c r="O256" s="29">
        <v>230.5</v>
      </c>
      <c r="P256" s="29">
        <v>230.5</v>
      </c>
      <c r="Q256" s="25" t="s">
        <v>752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127"/>
        <v>0</v>
      </c>
      <c r="AF256" s="32">
        <f t="shared" si="128"/>
        <v>230.5</v>
      </c>
      <c r="AG256" s="30"/>
      <c r="AH256" s="33"/>
      <c r="AI256" s="34">
        <f t="shared" si="129"/>
        <v>0</v>
      </c>
      <c r="AJ256" s="35"/>
      <c r="AK256" s="30"/>
      <c r="AL256" s="36">
        <f t="shared" si="130"/>
        <v>0</v>
      </c>
      <c r="AM256" s="35"/>
      <c r="AN256" s="30"/>
      <c r="AO256" s="36">
        <f t="shared" si="131"/>
        <v>0</v>
      </c>
      <c r="AP256" s="35"/>
      <c r="AQ256" s="30"/>
      <c r="AR256" s="36">
        <f t="shared" si="132"/>
        <v>0</v>
      </c>
      <c r="AS256" s="27"/>
      <c r="AT256" s="37"/>
      <c r="AU256" s="30"/>
      <c r="AV256" s="36">
        <f t="shared" si="133"/>
        <v>0</v>
      </c>
      <c r="AW256" s="35"/>
      <c r="AX256" s="30"/>
      <c r="AY256" s="32">
        <f t="shared" si="134"/>
        <v>0</v>
      </c>
      <c r="AZ256" s="30" t="s">
        <v>841</v>
      </c>
      <c r="BA256" s="63"/>
      <c r="BB256" s="71" t="e">
        <f>SUMIFS([1]Form!$F$9:$F$22,[1]Form!$K$9:$K$22,K256)</f>
        <v>#VALUE!</v>
      </c>
      <c r="BC256" s="71"/>
      <c r="BD256" s="71"/>
    </row>
    <row r="257" spans="1:56" x14ac:dyDescent="0.25">
      <c r="A257" s="24">
        <f>IF(B257="","",SUBTOTAL(3,$B$4:B257))</f>
        <v>254</v>
      </c>
      <c r="B257" s="25" t="s">
        <v>840</v>
      </c>
      <c r="C257" s="25" t="str">
        <f t="shared" si="126"/>
        <v>Shipment 1 B-10124 Fired Proces Heater</v>
      </c>
      <c r="D257" s="25" t="s">
        <v>839</v>
      </c>
      <c r="E257" s="25" t="s">
        <v>838</v>
      </c>
      <c r="F257" s="25"/>
      <c r="G257" s="65"/>
      <c r="H257" s="25" t="s">
        <v>842</v>
      </c>
      <c r="I257" s="25"/>
      <c r="J257" s="26" t="s">
        <v>843</v>
      </c>
      <c r="K257" s="27" t="s">
        <v>305</v>
      </c>
      <c r="L257" s="28" t="s">
        <v>312</v>
      </c>
      <c r="M257" s="28" t="s">
        <v>704</v>
      </c>
      <c r="N257" s="25">
        <v>1</v>
      </c>
      <c r="O257" s="29">
        <v>230.5</v>
      </c>
      <c r="P257" s="29">
        <v>230.5</v>
      </c>
      <c r="Q257" s="25" t="s">
        <v>752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127"/>
        <v>0</v>
      </c>
      <c r="AF257" s="32">
        <f t="shared" si="128"/>
        <v>230.5</v>
      </c>
      <c r="AG257" s="30"/>
      <c r="AH257" s="33"/>
      <c r="AI257" s="34">
        <f t="shared" si="129"/>
        <v>0</v>
      </c>
      <c r="AJ257" s="35"/>
      <c r="AK257" s="30"/>
      <c r="AL257" s="36">
        <f t="shared" si="130"/>
        <v>0</v>
      </c>
      <c r="AM257" s="35"/>
      <c r="AN257" s="30"/>
      <c r="AO257" s="36">
        <f t="shared" si="131"/>
        <v>0</v>
      </c>
      <c r="AP257" s="35"/>
      <c r="AQ257" s="30"/>
      <c r="AR257" s="36">
        <f t="shared" si="132"/>
        <v>0</v>
      </c>
      <c r="AS257" s="27"/>
      <c r="AT257" s="37"/>
      <c r="AU257" s="30"/>
      <c r="AV257" s="36">
        <f t="shared" si="133"/>
        <v>0</v>
      </c>
      <c r="AW257" s="35"/>
      <c r="AX257" s="30"/>
      <c r="AY257" s="32">
        <f t="shared" si="134"/>
        <v>0</v>
      </c>
      <c r="AZ257" s="30" t="s">
        <v>841</v>
      </c>
      <c r="BA257" s="63"/>
      <c r="BB257" s="71" t="e">
        <f>SUMIFS([1]Form!$F$9:$F$22,[1]Form!$K$9:$K$22,K257)</f>
        <v>#VALUE!</v>
      </c>
      <c r="BC257" s="71"/>
      <c r="BD257" s="71"/>
    </row>
    <row r="258" spans="1:56" x14ac:dyDescent="0.25">
      <c r="A258" s="24">
        <f>IF(B258="","",SUBTOTAL(3,$B$4:B258))</f>
        <v>255</v>
      </c>
      <c r="B258" s="25" t="s">
        <v>840</v>
      </c>
      <c r="C258" s="25" t="str">
        <f t="shared" si="126"/>
        <v>Shipment 1 B-10124 Fired Proces Heater</v>
      </c>
      <c r="D258" s="25" t="s">
        <v>839</v>
      </c>
      <c r="E258" s="25" t="s">
        <v>838</v>
      </c>
      <c r="F258" s="25"/>
      <c r="G258" s="65"/>
      <c r="H258" s="25" t="s">
        <v>842</v>
      </c>
      <c r="I258" s="25"/>
      <c r="J258" s="26" t="s">
        <v>843</v>
      </c>
      <c r="K258" s="27" t="s">
        <v>305</v>
      </c>
      <c r="L258" s="28" t="s">
        <v>313</v>
      </c>
      <c r="M258" s="28" t="s">
        <v>704</v>
      </c>
      <c r="N258" s="25">
        <v>1</v>
      </c>
      <c r="O258" s="29">
        <v>230.5</v>
      </c>
      <c r="P258" s="29">
        <v>230.5</v>
      </c>
      <c r="Q258" s="25" t="s">
        <v>752</v>
      </c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127"/>
        <v>0</v>
      </c>
      <c r="AF258" s="32">
        <f t="shared" si="128"/>
        <v>230.5</v>
      </c>
      <c r="AG258" s="30"/>
      <c r="AH258" s="33"/>
      <c r="AI258" s="34">
        <f t="shared" si="129"/>
        <v>0</v>
      </c>
      <c r="AJ258" s="35"/>
      <c r="AK258" s="30"/>
      <c r="AL258" s="36">
        <f t="shared" si="130"/>
        <v>0</v>
      </c>
      <c r="AM258" s="35"/>
      <c r="AN258" s="30"/>
      <c r="AO258" s="36">
        <f t="shared" si="131"/>
        <v>0</v>
      </c>
      <c r="AP258" s="35"/>
      <c r="AQ258" s="30"/>
      <c r="AR258" s="36">
        <f t="shared" si="132"/>
        <v>0</v>
      </c>
      <c r="AS258" s="27"/>
      <c r="AT258" s="37"/>
      <c r="AU258" s="30"/>
      <c r="AV258" s="36">
        <f t="shared" si="133"/>
        <v>0</v>
      </c>
      <c r="AW258" s="35"/>
      <c r="AX258" s="30"/>
      <c r="AY258" s="32">
        <f t="shared" si="134"/>
        <v>0</v>
      </c>
      <c r="AZ258" s="30" t="s">
        <v>841</v>
      </c>
      <c r="BA258" s="63"/>
      <c r="BB258" s="71" t="e">
        <f>SUMIFS([1]Form!$F$9:$F$22,[1]Form!$K$9:$K$22,K258)</f>
        <v>#VALUE!</v>
      </c>
      <c r="BC258" s="71"/>
      <c r="BD258" s="71"/>
    </row>
    <row r="259" spans="1:56" x14ac:dyDescent="0.25">
      <c r="A259" s="24">
        <f>IF(B259="","",SUBTOTAL(3,$B$4:B259))</f>
        <v>256</v>
      </c>
      <c r="B259" s="25" t="s">
        <v>840</v>
      </c>
      <c r="C259" s="25" t="str">
        <f t="shared" si="126"/>
        <v>Shipment 1 B-10124 Fired Proces Heater</v>
      </c>
      <c r="D259" s="25" t="s">
        <v>839</v>
      </c>
      <c r="E259" s="25" t="s">
        <v>838</v>
      </c>
      <c r="F259" s="25"/>
      <c r="G259" s="65"/>
      <c r="H259" s="25" t="s">
        <v>842</v>
      </c>
      <c r="I259" s="25"/>
      <c r="J259" s="26" t="s">
        <v>843</v>
      </c>
      <c r="K259" s="27" t="s">
        <v>314</v>
      </c>
      <c r="L259" s="28" t="s">
        <v>315</v>
      </c>
      <c r="M259" s="28" t="s">
        <v>704</v>
      </c>
      <c r="N259" s="25">
        <v>1</v>
      </c>
      <c r="O259" s="29">
        <v>91.862499999999983</v>
      </c>
      <c r="P259" s="29">
        <v>91.862499999999983</v>
      </c>
      <c r="Q259" s="25" t="s">
        <v>753</v>
      </c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127"/>
        <v>0</v>
      </c>
      <c r="AF259" s="32">
        <f t="shared" si="128"/>
        <v>91.862499999999983</v>
      </c>
      <c r="AG259" s="30"/>
      <c r="AH259" s="33"/>
      <c r="AI259" s="34">
        <f t="shared" si="129"/>
        <v>0</v>
      </c>
      <c r="AJ259" s="35"/>
      <c r="AK259" s="30"/>
      <c r="AL259" s="36">
        <f t="shared" si="130"/>
        <v>0</v>
      </c>
      <c r="AM259" s="35"/>
      <c r="AN259" s="30"/>
      <c r="AO259" s="36">
        <f t="shared" si="131"/>
        <v>0</v>
      </c>
      <c r="AP259" s="35"/>
      <c r="AQ259" s="30"/>
      <c r="AR259" s="36">
        <f t="shared" si="132"/>
        <v>0</v>
      </c>
      <c r="AS259" s="27"/>
      <c r="AT259" s="37"/>
      <c r="AU259" s="30"/>
      <c r="AV259" s="36">
        <f t="shared" si="133"/>
        <v>0</v>
      </c>
      <c r="AW259" s="35"/>
      <c r="AX259" s="30"/>
      <c r="AY259" s="32">
        <f t="shared" si="134"/>
        <v>0</v>
      </c>
      <c r="AZ259" s="30" t="s">
        <v>841</v>
      </c>
      <c r="BA259" s="63"/>
      <c r="BB259" s="71" t="e">
        <f>SUMIFS([1]Form!$F$9:$F$22,[1]Form!$K$9:$K$22,K259)</f>
        <v>#VALUE!</v>
      </c>
      <c r="BC259" s="71"/>
      <c r="BD259" s="71"/>
    </row>
    <row r="260" spans="1:56" x14ac:dyDescent="0.25">
      <c r="A260" s="24">
        <f>IF(B260="","",SUBTOTAL(3,$B$4:B260))</f>
        <v>257</v>
      </c>
      <c r="B260" s="25" t="s">
        <v>840</v>
      </c>
      <c r="C260" s="25" t="str">
        <f t="shared" si="126"/>
        <v>Shipment 1 B-10124 Fired Proces Heater</v>
      </c>
      <c r="D260" s="25" t="s">
        <v>839</v>
      </c>
      <c r="E260" s="25" t="s">
        <v>838</v>
      </c>
      <c r="F260" s="25"/>
      <c r="G260" s="65"/>
      <c r="H260" s="25" t="s">
        <v>842</v>
      </c>
      <c r="I260" s="25"/>
      <c r="J260" s="26" t="s">
        <v>843</v>
      </c>
      <c r="K260" s="27" t="s">
        <v>314</v>
      </c>
      <c r="L260" s="28" t="s">
        <v>316</v>
      </c>
      <c r="M260" s="28" t="s">
        <v>704</v>
      </c>
      <c r="N260" s="25">
        <v>1</v>
      </c>
      <c r="O260" s="29">
        <v>91.862499999999983</v>
      </c>
      <c r="P260" s="29">
        <v>91.862499999999983</v>
      </c>
      <c r="Q260" s="25" t="s">
        <v>753</v>
      </c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127"/>
        <v>0</v>
      </c>
      <c r="AF260" s="32">
        <f t="shared" si="128"/>
        <v>91.862499999999983</v>
      </c>
      <c r="AG260" s="30"/>
      <c r="AH260" s="33"/>
      <c r="AI260" s="34">
        <f t="shared" si="129"/>
        <v>0</v>
      </c>
      <c r="AJ260" s="35"/>
      <c r="AK260" s="30"/>
      <c r="AL260" s="36">
        <f t="shared" si="130"/>
        <v>0</v>
      </c>
      <c r="AM260" s="35"/>
      <c r="AN260" s="30"/>
      <c r="AO260" s="36">
        <f t="shared" si="131"/>
        <v>0</v>
      </c>
      <c r="AP260" s="35"/>
      <c r="AQ260" s="30"/>
      <c r="AR260" s="36">
        <f t="shared" si="132"/>
        <v>0</v>
      </c>
      <c r="AS260" s="27"/>
      <c r="AT260" s="37"/>
      <c r="AU260" s="30"/>
      <c r="AV260" s="36">
        <f t="shared" si="133"/>
        <v>0</v>
      </c>
      <c r="AW260" s="35"/>
      <c r="AX260" s="30"/>
      <c r="AY260" s="32">
        <f t="shared" si="134"/>
        <v>0</v>
      </c>
      <c r="AZ260" s="30" t="s">
        <v>841</v>
      </c>
      <c r="BA260" s="63"/>
      <c r="BB260" s="71" t="e">
        <f>SUMIFS([1]Form!$F$9:$F$22,[1]Form!$K$9:$K$22,K260)</f>
        <v>#VALUE!</v>
      </c>
      <c r="BC260" s="71"/>
      <c r="BD260" s="71"/>
    </row>
    <row r="261" spans="1:56" x14ac:dyDescent="0.25">
      <c r="A261" s="24">
        <f>IF(B261="","",SUBTOTAL(3,$B$4:B261))</f>
        <v>258</v>
      </c>
      <c r="B261" s="25" t="s">
        <v>840</v>
      </c>
      <c r="C261" s="25" t="str">
        <f t="shared" si="126"/>
        <v>Shipment 1 B-10124 Fired Proces Heater</v>
      </c>
      <c r="D261" s="25" t="s">
        <v>839</v>
      </c>
      <c r="E261" s="25" t="s">
        <v>838</v>
      </c>
      <c r="F261" s="25"/>
      <c r="G261" s="65"/>
      <c r="H261" s="25" t="s">
        <v>842</v>
      </c>
      <c r="I261" s="25"/>
      <c r="J261" s="26" t="s">
        <v>843</v>
      </c>
      <c r="K261" s="27" t="s">
        <v>314</v>
      </c>
      <c r="L261" s="28" t="s">
        <v>317</v>
      </c>
      <c r="M261" s="28" t="s">
        <v>704</v>
      </c>
      <c r="N261" s="25">
        <v>1</v>
      </c>
      <c r="O261" s="29">
        <v>91.862499999999983</v>
      </c>
      <c r="P261" s="29">
        <v>91.862499999999983</v>
      </c>
      <c r="Q261" s="25" t="s">
        <v>753</v>
      </c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127"/>
        <v>0</v>
      </c>
      <c r="AF261" s="32">
        <f t="shared" si="128"/>
        <v>91.862499999999983</v>
      </c>
      <c r="AG261" s="30"/>
      <c r="AH261" s="33"/>
      <c r="AI261" s="34">
        <f t="shared" si="129"/>
        <v>0</v>
      </c>
      <c r="AJ261" s="35"/>
      <c r="AK261" s="30"/>
      <c r="AL261" s="36">
        <f t="shared" si="130"/>
        <v>0</v>
      </c>
      <c r="AM261" s="35"/>
      <c r="AN261" s="30"/>
      <c r="AO261" s="36">
        <f t="shared" si="131"/>
        <v>0</v>
      </c>
      <c r="AP261" s="35"/>
      <c r="AQ261" s="30"/>
      <c r="AR261" s="36">
        <f t="shared" si="132"/>
        <v>0</v>
      </c>
      <c r="AS261" s="27"/>
      <c r="AT261" s="37"/>
      <c r="AU261" s="30"/>
      <c r="AV261" s="36">
        <f t="shared" si="133"/>
        <v>0</v>
      </c>
      <c r="AW261" s="35"/>
      <c r="AX261" s="30"/>
      <c r="AY261" s="32">
        <f t="shared" si="134"/>
        <v>0</v>
      </c>
      <c r="AZ261" s="30" t="s">
        <v>841</v>
      </c>
      <c r="BA261" s="63"/>
      <c r="BB261" s="71" t="e">
        <f>SUMIFS([1]Form!$F$9:$F$22,[1]Form!$K$9:$K$22,K261)</f>
        <v>#VALUE!</v>
      </c>
      <c r="BC261" s="71"/>
      <c r="BD261" s="71"/>
    </row>
    <row r="262" spans="1:56" x14ac:dyDescent="0.25">
      <c r="A262" s="24">
        <f>IF(B262="","",SUBTOTAL(3,$B$4:B262))</f>
        <v>259</v>
      </c>
      <c r="B262" s="25" t="s">
        <v>840</v>
      </c>
      <c r="C262" s="25" t="str">
        <f t="shared" si="126"/>
        <v>Shipment 1 B-10124 Fired Proces Heater</v>
      </c>
      <c r="D262" s="25" t="s">
        <v>839</v>
      </c>
      <c r="E262" s="25" t="s">
        <v>838</v>
      </c>
      <c r="F262" s="25"/>
      <c r="G262" s="65"/>
      <c r="H262" s="25" t="s">
        <v>842</v>
      </c>
      <c r="I262" s="25"/>
      <c r="J262" s="26" t="s">
        <v>843</v>
      </c>
      <c r="K262" s="27" t="s">
        <v>314</v>
      </c>
      <c r="L262" s="28" t="s">
        <v>318</v>
      </c>
      <c r="M262" s="28" t="s">
        <v>704</v>
      </c>
      <c r="N262" s="25">
        <v>1</v>
      </c>
      <c r="O262" s="29">
        <v>91.862499999999983</v>
      </c>
      <c r="P262" s="29">
        <v>91.862499999999983</v>
      </c>
      <c r="Q262" s="25" t="s">
        <v>753</v>
      </c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127"/>
        <v>0</v>
      </c>
      <c r="AF262" s="32">
        <f t="shared" si="128"/>
        <v>91.862499999999983</v>
      </c>
      <c r="AG262" s="30"/>
      <c r="AH262" s="33"/>
      <c r="AI262" s="34">
        <f t="shared" si="129"/>
        <v>0</v>
      </c>
      <c r="AJ262" s="35"/>
      <c r="AK262" s="30"/>
      <c r="AL262" s="36">
        <f t="shared" si="130"/>
        <v>0</v>
      </c>
      <c r="AM262" s="35"/>
      <c r="AN262" s="30"/>
      <c r="AO262" s="36">
        <f t="shared" si="131"/>
        <v>0</v>
      </c>
      <c r="AP262" s="35"/>
      <c r="AQ262" s="30"/>
      <c r="AR262" s="36">
        <f t="shared" si="132"/>
        <v>0</v>
      </c>
      <c r="AS262" s="27"/>
      <c r="AT262" s="37"/>
      <c r="AU262" s="30"/>
      <c r="AV262" s="36">
        <f t="shared" si="133"/>
        <v>0</v>
      </c>
      <c r="AW262" s="35"/>
      <c r="AX262" s="30"/>
      <c r="AY262" s="32">
        <f t="shared" si="134"/>
        <v>0</v>
      </c>
      <c r="AZ262" s="30" t="s">
        <v>841</v>
      </c>
      <c r="BA262" s="63"/>
      <c r="BB262" s="71" t="e">
        <f>SUMIFS([1]Form!$F$9:$F$22,[1]Form!$K$9:$K$22,K262)</f>
        <v>#VALUE!</v>
      </c>
      <c r="BC262" s="71"/>
      <c r="BD262" s="71"/>
    </row>
    <row r="263" spans="1:56" x14ac:dyDescent="0.25">
      <c r="A263" s="24">
        <f>IF(B263="","",SUBTOTAL(3,$B$4:B263))</f>
        <v>260</v>
      </c>
      <c r="B263" s="25" t="s">
        <v>840</v>
      </c>
      <c r="C263" s="25" t="str">
        <f t="shared" si="126"/>
        <v>Shipment 1 B-10124 Fired Proces Heater</v>
      </c>
      <c r="D263" s="25" t="s">
        <v>839</v>
      </c>
      <c r="E263" s="25" t="s">
        <v>838</v>
      </c>
      <c r="F263" s="25"/>
      <c r="G263" s="65"/>
      <c r="H263" s="25" t="s">
        <v>842</v>
      </c>
      <c r="I263" s="25"/>
      <c r="J263" s="26" t="s">
        <v>843</v>
      </c>
      <c r="K263" s="27" t="s">
        <v>314</v>
      </c>
      <c r="L263" s="28" t="s">
        <v>319</v>
      </c>
      <c r="M263" s="28" t="s">
        <v>704</v>
      </c>
      <c r="N263" s="25">
        <v>1</v>
      </c>
      <c r="O263" s="29">
        <v>91.862499999999983</v>
      </c>
      <c r="P263" s="29">
        <v>91.862499999999983</v>
      </c>
      <c r="Q263" s="25" t="s">
        <v>753</v>
      </c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127"/>
        <v>0</v>
      </c>
      <c r="AF263" s="32">
        <f t="shared" si="128"/>
        <v>91.862499999999983</v>
      </c>
      <c r="AG263" s="30"/>
      <c r="AH263" s="33"/>
      <c r="AI263" s="34">
        <f t="shared" si="129"/>
        <v>0</v>
      </c>
      <c r="AJ263" s="35"/>
      <c r="AK263" s="30"/>
      <c r="AL263" s="36">
        <f t="shared" si="130"/>
        <v>0</v>
      </c>
      <c r="AM263" s="35"/>
      <c r="AN263" s="30"/>
      <c r="AO263" s="36">
        <f t="shared" si="131"/>
        <v>0</v>
      </c>
      <c r="AP263" s="35"/>
      <c r="AQ263" s="30"/>
      <c r="AR263" s="36">
        <f t="shared" si="132"/>
        <v>0</v>
      </c>
      <c r="AS263" s="27"/>
      <c r="AT263" s="37"/>
      <c r="AU263" s="30"/>
      <c r="AV263" s="36">
        <f t="shared" si="133"/>
        <v>0</v>
      </c>
      <c r="AW263" s="35"/>
      <c r="AX263" s="30"/>
      <c r="AY263" s="32">
        <f t="shared" si="134"/>
        <v>0</v>
      </c>
      <c r="AZ263" s="30" t="s">
        <v>841</v>
      </c>
      <c r="BA263" s="63"/>
      <c r="BB263" s="71" t="e">
        <f>SUMIFS([1]Form!$F$9:$F$22,[1]Form!$K$9:$K$22,K263)</f>
        <v>#VALUE!</v>
      </c>
      <c r="BC263" s="71"/>
      <c r="BD263" s="71"/>
    </row>
    <row r="264" spans="1:56" x14ac:dyDescent="0.25">
      <c r="A264" s="24">
        <f>IF(B264="","",SUBTOTAL(3,$B$4:B264))</f>
        <v>261</v>
      </c>
      <c r="B264" s="25" t="s">
        <v>840</v>
      </c>
      <c r="C264" s="25" t="str">
        <f t="shared" si="126"/>
        <v>Shipment 1 B-10124 Fired Proces Heater</v>
      </c>
      <c r="D264" s="25" t="s">
        <v>839</v>
      </c>
      <c r="E264" s="25" t="s">
        <v>838</v>
      </c>
      <c r="F264" s="25"/>
      <c r="G264" s="65"/>
      <c r="H264" s="25" t="s">
        <v>842</v>
      </c>
      <c r="I264" s="25"/>
      <c r="J264" s="26" t="s">
        <v>843</v>
      </c>
      <c r="K264" s="27" t="s">
        <v>314</v>
      </c>
      <c r="L264" s="28" t="s">
        <v>320</v>
      </c>
      <c r="M264" s="28" t="s">
        <v>704</v>
      </c>
      <c r="N264" s="25">
        <v>1</v>
      </c>
      <c r="O264" s="29">
        <v>91.862499999999983</v>
      </c>
      <c r="P264" s="29">
        <v>91.862499999999983</v>
      </c>
      <c r="Q264" s="25" t="s">
        <v>753</v>
      </c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127"/>
        <v>0</v>
      </c>
      <c r="AF264" s="32">
        <f t="shared" si="128"/>
        <v>91.862499999999983</v>
      </c>
      <c r="AG264" s="30"/>
      <c r="AH264" s="33"/>
      <c r="AI264" s="34">
        <f t="shared" si="129"/>
        <v>0</v>
      </c>
      <c r="AJ264" s="35"/>
      <c r="AK264" s="30"/>
      <c r="AL264" s="36">
        <f t="shared" si="130"/>
        <v>0</v>
      </c>
      <c r="AM264" s="35"/>
      <c r="AN264" s="30"/>
      <c r="AO264" s="36">
        <f t="shared" si="131"/>
        <v>0</v>
      </c>
      <c r="AP264" s="35"/>
      <c r="AQ264" s="30"/>
      <c r="AR264" s="36">
        <f t="shared" si="132"/>
        <v>0</v>
      </c>
      <c r="AS264" s="27"/>
      <c r="AT264" s="37"/>
      <c r="AU264" s="30"/>
      <c r="AV264" s="36">
        <f t="shared" si="133"/>
        <v>0</v>
      </c>
      <c r="AW264" s="35"/>
      <c r="AX264" s="30"/>
      <c r="AY264" s="32">
        <f t="shared" si="134"/>
        <v>0</v>
      </c>
      <c r="AZ264" s="30" t="s">
        <v>841</v>
      </c>
      <c r="BA264" s="63"/>
      <c r="BB264" s="71" t="e">
        <f>SUMIFS([1]Form!$F$9:$F$22,[1]Form!$K$9:$K$22,K264)</f>
        <v>#VALUE!</v>
      </c>
      <c r="BC264" s="71"/>
      <c r="BD264" s="71"/>
    </row>
    <row r="265" spans="1:56" x14ac:dyDescent="0.25">
      <c r="A265" s="24">
        <f>IF(B265="","",SUBTOTAL(3,$B$4:B265))</f>
        <v>262</v>
      </c>
      <c r="B265" s="25" t="s">
        <v>840</v>
      </c>
      <c r="C265" s="25" t="str">
        <f t="shared" si="126"/>
        <v>Shipment 1 B-10124 Fired Proces Heater</v>
      </c>
      <c r="D265" s="25" t="s">
        <v>839</v>
      </c>
      <c r="E265" s="25" t="s">
        <v>838</v>
      </c>
      <c r="F265" s="25"/>
      <c r="G265" s="65"/>
      <c r="H265" s="25" t="s">
        <v>842</v>
      </c>
      <c r="I265" s="25"/>
      <c r="J265" s="26" t="s">
        <v>843</v>
      </c>
      <c r="K265" s="27" t="s">
        <v>314</v>
      </c>
      <c r="L265" s="28" t="s">
        <v>321</v>
      </c>
      <c r="M265" s="28" t="s">
        <v>704</v>
      </c>
      <c r="N265" s="25">
        <v>1</v>
      </c>
      <c r="O265" s="29">
        <v>91.862499999999983</v>
      </c>
      <c r="P265" s="29">
        <v>91.862499999999983</v>
      </c>
      <c r="Q265" s="25" t="s">
        <v>753</v>
      </c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127"/>
        <v>0</v>
      </c>
      <c r="AF265" s="32">
        <f t="shared" si="128"/>
        <v>91.862499999999983</v>
      </c>
      <c r="AG265" s="30"/>
      <c r="AH265" s="33"/>
      <c r="AI265" s="34">
        <f t="shared" si="129"/>
        <v>0</v>
      </c>
      <c r="AJ265" s="35"/>
      <c r="AK265" s="30"/>
      <c r="AL265" s="36">
        <f t="shared" si="130"/>
        <v>0</v>
      </c>
      <c r="AM265" s="35"/>
      <c r="AN265" s="30"/>
      <c r="AO265" s="36">
        <f t="shared" si="131"/>
        <v>0</v>
      </c>
      <c r="AP265" s="35"/>
      <c r="AQ265" s="30"/>
      <c r="AR265" s="36">
        <f t="shared" si="132"/>
        <v>0</v>
      </c>
      <c r="AS265" s="27"/>
      <c r="AT265" s="37"/>
      <c r="AU265" s="30"/>
      <c r="AV265" s="36">
        <f t="shared" si="133"/>
        <v>0</v>
      </c>
      <c r="AW265" s="35"/>
      <c r="AX265" s="30"/>
      <c r="AY265" s="32">
        <f t="shared" si="134"/>
        <v>0</v>
      </c>
      <c r="AZ265" s="30" t="s">
        <v>841</v>
      </c>
      <c r="BA265" s="63"/>
      <c r="BB265" s="71" t="e">
        <f>SUMIFS([1]Form!$F$9:$F$22,[1]Form!$K$9:$K$22,K265)</f>
        <v>#VALUE!</v>
      </c>
      <c r="BC265" s="71"/>
      <c r="BD265" s="71"/>
    </row>
    <row r="266" spans="1:56" x14ac:dyDescent="0.25">
      <c r="A266" s="24">
        <f>IF(B266="","",SUBTOTAL(3,$B$4:B266))</f>
        <v>263</v>
      </c>
      <c r="B266" s="25" t="s">
        <v>840</v>
      </c>
      <c r="C266" s="25" t="str">
        <f t="shared" si="126"/>
        <v>Shipment 1 B-10124 Fired Proces Heater</v>
      </c>
      <c r="D266" s="25" t="s">
        <v>839</v>
      </c>
      <c r="E266" s="25" t="s">
        <v>838</v>
      </c>
      <c r="F266" s="25"/>
      <c r="G266" s="65"/>
      <c r="H266" s="25" t="s">
        <v>842</v>
      </c>
      <c r="I266" s="25"/>
      <c r="J266" s="26" t="s">
        <v>843</v>
      </c>
      <c r="K266" s="27" t="s">
        <v>314</v>
      </c>
      <c r="L266" s="28" t="s">
        <v>322</v>
      </c>
      <c r="M266" s="28" t="s">
        <v>704</v>
      </c>
      <c r="N266" s="25">
        <v>1</v>
      </c>
      <c r="O266" s="29">
        <v>91.862499999999983</v>
      </c>
      <c r="P266" s="29">
        <v>91.862499999999983</v>
      </c>
      <c r="Q266" s="25" t="s">
        <v>753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127"/>
        <v>0</v>
      </c>
      <c r="AF266" s="32">
        <f t="shared" si="128"/>
        <v>91.862499999999983</v>
      </c>
      <c r="AG266" s="30"/>
      <c r="AH266" s="33"/>
      <c r="AI266" s="34">
        <f t="shared" si="129"/>
        <v>0</v>
      </c>
      <c r="AJ266" s="35"/>
      <c r="AK266" s="30"/>
      <c r="AL266" s="36">
        <f t="shared" si="130"/>
        <v>0</v>
      </c>
      <c r="AM266" s="35"/>
      <c r="AN266" s="30"/>
      <c r="AO266" s="36">
        <f t="shared" si="131"/>
        <v>0</v>
      </c>
      <c r="AP266" s="35"/>
      <c r="AQ266" s="30"/>
      <c r="AR266" s="36">
        <f t="shared" si="132"/>
        <v>0</v>
      </c>
      <c r="AS266" s="27"/>
      <c r="AT266" s="37"/>
      <c r="AU266" s="30"/>
      <c r="AV266" s="36">
        <f t="shared" si="133"/>
        <v>0</v>
      </c>
      <c r="AW266" s="35"/>
      <c r="AX266" s="30"/>
      <c r="AY266" s="32">
        <f t="shared" si="134"/>
        <v>0</v>
      </c>
      <c r="AZ266" s="30" t="s">
        <v>841</v>
      </c>
      <c r="BA266" s="63"/>
      <c r="BB266" s="71" t="e">
        <f>SUMIFS([1]Form!$F$9:$F$22,[1]Form!$K$9:$K$22,K266)</f>
        <v>#VALUE!</v>
      </c>
      <c r="BC266" s="71"/>
      <c r="BD266" s="71"/>
    </row>
    <row r="267" spans="1:56" x14ac:dyDescent="0.25">
      <c r="A267" s="24">
        <f>IF(B267="","",SUBTOTAL(3,$B$4:B267))</f>
        <v>264</v>
      </c>
      <c r="B267" s="25" t="s">
        <v>840</v>
      </c>
      <c r="C267" s="25" t="str">
        <f t="shared" si="126"/>
        <v>Shipment 1 B-10124 Fired Proces Heater</v>
      </c>
      <c r="D267" s="25" t="s">
        <v>839</v>
      </c>
      <c r="E267" s="25" t="s">
        <v>838</v>
      </c>
      <c r="F267" s="25"/>
      <c r="G267" s="65"/>
      <c r="H267" s="25" t="s">
        <v>842</v>
      </c>
      <c r="I267" s="25"/>
      <c r="J267" s="26" t="s">
        <v>843</v>
      </c>
      <c r="K267" s="27" t="s">
        <v>323</v>
      </c>
      <c r="L267" s="28" t="s">
        <v>973</v>
      </c>
      <c r="M267" s="28" t="s">
        <v>704</v>
      </c>
      <c r="N267" s="25">
        <v>20</v>
      </c>
      <c r="O267" s="29">
        <v>0.83499999999999996</v>
      </c>
      <c r="P267" s="29">
        <v>16.7</v>
      </c>
      <c r="Q267" s="25" t="s">
        <v>754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127"/>
        <v>0</v>
      </c>
      <c r="AF267" s="32">
        <f t="shared" si="128"/>
        <v>16.7</v>
      </c>
      <c r="AG267" s="30"/>
      <c r="AH267" s="33"/>
      <c r="AI267" s="34">
        <f t="shared" si="129"/>
        <v>0</v>
      </c>
      <c r="AJ267" s="35"/>
      <c r="AK267" s="30"/>
      <c r="AL267" s="36">
        <f t="shared" si="130"/>
        <v>0</v>
      </c>
      <c r="AM267" s="35"/>
      <c r="AN267" s="30"/>
      <c r="AO267" s="36">
        <f t="shared" si="131"/>
        <v>0</v>
      </c>
      <c r="AP267" s="35"/>
      <c r="AQ267" s="30"/>
      <c r="AR267" s="36">
        <f t="shared" si="132"/>
        <v>0</v>
      </c>
      <c r="AS267" s="27"/>
      <c r="AT267" s="37"/>
      <c r="AU267" s="30"/>
      <c r="AV267" s="36">
        <f t="shared" si="133"/>
        <v>0</v>
      </c>
      <c r="AW267" s="35"/>
      <c r="AX267" s="30"/>
      <c r="AY267" s="32">
        <f t="shared" si="134"/>
        <v>0</v>
      </c>
      <c r="AZ267" s="30" t="s">
        <v>841</v>
      </c>
      <c r="BA267" s="63"/>
      <c r="BB267" s="71" t="e">
        <f>SUMIFS([1]Form!$F$9:$F$22,[1]Form!$K$9:$K$22,K267)</f>
        <v>#VALUE!</v>
      </c>
      <c r="BC267" s="71"/>
      <c r="BD267" s="71"/>
    </row>
    <row r="268" spans="1:56" x14ac:dyDescent="0.25">
      <c r="A268" s="24">
        <f>IF(B268="","",SUBTOTAL(3,$B$4:B268))</f>
        <v>265</v>
      </c>
      <c r="B268" s="25" t="s">
        <v>840</v>
      </c>
      <c r="C268" s="25" t="str">
        <f t="shared" si="126"/>
        <v>Shipment 1 B-10124 Fired Proces Heater</v>
      </c>
      <c r="D268" s="25" t="s">
        <v>839</v>
      </c>
      <c r="E268" s="25" t="s">
        <v>838</v>
      </c>
      <c r="F268" s="25"/>
      <c r="G268" s="65"/>
      <c r="H268" s="25" t="s">
        <v>842</v>
      </c>
      <c r="I268" s="25"/>
      <c r="J268" s="26" t="s">
        <v>843</v>
      </c>
      <c r="K268" s="27" t="s">
        <v>324</v>
      </c>
      <c r="L268" s="28" t="s">
        <v>325</v>
      </c>
      <c r="M268" s="28" t="s">
        <v>704</v>
      </c>
      <c r="N268" s="25">
        <v>1</v>
      </c>
      <c r="O268" s="29">
        <v>11.6</v>
      </c>
      <c r="P268" s="29">
        <v>11.6</v>
      </c>
      <c r="Q268" s="25" t="s">
        <v>755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127"/>
        <v>0</v>
      </c>
      <c r="AF268" s="32">
        <f t="shared" si="128"/>
        <v>11.6</v>
      </c>
      <c r="AG268" s="30"/>
      <c r="AH268" s="33"/>
      <c r="AI268" s="34">
        <f t="shared" si="129"/>
        <v>0</v>
      </c>
      <c r="AJ268" s="35"/>
      <c r="AK268" s="30"/>
      <c r="AL268" s="36">
        <f t="shared" si="130"/>
        <v>0</v>
      </c>
      <c r="AM268" s="35"/>
      <c r="AN268" s="30"/>
      <c r="AO268" s="36">
        <f t="shared" si="131"/>
        <v>0</v>
      </c>
      <c r="AP268" s="35"/>
      <c r="AQ268" s="30"/>
      <c r="AR268" s="36">
        <f t="shared" si="132"/>
        <v>0</v>
      </c>
      <c r="AS268" s="27"/>
      <c r="AT268" s="37"/>
      <c r="AU268" s="30"/>
      <c r="AV268" s="36">
        <f t="shared" si="133"/>
        <v>0</v>
      </c>
      <c r="AW268" s="35"/>
      <c r="AX268" s="30"/>
      <c r="AY268" s="32">
        <f t="shared" si="134"/>
        <v>0</v>
      </c>
      <c r="AZ268" s="30" t="s">
        <v>841</v>
      </c>
      <c r="BA268" s="63"/>
      <c r="BB268" s="71" t="e">
        <f>SUMIFS([1]Form!$F$9:$F$22,[1]Form!$K$9:$K$22,K268)</f>
        <v>#VALUE!</v>
      </c>
      <c r="BC268" s="71"/>
      <c r="BD268" s="71"/>
    </row>
    <row r="269" spans="1:56" x14ac:dyDescent="0.25">
      <c r="A269" s="24">
        <f>IF(B269="","",SUBTOTAL(3,$B$4:B269))</f>
        <v>266</v>
      </c>
      <c r="B269" s="25" t="s">
        <v>840</v>
      </c>
      <c r="C269" s="25" t="str">
        <f t="shared" si="126"/>
        <v>Shipment 1 B-10124 Fired Proces Heater</v>
      </c>
      <c r="D269" s="25" t="s">
        <v>839</v>
      </c>
      <c r="E269" s="25" t="s">
        <v>838</v>
      </c>
      <c r="F269" s="25"/>
      <c r="G269" s="65"/>
      <c r="H269" s="25" t="s">
        <v>842</v>
      </c>
      <c r="I269" s="25"/>
      <c r="J269" s="26" t="s">
        <v>843</v>
      </c>
      <c r="K269" s="27" t="s">
        <v>326</v>
      </c>
      <c r="L269" s="28" t="s">
        <v>327</v>
      </c>
      <c r="M269" s="28" t="s">
        <v>704</v>
      </c>
      <c r="N269" s="25">
        <v>1</v>
      </c>
      <c r="O269" s="29">
        <v>11.6</v>
      </c>
      <c r="P269" s="29">
        <v>11.6</v>
      </c>
      <c r="Q269" s="25" t="s">
        <v>755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127"/>
        <v>0</v>
      </c>
      <c r="AF269" s="32">
        <f t="shared" si="128"/>
        <v>11.6</v>
      </c>
      <c r="AG269" s="30"/>
      <c r="AH269" s="33"/>
      <c r="AI269" s="34">
        <f t="shared" si="129"/>
        <v>0</v>
      </c>
      <c r="AJ269" s="35"/>
      <c r="AK269" s="30"/>
      <c r="AL269" s="36">
        <f t="shared" si="130"/>
        <v>0</v>
      </c>
      <c r="AM269" s="35"/>
      <c r="AN269" s="30"/>
      <c r="AO269" s="36">
        <f t="shared" si="131"/>
        <v>0</v>
      </c>
      <c r="AP269" s="35"/>
      <c r="AQ269" s="30"/>
      <c r="AR269" s="36">
        <f t="shared" si="132"/>
        <v>0</v>
      </c>
      <c r="AS269" s="27"/>
      <c r="AT269" s="37"/>
      <c r="AU269" s="30"/>
      <c r="AV269" s="36">
        <f t="shared" si="133"/>
        <v>0</v>
      </c>
      <c r="AW269" s="35"/>
      <c r="AX269" s="30"/>
      <c r="AY269" s="32">
        <f t="shared" si="134"/>
        <v>0</v>
      </c>
      <c r="AZ269" s="30" t="s">
        <v>841</v>
      </c>
      <c r="BA269" s="63"/>
      <c r="BB269" s="71" t="e">
        <f>SUMIFS([1]Form!$F$9:$F$22,[1]Form!$K$9:$K$22,K269)</f>
        <v>#VALUE!</v>
      </c>
      <c r="BC269" s="71"/>
      <c r="BD269" s="71"/>
    </row>
    <row r="270" spans="1:56" x14ac:dyDescent="0.25">
      <c r="A270" s="24">
        <f>IF(B270="","",SUBTOTAL(3,$B$4:B270))</f>
        <v>267</v>
      </c>
      <c r="B270" s="25" t="s">
        <v>840</v>
      </c>
      <c r="C270" s="25" t="str">
        <f t="shared" si="126"/>
        <v>Shipment 1 B-10124 Fired Proces Heater</v>
      </c>
      <c r="D270" s="25" t="s">
        <v>839</v>
      </c>
      <c r="E270" s="25" t="s">
        <v>838</v>
      </c>
      <c r="F270" s="25"/>
      <c r="G270" s="65"/>
      <c r="H270" s="25" t="s">
        <v>842</v>
      </c>
      <c r="I270" s="25"/>
      <c r="J270" s="26" t="s">
        <v>843</v>
      </c>
      <c r="K270" s="27" t="s">
        <v>328</v>
      </c>
      <c r="L270" s="28" t="s">
        <v>329</v>
      </c>
      <c r="M270" s="28" t="s">
        <v>704</v>
      </c>
      <c r="N270" s="25">
        <v>1</v>
      </c>
      <c r="O270" s="29">
        <v>11.9</v>
      </c>
      <c r="P270" s="29">
        <v>11.9</v>
      </c>
      <c r="Q270" s="25" t="s">
        <v>756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127"/>
        <v>0</v>
      </c>
      <c r="AF270" s="32">
        <f t="shared" si="128"/>
        <v>11.9</v>
      </c>
      <c r="AG270" s="30"/>
      <c r="AH270" s="33"/>
      <c r="AI270" s="34">
        <f t="shared" si="129"/>
        <v>0</v>
      </c>
      <c r="AJ270" s="35"/>
      <c r="AK270" s="30"/>
      <c r="AL270" s="36">
        <f t="shared" si="130"/>
        <v>0</v>
      </c>
      <c r="AM270" s="35"/>
      <c r="AN270" s="30"/>
      <c r="AO270" s="36">
        <f t="shared" si="131"/>
        <v>0</v>
      </c>
      <c r="AP270" s="35"/>
      <c r="AQ270" s="30"/>
      <c r="AR270" s="36">
        <f t="shared" si="132"/>
        <v>0</v>
      </c>
      <c r="AS270" s="27"/>
      <c r="AT270" s="37"/>
      <c r="AU270" s="30"/>
      <c r="AV270" s="36">
        <f t="shared" si="133"/>
        <v>0</v>
      </c>
      <c r="AW270" s="35"/>
      <c r="AX270" s="30"/>
      <c r="AY270" s="32">
        <f t="shared" si="134"/>
        <v>0</v>
      </c>
      <c r="AZ270" s="30" t="s">
        <v>841</v>
      </c>
      <c r="BA270" s="63"/>
      <c r="BB270" s="71" t="e">
        <f>SUMIFS([1]Form!$F$9:$F$22,[1]Form!$K$9:$K$22,K270)</f>
        <v>#VALUE!</v>
      </c>
      <c r="BC270" s="71"/>
      <c r="BD270" s="71"/>
    </row>
    <row r="271" spans="1:56" x14ac:dyDescent="0.25">
      <c r="A271" s="24">
        <f>IF(B271="","",SUBTOTAL(3,$B$4:B271))</f>
        <v>268</v>
      </c>
      <c r="B271" s="25" t="s">
        <v>840</v>
      </c>
      <c r="C271" s="25" t="str">
        <f t="shared" si="126"/>
        <v>Shipment 1 B-10124 Fired Proces Heater</v>
      </c>
      <c r="D271" s="25" t="s">
        <v>839</v>
      </c>
      <c r="E271" s="25" t="s">
        <v>838</v>
      </c>
      <c r="F271" s="25"/>
      <c r="G271" s="65"/>
      <c r="H271" s="25" t="s">
        <v>842</v>
      </c>
      <c r="I271" s="25"/>
      <c r="J271" s="26" t="s">
        <v>843</v>
      </c>
      <c r="K271" s="27" t="s">
        <v>330</v>
      </c>
      <c r="L271" s="28" t="s">
        <v>331</v>
      </c>
      <c r="M271" s="28" t="s">
        <v>704</v>
      </c>
      <c r="N271" s="25">
        <v>1</v>
      </c>
      <c r="O271" s="29">
        <v>20.3</v>
      </c>
      <c r="P271" s="29">
        <v>20.3</v>
      </c>
      <c r="Q271" s="25" t="s">
        <v>757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127"/>
        <v>20.300000000000004</v>
      </c>
      <c r="AF271" s="32">
        <f t="shared" si="128"/>
        <v>0</v>
      </c>
      <c r="AG271" s="30"/>
      <c r="AH271" s="33"/>
      <c r="AI271" s="34">
        <f t="shared" si="129"/>
        <v>0</v>
      </c>
      <c r="AJ271" s="35">
        <v>46308</v>
      </c>
      <c r="AK271" s="30">
        <v>1</v>
      </c>
      <c r="AL271" s="36">
        <f t="shared" si="130"/>
        <v>20.3</v>
      </c>
      <c r="AM271" s="35">
        <v>46308</v>
      </c>
      <c r="AN271" s="30">
        <v>1</v>
      </c>
      <c r="AO271" s="36">
        <f t="shared" si="131"/>
        <v>20.3</v>
      </c>
      <c r="AP271" s="35"/>
      <c r="AQ271" s="30"/>
      <c r="AR271" s="36">
        <f t="shared" si="132"/>
        <v>0</v>
      </c>
      <c r="AS271" s="27" t="s">
        <v>1245</v>
      </c>
      <c r="AT271" s="37">
        <v>46308</v>
      </c>
      <c r="AU271" s="30">
        <v>1</v>
      </c>
      <c r="AV271" s="36">
        <f t="shared" si="133"/>
        <v>20.3</v>
      </c>
      <c r="AW271" s="35">
        <v>46310</v>
      </c>
      <c r="AX271" s="30">
        <v>1</v>
      </c>
      <c r="AY271" s="32">
        <f t="shared" si="134"/>
        <v>20.3</v>
      </c>
      <c r="AZ271" s="30" t="s">
        <v>841</v>
      </c>
      <c r="BA271" s="63" t="s">
        <v>1244</v>
      </c>
      <c r="BB271" s="71"/>
      <c r="BC271" s="71"/>
      <c r="BD271" s="71"/>
    </row>
    <row r="272" spans="1:56" x14ac:dyDescent="0.25">
      <c r="A272" s="24">
        <f>IF(B272="","",SUBTOTAL(3,$B$4:B272))</f>
        <v>269</v>
      </c>
      <c r="B272" s="25" t="s">
        <v>840</v>
      </c>
      <c r="C272" s="25" t="str">
        <f t="shared" si="126"/>
        <v>Shipment 1 B-10124 Fired Proces Heater</v>
      </c>
      <c r="D272" s="25" t="s">
        <v>839</v>
      </c>
      <c r="E272" s="25" t="s">
        <v>838</v>
      </c>
      <c r="F272" s="25"/>
      <c r="G272" s="65"/>
      <c r="H272" s="25" t="s">
        <v>842</v>
      </c>
      <c r="I272" s="25"/>
      <c r="J272" s="26" t="s">
        <v>843</v>
      </c>
      <c r="K272" s="27" t="s">
        <v>330</v>
      </c>
      <c r="L272" s="28" t="s">
        <v>332</v>
      </c>
      <c r="M272" s="28" t="s">
        <v>704</v>
      </c>
      <c r="N272" s="25">
        <v>1</v>
      </c>
      <c r="O272" s="29">
        <v>20.3</v>
      </c>
      <c r="P272" s="29">
        <v>20.3</v>
      </c>
      <c r="Q272" s="25" t="s">
        <v>757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127"/>
        <v>20.300000000000004</v>
      </c>
      <c r="AF272" s="32">
        <f t="shared" si="128"/>
        <v>0</v>
      </c>
      <c r="AG272" s="30"/>
      <c r="AH272" s="33"/>
      <c r="AI272" s="34">
        <f t="shared" si="129"/>
        <v>0</v>
      </c>
      <c r="AJ272" s="35">
        <v>46308</v>
      </c>
      <c r="AK272" s="30">
        <v>1</v>
      </c>
      <c r="AL272" s="36">
        <f t="shared" si="130"/>
        <v>20.3</v>
      </c>
      <c r="AM272" s="35">
        <v>46308</v>
      </c>
      <c r="AN272" s="30">
        <v>1</v>
      </c>
      <c r="AO272" s="36">
        <f t="shared" si="131"/>
        <v>20.3</v>
      </c>
      <c r="AP272" s="35"/>
      <c r="AQ272" s="30"/>
      <c r="AR272" s="36">
        <f t="shared" si="132"/>
        <v>0</v>
      </c>
      <c r="AS272" s="27" t="s">
        <v>1245</v>
      </c>
      <c r="AT272" s="37">
        <v>46308</v>
      </c>
      <c r="AU272" s="30">
        <v>1</v>
      </c>
      <c r="AV272" s="36">
        <f t="shared" si="133"/>
        <v>20.3</v>
      </c>
      <c r="AW272" s="35">
        <v>46310</v>
      </c>
      <c r="AX272" s="30">
        <v>1</v>
      </c>
      <c r="AY272" s="32">
        <f t="shared" si="134"/>
        <v>20.3</v>
      </c>
      <c r="AZ272" s="30" t="s">
        <v>841</v>
      </c>
      <c r="BA272" s="63" t="s">
        <v>1244</v>
      </c>
      <c r="BB272" s="71"/>
      <c r="BC272" s="71"/>
      <c r="BD272" s="71"/>
    </row>
    <row r="273" spans="1:56" x14ac:dyDescent="0.25">
      <c r="A273" s="24">
        <f>IF(B273="","",SUBTOTAL(3,$B$4:B273))</f>
        <v>270</v>
      </c>
      <c r="B273" s="25" t="s">
        <v>840</v>
      </c>
      <c r="C273" s="25" t="str">
        <f t="shared" si="126"/>
        <v>Shipment 1 B-10124 Fired Proces Heater</v>
      </c>
      <c r="D273" s="25" t="s">
        <v>839</v>
      </c>
      <c r="E273" s="25" t="s">
        <v>838</v>
      </c>
      <c r="F273" s="25"/>
      <c r="G273" s="65"/>
      <c r="H273" s="25" t="s">
        <v>842</v>
      </c>
      <c r="I273" s="25"/>
      <c r="J273" s="26" t="s">
        <v>843</v>
      </c>
      <c r="K273" s="27" t="s">
        <v>333</v>
      </c>
      <c r="L273" s="28" t="s">
        <v>334</v>
      </c>
      <c r="M273" s="28" t="s">
        <v>704</v>
      </c>
      <c r="N273" s="25">
        <v>1</v>
      </c>
      <c r="O273" s="29">
        <v>20.3</v>
      </c>
      <c r="P273" s="29">
        <v>20.3</v>
      </c>
      <c r="Q273" s="25" t="s">
        <v>757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127"/>
        <v>20.300000000000004</v>
      </c>
      <c r="AF273" s="32">
        <f t="shared" si="128"/>
        <v>0</v>
      </c>
      <c r="AG273" s="30"/>
      <c r="AH273" s="33"/>
      <c r="AI273" s="34">
        <f t="shared" si="129"/>
        <v>0</v>
      </c>
      <c r="AJ273" s="35">
        <v>46308</v>
      </c>
      <c r="AK273" s="30">
        <v>1</v>
      </c>
      <c r="AL273" s="36">
        <f t="shared" si="130"/>
        <v>20.3</v>
      </c>
      <c r="AM273" s="35">
        <v>46308</v>
      </c>
      <c r="AN273" s="30">
        <v>1</v>
      </c>
      <c r="AO273" s="36">
        <f t="shared" si="131"/>
        <v>20.3</v>
      </c>
      <c r="AP273" s="35"/>
      <c r="AQ273" s="30"/>
      <c r="AR273" s="36">
        <f t="shared" si="132"/>
        <v>0</v>
      </c>
      <c r="AS273" s="27" t="s">
        <v>1245</v>
      </c>
      <c r="AT273" s="37">
        <v>46308</v>
      </c>
      <c r="AU273" s="30">
        <v>1</v>
      </c>
      <c r="AV273" s="36">
        <f t="shared" si="133"/>
        <v>20.3</v>
      </c>
      <c r="AW273" s="35">
        <v>46310</v>
      </c>
      <c r="AX273" s="30">
        <v>1</v>
      </c>
      <c r="AY273" s="32">
        <f t="shared" si="134"/>
        <v>20.3</v>
      </c>
      <c r="AZ273" s="30" t="s">
        <v>841</v>
      </c>
      <c r="BA273" s="63" t="s">
        <v>1244</v>
      </c>
      <c r="BB273" s="71"/>
      <c r="BC273" s="71"/>
      <c r="BD273" s="71"/>
    </row>
    <row r="274" spans="1:56" x14ac:dyDescent="0.25">
      <c r="A274" s="24">
        <f>IF(B274="","",SUBTOTAL(3,$B$4:B274))</f>
        <v>271</v>
      </c>
      <c r="B274" s="25" t="s">
        <v>840</v>
      </c>
      <c r="C274" s="25" t="str">
        <f t="shared" si="126"/>
        <v>Shipment 1 B-10124 Fired Proces Heater</v>
      </c>
      <c r="D274" s="25" t="s">
        <v>839</v>
      </c>
      <c r="E274" s="25" t="s">
        <v>838</v>
      </c>
      <c r="F274" s="25"/>
      <c r="G274" s="65"/>
      <c r="H274" s="25" t="s">
        <v>842</v>
      </c>
      <c r="I274" s="25"/>
      <c r="J274" s="26" t="s">
        <v>843</v>
      </c>
      <c r="K274" s="27" t="s">
        <v>333</v>
      </c>
      <c r="L274" s="28" t="s">
        <v>335</v>
      </c>
      <c r="M274" s="28" t="s">
        <v>704</v>
      </c>
      <c r="N274" s="25">
        <v>1</v>
      </c>
      <c r="O274" s="29">
        <v>20.3</v>
      </c>
      <c r="P274" s="29">
        <v>20.3</v>
      </c>
      <c r="Q274" s="25" t="s">
        <v>757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127"/>
        <v>20.300000000000004</v>
      </c>
      <c r="AF274" s="32">
        <f t="shared" si="128"/>
        <v>0</v>
      </c>
      <c r="AG274" s="30"/>
      <c r="AH274" s="33"/>
      <c r="AI274" s="34">
        <f t="shared" si="129"/>
        <v>0</v>
      </c>
      <c r="AJ274" s="35">
        <v>46308</v>
      </c>
      <c r="AK274" s="30">
        <v>1</v>
      </c>
      <c r="AL274" s="36">
        <f t="shared" si="130"/>
        <v>20.3</v>
      </c>
      <c r="AM274" s="35">
        <v>46308</v>
      </c>
      <c r="AN274" s="30">
        <v>1</v>
      </c>
      <c r="AO274" s="36">
        <f t="shared" si="131"/>
        <v>20.3</v>
      </c>
      <c r="AP274" s="35"/>
      <c r="AQ274" s="30"/>
      <c r="AR274" s="36">
        <f t="shared" si="132"/>
        <v>0</v>
      </c>
      <c r="AS274" s="27" t="s">
        <v>1245</v>
      </c>
      <c r="AT274" s="37">
        <v>46308</v>
      </c>
      <c r="AU274" s="30">
        <v>1</v>
      </c>
      <c r="AV274" s="36">
        <f t="shared" si="133"/>
        <v>20.3</v>
      </c>
      <c r="AW274" s="35">
        <v>46310</v>
      </c>
      <c r="AX274" s="30">
        <v>1</v>
      </c>
      <c r="AY274" s="32">
        <f t="shared" si="134"/>
        <v>20.3</v>
      </c>
      <c r="AZ274" s="30" t="s">
        <v>841</v>
      </c>
      <c r="BA274" s="63" t="s">
        <v>1244</v>
      </c>
      <c r="BB274" s="71"/>
      <c r="BC274" s="71"/>
      <c r="BD274" s="71"/>
    </row>
    <row r="275" spans="1:56" x14ac:dyDescent="0.25">
      <c r="A275" s="24">
        <f>IF(B275="","",SUBTOTAL(3,$B$4:B275))</f>
        <v>272</v>
      </c>
      <c r="B275" s="25" t="s">
        <v>840</v>
      </c>
      <c r="C275" s="25" t="str">
        <f t="shared" si="126"/>
        <v>Shipment 1 B-10124 Fired Proces Heater</v>
      </c>
      <c r="D275" s="25" t="s">
        <v>839</v>
      </c>
      <c r="E275" s="25" t="s">
        <v>838</v>
      </c>
      <c r="F275" s="25"/>
      <c r="G275" s="65"/>
      <c r="H275" s="25" t="s">
        <v>842</v>
      </c>
      <c r="I275" s="25"/>
      <c r="J275" s="26" t="s">
        <v>843</v>
      </c>
      <c r="K275" s="27" t="s">
        <v>336</v>
      </c>
      <c r="L275" s="28" t="s">
        <v>337</v>
      </c>
      <c r="M275" s="28" t="s">
        <v>704</v>
      </c>
      <c r="N275" s="25">
        <v>1</v>
      </c>
      <c r="O275" s="29">
        <v>16.600000000000001</v>
      </c>
      <c r="P275" s="29">
        <v>16.600000000000001</v>
      </c>
      <c r="Q275" s="25" t="s">
        <v>758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127"/>
        <v>16.600000000000001</v>
      </c>
      <c r="AF275" s="32">
        <f t="shared" si="128"/>
        <v>0</v>
      </c>
      <c r="AG275" s="30"/>
      <c r="AH275" s="33"/>
      <c r="AI275" s="34">
        <f t="shared" si="129"/>
        <v>0</v>
      </c>
      <c r="AJ275" s="35">
        <v>46308</v>
      </c>
      <c r="AK275" s="30">
        <v>1</v>
      </c>
      <c r="AL275" s="36">
        <f t="shared" si="130"/>
        <v>16.600000000000001</v>
      </c>
      <c r="AM275" s="35">
        <v>46308</v>
      </c>
      <c r="AN275" s="30">
        <v>1</v>
      </c>
      <c r="AO275" s="36">
        <f t="shared" si="131"/>
        <v>16.600000000000001</v>
      </c>
      <c r="AP275" s="35"/>
      <c r="AQ275" s="30"/>
      <c r="AR275" s="36">
        <f t="shared" si="132"/>
        <v>0</v>
      </c>
      <c r="AS275" s="27" t="s">
        <v>1245</v>
      </c>
      <c r="AT275" s="37">
        <v>46308</v>
      </c>
      <c r="AU275" s="30">
        <v>1</v>
      </c>
      <c r="AV275" s="36">
        <f t="shared" si="133"/>
        <v>16.600000000000001</v>
      </c>
      <c r="AW275" s="35">
        <v>46310</v>
      </c>
      <c r="AX275" s="30">
        <v>1</v>
      </c>
      <c r="AY275" s="32">
        <f t="shared" si="134"/>
        <v>16.600000000000001</v>
      </c>
      <c r="AZ275" s="30" t="s">
        <v>841</v>
      </c>
      <c r="BA275" s="63" t="s">
        <v>1244</v>
      </c>
      <c r="BB275" s="71"/>
      <c r="BC275" s="71"/>
      <c r="BD275" s="71"/>
    </row>
    <row r="276" spans="1:56" x14ac:dyDescent="0.25">
      <c r="A276" s="24">
        <f>IF(B276="","",SUBTOTAL(3,$B$4:B276))</f>
        <v>273</v>
      </c>
      <c r="B276" s="25" t="s">
        <v>840</v>
      </c>
      <c r="C276" s="25" t="str">
        <f t="shared" si="126"/>
        <v>Shipment 1 B-10124 Fired Proces Heater</v>
      </c>
      <c r="D276" s="25" t="s">
        <v>839</v>
      </c>
      <c r="E276" s="25" t="s">
        <v>838</v>
      </c>
      <c r="F276" s="25"/>
      <c r="G276" s="65"/>
      <c r="H276" s="25" t="s">
        <v>842</v>
      </c>
      <c r="I276" s="25"/>
      <c r="J276" s="26" t="s">
        <v>843</v>
      </c>
      <c r="K276" s="27" t="s">
        <v>336</v>
      </c>
      <c r="L276" s="28" t="s">
        <v>338</v>
      </c>
      <c r="M276" s="28" t="s">
        <v>704</v>
      </c>
      <c r="N276" s="25">
        <v>1</v>
      </c>
      <c r="O276" s="29">
        <v>16.600000000000001</v>
      </c>
      <c r="P276" s="29">
        <v>16.600000000000001</v>
      </c>
      <c r="Q276" s="25" t="s">
        <v>758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127"/>
        <v>16.600000000000001</v>
      </c>
      <c r="AF276" s="32">
        <f t="shared" si="128"/>
        <v>0</v>
      </c>
      <c r="AG276" s="30"/>
      <c r="AH276" s="33"/>
      <c r="AI276" s="34">
        <f t="shared" si="129"/>
        <v>0</v>
      </c>
      <c r="AJ276" s="35">
        <v>46308</v>
      </c>
      <c r="AK276" s="30">
        <v>1</v>
      </c>
      <c r="AL276" s="36">
        <f t="shared" si="130"/>
        <v>16.600000000000001</v>
      </c>
      <c r="AM276" s="35">
        <v>46308</v>
      </c>
      <c r="AN276" s="30">
        <v>1</v>
      </c>
      <c r="AO276" s="36">
        <f t="shared" si="131"/>
        <v>16.600000000000001</v>
      </c>
      <c r="AP276" s="35"/>
      <c r="AQ276" s="30"/>
      <c r="AR276" s="36">
        <f t="shared" si="132"/>
        <v>0</v>
      </c>
      <c r="AS276" s="27" t="s">
        <v>1245</v>
      </c>
      <c r="AT276" s="37">
        <v>46308</v>
      </c>
      <c r="AU276" s="30">
        <v>1</v>
      </c>
      <c r="AV276" s="36">
        <f t="shared" si="133"/>
        <v>16.600000000000001</v>
      </c>
      <c r="AW276" s="35">
        <v>46310</v>
      </c>
      <c r="AX276" s="30">
        <v>1</v>
      </c>
      <c r="AY276" s="32">
        <f t="shared" si="134"/>
        <v>16.600000000000001</v>
      </c>
      <c r="AZ276" s="30" t="s">
        <v>841</v>
      </c>
      <c r="BA276" s="63" t="s">
        <v>1244</v>
      </c>
      <c r="BB276" s="71"/>
      <c r="BC276" s="71"/>
      <c r="BD276" s="71"/>
    </row>
    <row r="277" spans="1:56" x14ac:dyDescent="0.25">
      <c r="A277" s="24">
        <f>IF(B277="","",SUBTOTAL(3,$B$4:B277))</f>
        <v>274</v>
      </c>
      <c r="B277" s="25" t="s">
        <v>840</v>
      </c>
      <c r="C277" s="25" t="str">
        <f t="shared" si="126"/>
        <v>Shipment 1 B-10124 Fired Proces Heater</v>
      </c>
      <c r="D277" s="25" t="s">
        <v>839</v>
      </c>
      <c r="E277" s="25" t="s">
        <v>838</v>
      </c>
      <c r="F277" s="25"/>
      <c r="G277" s="65"/>
      <c r="H277" s="25" t="s">
        <v>842</v>
      </c>
      <c r="I277" s="25"/>
      <c r="J277" s="26" t="s">
        <v>843</v>
      </c>
      <c r="K277" s="27" t="s">
        <v>339</v>
      </c>
      <c r="L277" s="28" t="s">
        <v>340</v>
      </c>
      <c r="M277" s="28" t="s">
        <v>704</v>
      </c>
      <c r="N277" s="25">
        <v>1</v>
      </c>
      <c r="O277" s="29">
        <v>16.600000000000001</v>
      </c>
      <c r="P277" s="29">
        <v>16.600000000000001</v>
      </c>
      <c r="Q277" s="25" t="s">
        <v>758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127"/>
        <v>16.600000000000001</v>
      </c>
      <c r="AF277" s="32">
        <f t="shared" si="128"/>
        <v>0</v>
      </c>
      <c r="AG277" s="30"/>
      <c r="AH277" s="33"/>
      <c r="AI277" s="34">
        <f t="shared" si="129"/>
        <v>0</v>
      </c>
      <c r="AJ277" s="35">
        <v>46308</v>
      </c>
      <c r="AK277" s="30">
        <v>1</v>
      </c>
      <c r="AL277" s="36">
        <f t="shared" si="130"/>
        <v>16.600000000000001</v>
      </c>
      <c r="AM277" s="35">
        <v>46308</v>
      </c>
      <c r="AN277" s="30">
        <v>1</v>
      </c>
      <c r="AO277" s="36">
        <f t="shared" si="131"/>
        <v>16.600000000000001</v>
      </c>
      <c r="AP277" s="35"/>
      <c r="AQ277" s="30"/>
      <c r="AR277" s="36">
        <f t="shared" si="132"/>
        <v>0</v>
      </c>
      <c r="AS277" s="27" t="s">
        <v>1245</v>
      </c>
      <c r="AT277" s="37">
        <v>46308</v>
      </c>
      <c r="AU277" s="30">
        <v>1</v>
      </c>
      <c r="AV277" s="36">
        <f t="shared" si="133"/>
        <v>16.600000000000001</v>
      </c>
      <c r="AW277" s="35">
        <v>46310</v>
      </c>
      <c r="AX277" s="30">
        <v>1</v>
      </c>
      <c r="AY277" s="32">
        <f t="shared" si="134"/>
        <v>16.600000000000001</v>
      </c>
      <c r="AZ277" s="30" t="s">
        <v>841</v>
      </c>
      <c r="BA277" s="63" t="s">
        <v>1244</v>
      </c>
      <c r="BB277" s="71"/>
      <c r="BC277" s="71"/>
      <c r="BD277" s="71"/>
    </row>
    <row r="278" spans="1:56" x14ac:dyDescent="0.25">
      <c r="A278" s="24">
        <f>IF(B278="","",SUBTOTAL(3,$B$4:B278))</f>
        <v>275</v>
      </c>
      <c r="B278" s="25" t="s">
        <v>840</v>
      </c>
      <c r="C278" s="25" t="str">
        <f t="shared" si="126"/>
        <v>Shipment 1 B-10124 Fired Proces Heater</v>
      </c>
      <c r="D278" s="25" t="s">
        <v>839</v>
      </c>
      <c r="E278" s="25" t="s">
        <v>838</v>
      </c>
      <c r="F278" s="25"/>
      <c r="G278" s="65"/>
      <c r="H278" s="25" t="s">
        <v>842</v>
      </c>
      <c r="I278" s="25"/>
      <c r="J278" s="26" t="s">
        <v>843</v>
      </c>
      <c r="K278" s="27" t="s">
        <v>339</v>
      </c>
      <c r="L278" s="28" t="s">
        <v>341</v>
      </c>
      <c r="M278" s="28" t="s">
        <v>704</v>
      </c>
      <c r="N278" s="25">
        <v>1</v>
      </c>
      <c r="O278" s="29">
        <v>16.600000000000001</v>
      </c>
      <c r="P278" s="29">
        <v>16.600000000000001</v>
      </c>
      <c r="Q278" s="25" t="s">
        <v>758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127"/>
        <v>16.600000000000001</v>
      </c>
      <c r="AF278" s="32">
        <f t="shared" si="128"/>
        <v>0</v>
      </c>
      <c r="AG278" s="30"/>
      <c r="AH278" s="33"/>
      <c r="AI278" s="34">
        <f t="shared" si="129"/>
        <v>0</v>
      </c>
      <c r="AJ278" s="35">
        <v>46308</v>
      </c>
      <c r="AK278" s="30">
        <v>1</v>
      </c>
      <c r="AL278" s="36">
        <f t="shared" si="130"/>
        <v>16.600000000000001</v>
      </c>
      <c r="AM278" s="35">
        <v>46308</v>
      </c>
      <c r="AN278" s="30">
        <v>1</v>
      </c>
      <c r="AO278" s="36">
        <f t="shared" si="131"/>
        <v>16.600000000000001</v>
      </c>
      <c r="AP278" s="35"/>
      <c r="AQ278" s="30"/>
      <c r="AR278" s="36">
        <f t="shared" si="132"/>
        <v>0</v>
      </c>
      <c r="AS278" s="27" t="s">
        <v>1245</v>
      </c>
      <c r="AT278" s="37">
        <v>46308</v>
      </c>
      <c r="AU278" s="30">
        <v>1</v>
      </c>
      <c r="AV278" s="36">
        <f t="shared" si="133"/>
        <v>16.600000000000001</v>
      </c>
      <c r="AW278" s="35">
        <v>46310</v>
      </c>
      <c r="AX278" s="30">
        <v>1</v>
      </c>
      <c r="AY278" s="32">
        <f t="shared" si="134"/>
        <v>16.600000000000001</v>
      </c>
      <c r="AZ278" s="30" t="s">
        <v>841</v>
      </c>
      <c r="BA278" s="63" t="s">
        <v>1244</v>
      </c>
      <c r="BB278" s="71"/>
      <c r="BC278" s="71"/>
      <c r="BD278" s="71"/>
    </row>
    <row r="279" spans="1:56" x14ac:dyDescent="0.25">
      <c r="A279" s="24">
        <f>IF(B279="","",SUBTOTAL(3,$B$4:B279))</f>
        <v>276</v>
      </c>
      <c r="B279" s="25" t="s">
        <v>840</v>
      </c>
      <c r="C279" s="25" t="str">
        <f t="shared" si="126"/>
        <v>Shipment 1 B-10124 Fired Proces Heater</v>
      </c>
      <c r="D279" s="25" t="s">
        <v>839</v>
      </c>
      <c r="E279" s="25" t="s">
        <v>838</v>
      </c>
      <c r="F279" s="25"/>
      <c r="G279" s="65"/>
      <c r="H279" s="25" t="s">
        <v>842</v>
      </c>
      <c r="I279" s="25"/>
      <c r="J279" s="26" t="s">
        <v>843</v>
      </c>
      <c r="K279" s="27" t="s">
        <v>342</v>
      </c>
      <c r="L279" s="28" t="s">
        <v>343</v>
      </c>
      <c r="M279" s="28" t="s">
        <v>704</v>
      </c>
      <c r="N279" s="25">
        <v>1</v>
      </c>
      <c r="O279" s="29">
        <v>39.299999999999997</v>
      </c>
      <c r="P279" s="29">
        <v>39.299999999999997</v>
      </c>
      <c r="Q279" s="25" t="s">
        <v>759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127"/>
        <v>39.299999999999997</v>
      </c>
      <c r="AF279" s="32">
        <f t="shared" si="128"/>
        <v>0</v>
      </c>
      <c r="AG279" s="30"/>
      <c r="AH279" s="33"/>
      <c r="AI279" s="34">
        <f t="shared" si="129"/>
        <v>0</v>
      </c>
      <c r="AJ279" s="35">
        <v>46308</v>
      </c>
      <c r="AK279" s="30">
        <v>1</v>
      </c>
      <c r="AL279" s="36">
        <f t="shared" si="130"/>
        <v>39.299999999999997</v>
      </c>
      <c r="AM279" s="35">
        <v>46308</v>
      </c>
      <c r="AN279" s="30">
        <v>1</v>
      </c>
      <c r="AO279" s="36">
        <f t="shared" si="131"/>
        <v>39.299999999999997</v>
      </c>
      <c r="AP279" s="35"/>
      <c r="AQ279" s="30"/>
      <c r="AR279" s="36">
        <f t="shared" si="132"/>
        <v>0</v>
      </c>
      <c r="AS279" s="27" t="s">
        <v>1245</v>
      </c>
      <c r="AT279" s="37">
        <v>46308</v>
      </c>
      <c r="AU279" s="30">
        <v>1</v>
      </c>
      <c r="AV279" s="36">
        <f t="shared" si="133"/>
        <v>39.299999999999997</v>
      </c>
      <c r="AW279" s="35">
        <v>46310</v>
      </c>
      <c r="AX279" s="30">
        <v>1</v>
      </c>
      <c r="AY279" s="32">
        <f t="shared" si="134"/>
        <v>39.299999999999997</v>
      </c>
      <c r="AZ279" s="30" t="s">
        <v>841</v>
      </c>
      <c r="BA279" s="63" t="s">
        <v>1244</v>
      </c>
      <c r="BB279" s="71"/>
      <c r="BC279" s="71"/>
      <c r="BD279" s="71"/>
    </row>
    <row r="280" spans="1:56" x14ac:dyDescent="0.25">
      <c r="A280" s="24">
        <f>IF(B280="","",SUBTOTAL(3,$B$4:B280))</f>
        <v>277</v>
      </c>
      <c r="B280" s="25" t="s">
        <v>840</v>
      </c>
      <c r="C280" s="25" t="str">
        <f t="shared" si="126"/>
        <v>Shipment 1 B-10124 Fired Proces Heater</v>
      </c>
      <c r="D280" s="25" t="s">
        <v>839</v>
      </c>
      <c r="E280" s="25" t="s">
        <v>838</v>
      </c>
      <c r="F280" s="25"/>
      <c r="G280" s="65"/>
      <c r="H280" s="25" t="s">
        <v>842</v>
      </c>
      <c r="I280" s="25"/>
      <c r="J280" s="26" t="s">
        <v>843</v>
      </c>
      <c r="K280" s="27" t="s">
        <v>342</v>
      </c>
      <c r="L280" s="28" t="s">
        <v>344</v>
      </c>
      <c r="M280" s="28" t="s">
        <v>704</v>
      </c>
      <c r="N280" s="25">
        <v>1</v>
      </c>
      <c r="O280" s="29">
        <v>39.299999999999997</v>
      </c>
      <c r="P280" s="29">
        <v>39.299999999999997</v>
      </c>
      <c r="Q280" s="25" t="s">
        <v>759</v>
      </c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127"/>
        <v>39.299999999999997</v>
      </c>
      <c r="AF280" s="32">
        <f t="shared" si="128"/>
        <v>0</v>
      </c>
      <c r="AG280" s="30"/>
      <c r="AH280" s="33"/>
      <c r="AI280" s="34">
        <f t="shared" si="129"/>
        <v>0</v>
      </c>
      <c r="AJ280" s="35">
        <v>46308</v>
      </c>
      <c r="AK280" s="30">
        <v>1</v>
      </c>
      <c r="AL280" s="36">
        <f t="shared" si="130"/>
        <v>39.299999999999997</v>
      </c>
      <c r="AM280" s="35">
        <v>46308</v>
      </c>
      <c r="AN280" s="30">
        <v>1</v>
      </c>
      <c r="AO280" s="36">
        <f t="shared" si="131"/>
        <v>39.299999999999997</v>
      </c>
      <c r="AP280" s="35"/>
      <c r="AQ280" s="30"/>
      <c r="AR280" s="36">
        <f t="shared" si="132"/>
        <v>0</v>
      </c>
      <c r="AS280" s="27" t="s">
        <v>1245</v>
      </c>
      <c r="AT280" s="37">
        <v>46308</v>
      </c>
      <c r="AU280" s="30">
        <v>1</v>
      </c>
      <c r="AV280" s="36">
        <f t="shared" si="133"/>
        <v>39.299999999999997</v>
      </c>
      <c r="AW280" s="35">
        <v>46310</v>
      </c>
      <c r="AX280" s="30">
        <v>1</v>
      </c>
      <c r="AY280" s="32">
        <f t="shared" si="134"/>
        <v>39.299999999999997</v>
      </c>
      <c r="AZ280" s="30" t="s">
        <v>841</v>
      </c>
      <c r="BA280" s="63" t="s">
        <v>1244</v>
      </c>
      <c r="BB280" s="71"/>
      <c r="BC280" s="71"/>
      <c r="BD280" s="71"/>
    </row>
    <row r="281" spans="1:56" x14ac:dyDescent="0.25">
      <c r="A281" s="24">
        <f>IF(B281="","",SUBTOTAL(3,$B$4:B281))</f>
        <v>278</v>
      </c>
      <c r="B281" s="25" t="s">
        <v>840</v>
      </c>
      <c r="C281" s="25" t="str">
        <f t="shared" si="126"/>
        <v>Shipment 1 B-10124 Fired Proces Heater</v>
      </c>
      <c r="D281" s="25" t="s">
        <v>839</v>
      </c>
      <c r="E281" s="25" t="s">
        <v>838</v>
      </c>
      <c r="F281" s="25"/>
      <c r="G281" s="65"/>
      <c r="H281" s="25" t="s">
        <v>842</v>
      </c>
      <c r="I281" s="25"/>
      <c r="J281" s="26" t="s">
        <v>843</v>
      </c>
      <c r="K281" s="27" t="s">
        <v>345</v>
      </c>
      <c r="L281" s="28" t="s">
        <v>346</v>
      </c>
      <c r="M281" s="28" t="s">
        <v>704</v>
      </c>
      <c r="N281" s="25">
        <v>1</v>
      </c>
      <c r="O281" s="29">
        <v>39.299999999999997</v>
      </c>
      <c r="P281" s="29">
        <v>39.299999999999997</v>
      </c>
      <c r="Q281" s="25" t="s">
        <v>759</v>
      </c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127"/>
        <v>39.299999999999997</v>
      </c>
      <c r="AF281" s="32">
        <f t="shared" si="128"/>
        <v>0</v>
      </c>
      <c r="AG281" s="30"/>
      <c r="AH281" s="33"/>
      <c r="AI281" s="34">
        <f t="shared" si="129"/>
        <v>0</v>
      </c>
      <c r="AJ281" s="35">
        <v>46308</v>
      </c>
      <c r="AK281" s="30">
        <v>1</v>
      </c>
      <c r="AL281" s="36">
        <f t="shared" si="130"/>
        <v>39.299999999999997</v>
      </c>
      <c r="AM281" s="35">
        <v>46308</v>
      </c>
      <c r="AN281" s="30">
        <v>1</v>
      </c>
      <c r="AO281" s="36">
        <f t="shared" si="131"/>
        <v>39.299999999999997</v>
      </c>
      <c r="AP281" s="35"/>
      <c r="AQ281" s="30"/>
      <c r="AR281" s="36">
        <f t="shared" si="132"/>
        <v>0</v>
      </c>
      <c r="AS281" s="27" t="s">
        <v>1245</v>
      </c>
      <c r="AT281" s="37">
        <v>46308</v>
      </c>
      <c r="AU281" s="30">
        <v>1</v>
      </c>
      <c r="AV281" s="36">
        <f t="shared" si="133"/>
        <v>39.299999999999997</v>
      </c>
      <c r="AW281" s="35">
        <v>46310</v>
      </c>
      <c r="AX281" s="30">
        <v>1</v>
      </c>
      <c r="AY281" s="32">
        <f t="shared" si="134"/>
        <v>39.299999999999997</v>
      </c>
      <c r="AZ281" s="30" t="s">
        <v>841</v>
      </c>
      <c r="BA281" s="63" t="s">
        <v>1244</v>
      </c>
      <c r="BB281" s="71"/>
      <c r="BC281" s="71"/>
      <c r="BD281" s="71"/>
    </row>
    <row r="282" spans="1:56" x14ac:dyDescent="0.25">
      <c r="A282" s="24">
        <f>IF(B282="","",SUBTOTAL(3,$B$4:B282))</f>
        <v>279</v>
      </c>
      <c r="B282" s="25" t="s">
        <v>840</v>
      </c>
      <c r="C282" s="25" t="str">
        <f t="shared" si="126"/>
        <v>Shipment 1 B-10124 Fired Proces Heater</v>
      </c>
      <c r="D282" s="25" t="s">
        <v>839</v>
      </c>
      <c r="E282" s="25" t="s">
        <v>838</v>
      </c>
      <c r="F282" s="25"/>
      <c r="G282" s="65"/>
      <c r="H282" s="25" t="s">
        <v>842</v>
      </c>
      <c r="I282" s="25"/>
      <c r="J282" s="26" t="s">
        <v>843</v>
      </c>
      <c r="K282" s="27" t="s">
        <v>347</v>
      </c>
      <c r="L282" s="28" t="s">
        <v>348</v>
      </c>
      <c r="M282" s="28" t="s">
        <v>704</v>
      </c>
      <c r="N282" s="25">
        <v>1</v>
      </c>
      <c r="O282" s="29">
        <v>39.299999999999997</v>
      </c>
      <c r="P282" s="29">
        <v>39.299999999999997</v>
      </c>
      <c r="Q282" s="25" t="s">
        <v>759</v>
      </c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127"/>
        <v>39.299999999999997</v>
      </c>
      <c r="AF282" s="32">
        <f t="shared" si="128"/>
        <v>0</v>
      </c>
      <c r="AG282" s="30"/>
      <c r="AH282" s="33"/>
      <c r="AI282" s="34">
        <f t="shared" si="129"/>
        <v>0</v>
      </c>
      <c r="AJ282" s="35">
        <v>46308</v>
      </c>
      <c r="AK282" s="30">
        <v>1</v>
      </c>
      <c r="AL282" s="36">
        <f t="shared" si="130"/>
        <v>39.299999999999997</v>
      </c>
      <c r="AM282" s="35">
        <v>46308</v>
      </c>
      <c r="AN282" s="30">
        <v>1</v>
      </c>
      <c r="AO282" s="36">
        <f t="shared" si="131"/>
        <v>39.299999999999997</v>
      </c>
      <c r="AP282" s="35"/>
      <c r="AQ282" s="30"/>
      <c r="AR282" s="36">
        <f t="shared" si="132"/>
        <v>0</v>
      </c>
      <c r="AS282" s="27" t="s">
        <v>1245</v>
      </c>
      <c r="AT282" s="37">
        <v>46308</v>
      </c>
      <c r="AU282" s="30">
        <v>1</v>
      </c>
      <c r="AV282" s="36">
        <f t="shared" si="133"/>
        <v>39.299999999999997</v>
      </c>
      <c r="AW282" s="35">
        <v>46310</v>
      </c>
      <c r="AX282" s="30">
        <v>1</v>
      </c>
      <c r="AY282" s="32">
        <f t="shared" si="134"/>
        <v>39.299999999999997</v>
      </c>
      <c r="AZ282" s="30" t="s">
        <v>841</v>
      </c>
      <c r="BA282" s="63" t="s">
        <v>1244</v>
      </c>
      <c r="BB282" s="71"/>
      <c r="BC282" s="71"/>
      <c r="BD282" s="71"/>
    </row>
    <row r="283" spans="1:56" x14ac:dyDescent="0.25">
      <c r="A283" s="24">
        <f>IF(B283="","",SUBTOTAL(3,$B$4:B283))</f>
        <v>280</v>
      </c>
      <c r="B283" s="25" t="s">
        <v>840</v>
      </c>
      <c r="C283" s="25" t="str">
        <f t="shared" si="126"/>
        <v>Shipment 1 B-10124 Fired Proces Heater</v>
      </c>
      <c r="D283" s="25" t="s">
        <v>839</v>
      </c>
      <c r="E283" s="25" t="s">
        <v>838</v>
      </c>
      <c r="F283" s="25"/>
      <c r="G283" s="65"/>
      <c r="H283" s="25" t="s">
        <v>842</v>
      </c>
      <c r="I283" s="25"/>
      <c r="J283" s="26" t="s">
        <v>843</v>
      </c>
      <c r="K283" s="27" t="s">
        <v>349</v>
      </c>
      <c r="L283" s="28" t="s">
        <v>350</v>
      </c>
      <c r="M283" s="28" t="s">
        <v>704</v>
      </c>
      <c r="N283" s="25">
        <v>1</v>
      </c>
      <c r="O283" s="29">
        <v>18.399999999999999</v>
      </c>
      <c r="P283" s="29">
        <v>18.399999999999999</v>
      </c>
      <c r="Q283" s="25" t="s">
        <v>760</v>
      </c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127"/>
        <v>18.399999999999999</v>
      </c>
      <c r="AF283" s="32">
        <f t="shared" si="128"/>
        <v>0</v>
      </c>
      <c r="AG283" s="30"/>
      <c r="AH283" s="33"/>
      <c r="AI283" s="34">
        <f t="shared" si="129"/>
        <v>0</v>
      </c>
      <c r="AJ283" s="35">
        <v>46308</v>
      </c>
      <c r="AK283" s="30">
        <v>1</v>
      </c>
      <c r="AL283" s="36">
        <f t="shared" si="130"/>
        <v>18.399999999999999</v>
      </c>
      <c r="AM283" s="35">
        <v>46308</v>
      </c>
      <c r="AN283" s="30">
        <v>1</v>
      </c>
      <c r="AO283" s="36">
        <f t="shared" si="131"/>
        <v>18.399999999999999</v>
      </c>
      <c r="AP283" s="35"/>
      <c r="AQ283" s="30"/>
      <c r="AR283" s="36">
        <f t="shared" si="132"/>
        <v>0</v>
      </c>
      <c r="AS283" s="27" t="s">
        <v>1245</v>
      </c>
      <c r="AT283" s="37">
        <v>46308</v>
      </c>
      <c r="AU283" s="30">
        <v>1</v>
      </c>
      <c r="AV283" s="36">
        <f t="shared" si="133"/>
        <v>18.399999999999999</v>
      </c>
      <c r="AW283" s="35">
        <v>46310</v>
      </c>
      <c r="AX283" s="30">
        <v>1</v>
      </c>
      <c r="AY283" s="32">
        <f t="shared" si="134"/>
        <v>18.399999999999999</v>
      </c>
      <c r="AZ283" s="30" t="s">
        <v>841</v>
      </c>
      <c r="BA283" s="63" t="s">
        <v>1244</v>
      </c>
      <c r="BB283" s="71"/>
      <c r="BC283" s="71"/>
      <c r="BD283" s="71"/>
    </row>
    <row r="284" spans="1:56" x14ac:dyDescent="0.25">
      <c r="A284" s="24">
        <f>IF(B284="","",SUBTOTAL(3,$B$4:B284))</f>
        <v>281</v>
      </c>
      <c r="B284" s="25" t="s">
        <v>840</v>
      </c>
      <c r="C284" s="25" t="str">
        <f t="shared" si="126"/>
        <v>Shipment 1 B-10124 Fired Proces Heater</v>
      </c>
      <c r="D284" s="25" t="s">
        <v>839</v>
      </c>
      <c r="E284" s="25" t="s">
        <v>838</v>
      </c>
      <c r="F284" s="25"/>
      <c r="G284" s="65"/>
      <c r="H284" s="25" t="s">
        <v>842</v>
      </c>
      <c r="I284" s="25"/>
      <c r="J284" s="26" t="s">
        <v>843</v>
      </c>
      <c r="K284" s="27" t="s">
        <v>351</v>
      </c>
      <c r="L284" s="28" t="s">
        <v>352</v>
      </c>
      <c r="M284" s="28" t="s">
        <v>704</v>
      </c>
      <c r="N284" s="25">
        <v>1</v>
      </c>
      <c r="O284" s="29">
        <v>18.399999999999999</v>
      </c>
      <c r="P284" s="29">
        <v>18.399999999999999</v>
      </c>
      <c r="Q284" s="25" t="s">
        <v>760</v>
      </c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127"/>
        <v>18.399999999999999</v>
      </c>
      <c r="AF284" s="32">
        <f t="shared" si="128"/>
        <v>0</v>
      </c>
      <c r="AG284" s="30"/>
      <c r="AH284" s="33"/>
      <c r="AI284" s="34">
        <f t="shared" si="129"/>
        <v>0</v>
      </c>
      <c r="AJ284" s="35">
        <v>46308</v>
      </c>
      <c r="AK284" s="30">
        <v>1</v>
      </c>
      <c r="AL284" s="36">
        <f t="shared" si="130"/>
        <v>18.399999999999999</v>
      </c>
      <c r="AM284" s="35">
        <v>46308</v>
      </c>
      <c r="AN284" s="30">
        <v>1</v>
      </c>
      <c r="AO284" s="36">
        <f t="shared" si="131"/>
        <v>18.399999999999999</v>
      </c>
      <c r="AP284" s="35"/>
      <c r="AQ284" s="30"/>
      <c r="AR284" s="36">
        <f t="shared" si="132"/>
        <v>0</v>
      </c>
      <c r="AS284" s="27" t="s">
        <v>1245</v>
      </c>
      <c r="AT284" s="37">
        <v>46308</v>
      </c>
      <c r="AU284" s="30">
        <v>1</v>
      </c>
      <c r="AV284" s="36">
        <f t="shared" si="133"/>
        <v>18.399999999999999</v>
      </c>
      <c r="AW284" s="35">
        <v>46310</v>
      </c>
      <c r="AX284" s="30">
        <v>1</v>
      </c>
      <c r="AY284" s="32">
        <f t="shared" si="134"/>
        <v>18.399999999999999</v>
      </c>
      <c r="AZ284" s="30" t="s">
        <v>841</v>
      </c>
      <c r="BA284" s="63" t="s">
        <v>1244</v>
      </c>
      <c r="BB284" s="71"/>
      <c r="BC284" s="71"/>
      <c r="BD284" s="71"/>
    </row>
    <row r="285" spans="1:56" x14ac:dyDescent="0.25">
      <c r="A285" s="24">
        <f>IF(B285="","",SUBTOTAL(3,$B$4:B285))</f>
        <v>282</v>
      </c>
      <c r="B285" s="25" t="s">
        <v>840</v>
      </c>
      <c r="C285" s="25" t="str">
        <f t="shared" si="126"/>
        <v>Shipment 1 B-10124 Fired Proces Heater</v>
      </c>
      <c r="D285" s="25" t="s">
        <v>839</v>
      </c>
      <c r="E285" s="25" t="s">
        <v>838</v>
      </c>
      <c r="F285" s="25"/>
      <c r="G285" s="65"/>
      <c r="H285" s="25" t="s">
        <v>842</v>
      </c>
      <c r="I285" s="25"/>
      <c r="J285" s="26" t="s">
        <v>843</v>
      </c>
      <c r="K285" s="27" t="s">
        <v>353</v>
      </c>
      <c r="L285" s="28" t="s">
        <v>354</v>
      </c>
      <c r="M285" s="28" t="s">
        <v>704</v>
      </c>
      <c r="N285" s="25">
        <v>1</v>
      </c>
      <c r="O285" s="29">
        <v>18.399999999999999</v>
      </c>
      <c r="P285" s="29">
        <v>18.399999999999999</v>
      </c>
      <c r="Q285" s="25" t="s">
        <v>760</v>
      </c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127"/>
        <v>18.399999999999999</v>
      </c>
      <c r="AF285" s="32">
        <f t="shared" si="128"/>
        <v>0</v>
      </c>
      <c r="AG285" s="30"/>
      <c r="AH285" s="33"/>
      <c r="AI285" s="34">
        <f t="shared" si="129"/>
        <v>0</v>
      </c>
      <c r="AJ285" s="35">
        <v>46308</v>
      </c>
      <c r="AK285" s="30">
        <v>1</v>
      </c>
      <c r="AL285" s="36">
        <f t="shared" si="130"/>
        <v>18.399999999999999</v>
      </c>
      <c r="AM285" s="35">
        <v>46308</v>
      </c>
      <c r="AN285" s="30">
        <v>1</v>
      </c>
      <c r="AO285" s="36">
        <f t="shared" si="131"/>
        <v>18.399999999999999</v>
      </c>
      <c r="AP285" s="35"/>
      <c r="AQ285" s="30"/>
      <c r="AR285" s="36">
        <f t="shared" si="132"/>
        <v>0</v>
      </c>
      <c r="AS285" s="27" t="s">
        <v>1245</v>
      </c>
      <c r="AT285" s="37">
        <v>46308</v>
      </c>
      <c r="AU285" s="30">
        <v>1</v>
      </c>
      <c r="AV285" s="36">
        <f t="shared" si="133"/>
        <v>18.399999999999999</v>
      </c>
      <c r="AW285" s="35">
        <v>46310</v>
      </c>
      <c r="AX285" s="30">
        <v>1</v>
      </c>
      <c r="AY285" s="32">
        <f t="shared" si="134"/>
        <v>18.399999999999999</v>
      </c>
      <c r="AZ285" s="30" t="s">
        <v>841</v>
      </c>
      <c r="BA285" s="63" t="s">
        <v>1244</v>
      </c>
      <c r="BB285" s="71"/>
      <c r="BC285" s="71"/>
      <c r="BD285" s="71"/>
    </row>
    <row r="286" spans="1:56" x14ac:dyDescent="0.25">
      <c r="A286" s="24">
        <f>IF(B286="","",SUBTOTAL(3,$B$4:B286))</f>
        <v>283</v>
      </c>
      <c r="B286" s="25" t="s">
        <v>840</v>
      </c>
      <c r="C286" s="25" t="str">
        <f t="shared" si="126"/>
        <v>Shipment 1 B-10124 Fired Proces Heater</v>
      </c>
      <c r="D286" s="25" t="s">
        <v>839</v>
      </c>
      <c r="E286" s="25" t="s">
        <v>838</v>
      </c>
      <c r="F286" s="25"/>
      <c r="G286" s="65"/>
      <c r="H286" s="25" t="s">
        <v>842</v>
      </c>
      <c r="I286" s="25"/>
      <c r="J286" s="26" t="s">
        <v>843</v>
      </c>
      <c r="K286" s="27" t="s">
        <v>355</v>
      </c>
      <c r="L286" s="28" t="s">
        <v>356</v>
      </c>
      <c r="M286" s="28" t="s">
        <v>704</v>
      </c>
      <c r="N286" s="25">
        <v>1</v>
      </c>
      <c r="O286" s="29">
        <v>18.399999999999999</v>
      </c>
      <c r="P286" s="29">
        <v>18.399999999999999</v>
      </c>
      <c r="Q286" s="25" t="s">
        <v>760</v>
      </c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127"/>
        <v>18.399999999999999</v>
      </c>
      <c r="AF286" s="32">
        <f t="shared" si="128"/>
        <v>0</v>
      </c>
      <c r="AG286" s="30"/>
      <c r="AH286" s="33"/>
      <c r="AI286" s="34">
        <f t="shared" si="129"/>
        <v>0</v>
      </c>
      <c r="AJ286" s="35">
        <v>46308</v>
      </c>
      <c r="AK286" s="30">
        <v>1</v>
      </c>
      <c r="AL286" s="36">
        <f t="shared" si="130"/>
        <v>18.399999999999999</v>
      </c>
      <c r="AM286" s="35">
        <v>46308</v>
      </c>
      <c r="AN286" s="30">
        <v>1</v>
      </c>
      <c r="AO286" s="36">
        <f t="shared" si="131"/>
        <v>18.399999999999999</v>
      </c>
      <c r="AP286" s="35"/>
      <c r="AQ286" s="30"/>
      <c r="AR286" s="36">
        <f t="shared" si="132"/>
        <v>0</v>
      </c>
      <c r="AS286" s="27" t="s">
        <v>1245</v>
      </c>
      <c r="AT286" s="37">
        <v>46308</v>
      </c>
      <c r="AU286" s="30">
        <v>1</v>
      </c>
      <c r="AV286" s="36">
        <f t="shared" si="133"/>
        <v>18.399999999999999</v>
      </c>
      <c r="AW286" s="35">
        <v>46310</v>
      </c>
      <c r="AX286" s="30">
        <v>1</v>
      </c>
      <c r="AY286" s="32">
        <f t="shared" si="134"/>
        <v>18.399999999999999</v>
      </c>
      <c r="AZ286" s="30" t="s">
        <v>841</v>
      </c>
      <c r="BA286" s="63" t="s">
        <v>1244</v>
      </c>
      <c r="BB286" s="71"/>
      <c r="BC286" s="71"/>
      <c r="BD286" s="71"/>
    </row>
    <row r="287" spans="1:56" x14ac:dyDescent="0.25">
      <c r="A287" s="24">
        <f>IF(B287="","",SUBTOTAL(3,$B$4:B287))</f>
        <v>284</v>
      </c>
      <c r="B287" s="25" t="s">
        <v>840</v>
      </c>
      <c r="C287" s="25" t="str">
        <f t="shared" si="126"/>
        <v>Shipment 1 B-10124 Fired Proces Heater</v>
      </c>
      <c r="D287" s="25" t="s">
        <v>839</v>
      </c>
      <c r="E287" s="25" t="s">
        <v>838</v>
      </c>
      <c r="F287" s="25"/>
      <c r="G287" s="65"/>
      <c r="H287" s="25" t="s">
        <v>842</v>
      </c>
      <c r="I287" s="25"/>
      <c r="J287" s="26" t="s">
        <v>843</v>
      </c>
      <c r="K287" s="27" t="s">
        <v>357</v>
      </c>
      <c r="L287" s="28" t="s">
        <v>358</v>
      </c>
      <c r="M287" s="28" t="s">
        <v>704</v>
      </c>
      <c r="N287" s="25">
        <v>1</v>
      </c>
      <c r="O287" s="29">
        <v>39.299999999999997</v>
      </c>
      <c r="P287" s="29">
        <v>39.299999999999997</v>
      </c>
      <c r="Q287" s="25" t="s">
        <v>761</v>
      </c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127"/>
        <v>39.299999999999997</v>
      </c>
      <c r="AF287" s="32">
        <f t="shared" si="128"/>
        <v>0</v>
      </c>
      <c r="AG287" s="30"/>
      <c r="AH287" s="33"/>
      <c r="AI287" s="34">
        <f t="shared" si="129"/>
        <v>0</v>
      </c>
      <c r="AJ287" s="35">
        <v>46308</v>
      </c>
      <c r="AK287" s="30">
        <v>1</v>
      </c>
      <c r="AL287" s="36">
        <f t="shared" si="130"/>
        <v>39.299999999999997</v>
      </c>
      <c r="AM287" s="35">
        <v>46308</v>
      </c>
      <c r="AN287" s="30">
        <v>1</v>
      </c>
      <c r="AO287" s="36">
        <f t="shared" si="131"/>
        <v>39.299999999999997</v>
      </c>
      <c r="AP287" s="35"/>
      <c r="AQ287" s="30"/>
      <c r="AR287" s="36">
        <f t="shared" si="132"/>
        <v>0</v>
      </c>
      <c r="AS287" s="27" t="s">
        <v>1245</v>
      </c>
      <c r="AT287" s="37">
        <v>46308</v>
      </c>
      <c r="AU287" s="30">
        <v>1</v>
      </c>
      <c r="AV287" s="36">
        <f t="shared" si="133"/>
        <v>39.299999999999997</v>
      </c>
      <c r="AW287" s="35">
        <v>46310</v>
      </c>
      <c r="AX287" s="30">
        <v>1</v>
      </c>
      <c r="AY287" s="32">
        <f t="shared" si="134"/>
        <v>39.299999999999997</v>
      </c>
      <c r="AZ287" s="30" t="s">
        <v>841</v>
      </c>
      <c r="BA287" s="63" t="s">
        <v>1244</v>
      </c>
      <c r="BB287" s="71"/>
      <c r="BC287" s="71"/>
      <c r="BD287" s="71"/>
    </row>
    <row r="288" spans="1:56" x14ac:dyDescent="0.25">
      <c r="A288" s="24">
        <f>IF(B288="","",SUBTOTAL(3,$B$4:B288))</f>
        <v>285</v>
      </c>
      <c r="B288" s="25" t="s">
        <v>840</v>
      </c>
      <c r="C288" s="25" t="str">
        <f t="shared" si="126"/>
        <v>Shipment 1 B-10124 Fired Proces Heater</v>
      </c>
      <c r="D288" s="25" t="s">
        <v>839</v>
      </c>
      <c r="E288" s="25" t="s">
        <v>838</v>
      </c>
      <c r="F288" s="25"/>
      <c r="G288" s="65"/>
      <c r="H288" s="25" t="s">
        <v>842</v>
      </c>
      <c r="I288" s="25"/>
      <c r="J288" s="26" t="s">
        <v>843</v>
      </c>
      <c r="K288" s="27" t="s">
        <v>359</v>
      </c>
      <c r="L288" s="28" t="s">
        <v>360</v>
      </c>
      <c r="M288" s="28" t="s">
        <v>704</v>
      </c>
      <c r="N288" s="25">
        <v>1</v>
      </c>
      <c r="O288" s="29">
        <v>39.299999999999997</v>
      </c>
      <c r="P288" s="29">
        <v>39.299999999999997</v>
      </c>
      <c r="Q288" s="25" t="s">
        <v>761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127"/>
        <v>39.299999999999997</v>
      </c>
      <c r="AF288" s="32">
        <f t="shared" si="128"/>
        <v>0</v>
      </c>
      <c r="AG288" s="30"/>
      <c r="AH288" s="33"/>
      <c r="AI288" s="34">
        <f t="shared" si="129"/>
        <v>0</v>
      </c>
      <c r="AJ288" s="35">
        <v>46308</v>
      </c>
      <c r="AK288" s="30">
        <v>1</v>
      </c>
      <c r="AL288" s="36">
        <f t="shared" si="130"/>
        <v>39.299999999999997</v>
      </c>
      <c r="AM288" s="35">
        <v>46308</v>
      </c>
      <c r="AN288" s="30">
        <v>1</v>
      </c>
      <c r="AO288" s="36">
        <f t="shared" si="131"/>
        <v>39.299999999999997</v>
      </c>
      <c r="AP288" s="35"/>
      <c r="AQ288" s="30"/>
      <c r="AR288" s="36">
        <f t="shared" si="132"/>
        <v>0</v>
      </c>
      <c r="AS288" s="27" t="s">
        <v>1245</v>
      </c>
      <c r="AT288" s="37">
        <v>46308</v>
      </c>
      <c r="AU288" s="30">
        <v>1</v>
      </c>
      <c r="AV288" s="36">
        <f t="shared" si="133"/>
        <v>39.299999999999997</v>
      </c>
      <c r="AW288" s="35">
        <v>46310</v>
      </c>
      <c r="AX288" s="30">
        <v>1</v>
      </c>
      <c r="AY288" s="32">
        <f t="shared" si="134"/>
        <v>39.299999999999997</v>
      </c>
      <c r="AZ288" s="30" t="s">
        <v>841</v>
      </c>
      <c r="BA288" s="63" t="s">
        <v>1244</v>
      </c>
      <c r="BB288" s="71"/>
      <c r="BC288" s="71"/>
      <c r="BD288" s="71"/>
    </row>
    <row r="289" spans="1:56" x14ac:dyDescent="0.25">
      <c r="A289" s="24">
        <f>IF(B289="","",SUBTOTAL(3,$B$4:B289))</f>
        <v>286</v>
      </c>
      <c r="B289" s="25" t="s">
        <v>840</v>
      </c>
      <c r="C289" s="25" t="str">
        <f t="shared" si="126"/>
        <v>Shipment 1 B-10124 Fired Proces Heater</v>
      </c>
      <c r="D289" s="25" t="s">
        <v>839</v>
      </c>
      <c r="E289" s="25" t="s">
        <v>838</v>
      </c>
      <c r="F289" s="25"/>
      <c r="G289" s="65"/>
      <c r="H289" s="25" t="s">
        <v>842</v>
      </c>
      <c r="I289" s="25"/>
      <c r="J289" s="26" t="s">
        <v>843</v>
      </c>
      <c r="K289" s="27" t="s">
        <v>361</v>
      </c>
      <c r="L289" s="28" t="s">
        <v>362</v>
      </c>
      <c r="M289" s="28" t="s">
        <v>704</v>
      </c>
      <c r="N289" s="25">
        <v>1</v>
      </c>
      <c r="O289" s="29">
        <v>1.2</v>
      </c>
      <c r="P289" s="29">
        <v>1.2</v>
      </c>
      <c r="Q289" s="25" t="s">
        <v>762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127"/>
        <v>0</v>
      </c>
      <c r="AF289" s="32">
        <f t="shared" si="128"/>
        <v>1.2</v>
      </c>
      <c r="AG289" s="30"/>
      <c r="AH289" s="33"/>
      <c r="AI289" s="34">
        <f t="shared" si="129"/>
        <v>0</v>
      </c>
      <c r="AJ289" s="35"/>
      <c r="AK289" s="30"/>
      <c r="AL289" s="36">
        <f t="shared" si="130"/>
        <v>0</v>
      </c>
      <c r="AM289" s="35"/>
      <c r="AN289" s="30"/>
      <c r="AO289" s="36">
        <f t="shared" si="131"/>
        <v>0</v>
      </c>
      <c r="AP289" s="35"/>
      <c r="AQ289" s="30"/>
      <c r="AR289" s="36">
        <f t="shared" si="132"/>
        <v>0</v>
      </c>
      <c r="AS289" s="27"/>
      <c r="AT289" s="37"/>
      <c r="AU289" s="30"/>
      <c r="AV289" s="36">
        <f t="shared" si="133"/>
        <v>0</v>
      </c>
      <c r="AW289" s="35"/>
      <c r="AX289" s="30"/>
      <c r="AY289" s="32">
        <f t="shared" si="134"/>
        <v>0</v>
      </c>
      <c r="AZ289" s="30" t="s">
        <v>841</v>
      </c>
      <c r="BA289" s="63"/>
      <c r="BB289" s="71" t="e">
        <f>SUMIFS([1]Form!$F$9:$F$22,[1]Form!$K$9:$K$22,K289)</f>
        <v>#VALUE!</v>
      </c>
      <c r="BC289" s="71"/>
      <c r="BD289" s="71"/>
    </row>
    <row r="290" spans="1:56" x14ac:dyDescent="0.25">
      <c r="A290" s="24">
        <f>IF(B290="","",SUBTOTAL(3,$B$4:B290))</f>
        <v>287</v>
      </c>
      <c r="B290" s="25" t="s">
        <v>840</v>
      </c>
      <c r="C290" s="25" t="str">
        <f t="shared" si="126"/>
        <v>Shipment 1 B-10124 Fired Proces Heater</v>
      </c>
      <c r="D290" s="25" t="s">
        <v>839</v>
      </c>
      <c r="E290" s="25" t="s">
        <v>838</v>
      </c>
      <c r="F290" s="25"/>
      <c r="G290" s="65"/>
      <c r="H290" s="25" t="s">
        <v>842</v>
      </c>
      <c r="I290" s="25"/>
      <c r="J290" s="26" t="s">
        <v>843</v>
      </c>
      <c r="K290" s="27" t="s">
        <v>361</v>
      </c>
      <c r="L290" s="28" t="s">
        <v>363</v>
      </c>
      <c r="M290" s="28" t="s">
        <v>704</v>
      </c>
      <c r="N290" s="25">
        <v>1</v>
      </c>
      <c r="O290" s="29">
        <v>1.2</v>
      </c>
      <c r="P290" s="29">
        <v>1.2</v>
      </c>
      <c r="Q290" s="25" t="s">
        <v>762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127"/>
        <v>0</v>
      </c>
      <c r="AF290" s="32">
        <f t="shared" si="128"/>
        <v>1.2</v>
      </c>
      <c r="AG290" s="30"/>
      <c r="AH290" s="33"/>
      <c r="AI290" s="34">
        <f t="shared" si="129"/>
        <v>0</v>
      </c>
      <c r="AJ290" s="35"/>
      <c r="AK290" s="30"/>
      <c r="AL290" s="36">
        <f t="shared" si="130"/>
        <v>0</v>
      </c>
      <c r="AM290" s="35"/>
      <c r="AN290" s="30"/>
      <c r="AO290" s="36">
        <f t="shared" si="131"/>
        <v>0</v>
      </c>
      <c r="AP290" s="35"/>
      <c r="AQ290" s="30"/>
      <c r="AR290" s="36">
        <f t="shared" si="132"/>
        <v>0</v>
      </c>
      <c r="AS290" s="27"/>
      <c r="AT290" s="37"/>
      <c r="AU290" s="30"/>
      <c r="AV290" s="36">
        <f t="shared" si="133"/>
        <v>0</v>
      </c>
      <c r="AW290" s="35"/>
      <c r="AX290" s="30"/>
      <c r="AY290" s="32">
        <f t="shared" si="134"/>
        <v>0</v>
      </c>
      <c r="AZ290" s="30" t="s">
        <v>841</v>
      </c>
      <c r="BA290" s="63"/>
      <c r="BB290" s="71" t="e">
        <f>SUMIFS([1]Form!$F$9:$F$22,[1]Form!$K$9:$K$22,K290)</f>
        <v>#VALUE!</v>
      </c>
      <c r="BC290" s="71"/>
      <c r="BD290" s="71"/>
    </row>
    <row r="291" spans="1:56" x14ac:dyDescent="0.25">
      <c r="A291" s="24">
        <f>IF(B291="","",SUBTOTAL(3,$B$4:B291))</f>
        <v>288</v>
      </c>
      <c r="B291" s="25" t="s">
        <v>840</v>
      </c>
      <c r="C291" s="25" t="str">
        <f t="shared" si="126"/>
        <v>Shipment 1 B-10124 Fired Proces Heater</v>
      </c>
      <c r="D291" s="25" t="s">
        <v>839</v>
      </c>
      <c r="E291" s="25" t="s">
        <v>838</v>
      </c>
      <c r="F291" s="25"/>
      <c r="G291" s="65"/>
      <c r="H291" s="25" t="s">
        <v>842</v>
      </c>
      <c r="I291" s="25"/>
      <c r="J291" s="26" t="s">
        <v>843</v>
      </c>
      <c r="K291" s="27" t="s">
        <v>361</v>
      </c>
      <c r="L291" s="28" t="s">
        <v>364</v>
      </c>
      <c r="M291" s="28" t="s">
        <v>704</v>
      </c>
      <c r="N291" s="25">
        <v>1</v>
      </c>
      <c r="O291" s="29">
        <v>1.2</v>
      </c>
      <c r="P291" s="29">
        <v>1.2</v>
      </c>
      <c r="Q291" s="25" t="s">
        <v>762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127"/>
        <v>0</v>
      </c>
      <c r="AF291" s="32">
        <f t="shared" si="128"/>
        <v>1.2</v>
      </c>
      <c r="AG291" s="30"/>
      <c r="AH291" s="33"/>
      <c r="AI291" s="34">
        <f t="shared" si="129"/>
        <v>0</v>
      </c>
      <c r="AJ291" s="35"/>
      <c r="AK291" s="30"/>
      <c r="AL291" s="36">
        <f t="shared" si="130"/>
        <v>0</v>
      </c>
      <c r="AM291" s="35"/>
      <c r="AN291" s="30"/>
      <c r="AO291" s="36">
        <f t="shared" si="131"/>
        <v>0</v>
      </c>
      <c r="AP291" s="35"/>
      <c r="AQ291" s="30"/>
      <c r="AR291" s="36">
        <f t="shared" si="132"/>
        <v>0</v>
      </c>
      <c r="AS291" s="27"/>
      <c r="AT291" s="37"/>
      <c r="AU291" s="30"/>
      <c r="AV291" s="36">
        <f t="shared" si="133"/>
        <v>0</v>
      </c>
      <c r="AW291" s="35"/>
      <c r="AX291" s="30"/>
      <c r="AY291" s="32">
        <f t="shared" si="134"/>
        <v>0</v>
      </c>
      <c r="AZ291" s="30" t="s">
        <v>841</v>
      </c>
      <c r="BA291" s="63"/>
      <c r="BB291" s="71" t="e">
        <f>SUMIFS([1]Form!$F$9:$F$22,[1]Form!$K$9:$K$22,K291)</f>
        <v>#VALUE!</v>
      </c>
      <c r="BC291" s="71"/>
      <c r="BD291" s="71"/>
    </row>
    <row r="292" spans="1:56" x14ac:dyDescent="0.25">
      <c r="A292" s="24">
        <f>IF(B292="","",SUBTOTAL(3,$B$4:B292))</f>
        <v>289</v>
      </c>
      <c r="B292" s="25" t="s">
        <v>840</v>
      </c>
      <c r="C292" s="25" t="str">
        <f t="shared" si="126"/>
        <v>Shipment 1 B-10124 Fired Proces Heater</v>
      </c>
      <c r="D292" s="25" t="s">
        <v>839</v>
      </c>
      <c r="E292" s="25" t="s">
        <v>838</v>
      </c>
      <c r="F292" s="25"/>
      <c r="G292" s="65"/>
      <c r="H292" s="25" t="s">
        <v>842</v>
      </c>
      <c r="I292" s="25"/>
      <c r="J292" s="26" t="s">
        <v>843</v>
      </c>
      <c r="K292" s="27" t="s">
        <v>361</v>
      </c>
      <c r="L292" s="28" t="s">
        <v>365</v>
      </c>
      <c r="M292" s="28" t="s">
        <v>704</v>
      </c>
      <c r="N292" s="25">
        <v>1</v>
      </c>
      <c r="O292" s="29">
        <v>1.2</v>
      </c>
      <c r="P292" s="29">
        <v>1.2</v>
      </c>
      <c r="Q292" s="25" t="s">
        <v>762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127"/>
        <v>0</v>
      </c>
      <c r="AF292" s="32">
        <f t="shared" si="128"/>
        <v>1.2</v>
      </c>
      <c r="AG292" s="30"/>
      <c r="AH292" s="33"/>
      <c r="AI292" s="34">
        <f t="shared" si="129"/>
        <v>0</v>
      </c>
      <c r="AJ292" s="35"/>
      <c r="AK292" s="30"/>
      <c r="AL292" s="36">
        <f t="shared" si="130"/>
        <v>0</v>
      </c>
      <c r="AM292" s="35"/>
      <c r="AN292" s="30"/>
      <c r="AO292" s="36">
        <f t="shared" si="131"/>
        <v>0</v>
      </c>
      <c r="AP292" s="35"/>
      <c r="AQ292" s="30"/>
      <c r="AR292" s="36">
        <f t="shared" si="132"/>
        <v>0</v>
      </c>
      <c r="AS292" s="27"/>
      <c r="AT292" s="37"/>
      <c r="AU292" s="30"/>
      <c r="AV292" s="36">
        <f t="shared" si="133"/>
        <v>0</v>
      </c>
      <c r="AW292" s="35"/>
      <c r="AX292" s="30"/>
      <c r="AY292" s="32">
        <f t="shared" si="134"/>
        <v>0</v>
      </c>
      <c r="AZ292" s="30" t="s">
        <v>841</v>
      </c>
      <c r="BA292" s="63"/>
      <c r="BB292" s="71" t="e">
        <f>SUMIFS([1]Form!$F$9:$F$22,[1]Form!$K$9:$K$22,K292)</f>
        <v>#VALUE!</v>
      </c>
      <c r="BC292" s="71"/>
      <c r="BD292" s="71"/>
    </row>
    <row r="293" spans="1:56" x14ac:dyDescent="0.25">
      <c r="A293" s="24">
        <f>IF(B293="","",SUBTOTAL(3,$B$4:B293))</f>
        <v>290</v>
      </c>
      <c r="B293" s="25" t="s">
        <v>840</v>
      </c>
      <c r="C293" s="25" t="str">
        <f t="shared" si="126"/>
        <v>Shipment 1 B-10124 Fired Proces Heater</v>
      </c>
      <c r="D293" s="25" t="s">
        <v>839</v>
      </c>
      <c r="E293" s="25" t="s">
        <v>838</v>
      </c>
      <c r="F293" s="25"/>
      <c r="G293" s="65"/>
      <c r="H293" s="25" t="s">
        <v>842</v>
      </c>
      <c r="I293" s="25"/>
      <c r="J293" s="26" t="s">
        <v>843</v>
      </c>
      <c r="K293" s="27" t="s">
        <v>366</v>
      </c>
      <c r="L293" s="28" t="s">
        <v>367</v>
      </c>
      <c r="M293" s="28" t="s">
        <v>704</v>
      </c>
      <c r="N293" s="25">
        <v>1</v>
      </c>
      <c r="O293" s="29">
        <v>1.3999999999999997</v>
      </c>
      <c r="P293" s="29">
        <v>1.3999999999999997</v>
      </c>
      <c r="Q293" s="25" t="s">
        <v>763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127"/>
        <v>0</v>
      </c>
      <c r="AF293" s="32">
        <f t="shared" si="128"/>
        <v>1.3999999999999997</v>
      </c>
      <c r="AG293" s="30"/>
      <c r="AH293" s="33"/>
      <c r="AI293" s="34">
        <f t="shared" si="129"/>
        <v>0</v>
      </c>
      <c r="AJ293" s="35"/>
      <c r="AK293" s="30"/>
      <c r="AL293" s="36">
        <f t="shared" si="130"/>
        <v>0</v>
      </c>
      <c r="AM293" s="35"/>
      <c r="AN293" s="30"/>
      <c r="AO293" s="36">
        <f t="shared" si="131"/>
        <v>0</v>
      </c>
      <c r="AP293" s="35"/>
      <c r="AQ293" s="30"/>
      <c r="AR293" s="36">
        <f t="shared" si="132"/>
        <v>0</v>
      </c>
      <c r="AS293" s="27"/>
      <c r="AT293" s="37"/>
      <c r="AU293" s="30"/>
      <c r="AV293" s="36">
        <f t="shared" si="133"/>
        <v>0</v>
      </c>
      <c r="AW293" s="35"/>
      <c r="AX293" s="30"/>
      <c r="AY293" s="32">
        <f t="shared" si="134"/>
        <v>0</v>
      </c>
      <c r="AZ293" s="30" t="s">
        <v>841</v>
      </c>
      <c r="BA293" s="63"/>
      <c r="BB293" s="71" t="e">
        <f>SUMIFS([1]Form!$F$9:$F$22,[1]Form!$K$9:$K$22,K293)</f>
        <v>#VALUE!</v>
      </c>
      <c r="BC293" s="71"/>
      <c r="BD293" s="71"/>
    </row>
    <row r="294" spans="1:56" x14ac:dyDescent="0.25">
      <c r="A294" s="24">
        <f>IF(B294="","",SUBTOTAL(3,$B$4:B294))</f>
        <v>291</v>
      </c>
      <c r="B294" s="25" t="s">
        <v>840</v>
      </c>
      <c r="C294" s="25" t="str">
        <f t="shared" si="126"/>
        <v>Shipment 1 B-10124 Fired Proces Heater</v>
      </c>
      <c r="D294" s="25" t="s">
        <v>839</v>
      </c>
      <c r="E294" s="25" t="s">
        <v>838</v>
      </c>
      <c r="F294" s="25"/>
      <c r="G294" s="65"/>
      <c r="H294" s="25" t="s">
        <v>842</v>
      </c>
      <c r="I294" s="25"/>
      <c r="J294" s="26" t="s">
        <v>843</v>
      </c>
      <c r="K294" s="27" t="s">
        <v>366</v>
      </c>
      <c r="L294" s="28" t="s">
        <v>368</v>
      </c>
      <c r="M294" s="28" t="s">
        <v>704</v>
      </c>
      <c r="N294" s="25">
        <v>1</v>
      </c>
      <c r="O294" s="29">
        <v>1.3999999999999997</v>
      </c>
      <c r="P294" s="29">
        <v>1.3999999999999997</v>
      </c>
      <c r="Q294" s="25" t="s">
        <v>763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127"/>
        <v>0</v>
      </c>
      <c r="AF294" s="32">
        <f t="shared" si="128"/>
        <v>1.3999999999999997</v>
      </c>
      <c r="AG294" s="30"/>
      <c r="AH294" s="33"/>
      <c r="AI294" s="34">
        <f t="shared" si="129"/>
        <v>0</v>
      </c>
      <c r="AJ294" s="35"/>
      <c r="AK294" s="30"/>
      <c r="AL294" s="36">
        <f t="shared" si="130"/>
        <v>0</v>
      </c>
      <c r="AM294" s="35"/>
      <c r="AN294" s="30"/>
      <c r="AO294" s="36">
        <f t="shared" si="131"/>
        <v>0</v>
      </c>
      <c r="AP294" s="35"/>
      <c r="AQ294" s="30"/>
      <c r="AR294" s="36">
        <f t="shared" si="132"/>
        <v>0</v>
      </c>
      <c r="AS294" s="27"/>
      <c r="AT294" s="37"/>
      <c r="AU294" s="30"/>
      <c r="AV294" s="36">
        <f t="shared" si="133"/>
        <v>0</v>
      </c>
      <c r="AW294" s="35"/>
      <c r="AX294" s="30"/>
      <c r="AY294" s="32">
        <f t="shared" si="134"/>
        <v>0</v>
      </c>
      <c r="AZ294" s="30" t="s">
        <v>841</v>
      </c>
      <c r="BA294" s="63"/>
      <c r="BB294" s="71" t="e">
        <f>SUMIFS([1]Form!$F$9:$F$22,[1]Form!$K$9:$K$22,K294)</f>
        <v>#VALUE!</v>
      </c>
      <c r="BC294" s="71"/>
      <c r="BD294" s="71"/>
    </row>
    <row r="295" spans="1:56" x14ac:dyDescent="0.25">
      <c r="A295" s="24">
        <f>IF(B295="","",SUBTOTAL(3,$B$4:B295))</f>
        <v>292</v>
      </c>
      <c r="B295" s="25" t="s">
        <v>840</v>
      </c>
      <c r="C295" s="25" t="str">
        <f t="shared" si="126"/>
        <v>Shipment 1 B-10124 Fired Proces Heater</v>
      </c>
      <c r="D295" s="25" t="s">
        <v>839</v>
      </c>
      <c r="E295" s="25" t="s">
        <v>838</v>
      </c>
      <c r="F295" s="25"/>
      <c r="G295" s="65"/>
      <c r="H295" s="25" t="s">
        <v>842</v>
      </c>
      <c r="I295" s="25"/>
      <c r="J295" s="26" t="s">
        <v>843</v>
      </c>
      <c r="K295" s="27" t="s">
        <v>366</v>
      </c>
      <c r="L295" s="28" t="s">
        <v>369</v>
      </c>
      <c r="M295" s="28" t="s">
        <v>704</v>
      </c>
      <c r="N295" s="25">
        <v>1</v>
      </c>
      <c r="O295" s="29">
        <v>1.3999999999999997</v>
      </c>
      <c r="P295" s="29">
        <v>1.3999999999999997</v>
      </c>
      <c r="Q295" s="25" t="s">
        <v>763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127"/>
        <v>0</v>
      </c>
      <c r="AF295" s="32">
        <f t="shared" si="128"/>
        <v>1.3999999999999997</v>
      </c>
      <c r="AG295" s="30"/>
      <c r="AH295" s="33"/>
      <c r="AI295" s="34">
        <f t="shared" si="129"/>
        <v>0</v>
      </c>
      <c r="AJ295" s="35"/>
      <c r="AK295" s="30"/>
      <c r="AL295" s="36">
        <f t="shared" si="130"/>
        <v>0</v>
      </c>
      <c r="AM295" s="35"/>
      <c r="AN295" s="30"/>
      <c r="AO295" s="36">
        <f t="shared" si="131"/>
        <v>0</v>
      </c>
      <c r="AP295" s="35"/>
      <c r="AQ295" s="30"/>
      <c r="AR295" s="36">
        <f t="shared" si="132"/>
        <v>0</v>
      </c>
      <c r="AS295" s="27"/>
      <c r="AT295" s="37"/>
      <c r="AU295" s="30"/>
      <c r="AV295" s="36">
        <f t="shared" si="133"/>
        <v>0</v>
      </c>
      <c r="AW295" s="35"/>
      <c r="AX295" s="30"/>
      <c r="AY295" s="32">
        <f t="shared" si="134"/>
        <v>0</v>
      </c>
      <c r="AZ295" s="30" t="s">
        <v>841</v>
      </c>
      <c r="BA295" s="63"/>
      <c r="BB295" s="71" t="e">
        <f>SUMIFS([1]Form!$F$9:$F$22,[1]Form!$K$9:$K$22,K295)</f>
        <v>#VALUE!</v>
      </c>
      <c r="BC295" s="71"/>
      <c r="BD295" s="71"/>
    </row>
    <row r="296" spans="1:56" x14ac:dyDescent="0.25">
      <c r="A296" s="24">
        <f>IF(B296="","",SUBTOTAL(3,$B$4:B296))</f>
        <v>293</v>
      </c>
      <c r="B296" s="25" t="s">
        <v>840</v>
      </c>
      <c r="C296" s="25" t="str">
        <f t="shared" si="126"/>
        <v>Shipment 1 B-10124 Fired Proces Heater</v>
      </c>
      <c r="D296" s="25" t="s">
        <v>839</v>
      </c>
      <c r="E296" s="25" t="s">
        <v>838</v>
      </c>
      <c r="F296" s="25"/>
      <c r="G296" s="65"/>
      <c r="H296" s="25" t="s">
        <v>842</v>
      </c>
      <c r="I296" s="25"/>
      <c r="J296" s="26" t="s">
        <v>843</v>
      </c>
      <c r="K296" s="27" t="s">
        <v>366</v>
      </c>
      <c r="L296" s="28" t="s">
        <v>370</v>
      </c>
      <c r="M296" s="28" t="s">
        <v>704</v>
      </c>
      <c r="N296" s="25">
        <v>1</v>
      </c>
      <c r="O296" s="29">
        <v>1.3999999999999997</v>
      </c>
      <c r="P296" s="29">
        <v>1.3999999999999997</v>
      </c>
      <c r="Q296" s="25" t="s">
        <v>763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127"/>
        <v>0</v>
      </c>
      <c r="AF296" s="32">
        <f t="shared" si="128"/>
        <v>1.3999999999999997</v>
      </c>
      <c r="AG296" s="30"/>
      <c r="AH296" s="33"/>
      <c r="AI296" s="34">
        <f t="shared" si="129"/>
        <v>0</v>
      </c>
      <c r="AJ296" s="35"/>
      <c r="AK296" s="30"/>
      <c r="AL296" s="36">
        <f t="shared" si="130"/>
        <v>0</v>
      </c>
      <c r="AM296" s="35"/>
      <c r="AN296" s="30"/>
      <c r="AO296" s="36">
        <f t="shared" si="131"/>
        <v>0</v>
      </c>
      <c r="AP296" s="35"/>
      <c r="AQ296" s="30"/>
      <c r="AR296" s="36">
        <f t="shared" si="132"/>
        <v>0</v>
      </c>
      <c r="AS296" s="27"/>
      <c r="AT296" s="37"/>
      <c r="AU296" s="30"/>
      <c r="AV296" s="36">
        <f t="shared" si="133"/>
        <v>0</v>
      </c>
      <c r="AW296" s="35"/>
      <c r="AX296" s="30"/>
      <c r="AY296" s="32">
        <f t="shared" si="134"/>
        <v>0</v>
      </c>
      <c r="AZ296" s="30" t="s">
        <v>841</v>
      </c>
      <c r="BA296" s="63"/>
      <c r="BB296" s="71" t="e">
        <f>SUMIFS([1]Form!$F$9:$F$22,[1]Form!$K$9:$K$22,K296)</f>
        <v>#VALUE!</v>
      </c>
      <c r="BC296" s="71"/>
      <c r="BD296" s="71"/>
    </row>
    <row r="297" spans="1:56" x14ac:dyDescent="0.25">
      <c r="A297" s="24">
        <f>IF(B297="","",SUBTOTAL(3,$B$4:B297))</f>
        <v>294</v>
      </c>
      <c r="B297" s="25" t="s">
        <v>840</v>
      </c>
      <c r="C297" s="25" t="str">
        <f t="shared" si="126"/>
        <v>Shipment 1 B-10124 Fired Proces Heater</v>
      </c>
      <c r="D297" s="25" t="s">
        <v>839</v>
      </c>
      <c r="E297" s="25" t="s">
        <v>838</v>
      </c>
      <c r="F297" s="25"/>
      <c r="G297" s="65"/>
      <c r="H297" s="25" t="s">
        <v>842</v>
      </c>
      <c r="I297" s="25"/>
      <c r="J297" s="26" t="s">
        <v>843</v>
      </c>
      <c r="K297" s="27" t="s">
        <v>366</v>
      </c>
      <c r="L297" s="28" t="s">
        <v>371</v>
      </c>
      <c r="M297" s="28" t="s">
        <v>704</v>
      </c>
      <c r="N297" s="25">
        <v>1</v>
      </c>
      <c r="O297" s="29">
        <v>1.3999999999999997</v>
      </c>
      <c r="P297" s="29">
        <v>1.3999999999999997</v>
      </c>
      <c r="Q297" s="25" t="s">
        <v>763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127"/>
        <v>0</v>
      </c>
      <c r="AF297" s="32">
        <f t="shared" si="128"/>
        <v>1.3999999999999997</v>
      </c>
      <c r="AG297" s="30"/>
      <c r="AH297" s="33"/>
      <c r="AI297" s="34">
        <f t="shared" si="129"/>
        <v>0</v>
      </c>
      <c r="AJ297" s="35"/>
      <c r="AK297" s="30"/>
      <c r="AL297" s="36">
        <f t="shared" si="130"/>
        <v>0</v>
      </c>
      <c r="AM297" s="35"/>
      <c r="AN297" s="30"/>
      <c r="AO297" s="36">
        <f t="shared" si="131"/>
        <v>0</v>
      </c>
      <c r="AP297" s="35"/>
      <c r="AQ297" s="30"/>
      <c r="AR297" s="36">
        <f t="shared" si="132"/>
        <v>0</v>
      </c>
      <c r="AS297" s="27"/>
      <c r="AT297" s="37"/>
      <c r="AU297" s="30"/>
      <c r="AV297" s="36">
        <f t="shared" si="133"/>
        <v>0</v>
      </c>
      <c r="AW297" s="35"/>
      <c r="AX297" s="30"/>
      <c r="AY297" s="32">
        <f t="shared" si="134"/>
        <v>0</v>
      </c>
      <c r="AZ297" s="30" t="s">
        <v>841</v>
      </c>
      <c r="BA297" s="63"/>
      <c r="BB297" s="71" t="e">
        <f>SUMIFS([1]Form!$F$9:$F$22,[1]Form!$K$9:$K$22,K297)</f>
        <v>#VALUE!</v>
      </c>
      <c r="BC297" s="71"/>
      <c r="BD297" s="71"/>
    </row>
    <row r="298" spans="1:56" x14ac:dyDescent="0.25">
      <c r="A298" s="24">
        <f>IF(B298="","",SUBTOTAL(3,$B$4:B298))</f>
        <v>295</v>
      </c>
      <c r="B298" s="25" t="s">
        <v>840</v>
      </c>
      <c r="C298" s="25" t="str">
        <f t="shared" si="126"/>
        <v>Shipment 1 B-10124 Fired Proces Heater</v>
      </c>
      <c r="D298" s="25" t="s">
        <v>839</v>
      </c>
      <c r="E298" s="25" t="s">
        <v>838</v>
      </c>
      <c r="F298" s="25"/>
      <c r="G298" s="65"/>
      <c r="H298" s="25" t="s">
        <v>842</v>
      </c>
      <c r="I298" s="25"/>
      <c r="J298" s="26" t="s">
        <v>843</v>
      </c>
      <c r="K298" s="27" t="s">
        <v>366</v>
      </c>
      <c r="L298" s="28" t="s">
        <v>372</v>
      </c>
      <c r="M298" s="28" t="s">
        <v>704</v>
      </c>
      <c r="N298" s="25">
        <v>1</v>
      </c>
      <c r="O298" s="29">
        <v>1.3999999999999997</v>
      </c>
      <c r="P298" s="29">
        <v>1.3999999999999997</v>
      </c>
      <c r="Q298" s="25" t="s">
        <v>763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127"/>
        <v>0</v>
      </c>
      <c r="AF298" s="32">
        <f t="shared" si="128"/>
        <v>1.3999999999999997</v>
      </c>
      <c r="AG298" s="30"/>
      <c r="AH298" s="33"/>
      <c r="AI298" s="34">
        <f t="shared" si="129"/>
        <v>0</v>
      </c>
      <c r="AJ298" s="35"/>
      <c r="AK298" s="30"/>
      <c r="AL298" s="36">
        <f t="shared" si="130"/>
        <v>0</v>
      </c>
      <c r="AM298" s="35"/>
      <c r="AN298" s="30"/>
      <c r="AO298" s="36">
        <f t="shared" si="131"/>
        <v>0</v>
      </c>
      <c r="AP298" s="35"/>
      <c r="AQ298" s="30"/>
      <c r="AR298" s="36">
        <f t="shared" si="132"/>
        <v>0</v>
      </c>
      <c r="AS298" s="27"/>
      <c r="AT298" s="37"/>
      <c r="AU298" s="30"/>
      <c r="AV298" s="36">
        <f t="shared" si="133"/>
        <v>0</v>
      </c>
      <c r="AW298" s="35"/>
      <c r="AX298" s="30"/>
      <c r="AY298" s="32">
        <f t="shared" si="134"/>
        <v>0</v>
      </c>
      <c r="AZ298" s="30" t="s">
        <v>841</v>
      </c>
      <c r="BA298" s="63"/>
      <c r="BB298" s="71" t="e">
        <f>SUMIFS([1]Form!$F$9:$F$22,[1]Form!$K$9:$K$22,K298)</f>
        <v>#VALUE!</v>
      </c>
      <c r="BC298" s="71"/>
      <c r="BD298" s="71"/>
    </row>
    <row r="299" spans="1:56" x14ac:dyDescent="0.25">
      <c r="A299" s="24">
        <f>IF(B299="","",SUBTOTAL(3,$B$4:B299))</f>
        <v>296</v>
      </c>
      <c r="B299" s="25" t="s">
        <v>840</v>
      </c>
      <c r="C299" s="25" t="str">
        <f t="shared" si="126"/>
        <v>Shipment 1 B-10124 Fired Proces Heater</v>
      </c>
      <c r="D299" s="25" t="s">
        <v>839</v>
      </c>
      <c r="E299" s="25" t="s">
        <v>838</v>
      </c>
      <c r="F299" s="25"/>
      <c r="G299" s="65"/>
      <c r="H299" s="25" t="s">
        <v>842</v>
      </c>
      <c r="I299" s="25"/>
      <c r="J299" s="26" t="s">
        <v>843</v>
      </c>
      <c r="K299" s="27" t="s">
        <v>373</v>
      </c>
      <c r="L299" s="28" t="s">
        <v>374</v>
      </c>
      <c r="M299" s="28" t="s">
        <v>704</v>
      </c>
      <c r="N299" s="25">
        <v>1</v>
      </c>
      <c r="O299" s="29">
        <v>2.7833333333333332</v>
      </c>
      <c r="P299" s="29">
        <v>2.7833333333333332</v>
      </c>
      <c r="Q299" s="25" t="s">
        <v>764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127"/>
        <v>0</v>
      </c>
      <c r="AF299" s="32">
        <f t="shared" si="128"/>
        <v>2.7833333333333332</v>
      </c>
      <c r="AG299" s="30"/>
      <c r="AH299" s="33"/>
      <c r="AI299" s="34">
        <f t="shared" si="129"/>
        <v>0</v>
      </c>
      <c r="AJ299" s="35"/>
      <c r="AK299" s="30"/>
      <c r="AL299" s="36">
        <f t="shared" si="130"/>
        <v>0</v>
      </c>
      <c r="AM299" s="35"/>
      <c r="AN299" s="30"/>
      <c r="AO299" s="36">
        <f t="shared" si="131"/>
        <v>0</v>
      </c>
      <c r="AP299" s="35"/>
      <c r="AQ299" s="30"/>
      <c r="AR299" s="36">
        <f t="shared" si="132"/>
        <v>0</v>
      </c>
      <c r="AS299" s="27"/>
      <c r="AT299" s="37"/>
      <c r="AU299" s="30"/>
      <c r="AV299" s="36">
        <f t="shared" si="133"/>
        <v>0</v>
      </c>
      <c r="AW299" s="35"/>
      <c r="AX299" s="30"/>
      <c r="AY299" s="32">
        <f t="shared" si="134"/>
        <v>0</v>
      </c>
      <c r="AZ299" s="30" t="s">
        <v>841</v>
      </c>
      <c r="BA299" s="63"/>
      <c r="BB299" s="71" t="e">
        <f>SUMIFS([1]Form!$F$9:$F$22,[1]Form!$K$9:$K$22,K299)</f>
        <v>#VALUE!</v>
      </c>
      <c r="BC299" s="71"/>
      <c r="BD299" s="71"/>
    </row>
    <row r="300" spans="1:56" x14ac:dyDescent="0.25">
      <c r="A300" s="24">
        <f>IF(B300="","",SUBTOTAL(3,$B$4:B300))</f>
        <v>297</v>
      </c>
      <c r="B300" s="25" t="s">
        <v>840</v>
      </c>
      <c r="C300" s="25" t="str">
        <f t="shared" ref="C300:C363" si="135">D300&amp;" "&amp;E300</f>
        <v>Shipment 1 B-10124 Fired Proces Heater</v>
      </c>
      <c r="D300" s="25" t="s">
        <v>839</v>
      </c>
      <c r="E300" s="25" t="s">
        <v>838</v>
      </c>
      <c r="F300" s="25"/>
      <c r="G300" s="65"/>
      <c r="H300" s="25" t="s">
        <v>842</v>
      </c>
      <c r="I300" s="25"/>
      <c r="J300" s="26" t="s">
        <v>843</v>
      </c>
      <c r="K300" s="27" t="s">
        <v>373</v>
      </c>
      <c r="L300" s="28" t="s">
        <v>375</v>
      </c>
      <c r="M300" s="28" t="s">
        <v>704</v>
      </c>
      <c r="N300" s="25">
        <v>1</v>
      </c>
      <c r="O300" s="29">
        <v>2.7833333333333332</v>
      </c>
      <c r="P300" s="29">
        <v>2.7833333333333332</v>
      </c>
      <c r="Q300" s="25" t="s">
        <v>764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127"/>
        <v>0</v>
      </c>
      <c r="AF300" s="32">
        <f t="shared" si="128"/>
        <v>2.7833333333333332</v>
      </c>
      <c r="AG300" s="30"/>
      <c r="AH300" s="33"/>
      <c r="AI300" s="34">
        <f t="shared" si="129"/>
        <v>0</v>
      </c>
      <c r="AJ300" s="35"/>
      <c r="AK300" s="30"/>
      <c r="AL300" s="36">
        <f t="shared" si="130"/>
        <v>0</v>
      </c>
      <c r="AM300" s="35"/>
      <c r="AN300" s="30"/>
      <c r="AO300" s="36">
        <f t="shared" si="131"/>
        <v>0</v>
      </c>
      <c r="AP300" s="35"/>
      <c r="AQ300" s="30"/>
      <c r="AR300" s="36">
        <f t="shared" si="132"/>
        <v>0</v>
      </c>
      <c r="AS300" s="27"/>
      <c r="AT300" s="37"/>
      <c r="AU300" s="30"/>
      <c r="AV300" s="36">
        <f t="shared" si="133"/>
        <v>0</v>
      </c>
      <c r="AW300" s="35"/>
      <c r="AX300" s="30"/>
      <c r="AY300" s="32">
        <f t="shared" si="134"/>
        <v>0</v>
      </c>
      <c r="AZ300" s="30" t="s">
        <v>841</v>
      </c>
      <c r="BA300" s="63"/>
      <c r="BB300" s="71" t="e">
        <f>SUMIFS([1]Form!$F$9:$F$22,[1]Form!$K$9:$K$22,K300)</f>
        <v>#VALUE!</v>
      </c>
      <c r="BC300" s="71"/>
      <c r="BD300" s="71"/>
    </row>
    <row r="301" spans="1:56" x14ac:dyDescent="0.25">
      <c r="A301" s="24">
        <f>IF(B301="","",SUBTOTAL(3,$B$4:B301))</f>
        <v>298</v>
      </c>
      <c r="B301" s="25" t="s">
        <v>840</v>
      </c>
      <c r="C301" s="25" t="str">
        <f t="shared" si="135"/>
        <v>Shipment 1 B-10124 Fired Proces Heater</v>
      </c>
      <c r="D301" s="25" t="s">
        <v>839</v>
      </c>
      <c r="E301" s="25" t="s">
        <v>838</v>
      </c>
      <c r="F301" s="25"/>
      <c r="G301" s="65"/>
      <c r="H301" s="25" t="s">
        <v>842</v>
      </c>
      <c r="I301" s="25"/>
      <c r="J301" s="26" t="s">
        <v>843</v>
      </c>
      <c r="K301" s="27" t="s">
        <v>373</v>
      </c>
      <c r="L301" s="28" t="s">
        <v>376</v>
      </c>
      <c r="M301" s="28" t="s">
        <v>704</v>
      </c>
      <c r="N301" s="25">
        <v>1</v>
      </c>
      <c r="O301" s="29">
        <v>2.7833333333333332</v>
      </c>
      <c r="P301" s="29">
        <v>2.7833333333333332</v>
      </c>
      <c r="Q301" s="25" t="s">
        <v>764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127"/>
        <v>0</v>
      </c>
      <c r="AF301" s="32">
        <f t="shared" si="128"/>
        <v>2.7833333333333332</v>
      </c>
      <c r="AG301" s="30"/>
      <c r="AH301" s="33"/>
      <c r="AI301" s="34">
        <f t="shared" si="129"/>
        <v>0</v>
      </c>
      <c r="AJ301" s="35"/>
      <c r="AK301" s="30"/>
      <c r="AL301" s="36">
        <f t="shared" si="130"/>
        <v>0</v>
      </c>
      <c r="AM301" s="35"/>
      <c r="AN301" s="30"/>
      <c r="AO301" s="36">
        <f t="shared" si="131"/>
        <v>0</v>
      </c>
      <c r="AP301" s="35"/>
      <c r="AQ301" s="30"/>
      <c r="AR301" s="36">
        <f t="shared" si="132"/>
        <v>0</v>
      </c>
      <c r="AS301" s="27"/>
      <c r="AT301" s="37"/>
      <c r="AU301" s="30"/>
      <c r="AV301" s="36">
        <f t="shared" si="133"/>
        <v>0</v>
      </c>
      <c r="AW301" s="35"/>
      <c r="AX301" s="30"/>
      <c r="AY301" s="32">
        <f t="shared" si="134"/>
        <v>0</v>
      </c>
      <c r="AZ301" s="30" t="s">
        <v>841</v>
      </c>
      <c r="BA301" s="63"/>
      <c r="BB301" s="71" t="e">
        <f>SUMIFS([1]Form!$F$9:$F$22,[1]Form!$K$9:$K$22,K301)</f>
        <v>#VALUE!</v>
      </c>
      <c r="BC301" s="71"/>
      <c r="BD301" s="71"/>
    </row>
    <row r="302" spans="1:56" x14ac:dyDescent="0.25">
      <c r="A302" s="24">
        <f>IF(B302="","",SUBTOTAL(3,$B$4:B302))</f>
        <v>299</v>
      </c>
      <c r="B302" s="25" t="s">
        <v>840</v>
      </c>
      <c r="C302" s="25" t="str">
        <f t="shared" si="135"/>
        <v>Shipment 1 B-10124 Fired Proces Heater</v>
      </c>
      <c r="D302" s="25" t="s">
        <v>839</v>
      </c>
      <c r="E302" s="25" t="s">
        <v>838</v>
      </c>
      <c r="F302" s="25"/>
      <c r="G302" s="65"/>
      <c r="H302" s="25" t="s">
        <v>842</v>
      </c>
      <c r="I302" s="25"/>
      <c r="J302" s="26" t="s">
        <v>843</v>
      </c>
      <c r="K302" s="27" t="s">
        <v>373</v>
      </c>
      <c r="L302" s="28" t="s">
        <v>377</v>
      </c>
      <c r="M302" s="28" t="s">
        <v>704</v>
      </c>
      <c r="N302" s="25">
        <v>1</v>
      </c>
      <c r="O302" s="29">
        <v>2.7833333333333332</v>
      </c>
      <c r="P302" s="29">
        <v>2.7833333333333332</v>
      </c>
      <c r="Q302" s="25" t="s">
        <v>764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127"/>
        <v>0</v>
      </c>
      <c r="AF302" s="32">
        <f t="shared" si="128"/>
        <v>2.7833333333333332</v>
      </c>
      <c r="AG302" s="30"/>
      <c r="AH302" s="33"/>
      <c r="AI302" s="34">
        <f t="shared" si="129"/>
        <v>0</v>
      </c>
      <c r="AJ302" s="35"/>
      <c r="AK302" s="30"/>
      <c r="AL302" s="36">
        <f t="shared" si="130"/>
        <v>0</v>
      </c>
      <c r="AM302" s="35"/>
      <c r="AN302" s="30"/>
      <c r="AO302" s="36">
        <f t="shared" si="131"/>
        <v>0</v>
      </c>
      <c r="AP302" s="35"/>
      <c r="AQ302" s="30"/>
      <c r="AR302" s="36">
        <f t="shared" si="132"/>
        <v>0</v>
      </c>
      <c r="AS302" s="27"/>
      <c r="AT302" s="37"/>
      <c r="AU302" s="30"/>
      <c r="AV302" s="36">
        <f t="shared" si="133"/>
        <v>0</v>
      </c>
      <c r="AW302" s="35"/>
      <c r="AX302" s="30"/>
      <c r="AY302" s="32">
        <f t="shared" si="134"/>
        <v>0</v>
      </c>
      <c r="AZ302" s="30" t="s">
        <v>841</v>
      </c>
      <c r="BA302" s="63"/>
      <c r="BB302" s="71" t="e">
        <f>SUMIFS([1]Form!$F$9:$F$22,[1]Form!$K$9:$K$22,K302)</f>
        <v>#VALUE!</v>
      </c>
      <c r="BC302" s="71"/>
      <c r="BD302" s="71"/>
    </row>
    <row r="303" spans="1:56" x14ac:dyDescent="0.25">
      <c r="A303" s="24">
        <f>IF(B303="","",SUBTOTAL(3,$B$4:B303))</f>
        <v>300</v>
      </c>
      <c r="B303" s="25" t="s">
        <v>840</v>
      </c>
      <c r="C303" s="25" t="str">
        <f t="shared" si="135"/>
        <v>Shipment 1 B-10124 Fired Proces Heater</v>
      </c>
      <c r="D303" s="25" t="s">
        <v>839</v>
      </c>
      <c r="E303" s="25" t="s">
        <v>838</v>
      </c>
      <c r="F303" s="25"/>
      <c r="G303" s="65"/>
      <c r="H303" s="25" t="s">
        <v>842</v>
      </c>
      <c r="I303" s="25"/>
      <c r="J303" s="26" t="s">
        <v>843</v>
      </c>
      <c r="K303" s="27" t="s">
        <v>373</v>
      </c>
      <c r="L303" s="28" t="s">
        <v>378</v>
      </c>
      <c r="M303" s="28" t="s">
        <v>704</v>
      </c>
      <c r="N303" s="25">
        <v>1</v>
      </c>
      <c r="O303" s="29">
        <v>2.7833333333333332</v>
      </c>
      <c r="P303" s="29">
        <v>2.7833333333333332</v>
      </c>
      <c r="Q303" s="25" t="s">
        <v>764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127"/>
        <v>0</v>
      </c>
      <c r="AF303" s="32">
        <f t="shared" si="128"/>
        <v>2.7833333333333332</v>
      </c>
      <c r="AG303" s="30"/>
      <c r="AH303" s="33"/>
      <c r="AI303" s="34">
        <f t="shared" si="129"/>
        <v>0</v>
      </c>
      <c r="AJ303" s="35"/>
      <c r="AK303" s="30"/>
      <c r="AL303" s="36">
        <f t="shared" si="130"/>
        <v>0</v>
      </c>
      <c r="AM303" s="35"/>
      <c r="AN303" s="30"/>
      <c r="AO303" s="36">
        <f t="shared" si="131"/>
        <v>0</v>
      </c>
      <c r="AP303" s="35"/>
      <c r="AQ303" s="30"/>
      <c r="AR303" s="36">
        <f t="shared" si="132"/>
        <v>0</v>
      </c>
      <c r="AS303" s="27"/>
      <c r="AT303" s="37"/>
      <c r="AU303" s="30"/>
      <c r="AV303" s="36">
        <f t="shared" si="133"/>
        <v>0</v>
      </c>
      <c r="AW303" s="35"/>
      <c r="AX303" s="30"/>
      <c r="AY303" s="32">
        <f t="shared" si="134"/>
        <v>0</v>
      </c>
      <c r="AZ303" s="30" t="s">
        <v>841</v>
      </c>
      <c r="BA303" s="63"/>
      <c r="BB303" s="71" t="e">
        <f>SUMIFS([1]Form!$F$9:$F$22,[1]Form!$K$9:$K$22,K303)</f>
        <v>#VALUE!</v>
      </c>
      <c r="BC303" s="71"/>
      <c r="BD303" s="71"/>
    </row>
    <row r="304" spans="1:56" x14ac:dyDescent="0.25">
      <c r="A304" s="24">
        <f>IF(B304="","",SUBTOTAL(3,$B$4:B304))</f>
        <v>301</v>
      </c>
      <c r="B304" s="25" t="s">
        <v>840</v>
      </c>
      <c r="C304" s="25" t="str">
        <f t="shared" si="135"/>
        <v>Shipment 1 B-10124 Fired Proces Heater</v>
      </c>
      <c r="D304" s="25" t="s">
        <v>839</v>
      </c>
      <c r="E304" s="25" t="s">
        <v>838</v>
      </c>
      <c r="F304" s="25"/>
      <c r="G304" s="65"/>
      <c r="H304" s="25" t="s">
        <v>842</v>
      </c>
      <c r="I304" s="25"/>
      <c r="J304" s="26" t="s">
        <v>843</v>
      </c>
      <c r="K304" s="27" t="s">
        <v>373</v>
      </c>
      <c r="L304" s="28" t="s">
        <v>379</v>
      </c>
      <c r="M304" s="28" t="s">
        <v>704</v>
      </c>
      <c r="N304" s="25">
        <v>1</v>
      </c>
      <c r="O304" s="29">
        <v>2.7833333333333332</v>
      </c>
      <c r="P304" s="29">
        <v>2.7833333333333332</v>
      </c>
      <c r="Q304" s="25" t="s">
        <v>764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127"/>
        <v>0</v>
      </c>
      <c r="AF304" s="32">
        <f t="shared" si="128"/>
        <v>2.7833333333333332</v>
      </c>
      <c r="AG304" s="30"/>
      <c r="AH304" s="33"/>
      <c r="AI304" s="34">
        <f t="shared" si="129"/>
        <v>0</v>
      </c>
      <c r="AJ304" s="35"/>
      <c r="AK304" s="30"/>
      <c r="AL304" s="36">
        <f t="shared" si="130"/>
        <v>0</v>
      </c>
      <c r="AM304" s="35"/>
      <c r="AN304" s="30"/>
      <c r="AO304" s="36">
        <f t="shared" si="131"/>
        <v>0</v>
      </c>
      <c r="AP304" s="35"/>
      <c r="AQ304" s="30"/>
      <c r="AR304" s="36">
        <f t="shared" si="132"/>
        <v>0</v>
      </c>
      <c r="AS304" s="27"/>
      <c r="AT304" s="37"/>
      <c r="AU304" s="30"/>
      <c r="AV304" s="36">
        <f t="shared" si="133"/>
        <v>0</v>
      </c>
      <c r="AW304" s="35"/>
      <c r="AX304" s="30"/>
      <c r="AY304" s="32">
        <f t="shared" si="134"/>
        <v>0</v>
      </c>
      <c r="AZ304" s="30" t="s">
        <v>841</v>
      </c>
      <c r="BA304" s="63"/>
      <c r="BB304" s="71" t="e">
        <f>SUMIFS([1]Form!$F$9:$F$22,[1]Form!$K$9:$K$22,K304)</f>
        <v>#VALUE!</v>
      </c>
      <c r="BC304" s="71"/>
      <c r="BD304" s="71"/>
    </row>
    <row r="305" spans="1:56" x14ac:dyDescent="0.25">
      <c r="A305" s="24">
        <f>IF(B305="","",SUBTOTAL(3,$B$4:B305))</f>
        <v>302</v>
      </c>
      <c r="B305" s="25" t="s">
        <v>840</v>
      </c>
      <c r="C305" s="25" t="str">
        <f t="shared" si="135"/>
        <v>Shipment 1 B-10124 Fired Proces Heater</v>
      </c>
      <c r="D305" s="25" t="s">
        <v>839</v>
      </c>
      <c r="E305" s="25" t="s">
        <v>838</v>
      </c>
      <c r="F305" s="25"/>
      <c r="G305" s="65"/>
      <c r="H305" s="25" t="s">
        <v>842</v>
      </c>
      <c r="I305" s="25"/>
      <c r="J305" s="26" t="s">
        <v>843</v>
      </c>
      <c r="K305" s="27" t="s">
        <v>380</v>
      </c>
      <c r="L305" s="28" t="s">
        <v>381</v>
      </c>
      <c r="M305" s="28" t="s">
        <v>704</v>
      </c>
      <c r="N305" s="25">
        <v>188</v>
      </c>
      <c r="O305" s="29">
        <v>1.8728723404255321</v>
      </c>
      <c r="P305" s="29">
        <v>352.1</v>
      </c>
      <c r="Q305" s="25" t="s">
        <v>765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127"/>
        <v>0</v>
      </c>
      <c r="AF305" s="32">
        <f t="shared" si="128"/>
        <v>352.1</v>
      </c>
      <c r="AG305" s="30"/>
      <c r="AH305" s="33"/>
      <c r="AI305" s="34">
        <f t="shared" si="129"/>
        <v>0</v>
      </c>
      <c r="AJ305" s="35"/>
      <c r="AK305" s="30"/>
      <c r="AL305" s="36">
        <f t="shared" si="130"/>
        <v>0</v>
      </c>
      <c r="AM305" s="35"/>
      <c r="AN305" s="30"/>
      <c r="AO305" s="36">
        <f t="shared" si="131"/>
        <v>0</v>
      </c>
      <c r="AP305" s="35"/>
      <c r="AQ305" s="30"/>
      <c r="AR305" s="36">
        <f t="shared" si="132"/>
        <v>0</v>
      </c>
      <c r="AS305" s="27"/>
      <c r="AT305" s="37"/>
      <c r="AU305" s="30"/>
      <c r="AV305" s="36">
        <f t="shared" si="133"/>
        <v>0</v>
      </c>
      <c r="AW305" s="35"/>
      <c r="AX305" s="30"/>
      <c r="AY305" s="32">
        <f t="shared" si="134"/>
        <v>0</v>
      </c>
      <c r="AZ305" s="30" t="s">
        <v>841</v>
      </c>
      <c r="BA305" s="63"/>
      <c r="BB305" s="71" t="e">
        <f>SUMIFS([1]Form!$F$9:$F$22,[1]Form!$K$9:$K$22,K305)</f>
        <v>#VALUE!</v>
      </c>
      <c r="BC305" s="71"/>
      <c r="BD305" s="71"/>
    </row>
    <row r="306" spans="1:56" x14ac:dyDescent="0.25">
      <c r="A306" s="24">
        <f>IF(B306="","",SUBTOTAL(3,$B$4:B306))</f>
        <v>303</v>
      </c>
      <c r="B306" s="25" t="s">
        <v>840</v>
      </c>
      <c r="C306" s="25" t="str">
        <f t="shared" si="135"/>
        <v>Shipment 1 B-10124 Fired Proces Heater</v>
      </c>
      <c r="D306" s="25" t="s">
        <v>839</v>
      </c>
      <c r="E306" s="25" t="s">
        <v>838</v>
      </c>
      <c r="F306" s="25"/>
      <c r="G306" s="65"/>
      <c r="H306" s="25" t="s">
        <v>842</v>
      </c>
      <c r="I306" s="25"/>
      <c r="J306" s="26" t="s">
        <v>843</v>
      </c>
      <c r="K306" s="27" t="s">
        <v>382</v>
      </c>
      <c r="L306" s="28" t="s">
        <v>383</v>
      </c>
      <c r="M306" s="28" t="s">
        <v>704</v>
      </c>
      <c r="N306" s="25">
        <v>188</v>
      </c>
      <c r="O306" s="29">
        <v>3.7446808510638299</v>
      </c>
      <c r="P306" s="29">
        <v>704</v>
      </c>
      <c r="Q306" s="25" t="s">
        <v>766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127"/>
        <v>0</v>
      </c>
      <c r="AF306" s="32">
        <f t="shared" si="128"/>
        <v>704</v>
      </c>
      <c r="AG306" s="30"/>
      <c r="AH306" s="33"/>
      <c r="AI306" s="34">
        <f t="shared" si="129"/>
        <v>0</v>
      </c>
      <c r="AJ306" s="35"/>
      <c r="AK306" s="30"/>
      <c r="AL306" s="36">
        <f t="shared" si="130"/>
        <v>0</v>
      </c>
      <c r="AM306" s="35"/>
      <c r="AN306" s="30"/>
      <c r="AO306" s="36">
        <f t="shared" si="131"/>
        <v>0</v>
      </c>
      <c r="AP306" s="35"/>
      <c r="AQ306" s="30"/>
      <c r="AR306" s="36">
        <f t="shared" si="132"/>
        <v>0</v>
      </c>
      <c r="AS306" s="27"/>
      <c r="AT306" s="37"/>
      <c r="AU306" s="30"/>
      <c r="AV306" s="36">
        <f t="shared" si="133"/>
        <v>0</v>
      </c>
      <c r="AW306" s="35"/>
      <c r="AX306" s="30"/>
      <c r="AY306" s="32">
        <f t="shared" si="134"/>
        <v>0</v>
      </c>
      <c r="AZ306" s="30" t="s">
        <v>841</v>
      </c>
      <c r="BA306" s="63"/>
      <c r="BB306" s="71" t="e">
        <f>SUMIFS([1]Form!$F$9:$F$22,[1]Form!$K$9:$K$22,K306)</f>
        <v>#VALUE!</v>
      </c>
      <c r="BC306" s="71"/>
      <c r="BD306" s="71"/>
    </row>
    <row r="307" spans="1:56" x14ac:dyDescent="0.25">
      <c r="A307" s="24">
        <f>IF(B307="","",SUBTOTAL(3,$B$4:B307))</f>
        <v>304</v>
      </c>
      <c r="B307" s="25" t="s">
        <v>840</v>
      </c>
      <c r="C307" s="25" t="str">
        <f t="shared" si="135"/>
        <v>Shipment 1 B-10124 Fired Proces Heater</v>
      </c>
      <c r="D307" s="25" t="s">
        <v>839</v>
      </c>
      <c r="E307" s="25" t="s">
        <v>838</v>
      </c>
      <c r="F307" s="25"/>
      <c r="G307" s="65"/>
      <c r="H307" s="25" t="s">
        <v>842</v>
      </c>
      <c r="I307" s="25"/>
      <c r="J307" s="26" t="s">
        <v>843</v>
      </c>
      <c r="K307" s="27" t="s">
        <v>384</v>
      </c>
      <c r="L307" s="28" t="s">
        <v>385</v>
      </c>
      <c r="M307" s="28" t="s">
        <v>704</v>
      </c>
      <c r="N307" s="25">
        <v>1</v>
      </c>
      <c r="O307" s="29">
        <v>3.2250000000000001</v>
      </c>
      <c r="P307" s="29">
        <v>3.2250000000000001</v>
      </c>
      <c r="Q307" s="25" t="s">
        <v>767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127"/>
        <v>0</v>
      </c>
      <c r="AF307" s="32">
        <f t="shared" si="128"/>
        <v>3.2250000000000001</v>
      </c>
      <c r="AG307" s="30"/>
      <c r="AH307" s="33"/>
      <c r="AI307" s="34">
        <f t="shared" si="129"/>
        <v>0</v>
      </c>
      <c r="AJ307" s="35"/>
      <c r="AK307" s="30"/>
      <c r="AL307" s="36">
        <f t="shared" si="130"/>
        <v>0</v>
      </c>
      <c r="AM307" s="35"/>
      <c r="AN307" s="30"/>
      <c r="AO307" s="36">
        <f t="shared" si="131"/>
        <v>0</v>
      </c>
      <c r="AP307" s="35"/>
      <c r="AQ307" s="30"/>
      <c r="AR307" s="36">
        <f t="shared" si="132"/>
        <v>0</v>
      </c>
      <c r="AS307" s="27"/>
      <c r="AT307" s="37"/>
      <c r="AU307" s="30"/>
      <c r="AV307" s="36">
        <f t="shared" si="133"/>
        <v>0</v>
      </c>
      <c r="AW307" s="35"/>
      <c r="AX307" s="30"/>
      <c r="AY307" s="32">
        <f t="shared" si="134"/>
        <v>0</v>
      </c>
      <c r="AZ307" s="30" t="s">
        <v>841</v>
      </c>
      <c r="BA307" s="63"/>
      <c r="BB307" s="71" t="e">
        <f>SUMIFS([1]Form!$F$9:$F$22,[1]Form!$K$9:$K$22,K307)</f>
        <v>#VALUE!</v>
      </c>
      <c r="BC307" s="71"/>
      <c r="BD307" s="71"/>
    </row>
    <row r="308" spans="1:56" x14ac:dyDescent="0.25">
      <c r="A308" s="24">
        <f>IF(B308="","",SUBTOTAL(3,$B$4:B308))</f>
        <v>305</v>
      </c>
      <c r="B308" s="25" t="s">
        <v>840</v>
      </c>
      <c r="C308" s="25" t="str">
        <f t="shared" si="135"/>
        <v>Shipment 1 B-10124 Fired Proces Heater</v>
      </c>
      <c r="D308" s="25" t="s">
        <v>839</v>
      </c>
      <c r="E308" s="25" t="s">
        <v>838</v>
      </c>
      <c r="F308" s="25"/>
      <c r="G308" s="65"/>
      <c r="H308" s="25" t="s">
        <v>842</v>
      </c>
      <c r="I308" s="25"/>
      <c r="J308" s="26" t="s">
        <v>843</v>
      </c>
      <c r="K308" s="27" t="s">
        <v>384</v>
      </c>
      <c r="L308" s="28" t="s">
        <v>386</v>
      </c>
      <c r="M308" s="28" t="s">
        <v>704</v>
      </c>
      <c r="N308" s="25">
        <v>1</v>
      </c>
      <c r="O308" s="29">
        <v>3.2250000000000001</v>
      </c>
      <c r="P308" s="29">
        <v>3.2250000000000001</v>
      </c>
      <c r="Q308" s="25" t="s">
        <v>767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127"/>
        <v>0</v>
      </c>
      <c r="AF308" s="32">
        <f t="shared" si="128"/>
        <v>3.2250000000000001</v>
      </c>
      <c r="AG308" s="30"/>
      <c r="AH308" s="33"/>
      <c r="AI308" s="34">
        <f t="shared" si="129"/>
        <v>0</v>
      </c>
      <c r="AJ308" s="35"/>
      <c r="AK308" s="30"/>
      <c r="AL308" s="36">
        <f t="shared" si="130"/>
        <v>0</v>
      </c>
      <c r="AM308" s="35"/>
      <c r="AN308" s="30"/>
      <c r="AO308" s="36">
        <f t="shared" si="131"/>
        <v>0</v>
      </c>
      <c r="AP308" s="35"/>
      <c r="AQ308" s="30"/>
      <c r="AR308" s="36">
        <f t="shared" si="132"/>
        <v>0</v>
      </c>
      <c r="AS308" s="27"/>
      <c r="AT308" s="37"/>
      <c r="AU308" s="30"/>
      <c r="AV308" s="36">
        <f t="shared" si="133"/>
        <v>0</v>
      </c>
      <c r="AW308" s="35"/>
      <c r="AX308" s="30"/>
      <c r="AY308" s="32">
        <f t="shared" si="134"/>
        <v>0</v>
      </c>
      <c r="AZ308" s="30" t="s">
        <v>841</v>
      </c>
      <c r="BA308" s="63"/>
      <c r="BB308" s="71" t="e">
        <f>SUMIFS([1]Form!$F$9:$F$22,[1]Form!$K$9:$K$22,K308)</f>
        <v>#VALUE!</v>
      </c>
      <c r="BC308" s="71"/>
      <c r="BD308" s="71"/>
    </row>
    <row r="309" spans="1:56" x14ac:dyDescent="0.25">
      <c r="A309" s="24">
        <f>IF(B309="","",SUBTOTAL(3,$B$4:B309))</f>
        <v>306</v>
      </c>
      <c r="B309" s="25" t="s">
        <v>840</v>
      </c>
      <c r="C309" s="25" t="str">
        <f t="shared" si="135"/>
        <v>Shipment 1 B-10124 Fired Proces Heater</v>
      </c>
      <c r="D309" s="25" t="s">
        <v>839</v>
      </c>
      <c r="E309" s="25" t="s">
        <v>838</v>
      </c>
      <c r="F309" s="25"/>
      <c r="G309" s="65"/>
      <c r="H309" s="25" t="s">
        <v>842</v>
      </c>
      <c r="I309" s="25"/>
      <c r="J309" s="26" t="s">
        <v>843</v>
      </c>
      <c r="K309" s="27" t="s">
        <v>384</v>
      </c>
      <c r="L309" s="28" t="s">
        <v>387</v>
      </c>
      <c r="M309" s="28" t="s">
        <v>704</v>
      </c>
      <c r="N309" s="25">
        <v>1</v>
      </c>
      <c r="O309" s="29">
        <v>3.2250000000000001</v>
      </c>
      <c r="P309" s="29">
        <v>3.2250000000000001</v>
      </c>
      <c r="Q309" s="25" t="s">
        <v>767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127"/>
        <v>0</v>
      </c>
      <c r="AF309" s="32">
        <f t="shared" si="128"/>
        <v>3.2250000000000001</v>
      </c>
      <c r="AG309" s="30"/>
      <c r="AH309" s="33"/>
      <c r="AI309" s="34">
        <f t="shared" si="129"/>
        <v>0</v>
      </c>
      <c r="AJ309" s="35"/>
      <c r="AK309" s="30"/>
      <c r="AL309" s="36">
        <f t="shared" si="130"/>
        <v>0</v>
      </c>
      <c r="AM309" s="35"/>
      <c r="AN309" s="30"/>
      <c r="AO309" s="36">
        <f t="shared" si="131"/>
        <v>0</v>
      </c>
      <c r="AP309" s="35"/>
      <c r="AQ309" s="30"/>
      <c r="AR309" s="36">
        <f t="shared" si="132"/>
        <v>0</v>
      </c>
      <c r="AS309" s="27"/>
      <c r="AT309" s="37"/>
      <c r="AU309" s="30"/>
      <c r="AV309" s="36">
        <f t="shared" si="133"/>
        <v>0</v>
      </c>
      <c r="AW309" s="35"/>
      <c r="AX309" s="30"/>
      <c r="AY309" s="32">
        <f t="shared" si="134"/>
        <v>0</v>
      </c>
      <c r="AZ309" s="30" t="s">
        <v>841</v>
      </c>
      <c r="BA309" s="63"/>
      <c r="BB309" s="71" t="e">
        <f>SUMIFS([1]Form!$F$9:$F$22,[1]Form!$K$9:$K$22,K309)</f>
        <v>#VALUE!</v>
      </c>
      <c r="BC309" s="71"/>
      <c r="BD309" s="71"/>
    </row>
    <row r="310" spans="1:56" x14ac:dyDescent="0.25">
      <c r="A310" s="24">
        <f>IF(B310="","",SUBTOTAL(3,$B$4:B310))</f>
        <v>307</v>
      </c>
      <c r="B310" s="25" t="s">
        <v>840</v>
      </c>
      <c r="C310" s="25" t="str">
        <f t="shared" si="135"/>
        <v>Shipment 1 B-10124 Fired Proces Heater</v>
      </c>
      <c r="D310" s="25" t="s">
        <v>839</v>
      </c>
      <c r="E310" s="25" t="s">
        <v>838</v>
      </c>
      <c r="F310" s="25"/>
      <c r="G310" s="65"/>
      <c r="H310" s="25" t="s">
        <v>842</v>
      </c>
      <c r="I310" s="25"/>
      <c r="J310" s="26" t="s">
        <v>843</v>
      </c>
      <c r="K310" s="27" t="s">
        <v>384</v>
      </c>
      <c r="L310" s="28" t="s">
        <v>388</v>
      </c>
      <c r="M310" s="28" t="s">
        <v>704</v>
      </c>
      <c r="N310" s="25">
        <v>1</v>
      </c>
      <c r="O310" s="29">
        <v>3.2250000000000001</v>
      </c>
      <c r="P310" s="29">
        <v>3.2250000000000001</v>
      </c>
      <c r="Q310" s="25" t="s">
        <v>767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127"/>
        <v>0</v>
      </c>
      <c r="AF310" s="32">
        <f t="shared" si="128"/>
        <v>3.2250000000000001</v>
      </c>
      <c r="AG310" s="30"/>
      <c r="AH310" s="33"/>
      <c r="AI310" s="34">
        <f t="shared" si="129"/>
        <v>0</v>
      </c>
      <c r="AJ310" s="35"/>
      <c r="AK310" s="30"/>
      <c r="AL310" s="36">
        <f t="shared" si="130"/>
        <v>0</v>
      </c>
      <c r="AM310" s="35"/>
      <c r="AN310" s="30"/>
      <c r="AO310" s="36">
        <f t="shared" si="131"/>
        <v>0</v>
      </c>
      <c r="AP310" s="35"/>
      <c r="AQ310" s="30"/>
      <c r="AR310" s="36">
        <f t="shared" si="132"/>
        <v>0</v>
      </c>
      <c r="AS310" s="27"/>
      <c r="AT310" s="37"/>
      <c r="AU310" s="30"/>
      <c r="AV310" s="36">
        <f t="shared" si="133"/>
        <v>0</v>
      </c>
      <c r="AW310" s="35"/>
      <c r="AX310" s="30"/>
      <c r="AY310" s="32">
        <f t="shared" si="134"/>
        <v>0</v>
      </c>
      <c r="AZ310" s="30" t="s">
        <v>841</v>
      </c>
      <c r="BA310" s="63"/>
      <c r="BB310" s="71" t="e">
        <f>SUMIFS([1]Form!$F$9:$F$22,[1]Form!$K$9:$K$22,K310)</f>
        <v>#VALUE!</v>
      </c>
      <c r="BC310" s="71"/>
      <c r="BD310" s="71"/>
    </row>
    <row r="311" spans="1:56" x14ac:dyDescent="0.25">
      <c r="A311" s="24">
        <f>IF(B311="","",SUBTOTAL(3,$B$4:B311))</f>
        <v>308</v>
      </c>
      <c r="B311" s="25" t="s">
        <v>840</v>
      </c>
      <c r="C311" s="25" t="str">
        <f t="shared" si="135"/>
        <v>Shipment 1 B-10124 Fired Proces Heater</v>
      </c>
      <c r="D311" s="25" t="s">
        <v>839</v>
      </c>
      <c r="E311" s="25" t="s">
        <v>838</v>
      </c>
      <c r="F311" s="25"/>
      <c r="G311" s="65"/>
      <c r="H311" s="25" t="s">
        <v>842</v>
      </c>
      <c r="I311" s="25"/>
      <c r="J311" s="26" t="s">
        <v>843</v>
      </c>
      <c r="K311" s="27" t="s">
        <v>384</v>
      </c>
      <c r="L311" s="28" t="s">
        <v>389</v>
      </c>
      <c r="M311" s="28" t="s">
        <v>704</v>
      </c>
      <c r="N311" s="25">
        <v>1</v>
      </c>
      <c r="O311" s="29">
        <v>3.2250000000000001</v>
      </c>
      <c r="P311" s="29">
        <v>3.2250000000000001</v>
      </c>
      <c r="Q311" s="25" t="s">
        <v>767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127"/>
        <v>0</v>
      </c>
      <c r="AF311" s="32">
        <f t="shared" si="128"/>
        <v>3.2250000000000001</v>
      </c>
      <c r="AG311" s="30"/>
      <c r="AH311" s="33"/>
      <c r="AI311" s="34">
        <f t="shared" si="129"/>
        <v>0</v>
      </c>
      <c r="AJ311" s="35"/>
      <c r="AK311" s="30"/>
      <c r="AL311" s="36">
        <f t="shared" si="130"/>
        <v>0</v>
      </c>
      <c r="AM311" s="35"/>
      <c r="AN311" s="30"/>
      <c r="AO311" s="36">
        <f t="shared" si="131"/>
        <v>0</v>
      </c>
      <c r="AP311" s="35"/>
      <c r="AQ311" s="30"/>
      <c r="AR311" s="36">
        <f t="shared" si="132"/>
        <v>0</v>
      </c>
      <c r="AS311" s="27"/>
      <c r="AT311" s="37"/>
      <c r="AU311" s="30"/>
      <c r="AV311" s="36">
        <f t="shared" si="133"/>
        <v>0</v>
      </c>
      <c r="AW311" s="35"/>
      <c r="AX311" s="30"/>
      <c r="AY311" s="32">
        <f t="shared" si="134"/>
        <v>0</v>
      </c>
      <c r="AZ311" s="30" t="s">
        <v>841</v>
      </c>
      <c r="BA311" s="63"/>
      <c r="BB311" s="71" t="e">
        <f>SUMIFS([1]Form!$F$9:$F$22,[1]Form!$K$9:$K$22,K311)</f>
        <v>#VALUE!</v>
      </c>
      <c r="BC311" s="71"/>
      <c r="BD311" s="71"/>
    </row>
    <row r="312" spans="1:56" x14ac:dyDescent="0.25">
      <c r="A312" s="24">
        <f>IF(B312="","",SUBTOTAL(3,$B$4:B312))</f>
        <v>309</v>
      </c>
      <c r="B312" s="25" t="s">
        <v>840</v>
      </c>
      <c r="C312" s="25" t="str">
        <f t="shared" si="135"/>
        <v>Shipment 1 B-10124 Fired Proces Heater</v>
      </c>
      <c r="D312" s="25" t="s">
        <v>839</v>
      </c>
      <c r="E312" s="25" t="s">
        <v>838</v>
      </c>
      <c r="F312" s="25"/>
      <c r="G312" s="65"/>
      <c r="H312" s="25" t="s">
        <v>842</v>
      </c>
      <c r="I312" s="25"/>
      <c r="J312" s="26" t="s">
        <v>843</v>
      </c>
      <c r="K312" s="27" t="s">
        <v>384</v>
      </c>
      <c r="L312" s="28" t="s">
        <v>390</v>
      </c>
      <c r="M312" s="28" t="s">
        <v>704</v>
      </c>
      <c r="N312" s="25">
        <v>1</v>
      </c>
      <c r="O312" s="29">
        <v>3.2250000000000001</v>
      </c>
      <c r="P312" s="29">
        <v>3.2250000000000001</v>
      </c>
      <c r="Q312" s="25" t="s">
        <v>767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127"/>
        <v>0</v>
      </c>
      <c r="AF312" s="32">
        <f t="shared" si="128"/>
        <v>3.2250000000000001</v>
      </c>
      <c r="AG312" s="30"/>
      <c r="AH312" s="33"/>
      <c r="AI312" s="34">
        <f t="shared" si="129"/>
        <v>0</v>
      </c>
      <c r="AJ312" s="35"/>
      <c r="AK312" s="30"/>
      <c r="AL312" s="36">
        <f t="shared" si="130"/>
        <v>0</v>
      </c>
      <c r="AM312" s="35"/>
      <c r="AN312" s="30"/>
      <c r="AO312" s="36">
        <f t="shared" si="131"/>
        <v>0</v>
      </c>
      <c r="AP312" s="35"/>
      <c r="AQ312" s="30"/>
      <c r="AR312" s="36">
        <f t="shared" si="132"/>
        <v>0</v>
      </c>
      <c r="AS312" s="27"/>
      <c r="AT312" s="37"/>
      <c r="AU312" s="30"/>
      <c r="AV312" s="36">
        <f t="shared" si="133"/>
        <v>0</v>
      </c>
      <c r="AW312" s="35"/>
      <c r="AX312" s="30"/>
      <c r="AY312" s="32">
        <f t="shared" si="134"/>
        <v>0</v>
      </c>
      <c r="AZ312" s="30" t="s">
        <v>841</v>
      </c>
      <c r="BA312" s="63"/>
      <c r="BB312" s="71" t="e">
        <f>SUMIFS([1]Form!$F$9:$F$22,[1]Form!$K$9:$K$22,K312)</f>
        <v>#VALUE!</v>
      </c>
      <c r="BC312" s="71"/>
      <c r="BD312" s="71"/>
    </row>
    <row r="313" spans="1:56" x14ac:dyDescent="0.25">
      <c r="A313" s="24">
        <f>IF(B313="","",SUBTOTAL(3,$B$4:B313))</f>
        <v>310</v>
      </c>
      <c r="B313" s="25" t="s">
        <v>840</v>
      </c>
      <c r="C313" s="25" t="str">
        <f t="shared" si="135"/>
        <v>Shipment 1 B-10124 Fired Proces Heater</v>
      </c>
      <c r="D313" s="25" t="s">
        <v>839</v>
      </c>
      <c r="E313" s="25" t="s">
        <v>838</v>
      </c>
      <c r="F313" s="25"/>
      <c r="G313" s="65"/>
      <c r="H313" s="25" t="s">
        <v>842</v>
      </c>
      <c r="I313" s="25"/>
      <c r="J313" s="26" t="s">
        <v>843</v>
      </c>
      <c r="K313" s="27" t="s">
        <v>384</v>
      </c>
      <c r="L313" s="28" t="s">
        <v>391</v>
      </c>
      <c r="M313" s="28" t="s">
        <v>704</v>
      </c>
      <c r="N313" s="25">
        <v>1</v>
      </c>
      <c r="O313" s="29">
        <v>3.2250000000000001</v>
      </c>
      <c r="P313" s="29">
        <v>3.2250000000000001</v>
      </c>
      <c r="Q313" s="25" t="s">
        <v>767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127"/>
        <v>0</v>
      </c>
      <c r="AF313" s="32">
        <f t="shared" si="128"/>
        <v>3.2250000000000001</v>
      </c>
      <c r="AG313" s="30"/>
      <c r="AH313" s="33"/>
      <c r="AI313" s="34">
        <f t="shared" si="129"/>
        <v>0</v>
      </c>
      <c r="AJ313" s="35"/>
      <c r="AK313" s="30"/>
      <c r="AL313" s="36">
        <f t="shared" si="130"/>
        <v>0</v>
      </c>
      <c r="AM313" s="35"/>
      <c r="AN313" s="30"/>
      <c r="AO313" s="36">
        <f t="shared" si="131"/>
        <v>0</v>
      </c>
      <c r="AP313" s="35"/>
      <c r="AQ313" s="30"/>
      <c r="AR313" s="36">
        <f t="shared" si="132"/>
        <v>0</v>
      </c>
      <c r="AS313" s="27"/>
      <c r="AT313" s="37"/>
      <c r="AU313" s="30"/>
      <c r="AV313" s="36">
        <f t="shared" si="133"/>
        <v>0</v>
      </c>
      <c r="AW313" s="35"/>
      <c r="AX313" s="30"/>
      <c r="AY313" s="32">
        <f t="shared" si="134"/>
        <v>0</v>
      </c>
      <c r="AZ313" s="30" t="s">
        <v>841</v>
      </c>
      <c r="BA313" s="63"/>
      <c r="BB313" s="71" t="e">
        <f>SUMIFS([1]Form!$F$9:$F$22,[1]Form!$K$9:$K$22,K313)</f>
        <v>#VALUE!</v>
      </c>
      <c r="BC313" s="71"/>
      <c r="BD313" s="71"/>
    </row>
    <row r="314" spans="1:56" x14ac:dyDescent="0.25">
      <c r="A314" s="24">
        <f>IF(B314="","",SUBTOTAL(3,$B$4:B314))</f>
        <v>311</v>
      </c>
      <c r="B314" s="25" t="s">
        <v>840</v>
      </c>
      <c r="C314" s="25" t="str">
        <f t="shared" si="135"/>
        <v>Shipment 1 B-10124 Fired Proces Heater</v>
      </c>
      <c r="D314" s="25" t="s">
        <v>839</v>
      </c>
      <c r="E314" s="25" t="s">
        <v>838</v>
      </c>
      <c r="F314" s="25"/>
      <c r="G314" s="65"/>
      <c r="H314" s="25" t="s">
        <v>842</v>
      </c>
      <c r="I314" s="25"/>
      <c r="J314" s="26" t="s">
        <v>843</v>
      </c>
      <c r="K314" s="27" t="s">
        <v>384</v>
      </c>
      <c r="L314" s="28" t="s">
        <v>392</v>
      </c>
      <c r="M314" s="28" t="s">
        <v>704</v>
      </c>
      <c r="N314" s="25">
        <v>1</v>
      </c>
      <c r="O314" s="29">
        <v>3.2250000000000001</v>
      </c>
      <c r="P314" s="29">
        <v>3.2250000000000001</v>
      </c>
      <c r="Q314" s="25" t="s">
        <v>767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ref="AE314:AE377" si="136">+AL314*0.5+AO314*0.4+AV314*0.1</f>
        <v>0</v>
      </c>
      <c r="AF314" s="32">
        <f t="shared" ref="AF314:AF377" si="137">+P314-AE314</f>
        <v>3.2250000000000001</v>
      </c>
      <c r="AG314" s="30"/>
      <c r="AH314" s="33"/>
      <c r="AI314" s="34">
        <f t="shared" ref="AI314:AI377" si="138">+AH314*P314</f>
        <v>0</v>
      </c>
      <c r="AJ314" s="35"/>
      <c r="AK314" s="30"/>
      <c r="AL314" s="36">
        <f t="shared" ref="AL314:AL377" si="139">IFERROR(AK314*$P314/$N314,0)</f>
        <v>0</v>
      </c>
      <c r="AM314" s="35"/>
      <c r="AN314" s="30"/>
      <c r="AO314" s="36">
        <f t="shared" ref="AO314:AO377" si="140">IFERROR(AN314*$P314/$N314,0)</f>
        <v>0</v>
      </c>
      <c r="AP314" s="35"/>
      <c r="AQ314" s="30"/>
      <c r="AR314" s="36">
        <f t="shared" ref="AR314:AR377" si="141">IFERROR(AQ314*$P314/$N314,0)</f>
        <v>0</v>
      </c>
      <c r="AS314" s="27"/>
      <c r="AT314" s="37"/>
      <c r="AU314" s="30"/>
      <c r="AV314" s="36">
        <f t="shared" ref="AV314:AV377" si="142">IFERROR(AU314*$P314/$N314,0)</f>
        <v>0</v>
      </c>
      <c r="AW314" s="35"/>
      <c r="AX314" s="30"/>
      <c r="AY314" s="32">
        <f t="shared" ref="AY314:AY377" si="143">IFERROR(AX314*$P314/$N314,0)</f>
        <v>0</v>
      </c>
      <c r="AZ314" s="30" t="s">
        <v>841</v>
      </c>
      <c r="BA314" s="63"/>
      <c r="BB314" s="71" t="e">
        <f>SUMIFS([1]Form!$F$9:$F$22,[1]Form!$K$9:$K$22,K314)</f>
        <v>#VALUE!</v>
      </c>
      <c r="BC314" s="71"/>
      <c r="BD314" s="71"/>
    </row>
    <row r="315" spans="1:56" x14ac:dyDescent="0.25">
      <c r="A315" s="24">
        <f>IF(B315="","",SUBTOTAL(3,$B$4:B315))</f>
        <v>312</v>
      </c>
      <c r="B315" s="25" t="s">
        <v>840</v>
      </c>
      <c r="C315" s="25" t="str">
        <f t="shared" si="135"/>
        <v>Shipment 1 B-10124 Fired Proces Heater</v>
      </c>
      <c r="D315" s="25" t="s">
        <v>839</v>
      </c>
      <c r="E315" s="25" t="s">
        <v>838</v>
      </c>
      <c r="F315" s="25"/>
      <c r="G315" s="65"/>
      <c r="H315" s="25" t="s">
        <v>842</v>
      </c>
      <c r="I315" s="25"/>
      <c r="J315" s="26" t="s">
        <v>843</v>
      </c>
      <c r="K315" s="27" t="s">
        <v>384</v>
      </c>
      <c r="L315" s="28" t="s">
        <v>393</v>
      </c>
      <c r="M315" s="28" t="s">
        <v>704</v>
      </c>
      <c r="N315" s="25">
        <v>1</v>
      </c>
      <c r="O315" s="29">
        <v>3.2250000000000001</v>
      </c>
      <c r="P315" s="29">
        <v>3.2250000000000001</v>
      </c>
      <c r="Q315" s="25" t="s">
        <v>767</v>
      </c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136"/>
        <v>0</v>
      </c>
      <c r="AF315" s="32">
        <f t="shared" si="137"/>
        <v>3.2250000000000001</v>
      </c>
      <c r="AG315" s="30"/>
      <c r="AH315" s="33"/>
      <c r="AI315" s="34">
        <f t="shared" si="138"/>
        <v>0</v>
      </c>
      <c r="AJ315" s="35"/>
      <c r="AK315" s="30"/>
      <c r="AL315" s="36">
        <f t="shared" si="139"/>
        <v>0</v>
      </c>
      <c r="AM315" s="35"/>
      <c r="AN315" s="30"/>
      <c r="AO315" s="36">
        <f t="shared" si="140"/>
        <v>0</v>
      </c>
      <c r="AP315" s="35"/>
      <c r="AQ315" s="30"/>
      <c r="AR315" s="36">
        <f t="shared" si="141"/>
        <v>0</v>
      </c>
      <c r="AS315" s="27"/>
      <c r="AT315" s="37"/>
      <c r="AU315" s="30"/>
      <c r="AV315" s="36">
        <f t="shared" si="142"/>
        <v>0</v>
      </c>
      <c r="AW315" s="35"/>
      <c r="AX315" s="30"/>
      <c r="AY315" s="32">
        <f t="shared" si="143"/>
        <v>0</v>
      </c>
      <c r="AZ315" s="30" t="s">
        <v>841</v>
      </c>
      <c r="BA315" s="63"/>
      <c r="BB315" s="71" t="e">
        <f>SUMIFS([1]Form!$F$9:$F$22,[1]Form!$K$9:$K$22,K315)</f>
        <v>#VALUE!</v>
      </c>
      <c r="BC315" s="71"/>
      <c r="BD315" s="71"/>
    </row>
    <row r="316" spans="1:56" x14ac:dyDescent="0.25">
      <c r="A316" s="24">
        <f>IF(B316="","",SUBTOTAL(3,$B$4:B316))</f>
        <v>313</v>
      </c>
      <c r="B316" s="25" t="s">
        <v>840</v>
      </c>
      <c r="C316" s="25" t="str">
        <f t="shared" si="135"/>
        <v>Shipment 1 B-10124 Fired Proces Heater</v>
      </c>
      <c r="D316" s="25" t="s">
        <v>839</v>
      </c>
      <c r="E316" s="25" t="s">
        <v>838</v>
      </c>
      <c r="F316" s="25"/>
      <c r="G316" s="65"/>
      <c r="H316" s="25" t="s">
        <v>842</v>
      </c>
      <c r="I316" s="25"/>
      <c r="J316" s="26" t="s">
        <v>843</v>
      </c>
      <c r="K316" s="27" t="s">
        <v>384</v>
      </c>
      <c r="L316" s="28" t="s">
        <v>394</v>
      </c>
      <c r="M316" s="28" t="s">
        <v>704</v>
      </c>
      <c r="N316" s="25">
        <v>1</v>
      </c>
      <c r="O316" s="29">
        <v>3.2250000000000001</v>
      </c>
      <c r="P316" s="29">
        <v>3.2250000000000001</v>
      </c>
      <c r="Q316" s="25" t="s">
        <v>767</v>
      </c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136"/>
        <v>0</v>
      </c>
      <c r="AF316" s="32">
        <f t="shared" si="137"/>
        <v>3.2250000000000001</v>
      </c>
      <c r="AG316" s="30"/>
      <c r="AH316" s="33"/>
      <c r="AI316" s="34">
        <f t="shared" si="138"/>
        <v>0</v>
      </c>
      <c r="AJ316" s="35"/>
      <c r="AK316" s="30"/>
      <c r="AL316" s="36">
        <f t="shared" si="139"/>
        <v>0</v>
      </c>
      <c r="AM316" s="35"/>
      <c r="AN316" s="30"/>
      <c r="AO316" s="36">
        <f t="shared" si="140"/>
        <v>0</v>
      </c>
      <c r="AP316" s="35"/>
      <c r="AQ316" s="30"/>
      <c r="AR316" s="36">
        <f t="shared" si="141"/>
        <v>0</v>
      </c>
      <c r="AS316" s="27"/>
      <c r="AT316" s="37"/>
      <c r="AU316" s="30"/>
      <c r="AV316" s="36">
        <f t="shared" si="142"/>
        <v>0</v>
      </c>
      <c r="AW316" s="35"/>
      <c r="AX316" s="30"/>
      <c r="AY316" s="32">
        <f t="shared" si="143"/>
        <v>0</v>
      </c>
      <c r="AZ316" s="30" t="s">
        <v>841</v>
      </c>
      <c r="BA316" s="63"/>
      <c r="BB316" s="71" t="e">
        <f>SUMIFS([1]Form!$F$9:$F$22,[1]Form!$K$9:$K$22,K316)</f>
        <v>#VALUE!</v>
      </c>
      <c r="BC316" s="71"/>
      <c r="BD316" s="71"/>
    </row>
    <row r="317" spans="1:56" x14ac:dyDescent="0.25">
      <c r="A317" s="24">
        <f>IF(B317="","",SUBTOTAL(3,$B$4:B317))</f>
        <v>314</v>
      </c>
      <c r="B317" s="25" t="s">
        <v>840</v>
      </c>
      <c r="C317" s="25" t="str">
        <f t="shared" si="135"/>
        <v>Shipment 1 B-10124 Fired Proces Heater</v>
      </c>
      <c r="D317" s="25" t="s">
        <v>839</v>
      </c>
      <c r="E317" s="25" t="s">
        <v>838</v>
      </c>
      <c r="F317" s="25"/>
      <c r="G317" s="65"/>
      <c r="H317" s="25" t="s">
        <v>842</v>
      </c>
      <c r="I317" s="25"/>
      <c r="J317" s="26" t="s">
        <v>843</v>
      </c>
      <c r="K317" s="27" t="s">
        <v>384</v>
      </c>
      <c r="L317" s="28" t="s">
        <v>395</v>
      </c>
      <c r="M317" s="28" t="s">
        <v>704</v>
      </c>
      <c r="N317" s="25">
        <v>1</v>
      </c>
      <c r="O317" s="29">
        <v>3.2250000000000001</v>
      </c>
      <c r="P317" s="29">
        <v>3.2250000000000001</v>
      </c>
      <c r="Q317" s="25" t="s">
        <v>767</v>
      </c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136"/>
        <v>0</v>
      </c>
      <c r="AF317" s="32">
        <f t="shared" si="137"/>
        <v>3.2250000000000001</v>
      </c>
      <c r="AG317" s="30"/>
      <c r="AH317" s="33"/>
      <c r="AI317" s="34">
        <f t="shared" si="138"/>
        <v>0</v>
      </c>
      <c r="AJ317" s="35"/>
      <c r="AK317" s="30"/>
      <c r="AL317" s="36">
        <f t="shared" si="139"/>
        <v>0</v>
      </c>
      <c r="AM317" s="35"/>
      <c r="AN317" s="30"/>
      <c r="AO317" s="36">
        <f t="shared" si="140"/>
        <v>0</v>
      </c>
      <c r="AP317" s="35"/>
      <c r="AQ317" s="30"/>
      <c r="AR317" s="36">
        <f t="shared" si="141"/>
        <v>0</v>
      </c>
      <c r="AS317" s="27"/>
      <c r="AT317" s="37"/>
      <c r="AU317" s="30"/>
      <c r="AV317" s="36">
        <f t="shared" si="142"/>
        <v>0</v>
      </c>
      <c r="AW317" s="35"/>
      <c r="AX317" s="30"/>
      <c r="AY317" s="32">
        <f t="shared" si="143"/>
        <v>0</v>
      </c>
      <c r="AZ317" s="30" t="s">
        <v>841</v>
      </c>
      <c r="BA317" s="63"/>
      <c r="BB317" s="71" t="e">
        <f>SUMIFS([1]Form!$F$9:$F$22,[1]Form!$K$9:$K$22,K317)</f>
        <v>#VALUE!</v>
      </c>
      <c r="BC317" s="71"/>
      <c r="BD317" s="71"/>
    </row>
    <row r="318" spans="1:56" x14ac:dyDescent="0.25">
      <c r="A318" s="24">
        <f>IF(B318="","",SUBTOTAL(3,$B$4:B318))</f>
        <v>315</v>
      </c>
      <c r="B318" s="25" t="s">
        <v>840</v>
      </c>
      <c r="C318" s="25" t="str">
        <f t="shared" si="135"/>
        <v>Shipment 1 B-10124 Fired Proces Heater</v>
      </c>
      <c r="D318" s="25" t="s">
        <v>839</v>
      </c>
      <c r="E318" s="25" t="s">
        <v>838</v>
      </c>
      <c r="F318" s="25"/>
      <c r="G318" s="65"/>
      <c r="H318" s="25" t="s">
        <v>842</v>
      </c>
      <c r="I318" s="25"/>
      <c r="J318" s="26" t="s">
        <v>843</v>
      </c>
      <c r="K318" s="27" t="s">
        <v>384</v>
      </c>
      <c r="L318" s="28" t="s">
        <v>396</v>
      </c>
      <c r="M318" s="28" t="s">
        <v>704</v>
      </c>
      <c r="N318" s="25">
        <v>1</v>
      </c>
      <c r="O318" s="29">
        <v>3.2250000000000001</v>
      </c>
      <c r="P318" s="29">
        <v>3.2250000000000001</v>
      </c>
      <c r="Q318" s="25" t="s">
        <v>767</v>
      </c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136"/>
        <v>0</v>
      </c>
      <c r="AF318" s="32">
        <f t="shared" si="137"/>
        <v>3.2250000000000001</v>
      </c>
      <c r="AG318" s="30"/>
      <c r="AH318" s="33"/>
      <c r="AI318" s="34">
        <f t="shared" si="138"/>
        <v>0</v>
      </c>
      <c r="AJ318" s="35"/>
      <c r="AK318" s="30"/>
      <c r="AL318" s="36">
        <f t="shared" si="139"/>
        <v>0</v>
      </c>
      <c r="AM318" s="35"/>
      <c r="AN318" s="30"/>
      <c r="AO318" s="36">
        <f t="shared" si="140"/>
        <v>0</v>
      </c>
      <c r="AP318" s="35"/>
      <c r="AQ318" s="30"/>
      <c r="AR318" s="36">
        <f t="shared" si="141"/>
        <v>0</v>
      </c>
      <c r="AS318" s="27"/>
      <c r="AT318" s="37"/>
      <c r="AU318" s="30"/>
      <c r="AV318" s="36">
        <f t="shared" si="142"/>
        <v>0</v>
      </c>
      <c r="AW318" s="35"/>
      <c r="AX318" s="30"/>
      <c r="AY318" s="32">
        <f t="shared" si="143"/>
        <v>0</v>
      </c>
      <c r="AZ318" s="30" t="s">
        <v>841</v>
      </c>
      <c r="BA318" s="63"/>
      <c r="BB318" s="71" t="e">
        <f>SUMIFS([1]Form!$F$9:$F$22,[1]Form!$K$9:$K$22,K318)</f>
        <v>#VALUE!</v>
      </c>
      <c r="BC318" s="71"/>
      <c r="BD318" s="71"/>
    </row>
    <row r="319" spans="1:56" x14ac:dyDescent="0.25">
      <c r="A319" s="24">
        <f>IF(B319="","",SUBTOTAL(3,$B$4:B319))</f>
        <v>316</v>
      </c>
      <c r="B319" s="25" t="s">
        <v>840</v>
      </c>
      <c r="C319" s="25" t="str">
        <f t="shared" si="135"/>
        <v>Shipment 1 B-10124 Fired Proces Heater</v>
      </c>
      <c r="D319" s="25" t="s">
        <v>839</v>
      </c>
      <c r="E319" s="25" t="s">
        <v>838</v>
      </c>
      <c r="F319" s="25"/>
      <c r="G319" s="65"/>
      <c r="H319" s="25" t="s">
        <v>842</v>
      </c>
      <c r="I319" s="25"/>
      <c r="J319" s="26" t="s">
        <v>843</v>
      </c>
      <c r="K319" s="27" t="s">
        <v>397</v>
      </c>
      <c r="L319" s="28" t="s">
        <v>398</v>
      </c>
      <c r="M319" s="28" t="s">
        <v>704</v>
      </c>
      <c r="N319" s="25">
        <v>1</v>
      </c>
      <c r="O319" s="29">
        <v>6.45</v>
      </c>
      <c r="P319" s="29">
        <v>6.45</v>
      </c>
      <c r="Q319" s="25" t="s">
        <v>768</v>
      </c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136"/>
        <v>0</v>
      </c>
      <c r="AF319" s="32">
        <f t="shared" si="137"/>
        <v>6.45</v>
      </c>
      <c r="AG319" s="30"/>
      <c r="AH319" s="33"/>
      <c r="AI319" s="34">
        <f t="shared" si="138"/>
        <v>0</v>
      </c>
      <c r="AJ319" s="35"/>
      <c r="AK319" s="30"/>
      <c r="AL319" s="36">
        <f t="shared" si="139"/>
        <v>0</v>
      </c>
      <c r="AM319" s="35"/>
      <c r="AN319" s="30"/>
      <c r="AO319" s="36">
        <f t="shared" si="140"/>
        <v>0</v>
      </c>
      <c r="AP319" s="35"/>
      <c r="AQ319" s="30"/>
      <c r="AR319" s="36">
        <f t="shared" si="141"/>
        <v>0</v>
      </c>
      <c r="AS319" s="27"/>
      <c r="AT319" s="37"/>
      <c r="AU319" s="30"/>
      <c r="AV319" s="36">
        <f t="shared" si="142"/>
        <v>0</v>
      </c>
      <c r="AW319" s="35"/>
      <c r="AX319" s="30"/>
      <c r="AY319" s="32">
        <f t="shared" si="143"/>
        <v>0</v>
      </c>
      <c r="AZ319" s="30" t="s">
        <v>841</v>
      </c>
      <c r="BA319" s="63"/>
      <c r="BB319" s="71" t="e">
        <f>SUMIFS([1]Form!$F$9:$F$22,[1]Form!$K$9:$K$22,K319)</f>
        <v>#VALUE!</v>
      </c>
      <c r="BC319" s="71"/>
      <c r="BD319" s="71"/>
    </row>
    <row r="320" spans="1:56" x14ac:dyDescent="0.25">
      <c r="A320" s="24">
        <f>IF(B320="","",SUBTOTAL(3,$B$4:B320))</f>
        <v>317</v>
      </c>
      <c r="B320" s="25" t="s">
        <v>840</v>
      </c>
      <c r="C320" s="25" t="str">
        <f t="shared" si="135"/>
        <v>Shipment 1 B-10124 Fired Proces Heater</v>
      </c>
      <c r="D320" s="25" t="s">
        <v>839</v>
      </c>
      <c r="E320" s="25" t="s">
        <v>838</v>
      </c>
      <c r="F320" s="25"/>
      <c r="G320" s="65"/>
      <c r="H320" s="25" t="s">
        <v>842</v>
      </c>
      <c r="I320" s="25"/>
      <c r="J320" s="26" t="s">
        <v>843</v>
      </c>
      <c r="K320" s="27" t="s">
        <v>397</v>
      </c>
      <c r="L320" s="28" t="s">
        <v>399</v>
      </c>
      <c r="M320" s="28" t="s">
        <v>704</v>
      </c>
      <c r="N320" s="25">
        <v>1</v>
      </c>
      <c r="O320" s="29">
        <v>6.45</v>
      </c>
      <c r="P320" s="29">
        <v>6.45</v>
      </c>
      <c r="Q320" s="25" t="s">
        <v>768</v>
      </c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136"/>
        <v>0</v>
      </c>
      <c r="AF320" s="32">
        <f t="shared" si="137"/>
        <v>6.45</v>
      </c>
      <c r="AG320" s="30"/>
      <c r="AH320" s="33"/>
      <c r="AI320" s="34">
        <f t="shared" si="138"/>
        <v>0</v>
      </c>
      <c r="AJ320" s="35"/>
      <c r="AK320" s="30"/>
      <c r="AL320" s="36">
        <f t="shared" si="139"/>
        <v>0</v>
      </c>
      <c r="AM320" s="35"/>
      <c r="AN320" s="30"/>
      <c r="AO320" s="36">
        <f t="shared" si="140"/>
        <v>0</v>
      </c>
      <c r="AP320" s="35"/>
      <c r="AQ320" s="30"/>
      <c r="AR320" s="36">
        <f t="shared" si="141"/>
        <v>0</v>
      </c>
      <c r="AS320" s="27"/>
      <c r="AT320" s="37"/>
      <c r="AU320" s="30"/>
      <c r="AV320" s="36">
        <f t="shared" si="142"/>
        <v>0</v>
      </c>
      <c r="AW320" s="35"/>
      <c r="AX320" s="30"/>
      <c r="AY320" s="32">
        <f t="shared" si="143"/>
        <v>0</v>
      </c>
      <c r="AZ320" s="30" t="s">
        <v>841</v>
      </c>
      <c r="BA320" s="63"/>
      <c r="BB320" s="71" t="e">
        <f>SUMIFS([1]Form!$F$9:$F$22,[1]Form!$K$9:$K$22,K320)</f>
        <v>#VALUE!</v>
      </c>
      <c r="BC320" s="71"/>
      <c r="BD320" s="71"/>
    </row>
    <row r="321" spans="1:56" x14ac:dyDescent="0.25">
      <c r="A321" s="24">
        <f>IF(B321="","",SUBTOTAL(3,$B$4:B321))</f>
        <v>318</v>
      </c>
      <c r="B321" s="25" t="s">
        <v>840</v>
      </c>
      <c r="C321" s="25" t="str">
        <f t="shared" si="135"/>
        <v>Shipment 1 B-10124 Fired Proces Heater</v>
      </c>
      <c r="D321" s="25" t="s">
        <v>839</v>
      </c>
      <c r="E321" s="25" t="s">
        <v>838</v>
      </c>
      <c r="F321" s="25"/>
      <c r="G321" s="65"/>
      <c r="H321" s="25" t="s">
        <v>842</v>
      </c>
      <c r="I321" s="25"/>
      <c r="J321" s="26" t="s">
        <v>843</v>
      </c>
      <c r="K321" s="27" t="s">
        <v>397</v>
      </c>
      <c r="L321" s="28" t="s">
        <v>400</v>
      </c>
      <c r="M321" s="28" t="s">
        <v>704</v>
      </c>
      <c r="N321" s="25">
        <v>1</v>
      </c>
      <c r="O321" s="29">
        <v>6.45</v>
      </c>
      <c r="P321" s="29">
        <v>6.45</v>
      </c>
      <c r="Q321" s="25" t="s">
        <v>768</v>
      </c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136"/>
        <v>0</v>
      </c>
      <c r="AF321" s="32">
        <f t="shared" si="137"/>
        <v>6.45</v>
      </c>
      <c r="AG321" s="30"/>
      <c r="AH321" s="33"/>
      <c r="AI321" s="34">
        <f t="shared" si="138"/>
        <v>0</v>
      </c>
      <c r="AJ321" s="35"/>
      <c r="AK321" s="30"/>
      <c r="AL321" s="36">
        <f t="shared" si="139"/>
        <v>0</v>
      </c>
      <c r="AM321" s="35"/>
      <c r="AN321" s="30"/>
      <c r="AO321" s="36">
        <f t="shared" si="140"/>
        <v>0</v>
      </c>
      <c r="AP321" s="35"/>
      <c r="AQ321" s="30"/>
      <c r="AR321" s="36">
        <f t="shared" si="141"/>
        <v>0</v>
      </c>
      <c r="AS321" s="27"/>
      <c r="AT321" s="37"/>
      <c r="AU321" s="30"/>
      <c r="AV321" s="36">
        <f t="shared" si="142"/>
        <v>0</v>
      </c>
      <c r="AW321" s="35"/>
      <c r="AX321" s="30"/>
      <c r="AY321" s="32">
        <f t="shared" si="143"/>
        <v>0</v>
      </c>
      <c r="AZ321" s="30" t="s">
        <v>841</v>
      </c>
      <c r="BA321" s="63"/>
      <c r="BB321" s="71" t="e">
        <f>SUMIFS([1]Form!$F$9:$F$22,[1]Form!$K$9:$K$22,K321)</f>
        <v>#VALUE!</v>
      </c>
      <c r="BC321" s="71"/>
      <c r="BD321" s="71"/>
    </row>
    <row r="322" spans="1:56" x14ac:dyDescent="0.25">
      <c r="A322" s="24">
        <f>IF(B322="","",SUBTOTAL(3,$B$4:B322))</f>
        <v>319</v>
      </c>
      <c r="B322" s="25" t="s">
        <v>840</v>
      </c>
      <c r="C322" s="25" t="str">
        <f t="shared" si="135"/>
        <v>Shipment 1 B-10124 Fired Proces Heater</v>
      </c>
      <c r="D322" s="25" t="s">
        <v>839</v>
      </c>
      <c r="E322" s="25" t="s">
        <v>838</v>
      </c>
      <c r="F322" s="25"/>
      <c r="G322" s="65"/>
      <c r="H322" s="25" t="s">
        <v>842</v>
      </c>
      <c r="I322" s="25"/>
      <c r="J322" s="26" t="s">
        <v>843</v>
      </c>
      <c r="K322" s="27" t="s">
        <v>397</v>
      </c>
      <c r="L322" s="28" t="s">
        <v>401</v>
      </c>
      <c r="M322" s="28" t="s">
        <v>704</v>
      </c>
      <c r="N322" s="25">
        <v>1</v>
      </c>
      <c r="O322" s="29">
        <v>6.45</v>
      </c>
      <c r="P322" s="29">
        <v>6.45</v>
      </c>
      <c r="Q322" s="25" t="s">
        <v>768</v>
      </c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136"/>
        <v>0</v>
      </c>
      <c r="AF322" s="32">
        <f t="shared" si="137"/>
        <v>6.45</v>
      </c>
      <c r="AG322" s="30"/>
      <c r="AH322" s="33"/>
      <c r="AI322" s="34">
        <f t="shared" si="138"/>
        <v>0</v>
      </c>
      <c r="AJ322" s="35"/>
      <c r="AK322" s="30"/>
      <c r="AL322" s="36">
        <f t="shared" si="139"/>
        <v>0</v>
      </c>
      <c r="AM322" s="35"/>
      <c r="AN322" s="30"/>
      <c r="AO322" s="36">
        <f t="shared" si="140"/>
        <v>0</v>
      </c>
      <c r="AP322" s="35"/>
      <c r="AQ322" s="30"/>
      <c r="AR322" s="36">
        <f t="shared" si="141"/>
        <v>0</v>
      </c>
      <c r="AS322" s="27"/>
      <c r="AT322" s="37"/>
      <c r="AU322" s="30"/>
      <c r="AV322" s="36">
        <f t="shared" si="142"/>
        <v>0</v>
      </c>
      <c r="AW322" s="35"/>
      <c r="AX322" s="30"/>
      <c r="AY322" s="32">
        <f t="shared" si="143"/>
        <v>0</v>
      </c>
      <c r="AZ322" s="30" t="s">
        <v>841</v>
      </c>
      <c r="BA322" s="63"/>
      <c r="BB322" s="71" t="e">
        <f>SUMIFS([1]Form!$F$9:$F$22,[1]Form!$K$9:$K$22,K322)</f>
        <v>#VALUE!</v>
      </c>
      <c r="BC322" s="71"/>
      <c r="BD322" s="71"/>
    </row>
    <row r="323" spans="1:56" x14ac:dyDescent="0.25">
      <c r="A323" s="24">
        <f>IF(B323="","",SUBTOTAL(3,$B$4:B323))</f>
        <v>320</v>
      </c>
      <c r="B323" s="25" t="s">
        <v>840</v>
      </c>
      <c r="C323" s="25" t="str">
        <f t="shared" si="135"/>
        <v>Shipment 1 B-10124 Fired Proces Heater</v>
      </c>
      <c r="D323" s="25" t="s">
        <v>839</v>
      </c>
      <c r="E323" s="25" t="s">
        <v>838</v>
      </c>
      <c r="F323" s="25"/>
      <c r="G323" s="65"/>
      <c r="H323" s="25" t="s">
        <v>842</v>
      </c>
      <c r="I323" s="25"/>
      <c r="J323" s="26" t="s">
        <v>843</v>
      </c>
      <c r="K323" s="27" t="s">
        <v>397</v>
      </c>
      <c r="L323" s="28" t="s">
        <v>402</v>
      </c>
      <c r="M323" s="28" t="s">
        <v>704</v>
      </c>
      <c r="N323" s="25">
        <v>1</v>
      </c>
      <c r="O323" s="29">
        <v>6.45</v>
      </c>
      <c r="P323" s="29">
        <v>6.45</v>
      </c>
      <c r="Q323" s="25" t="s">
        <v>768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136"/>
        <v>0</v>
      </c>
      <c r="AF323" s="32">
        <f t="shared" si="137"/>
        <v>6.45</v>
      </c>
      <c r="AG323" s="30"/>
      <c r="AH323" s="33"/>
      <c r="AI323" s="34">
        <f t="shared" si="138"/>
        <v>0</v>
      </c>
      <c r="AJ323" s="35"/>
      <c r="AK323" s="30"/>
      <c r="AL323" s="36">
        <f t="shared" si="139"/>
        <v>0</v>
      </c>
      <c r="AM323" s="35"/>
      <c r="AN323" s="30"/>
      <c r="AO323" s="36">
        <f t="shared" si="140"/>
        <v>0</v>
      </c>
      <c r="AP323" s="35"/>
      <c r="AQ323" s="30"/>
      <c r="AR323" s="36">
        <f t="shared" si="141"/>
        <v>0</v>
      </c>
      <c r="AS323" s="27"/>
      <c r="AT323" s="37"/>
      <c r="AU323" s="30"/>
      <c r="AV323" s="36">
        <f t="shared" si="142"/>
        <v>0</v>
      </c>
      <c r="AW323" s="35"/>
      <c r="AX323" s="30"/>
      <c r="AY323" s="32">
        <f t="shared" si="143"/>
        <v>0</v>
      </c>
      <c r="AZ323" s="30" t="s">
        <v>841</v>
      </c>
      <c r="BA323" s="63"/>
      <c r="BB323" s="71" t="e">
        <f>SUMIFS([1]Form!$F$9:$F$22,[1]Form!$K$9:$K$22,K323)</f>
        <v>#VALUE!</v>
      </c>
      <c r="BC323" s="71"/>
      <c r="BD323" s="71"/>
    </row>
    <row r="324" spans="1:56" x14ac:dyDescent="0.25">
      <c r="A324" s="24">
        <f>IF(B324="","",SUBTOTAL(3,$B$4:B324))</f>
        <v>321</v>
      </c>
      <c r="B324" s="25" t="s">
        <v>840</v>
      </c>
      <c r="C324" s="25" t="str">
        <f t="shared" si="135"/>
        <v>Shipment 1 B-10124 Fired Proces Heater</v>
      </c>
      <c r="D324" s="25" t="s">
        <v>839</v>
      </c>
      <c r="E324" s="25" t="s">
        <v>838</v>
      </c>
      <c r="F324" s="25"/>
      <c r="G324" s="65"/>
      <c r="H324" s="25" t="s">
        <v>842</v>
      </c>
      <c r="I324" s="25"/>
      <c r="J324" s="26" t="s">
        <v>843</v>
      </c>
      <c r="K324" s="27" t="s">
        <v>397</v>
      </c>
      <c r="L324" s="28" t="s">
        <v>403</v>
      </c>
      <c r="M324" s="28" t="s">
        <v>704</v>
      </c>
      <c r="N324" s="25">
        <v>1</v>
      </c>
      <c r="O324" s="29">
        <v>6.45</v>
      </c>
      <c r="P324" s="29">
        <v>6.45</v>
      </c>
      <c r="Q324" s="25" t="s">
        <v>768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136"/>
        <v>0</v>
      </c>
      <c r="AF324" s="32">
        <f t="shared" si="137"/>
        <v>6.45</v>
      </c>
      <c r="AG324" s="30"/>
      <c r="AH324" s="33"/>
      <c r="AI324" s="34">
        <f t="shared" si="138"/>
        <v>0</v>
      </c>
      <c r="AJ324" s="35"/>
      <c r="AK324" s="30"/>
      <c r="AL324" s="36">
        <f t="shared" si="139"/>
        <v>0</v>
      </c>
      <c r="AM324" s="35"/>
      <c r="AN324" s="30"/>
      <c r="AO324" s="36">
        <f t="shared" si="140"/>
        <v>0</v>
      </c>
      <c r="AP324" s="35"/>
      <c r="AQ324" s="30"/>
      <c r="AR324" s="36">
        <f t="shared" si="141"/>
        <v>0</v>
      </c>
      <c r="AS324" s="27"/>
      <c r="AT324" s="37"/>
      <c r="AU324" s="30"/>
      <c r="AV324" s="36">
        <f t="shared" si="142"/>
        <v>0</v>
      </c>
      <c r="AW324" s="35"/>
      <c r="AX324" s="30"/>
      <c r="AY324" s="32">
        <f t="shared" si="143"/>
        <v>0</v>
      </c>
      <c r="AZ324" s="30" t="s">
        <v>841</v>
      </c>
      <c r="BA324" s="63"/>
      <c r="BB324" s="71" t="e">
        <f>SUMIFS([1]Form!$F$9:$F$22,[1]Form!$K$9:$K$22,K324)</f>
        <v>#VALUE!</v>
      </c>
      <c r="BC324" s="71"/>
      <c r="BD324" s="71"/>
    </row>
    <row r="325" spans="1:56" x14ac:dyDescent="0.25">
      <c r="A325" s="24">
        <f>IF(B325="","",SUBTOTAL(3,$B$4:B325))</f>
        <v>322</v>
      </c>
      <c r="B325" s="25" t="s">
        <v>840</v>
      </c>
      <c r="C325" s="25" t="str">
        <f t="shared" si="135"/>
        <v>Shipment 1 B-10124 Fired Proces Heater</v>
      </c>
      <c r="D325" s="25" t="s">
        <v>839</v>
      </c>
      <c r="E325" s="25" t="s">
        <v>838</v>
      </c>
      <c r="F325" s="25"/>
      <c r="G325" s="65"/>
      <c r="H325" s="25" t="s">
        <v>842</v>
      </c>
      <c r="I325" s="25"/>
      <c r="J325" s="26" t="s">
        <v>843</v>
      </c>
      <c r="K325" s="27" t="s">
        <v>397</v>
      </c>
      <c r="L325" s="28" t="s">
        <v>404</v>
      </c>
      <c r="M325" s="28" t="s">
        <v>704</v>
      </c>
      <c r="N325" s="25">
        <v>1</v>
      </c>
      <c r="O325" s="29">
        <v>6.45</v>
      </c>
      <c r="P325" s="29">
        <v>6.45</v>
      </c>
      <c r="Q325" s="25" t="s">
        <v>768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136"/>
        <v>0</v>
      </c>
      <c r="AF325" s="32">
        <f t="shared" si="137"/>
        <v>6.45</v>
      </c>
      <c r="AG325" s="30"/>
      <c r="AH325" s="33"/>
      <c r="AI325" s="34">
        <f t="shared" si="138"/>
        <v>0</v>
      </c>
      <c r="AJ325" s="35"/>
      <c r="AK325" s="30"/>
      <c r="AL325" s="36">
        <f t="shared" si="139"/>
        <v>0</v>
      </c>
      <c r="AM325" s="35"/>
      <c r="AN325" s="30"/>
      <c r="AO325" s="36">
        <f t="shared" si="140"/>
        <v>0</v>
      </c>
      <c r="AP325" s="35"/>
      <c r="AQ325" s="30"/>
      <c r="AR325" s="36">
        <f t="shared" si="141"/>
        <v>0</v>
      </c>
      <c r="AS325" s="27"/>
      <c r="AT325" s="37"/>
      <c r="AU325" s="30"/>
      <c r="AV325" s="36">
        <f t="shared" si="142"/>
        <v>0</v>
      </c>
      <c r="AW325" s="35"/>
      <c r="AX325" s="30"/>
      <c r="AY325" s="32">
        <f t="shared" si="143"/>
        <v>0</v>
      </c>
      <c r="AZ325" s="30" t="s">
        <v>841</v>
      </c>
      <c r="BA325" s="63"/>
      <c r="BB325" s="71" t="e">
        <f>SUMIFS([1]Form!$F$9:$F$22,[1]Form!$K$9:$K$22,K325)</f>
        <v>#VALUE!</v>
      </c>
      <c r="BC325" s="71"/>
      <c r="BD325" s="71"/>
    </row>
    <row r="326" spans="1:56" x14ac:dyDescent="0.25">
      <c r="A326" s="24">
        <f>IF(B326="","",SUBTOTAL(3,$B$4:B326))</f>
        <v>323</v>
      </c>
      <c r="B326" s="25" t="s">
        <v>840</v>
      </c>
      <c r="C326" s="25" t="str">
        <f t="shared" si="135"/>
        <v>Shipment 1 B-10124 Fired Proces Heater</v>
      </c>
      <c r="D326" s="25" t="s">
        <v>839</v>
      </c>
      <c r="E326" s="25" t="s">
        <v>838</v>
      </c>
      <c r="F326" s="25"/>
      <c r="G326" s="65"/>
      <c r="H326" s="25" t="s">
        <v>842</v>
      </c>
      <c r="I326" s="25"/>
      <c r="J326" s="26" t="s">
        <v>843</v>
      </c>
      <c r="K326" s="27" t="s">
        <v>397</v>
      </c>
      <c r="L326" s="28" t="s">
        <v>405</v>
      </c>
      <c r="M326" s="28" t="s">
        <v>704</v>
      </c>
      <c r="N326" s="25">
        <v>1</v>
      </c>
      <c r="O326" s="29">
        <v>6.45</v>
      </c>
      <c r="P326" s="29">
        <v>6.45</v>
      </c>
      <c r="Q326" s="25" t="s">
        <v>768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136"/>
        <v>0</v>
      </c>
      <c r="AF326" s="32">
        <f t="shared" si="137"/>
        <v>6.45</v>
      </c>
      <c r="AG326" s="30"/>
      <c r="AH326" s="33"/>
      <c r="AI326" s="34">
        <f t="shared" si="138"/>
        <v>0</v>
      </c>
      <c r="AJ326" s="35"/>
      <c r="AK326" s="30"/>
      <c r="AL326" s="36">
        <f t="shared" si="139"/>
        <v>0</v>
      </c>
      <c r="AM326" s="35"/>
      <c r="AN326" s="30"/>
      <c r="AO326" s="36">
        <f t="shared" si="140"/>
        <v>0</v>
      </c>
      <c r="AP326" s="35"/>
      <c r="AQ326" s="30"/>
      <c r="AR326" s="36">
        <f t="shared" si="141"/>
        <v>0</v>
      </c>
      <c r="AS326" s="27"/>
      <c r="AT326" s="37"/>
      <c r="AU326" s="30"/>
      <c r="AV326" s="36">
        <f t="shared" si="142"/>
        <v>0</v>
      </c>
      <c r="AW326" s="35"/>
      <c r="AX326" s="30"/>
      <c r="AY326" s="32">
        <f t="shared" si="143"/>
        <v>0</v>
      </c>
      <c r="AZ326" s="30" t="s">
        <v>841</v>
      </c>
      <c r="BA326" s="63"/>
      <c r="BB326" s="71" t="e">
        <f>SUMIFS([1]Form!$F$9:$F$22,[1]Form!$K$9:$K$22,K326)</f>
        <v>#VALUE!</v>
      </c>
      <c r="BC326" s="71"/>
      <c r="BD326" s="71"/>
    </row>
    <row r="327" spans="1:56" x14ac:dyDescent="0.25">
      <c r="A327" s="24">
        <f>IF(B327="","",SUBTOTAL(3,$B$4:B327))</f>
        <v>324</v>
      </c>
      <c r="B327" s="25" t="s">
        <v>840</v>
      </c>
      <c r="C327" s="25" t="str">
        <f t="shared" si="135"/>
        <v>Shipment 1 B-10124 Fired Proces Heater</v>
      </c>
      <c r="D327" s="25" t="s">
        <v>839</v>
      </c>
      <c r="E327" s="25" t="s">
        <v>838</v>
      </c>
      <c r="F327" s="25"/>
      <c r="G327" s="65"/>
      <c r="H327" s="25" t="s">
        <v>842</v>
      </c>
      <c r="I327" s="25"/>
      <c r="J327" s="26" t="s">
        <v>843</v>
      </c>
      <c r="K327" s="27" t="s">
        <v>397</v>
      </c>
      <c r="L327" s="28" t="s">
        <v>406</v>
      </c>
      <c r="M327" s="28" t="s">
        <v>704</v>
      </c>
      <c r="N327" s="25">
        <v>1</v>
      </c>
      <c r="O327" s="29">
        <v>6.45</v>
      </c>
      <c r="P327" s="29">
        <v>6.45</v>
      </c>
      <c r="Q327" s="25" t="s">
        <v>768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136"/>
        <v>0</v>
      </c>
      <c r="AF327" s="32">
        <f t="shared" si="137"/>
        <v>6.45</v>
      </c>
      <c r="AG327" s="30"/>
      <c r="AH327" s="33"/>
      <c r="AI327" s="34">
        <f t="shared" si="138"/>
        <v>0</v>
      </c>
      <c r="AJ327" s="35"/>
      <c r="AK327" s="30"/>
      <c r="AL327" s="36">
        <f t="shared" si="139"/>
        <v>0</v>
      </c>
      <c r="AM327" s="35"/>
      <c r="AN327" s="30"/>
      <c r="AO327" s="36">
        <f t="shared" si="140"/>
        <v>0</v>
      </c>
      <c r="AP327" s="35"/>
      <c r="AQ327" s="30"/>
      <c r="AR327" s="36">
        <f t="shared" si="141"/>
        <v>0</v>
      </c>
      <c r="AS327" s="27"/>
      <c r="AT327" s="37"/>
      <c r="AU327" s="30"/>
      <c r="AV327" s="36">
        <f t="shared" si="142"/>
        <v>0</v>
      </c>
      <c r="AW327" s="35"/>
      <c r="AX327" s="30"/>
      <c r="AY327" s="32">
        <f t="shared" si="143"/>
        <v>0</v>
      </c>
      <c r="AZ327" s="30" t="s">
        <v>841</v>
      </c>
      <c r="BA327" s="63"/>
      <c r="BB327" s="71" t="e">
        <f>SUMIFS([1]Form!$F$9:$F$22,[1]Form!$K$9:$K$22,K327)</f>
        <v>#VALUE!</v>
      </c>
      <c r="BC327" s="71"/>
      <c r="BD327" s="71"/>
    </row>
    <row r="328" spans="1:56" x14ac:dyDescent="0.25">
      <c r="A328" s="24">
        <f>IF(B328="","",SUBTOTAL(3,$B$4:B328))</f>
        <v>325</v>
      </c>
      <c r="B328" s="25" t="s">
        <v>840</v>
      </c>
      <c r="C328" s="25" t="str">
        <f t="shared" si="135"/>
        <v>Shipment 1 B-10124 Fired Proces Heater</v>
      </c>
      <c r="D328" s="25" t="s">
        <v>839</v>
      </c>
      <c r="E328" s="25" t="s">
        <v>838</v>
      </c>
      <c r="F328" s="25"/>
      <c r="G328" s="65"/>
      <c r="H328" s="25" t="s">
        <v>842</v>
      </c>
      <c r="I328" s="25"/>
      <c r="J328" s="26" t="s">
        <v>843</v>
      </c>
      <c r="K328" s="27" t="s">
        <v>397</v>
      </c>
      <c r="L328" s="28" t="s">
        <v>407</v>
      </c>
      <c r="M328" s="28" t="s">
        <v>704</v>
      </c>
      <c r="N328" s="25">
        <v>1</v>
      </c>
      <c r="O328" s="29">
        <v>6.45</v>
      </c>
      <c r="P328" s="29">
        <v>6.45</v>
      </c>
      <c r="Q328" s="25" t="s">
        <v>768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136"/>
        <v>0</v>
      </c>
      <c r="AF328" s="32">
        <f t="shared" si="137"/>
        <v>6.45</v>
      </c>
      <c r="AG328" s="30"/>
      <c r="AH328" s="33"/>
      <c r="AI328" s="34">
        <f t="shared" si="138"/>
        <v>0</v>
      </c>
      <c r="AJ328" s="35"/>
      <c r="AK328" s="30"/>
      <c r="AL328" s="36">
        <f t="shared" si="139"/>
        <v>0</v>
      </c>
      <c r="AM328" s="35"/>
      <c r="AN328" s="30"/>
      <c r="AO328" s="36">
        <f t="shared" si="140"/>
        <v>0</v>
      </c>
      <c r="AP328" s="35"/>
      <c r="AQ328" s="30"/>
      <c r="AR328" s="36">
        <f t="shared" si="141"/>
        <v>0</v>
      </c>
      <c r="AS328" s="27"/>
      <c r="AT328" s="37"/>
      <c r="AU328" s="30"/>
      <c r="AV328" s="36">
        <f t="shared" si="142"/>
        <v>0</v>
      </c>
      <c r="AW328" s="35"/>
      <c r="AX328" s="30"/>
      <c r="AY328" s="32">
        <f t="shared" si="143"/>
        <v>0</v>
      </c>
      <c r="AZ328" s="30" t="s">
        <v>841</v>
      </c>
      <c r="BA328" s="63"/>
      <c r="BB328" s="71" t="e">
        <f>SUMIFS([1]Form!$F$9:$F$22,[1]Form!$K$9:$K$22,K328)</f>
        <v>#VALUE!</v>
      </c>
      <c r="BC328" s="71"/>
      <c r="BD328" s="71"/>
    </row>
    <row r="329" spans="1:56" x14ac:dyDescent="0.25">
      <c r="A329" s="24">
        <f>IF(B329="","",SUBTOTAL(3,$B$4:B329))</f>
        <v>326</v>
      </c>
      <c r="B329" s="25" t="s">
        <v>840</v>
      </c>
      <c r="C329" s="25" t="str">
        <f t="shared" si="135"/>
        <v>Shipment 1 B-10124 Fired Proces Heater</v>
      </c>
      <c r="D329" s="25" t="s">
        <v>839</v>
      </c>
      <c r="E329" s="25" t="s">
        <v>838</v>
      </c>
      <c r="F329" s="25"/>
      <c r="G329" s="65"/>
      <c r="H329" s="25" t="s">
        <v>842</v>
      </c>
      <c r="I329" s="25"/>
      <c r="J329" s="26" t="s">
        <v>843</v>
      </c>
      <c r="K329" s="27" t="s">
        <v>397</v>
      </c>
      <c r="L329" s="28" t="s">
        <v>408</v>
      </c>
      <c r="M329" s="28" t="s">
        <v>704</v>
      </c>
      <c r="N329" s="25">
        <v>1</v>
      </c>
      <c r="O329" s="29">
        <v>6.45</v>
      </c>
      <c r="P329" s="29">
        <v>6.45</v>
      </c>
      <c r="Q329" s="25" t="s">
        <v>768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136"/>
        <v>0</v>
      </c>
      <c r="AF329" s="32">
        <f t="shared" si="137"/>
        <v>6.45</v>
      </c>
      <c r="AG329" s="30"/>
      <c r="AH329" s="33"/>
      <c r="AI329" s="34">
        <f t="shared" si="138"/>
        <v>0</v>
      </c>
      <c r="AJ329" s="35"/>
      <c r="AK329" s="30"/>
      <c r="AL329" s="36">
        <f t="shared" si="139"/>
        <v>0</v>
      </c>
      <c r="AM329" s="35"/>
      <c r="AN329" s="30"/>
      <c r="AO329" s="36">
        <f t="shared" si="140"/>
        <v>0</v>
      </c>
      <c r="AP329" s="35"/>
      <c r="AQ329" s="30"/>
      <c r="AR329" s="36">
        <f t="shared" si="141"/>
        <v>0</v>
      </c>
      <c r="AS329" s="27"/>
      <c r="AT329" s="37"/>
      <c r="AU329" s="30"/>
      <c r="AV329" s="36">
        <f t="shared" si="142"/>
        <v>0</v>
      </c>
      <c r="AW329" s="35"/>
      <c r="AX329" s="30"/>
      <c r="AY329" s="32">
        <f t="shared" si="143"/>
        <v>0</v>
      </c>
      <c r="AZ329" s="30" t="s">
        <v>841</v>
      </c>
      <c r="BA329" s="63"/>
      <c r="BB329" s="71" t="e">
        <f>SUMIFS([1]Form!$F$9:$F$22,[1]Form!$K$9:$K$22,K329)</f>
        <v>#VALUE!</v>
      </c>
      <c r="BC329" s="71"/>
      <c r="BD329" s="71"/>
    </row>
    <row r="330" spans="1:56" x14ac:dyDescent="0.25">
      <c r="A330" s="24">
        <f>IF(B330="","",SUBTOTAL(3,$B$4:B330))</f>
        <v>327</v>
      </c>
      <c r="B330" s="25" t="s">
        <v>840</v>
      </c>
      <c r="C330" s="25" t="str">
        <f t="shared" si="135"/>
        <v>Shipment 1 B-10124 Fired Proces Heater</v>
      </c>
      <c r="D330" s="25" t="s">
        <v>839</v>
      </c>
      <c r="E330" s="25" t="s">
        <v>838</v>
      </c>
      <c r="F330" s="25"/>
      <c r="G330" s="65"/>
      <c r="H330" s="25" t="s">
        <v>842</v>
      </c>
      <c r="I330" s="25"/>
      <c r="J330" s="26" t="s">
        <v>843</v>
      </c>
      <c r="K330" s="27" t="s">
        <v>397</v>
      </c>
      <c r="L330" s="28" t="s">
        <v>409</v>
      </c>
      <c r="M330" s="28" t="s">
        <v>704</v>
      </c>
      <c r="N330" s="25">
        <v>1</v>
      </c>
      <c r="O330" s="29">
        <v>6.45</v>
      </c>
      <c r="P330" s="29">
        <v>6.45</v>
      </c>
      <c r="Q330" s="25" t="s">
        <v>768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136"/>
        <v>0</v>
      </c>
      <c r="AF330" s="32">
        <f t="shared" si="137"/>
        <v>6.45</v>
      </c>
      <c r="AG330" s="30"/>
      <c r="AH330" s="33"/>
      <c r="AI330" s="34">
        <f t="shared" si="138"/>
        <v>0</v>
      </c>
      <c r="AJ330" s="35"/>
      <c r="AK330" s="30"/>
      <c r="AL330" s="36">
        <f t="shared" si="139"/>
        <v>0</v>
      </c>
      <c r="AM330" s="35"/>
      <c r="AN330" s="30"/>
      <c r="AO330" s="36">
        <f t="shared" si="140"/>
        <v>0</v>
      </c>
      <c r="AP330" s="35"/>
      <c r="AQ330" s="30"/>
      <c r="AR330" s="36">
        <f t="shared" si="141"/>
        <v>0</v>
      </c>
      <c r="AS330" s="27"/>
      <c r="AT330" s="37"/>
      <c r="AU330" s="30"/>
      <c r="AV330" s="36">
        <f t="shared" si="142"/>
        <v>0</v>
      </c>
      <c r="AW330" s="35"/>
      <c r="AX330" s="30"/>
      <c r="AY330" s="32">
        <f t="shared" si="143"/>
        <v>0</v>
      </c>
      <c r="AZ330" s="30" t="s">
        <v>841</v>
      </c>
      <c r="BA330" s="63"/>
      <c r="BB330" s="71" t="e">
        <f>SUMIFS([1]Form!$F$9:$F$22,[1]Form!$K$9:$K$22,K330)</f>
        <v>#VALUE!</v>
      </c>
      <c r="BC330" s="71"/>
      <c r="BD330" s="71"/>
    </row>
    <row r="331" spans="1:56" x14ac:dyDescent="0.25">
      <c r="A331" s="24">
        <f>IF(B331="","",SUBTOTAL(3,$B$4:B331))</f>
        <v>328</v>
      </c>
      <c r="B331" s="25" t="s">
        <v>840</v>
      </c>
      <c r="C331" s="25" t="str">
        <f t="shared" si="135"/>
        <v>Shipment 1 B-10124 Fired Proces Heater</v>
      </c>
      <c r="D331" s="25" t="s">
        <v>839</v>
      </c>
      <c r="E331" s="25" t="s">
        <v>838</v>
      </c>
      <c r="F331" s="25"/>
      <c r="G331" s="65"/>
      <c r="H331" s="25" t="s">
        <v>842</v>
      </c>
      <c r="I331" s="25"/>
      <c r="J331" s="26" t="s">
        <v>843</v>
      </c>
      <c r="K331" s="27" t="s">
        <v>410</v>
      </c>
      <c r="L331" s="28" t="s">
        <v>411</v>
      </c>
      <c r="M331" s="28" t="s">
        <v>704</v>
      </c>
      <c r="N331" s="25">
        <v>1</v>
      </c>
      <c r="O331" s="29">
        <v>2.0499999999999998</v>
      </c>
      <c r="P331" s="29">
        <v>2.0499999999999998</v>
      </c>
      <c r="Q331" s="25" t="s">
        <v>769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136"/>
        <v>0</v>
      </c>
      <c r="AF331" s="32">
        <f t="shared" si="137"/>
        <v>2.0499999999999998</v>
      </c>
      <c r="AG331" s="30"/>
      <c r="AH331" s="33"/>
      <c r="AI331" s="34">
        <f t="shared" si="138"/>
        <v>0</v>
      </c>
      <c r="AJ331" s="35"/>
      <c r="AK331" s="30"/>
      <c r="AL331" s="36">
        <f t="shared" si="139"/>
        <v>0</v>
      </c>
      <c r="AM331" s="35"/>
      <c r="AN331" s="30"/>
      <c r="AO331" s="36">
        <f t="shared" si="140"/>
        <v>0</v>
      </c>
      <c r="AP331" s="35"/>
      <c r="AQ331" s="30"/>
      <c r="AR331" s="36">
        <f t="shared" si="141"/>
        <v>0</v>
      </c>
      <c r="AS331" s="27"/>
      <c r="AT331" s="37"/>
      <c r="AU331" s="30"/>
      <c r="AV331" s="36">
        <f t="shared" si="142"/>
        <v>0</v>
      </c>
      <c r="AW331" s="35"/>
      <c r="AX331" s="30"/>
      <c r="AY331" s="32">
        <f t="shared" si="143"/>
        <v>0</v>
      </c>
      <c r="AZ331" s="30" t="s">
        <v>841</v>
      </c>
      <c r="BA331" s="63"/>
      <c r="BB331" s="71" t="e">
        <f>SUMIFS([1]Form!$F$9:$F$22,[1]Form!$K$9:$K$22,K331)</f>
        <v>#VALUE!</v>
      </c>
      <c r="BC331" s="71"/>
      <c r="BD331" s="71"/>
    </row>
    <row r="332" spans="1:56" x14ac:dyDescent="0.25">
      <c r="A332" s="24">
        <f>IF(B332="","",SUBTOTAL(3,$B$4:B332))</f>
        <v>329</v>
      </c>
      <c r="B332" s="25" t="s">
        <v>840</v>
      </c>
      <c r="C332" s="25" t="str">
        <f t="shared" si="135"/>
        <v>Shipment 1 B-10124 Fired Proces Heater</v>
      </c>
      <c r="D332" s="25" t="s">
        <v>839</v>
      </c>
      <c r="E332" s="25" t="s">
        <v>838</v>
      </c>
      <c r="F332" s="25"/>
      <c r="G332" s="65"/>
      <c r="H332" s="25" t="s">
        <v>842</v>
      </c>
      <c r="I332" s="25"/>
      <c r="J332" s="26" t="s">
        <v>843</v>
      </c>
      <c r="K332" s="27" t="s">
        <v>410</v>
      </c>
      <c r="L332" s="28" t="s">
        <v>412</v>
      </c>
      <c r="M332" s="28" t="s">
        <v>704</v>
      </c>
      <c r="N332" s="25">
        <v>1</v>
      </c>
      <c r="O332" s="29">
        <v>2.0499999999999998</v>
      </c>
      <c r="P332" s="29">
        <v>2.0499999999999998</v>
      </c>
      <c r="Q332" s="25" t="s">
        <v>769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136"/>
        <v>0</v>
      </c>
      <c r="AF332" s="32">
        <f t="shared" si="137"/>
        <v>2.0499999999999998</v>
      </c>
      <c r="AG332" s="30"/>
      <c r="AH332" s="33"/>
      <c r="AI332" s="34">
        <f t="shared" si="138"/>
        <v>0</v>
      </c>
      <c r="AJ332" s="35"/>
      <c r="AK332" s="30"/>
      <c r="AL332" s="36">
        <f t="shared" si="139"/>
        <v>0</v>
      </c>
      <c r="AM332" s="35"/>
      <c r="AN332" s="30"/>
      <c r="AO332" s="36">
        <f t="shared" si="140"/>
        <v>0</v>
      </c>
      <c r="AP332" s="35"/>
      <c r="AQ332" s="30"/>
      <c r="AR332" s="36">
        <f t="shared" si="141"/>
        <v>0</v>
      </c>
      <c r="AS332" s="27"/>
      <c r="AT332" s="37"/>
      <c r="AU332" s="30"/>
      <c r="AV332" s="36">
        <f t="shared" si="142"/>
        <v>0</v>
      </c>
      <c r="AW332" s="35"/>
      <c r="AX332" s="30"/>
      <c r="AY332" s="32">
        <f t="shared" si="143"/>
        <v>0</v>
      </c>
      <c r="AZ332" s="30" t="s">
        <v>841</v>
      </c>
      <c r="BA332" s="63"/>
      <c r="BB332" s="71" t="e">
        <f>SUMIFS([1]Form!$F$9:$F$22,[1]Form!$K$9:$K$22,K332)</f>
        <v>#VALUE!</v>
      </c>
      <c r="BC332" s="71"/>
      <c r="BD332" s="71"/>
    </row>
    <row r="333" spans="1:56" x14ac:dyDescent="0.25">
      <c r="A333" s="24">
        <f>IF(B333="","",SUBTOTAL(3,$B$4:B333))</f>
        <v>330</v>
      </c>
      <c r="B333" s="25" t="s">
        <v>840</v>
      </c>
      <c r="C333" s="25" t="str">
        <f t="shared" si="135"/>
        <v>Shipment 1 B-10124 Fired Proces Heater</v>
      </c>
      <c r="D333" s="25" t="s">
        <v>839</v>
      </c>
      <c r="E333" s="25" t="s">
        <v>838</v>
      </c>
      <c r="F333" s="25"/>
      <c r="G333" s="65"/>
      <c r="H333" s="25" t="s">
        <v>842</v>
      </c>
      <c r="I333" s="25"/>
      <c r="J333" s="26" t="s">
        <v>843</v>
      </c>
      <c r="K333" s="27" t="s">
        <v>410</v>
      </c>
      <c r="L333" s="28" t="s">
        <v>413</v>
      </c>
      <c r="M333" s="28" t="s">
        <v>704</v>
      </c>
      <c r="N333" s="25">
        <v>1</v>
      </c>
      <c r="O333" s="29">
        <v>2.0499999999999998</v>
      </c>
      <c r="P333" s="29">
        <v>2.0499999999999998</v>
      </c>
      <c r="Q333" s="25" t="s">
        <v>769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136"/>
        <v>0</v>
      </c>
      <c r="AF333" s="32">
        <f t="shared" si="137"/>
        <v>2.0499999999999998</v>
      </c>
      <c r="AG333" s="30"/>
      <c r="AH333" s="33"/>
      <c r="AI333" s="34">
        <f t="shared" si="138"/>
        <v>0</v>
      </c>
      <c r="AJ333" s="35"/>
      <c r="AK333" s="30"/>
      <c r="AL333" s="36">
        <f t="shared" si="139"/>
        <v>0</v>
      </c>
      <c r="AM333" s="35"/>
      <c r="AN333" s="30"/>
      <c r="AO333" s="36">
        <f t="shared" si="140"/>
        <v>0</v>
      </c>
      <c r="AP333" s="35"/>
      <c r="AQ333" s="30"/>
      <c r="AR333" s="36">
        <f t="shared" si="141"/>
        <v>0</v>
      </c>
      <c r="AS333" s="27"/>
      <c r="AT333" s="37"/>
      <c r="AU333" s="30"/>
      <c r="AV333" s="36">
        <f t="shared" si="142"/>
        <v>0</v>
      </c>
      <c r="AW333" s="35"/>
      <c r="AX333" s="30"/>
      <c r="AY333" s="32">
        <f t="shared" si="143"/>
        <v>0</v>
      </c>
      <c r="AZ333" s="30" t="s">
        <v>841</v>
      </c>
      <c r="BA333" s="63"/>
      <c r="BB333" s="71" t="e">
        <f>SUMIFS([1]Form!$F$9:$F$22,[1]Form!$K$9:$K$22,K333)</f>
        <v>#VALUE!</v>
      </c>
      <c r="BC333" s="71"/>
      <c r="BD333" s="71"/>
    </row>
    <row r="334" spans="1:56" x14ac:dyDescent="0.25">
      <c r="A334" s="24">
        <f>IF(B334="","",SUBTOTAL(3,$B$4:B334))</f>
        <v>331</v>
      </c>
      <c r="B334" s="25" t="s">
        <v>840</v>
      </c>
      <c r="C334" s="25" t="str">
        <f t="shared" si="135"/>
        <v>Shipment 1 B-10124 Fired Proces Heater</v>
      </c>
      <c r="D334" s="25" t="s">
        <v>839</v>
      </c>
      <c r="E334" s="25" t="s">
        <v>838</v>
      </c>
      <c r="F334" s="25"/>
      <c r="G334" s="65"/>
      <c r="H334" s="25" t="s">
        <v>842</v>
      </c>
      <c r="I334" s="25"/>
      <c r="J334" s="26" t="s">
        <v>843</v>
      </c>
      <c r="K334" s="27" t="s">
        <v>410</v>
      </c>
      <c r="L334" s="28" t="s">
        <v>414</v>
      </c>
      <c r="M334" s="28" t="s">
        <v>704</v>
      </c>
      <c r="N334" s="25">
        <v>1</v>
      </c>
      <c r="O334" s="29">
        <v>2.0499999999999998</v>
      </c>
      <c r="P334" s="29">
        <v>2.0499999999999998</v>
      </c>
      <c r="Q334" s="25" t="s">
        <v>769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136"/>
        <v>0</v>
      </c>
      <c r="AF334" s="32">
        <f t="shared" si="137"/>
        <v>2.0499999999999998</v>
      </c>
      <c r="AG334" s="30"/>
      <c r="AH334" s="33"/>
      <c r="AI334" s="34">
        <f t="shared" si="138"/>
        <v>0</v>
      </c>
      <c r="AJ334" s="35"/>
      <c r="AK334" s="30"/>
      <c r="AL334" s="36">
        <f t="shared" si="139"/>
        <v>0</v>
      </c>
      <c r="AM334" s="35"/>
      <c r="AN334" s="30"/>
      <c r="AO334" s="36">
        <f t="shared" si="140"/>
        <v>0</v>
      </c>
      <c r="AP334" s="35"/>
      <c r="AQ334" s="30"/>
      <c r="AR334" s="36">
        <f t="shared" si="141"/>
        <v>0</v>
      </c>
      <c r="AS334" s="27"/>
      <c r="AT334" s="37"/>
      <c r="AU334" s="30"/>
      <c r="AV334" s="36">
        <f t="shared" si="142"/>
        <v>0</v>
      </c>
      <c r="AW334" s="35"/>
      <c r="AX334" s="30"/>
      <c r="AY334" s="32">
        <f t="shared" si="143"/>
        <v>0</v>
      </c>
      <c r="AZ334" s="30" t="s">
        <v>841</v>
      </c>
      <c r="BA334" s="63"/>
      <c r="BB334" s="71" t="e">
        <f>SUMIFS([1]Form!$F$9:$F$22,[1]Form!$K$9:$K$22,K334)</f>
        <v>#VALUE!</v>
      </c>
      <c r="BC334" s="71"/>
      <c r="BD334" s="71"/>
    </row>
    <row r="335" spans="1:56" x14ac:dyDescent="0.25">
      <c r="A335" s="24">
        <f>IF(B335="","",SUBTOTAL(3,$B$4:B335))</f>
        <v>332</v>
      </c>
      <c r="B335" s="25" t="s">
        <v>840</v>
      </c>
      <c r="C335" s="25" t="str">
        <f t="shared" si="135"/>
        <v>Shipment 1 B-10124 Fired Proces Heater</v>
      </c>
      <c r="D335" s="25" t="s">
        <v>839</v>
      </c>
      <c r="E335" s="25" t="s">
        <v>838</v>
      </c>
      <c r="F335" s="25"/>
      <c r="G335" s="65"/>
      <c r="H335" s="25" t="s">
        <v>842</v>
      </c>
      <c r="I335" s="25"/>
      <c r="J335" s="26" t="s">
        <v>843</v>
      </c>
      <c r="K335" s="27" t="s">
        <v>410</v>
      </c>
      <c r="L335" s="28" t="s">
        <v>415</v>
      </c>
      <c r="M335" s="28" t="s">
        <v>704</v>
      </c>
      <c r="N335" s="25">
        <v>1</v>
      </c>
      <c r="O335" s="29">
        <v>2.0499999999999998</v>
      </c>
      <c r="P335" s="29">
        <v>2.0499999999999998</v>
      </c>
      <c r="Q335" s="25" t="s">
        <v>769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136"/>
        <v>0</v>
      </c>
      <c r="AF335" s="32">
        <f t="shared" si="137"/>
        <v>2.0499999999999998</v>
      </c>
      <c r="AG335" s="30"/>
      <c r="AH335" s="33"/>
      <c r="AI335" s="34">
        <f t="shared" si="138"/>
        <v>0</v>
      </c>
      <c r="AJ335" s="35"/>
      <c r="AK335" s="30"/>
      <c r="AL335" s="36">
        <f t="shared" si="139"/>
        <v>0</v>
      </c>
      <c r="AM335" s="35"/>
      <c r="AN335" s="30"/>
      <c r="AO335" s="36">
        <f t="shared" si="140"/>
        <v>0</v>
      </c>
      <c r="AP335" s="35"/>
      <c r="AQ335" s="30"/>
      <c r="AR335" s="36">
        <f t="shared" si="141"/>
        <v>0</v>
      </c>
      <c r="AS335" s="27"/>
      <c r="AT335" s="37"/>
      <c r="AU335" s="30"/>
      <c r="AV335" s="36">
        <f t="shared" si="142"/>
        <v>0</v>
      </c>
      <c r="AW335" s="35"/>
      <c r="AX335" s="30"/>
      <c r="AY335" s="32">
        <f t="shared" si="143"/>
        <v>0</v>
      </c>
      <c r="AZ335" s="30" t="s">
        <v>841</v>
      </c>
      <c r="BA335" s="63"/>
      <c r="BB335" s="71" t="e">
        <f>SUMIFS([1]Form!$F$9:$F$22,[1]Form!$K$9:$K$22,K335)</f>
        <v>#VALUE!</v>
      </c>
      <c r="BC335" s="71"/>
      <c r="BD335" s="71"/>
    </row>
    <row r="336" spans="1:56" x14ac:dyDescent="0.25">
      <c r="A336" s="24">
        <f>IF(B336="","",SUBTOTAL(3,$B$4:B336))</f>
        <v>333</v>
      </c>
      <c r="B336" s="25" t="s">
        <v>840</v>
      </c>
      <c r="C336" s="25" t="str">
        <f t="shared" si="135"/>
        <v>Shipment 1 B-10124 Fired Proces Heater</v>
      </c>
      <c r="D336" s="25" t="s">
        <v>839</v>
      </c>
      <c r="E336" s="25" t="s">
        <v>838</v>
      </c>
      <c r="F336" s="25"/>
      <c r="G336" s="65"/>
      <c r="H336" s="25" t="s">
        <v>842</v>
      </c>
      <c r="I336" s="25"/>
      <c r="J336" s="26" t="s">
        <v>843</v>
      </c>
      <c r="K336" s="27" t="s">
        <v>410</v>
      </c>
      <c r="L336" s="28" t="s">
        <v>416</v>
      </c>
      <c r="M336" s="28" t="s">
        <v>704</v>
      </c>
      <c r="N336" s="25">
        <v>1</v>
      </c>
      <c r="O336" s="29">
        <v>2.0499999999999998</v>
      </c>
      <c r="P336" s="29">
        <v>2.0499999999999998</v>
      </c>
      <c r="Q336" s="25" t="s">
        <v>769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136"/>
        <v>0</v>
      </c>
      <c r="AF336" s="32">
        <f t="shared" si="137"/>
        <v>2.0499999999999998</v>
      </c>
      <c r="AG336" s="30"/>
      <c r="AH336" s="33"/>
      <c r="AI336" s="34">
        <f t="shared" si="138"/>
        <v>0</v>
      </c>
      <c r="AJ336" s="35"/>
      <c r="AK336" s="30"/>
      <c r="AL336" s="36">
        <f t="shared" si="139"/>
        <v>0</v>
      </c>
      <c r="AM336" s="35"/>
      <c r="AN336" s="30"/>
      <c r="AO336" s="36">
        <f t="shared" si="140"/>
        <v>0</v>
      </c>
      <c r="AP336" s="35"/>
      <c r="AQ336" s="30"/>
      <c r="AR336" s="36">
        <f t="shared" si="141"/>
        <v>0</v>
      </c>
      <c r="AS336" s="27"/>
      <c r="AT336" s="37"/>
      <c r="AU336" s="30"/>
      <c r="AV336" s="36">
        <f t="shared" si="142"/>
        <v>0</v>
      </c>
      <c r="AW336" s="35"/>
      <c r="AX336" s="30"/>
      <c r="AY336" s="32">
        <f t="shared" si="143"/>
        <v>0</v>
      </c>
      <c r="AZ336" s="30" t="s">
        <v>841</v>
      </c>
      <c r="BA336" s="63"/>
      <c r="BB336" s="71" t="e">
        <f>SUMIFS([1]Form!$F$9:$F$22,[1]Form!$K$9:$K$22,K336)</f>
        <v>#VALUE!</v>
      </c>
      <c r="BC336" s="71"/>
      <c r="BD336" s="71"/>
    </row>
    <row r="337" spans="1:56" x14ac:dyDescent="0.25">
      <c r="A337" s="24">
        <f>IF(B337="","",SUBTOTAL(3,$B$4:B337))</f>
        <v>334</v>
      </c>
      <c r="B337" s="25" t="s">
        <v>840</v>
      </c>
      <c r="C337" s="25" t="str">
        <f t="shared" si="135"/>
        <v>Shipment 1 B-10124 Fired Proces Heater</v>
      </c>
      <c r="D337" s="25" t="s">
        <v>839</v>
      </c>
      <c r="E337" s="25" t="s">
        <v>838</v>
      </c>
      <c r="F337" s="25"/>
      <c r="G337" s="65"/>
      <c r="H337" s="25" t="s">
        <v>842</v>
      </c>
      <c r="I337" s="25"/>
      <c r="J337" s="26" t="s">
        <v>843</v>
      </c>
      <c r="K337" s="27" t="s">
        <v>417</v>
      </c>
      <c r="L337" s="28" t="s">
        <v>418</v>
      </c>
      <c r="M337" s="28" t="s">
        <v>704</v>
      </c>
      <c r="N337" s="25">
        <v>1</v>
      </c>
      <c r="O337" s="29">
        <v>4.0999999999999996</v>
      </c>
      <c r="P337" s="29">
        <v>4.0999999999999996</v>
      </c>
      <c r="Q337" s="25" t="s">
        <v>770</v>
      </c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136"/>
        <v>0</v>
      </c>
      <c r="AF337" s="32">
        <f t="shared" si="137"/>
        <v>4.0999999999999996</v>
      </c>
      <c r="AG337" s="30"/>
      <c r="AH337" s="33"/>
      <c r="AI337" s="34">
        <f t="shared" si="138"/>
        <v>0</v>
      </c>
      <c r="AJ337" s="35"/>
      <c r="AK337" s="30"/>
      <c r="AL337" s="36">
        <f t="shared" si="139"/>
        <v>0</v>
      </c>
      <c r="AM337" s="35"/>
      <c r="AN337" s="30"/>
      <c r="AO337" s="36">
        <f t="shared" si="140"/>
        <v>0</v>
      </c>
      <c r="AP337" s="35"/>
      <c r="AQ337" s="30"/>
      <c r="AR337" s="36">
        <f t="shared" si="141"/>
        <v>0</v>
      </c>
      <c r="AS337" s="27"/>
      <c r="AT337" s="37"/>
      <c r="AU337" s="30"/>
      <c r="AV337" s="36">
        <f t="shared" si="142"/>
        <v>0</v>
      </c>
      <c r="AW337" s="35"/>
      <c r="AX337" s="30"/>
      <c r="AY337" s="32">
        <f t="shared" si="143"/>
        <v>0</v>
      </c>
      <c r="AZ337" s="30" t="s">
        <v>841</v>
      </c>
      <c r="BA337" s="63"/>
      <c r="BB337" s="71" t="e">
        <f>SUMIFS([1]Form!$F$9:$F$22,[1]Form!$K$9:$K$22,K337)</f>
        <v>#VALUE!</v>
      </c>
      <c r="BC337" s="71"/>
      <c r="BD337" s="71"/>
    </row>
    <row r="338" spans="1:56" x14ac:dyDescent="0.25">
      <c r="A338" s="24">
        <f>IF(B338="","",SUBTOTAL(3,$B$4:B338))</f>
        <v>335</v>
      </c>
      <c r="B338" s="25" t="s">
        <v>840</v>
      </c>
      <c r="C338" s="25" t="str">
        <f t="shared" si="135"/>
        <v>Shipment 1 B-10124 Fired Proces Heater</v>
      </c>
      <c r="D338" s="25" t="s">
        <v>839</v>
      </c>
      <c r="E338" s="25" t="s">
        <v>838</v>
      </c>
      <c r="F338" s="25"/>
      <c r="G338" s="65"/>
      <c r="H338" s="25" t="s">
        <v>842</v>
      </c>
      <c r="I338" s="25"/>
      <c r="J338" s="26" t="s">
        <v>843</v>
      </c>
      <c r="K338" s="27" t="s">
        <v>417</v>
      </c>
      <c r="L338" s="28" t="s">
        <v>419</v>
      </c>
      <c r="M338" s="28" t="s">
        <v>704</v>
      </c>
      <c r="N338" s="25">
        <v>1</v>
      </c>
      <c r="O338" s="29">
        <v>4.0999999999999996</v>
      </c>
      <c r="P338" s="29">
        <v>4.0999999999999996</v>
      </c>
      <c r="Q338" s="25" t="s">
        <v>770</v>
      </c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136"/>
        <v>0</v>
      </c>
      <c r="AF338" s="32">
        <f t="shared" si="137"/>
        <v>4.0999999999999996</v>
      </c>
      <c r="AG338" s="30"/>
      <c r="AH338" s="33"/>
      <c r="AI338" s="34">
        <f t="shared" si="138"/>
        <v>0</v>
      </c>
      <c r="AJ338" s="35"/>
      <c r="AK338" s="30"/>
      <c r="AL338" s="36">
        <f t="shared" si="139"/>
        <v>0</v>
      </c>
      <c r="AM338" s="35"/>
      <c r="AN338" s="30"/>
      <c r="AO338" s="36">
        <f t="shared" si="140"/>
        <v>0</v>
      </c>
      <c r="AP338" s="35"/>
      <c r="AQ338" s="30"/>
      <c r="AR338" s="36">
        <f t="shared" si="141"/>
        <v>0</v>
      </c>
      <c r="AS338" s="27"/>
      <c r="AT338" s="37"/>
      <c r="AU338" s="30"/>
      <c r="AV338" s="36">
        <f t="shared" si="142"/>
        <v>0</v>
      </c>
      <c r="AW338" s="35"/>
      <c r="AX338" s="30"/>
      <c r="AY338" s="32">
        <f t="shared" si="143"/>
        <v>0</v>
      </c>
      <c r="AZ338" s="30" t="s">
        <v>841</v>
      </c>
      <c r="BA338" s="63"/>
      <c r="BB338" s="71" t="e">
        <f>SUMIFS([1]Form!$F$9:$F$22,[1]Form!$K$9:$K$22,K338)</f>
        <v>#VALUE!</v>
      </c>
      <c r="BC338" s="71"/>
      <c r="BD338" s="71"/>
    </row>
    <row r="339" spans="1:56" x14ac:dyDescent="0.25">
      <c r="A339" s="24">
        <f>IF(B339="","",SUBTOTAL(3,$B$4:B339))</f>
        <v>336</v>
      </c>
      <c r="B339" s="25" t="s">
        <v>840</v>
      </c>
      <c r="C339" s="25" t="str">
        <f t="shared" si="135"/>
        <v>Shipment 1 B-10124 Fired Proces Heater</v>
      </c>
      <c r="D339" s="25" t="s">
        <v>839</v>
      </c>
      <c r="E339" s="25" t="s">
        <v>838</v>
      </c>
      <c r="F339" s="25"/>
      <c r="G339" s="65"/>
      <c r="H339" s="25" t="s">
        <v>842</v>
      </c>
      <c r="I339" s="25"/>
      <c r="J339" s="26" t="s">
        <v>843</v>
      </c>
      <c r="K339" s="27" t="s">
        <v>417</v>
      </c>
      <c r="L339" s="28" t="s">
        <v>420</v>
      </c>
      <c r="M339" s="28" t="s">
        <v>704</v>
      </c>
      <c r="N339" s="25">
        <v>1</v>
      </c>
      <c r="O339" s="29">
        <v>4.0999999999999996</v>
      </c>
      <c r="P339" s="29">
        <v>4.0999999999999996</v>
      </c>
      <c r="Q339" s="25" t="s">
        <v>770</v>
      </c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136"/>
        <v>0</v>
      </c>
      <c r="AF339" s="32">
        <f t="shared" si="137"/>
        <v>4.0999999999999996</v>
      </c>
      <c r="AG339" s="30"/>
      <c r="AH339" s="33"/>
      <c r="AI339" s="34">
        <f t="shared" si="138"/>
        <v>0</v>
      </c>
      <c r="AJ339" s="35"/>
      <c r="AK339" s="30"/>
      <c r="AL339" s="36">
        <f t="shared" si="139"/>
        <v>0</v>
      </c>
      <c r="AM339" s="35"/>
      <c r="AN339" s="30"/>
      <c r="AO339" s="36">
        <f t="shared" si="140"/>
        <v>0</v>
      </c>
      <c r="AP339" s="35"/>
      <c r="AQ339" s="30"/>
      <c r="AR339" s="36">
        <f t="shared" si="141"/>
        <v>0</v>
      </c>
      <c r="AS339" s="27"/>
      <c r="AT339" s="37"/>
      <c r="AU339" s="30"/>
      <c r="AV339" s="36">
        <f t="shared" si="142"/>
        <v>0</v>
      </c>
      <c r="AW339" s="35"/>
      <c r="AX339" s="30"/>
      <c r="AY339" s="32">
        <f t="shared" si="143"/>
        <v>0</v>
      </c>
      <c r="AZ339" s="30" t="s">
        <v>841</v>
      </c>
      <c r="BA339" s="63"/>
      <c r="BB339" s="71" t="e">
        <f>SUMIFS([1]Form!$F$9:$F$22,[1]Form!$K$9:$K$22,K339)</f>
        <v>#VALUE!</v>
      </c>
      <c r="BC339" s="71"/>
      <c r="BD339" s="71"/>
    </row>
    <row r="340" spans="1:56" x14ac:dyDescent="0.25">
      <c r="A340" s="24">
        <f>IF(B340="","",SUBTOTAL(3,$B$4:B340))</f>
        <v>337</v>
      </c>
      <c r="B340" s="25" t="s">
        <v>840</v>
      </c>
      <c r="C340" s="25" t="str">
        <f t="shared" si="135"/>
        <v>Shipment 1 B-10124 Fired Proces Heater</v>
      </c>
      <c r="D340" s="25" t="s">
        <v>839</v>
      </c>
      <c r="E340" s="25" t="s">
        <v>838</v>
      </c>
      <c r="F340" s="25"/>
      <c r="G340" s="65"/>
      <c r="H340" s="25" t="s">
        <v>842</v>
      </c>
      <c r="I340" s="25"/>
      <c r="J340" s="26" t="s">
        <v>843</v>
      </c>
      <c r="K340" s="27" t="s">
        <v>417</v>
      </c>
      <c r="L340" s="28" t="s">
        <v>421</v>
      </c>
      <c r="M340" s="28" t="s">
        <v>704</v>
      </c>
      <c r="N340" s="25">
        <v>1</v>
      </c>
      <c r="O340" s="29">
        <v>4.0999999999999996</v>
      </c>
      <c r="P340" s="29">
        <v>4.0999999999999996</v>
      </c>
      <c r="Q340" s="25" t="s">
        <v>770</v>
      </c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136"/>
        <v>0</v>
      </c>
      <c r="AF340" s="32">
        <f t="shared" si="137"/>
        <v>4.0999999999999996</v>
      </c>
      <c r="AG340" s="30"/>
      <c r="AH340" s="33"/>
      <c r="AI340" s="34">
        <f t="shared" si="138"/>
        <v>0</v>
      </c>
      <c r="AJ340" s="35"/>
      <c r="AK340" s="30"/>
      <c r="AL340" s="36">
        <f t="shared" si="139"/>
        <v>0</v>
      </c>
      <c r="AM340" s="35"/>
      <c r="AN340" s="30"/>
      <c r="AO340" s="36">
        <f t="shared" si="140"/>
        <v>0</v>
      </c>
      <c r="AP340" s="35"/>
      <c r="AQ340" s="30"/>
      <c r="AR340" s="36">
        <f t="shared" si="141"/>
        <v>0</v>
      </c>
      <c r="AS340" s="27"/>
      <c r="AT340" s="37"/>
      <c r="AU340" s="30"/>
      <c r="AV340" s="36">
        <f t="shared" si="142"/>
        <v>0</v>
      </c>
      <c r="AW340" s="35"/>
      <c r="AX340" s="30"/>
      <c r="AY340" s="32">
        <f t="shared" si="143"/>
        <v>0</v>
      </c>
      <c r="AZ340" s="30" t="s">
        <v>841</v>
      </c>
      <c r="BA340" s="63"/>
      <c r="BB340" s="71" t="e">
        <f>SUMIFS([1]Form!$F$9:$F$22,[1]Form!$K$9:$K$22,K340)</f>
        <v>#VALUE!</v>
      </c>
      <c r="BC340" s="71"/>
      <c r="BD340" s="71"/>
    </row>
    <row r="341" spans="1:56" x14ac:dyDescent="0.25">
      <c r="A341" s="24">
        <f>IF(B341="","",SUBTOTAL(3,$B$4:B341))</f>
        <v>338</v>
      </c>
      <c r="B341" s="25" t="s">
        <v>840</v>
      </c>
      <c r="C341" s="25" t="str">
        <f t="shared" si="135"/>
        <v>Shipment 1 B-10124 Fired Proces Heater</v>
      </c>
      <c r="D341" s="25" t="s">
        <v>839</v>
      </c>
      <c r="E341" s="25" t="s">
        <v>838</v>
      </c>
      <c r="F341" s="25"/>
      <c r="G341" s="65"/>
      <c r="H341" s="25" t="s">
        <v>842</v>
      </c>
      <c r="I341" s="25"/>
      <c r="J341" s="26" t="s">
        <v>843</v>
      </c>
      <c r="K341" s="27" t="s">
        <v>417</v>
      </c>
      <c r="L341" s="28" t="s">
        <v>422</v>
      </c>
      <c r="M341" s="28" t="s">
        <v>704</v>
      </c>
      <c r="N341" s="25">
        <v>1</v>
      </c>
      <c r="O341" s="29">
        <v>4.0999999999999996</v>
      </c>
      <c r="P341" s="29">
        <v>4.0999999999999996</v>
      </c>
      <c r="Q341" s="25" t="s">
        <v>770</v>
      </c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136"/>
        <v>0</v>
      </c>
      <c r="AF341" s="32">
        <f t="shared" si="137"/>
        <v>4.0999999999999996</v>
      </c>
      <c r="AG341" s="30"/>
      <c r="AH341" s="33"/>
      <c r="AI341" s="34">
        <f t="shared" si="138"/>
        <v>0</v>
      </c>
      <c r="AJ341" s="35"/>
      <c r="AK341" s="30"/>
      <c r="AL341" s="36">
        <f t="shared" si="139"/>
        <v>0</v>
      </c>
      <c r="AM341" s="35"/>
      <c r="AN341" s="30"/>
      <c r="AO341" s="36">
        <f t="shared" si="140"/>
        <v>0</v>
      </c>
      <c r="AP341" s="35"/>
      <c r="AQ341" s="30"/>
      <c r="AR341" s="36">
        <f t="shared" si="141"/>
        <v>0</v>
      </c>
      <c r="AS341" s="27"/>
      <c r="AT341" s="37"/>
      <c r="AU341" s="30"/>
      <c r="AV341" s="36">
        <f t="shared" si="142"/>
        <v>0</v>
      </c>
      <c r="AW341" s="35"/>
      <c r="AX341" s="30"/>
      <c r="AY341" s="32">
        <f t="shared" si="143"/>
        <v>0</v>
      </c>
      <c r="AZ341" s="30" t="s">
        <v>841</v>
      </c>
      <c r="BA341" s="63"/>
      <c r="BB341" s="71" t="e">
        <f>SUMIFS([1]Form!$F$9:$F$22,[1]Form!$K$9:$K$22,K341)</f>
        <v>#VALUE!</v>
      </c>
      <c r="BC341" s="71"/>
      <c r="BD341" s="71"/>
    </row>
    <row r="342" spans="1:56" x14ac:dyDescent="0.25">
      <c r="A342" s="24">
        <f>IF(B342="","",SUBTOTAL(3,$B$4:B342))</f>
        <v>339</v>
      </c>
      <c r="B342" s="25" t="s">
        <v>840</v>
      </c>
      <c r="C342" s="25" t="str">
        <f t="shared" si="135"/>
        <v>Shipment 1 B-10124 Fired Proces Heater</v>
      </c>
      <c r="D342" s="25" t="s">
        <v>839</v>
      </c>
      <c r="E342" s="25" t="s">
        <v>838</v>
      </c>
      <c r="F342" s="25"/>
      <c r="G342" s="65"/>
      <c r="H342" s="25" t="s">
        <v>842</v>
      </c>
      <c r="I342" s="25"/>
      <c r="J342" s="26" t="s">
        <v>843</v>
      </c>
      <c r="K342" s="27" t="s">
        <v>417</v>
      </c>
      <c r="L342" s="28" t="s">
        <v>423</v>
      </c>
      <c r="M342" s="28" t="s">
        <v>704</v>
      </c>
      <c r="N342" s="25">
        <v>1</v>
      </c>
      <c r="O342" s="29">
        <v>4.0999999999999996</v>
      </c>
      <c r="P342" s="29">
        <v>4.0999999999999996</v>
      </c>
      <c r="Q342" s="25" t="s">
        <v>770</v>
      </c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136"/>
        <v>0</v>
      </c>
      <c r="AF342" s="32">
        <f t="shared" si="137"/>
        <v>4.0999999999999996</v>
      </c>
      <c r="AG342" s="30"/>
      <c r="AH342" s="33"/>
      <c r="AI342" s="34">
        <f t="shared" si="138"/>
        <v>0</v>
      </c>
      <c r="AJ342" s="35"/>
      <c r="AK342" s="30"/>
      <c r="AL342" s="36">
        <f t="shared" si="139"/>
        <v>0</v>
      </c>
      <c r="AM342" s="35"/>
      <c r="AN342" s="30"/>
      <c r="AO342" s="36">
        <f t="shared" si="140"/>
        <v>0</v>
      </c>
      <c r="AP342" s="35"/>
      <c r="AQ342" s="30"/>
      <c r="AR342" s="36">
        <f t="shared" si="141"/>
        <v>0</v>
      </c>
      <c r="AS342" s="27"/>
      <c r="AT342" s="37"/>
      <c r="AU342" s="30"/>
      <c r="AV342" s="36">
        <f t="shared" si="142"/>
        <v>0</v>
      </c>
      <c r="AW342" s="35"/>
      <c r="AX342" s="30"/>
      <c r="AY342" s="32">
        <f t="shared" si="143"/>
        <v>0</v>
      </c>
      <c r="AZ342" s="30" t="s">
        <v>841</v>
      </c>
      <c r="BA342" s="63"/>
      <c r="BB342" s="71" t="e">
        <f>SUMIFS([1]Form!$F$9:$F$22,[1]Form!$K$9:$K$22,K342)</f>
        <v>#VALUE!</v>
      </c>
      <c r="BC342" s="71"/>
      <c r="BD342" s="71"/>
    </row>
    <row r="343" spans="1:56" x14ac:dyDescent="0.25">
      <c r="A343" s="24">
        <f>IF(B343="","",SUBTOTAL(3,$B$4:B343))</f>
        <v>340</v>
      </c>
      <c r="B343" s="25" t="s">
        <v>840</v>
      </c>
      <c r="C343" s="25" t="str">
        <f t="shared" si="135"/>
        <v>Shipment 1 B-10124 Fired Proces Heater</v>
      </c>
      <c r="D343" s="25" t="s">
        <v>839</v>
      </c>
      <c r="E343" s="25" t="s">
        <v>838</v>
      </c>
      <c r="F343" s="25"/>
      <c r="G343" s="65"/>
      <c r="H343" s="25" t="s">
        <v>842</v>
      </c>
      <c r="I343" s="25"/>
      <c r="J343" s="26" t="s">
        <v>843</v>
      </c>
      <c r="K343" s="27" t="s">
        <v>424</v>
      </c>
      <c r="L343" s="28" t="s">
        <v>425</v>
      </c>
      <c r="M343" s="28" t="s">
        <v>704</v>
      </c>
      <c r="N343" s="25">
        <v>1</v>
      </c>
      <c r="O343" s="29">
        <v>3.7</v>
      </c>
      <c r="P343" s="29">
        <v>3.7</v>
      </c>
      <c r="Q343" s="25" t="s">
        <v>771</v>
      </c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136"/>
        <v>0</v>
      </c>
      <c r="AF343" s="32">
        <f t="shared" si="137"/>
        <v>3.7</v>
      </c>
      <c r="AG343" s="30"/>
      <c r="AH343" s="33"/>
      <c r="AI343" s="34">
        <f t="shared" si="138"/>
        <v>0</v>
      </c>
      <c r="AJ343" s="35"/>
      <c r="AK343" s="30"/>
      <c r="AL343" s="36">
        <f t="shared" si="139"/>
        <v>0</v>
      </c>
      <c r="AM343" s="35"/>
      <c r="AN343" s="30"/>
      <c r="AO343" s="36">
        <f t="shared" si="140"/>
        <v>0</v>
      </c>
      <c r="AP343" s="35"/>
      <c r="AQ343" s="30"/>
      <c r="AR343" s="36">
        <f t="shared" si="141"/>
        <v>0</v>
      </c>
      <c r="AS343" s="27"/>
      <c r="AT343" s="37"/>
      <c r="AU343" s="30"/>
      <c r="AV343" s="36">
        <f t="shared" si="142"/>
        <v>0</v>
      </c>
      <c r="AW343" s="35"/>
      <c r="AX343" s="30"/>
      <c r="AY343" s="32">
        <f t="shared" si="143"/>
        <v>0</v>
      </c>
      <c r="AZ343" s="30" t="s">
        <v>841</v>
      </c>
      <c r="BA343" s="63"/>
      <c r="BB343" s="71" t="e">
        <f>SUMIFS([1]Form!$F$9:$F$22,[1]Form!$K$9:$K$22,K343)</f>
        <v>#VALUE!</v>
      </c>
      <c r="BC343" s="71"/>
      <c r="BD343" s="71"/>
    </row>
    <row r="344" spans="1:56" x14ac:dyDescent="0.25">
      <c r="A344" s="24">
        <f>IF(B344="","",SUBTOTAL(3,$B$4:B344))</f>
        <v>341</v>
      </c>
      <c r="B344" s="25" t="s">
        <v>840</v>
      </c>
      <c r="C344" s="25" t="str">
        <f t="shared" si="135"/>
        <v>Shipment 1 B-10124 Fired Proces Heater</v>
      </c>
      <c r="D344" s="25" t="s">
        <v>839</v>
      </c>
      <c r="E344" s="25" t="s">
        <v>838</v>
      </c>
      <c r="F344" s="25"/>
      <c r="G344" s="65"/>
      <c r="H344" s="25" t="s">
        <v>842</v>
      </c>
      <c r="I344" s="25"/>
      <c r="J344" s="26" t="s">
        <v>843</v>
      </c>
      <c r="K344" s="27" t="s">
        <v>426</v>
      </c>
      <c r="L344" s="28" t="s">
        <v>427</v>
      </c>
      <c r="M344" s="28" t="s">
        <v>704</v>
      </c>
      <c r="N344" s="25">
        <v>1</v>
      </c>
      <c r="O344" s="29">
        <v>3.3</v>
      </c>
      <c r="P344" s="29">
        <v>3.3</v>
      </c>
      <c r="Q344" s="25" t="s">
        <v>772</v>
      </c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136"/>
        <v>0</v>
      </c>
      <c r="AF344" s="32">
        <f t="shared" si="137"/>
        <v>3.3</v>
      </c>
      <c r="AG344" s="30"/>
      <c r="AH344" s="33"/>
      <c r="AI344" s="34">
        <f t="shared" si="138"/>
        <v>0</v>
      </c>
      <c r="AJ344" s="35"/>
      <c r="AK344" s="30"/>
      <c r="AL344" s="36">
        <f t="shared" si="139"/>
        <v>0</v>
      </c>
      <c r="AM344" s="35"/>
      <c r="AN344" s="30"/>
      <c r="AO344" s="36">
        <f t="shared" si="140"/>
        <v>0</v>
      </c>
      <c r="AP344" s="35"/>
      <c r="AQ344" s="30"/>
      <c r="AR344" s="36">
        <f t="shared" si="141"/>
        <v>0</v>
      </c>
      <c r="AS344" s="27"/>
      <c r="AT344" s="37"/>
      <c r="AU344" s="30"/>
      <c r="AV344" s="36">
        <f t="shared" si="142"/>
        <v>0</v>
      </c>
      <c r="AW344" s="35"/>
      <c r="AX344" s="30"/>
      <c r="AY344" s="32">
        <f t="shared" si="143"/>
        <v>0</v>
      </c>
      <c r="AZ344" s="30" t="s">
        <v>841</v>
      </c>
      <c r="BA344" s="63"/>
      <c r="BB344" s="71" t="e">
        <f>SUMIFS([1]Form!$F$9:$F$22,[1]Form!$K$9:$K$22,K344)</f>
        <v>#VALUE!</v>
      </c>
      <c r="BC344" s="71"/>
      <c r="BD344" s="71"/>
    </row>
    <row r="345" spans="1:56" x14ac:dyDescent="0.25">
      <c r="A345" s="24">
        <f>IF(B345="","",SUBTOTAL(3,$B$4:B345))</f>
        <v>342</v>
      </c>
      <c r="B345" s="25" t="s">
        <v>840</v>
      </c>
      <c r="C345" s="25" t="str">
        <f t="shared" si="135"/>
        <v>Shipment 1 B-10124 Fired Proces Heater</v>
      </c>
      <c r="D345" s="25" t="s">
        <v>839</v>
      </c>
      <c r="E345" s="25" t="s">
        <v>838</v>
      </c>
      <c r="F345" s="25"/>
      <c r="G345" s="65"/>
      <c r="H345" s="25" t="s">
        <v>842</v>
      </c>
      <c r="I345" s="25"/>
      <c r="J345" s="26" t="s">
        <v>843</v>
      </c>
      <c r="K345" s="27" t="s">
        <v>426</v>
      </c>
      <c r="L345" s="28" t="s">
        <v>428</v>
      </c>
      <c r="M345" s="28" t="s">
        <v>704</v>
      </c>
      <c r="N345" s="25">
        <v>1</v>
      </c>
      <c r="O345" s="29">
        <v>3.3</v>
      </c>
      <c r="P345" s="29">
        <v>3.3</v>
      </c>
      <c r="Q345" s="25" t="s">
        <v>772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136"/>
        <v>0</v>
      </c>
      <c r="AF345" s="32">
        <f t="shared" si="137"/>
        <v>3.3</v>
      </c>
      <c r="AG345" s="30"/>
      <c r="AH345" s="33"/>
      <c r="AI345" s="34">
        <f t="shared" si="138"/>
        <v>0</v>
      </c>
      <c r="AJ345" s="35"/>
      <c r="AK345" s="30"/>
      <c r="AL345" s="36">
        <f t="shared" si="139"/>
        <v>0</v>
      </c>
      <c r="AM345" s="35"/>
      <c r="AN345" s="30"/>
      <c r="AO345" s="36">
        <f t="shared" si="140"/>
        <v>0</v>
      </c>
      <c r="AP345" s="35"/>
      <c r="AQ345" s="30"/>
      <c r="AR345" s="36">
        <f t="shared" si="141"/>
        <v>0</v>
      </c>
      <c r="AS345" s="27"/>
      <c r="AT345" s="37"/>
      <c r="AU345" s="30"/>
      <c r="AV345" s="36">
        <f t="shared" si="142"/>
        <v>0</v>
      </c>
      <c r="AW345" s="35"/>
      <c r="AX345" s="30"/>
      <c r="AY345" s="32">
        <f t="shared" si="143"/>
        <v>0</v>
      </c>
      <c r="AZ345" s="30" t="s">
        <v>841</v>
      </c>
      <c r="BA345" s="63"/>
      <c r="BB345" s="71" t="e">
        <f>SUMIFS([1]Form!$F$9:$F$22,[1]Form!$K$9:$K$22,K345)</f>
        <v>#VALUE!</v>
      </c>
      <c r="BC345" s="71"/>
      <c r="BD345" s="71"/>
    </row>
    <row r="346" spans="1:56" x14ac:dyDescent="0.25">
      <c r="A346" s="24">
        <f>IF(B346="","",SUBTOTAL(3,$B$4:B346))</f>
        <v>343</v>
      </c>
      <c r="B346" s="25" t="s">
        <v>840</v>
      </c>
      <c r="C346" s="25" t="str">
        <f t="shared" si="135"/>
        <v>Shipment 1 B-10124 Fired Proces Heater</v>
      </c>
      <c r="D346" s="25" t="s">
        <v>839</v>
      </c>
      <c r="E346" s="25" t="s">
        <v>838</v>
      </c>
      <c r="F346" s="25"/>
      <c r="G346" s="65"/>
      <c r="H346" s="25" t="s">
        <v>842</v>
      </c>
      <c r="I346" s="25"/>
      <c r="J346" s="26" t="s">
        <v>843</v>
      </c>
      <c r="K346" s="27" t="s">
        <v>429</v>
      </c>
      <c r="L346" s="28" t="s">
        <v>430</v>
      </c>
      <c r="M346" s="28" t="s">
        <v>704</v>
      </c>
      <c r="N346" s="25">
        <v>86</v>
      </c>
      <c r="O346" s="29">
        <v>2.0523255813953489</v>
      </c>
      <c r="P346" s="29">
        <v>176.5</v>
      </c>
      <c r="Q346" s="25" t="s">
        <v>773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136"/>
        <v>0</v>
      </c>
      <c r="AF346" s="32">
        <f t="shared" si="137"/>
        <v>176.5</v>
      </c>
      <c r="AG346" s="30"/>
      <c r="AH346" s="33"/>
      <c r="AI346" s="34">
        <f t="shared" si="138"/>
        <v>0</v>
      </c>
      <c r="AJ346" s="35"/>
      <c r="AK346" s="30"/>
      <c r="AL346" s="36">
        <f t="shared" si="139"/>
        <v>0</v>
      </c>
      <c r="AM346" s="35"/>
      <c r="AN346" s="30"/>
      <c r="AO346" s="36">
        <f t="shared" si="140"/>
        <v>0</v>
      </c>
      <c r="AP346" s="35"/>
      <c r="AQ346" s="30"/>
      <c r="AR346" s="36">
        <f t="shared" si="141"/>
        <v>0</v>
      </c>
      <c r="AS346" s="27"/>
      <c r="AT346" s="37"/>
      <c r="AU346" s="30"/>
      <c r="AV346" s="36">
        <f t="shared" si="142"/>
        <v>0</v>
      </c>
      <c r="AW346" s="35"/>
      <c r="AX346" s="30"/>
      <c r="AY346" s="32">
        <f t="shared" si="143"/>
        <v>0</v>
      </c>
      <c r="AZ346" s="30" t="s">
        <v>841</v>
      </c>
      <c r="BA346" s="63"/>
      <c r="BB346" s="71" t="e">
        <f>SUMIFS([1]Form!$F$9:$F$22,[1]Form!$K$9:$K$22,K346)</f>
        <v>#VALUE!</v>
      </c>
      <c r="BC346" s="71"/>
      <c r="BD346" s="71"/>
    </row>
    <row r="347" spans="1:56" x14ac:dyDescent="0.25">
      <c r="A347" s="24">
        <f>IF(B347="","",SUBTOTAL(3,$B$4:B347))</f>
        <v>344</v>
      </c>
      <c r="B347" s="25" t="s">
        <v>840</v>
      </c>
      <c r="C347" s="25" t="str">
        <f t="shared" si="135"/>
        <v>Shipment 1 B-10124 Fired Proces Heater</v>
      </c>
      <c r="D347" s="25" t="s">
        <v>839</v>
      </c>
      <c r="E347" s="25" t="s">
        <v>838</v>
      </c>
      <c r="F347" s="25"/>
      <c r="G347" s="65"/>
      <c r="H347" s="25" t="s">
        <v>842</v>
      </c>
      <c r="I347" s="25"/>
      <c r="J347" s="26" t="s">
        <v>843</v>
      </c>
      <c r="K347" s="27" t="s">
        <v>431</v>
      </c>
      <c r="L347" s="28" t="s">
        <v>432</v>
      </c>
      <c r="M347" s="28" t="s">
        <v>704</v>
      </c>
      <c r="N347" s="25">
        <v>86</v>
      </c>
      <c r="O347" s="29">
        <v>4.1034883720930235</v>
      </c>
      <c r="P347" s="29">
        <v>352.90000000000003</v>
      </c>
      <c r="Q347" s="25" t="s">
        <v>774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136"/>
        <v>0</v>
      </c>
      <c r="AF347" s="32">
        <f t="shared" si="137"/>
        <v>352.90000000000003</v>
      </c>
      <c r="AG347" s="30"/>
      <c r="AH347" s="33"/>
      <c r="AI347" s="34">
        <f t="shared" si="138"/>
        <v>0</v>
      </c>
      <c r="AJ347" s="35"/>
      <c r="AK347" s="30"/>
      <c r="AL347" s="36">
        <f t="shared" si="139"/>
        <v>0</v>
      </c>
      <c r="AM347" s="35"/>
      <c r="AN347" s="30"/>
      <c r="AO347" s="36">
        <f t="shared" si="140"/>
        <v>0</v>
      </c>
      <c r="AP347" s="35"/>
      <c r="AQ347" s="30"/>
      <c r="AR347" s="36">
        <f t="shared" si="141"/>
        <v>0</v>
      </c>
      <c r="AS347" s="27"/>
      <c r="AT347" s="37"/>
      <c r="AU347" s="30"/>
      <c r="AV347" s="36">
        <f t="shared" si="142"/>
        <v>0</v>
      </c>
      <c r="AW347" s="35"/>
      <c r="AX347" s="30"/>
      <c r="AY347" s="32">
        <f t="shared" si="143"/>
        <v>0</v>
      </c>
      <c r="AZ347" s="30" t="s">
        <v>841</v>
      </c>
      <c r="BA347" s="63"/>
      <c r="BB347" s="71" t="e">
        <f>SUMIFS([1]Form!$F$9:$F$22,[1]Form!$K$9:$K$22,K347)</f>
        <v>#VALUE!</v>
      </c>
      <c r="BC347" s="71"/>
      <c r="BD347" s="71"/>
    </row>
    <row r="348" spans="1:56" x14ac:dyDescent="0.25">
      <c r="A348" s="24">
        <f>IF(B348="","",SUBTOTAL(3,$B$4:B348))</f>
        <v>345</v>
      </c>
      <c r="B348" s="25" t="s">
        <v>840</v>
      </c>
      <c r="C348" s="25" t="str">
        <f t="shared" si="135"/>
        <v>Shipment 1 B-10124 Fired Proces Heater</v>
      </c>
      <c r="D348" s="25" t="s">
        <v>839</v>
      </c>
      <c r="E348" s="25" t="s">
        <v>838</v>
      </c>
      <c r="F348" s="25"/>
      <c r="G348" s="65"/>
      <c r="H348" s="25" t="s">
        <v>842</v>
      </c>
      <c r="I348" s="25"/>
      <c r="J348" s="26" t="s">
        <v>843</v>
      </c>
      <c r="K348" s="27" t="s">
        <v>433</v>
      </c>
      <c r="L348" s="28" t="s">
        <v>434</v>
      </c>
      <c r="M348" s="28" t="s">
        <v>704</v>
      </c>
      <c r="N348" s="25">
        <v>1</v>
      </c>
      <c r="O348" s="29">
        <v>3.1333333333333333</v>
      </c>
      <c r="P348" s="29">
        <v>3.1333333333333333</v>
      </c>
      <c r="Q348" s="25" t="s">
        <v>775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136"/>
        <v>0</v>
      </c>
      <c r="AF348" s="32">
        <f t="shared" si="137"/>
        <v>3.1333333333333333</v>
      </c>
      <c r="AG348" s="30"/>
      <c r="AH348" s="33"/>
      <c r="AI348" s="34">
        <f t="shared" si="138"/>
        <v>0</v>
      </c>
      <c r="AJ348" s="35"/>
      <c r="AK348" s="30"/>
      <c r="AL348" s="36">
        <f t="shared" si="139"/>
        <v>0</v>
      </c>
      <c r="AM348" s="35"/>
      <c r="AN348" s="30"/>
      <c r="AO348" s="36">
        <f t="shared" si="140"/>
        <v>0</v>
      </c>
      <c r="AP348" s="35"/>
      <c r="AQ348" s="30"/>
      <c r="AR348" s="36">
        <f t="shared" si="141"/>
        <v>0</v>
      </c>
      <c r="AS348" s="27"/>
      <c r="AT348" s="37"/>
      <c r="AU348" s="30"/>
      <c r="AV348" s="36">
        <f t="shared" si="142"/>
        <v>0</v>
      </c>
      <c r="AW348" s="35"/>
      <c r="AX348" s="30"/>
      <c r="AY348" s="32">
        <f t="shared" si="143"/>
        <v>0</v>
      </c>
      <c r="AZ348" s="30" t="s">
        <v>841</v>
      </c>
      <c r="BA348" s="63"/>
      <c r="BB348" s="71" t="e">
        <f>SUMIFS([1]Form!$F$9:$F$22,[1]Form!$K$9:$K$22,K348)</f>
        <v>#VALUE!</v>
      </c>
      <c r="BC348" s="71"/>
      <c r="BD348" s="71"/>
    </row>
    <row r="349" spans="1:56" x14ac:dyDescent="0.25">
      <c r="A349" s="24">
        <f>IF(B349="","",SUBTOTAL(3,$B$4:B349))</f>
        <v>346</v>
      </c>
      <c r="B349" s="25" t="s">
        <v>840</v>
      </c>
      <c r="C349" s="25" t="str">
        <f t="shared" si="135"/>
        <v>Shipment 1 B-10124 Fired Proces Heater</v>
      </c>
      <c r="D349" s="25" t="s">
        <v>839</v>
      </c>
      <c r="E349" s="25" t="s">
        <v>838</v>
      </c>
      <c r="F349" s="25"/>
      <c r="G349" s="65"/>
      <c r="H349" s="25" t="s">
        <v>842</v>
      </c>
      <c r="I349" s="25"/>
      <c r="J349" s="26" t="s">
        <v>843</v>
      </c>
      <c r="K349" s="27" t="s">
        <v>433</v>
      </c>
      <c r="L349" s="28" t="s">
        <v>435</v>
      </c>
      <c r="M349" s="28" t="s">
        <v>704</v>
      </c>
      <c r="N349" s="25">
        <v>1</v>
      </c>
      <c r="O349" s="29">
        <v>3.1333333333333333</v>
      </c>
      <c r="P349" s="29">
        <v>3.1333333333333333</v>
      </c>
      <c r="Q349" s="25" t="s">
        <v>775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136"/>
        <v>0</v>
      </c>
      <c r="AF349" s="32">
        <f t="shared" si="137"/>
        <v>3.1333333333333333</v>
      </c>
      <c r="AG349" s="30"/>
      <c r="AH349" s="33"/>
      <c r="AI349" s="34">
        <f t="shared" si="138"/>
        <v>0</v>
      </c>
      <c r="AJ349" s="35"/>
      <c r="AK349" s="30"/>
      <c r="AL349" s="36">
        <f t="shared" si="139"/>
        <v>0</v>
      </c>
      <c r="AM349" s="35"/>
      <c r="AN349" s="30"/>
      <c r="AO349" s="36">
        <f t="shared" si="140"/>
        <v>0</v>
      </c>
      <c r="AP349" s="35"/>
      <c r="AQ349" s="30"/>
      <c r="AR349" s="36">
        <f t="shared" si="141"/>
        <v>0</v>
      </c>
      <c r="AS349" s="27"/>
      <c r="AT349" s="37"/>
      <c r="AU349" s="30"/>
      <c r="AV349" s="36">
        <f t="shared" si="142"/>
        <v>0</v>
      </c>
      <c r="AW349" s="35"/>
      <c r="AX349" s="30"/>
      <c r="AY349" s="32">
        <f t="shared" si="143"/>
        <v>0</v>
      </c>
      <c r="AZ349" s="30" t="s">
        <v>841</v>
      </c>
      <c r="BA349" s="63"/>
      <c r="BB349" s="71" t="e">
        <f>SUMIFS([1]Form!$F$9:$F$22,[1]Form!$K$9:$K$22,K349)</f>
        <v>#VALUE!</v>
      </c>
      <c r="BC349" s="71"/>
      <c r="BD349" s="71"/>
    </row>
    <row r="350" spans="1:56" x14ac:dyDescent="0.25">
      <c r="A350" s="24">
        <f>IF(B350="","",SUBTOTAL(3,$B$4:B350))</f>
        <v>347</v>
      </c>
      <c r="B350" s="25" t="s">
        <v>840</v>
      </c>
      <c r="C350" s="25" t="str">
        <f t="shared" si="135"/>
        <v>Shipment 1 B-10124 Fired Proces Heater</v>
      </c>
      <c r="D350" s="25" t="s">
        <v>839</v>
      </c>
      <c r="E350" s="25" t="s">
        <v>838</v>
      </c>
      <c r="F350" s="25"/>
      <c r="G350" s="65"/>
      <c r="H350" s="25" t="s">
        <v>842</v>
      </c>
      <c r="I350" s="25"/>
      <c r="J350" s="26" t="s">
        <v>843</v>
      </c>
      <c r="K350" s="27" t="s">
        <v>433</v>
      </c>
      <c r="L350" s="28" t="s">
        <v>436</v>
      </c>
      <c r="M350" s="28" t="s">
        <v>704</v>
      </c>
      <c r="N350" s="25">
        <v>1</v>
      </c>
      <c r="O350" s="29">
        <v>3.1333333333333333</v>
      </c>
      <c r="P350" s="29">
        <v>3.1333333333333333</v>
      </c>
      <c r="Q350" s="25" t="s">
        <v>775</v>
      </c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136"/>
        <v>0</v>
      </c>
      <c r="AF350" s="32">
        <f t="shared" si="137"/>
        <v>3.1333333333333333</v>
      </c>
      <c r="AG350" s="30"/>
      <c r="AH350" s="33"/>
      <c r="AI350" s="34">
        <f t="shared" si="138"/>
        <v>0</v>
      </c>
      <c r="AJ350" s="35"/>
      <c r="AK350" s="30"/>
      <c r="AL350" s="36">
        <f t="shared" si="139"/>
        <v>0</v>
      </c>
      <c r="AM350" s="35"/>
      <c r="AN350" s="30"/>
      <c r="AO350" s="36">
        <f t="shared" si="140"/>
        <v>0</v>
      </c>
      <c r="AP350" s="35"/>
      <c r="AQ350" s="30"/>
      <c r="AR350" s="36">
        <f t="shared" si="141"/>
        <v>0</v>
      </c>
      <c r="AS350" s="27"/>
      <c r="AT350" s="37"/>
      <c r="AU350" s="30"/>
      <c r="AV350" s="36">
        <f t="shared" si="142"/>
        <v>0</v>
      </c>
      <c r="AW350" s="35"/>
      <c r="AX350" s="30"/>
      <c r="AY350" s="32">
        <f t="shared" si="143"/>
        <v>0</v>
      </c>
      <c r="AZ350" s="30" t="s">
        <v>841</v>
      </c>
      <c r="BA350" s="63"/>
      <c r="BB350" s="71" t="e">
        <f>SUMIFS([1]Form!$F$9:$F$22,[1]Form!$K$9:$K$22,K350)</f>
        <v>#VALUE!</v>
      </c>
      <c r="BC350" s="71"/>
      <c r="BD350" s="71"/>
    </row>
    <row r="351" spans="1:56" x14ac:dyDescent="0.25">
      <c r="A351" s="24">
        <f>IF(B351="","",SUBTOTAL(3,$B$4:B351))</f>
        <v>348</v>
      </c>
      <c r="B351" s="25" t="s">
        <v>840</v>
      </c>
      <c r="C351" s="25" t="str">
        <f t="shared" si="135"/>
        <v>Shipment 1 B-10124 Fired Proces Heater</v>
      </c>
      <c r="D351" s="25" t="s">
        <v>839</v>
      </c>
      <c r="E351" s="25" t="s">
        <v>838</v>
      </c>
      <c r="F351" s="25"/>
      <c r="G351" s="65"/>
      <c r="H351" s="25" t="s">
        <v>842</v>
      </c>
      <c r="I351" s="25"/>
      <c r="J351" s="26" t="s">
        <v>843</v>
      </c>
      <c r="K351" s="27" t="s">
        <v>437</v>
      </c>
      <c r="L351" s="28" t="s">
        <v>438</v>
      </c>
      <c r="M351" s="28" t="s">
        <v>704</v>
      </c>
      <c r="N351" s="25">
        <v>1</v>
      </c>
      <c r="O351" s="29">
        <v>2.2000000000000002</v>
      </c>
      <c r="P351" s="29">
        <v>2.2000000000000002</v>
      </c>
      <c r="Q351" s="25" t="s">
        <v>776</v>
      </c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136"/>
        <v>0</v>
      </c>
      <c r="AF351" s="32">
        <f t="shared" si="137"/>
        <v>2.2000000000000002</v>
      </c>
      <c r="AG351" s="30"/>
      <c r="AH351" s="33"/>
      <c r="AI351" s="34">
        <f t="shared" si="138"/>
        <v>0</v>
      </c>
      <c r="AJ351" s="35"/>
      <c r="AK351" s="30"/>
      <c r="AL351" s="36">
        <f t="shared" si="139"/>
        <v>0</v>
      </c>
      <c r="AM351" s="35"/>
      <c r="AN351" s="30"/>
      <c r="AO351" s="36">
        <f t="shared" si="140"/>
        <v>0</v>
      </c>
      <c r="AP351" s="35"/>
      <c r="AQ351" s="30"/>
      <c r="AR351" s="36">
        <f t="shared" si="141"/>
        <v>0</v>
      </c>
      <c r="AS351" s="27"/>
      <c r="AT351" s="37"/>
      <c r="AU351" s="30"/>
      <c r="AV351" s="36">
        <f t="shared" si="142"/>
        <v>0</v>
      </c>
      <c r="AW351" s="35"/>
      <c r="AX351" s="30"/>
      <c r="AY351" s="32">
        <f t="shared" si="143"/>
        <v>0</v>
      </c>
      <c r="AZ351" s="30" t="s">
        <v>841</v>
      </c>
      <c r="BA351" s="63"/>
      <c r="BB351" s="71" t="e">
        <f>SUMIFS([1]Form!$F$9:$F$22,[1]Form!$K$9:$K$22,K351)</f>
        <v>#VALUE!</v>
      </c>
      <c r="BC351" s="71"/>
      <c r="BD351" s="71"/>
    </row>
    <row r="352" spans="1:56" x14ac:dyDescent="0.25">
      <c r="A352" s="24">
        <f>IF(B352="","",SUBTOTAL(3,$B$4:B352))</f>
        <v>349</v>
      </c>
      <c r="B352" s="25" t="s">
        <v>840</v>
      </c>
      <c r="C352" s="25" t="str">
        <f t="shared" si="135"/>
        <v>Shipment 1 B-10124 Fired Proces Heater</v>
      </c>
      <c r="D352" s="25" t="s">
        <v>839</v>
      </c>
      <c r="E352" s="25" t="s">
        <v>838</v>
      </c>
      <c r="F352" s="25"/>
      <c r="G352" s="65"/>
      <c r="H352" s="25" t="s">
        <v>842</v>
      </c>
      <c r="I352" s="25"/>
      <c r="J352" s="26" t="s">
        <v>843</v>
      </c>
      <c r="K352" s="27" t="s">
        <v>437</v>
      </c>
      <c r="L352" s="28" t="s">
        <v>439</v>
      </c>
      <c r="M352" s="28" t="s">
        <v>704</v>
      </c>
      <c r="N352" s="25">
        <v>1</v>
      </c>
      <c r="O352" s="29">
        <v>2.2000000000000002</v>
      </c>
      <c r="P352" s="29">
        <v>2.2000000000000002</v>
      </c>
      <c r="Q352" s="25" t="s">
        <v>776</v>
      </c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136"/>
        <v>0</v>
      </c>
      <c r="AF352" s="32">
        <f t="shared" si="137"/>
        <v>2.2000000000000002</v>
      </c>
      <c r="AG352" s="30"/>
      <c r="AH352" s="33"/>
      <c r="AI352" s="34">
        <f t="shared" si="138"/>
        <v>0</v>
      </c>
      <c r="AJ352" s="35"/>
      <c r="AK352" s="30"/>
      <c r="AL352" s="36">
        <f t="shared" si="139"/>
        <v>0</v>
      </c>
      <c r="AM352" s="35"/>
      <c r="AN352" s="30"/>
      <c r="AO352" s="36">
        <f t="shared" si="140"/>
        <v>0</v>
      </c>
      <c r="AP352" s="35"/>
      <c r="AQ352" s="30"/>
      <c r="AR352" s="36">
        <f t="shared" si="141"/>
        <v>0</v>
      </c>
      <c r="AS352" s="27"/>
      <c r="AT352" s="37"/>
      <c r="AU352" s="30"/>
      <c r="AV352" s="36">
        <f t="shared" si="142"/>
        <v>0</v>
      </c>
      <c r="AW352" s="35"/>
      <c r="AX352" s="30"/>
      <c r="AY352" s="32">
        <f t="shared" si="143"/>
        <v>0</v>
      </c>
      <c r="AZ352" s="30" t="s">
        <v>841</v>
      </c>
      <c r="BA352" s="63"/>
      <c r="BB352" s="71" t="e">
        <f>SUMIFS([1]Form!$F$9:$F$22,[1]Form!$K$9:$K$22,K352)</f>
        <v>#VALUE!</v>
      </c>
      <c r="BC352" s="71"/>
      <c r="BD352" s="71"/>
    </row>
    <row r="353" spans="1:56" x14ac:dyDescent="0.25">
      <c r="A353" s="24">
        <f>IF(B353="","",SUBTOTAL(3,$B$4:B353))</f>
        <v>350</v>
      </c>
      <c r="B353" s="25" t="s">
        <v>840</v>
      </c>
      <c r="C353" s="25" t="str">
        <f t="shared" si="135"/>
        <v>Shipment 1 B-10124 Fired Proces Heater</v>
      </c>
      <c r="D353" s="25" t="s">
        <v>839</v>
      </c>
      <c r="E353" s="25" t="s">
        <v>838</v>
      </c>
      <c r="F353" s="25"/>
      <c r="G353" s="65"/>
      <c r="H353" s="25" t="s">
        <v>842</v>
      </c>
      <c r="I353" s="25"/>
      <c r="J353" s="26" t="s">
        <v>845</v>
      </c>
      <c r="K353" s="27" t="s">
        <v>440</v>
      </c>
      <c r="L353" s="28" t="s">
        <v>441</v>
      </c>
      <c r="M353" s="28" t="s">
        <v>777</v>
      </c>
      <c r="N353" s="25">
        <v>1</v>
      </c>
      <c r="O353" s="29">
        <v>626.5</v>
      </c>
      <c r="P353" s="29">
        <v>626.5</v>
      </c>
      <c r="Q353" s="25" t="s">
        <v>778</v>
      </c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136"/>
        <v>0</v>
      </c>
      <c r="AF353" s="32">
        <f t="shared" si="137"/>
        <v>626.5</v>
      </c>
      <c r="AG353" s="30"/>
      <c r="AH353" s="33"/>
      <c r="AI353" s="34">
        <f t="shared" si="138"/>
        <v>0</v>
      </c>
      <c r="AJ353" s="35"/>
      <c r="AK353" s="30"/>
      <c r="AL353" s="36">
        <f t="shared" si="139"/>
        <v>0</v>
      </c>
      <c r="AM353" s="35"/>
      <c r="AN353" s="30"/>
      <c r="AO353" s="36">
        <f t="shared" si="140"/>
        <v>0</v>
      </c>
      <c r="AP353" s="35"/>
      <c r="AQ353" s="30"/>
      <c r="AR353" s="36">
        <f t="shared" si="141"/>
        <v>0</v>
      </c>
      <c r="AS353" s="27"/>
      <c r="AT353" s="37"/>
      <c r="AU353" s="30"/>
      <c r="AV353" s="36">
        <f t="shared" si="142"/>
        <v>0</v>
      </c>
      <c r="AW353" s="35"/>
      <c r="AX353" s="30"/>
      <c r="AY353" s="32">
        <f t="shared" si="143"/>
        <v>0</v>
      </c>
      <c r="AZ353" s="30" t="s">
        <v>841</v>
      </c>
      <c r="BA353" s="63"/>
      <c r="BB353" s="71" t="e">
        <f>SUMIFS([1]Form!$F$9:$F$22,[1]Form!$K$9:$K$22,K353)</f>
        <v>#VALUE!</v>
      </c>
      <c r="BC353" s="71"/>
      <c r="BD353" s="71"/>
    </row>
    <row r="354" spans="1:56" x14ac:dyDescent="0.25">
      <c r="A354" s="24">
        <f>IF(B354="","",SUBTOTAL(3,$B$4:B354))</f>
        <v>351</v>
      </c>
      <c r="B354" s="25" t="s">
        <v>840</v>
      </c>
      <c r="C354" s="25" t="str">
        <f t="shared" si="135"/>
        <v>Shipment 1 B-10124 Fired Proces Heater</v>
      </c>
      <c r="D354" s="25" t="s">
        <v>839</v>
      </c>
      <c r="E354" s="25" t="s">
        <v>838</v>
      </c>
      <c r="F354" s="25"/>
      <c r="G354" s="65"/>
      <c r="H354" s="25" t="s">
        <v>842</v>
      </c>
      <c r="I354" s="25"/>
      <c r="J354" s="26" t="s">
        <v>845</v>
      </c>
      <c r="K354" s="27" t="s">
        <v>442</v>
      </c>
      <c r="L354" s="28" t="s">
        <v>443</v>
      </c>
      <c r="M354" s="28" t="s">
        <v>777</v>
      </c>
      <c r="N354" s="25">
        <v>1</v>
      </c>
      <c r="O354" s="29">
        <v>626.5</v>
      </c>
      <c r="P354" s="29">
        <v>626.5</v>
      </c>
      <c r="Q354" s="25" t="s">
        <v>778</v>
      </c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136"/>
        <v>0</v>
      </c>
      <c r="AF354" s="32">
        <f t="shared" si="137"/>
        <v>626.5</v>
      </c>
      <c r="AG354" s="30"/>
      <c r="AH354" s="33"/>
      <c r="AI354" s="34">
        <f t="shared" si="138"/>
        <v>0</v>
      </c>
      <c r="AJ354" s="35"/>
      <c r="AK354" s="30"/>
      <c r="AL354" s="36">
        <f t="shared" si="139"/>
        <v>0</v>
      </c>
      <c r="AM354" s="35"/>
      <c r="AN354" s="30"/>
      <c r="AO354" s="36">
        <f t="shared" si="140"/>
        <v>0</v>
      </c>
      <c r="AP354" s="35"/>
      <c r="AQ354" s="30"/>
      <c r="AR354" s="36">
        <f t="shared" si="141"/>
        <v>0</v>
      </c>
      <c r="AS354" s="27"/>
      <c r="AT354" s="37"/>
      <c r="AU354" s="30"/>
      <c r="AV354" s="36">
        <f t="shared" si="142"/>
        <v>0</v>
      </c>
      <c r="AW354" s="35"/>
      <c r="AX354" s="30"/>
      <c r="AY354" s="32">
        <f t="shared" si="143"/>
        <v>0</v>
      </c>
      <c r="AZ354" s="30" t="s">
        <v>841</v>
      </c>
      <c r="BA354" s="63"/>
      <c r="BB354" s="71" t="e">
        <f>SUMIFS([1]Form!$F$9:$F$22,[1]Form!$K$9:$K$22,K354)</f>
        <v>#VALUE!</v>
      </c>
      <c r="BC354" s="71"/>
      <c r="BD354" s="71"/>
    </row>
    <row r="355" spans="1:56" x14ac:dyDescent="0.25">
      <c r="A355" s="24">
        <f>IF(B355="","",SUBTOTAL(3,$B$4:B355))</f>
        <v>352</v>
      </c>
      <c r="B355" s="25" t="s">
        <v>840</v>
      </c>
      <c r="C355" s="25" t="str">
        <f t="shared" si="135"/>
        <v>Shipment 1 B-10124 Fired Proces Heater</v>
      </c>
      <c r="D355" s="25" t="s">
        <v>839</v>
      </c>
      <c r="E355" s="25" t="s">
        <v>838</v>
      </c>
      <c r="F355" s="25"/>
      <c r="G355" s="65"/>
      <c r="H355" s="25" t="s">
        <v>842</v>
      </c>
      <c r="I355" s="25"/>
      <c r="J355" s="26" t="s">
        <v>845</v>
      </c>
      <c r="K355" s="27" t="s">
        <v>444</v>
      </c>
      <c r="L355" s="28" t="s">
        <v>445</v>
      </c>
      <c r="M355" s="28" t="s">
        <v>777</v>
      </c>
      <c r="N355" s="25">
        <v>1</v>
      </c>
      <c r="O355" s="29">
        <v>508.7</v>
      </c>
      <c r="P355" s="29">
        <v>508.7</v>
      </c>
      <c r="Q355" s="25" t="s">
        <v>779</v>
      </c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136"/>
        <v>0</v>
      </c>
      <c r="AF355" s="32">
        <f t="shared" si="137"/>
        <v>508.7</v>
      </c>
      <c r="AG355" s="30"/>
      <c r="AH355" s="33"/>
      <c r="AI355" s="34">
        <f t="shared" si="138"/>
        <v>0</v>
      </c>
      <c r="AJ355" s="35"/>
      <c r="AK355" s="30"/>
      <c r="AL355" s="36">
        <f t="shared" si="139"/>
        <v>0</v>
      </c>
      <c r="AM355" s="35"/>
      <c r="AN355" s="30"/>
      <c r="AO355" s="36">
        <f t="shared" si="140"/>
        <v>0</v>
      </c>
      <c r="AP355" s="35"/>
      <c r="AQ355" s="30"/>
      <c r="AR355" s="36">
        <f t="shared" si="141"/>
        <v>0</v>
      </c>
      <c r="AS355" s="27"/>
      <c r="AT355" s="37"/>
      <c r="AU355" s="30"/>
      <c r="AV355" s="36">
        <f t="shared" si="142"/>
        <v>0</v>
      </c>
      <c r="AW355" s="35"/>
      <c r="AX355" s="30"/>
      <c r="AY355" s="32">
        <f t="shared" si="143"/>
        <v>0</v>
      </c>
      <c r="AZ355" s="30" t="s">
        <v>841</v>
      </c>
      <c r="BA355" s="63"/>
      <c r="BB355" s="71" t="e">
        <f>SUMIFS([1]Form!$F$9:$F$22,[1]Form!$K$9:$K$22,K355)</f>
        <v>#VALUE!</v>
      </c>
      <c r="BC355" s="71"/>
      <c r="BD355" s="71"/>
    </row>
    <row r="356" spans="1:56" x14ac:dyDescent="0.25">
      <c r="A356" s="24">
        <f>IF(B356="","",SUBTOTAL(3,$B$4:B356))</f>
        <v>353</v>
      </c>
      <c r="B356" s="25" t="s">
        <v>840</v>
      </c>
      <c r="C356" s="25" t="str">
        <f t="shared" si="135"/>
        <v>Shipment 1 B-10124 Fired Proces Heater</v>
      </c>
      <c r="D356" s="25" t="s">
        <v>839</v>
      </c>
      <c r="E356" s="25" t="s">
        <v>838</v>
      </c>
      <c r="F356" s="25"/>
      <c r="G356" s="65"/>
      <c r="H356" s="25" t="s">
        <v>842</v>
      </c>
      <c r="I356" s="25"/>
      <c r="J356" s="26" t="s">
        <v>845</v>
      </c>
      <c r="K356" s="27" t="s">
        <v>446</v>
      </c>
      <c r="L356" s="28" t="s">
        <v>447</v>
      </c>
      <c r="M356" s="28" t="s">
        <v>777</v>
      </c>
      <c r="N356" s="25">
        <v>1</v>
      </c>
      <c r="O356" s="29">
        <v>508.7</v>
      </c>
      <c r="P356" s="29">
        <v>508.7</v>
      </c>
      <c r="Q356" s="25" t="s">
        <v>779</v>
      </c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136"/>
        <v>0</v>
      </c>
      <c r="AF356" s="32">
        <f t="shared" si="137"/>
        <v>508.7</v>
      </c>
      <c r="AG356" s="30"/>
      <c r="AH356" s="33"/>
      <c r="AI356" s="34">
        <f t="shared" si="138"/>
        <v>0</v>
      </c>
      <c r="AJ356" s="35"/>
      <c r="AK356" s="30"/>
      <c r="AL356" s="36">
        <f t="shared" si="139"/>
        <v>0</v>
      </c>
      <c r="AM356" s="35"/>
      <c r="AN356" s="30"/>
      <c r="AO356" s="36">
        <f t="shared" si="140"/>
        <v>0</v>
      </c>
      <c r="AP356" s="35"/>
      <c r="AQ356" s="30"/>
      <c r="AR356" s="36">
        <f t="shared" si="141"/>
        <v>0</v>
      </c>
      <c r="AS356" s="27"/>
      <c r="AT356" s="37"/>
      <c r="AU356" s="30"/>
      <c r="AV356" s="36">
        <f t="shared" si="142"/>
        <v>0</v>
      </c>
      <c r="AW356" s="35"/>
      <c r="AX356" s="30"/>
      <c r="AY356" s="32">
        <f t="shared" si="143"/>
        <v>0</v>
      </c>
      <c r="AZ356" s="30" t="s">
        <v>841</v>
      </c>
      <c r="BA356" s="63"/>
      <c r="BB356" s="71" t="e">
        <f>SUMIFS([1]Form!$F$9:$F$22,[1]Form!$K$9:$K$22,K356)</f>
        <v>#VALUE!</v>
      </c>
      <c r="BC356" s="71"/>
      <c r="BD356" s="71"/>
    </row>
    <row r="357" spans="1:56" x14ac:dyDescent="0.25">
      <c r="A357" s="24">
        <f>IF(B357="","",SUBTOTAL(3,$B$4:B357))</f>
        <v>354</v>
      </c>
      <c r="B357" s="25" t="s">
        <v>840</v>
      </c>
      <c r="C357" s="25" t="str">
        <f t="shared" si="135"/>
        <v>Shipment 1 B-10124 Fired Proces Heater</v>
      </c>
      <c r="D357" s="25" t="s">
        <v>839</v>
      </c>
      <c r="E357" s="25" t="s">
        <v>838</v>
      </c>
      <c r="F357" s="25"/>
      <c r="G357" s="65"/>
      <c r="H357" s="25" t="s">
        <v>842</v>
      </c>
      <c r="I357" s="25"/>
      <c r="J357" s="26" t="s">
        <v>845</v>
      </c>
      <c r="K357" s="27" t="s">
        <v>448</v>
      </c>
      <c r="L357" s="28" t="s">
        <v>449</v>
      </c>
      <c r="M357" s="28" t="s">
        <v>777</v>
      </c>
      <c r="N357" s="25">
        <v>1</v>
      </c>
      <c r="O357" s="29">
        <v>314.76250000000005</v>
      </c>
      <c r="P357" s="29">
        <v>314.76250000000005</v>
      </c>
      <c r="Q357" s="25" t="s">
        <v>780</v>
      </c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136"/>
        <v>0</v>
      </c>
      <c r="AF357" s="32">
        <f t="shared" si="137"/>
        <v>314.76250000000005</v>
      </c>
      <c r="AG357" s="30"/>
      <c r="AH357" s="33"/>
      <c r="AI357" s="34">
        <f t="shared" si="138"/>
        <v>0</v>
      </c>
      <c r="AJ357" s="35"/>
      <c r="AK357" s="30"/>
      <c r="AL357" s="36">
        <f t="shared" si="139"/>
        <v>0</v>
      </c>
      <c r="AM357" s="35"/>
      <c r="AN357" s="30"/>
      <c r="AO357" s="36">
        <f t="shared" si="140"/>
        <v>0</v>
      </c>
      <c r="AP357" s="35"/>
      <c r="AQ357" s="30"/>
      <c r="AR357" s="36">
        <f t="shared" si="141"/>
        <v>0</v>
      </c>
      <c r="AS357" s="27"/>
      <c r="AT357" s="37"/>
      <c r="AU357" s="30"/>
      <c r="AV357" s="36">
        <f t="shared" si="142"/>
        <v>0</v>
      </c>
      <c r="AW357" s="35"/>
      <c r="AX357" s="30"/>
      <c r="AY357" s="32">
        <f t="shared" si="143"/>
        <v>0</v>
      </c>
      <c r="AZ357" s="30" t="s">
        <v>841</v>
      </c>
      <c r="BA357" s="63"/>
      <c r="BB357" s="71" t="e">
        <f>SUMIFS([1]Form!$F$9:$F$22,[1]Form!$K$9:$K$22,K357)</f>
        <v>#VALUE!</v>
      </c>
      <c r="BC357" s="71"/>
      <c r="BD357" s="71"/>
    </row>
    <row r="358" spans="1:56" x14ac:dyDescent="0.25">
      <c r="A358" s="24">
        <f>IF(B358="","",SUBTOTAL(3,$B$4:B358))</f>
        <v>355</v>
      </c>
      <c r="B358" s="25" t="s">
        <v>840</v>
      </c>
      <c r="C358" s="25" t="str">
        <f t="shared" si="135"/>
        <v>Shipment 1 B-10124 Fired Proces Heater</v>
      </c>
      <c r="D358" s="25" t="s">
        <v>839</v>
      </c>
      <c r="E358" s="25" t="s">
        <v>838</v>
      </c>
      <c r="F358" s="25"/>
      <c r="G358" s="65"/>
      <c r="H358" s="25" t="s">
        <v>842</v>
      </c>
      <c r="I358" s="25"/>
      <c r="J358" s="26" t="s">
        <v>845</v>
      </c>
      <c r="K358" s="27" t="s">
        <v>448</v>
      </c>
      <c r="L358" s="28" t="s">
        <v>450</v>
      </c>
      <c r="M358" s="28" t="s">
        <v>777</v>
      </c>
      <c r="N358" s="25">
        <v>1</v>
      </c>
      <c r="O358" s="29">
        <v>314.76250000000005</v>
      </c>
      <c r="P358" s="29">
        <v>314.76250000000005</v>
      </c>
      <c r="Q358" s="25" t="s">
        <v>780</v>
      </c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136"/>
        <v>0</v>
      </c>
      <c r="AF358" s="32">
        <f t="shared" si="137"/>
        <v>314.76250000000005</v>
      </c>
      <c r="AG358" s="30"/>
      <c r="AH358" s="33"/>
      <c r="AI358" s="34">
        <f t="shared" si="138"/>
        <v>0</v>
      </c>
      <c r="AJ358" s="35"/>
      <c r="AK358" s="30"/>
      <c r="AL358" s="36">
        <f t="shared" si="139"/>
        <v>0</v>
      </c>
      <c r="AM358" s="35"/>
      <c r="AN358" s="30"/>
      <c r="AO358" s="36">
        <f t="shared" si="140"/>
        <v>0</v>
      </c>
      <c r="AP358" s="35"/>
      <c r="AQ358" s="30"/>
      <c r="AR358" s="36">
        <f t="shared" si="141"/>
        <v>0</v>
      </c>
      <c r="AS358" s="27"/>
      <c r="AT358" s="37"/>
      <c r="AU358" s="30"/>
      <c r="AV358" s="36">
        <f t="shared" si="142"/>
        <v>0</v>
      </c>
      <c r="AW358" s="35"/>
      <c r="AX358" s="30"/>
      <c r="AY358" s="32">
        <f t="shared" si="143"/>
        <v>0</v>
      </c>
      <c r="AZ358" s="30" t="s">
        <v>841</v>
      </c>
      <c r="BA358" s="63"/>
      <c r="BB358" s="71" t="e">
        <f>SUMIFS([1]Form!$F$9:$F$22,[1]Form!$K$9:$K$22,K358)</f>
        <v>#VALUE!</v>
      </c>
      <c r="BC358" s="71"/>
      <c r="BD358" s="71"/>
    </row>
    <row r="359" spans="1:56" x14ac:dyDescent="0.25">
      <c r="A359" s="24">
        <f>IF(B359="","",SUBTOTAL(3,$B$4:B359))</f>
        <v>356</v>
      </c>
      <c r="B359" s="25" t="s">
        <v>840</v>
      </c>
      <c r="C359" s="25" t="str">
        <f t="shared" si="135"/>
        <v>Shipment 1 B-10124 Fired Proces Heater</v>
      </c>
      <c r="D359" s="25" t="s">
        <v>839</v>
      </c>
      <c r="E359" s="25" t="s">
        <v>838</v>
      </c>
      <c r="F359" s="25"/>
      <c r="G359" s="65"/>
      <c r="H359" s="25" t="s">
        <v>842</v>
      </c>
      <c r="I359" s="25"/>
      <c r="J359" s="26" t="s">
        <v>845</v>
      </c>
      <c r="K359" s="27" t="s">
        <v>448</v>
      </c>
      <c r="L359" s="28" t="s">
        <v>451</v>
      </c>
      <c r="M359" s="28" t="s">
        <v>777</v>
      </c>
      <c r="N359" s="25">
        <v>1</v>
      </c>
      <c r="O359" s="29">
        <v>314.76250000000005</v>
      </c>
      <c r="P359" s="29">
        <v>314.76250000000005</v>
      </c>
      <c r="Q359" s="25" t="s">
        <v>780</v>
      </c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136"/>
        <v>0</v>
      </c>
      <c r="AF359" s="32">
        <f t="shared" si="137"/>
        <v>314.76250000000005</v>
      </c>
      <c r="AG359" s="30"/>
      <c r="AH359" s="33"/>
      <c r="AI359" s="34">
        <f t="shared" si="138"/>
        <v>0</v>
      </c>
      <c r="AJ359" s="35"/>
      <c r="AK359" s="30"/>
      <c r="AL359" s="36">
        <f t="shared" si="139"/>
        <v>0</v>
      </c>
      <c r="AM359" s="35"/>
      <c r="AN359" s="30"/>
      <c r="AO359" s="36">
        <f t="shared" si="140"/>
        <v>0</v>
      </c>
      <c r="AP359" s="35"/>
      <c r="AQ359" s="30"/>
      <c r="AR359" s="36">
        <f t="shared" si="141"/>
        <v>0</v>
      </c>
      <c r="AS359" s="27"/>
      <c r="AT359" s="37"/>
      <c r="AU359" s="30"/>
      <c r="AV359" s="36">
        <f t="shared" si="142"/>
        <v>0</v>
      </c>
      <c r="AW359" s="35"/>
      <c r="AX359" s="30"/>
      <c r="AY359" s="32">
        <f t="shared" si="143"/>
        <v>0</v>
      </c>
      <c r="AZ359" s="30" t="s">
        <v>841</v>
      </c>
      <c r="BA359" s="63"/>
      <c r="BB359" s="71" t="e">
        <f>SUMIFS([1]Form!$F$9:$F$22,[1]Form!$K$9:$K$22,K359)</f>
        <v>#VALUE!</v>
      </c>
      <c r="BC359" s="71"/>
      <c r="BD359" s="71"/>
    </row>
    <row r="360" spans="1:56" x14ac:dyDescent="0.25">
      <c r="A360" s="24">
        <f>IF(B360="","",SUBTOTAL(3,$B$4:B360))</f>
        <v>357</v>
      </c>
      <c r="B360" s="25" t="s">
        <v>840</v>
      </c>
      <c r="C360" s="25" t="str">
        <f t="shared" si="135"/>
        <v>Shipment 1 B-10124 Fired Proces Heater</v>
      </c>
      <c r="D360" s="25" t="s">
        <v>839</v>
      </c>
      <c r="E360" s="25" t="s">
        <v>838</v>
      </c>
      <c r="F360" s="25"/>
      <c r="G360" s="65"/>
      <c r="H360" s="25" t="s">
        <v>842</v>
      </c>
      <c r="I360" s="25"/>
      <c r="J360" s="26" t="s">
        <v>845</v>
      </c>
      <c r="K360" s="27" t="s">
        <v>448</v>
      </c>
      <c r="L360" s="28" t="s">
        <v>452</v>
      </c>
      <c r="M360" s="28" t="s">
        <v>777</v>
      </c>
      <c r="N360" s="25">
        <v>1</v>
      </c>
      <c r="O360" s="29">
        <v>314.76250000000005</v>
      </c>
      <c r="P360" s="29">
        <v>314.76250000000005</v>
      </c>
      <c r="Q360" s="25" t="s">
        <v>780</v>
      </c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136"/>
        <v>0</v>
      </c>
      <c r="AF360" s="32">
        <f t="shared" si="137"/>
        <v>314.76250000000005</v>
      </c>
      <c r="AG360" s="30"/>
      <c r="AH360" s="33"/>
      <c r="AI360" s="34">
        <f t="shared" si="138"/>
        <v>0</v>
      </c>
      <c r="AJ360" s="35"/>
      <c r="AK360" s="30"/>
      <c r="AL360" s="36">
        <f t="shared" si="139"/>
        <v>0</v>
      </c>
      <c r="AM360" s="35"/>
      <c r="AN360" s="30"/>
      <c r="AO360" s="36">
        <f t="shared" si="140"/>
        <v>0</v>
      </c>
      <c r="AP360" s="35"/>
      <c r="AQ360" s="30"/>
      <c r="AR360" s="36">
        <f t="shared" si="141"/>
        <v>0</v>
      </c>
      <c r="AS360" s="27"/>
      <c r="AT360" s="37"/>
      <c r="AU360" s="30"/>
      <c r="AV360" s="36">
        <f t="shared" si="142"/>
        <v>0</v>
      </c>
      <c r="AW360" s="35"/>
      <c r="AX360" s="30"/>
      <c r="AY360" s="32">
        <f t="shared" si="143"/>
        <v>0</v>
      </c>
      <c r="AZ360" s="30" t="s">
        <v>841</v>
      </c>
      <c r="BA360" s="63"/>
      <c r="BB360" s="71" t="e">
        <f>SUMIFS([1]Form!$F$9:$F$22,[1]Form!$K$9:$K$22,K360)</f>
        <v>#VALUE!</v>
      </c>
      <c r="BC360" s="71"/>
      <c r="BD360" s="71"/>
    </row>
    <row r="361" spans="1:56" x14ac:dyDescent="0.25">
      <c r="A361" s="24">
        <f>IF(B361="","",SUBTOTAL(3,$B$4:B361))</f>
        <v>358</v>
      </c>
      <c r="B361" s="25" t="s">
        <v>840</v>
      </c>
      <c r="C361" s="25" t="str">
        <f t="shared" si="135"/>
        <v>Shipment 1 B-10124 Fired Proces Heater</v>
      </c>
      <c r="D361" s="25" t="s">
        <v>839</v>
      </c>
      <c r="E361" s="25" t="s">
        <v>838</v>
      </c>
      <c r="F361" s="25"/>
      <c r="G361" s="65"/>
      <c r="H361" s="25" t="s">
        <v>842</v>
      </c>
      <c r="I361" s="25"/>
      <c r="J361" s="26" t="s">
        <v>845</v>
      </c>
      <c r="K361" s="27" t="s">
        <v>448</v>
      </c>
      <c r="L361" s="28" t="s">
        <v>453</v>
      </c>
      <c r="M361" s="28" t="s">
        <v>777</v>
      </c>
      <c r="N361" s="25">
        <v>1</v>
      </c>
      <c r="O361" s="29">
        <v>314.76250000000005</v>
      </c>
      <c r="P361" s="29">
        <v>314.76250000000005</v>
      </c>
      <c r="Q361" s="25" t="s">
        <v>780</v>
      </c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136"/>
        <v>0</v>
      </c>
      <c r="AF361" s="32">
        <f t="shared" si="137"/>
        <v>314.76250000000005</v>
      </c>
      <c r="AG361" s="30"/>
      <c r="AH361" s="33"/>
      <c r="AI361" s="34">
        <f t="shared" si="138"/>
        <v>0</v>
      </c>
      <c r="AJ361" s="35"/>
      <c r="AK361" s="30"/>
      <c r="AL361" s="36">
        <f t="shared" si="139"/>
        <v>0</v>
      </c>
      <c r="AM361" s="35"/>
      <c r="AN361" s="30"/>
      <c r="AO361" s="36">
        <f t="shared" si="140"/>
        <v>0</v>
      </c>
      <c r="AP361" s="35"/>
      <c r="AQ361" s="30"/>
      <c r="AR361" s="36">
        <f t="shared" si="141"/>
        <v>0</v>
      </c>
      <c r="AS361" s="27"/>
      <c r="AT361" s="37"/>
      <c r="AU361" s="30"/>
      <c r="AV361" s="36">
        <f t="shared" si="142"/>
        <v>0</v>
      </c>
      <c r="AW361" s="35"/>
      <c r="AX361" s="30"/>
      <c r="AY361" s="32">
        <f t="shared" si="143"/>
        <v>0</v>
      </c>
      <c r="AZ361" s="30" t="s">
        <v>841</v>
      </c>
      <c r="BA361" s="63"/>
      <c r="BB361" s="71" t="e">
        <f>SUMIFS([1]Form!$F$9:$F$22,[1]Form!$K$9:$K$22,K361)</f>
        <v>#VALUE!</v>
      </c>
      <c r="BC361" s="71"/>
      <c r="BD361" s="71"/>
    </row>
    <row r="362" spans="1:56" x14ac:dyDescent="0.25">
      <c r="A362" s="24">
        <f>IF(B362="","",SUBTOTAL(3,$B$4:B362))</f>
        <v>359</v>
      </c>
      <c r="B362" s="25" t="s">
        <v>840</v>
      </c>
      <c r="C362" s="25" t="str">
        <f t="shared" si="135"/>
        <v>Shipment 1 B-10124 Fired Proces Heater</v>
      </c>
      <c r="D362" s="25" t="s">
        <v>839</v>
      </c>
      <c r="E362" s="25" t="s">
        <v>838</v>
      </c>
      <c r="F362" s="25"/>
      <c r="G362" s="65"/>
      <c r="H362" s="25" t="s">
        <v>842</v>
      </c>
      <c r="I362" s="25"/>
      <c r="J362" s="26" t="s">
        <v>845</v>
      </c>
      <c r="K362" s="27" t="s">
        <v>448</v>
      </c>
      <c r="L362" s="28" t="s">
        <v>454</v>
      </c>
      <c r="M362" s="28" t="s">
        <v>777</v>
      </c>
      <c r="N362" s="25">
        <v>1</v>
      </c>
      <c r="O362" s="29">
        <v>314.76250000000005</v>
      </c>
      <c r="P362" s="29">
        <v>314.76250000000005</v>
      </c>
      <c r="Q362" s="25" t="s">
        <v>780</v>
      </c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136"/>
        <v>0</v>
      </c>
      <c r="AF362" s="32">
        <f t="shared" si="137"/>
        <v>314.76250000000005</v>
      </c>
      <c r="AG362" s="30"/>
      <c r="AH362" s="33"/>
      <c r="AI362" s="34">
        <f t="shared" si="138"/>
        <v>0</v>
      </c>
      <c r="AJ362" s="35"/>
      <c r="AK362" s="30"/>
      <c r="AL362" s="36">
        <f t="shared" si="139"/>
        <v>0</v>
      </c>
      <c r="AM362" s="35"/>
      <c r="AN362" s="30"/>
      <c r="AO362" s="36">
        <f t="shared" si="140"/>
        <v>0</v>
      </c>
      <c r="AP362" s="35"/>
      <c r="AQ362" s="30"/>
      <c r="AR362" s="36">
        <f t="shared" si="141"/>
        <v>0</v>
      </c>
      <c r="AS362" s="27"/>
      <c r="AT362" s="37"/>
      <c r="AU362" s="30"/>
      <c r="AV362" s="36">
        <f t="shared" si="142"/>
        <v>0</v>
      </c>
      <c r="AW362" s="35"/>
      <c r="AX362" s="30"/>
      <c r="AY362" s="32">
        <f t="shared" si="143"/>
        <v>0</v>
      </c>
      <c r="AZ362" s="30" t="s">
        <v>841</v>
      </c>
      <c r="BA362" s="63"/>
      <c r="BB362" s="71" t="e">
        <f>SUMIFS([1]Form!$F$9:$F$22,[1]Form!$K$9:$K$22,K362)</f>
        <v>#VALUE!</v>
      </c>
      <c r="BC362" s="71"/>
      <c r="BD362" s="71"/>
    </row>
    <row r="363" spans="1:56" x14ac:dyDescent="0.25">
      <c r="A363" s="24">
        <f>IF(B363="","",SUBTOTAL(3,$B$4:B363))</f>
        <v>360</v>
      </c>
      <c r="B363" s="25" t="s">
        <v>840</v>
      </c>
      <c r="C363" s="25" t="str">
        <f t="shared" si="135"/>
        <v>Shipment 1 B-10124 Fired Proces Heater</v>
      </c>
      <c r="D363" s="25" t="s">
        <v>839</v>
      </c>
      <c r="E363" s="25" t="s">
        <v>838</v>
      </c>
      <c r="F363" s="25"/>
      <c r="G363" s="65"/>
      <c r="H363" s="25" t="s">
        <v>842</v>
      </c>
      <c r="I363" s="25"/>
      <c r="J363" s="26" t="s">
        <v>845</v>
      </c>
      <c r="K363" s="27" t="s">
        <v>448</v>
      </c>
      <c r="L363" s="28" t="s">
        <v>455</v>
      </c>
      <c r="M363" s="28" t="s">
        <v>777</v>
      </c>
      <c r="N363" s="25">
        <v>1</v>
      </c>
      <c r="O363" s="29">
        <v>314.76250000000005</v>
      </c>
      <c r="P363" s="29">
        <v>314.76250000000005</v>
      </c>
      <c r="Q363" s="25" t="s">
        <v>780</v>
      </c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136"/>
        <v>0</v>
      </c>
      <c r="AF363" s="32">
        <f t="shared" si="137"/>
        <v>314.76250000000005</v>
      </c>
      <c r="AG363" s="30"/>
      <c r="AH363" s="33"/>
      <c r="AI363" s="34">
        <f t="shared" si="138"/>
        <v>0</v>
      </c>
      <c r="AJ363" s="35"/>
      <c r="AK363" s="30"/>
      <c r="AL363" s="36">
        <f t="shared" si="139"/>
        <v>0</v>
      </c>
      <c r="AM363" s="35"/>
      <c r="AN363" s="30"/>
      <c r="AO363" s="36">
        <f t="shared" si="140"/>
        <v>0</v>
      </c>
      <c r="AP363" s="35"/>
      <c r="AQ363" s="30"/>
      <c r="AR363" s="36">
        <f t="shared" si="141"/>
        <v>0</v>
      </c>
      <c r="AS363" s="27"/>
      <c r="AT363" s="37"/>
      <c r="AU363" s="30"/>
      <c r="AV363" s="36">
        <f t="shared" si="142"/>
        <v>0</v>
      </c>
      <c r="AW363" s="35"/>
      <c r="AX363" s="30"/>
      <c r="AY363" s="32">
        <f t="shared" si="143"/>
        <v>0</v>
      </c>
      <c r="AZ363" s="30" t="s">
        <v>841</v>
      </c>
      <c r="BA363" s="63"/>
      <c r="BB363" s="71" t="e">
        <f>SUMIFS([1]Form!$F$9:$F$22,[1]Form!$K$9:$K$22,K363)</f>
        <v>#VALUE!</v>
      </c>
      <c r="BC363" s="71"/>
      <c r="BD363" s="71"/>
    </row>
    <row r="364" spans="1:56" x14ac:dyDescent="0.25">
      <c r="A364" s="24">
        <f>IF(B364="","",SUBTOTAL(3,$B$4:B364))</f>
        <v>361</v>
      </c>
      <c r="B364" s="25" t="s">
        <v>840</v>
      </c>
      <c r="C364" s="25" t="str">
        <f t="shared" ref="C364:C427" si="144">D364&amp;" "&amp;E364</f>
        <v>Shipment 1 B-10124 Fired Proces Heater</v>
      </c>
      <c r="D364" s="25" t="s">
        <v>839</v>
      </c>
      <c r="E364" s="25" t="s">
        <v>838</v>
      </c>
      <c r="F364" s="25"/>
      <c r="G364" s="65"/>
      <c r="H364" s="25" t="s">
        <v>842</v>
      </c>
      <c r="I364" s="25"/>
      <c r="J364" s="26" t="s">
        <v>845</v>
      </c>
      <c r="K364" s="27" t="s">
        <v>448</v>
      </c>
      <c r="L364" s="28" t="s">
        <v>456</v>
      </c>
      <c r="M364" s="28" t="s">
        <v>777</v>
      </c>
      <c r="N364" s="25">
        <v>1</v>
      </c>
      <c r="O364" s="29">
        <v>314.76250000000005</v>
      </c>
      <c r="P364" s="29">
        <v>314.76250000000005</v>
      </c>
      <c r="Q364" s="25" t="s">
        <v>780</v>
      </c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136"/>
        <v>0</v>
      </c>
      <c r="AF364" s="32">
        <f t="shared" si="137"/>
        <v>314.76250000000005</v>
      </c>
      <c r="AG364" s="30"/>
      <c r="AH364" s="33"/>
      <c r="AI364" s="34">
        <f t="shared" si="138"/>
        <v>0</v>
      </c>
      <c r="AJ364" s="35"/>
      <c r="AK364" s="30"/>
      <c r="AL364" s="36">
        <f t="shared" si="139"/>
        <v>0</v>
      </c>
      <c r="AM364" s="35"/>
      <c r="AN364" s="30"/>
      <c r="AO364" s="36">
        <f t="shared" si="140"/>
        <v>0</v>
      </c>
      <c r="AP364" s="35"/>
      <c r="AQ364" s="30"/>
      <c r="AR364" s="36">
        <f t="shared" si="141"/>
        <v>0</v>
      </c>
      <c r="AS364" s="27"/>
      <c r="AT364" s="37"/>
      <c r="AU364" s="30"/>
      <c r="AV364" s="36">
        <f t="shared" si="142"/>
        <v>0</v>
      </c>
      <c r="AW364" s="35"/>
      <c r="AX364" s="30"/>
      <c r="AY364" s="32">
        <f t="shared" si="143"/>
        <v>0</v>
      </c>
      <c r="AZ364" s="30" t="s">
        <v>841</v>
      </c>
      <c r="BA364" s="63"/>
      <c r="BB364" s="71" t="e">
        <f>SUMIFS([1]Form!$F$9:$F$22,[1]Form!$K$9:$K$22,K364)</f>
        <v>#VALUE!</v>
      </c>
      <c r="BC364" s="71"/>
      <c r="BD364" s="71"/>
    </row>
    <row r="365" spans="1:56" x14ac:dyDescent="0.25">
      <c r="A365" s="24">
        <f>IF(B365="","",SUBTOTAL(3,$B$4:B365))</f>
        <v>362</v>
      </c>
      <c r="B365" s="25" t="s">
        <v>840</v>
      </c>
      <c r="C365" s="25" t="str">
        <f t="shared" si="144"/>
        <v>Shipment 1 B-10124 Fired Proces Heater</v>
      </c>
      <c r="D365" s="25" t="s">
        <v>839</v>
      </c>
      <c r="E365" s="25" t="s">
        <v>838</v>
      </c>
      <c r="F365" s="25"/>
      <c r="G365" s="65"/>
      <c r="H365" s="25" t="s">
        <v>842</v>
      </c>
      <c r="I365" s="25"/>
      <c r="J365" s="26" t="s">
        <v>845</v>
      </c>
      <c r="K365" s="27" t="s">
        <v>457</v>
      </c>
      <c r="L365" s="28" t="s">
        <v>458</v>
      </c>
      <c r="M365" s="28" t="s">
        <v>777</v>
      </c>
      <c r="N365" s="25">
        <v>1</v>
      </c>
      <c r="O365" s="29">
        <v>497.72500000000002</v>
      </c>
      <c r="P365" s="29">
        <v>497.72500000000002</v>
      </c>
      <c r="Q365" s="25" t="s">
        <v>781</v>
      </c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136"/>
        <v>0</v>
      </c>
      <c r="AF365" s="32">
        <f t="shared" si="137"/>
        <v>497.72500000000002</v>
      </c>
      <c r="AG365" s="30"/>
      <c r="AH365" s="33"/>
      <c r="AI365" s="34">
        <f t="shared" si="138"/>
        <v>0</v>
      </c>
      <c r="AJ365" s="35"/>
      <c r="AK365" s="30"/>
      <c r="AL365" s="36">
        <f t="shared" si="139"/>
        <v>0</v>
      </c>
      <c r="AM365" s="35"/>
      <c r="AN365" s="30"/>
      <c r="AO365" s="36">
        <f t="shared" si="140"/>
        <v>0</v>
      </c>
      <c r="AP365" s="35"/>
      <c r="AQ365" s="30"/>
      <c r="AR365" s="36">
        <f t="shared" si="141"/>
        <v>0</v>
      </c>
      <c r="AS365" s="27"/>
      <c r="AT365" s="37"/>
      <c r="AU365" s="30"/>
      <c r="AV365" s="36">
        <f t="shared" si="142"/>
        <v>0</v>
      </c>
      <c r="AW365" s="35"/>
      <c r="AX365" s="30"/>
      <c r="AY365" s="32">
        <f t="shared" si="143"/>
        <v>0</v>
      </c>
      <c r="AZ365" s="30" t="s">
        <v>841</v>
      </c>
      <c r="BA365" s="63"/>
      <c r="BB365" s="71" t="e">
        <f>SUMIFS([1]Form!$F$9:$F$22,[1]Form!$K$9:$K$22,K365)</f>
        <v>#VALUE!</v>
      </c>
      <c r="BC365" s="71"/>
      <c r="BD365" s="71"/>
    </row>
    <row r="366" spans="1:56" x14ac:dyDescent="0.25">
      <c r="A366" s="24">
        <f>IF(B366="","",SUBTOTAL(3,$B$4:B366))</f>
        <v>363</v>
      </c>
      <c r="B366" s="25" t="s">
        <v>840</v>
      </c>
      <c r="C366" s="25" t="str">
        <f t="shared" si="144"/>
        <v>Shipment 1 B-10124 Fired Proces Heater</v>
      </c>
      <c r="D366" s="25" t="s">
        <v>839</v>
      </c>
      <c r="E366" s="25" t="s">
        <v>838</v>
      </c>
      <c r="F366" s="25"/>
      <c r="G366" s="65"/>
      <c r="H366" s="25" t="s">
        <v>842</v>
      </c>
      <c r="I366" s="25"/>
      <c r="J366" s="26" t="s">
        <v>845</v>
      </c>
      <c r="K366" s="27" t="s">
        <v>457</v>
      </c>
      <c r="L366" s="28" t="s">
        <v>459</v>
      </c>
      <c r="M366" s="28" t="s">
        <v>777</v>
      </c>
      <c r="N366" s="25">
        <v>1</v>
      </c>
      <c r="O366" s="29">
        <v>497.72500000000002</v>
      </c>
      <c r="P366" s="29">
        <v>497.72500000000002</v>
      </c>
      <c r="Q366" s="25" t="s">
        <v>781</v>
      </c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136"/>
        <v>0</v>
      </c>
      <c r="AF366" s="32">
        <f t="shared" si="137"/>
        <v>497.72500000000002</v>
      </c>
      <c r="AG366" s="30"/>
      <c r="AH366" s="33"/>
      <c r="AI366" s="34">
        <f t="shared" si="138"/>
        <v>0</v>
      </c>
      <c r="AJ366" s="35"/>
      <c r="AK366" s="30"/>
      <c r="AL366" s="36">
        <f t="shared" si="139"/>
        <v>0</v>
      </c>
      <c r="AM366" s="35"/>
      <c r="AN366" s="30"/>
      <c r="AO366" s="36">
        <f t="shared" si="140"/>
        <v>0</v>
      </c>
      <c r="AP366" s="35"/>
      <c r="AQ366" s="30"/>
      <c r="AR366" s="36">
        <f t="shared" si="141"/>
        <v>0</v>
      </c>
      <c r="AS366" s="27"/>
      <c r="AT366" s="37"/>
      <c r="AU366" s="30"/>
      <c r="AV366" s="36">
        <f t="shared" si="142"/>
        <v>0</v>
      </c>
      <c r="AW366" s="35"/>
      <c r="AX366" s="30"/>
      <c r="AY366" s="32">
        <f t="shared" si="143"/>
        <v>0</v>
      </c>
      <c r="AZ366" s="30" t="s">
        <v>841</v>
      </c>
      <c r="BA366" s="63"/>
      <c r="BB366" s="71" t="e">
        <f>SUMIFS([1]Form!$F$9:$F$22,[1]Form!$K$9:$K$22,K366)</f>
        <v>#VALUE!</v>
      </c>
      <c r="BC366" s="71"/>
      <c r="BD366" s="71"/>
    </row>
    <row r="367" spans="1:56" x14ac:dyDescent="0.25">
      <c r="A367" s="24">
        <f>IF(B367="","",SUBTOTAL(3,$B$4:B367))</f>
        <v>364</v>
      </c>
      <c r="B367" s="25" t="s">
        <v>840</v>
      </c>
      <c r="C367" s="25" t="str">
        <f t="shared" si="144"/>
        <v>Shipment 1 B-10124 Fired Proces Heater</v>
      </c>
      <c r="D367" s="25" t="s">
        <v>839</v>
      </c>
      <c r="E367" s="25" t="s">
        <v>838</v>
      </c>
      <c r="F367" s="25"/>
      <c r="G367" s="65"/>
      <c r="H367" s="25" t="s">
        <v>842</v>
      </c>
      <c r="I367" s="25"/>
      <c r="J367" s="26" t="s">
        <v>845</v>
      </c>
      <c r="K367" s="27" t="s">
        <v>457</v>
      </c>
      <c r="L367" s="28" t="s">
        <v>460</v>
      </c>
      <c r="M367" s="28" t="s">
        <v>777</v>
      </c>
      <c r="N367" s="25">
        <v>1</v>
      </c>
      <c r="O367" s="29">
        <v>497.72500000000002</v>
      </c>
      <c r="P367" s="29">
        <v>497.72500000000002</v>
      </c>
      <c r="Q367" s="25" t="s">
        <v>781</v>
      </c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136"/>
        <v>0</v>
      </c>
      <c r="AF367" s="32">
        <f t="shared" si="137"/>
        <v>497.72500000000002</v>
      </c>
      <c r="AG367" s="30"/>
      <c r="AH367" s="33"/>
      <c r="AI367" s="34">
        <f t="shared" si="138"/>
        <v>0</v>
      </c>
      <c r="AJ367" s="35"/>
      <c r="AK367" s="30"/>
      <c r="AL367" s="36">
        <f t="shared" si="139"/>
        <v>0</v>
      </c>
      <c r="AM367" s="35"/>
      <c r="AN367" s="30"/>
      <c r="AO367" s="36">
        <f t="shared" si="140"/>
        <v>0</v>
      </c>
      <c r="AP367" s="35"/>
      <c r="AQ367" s="30"/>
      <c r="AR367" s="36">
        <f t="shared" si="141"/>
        <v>0</v>
      </c>
      <c r="AS367" s="27"/>
      <c r="AT367" s="37"/>
      <c r="AU367" s="30"/>
      <c r="AV367" s="36">
        <f t="shared" si="142"/>
        <v>0</v>
      </c>
      <c r="AW367" s="35"/>
      <c r="AX367" s="30"/>
      <c r="AY367" s="32">
        <f t="shared" si="143"/>
        <v>0</v>
      </c>
      <c r="AZ367" s="30" t="s">
        <v>841</v>
      </c>
      <c r="BA367" s="63"/>
      <c r="BB367" s="71" t="e">
        <f>SUMIFS([1]Form!$F$9:$F$22,[1]Form!$K$9:$K$22,K367)</f>
        <v>#VALUE!</v>
      </c>
      <c r="BC367" s="71"/>
      <c r="BD367" s="71"/>
    </row>
    <row r="368" spans="1:56" x14ac:dyDescent="0.25">
      <c r="A368" s="24">
        <f>IF(B368="","",SUBTOTAL(3,$B$4:B368))</f>
        <v>365</v>
      </c>
      <c r="B368" s="25" t="s">
        <v>840</v>
      </c>
      <c r="C368" s="25" t="str">
        <f t="shared" si="144"/>
        <v>Shipment 1 B-10124 Fired Proces Heater</v>
      </c>
      <c r="D368" s="25" t="s">
        <v>839</v>
      </c>
      <c r="E368" s="25" t="s">
        <v>838</v>
      </c>
      <c r="F368" s="25"/>
      <c r="G368" s="65"/>
      <c r="H368" s="25" t="s">
        <v>842</v>
      </c>
      <c r="I368" s="25"/>
      <c r="J368" s="26" t="s">
        <v>845</v>
      </c>
      <c r="K368" s="27" t="s">
        <v>457</v>
      </c>
      <c r="L368" s="28" t="s">
        <v>461</v>
      </c>
      <c r="M368" s="28" t="s">
        <v>777</v>
      </c>
      <c r="N368" s="25">
        <v>1</v>
      </c>
      <c r="O368" s="29">
        <v>497.72500000000002</v>
      </c>
      <c r="P368" s="29">
        <v>497.72500000000002</v>
      </c>
      <c r="Q368" s="25" t="s">
        <v>781</v>
      </c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136"/>
        <v>0</v>
      </c>
      <c r="AF368" s="32">
        <f t="shared" si="137"/>
        <v>497.72500000000002</v>
      </c>
      <c r="AG368" s="30"/>
      <c r="AH368" s="33"/>
      <c r="AI368" s="34">
        <f t="shared" si="138"/>
        <v>0</v>
      </c>
      <c r="AJ368" s="35"/>
      <c r="AK368" s="30"/>
      <c r="AL368" s="36">
        <f t="shared" si="139"/>
        <v>0</v>
      </c>
      <c r="AM368" s="35"/>
      <c r="AN368" s="30"/>
      <c r="AO368" s="36">
        <f t="shared" si="140"/>
        <v>0</v>
      </c>
      <c r="AP368" s="35"/>
      <c r="AQ368" s="30"/>
      <c r="AR368" s="36">
        <f t="shared" si="141"/>
        <v>0</v>
      </c>
      <c r="AS368" s="27"/>
      <c r="AT368" s="37"/>
      <c r="AU368" s="30"/>
      <c r="AV368" s="36">
        <f t="shared" si="142"/>
        <v>0</v>
      </c>
      <c r="AW368" s="35"/>
      <c r="AX368" s="30"/>
      <c r="AY368" s="32">
        <f t="shared" si="143"/>
        <v>0</v>
      </c>
      <c r="AZ368" s="30" t="s">
        <v>841</v>
      </c>
      <c r="BA368" s="63"/>
      <c r="BB368" s="71" t="e">
        <f>SUMIFS([1]Form!$F$9:$F$22,[1]Form!$K$9:$K$22,K368)</f>
        <v>#VALUE!</v>
      </c>
      <c r="BC368" s="71"/>
      <c r="BD368" s="71"/>
    </row>
    <row r="369" spans="1:56" x14ac:dyDescent="0.25">
      <c r="A369" s="24">
        <f>IF(B369="","",SUBTOTAL(3,$B$4:B369))</f>
        <v>366</v>
      </c>
      <c r="B369" s="25" t="s">
        <v>840</v>
      </c>
      <c r="C369" s="25" t="str">
        <f t="shared" si="144"/>
        <v>Shipment 1 B-10124 Fired Proces Heater</v>
      </c>
      <c r="D369" s="25" t="s">
        <v>839</v>
      </c>
      <c r="E369" s="25" t="s">
        <v>838</v>
      </c>
      <c r="F369" s="25"/>
      <c r="G369" s="65"/>
      <c r="H369" s="25" t="s">
        <v>842</v>
      </c>
      <c r="I369" s="25"/>
      <c r="J369" s="26" t="s">
        <v>845</v>
      </c>
      <c r="K369" s="27" t="s">
        <v>462</v>
      </c>
      <c r="L369" s="28" t="s">
        <v>463</v>
      </c>
      <c r="M369" s="28" t="s">
        <v>777</v>
      </c>
      <c r="N369" s="25">
        <v>1</v>
      </c>
      <c r="O369" s="29">
        <v>78.887499999999989</v>
      </c>
      <c r="P369" s="29">
        <v>78.887499999999989</v>
      </c>
      <c r="Q369" s="25" t="s">
        <v>782</v>
      </c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136"/>
        <v>0</v>
      </c>
      <c r="AF369" s="32">
        <f t="shared" si="137"/>
        <v>78.887499999999989</v>
      </c>
      <c r="AG369" s="30"/>
      <c r="AH369" s="33"/>
      <c r="AI369" s="34">
        <f t="shared" si="138"/>
        <v>0</v>
      </c>
      <c r="AJ369" s="35"/>
      <c r="AK369" s="30"/>
      <c r="AL369" s="36">
        <f t="shared" si="139"/>
        <v>0</v>
      </c>
      <c r="AM369" s="35"/>
      <c r="AN369" s="30"/>
      <c r="AO369" s="36">
        <f t="shared" si="140"/>
        <v>0</v>
      </c>
      <c r="AP369" s="35"/>
      <c r="AQ369" s="30"/>
      <c r="AR369" s="36">
        <f t="shared" si="141"/>
        <v>0</v>
      </c>
      <c r="AS369" s="27"/>
      <c r="AT369" s="37"/>
      <c r="AU369" s="30"/>
      <c r="AV369" s="36">
        <f t="shared" si="142"/>
        <v>0</v>
      </c>
      <c r="AW369" s="35"/>
      <c r="AX369" s="30"/>
      <c r="AY369" s="32">
        <f t="shared" si="143"/>
        <v>0</v>
      </c>
      <c r="AZ369" s="30" t="s">
        <v>841</v>
      </c>
      <c r="BA369" s="63"/>
      <c r="BB369" s="71" t="e">
        <f>SUMIFS([1]Form!$F$9:$F$22,[1]Form!$K$9:$K$22,K369)</f>
        <v>#VALUE!</v>
      </c>
      <c r="BC369" s="71"/>
      <c r="BD369" s="71"/>
    </row>
    <row r="370" spans="1:56" x14ac:dyDescent="0.25">
      <c r="A370" s="24">
        <f>IF(B370="","",SUBTOTAL(3,$B$4:B370))</f>
        <v>367</v>
      </c>
      <c r="B370" s="25" t="s">
        <v>840</v>
      </c>
      <c r="C370" s="25" t="str">
        <f t="shared" si="144"/>
        <v>Shipment 1 B-10124 Fired Proces Heater</v>
      </c>
      <c r="D370" s="25" t="s">
        <v>839</v>
      </c>
      <c r="E370" s="25" t="s">
        <v>838</v>
      </c>
      <c r="F370" s="25"/>
      <c r="G370" s="65"/>
      <c r="H370" s="25" t="s">
        <v>842</v>
      </c>
      <c r="I370" s="25"/>
      <c r="J370" s="26" t="s">
        <v>845</v>
      </c>
      <c r="K370" s="27" t="s">
        <v>462</v>
      </c>
      <c r="L370" s="28" t="s">
        <v>464</v>
      </c>
      <c r="M370" s="28" t="s">
        <v>777</v>
      </c>
      <c r="N370" s="25">
        <v>1</v>
      </c>
      <c r="O370" s="29">
        <v>78.887499999999989</v>
      </c>
      <c r="P370" s="29">
        <v>78.887499999999989</v>
      </c>
      <c r="Q370" s="25" t="s">
        <v>782</v>
      </c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136"/>
        <v>0</v>
      </c>
      <c r="AF370" s="32">
        <f t="shared" si="137"/>
        <v>78.887499999999989</v>
      </c>
      <c r="AG370" s="30"/>
      <c r="AH370" s="33"/>
      <c r="AI370" s="34">
        <f t="shared" si="138"/>
        <v>0</v>
      </c>
      <c r="AJ370" s="35"/>
      <c r="AK370" s="30"/>
      <c r="AL370" s="36">
        <f t="shared" si="139"/>
        <v>0</v>
      </c>
      <c r="AM370" s="35"/>
      <c r="AN370" s="30"/>
      <c r="AO370" s="36">
        <f t="shared" si="140"/>
        <v>0</v>
      </c>
      <c r="AP370" s="35"/>
      <c r="AQ370" s="30"/>
      <c r="AR370" s="36">
        <f t="shared" si="141"/>
        <v>0</v>
      </c>
      <c r="AS370" s="27"/>
      <c r="AT370" s="37"/>
      <c r="AU370" s="30"/>
      <c r="AV370" s="36">
        <f t="shared" si="142"/>
        <v>0</v>
      </c>
      <c r="AW370" s="35"/>
      <c r="AX370" s="30"/>
      <c r="AY370" s="32">
        <f t="shared" si="143"/>
        <v>0</v>
      </c>
      <c r="AZ370" s="30" t="s">
        <v>841</v>
      </c>
      <c r="BA370" s="63"/>
      <c r="BB370" s="71" t="e">
        <f>SUMIFS([1]Form!$F$9:$F$22,[1]Form!$K$9:$K$22,K370)</f>
        <v>#VALUE!</v>
      </c>
      <c r="BC370" s="71"/>
      <c r="BD370" s="71"/>
    </row>
    <row r="371" spans="1:56" x14ac:dyDescent="0.25">
      <c r="A371" s="24">
        <f>IF(B371="","",SUBTOTAL(3,$B$4:B371))</f>
        <v>368</v>
      </c>
      <c r="B371" s="25" t="s">
        <v>840</v>
      </c>
      <c r="C371" s="25" t="str">
        <f t="shared" si="144"/>
        <v>Shipment 1 B-10124 Fired Proces Heater</v>
      </c>
      <c r="D371" s="25" t="s">
        <v>839</v>
      </c>
      <c r="E371" s="25" t="s">
        <v>838</v>
      </c>
      <c r="F371" s="25"/>
      <c r="G371" s="65"/>
      <c r="H371" s="25" t="s">
        <v>842</v>
      </c>
      <c r="I371" s="25"/>
      <c r="J371" s="26" t="s">
        <v>845</v>
      </c>
      <c r="K371" s="27" t="s">
        <v>462</v>
      </c>
      <c r="L371" s="28" t="s">
        <v>465</v>
      </c>
      <c r="M371" s="28" t="s">
        <v>777</v>
      </c>
      <c r="N371" s="25">
        <v>1</v>
      </c>
      <c r="O371" s="29">
        <v>78.887499999999989</v>
      </c>
      <c r="P371" s="29">
        <v>78.887499999999989</v>
      </c>
      <c r="Q371" s="25" t="s">
        <v>782</v>
      </c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136"/>
        <v>0</v>
      </c>
      <c r="AF371" s="32">
        <f t="shared" si="137"/>
        <v>78.887499999999989</v>
      </c>
      <c r="AG371" s="30"/>
      <c r="AH371" s="33"/>
      <c r="AI371" s="34">
        <f t="shared" si="138"/>
        <v>0</v>
      </c>
      <c r="AJ371" s="35"/>
      <c r="AK371" s="30"/>
      <c r="AL371" s="36">
        <f t="shared" si="139"/>
        <v>0</v>
      </c>
      <c r="AM371" s="35"/>
      <c r="AN371" s="30"/>
      <c r="AO371" s="36">
        <f t="shared" si="140"/>
        <v>0</v>
      </c>
      <c r="AP371" s="35"/>
      <c r="AQ371" s="30"/>
      <c r="AR371" s="36">
        <f t="shared" si="141"/>
        <v>0</v>
      </c>
      <c r="AS371" s="27"/>
      <c r="AT371" s="37"/>
      <c r="AU371" s="30"/>
      <c r="AV371" s="36">
        <f t="shared" si="142"/>
        <v>0</v>
      </c>
      <c r="AW371" s="35"/>
      <c r="AX371" s="30"/>
      <c r="AY371" s="32">
        <f t="shared" si="143"/>
        <v>0</v>
      </c>
      <c r="AZ371" s="30" t="s">
        <v>841</v>
      </c>
      <c r="BA371" s="63"/>
      <c r="BB371" s="71" t="e">
        <f>SUMIFS([1]Form!$F$9:$F$22,[1]Form!$K$9:$K$22,K371)</f>
        <v>#VALUE!</v>
      </c>
      <c r="BC371" s="71"/>
      <c r="BD371" s="71"/>
    </row>
    <row r="372" spans="1:56" x14ac:dyDescent="0.25">
      <c r="A372" s="24">
        <f>IF(B372="","",SUBTOTAL(3,$B$4:B372))</f>
        <v>369</v>
      </c>
      <c r="B372" s="25" t="s">
        <v>840</v>
      </c>
      <c r="C372" s="25" t="str">
        <f t="shared" si="144"/>
        <v>Shipment 1 B-10124 Fired Proces Heater</v>
      </c>
      <c r="D372" s="25" t="s">
        <v>839</v>
      </c>
      <c r="E372" s="25" t="s">
        <v>838</v>
      </c>
      <c r="F372" s="25"/>
      <c r="G372" s="65"/>
      <c r="H372" s="25" t="s">
        <v>842</v>
      </c>
      <c r="I372" s="25"/>
      <c r="J372" s="26" t="s">
        <v>845</v>
      </c>
      <c r="K372" s="27" t="s">
        <v>462</v>
      </c>
      <c r="L372" s="28" t="s">
        <v>466</v>
      </c>
      <c r="M372" s="28" t="s">
        <v>777</v>
      </c>
      <c r="N372" s="25">
        <v>1</v>
      </c>
      <c r="O372" s="29">
        <v>78.887499999999989</v>
      </c>
      <c r="P372" s="29">
        <v>78.887499999999989</v>
      </c>
      <c r="Q372" s="25" t="s">
        <v>782</v>
      </c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136"/>
        <v>0</v>
      </c>
      <c r="AF372" s="32">
        <f t="shared" si="137"/>
        <v>78.887499999999989</v>
      </c>
      <c r="AG372" s="30"/>
      <c r="AH372" s="33"/>
      <c r="AI372" s="34">
        <f t="shared" si="138"/>
        <v>0</v>
      </c>
      <c r="AJ372" s="35"/>
      <c r="AK372" s="30"/>
      <c r="AL372" s="36">
        <f t="shared" si="139"/>
        <v>0</v>
      </c>
      <c r="AM372" s="35"/>
      <c r="AN372" s="30"/>
      <c r="AO372" s="36">
        <f t="shared" si="140"/>
        <v>0</v>
      </c>
      <c r="AP372" s="35"/>
      <c r="AQ372" s="30"/>
      <c r="AR372" s="36">
        <f t="shared" si="141"/>
        <v>0</v>
      </c>
      <c r="AS372" s="27"/>
      <c r="AT372" s="37"/>
      <c r="AU372" s="30"/>
      <c r="AV372" s="36">
        <f t="shared" si="142"/>
        <v>0</v>
      </c>
      <c r="AW372" s="35"/>
      <c r="AX372" s="30"/>
      <c r="AY372" s="32">
        <f t="shared" si="143"/>
        <v>0</v>
      </c>
      <c r="AZ372" s="30" t="s">
        <v>841</v>
      </c>
      <c r="BA372" s="63"/>
      <c r="BB372" s="71" t="e">
        <f>SUMIFS([1]Form!$F$9:$F$22,[1]Form!$K$9:$K$22,K372)</f>
        <v>#VALUE!</v>
      </c>
      <c r="BC372" s="71"/>
      <c r="BD372" s="71"/>
    </row>
    <row r="373" spans="1:56" x14ac:dyDescent="0.25">
      <c r="A373" s="24">
        <f>IF(B373="","",SUBTOTAL(3,$B$4:B373))</f>
        <v>370</v>
      </c>
      <c r="B373" s="25" t="s">
        <v>840</v>
      </c>
      <c r="C373" s="25" t="str">
        <f t="shared" si="144"/>
        <v>Shipment 1 B-10124 Fired Proces Heater</v>
      </c>
      <c r="D373" s="25" t="s">
        <v>839</v>
      </c>
      <c r="E373" s="25" t="s">
        <v>838</v>
      </c>
      <c r="F373" s="25"/>
      <c r="G373" s="65"/>
      <c r="H373" s="25" t="s">
        <v>842</v>
      </c>
      <c r="I373" s="25"/>
      <c r="J373" s="26" t="s">
        <v>845</v>
      </c>
      <c r="K373" s="27" t="s">
        <v>462</v>
      </c>
      <c r="L373" s="28" t="s">
        <v>467</v>
      </c>
      <c r="M373" s="28" t="s">
        <v>777</v>
      </c>
      <c r="N373" s="25">
        <v>1</v>
      </c>
      <c r="O373" s="29">
        <v>78.887499999999989</v>
      </c>
      <c r="P373" s="29">
        <v>78.887499999999989</v>
      </c>
      <c r="Q373" s="25" t="s">
        <v>782</v>
      </c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136"/>
        <v>0</v>
      </c>
      <c r="AF373" s="32">
        <f t="shared" si="137"/>
        <v>78.887499999999989</v>
      </c>
      <c r="AG373" s="30"/>
      <c r="AH373" s="33"/>
      <c r="AI373" s="34">
        <f t="shared" si="138"/>
        <v>0</v>
      </c>
      <c r="AJ373" s="35"/>
      <c r="AK373" s="30"/>
      <c r="AL373" s="36">
        <f t="shared" si="139"/>
        <v>0</v>
      </c>
      <c r="AM373" s="35"/>
      <c r="AN373" s="30"/>
      <c r="AO373" s="36">
        <f t="shared" si="140"/>
        <v>0</v>
      </c>
      <c r="AP373" s="35"/>
      <c r="AQ373" s="30"/>
      <c r="AR373" s="36">
        <f t="shared" si="141"/>
        <v>0</v>
      </c>
      <c r="AS373" s="27"/>
      <c r="AT373" s="37"/>
      <c r="AU373" s="30"/>
      <c r="AV373" s="36">
        <f t="shared" si="142"/>
        <v>0</v>
      </c>
      <c r="AW373" s="35"/>
      <c r="AX373" s="30"/>
      <c r="AY373" s="32">
        <f t="shared" si="143"/>
        <v>0</v>
      </c>
      <c r="AZ373" s="30" t="s">
        <v>841</v>
      </c>
      <c r="BA373" s="63"/>
      <c r="BB373" s="71" t="e">
        <f>SUMIFS([1]Form!$F$9:$F$22,[1]Form!$K$9:$K$22,K373)</f>
        <v>#VALUE!</v>
      </c>
      <c r="BC373" s="71"/>
      <c r="BD373" s="71"/>
    </row>
    <row r="374" spans="1:56" x14ac:dyDescent="0.25">
      <c r="A374" s="24">
        <f>IF(B374="","",SUBTOTAL(3,$B$4:B374))</f>
        <v>371</v>
      </c>
      <c r="B374" s="25" t="s">
        <v>840</v>
      </c>
      <c r="C374" s="25" t="str">
        <f t="shared" si="144"/>
        <v>Shipment 1 B-10124 Fired Proces Heater</v>
      </c>
      <c r="D374" s="25" t="s">
        <v>839</v>
      </c>
      <c r="E374" s="25" t="s">
        <v>838</v>
      </c>
      <c r="F374" s="25"/>
      <c r="G374" s="65"/>
      <c r="H374" s="25" t="s">
        <v>842</v>
      </c>
      <c r="I374" s="25"/>
      <c r="J374" s="26" t="s">
        <v>845</v>
      </c>
      <c r="K374" s="27" t="s">
        <v>462</v>
      </c>
      <c r="L374" s="28" t="s">
        <v>468</v>
      </c>
      <c r="M374" s="28" t="s">
        <v>777</v>
      </c>
      <c r="N374" s="25">
        <v>1</v>
      </c>
      <c r="O374" s="29">
        <v>78.887499999999989</v>
      </c>
      <c r="P374" s="29">
        <v>78.887499999999989</v>
      </c>
      <c r="Q374" s="25" t="s">
        <v>782</v>
      </c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136"/>
        <v>0</v>
      </c>
      <c r="AF374" s="32">
        <f t="shared" si="137"/>
        <v>78.887499999999989</v>
      </c>
      <c r="AG374" s="30"/>
      <c r="AH374" s="33"/>
      <c r="AI374" s="34">
        <f t="shared" si="138"/>
        <v>0</v>
      </c>
      <c r="AJ374" s="35"/>
      <c r="AK374" s="30"/>
      <c r="AL374" s="36">
        <f t="shared" si="139"/>
        <v>0</v>
      </c>
      <c r="AM374" s="35"/>
      <c r="AN374" s="30"/>
      <c r="AO374" s="36">
        <f t="shared" si="140"/>
        <v>0</v>
      </c>
      <c r="AP374" s="35"/>
      <c r="AQ374" s="30"/>
      <c r="AR374" s="36">
        <f t="shared" si="141"/>
        <v>0</v>
      </c>
      <c r="AS374" s="27"/>
      <c r="AT374" s="37"/>
      <c r="AU374" s="30"/>
      <c r="AV374" s="36">
        <f t="shared" si="142"/>
        <v>0</v>
      </c>
      <c r="AW374" s="35"/>
      <c r="AX374" s="30"/>
      <c r="AY374" s="32">
        <f t="shared" si="143"/>
        <v>0</v>
      </c>
      <c r="AZ374" s="30" t="s">
        <v>841</v>
      </c>
      <c r="BA374" s="63"/>
      <c r="BB374" s="71" t="e">
        <f>SUMIFS([1]Form!$F$9:$F$22,[1]Form!$K$9:$K$22,K374)</f>
        <v>#VALUE!</v>
      </c>
      <c r="BC374" s="71"/>
      <c r="BD374" s="71"/>
    </row>
    <row r="375" spans="1:56" x14ac:dyDescent="0.25">
      <c r="A375" s="24">
        <f>IF(B375="","",SUBTOTAL(3,$B$4:B375))</f>
        <v>372</v>
      </c>
      <c r="B375" s="25" t="s">
        <v>840</v>
      </c>
      <c r="C375" s="25" t="str">
        <f t="shared" si="144"/>
        <v>Shipment 1 B-10124 Fired Proces Heater</v>
      </c>
      <c r="D375" s="25" t="s">
        <v>839</v>
      </c>
      <c r="E375" s="25" t="s">
        <v>838</v>
      </c>
      <c r="F375" s="25"/>
      <c r="G375" s="65"/>
      <c r="H375" s="25" t="s">
        <v>842</v>
      </c>
      <c r="I375" s="25"/>
      <c r="J375" s="26" t="s">
        <v>845</v>
      </c>
      <c r="K375" s="27" t="s">
        <v>462</v>
      </c>
      <c r="L375" s="28" t="s">
        <v>469</v>
      </c>
      <c r="M375" s="28" t="s">
        <v>777</v>
      </c>
      <c r="N375" s="25">
        <v>1</v>
      </c>
      <c r="O375" s="29">
        <v>78.887499999999989</v>
      </c>
      <c r="P375" s="29">
        <v>78.887499999999989</v>
      </c>
      <c r="Q375" s="25" t="s">
        <v>782</v>
      </c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136"/>
        <v>0</v>
      </c>
      <c r="AF375" s="32">
        <f t="shared" si="137"/>
        <v>78.887499999999989</v>
      </c>
      <c r="AG375" s="30"/>
      <c r="AH375" s="33"/>
      <c r="AI375" s="34">
        <f t="shared" si="138"/>
        <v>0</v>
      </c>
      <c r="AJ375" s="35"/>
      <c r="AK375" s="30"/>
      <c r="AL375" s="36">
        <f t="shared" si="139"/>
        <v>0</v>
      </c>
      <c r="AM375" s="35"/>
      <c r="AN375" s="30"/>
      <c r="AO375" s="36">
        <f t="shared" si="140"/>
        <v>0</v>
      </c>
      <c r="AP375" s="35"/>
      <c r="AQ375" s="30"/>
      <c r="AR375" s="36">
        <f t="shared" si="141"/>
        <v>0</v>
      </c>
      <c r="AS375" s="27"/>
      <c r="AT375" s="37"/>
      <c r="AU375" s="30"/>
      <c r="AV375" s="36">
        <f t="shared" si="142"/>
        <v>0</v>
      </c>
      <c r="AW375" s="35"/>
      <c r="AX375" s="30"/>
      <c r="AY375" s="32">
        <f t="shared" si="143"/>
        <v>0</v>
      </c>
      <c r="AZ375" s="30" t="s">
        <v>841</v>
      </c>
      <c r="BA375" s="63"/>
      <c r="BB375" s="71" t="e">
        <f>SUMIFS([1]Form!$F$9:$F$22,[1]Form!$K$9:$K$22,K375)</f>
        <v>#VALUE!</v>
      </c>
      <c r="BC375" s="71"/>
      <c r="BD375" s="71"/>
    </row>
    <row r="376" spans="1:56" x14ac:dyDescent="0.25">
      <c r="A376" s="24">
        <f>IF(B376="","",SUBTOTAL(3,$B$4:B376))</f>
        <v>373</v>
      </c>
      <c r="B376" s="25" t="s">
        <v>840</v>
      </c>
      <c r="C376" s="25" t="str">
        <f t="shared" si="144"/>
        <v>Shipment 1 B-10124 Fired Proces Heater</v>
      </c>
      <c r="D376" s="25" t="s">
        <v>839</v>
      </c>
      <c r="E376" s="25" t="s">
        <v>838</v>
      </c>
      <c r="F376" s="25"/>
      <c r="G376" s="65"/>
      <c r="H376" s="25" t="s">
        <v>842</v>
      </c>
      <c r="I376" s="25"/>
      <c r="J376" s="26" t="s">
        <v>845</v>
      </c>
      <c r="K376" s="27" t="s">
        <v>462</v>
      </c>
      <c r="L376" s="28" t="s">
        <v>470</v>
      </c>
      <c r="M376" s="28" t="s">
        <v>777</v>
      </c>
      <c r="N376" s="25">
        <v>1</v>
      </c>
      <c r="O376" s="29">
        <v>78.887499999999989</v>
      </c>
      <c r="P376" s="29">
        <v>78.887499999999989</v>
      </c>
      <c r="Q376" s="25" t="s">
        <v>782</v>
      </c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136"/>
        <v>0</v>
      </c>
      <c r="AF376" s="32">
        <f t="shared" si="137"/>
        <v>78.887499999999989</v>
      </c>
      <c r="AG376" s="30"/>
      <c r="AH376" s="33"/>
      <c r="AI376" s="34">
        <f t="shared" si="138"/>
        <v>0</v>
      </c>
      <c r="AJ376" s="35"/>
      <c r="AK376" s="30"/>
      <c r="AL376" s="36">
        <f t="shared" si="139"/>
        <v>0</v>
      </c>
      <c r="AM376" s="35"/>
      <c r="AN376" s="30"/>
      <c r="AO376" s="36">
        <f t="shared" si="140"/>
        <v>0</v>
      </c>
      <c r="AP376" s="35"/>
      <c r="AQ376" s="30"/>
      <c r="AR376" s="36">
        <f t="shared" si="141"/>
        <v>0</v>
      </c>
      <c r="AS376" s="27"/>
      <c r="AT376" s="37"/>
      <c r="AU376" s="30"/>
      <c r="AV376" s="36">
        <f t="shared" si="142"/>
        <v>0</v>
      </c>
      <c r="AW376" s="35"/>
      <c r="AX376" s="30"/>
      <c r="AY376" s="32">
        <f t="shared" si="143"/>
        <v>0</v>
      </c>
      <c r="AZ376" s="30" t="s">
        <v>841</v>
      </c>
      <c r="BA376" s="63"/>
      <c r="BB376" s="71" t="e">
        <f>SUMIFS([1]Form!$F$9:$F$22,[1]Form!$K$9:$K$22,K376)</f>
        <v>#VALUE!</v>
      </c>
      <c r="BC376" s="71"/>
      <c r="BD376" s="71"/>
    </row>
    <row r="377" spans="1:56" x14ac:dyDescent="0.25">
      <c r="A377" s="24">
        <f>IF(B377="","",SUBTOTAL(3,$B$4:B377))</f>
        <v>374</v>
      </c>
      <c r="B377" s="25" t="s">
        <v>840</v>
      </c>
      <c r="C377" s="25" t="str">
        <f t="shared" si="144"/>
        <v>Shipment 1 B-10124 Fired Proces Heater</v>
      </c>
      <c r="D377" s="25" t="s">
        <v>839</v>
      </c>
      <c r="E377" s="25" t="s">
        <v>838</v>
      </c>
      <c r="F377" s="25"/>
      <c r="G377" s="65"/>
      <c r="H377" s="25" t="s">
        <v>842</v>
      </c>
      <c r="I377" s="25"/>
      <c r="J377" s="26" t="s">
        <v>845</v>
      </c>
      <c r="K377" s="27" t="s">
        <v>471</v>
      </c>
      <c r="L377" s="28" t="s">
        <v>472</v>
      </c>
      <c r="M377" s="28" t="s">
        <v>777</v>
      </c>
      <c r="N377" s="25">
        <v>1</v>
      </c>
      <c r="O377" s="29">
        <v>518.9</v>
      </c>
      <c r="P377" s="29">
        <v>518.9</v>
      </c>
      <c r="Q377" s="25" t="s">
        <v>783</v>
      </c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136"/>
        <v>0</v>
      </c>
      <c r="AF377" s="32">
        <f t="shared" si="137"/>
        <v>518.9</v>
      </c>
      <c r="AG377" s="30"/>
      <c r="AH377" s="33"/>
      <c r="AI377" s="34">
        <f t="shared" si="138"/>
        <v>0</v>
      </c>
      <c r="AJ377" s="35"/>
      <c r="AK377" s="30"/>
      <c r="AL377" s="36">
        <f t="shared" si="139"/>
        <v>0</v>
      </c>
      <c r="AM377" s="35"/>
      <c r="AN377" s="30"/>
      <c r="AO377" s="36">
        <f t="shared" si="140"/>
        <v>0</v>
      </c>
      <c r="AP377" s="35"/>
      <c r="AQ377" s="30"/>
      <c r="AR377" s="36">
        <f t="shared" si="141"/>
        <v>0</v>
      </c>
      <c r="AS377" s="27"/>
      <c r="AT377" s="37"/>
      <c r="AU377" s="30"/>
      <c r="AV377" s="36">
        <f t="shared" si="142"/>
        <v>0</v>
      </c>
      <c r="AW377" s="35"/>
      <c r="AX377" s="30"/>
      <c r="AY377" s="32">
        <f t="shared" si="143"/>
        <v>0</v>
      </c>
      <c r="AZ377" s="30" t="s">
        <v>841</v>
      </c>
      <c r="BA377" s="63"/>
      <c r="BB377" s="71" t="e">
        <f>SUMIFS([1]Form!$F$9:$F$22,[1]Form!$K$9:$K$22,K377)</f>
        <v>#VALUE!</v>
      </c>
      <c r="BC377" s="71"/>
      <c r="BD377" s="71"/>
    </row>
    <row r="378" spans="1:56" x14ac:dyDescent="0.25">
      <c r="A378" s="24">
        <f>IF(B378="","",SUBTOTAL(3,$B$4:B378))</f>
        <v>375</v>
      </c>
      <c r="B378" s="25" t="s">
        <v>840</v>
      </c>
      <c r="C378" s="25" t="str">
        <f t="shared" si="144"/>
        <v>Shipment 1 B-10124 Fired Proces Heater</v>
      </c>
      <c r="D378" s="25" t="s">
        <v>839</v>
      </c>
      <c r="E378" s="25" t="s">
        <v>838</v>
      </c>
      <c r="F378" s="25"/>
      <c r="G378" s="65"/>
      <c r="H378" s="25" t="s">
        <v>842</v>
      </c>
      <c r="I378" s="25"/>
      <c r="J378" s="26" t="s">
        <v>845</v>
      </c>
      <c r="K378" s="27" t="s">
        <v>471</v>
      </c>
      <c r="L378" s="28" t="s">
        <v>473</v>
      </c>
      <c r="M378" s="28" t="s">
        <v>777</v>
      </c>
      <c r="N378" s="25">
        <v>1</v>
      </c>
      <c r="O378" s="29">
        <v>518.9</v>
      </c>
      <c r="P378" s="29">
        <v>518.9</v>
      </c>
      <c r="Q378" s="25" t="s">
        <v>783</v>
      </c>
      <c r="R378" s="25"/>
      <c r="S378" s="26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ref="AE378:AE441" si="145">+AL378*0.5+AO378*0.4+AV378*0.1</f>
        <v>0</v>
      </c>
      <c r="AF378" s="32">
        <f t="shared" ref="AF378:AF441" si="146">+P378-AE378</f>
        <v>518.9</v>
      </c>
      <c r="AG378" s="30"/>
      <c r="AH378" s="33"/>
      <c r="AI378" s="34">
        <f t="shared" ref="AI378:AI441" si="147">+AH378*P378</f>
        <v>0</v>
      </c>
      <c r="AJ378" s="35"/>
      <c r="AK378" s="30"/>
      <c r="AL378" s="36">
        <f t="shared" ref="AL378:AL441" si="148">IFERROR(AK378*$P378/$N378,0)</f>
        <v>0</v>
      </c>
      <c r="AM378" s="35"/>
      <c r="AN378" s="30"/>
      <c r="AO378" s="36">
        <f t="shared" ref="AO378:AO441" si="149">IFERROR(AN378*$P378/$N378,0)</f>
        <v>0</v>
      </c>
      <c r="AP378" s="35"/>
      <c r="AQ378" s="30"/>
      <c r="AR378" s="36">
        <f t="shared" ref="AR378:AR441" si="150">IFERROR(AQ378*$P378/$N378,0)</f>
        <v>0</v>
      </c>
      <c r="AS378" s="27"/>
      <c r="AT378" s="37"/>
      <c r="AU378" s="30"/>
      <c r="AV378" s="36">
        <f t="shared" ref="AV378:AV441" si="151">IFERROR(AU378*$P378/$N378,0)</f>
        <v>0</v>
      </c>
      <c r="AW378" s="35"/>
      <c r="AX378" s="30"/>
      <c r="AY378" s="32">
        <f t="shared" ref="AY378:AY441" si="152">IFERROR(AX378*$P378/$N378,0)</f>
        <v>0</v>
      </c>
      <c r="AZ378" s="30" t="s">
        <v>841</v>
      </c>
      <c r="BA378" s="63"/>
      <c r="BB378" s="71" t="e">
        <f>SUMIFS([1]Form!$F$9:$F$22,[1]Form!$K$9:$K$22,K378)</f>
        <v>#VALUE!</v>
      </c>
      <c r="BC378" s="71"/>
      <c r="BD378" s="71"/>
    </row>
    <row r="379" spans="1:56" x14ac:dyDescent="0.25">
      <c r="A379" s="24">
        <f>IF(B379="","",SUBTOTAL(3,$B$4:B379))</f>
        <v>376</v>
      </c>
      <c r="B379" s="25" t="s">
        <v>840</v>
      </c>
      <c r="C379" s="25" t="str">
        <f t="shared" si="144"/>
        <v>Shipment 1 B-10124 Fired Proces Heater</v>
      </c>
      <c r="D379" s="25" t="s">
        <v>839</v>
      </c>
      <c r="E379" s="25" t="s">
        <v>838</v>
      </c>
      <c r="F379" s="25"/>
      <c r="G379" s="65"/>
      <c r="H379" s="25" t="s">
        <v>842</v>
      </c>
      <c r="I379" s="25"/>
      <c r="J379" s="26" t="s">
        <v>845</v>
      </c>
      <c r="K379" s="27" t="s">
        <v>474</v>
      </c>
      <c r="L379" s="28" t="s">
        <v>475</v>
      </c>
      <c r="M379" s="28" t="s">
        <v>777</v>
      </c>
      <c r="N379" s="25">
        <v>1</v>
      </c>
      <c r="O379" s="29">
        <v>637.4</v>
      </c>
      <c r="P379" s="29">
        <v>637.4</v>
      </c>
      <c r="Q379" s="25" t="s">
        <v>784</v>
      </c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145"/>
        <v>0</v>
      </c>
      <c r="AF379" s="32">
        <f t="shared" si="146"/>
        <v>637.4</v>
      </c>
      <c r="AG379" s="30"/>
      <c r="AH379" s="33"/>
      <c r="AI379" s="34">
        <f t="shared" si="147"/>
        <v>0</v>
      </c>
      <c r="AJ379" s="35"/>
      <c r="AK379" s="30"/>
      <c r="AL379" s="36">
        <f t="shared" si="148"/>
        <v>0</v>
      </c>
      <c r="AM379" s="35"/>
      <c r="AN379" s="30"/>
      <c r="AO379" s="36">
        <f t="shared" si="149"/>
        <v>0</v>
      </c>
      <c r="AP379" s="35"/>
      <c r="AQ379" s="30"/>
      <c r="AR379" s="36">
        <f t="shared" si="150"/>
        <v>0</v>
      </c>
      <c r="AS379" s="27"/>
      <c r="AT379" s="37"/>
      <c r="AU379" s="30"/>
      <c r="AV379" s="36">
        <f t="shared" si="151"/>
        <v>0</v>
      </c>
      <c r="AW379" s="35"/>
      <c r="AX379" s="30"/>
      <c r="AY379" s="32">
        <f t="shared" si="152"/>
        <v>0</v>
      </c>
      <c r="AZ379" s="30" t="s">
        <v>841</v>
      </c>
      <c r="BA379" s="63"/>
      <c r="BB379" s="71" t="e">
        <f>SUMIFS([1]Form!$F$9:$F$22,[1]Form!$K$9:$K$22,K379)</f>
        <v>#VALUE!</v>
      </c>
      <c r="BC379" s="71"/>
      <c r="BD379" s="71"/>
    </row>
    <row r="380" spans="1:56" x14ac:dyDescent="0.25">
      <c r="A380" s="24">
        <f>IF(B380="","",SUBTOTAL(3,$B$4:B380))</f>
        <v>377</v>
      </c>
      <c r="B380" s="25" t="s">
        <v>840</v>
      </c>
      <c r="C380" s="25" t="str">
        <f t="shared" si="144"/>
        <v>Shipment 1 B-10124 Fired Proces Heater</v>
      </c>
      <c r="D380" s="25" t="s">
        <v>839</v>
      </c>
      <c r="E380" s="25" t="s">
        <v>838</v>
      </c>
      <c r="F380" s="25"/>
      <c r="G380" s="65"/>
      <c r="H380" s="25" t="s">
        <v>842</v>
      </c>
      <c r="I380" s="25"/>
      <c r="J380" s="26" t="s">
        <v>845</v>
      </c>
      <c r="K380" s="27" t="s">
        <v>476</v>
      </c>
      <c r="L380" s="28" t="s">
        <v>477</v>
      </c>
      <c r="M380" s="28" t="s">
        <v>777</v>
      </c>
      <c r="N380" s="25">
        <v>1</v>
      </c>
      <c r="O380" s="29">
        <v>637.4</v>
      </c>
      <c r="P380" s="29">
        <v>637.4</v>
      </c>
      <c r="Q380" s="25" t="s">
        <v>784</v>
      </c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145"/>
        <v>0</v>
      </c>
      <c r="AF380" s="32">
        <f t="shared" si="146"/>
        <v>637.4</v>
      </c>
      <c r="AG380" s="30"/>
      <c r="AH380" s="33"/>
      <c r="AI380" s="34">
        <f t="shared" si="147"/>
        <v>0</v>
      </c>
      <c r="AJ380" s="35"/>
      <c r="AK380" s="30"/>
      <c r="AL380" s="36">
        <f t="shared" si="148"/>
        <v>0</v>
      </c>
      <c r="AM380" s="35"/>
      <c r="AN380" s="30"/>
      <c r="AO380" s="36">
        <f t="shared" si="149"/>
        <v>0</v>
      </c>
      <c r="AP380" s="35"/>
      <c r="AQ380" s="30"/>
      <c r="AR380" s="36">
        <f t="shared" si="150"/>
        <v>0</v>
      </c>
      <c r="AS380" s="27"/>
      <c r="AT380" s="37"/>
      <c r="AU380" s="30"/>
      <c r="AV380" s="36">
        <f t="shared" si="151"/>
        <v>0</v>
      </c>
      <c r="AW380" s="35"/>
      <c r="AX380" s="30"/>
      <c r="AY380" s="32">
        <f t="shared" si="152"/>
        <v>0</v>
      </c>
      <c r="AZ380" s="30" t="s">
        <v>841</v>
      </c>
      <c r="BA380" s="63"/>
      <c r="BB380" s="71" t="e">
        <f>SUMIFS([1]Form!$F$9:$F$22,[1]Form!$K$9:$K$22,K380)</f>
        <v>#VALUE!</v>
      </c>
      <c r="BC380" s="71"/>
      <c r="BD380" s="71"/>
    </row>
    <row r="381" spans="1:56" x14ac:dyDescent="0.25">
      <c r="A381" s="24">
        <f>IF(B381="","",SUBTOTAL(3,$B$4:B381))</f>
        <v>378</v>
      </c>
      <c r="B381" s="25" t="s">
        <v>840</v>
      </c>
      <c r="C381" s="25" t="str">
        <f t="shared" si="144"/>
        <v>Shipment 1 B-10124 Fired Proces Heater</v>
      </c>
      <c r="D381" s="25" t="s">
        <v>839</v>
      </c>
      <c r="E381" s="25" t="s">
        <v>838</v>
      </c>
      <c r="F381" s="25"/>
      <c r="G381" s="65"/>
      <c r="H381" s="25" t="s">
        <v>842</v>
      </c>
      <c r="I381" s="25"/>
      <c r="J381" s="26" t="s">
        <v>845</v>
      </c>
      <c r="K381" s="27" t="s">
        <v>478</v>
      </c>
      <c r="L381" s="28" t="s">
        <v>479</v>
      </c>
      <c r="M381" s="28" t="s">
        <v>777</v>
      </c>
      <c r="N381" s="25">
        <v>1</v>
      </c>
      <c r="O381" s="29">
        <v>637.4</v>
      </c>
      <c r="P381" s="29">
        <v>637.4</v>
      </c>
      <c r="Q381" s="25" t="s">
        <v>784</v>
      </c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145"/>
        <v>0</v>
      </c>
      <c r="AF381" s="32">
        <f t="shared" si="146"/>
        <v>637.4</v>
      </c>
      <c r="AG381" s="30"/>
      <c r="AH381" s="33"/>
      <c r="AI381" s="34">
        <f t="shared" si="147"/>
        <v>0</v>
      </c>
      <c r="AJ381" s="35"/>
      <c r="AK381" s="30"/>
      <c r="AL381" s="36">
        <f t="shared" si="148"/>
        <v>0</v>
      </c>
      <c r="AM381" s="35"/>
      <c r="AN381" s="30"/>
      <c r="AO381" s="36">
        <f t="shared" si="149"/>
        <v>0</v>
      </c>
      <c r="AP381" s="35"/>
      <c r="AQ381" s="30"/>
      <c r="AR381" s="36">
        <f t="shared" si="150"/>
        <v>0</v>
      </c>
      <c r="AS381" s="27"/>
      <c r="AT381" s="37"/>
      <c r="AU381" s="30"/>
      <c r="AV381" s="36">
        <f t="shared" si="151"/>
        <v>0</v>
      </c>
      <c r="AW381" s="35"/>
      <c r="AX381" s="30"/>
      <c r="AY381" s="32">
        <f t="shared" si="152"/>
        <v>0</v>
      </c>
      <c r="AZ381" s="30" t="s">
        <v>841</v>
      </c>
      <c r="BA381" s="63"/>
      <c r="BB381" s="71" t="e">
        <f>SUMIFS([1]Form!$F$9:$F$22,[1]Form!$K$9:$K$22,K381)</f>
        <v>#VALUE!</v>
      </c>
      <c r="BC381" s="71"/>
      <c r="BD381" s="71"/>
    </row>
    <row r="382" spans="1:56" x14ac:dyDescent="0.25">
      <c r="A382" s="24">
        <f>IF(B382="","",SUBTOTAL(3,$B$4:B382))</f>
        <v>379</v>
      </c>
      <c r="B382" s="25" t="s">
        <v>840</v>
      </c>
      <c r="C382" s="25" t="str">
        <f t="shared" si="144"/>
        <v>Shipment 1 B-10124 Fired Proces Heater</v>
      </c>
      <c r="D382" s="25" t="s">
        <v>839</v>
      </c>
      <c r="E382" s="25" t="s">
        <v>838</v>
      </c>
      <c r="F382" s="25"/>
      <c r="G382" s="65"/>
      <c r="H382" s="25" t="s">
        <v>842</v>
      </c>
      <c r="I382" s="25"/>
      <c r="J382" s="26" t="s">
        <v>845</v>
      </c>
      <c r="K382" s="27" t="s">
        <v>480</v>
      </c>
      <c r="L382" s="28" t="s">
        <v>481</v>
      </c>
      <c r="M382" s="28" t="s">
        <v>777</v>
      </c>
      <c r="N382" s="25">
        <v>1</v>
      </c>
      <c r="O382" s="29">
        <v>637.4</v>
      </c>
      <c r="P382" s="29">
        <v>637.4</v>
      </c>
      <c r="Q382" s="25" t="s">
        <v>784</v>
      </c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145"/>
        <v>0</v>
      </c>
      <c r="AF382" s="32">
        <f t="shared" si="146"/>
        <v>637.4</v>
      </c>
      <c r="AG382" s="30"/>
      <c r="AH382" s="33"/>
      <c r="AI382" s="34">
        <f t="shared" si="147"/>
        <v>0</v>
      </c>
      <c r="AJ382" s="35"/>
      <c r="AK382" s="30"/>
      <c r="AL382" s="36">
        <f t="shared" si="148"/>
        <v>0</v>
      </c>
      <c r="AM382" s="35"/>
      <c r="AN382" s="30"/>
      <c r="AO382" s="36">
        <f t="shared" si="149"/>
        <v>0</v>
      </c>
      <c r="AP382" s="35"/>
      <c r="AQ382" s="30"/>
      <c r="AR382" s="36">
        <f t="shared" si="150"/>
        <v>0</v>
      </c>
      <c r="AS382" s="27"/>
      <c r="AT382" s="37"/>
      <c r="AU382" s="30"/>
      <c r="AV382" s="36">
        <f t="shared" si="151"/>
        <v>0</v>
      </c>
      <c r="AW382" s="35"/>
      <c r="AX382" s="30"/>
      <c r="AY382" s="32">
        <f t="shared" si="152"/>
        <v>0</v>
      </c>
      <c r="AZ382" s="30" t="s">
        <v>841</v>
      </c>
      <c r="BA382" s="63"/>
      <c r="BB382" s="71" t="e">
        <f>SUMIFS([1]Form!$F$9:$F$22,[1]Form!$K$9:$K$22,K382)</f>
        <v>#VALUE!</v>
      </c>
      <c r="BC382" s="71"/>
      <c r="BD382" s="71"/>
    </row>
    <row r="383" spans="1:56" x14ac:dyDescent="0.25">
      <c r="A383" s="24">
        <f>IF(B383="","",SUBTOTAL(3,$B$4:B383))</f>
        <v>380</v>
      </c>
      <c r="B383" s="25" t="s">
        <v>840</v>
      </c>
      <c r="C383" s="25" t="str">
        <f t="shared" si="144"/>
        <v>Shipment 1 B-10124 Fired Proces Heater</v>
      </c>
      <c r="D383" s="25" t="s">
        <v>839</v>
      </c>
      <c r="E383" s="25" t="s">
        <v>838</v>
      </c>
      <c r="F383" s="25"/>
      <c r="G383" s="65"/>
      <c r="H383" s="25" t="s">
        <v>842</v>
      </c>
      <c r="I383" s="25"/>
      <c r="J383" s="26" t="s">
        <v>845</v>
      </c>
      <c r="K383" s="27" t="s">
        <v>482</v>
      </c>
      <c r="L383" s="28" t="s">
        <v>483</v>
      </c>
      <c r="M383" s="28" t="s">
        <v>777</v>
      </c>
      <c r="N383" s="25">
        <v>1</v>
      </c>
      <c r="O383" s="29">
        <v>138.6</v>
      </c>
      <c r="P383" s="29">
        <v>138.6</v>
      </c>
      <c r="Q383" s="25" t="s">
        <v>785</v>
      </c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145"/>
        <v>0</v>
      </c>
      <c r="AF383" s="32">
        <f t="shared" si="146"/>
        <v>138.6</v>
      </c>
      <c r="AG383" s="30"/>
      <c r="AH383" s="33"/>
      <c r="AI383" s="34">
        <f t="shared" si="147"/>
        <v>0</v>
      </c>
      <c r="AJ383" s="35"/>
      <c r="AK383" s="30"/>
      <c r="AL383" s="36">
        <f t="shared" si="148"/>
        <v>0</v>
      </c>
      <c r="AM383" s="35"/>
      <c r="AN383" s="30"/>
      <c r="AO383" s="36">
        <f t="shared" si="149"/>
        <v>0</v>
      </c>
      <c r="AP383" s="35"/>
      <c r="AQ383" s="30"/>
      <c r="AR383" s="36">
        <f t="shared" si="150"/>
        <v>0</v>
      </c>
      <c r="AS383" s="27"/>
      <c r="AT383" s="37"/>
      <c r="AU383" s="30"/>
      <c r="AV383" s="36">
        <f t="shared" si="151"/>
        <v>0</v>
      </c>
      <c r="AW383" s="35"/>
      <c r="AX383" s="30"/>
      <c r="AY383" s="32">
        <f t="shared" si="152"/>
        <v>0</v>
      </c>
      <c r="AZ383" s="30" t="s">
        <v>841</v>
      </c>
      <c r="BA383" s="63"/>
      <c r="BB383" s="71" t="e">
        <f>SUMIFS([1]Form!$F$9:$F$22,[1]Form!$K$9:$K$22,K383)</f>
        <v>#VALUE!</v>
      </c>
      <c r="BC383" s="71"/>
      <c r="BD383" s="71"/>
    </row>
    <row r="384" spans="1:56" x14ac:dyDescent="0.25">
      <c r="A384" s="24">
        <f>IF(B384="","",SUBTOTAL(3,$B$4:B384))</f>
        <v>381</v>
      </c>
      <c r="B384" s="25" t="s">
        <v>840</v>
      </c>
      <c r="C384" s="25" t="str">
        <f t="shared" si="144"/>
        <v>Shipment 1 B-10124 Fired Proces Heater</v>
      </c>
      <c r="D384" s="25" t="s">
        <v>839</v>
      </c>
      <c r="E384" s="25" t="s">
        <v>838</v>
      </c>
      <c r="F384" s="25"/>
      <c r="G384" s="65"/>
      <c r="H384" s="25" t="s">
        <v>842</v>
      </c>
      <c r="I384" s="25"/>
      <c r="J384" s="26" t="s">
        <v>845</v>
      </c>
      <c r="K384" s="27" t="s">
        <v>482</v>
      </c>
      <c r="L384" s="28" t="s">
        <v>484</v>
      </c>
      <c r="M384" s="28" t="s">
        <v>777</v>
      </c>
      <c r="N384" s="25">
        <v>1</v>
      </c>
      <c r="O384" s="29">
        <v>138.6</v>
      </c>
      <c r="P384" s="29">
        <v>138.6</v>
      </c>
      <c r="Q384" s="25" t="s">
        <v>785</v>
      </c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145"/>
        <v>0</v>
      </c>
      <c r="AF384" s="32">
        <f t="shared" si="146"/>
        <v>138.6</v>
      </c>
      <c r="AG384" s="30"/>
      <c r="AH384" s="33"/>
      <c r="AI384" s="34">
        <f t="shared" si="147"/>
        <v>0</v>
      </c>
      <c r="AJ384" s="35"/>
      <c r="AK384" s="30"/>
      <c r="AL384" s="36">
        <f t="shared" si="148"/>
        <v>0</v>
      </c>
      <c r="AM384" s="35"/>
      <c r="AN384" s="30"/>
      <c r="AO384" s="36">
        <f t="shared" si="149"/>
        <v>0</v>
      </c>
      <c r="AP384" s="35"/>
      <c r="AQ384" s="30"/>
      <c r="AR384" s="36">
        <f t="shared" si="150"/>
        <v>0</v>
      </c>
      <c r="AS384" s="27"/>
      <c r="AT384" s="37"/>
      <c r="AU384" s="30"/>
      <c r="AV384" s="36">
        <f t="shared" si="151"/>
        <v>0</v>
      </c>
      <c r="AW384" s="35"/>
      <c r="AX384" s="30"/>
      <c r="AY384" s="32">
        <f t="shared" si="152"/>
        <v>0</v>
      </c>
      <c r="AZ384" s="30" t="s">
        <v>841</v>
      </c>
      <c r="BA384" s="63"/>
      <c r="BB384" s="71" t="e">
        <f>SUMIFS([1]Form!$F$9:$F$22,[1]Form!$K$9:$K$22,K384)</f>
        <v>#VALUE!</v>
      </c>
      <c r="BC384" s="71"/>
      <c r="BD384" s="71"/>
    </row>
    <row r="385" spans="1:56" x14ac:dyDescent="0.25">
      <c r="A385" s="24">
        <f>IF(B385="","",SUBTOTAL(3,$B$4:B385))</f>
        <v>382</v>
      </c>
      <c r="B385" s="25" t="s">
        <v>840</v>
      </c>
      <c r="C385" s="25" t="str">
        <f t="shared" si="144"/>
        <v>Shipment 1 B-10124 Fired Proces Heater</v>
      </c>
      <c r="D385" s="25" t="s">
        <v>839</v>
      </c>
      <c r="E385" s="25" t="s">
        <v>838</v>
      </c>
      <c r="F385" s="25"/>
      <c r="G385" s="65"/>
      <c r="H385" s="25" t="s">
        <v>842</v>
      </c>
      <c r="I385" s="25"/>
      <c r="J385" s="26" t="s">
        <v>845</v>
      </c>
      <c r="K385" s="27" t="s">
        <v>485</v>
      </c>
      <c r="L385" s="28" t="s">
        <v>486</v>
      </c>
      <c r="M385" s="28" t="s">
        <v>777</v>
      </c>
      <c r="N385" s="25">
        <v>1</v>
      </c>
      <c r="O385" s="29">
        <v>12</v>
      </c>
      <c r="P385" s="29">
        <v>12</v>
      </c>
      <c r="Q385" s="25" t="s">
        <v>786</v>
      </c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145"/>
        <v>0</v>
      </c>
      <c r="AF385" s="32">
        <f t="shared" si="146"/>
        <v>12</v>
      </c>
      <c r="AG385" s="30"/>
      <c r="AH385" s="33"/>
      <c r="AI385" s="34">
        <f t="shared" si="147"/>
        <v>0</v>
      </c>
      <c r="AJ385" s="35"/>
      <c r="AK385" s="30"/>
      <c r="AL385" s="36">
        <f t="shared" si="148"/>
        <v>0</v>
      </c>
      <c r="AM385" s="35"/>
      <c r="AN385" s="30"/>
      <c r="AO385" s="36">
        <f t="shared" si="149"/>
        <v>0</v>
      </c>
      <c r="AP385" s="35"/>
      <c r="AQ385" s="30"/>
      <c r="AR385" s="36">
        <f t="shared" si="150"/>
        <v>0</v>
      </c>
      <c r="AS385" s="27"/>
      <c r="AT385" s="37"/>
      <c r="AU385" s="30"/>
      <c r="AV385" s="36">
        <f t="shared" si="151"/>
        <v>0</v>
      </c>
      <c r="AW385" s="35"/>
      <c r="AX385" s="30"/>
      <c r="AY385" s="32">
        <f t="shared" si="152"/>
        <v>0</v>
      </c>
      <c r="AZ385" s="30" t="s">
        <v>841</v>
      </c>
      <c r="BA385" s="63"/>
      <c r="BB385" s="71" t="e">
        <f>SUMIFS([1]Form!$F$9:$F$22,[1]Form!$K$9:$K$22,K385)</f>
        <v>#VALUE!</v>
      </c>
      <c r="BC385" s="71"/>
      <c r="BD385" s="71"/>
    </row>
    <row r="386" spans="1:56" x14ac:dyDescent="0.25">
      <c r="A386" s="24">
        <f>IF(B386="","",SUBTOTAL(3,$B$4:B386))</f>
        <v>383</v>
      </c>
      <c r="B386" s="25" t="s">
        <v>840</v>
      </c>
      <c r="C386" s="25" t="str">
        <f t="shared" si="144"/>
        <v>Shipment 1 B-10124 Fired Proces Heater</v>
      </c>
      <c r="D386" s="25" t="s">
        <v>839</v>
      </c>
      <c r="E386" s="25" t="s">
        <v>838</v>
      </c>
      <c r="F386" s="25"/>
      <c r="G386" s="65"/>
      <c r="H386" s="25" t="s">
        <v>842</v>
      </c>
      <c r="I386" s="25"/>
      <c r="J386" s="26" t="s">
        <v>845</v>
      </c>
      <c r="K386" s="27" t="s">
        <v>487</v>
      </c>
      <c r="L386" s="28" t="s">
        <v>488</v>
      </c>
      <c r="M386" s="28" t="s">
        <v>777</v>
      </c>
      <c r="N386" s="25">
        <v>1</v>
      </c>
      <c r="O386" s="29">
        <v>12</v>
      </c>
      <c r="P386" s="29">
        <v>12</v>
      </c>
      <c r="Q386" s="25" t="s">
        <v>786</v>
      </c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145"/>
        <v>0</v>
      </c>
      <c r="AF386" s="32">
        <f t="shared" si="146"/>
        <v>12</v>
      </c>
      <c r="AG386" s="30"/>
      <c r="AH386" s="33"/>
      <c r="AI386" s="34">
        <f t="shared" si="147"/>
        <v>0</v>
      </c>
      <c r="AJ386" s="35"/>
      <c r="AK386" s="30"/>
      <c r="AL386" s="36">
        <f t="shared" si="148"/>
        <v>0</v>
      </c>
      <c r="AM386" s="35"/>
      <c r="AN386" s="30"/>
      <c r="AO386" s="36">
        <f t="shared" si="149"/>
        <v>0</v>
      </c>
      <c r="AP386" s="35"/>
      <c r="AQ386" s="30"/>
      <c r="AR386" s="36">
        <f t="shared" si="150"/>
        <v>0</v>
      </c>
      <c r="AS386" s="27"/>
      <c r="AT386" s="37"/>
      <c r="AU386" s="30"/>
      <c r="AV386" s="36">
        <f t="shared" si="151"/>
        <v>0</v>
      </c>
      <c r="AW386" s="35"/>
      <c r="AX386" s="30"/>
      <c r="AY386" s="32">
        <f t="shared" si="152"/>
        <v>0</v>
      </c>
      <c r="AZ386" s="30" t="s">
        <v>841</v>
      </c>
      <c r="BA386" s="63"/>
      <c r="BB386" s="71" t="e">
        <f>SUMIFS([1]Form!$F$9:$F$22,[1]Form!$K$9:$K$22,K386)</f>
        <v>#VALUE!</v>
      </c>
      <c r="BC386" s="71"/>
      <c r="BD386" s="71"/>
    </row>
    <row r="387" spans="1:56" x14ac:dyDescent="0.25">
      <c r="A387" s="24">
        <f>IF(B387="","",SUBTOTAL(3,$B$4:B387))</f>
        <v>384</v>
      </c>
      <c r="B387" s="25" t="s">
        <v>840</v>
      </c>
      <c r="C387" s="25" t="str">
        <f t="shared" si="144"/>
        <v>Shipment 1 B-10124 Fired Proces Heater</v>
      </c>
      <c r="D387" s="25" t="s">
        <v>839</v>
      </c>
      <c r="E387" s="25" t="s">
        <v>838</v>
      </c>
      <c r="F387" s="25"/>
      <c r="G387" s="65"/>
      <c r="H387" s="25" t="s">
        <v>842</v>
      </c>
      <c r="I387" s="25"/>
      <c r="J387" s="26" t="s">
        <v>845</v>
      </c>
      <c r="K387" s="27" t="s">
        <v>487</v>
      </c>
      <c r="L387" s="28" t="s">
        <v>489</v>
      </c>
      <c r="M387" s="28" t="s">
        <v>777</v>
      </c>
      <c r="N387" s="25">
        <v>1</v>
      </c>
      <c r="O387" s="29">
        <v>12</v>
      </c>
      <c r="P387" s="29">
        <v>12</v>
      </c>
      <c r="Q387" s="25" t="s">
        <v>786</v>
      </c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145"/>
        <v>0</v>
      </c>
      <c r="AF387" s="32">
        <f t="shared" si="146"/>
        <v>12</v>
      </c>
      <c r="AG387" s="30"/>
      <c r="AH387" s="33"/>
      <c r="AI387" s="34">
        <f t="shared" si="147"/>
        <v>0</v>
      </c>
      <c r="AJ387" s="35"/>
      <c r="AK387" s="30"/>
      <c r="AL387" s="36">
        <f t="shared" si="148"/>
        <v>0</v>
      </c>
      <c r="AM387" s="35"/>
      <c r="AN387" s="30"/>
      <c r="AO387" s="36">
        <f t="shared" si="149"/>
        <v>0</v>
      </c>
      <c r="AP387" s="35"/>
      <c r="AQ387" s="30"/>
      <c r="AR387" s="36">
        <f t="shared" si="150"/>
        <v>0</v>
      </c>
      <c r="AS387" s="27"/>
      <c r="AT387" s="37"/>
      <c r="AU387" s="30"/>
      <c r="AV387" s="36">
        <f t="shared" si="151"/>
        <v>0</v>
      </c>
      <c r="AW387" s="35"/>
      <c r="AX387" s="30"/>
      <c r="AY387" s="32">
        <f t="shared" si="152"/>
        <v>0</v>
      </c>
      <c r="AZ387" s="30" t="s">
        <v>841</v>
      </c>
      <c r="BA387" s="63"/>
      <c r="BB387" s="71" t="e">
        <f>SUMIFS([1]Form!$F$9:$F$22,[1]Form!$K$9:$K$22,K387)</f>
        <v>#VALUE!</v>
      </c>
      <c r="BC387" s="71"/>
      <c r="BD387" s="71"/>
    </row>
    <row r="388" spans="1:56" x14ac:dyDescent="0.25">
      <c r="A388" s="24">
        <f>IF(B388="","",SUBTOTAL(3,$B$4:B388))</f>
        <v>385</v>
      </c>
      <c r="B388" s="25" t="s">
        <v>840</v>
      </c>
      <c r="C388" s="25" t="str">
        <f t="shared" si="144"/>
        <v>Shipment 1 B-10124 Fired Proces Heater</v>
      </c>
      <c r="D388" s="25" t="s">
        <v>839</v>
      </c>
      <c r="E388" s="25" t="s">
        <v>838</v>
      </c>
      <c r="F388" s="25"/>
      <c r="G388" s="65"/>
      <c r="H388" s="25" t="s">
        <v>842</v>
      </c>
      <c r="I388" s="25"/>
      <c r="J388" s="26" t="s">
        <v>845</v>
      </c>
      <c r="K388" s="27" t="s">
        <v>490</v>
      </c>
      <c r="L388" s="28" t="s">
        <v>491</v>
      </c>
      <c r="M388" s="28" t="s">
        <v>777</v>
      </c>
      <c r="N388" s="25">
        <v>1</v>
      </c>
      <c r="O388" s="29">
        <v>47.5</v>
      </c>
      <c r="P388" s="29">
        <v>47.5</v>
      </c>
      <c r="Q388" s="25" t="s">
        <v>787</v>
      </c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145"/>
        <v>0</v>
      </c>
      <c r="AF388" s="32">
        <f t="shared" si="146"/>
        <v>47.5</v>
      </c>
      <c r="AG388" s="30"/>
      <c r="AH388" s="33"/>
      <c r="AI388" s="34">
        <f t="shared" si="147"/>
        <v>0</v>
      </c>
      <c r="AJ388" s="35"/>
      <c r="AK388" s="30"/>
      <c r="AL388" s="36">
        <f t="shared" si="148"/>
        <v>0</v>
      </c>
      <c r="AM388" s="35"/>
      <c r="AN388" s="30"/>
      <c r="AO388" s="36">
        <f t="shared" si="149"/>
        <v>0</v>
      </c>
      <c r="AP388" s="35"/>
      <c r="AQ388" s="30"/>
      <c r="AR388" s="36">
        <f t="shared" si="150"/>
        <v>0</v>
      </c>
      <c r="AS388" s="27"/>
      <c r="AT388" s="37"/>
      <c r="AU388" s="30"/>
      <c r="AV388" s="36">
        <f t="shared" si="151"/>
        <v>0</v>
      </c>
      <c r="AW388" s="35"/>
      <c r="AX388" s="30"/>
      <c r="AY388" s="32">
        <f t="shared" si="152"/>
        <v>0</v>
      </c>
      <c r="AZ388" s="30" t="s">
        <v>841</v>
      </c>
      <c r="BA388" s="63"/>
      <c r="BB388" s="71" t="e">
        <f>SUMIFS([1]Form!$F$9:$F$22,[1]Form!$K$9:$K$22,K388)</f>
        <v>#VALUE!</v>
      </c>
      <c r="BC388" s="71"/>
      <c r="BD388" s="71"/>
    </row>
    <row r="389" spans="1:56" x14ac:dyDescent="0.25">
      <c r="A389" s="24">
        <f>IF(B389="","",SUBTOTAL(3,$B$4:B389))</f>
        <v>386</v>
      </c>
      <c r="B389" s="25" t="s">
        <v>840</v>
      </c>
      <c r="C389" s="25" t="str">
        <f t="shared" si="144"/>
        <v>Shipment 1 B-10124 Fired Proces Heater</v>
      </c>
      <c r="D389" s="25" t="s">
        <v>839</v>
      </c>
      <c r="E389" s="25" t="s">
        <v>838</v>
      </c>
      <c r="F389" s="25"/>
      <c r="G389" s="65"/>
      <c r="H389" s="25" t="s">
        <v>842</v>
      </c>
      <c r="I389" s="25"/>
      <c r="J389" s="26" t="s">
        <v>845</v>
      </c>
      <c r="K389" s="27" t="s">
        <v>492</v>
      </c>
      <c r="L389" s="28" t="s">
        <v>493</v>
      </c>
      <c r="M389" s="28" t="s">
        <v>777</v>
      </c>
      <c r="N389" s="25">
        <v>1</v>
      </c>
      <c r="O389" s="29">
        <v>47.5</v>
      </c>
      <c r="P389" s="29">
        <v>47.5</v>
      </c>
      <c r="Q389" s="25" t="s">
        <v>787</v>
      </c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145"/>
        <v>0</v>
      </c>
      <c r="AF389" s="32">
        <f t="shared" si="146"/>
        <v>47.5</v>
      </c>
      <c r="AG389" s="30"/>
      <c r="AH389" s="33"/>
      <c r="AI389" s="34">
        <f t="shared" si="147"/>
        <v>0</v>
      </c>
      <c r="AJ389" s="35"/>
      <c r="AK389" s="30"/>
      <c r="AL389" s="36">
        <f t="shared" si="148"/>
        <v>0</v>
      </c>
      <c r="AM389" s="35"/>
      <c r="AN389" s="30"/>
      <c r="AO389" s="36">
        <f t="shared" si="149"/>
        <v>0</v>
      </c>
      <c r="AP389" s="35"/>
      <c r="AQ389" s="30"/>
      <c r="AR389" s="36">
        <f t="shared" si="150"/>
        <v>0</v>
      </c>
      <c r="AS389" s="27"/>
      <c r="AT389" s="37"/>
      <c r="AU389" s="30"/>
      <c r="AV389" s="36">
        <f t="shared" si="151"/>
        <v>0</v>
      </c>
      <c r="AW389" s="35"/>
      <c r="AX389" s="30"/>
      <c r="AY389" s="32">
        <f t="shared" si="152"/>
        <v>0</v>
      </c>
      <c r="AZ389" s="30" t="s">
        <v>841</v>
      </c>
      <c r="BA389" s="63"/>
      <c r="BB389" s="71" t="e">
        <f>SUMIFS([1]Form!$F$9:$F$22,[1]Form!$K$9:$K$22,K389)</f>
        <v>#VALUE!</v>
      </c>
      <c r="BC389" s="71"/>
      <c r="BD389" s="71"/>
    </row>
    <row r="390" spans="1:56" x14ac:dyDescent="0.25">
      <c r="A390" s="24">
        <f>IF(B390="","",SUBTOTAL(3,$B$4:B390))</f>
        <v>387</v>
      </c>
      <c r="B390" s="25" t="s">
        <v>840</v>
      </c>
      <c r="C390" s="25" t="str">
        <f t="shared" si="144"/>
        <v>Shipment 1 B-10124 Fired Proces Heater</v>
      </c>
      <c r="D390" s="25" t="s">
        <v>839</v>
      </c>
      <c r="E390" s="25" t="s">
        <v>838</v>
      </c>
      <c r="F390" s="25"/>
      <c r="G390" s="65"/>
      <c r="H390" s="25" t="s">
        <v>842</v>
      </c>
      <c r="I390" s="25"/>
      <c r="J390" s="26" t="s">
        <v>845</v>
      </c>
      <c r="K390" s="27" t="s">
        <v>494</v>
      </c>
      <c r="L390" s="28" t="s">
        <v>495</v>
      </c>
      <c r="M390" s="28" t="s">
        <v>777</v>
      </c>
      <c r="N390" s="25">
        <v>1</v>
      </c>
      <c r="O390" s="29">
        <v>47.5</v>
      </c>
      <c r="P390" s="29">
        <v>47.5</v>
      </c>
      <c r="Q390" s="25" t="s">
        <v>787</v>
      </c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145"/>
        <v>0</v>
      </c>
      <c r="AF390" s="32">
        <f t="shared" si="146"/>
        <v>47.5</v>
      </c>
      <c r="AG390" s="30"/>
      <c r="AH390" s="33"/>
      <c r="AI390" s="34">
        <f t="shared" si="147"/>
        <v>0</v>
      </c>
      <c r="AJ390" s="35"/>
      <c r="AK390" s="30"/>
      <c r="AL390" s="36">
        <f t="shared" si="148"/>
        <v>0</v>
      </c>
      <c r="AM390" s="35"/>
      <c r="AN390" s="30"/>
      <c r="AO390" s="36">
        <f t="shared" si="149"/>
        <v>0</v>
      </c>
      <c r="AP390" s="35"/>
      <c r="AQ390" s="30"/>
      <c r="AR390" s="36">
        <f t="shared" si="150"/>
        <v>0</v>
      </c>
      <c r="AS390" s="27"/>
      <c r="AT390" s="37"/>
      <c r="AU390" s="30"/>
      <c r="AV390" s="36">
        <f t="shared" si="151"/>
        <v>0</v>
      </c>
      <c r="AW390" s="35"/>
      <c r="AX390" s="30"/>
      <c r="AY390" s="32">
        <f t="shared" si="152"/>
        <v>0</v>
      </c>
      <c r="AZ390" s="30" t="s">
        <v>841</v>
      </c>
      <c r="BA390" s="63"/>
      <c r="BB390" s="71" t="e">
        <f>SUMIFS([1]Form!$F$9:$F$22,[1]Form!$K$9:$K$22,K390)</f>
        <v>#VALUE!</v>
      </c>
      <c r="BC390" s="71"/>
      <c r="BD390" s="71"/>
    </row>
    <row r="391" spans="1:56" x14ac:dyDescent="0.25">
      <c r="A391" s="24">
        <f>IF(B391="","",SUBTOTAL(3,$B$4:B391))</f>
        <v>388</v>
      </c>
      <c r="B391" s="25" t="s">
        <v>840</v>
      </c>
      <c r="C391" s="25" t="str">
        <f t="shared" si="144"/>
        <v>Shipment 1 B-10124 Fired Proces Heater</v>
      </c>
      <c r="D391" s="25" t="s">
        <v>839</v>
      </c>
      <c r="E391" s="25" t="s">
        <v>838</v>
      </c>
      <c r="F391" s="25"/>
      <c r="G391" s="65"/>
      <c r="H391" s="25" t="s">
        <v>842</v>
      </c>
      <c r="I391" s="25"/>
      <c r="J391" s="26" t="s">
        <v>845</v>
      </c>
      <c r="K391" s="27" t="s">
        <v>496</v>
      </c>
      <c r="L391" s="28" t="s">
        <v>497</v>
      </c>
      <c r="M391" s="28" t="s">
        <v>777</v>
      </c>
      <c r="N391" s="25">
        <v>1</v>
      </c>
      <c r="O391" s="29">
        <v>47.5</v>
      </c>
      <c r="P391" s="29">
        <v>47.5</v>
      </c>
      <c r="Q391" s="25" t="s">
        <v>787</v>
      </c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145"/>
        <v>0</v>
      </c>
      <c r="AF391" s="32">
        <f t="shared" si="146"/>
        <v>47.5</v>
      </c>
      <c r="AG391" s="30"/>
      <c r="AH391" s="33"/>
      <c r="AI391" s="34">
        <f t="shared" si="147"/>
        <v>0</v>
      </c>
      <c r="AJ391" s="35"/>
      <c r="AK391" s="30"/>
      <c r="AL391" s="36">
        <f t="shared" si="148"/>
        <v>0</v>
      </c>
      <c r="AM391" s="35"/>
      <c r="AN391" s="30"/>
      <c r="AO391" s="36">
        <f t="shared" si="149"/>
        <v>0</v>
      </c>
      <c r="AP391" s="35"/>
      <c r="AQ391" s="30"/>
      <c r="AR391" s="36">
        <f t="shared" si="150"/>
        <v>0</v>
      </c>
      <c r="AS391" s="27"/>
      <c r="AT391" s="37"/>
      <c r="AU391" s="30"/>
      <c r="AV391" s="36">
        <f t="shared" si="151"/>
        <v>0</v>
      </c>
      <c r="AW391" s="35"/>
      <c r="AX391" s="30"/>
      <c r="AY391" s="32">
        <f t="shared" si="152"/>
        <v>0</v>
      </c>
      <c r="AZ391" s="30" t="s">
        <v>841</v>
      </c>
      <c r="BA391" s="63"/>
      <c r="BB391" s="71" t="e">
        <f>SUMIFS([1]Form!$F$9:$F$22,[1]Form!$K$9:$K$22,K391)</f>
        <v>#VALUE!</v>
      </c>
      <c r="BC391" s="71"/>
      <c r="BD391" s="71"/>
    </row>
    <row r="392" spans="1:56" x14ac:dyDescent="0.25">
      <c r="A392" s="24">
        <f>IF(B392="","",SUBTOTAL(3,$B$4:B392))</f>
        <v>389</v>
      </c>
      <c r="B392" s="25" t="s">
        <v>840</v>
      </c>
      <c r="C392" s="25" t="str">
        <f t="shared" si="144"/>
        <v>Shipment 1 B-10124 Fired Proces Heater</v>
      </c>
      <c r="D392" s="25" t="s">
        <v>839</v>
      </c>
      <c r="E392" s="25" t="s">
        <v>838</v>
      </c>
      <c r="F392" s="25"/>
      <c r="G392" s="65"/>
      <c r="H392" s="25" t="s">
        <v>842</v>
      </c>
      <c r="I392" s="25"/>
      <c r="J392" s="26" t="s">
        <v>845</v>
      </c>
      <c r="K392" s="27" t="s">
        <v>498</v>
      </c>
      <c r="L392" s="28" t="s">
        <v>974</v>
      </c>
      <c r="M392" s="28" t="s">
        <v>777</v>
      </c>
      <c r="N392" s="25">
        <v>36</v>
      </c>
      <c r="O392" s="29">
        <v>0.98888888888888893</v>
      </c>
      <c r="P392" s="29">
        <v>35.6</v>
      </c>
      <c r="Q392" s="25" t="s">
        <v>788</v>
      </c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145"/>
        <v>0</v>
      </c>
      <c r="AF392" s="32">
        <f t="shared" si="146"/>
        <v>35.6</v>
      </c>
      <c r="AG392" s="30"/>
      <c r="AH392" s="33"/>
      <c r="AI392" s="34">
        <f t="shared" si="147"/>
        <v>0</v>
      </c>
      <c r="AJ392" s="35"/>
      <c r="AK392" s="30"/>
      <c r="AL392" s="36">
        <f t="shared" si="148"/>
        <v>0</v>
      </c>
      <c r="AM392" s="35"/>
      <c r="AN392" s="30"/>
      <c r="AO392" s="36">
        <f t="shared" si="149"/>
        <v>0</v>
      </c>
      <c r="AP392" s="35"/>
      <c r="AQ392" s="30"/>
      <c r="AR392" s="36">
        <f t="shared" si="150"/>
        <v>0</v>
      </c>
      <c r="AS392" s="27"/>
      <c r="AT392" s="37"/>
      <c r="AU392" s="30"/>
      <c r="AV392" s="36">
        <f t="shared" si="151"/>
        <v>0</v>
      </c>
      <c r="AW392" s="35"/>
      <c r="AX392" s="30"/>
      <c r="AY392" s="32">
        <f t="shared" si="152"/>
        <v>0</v>
      </c>
      <c r="AZ392" s="30" t="s">
        <v>841</v>
      </c>
      <c r="BA392" s="63"/>
      <c r="BB392" s="71" t="e">
        <f>SUMIFS([1]Form!$F$9:$F$22,[1]Form!$K$9:$K$22,K392)</f>
        <v>#VALUE!</v>
      </c>
      <c r="BC392" s="71"/>
      <c r="BD392" s="71"/>
    </row>
    <row r="393" spans="1:56" x14ac:dyDescent="0.25">
      <c r="A393" s="24">
        <f>IF(B393="","",SUBTOTAL(3,$B$4:B393))</f>
        <v>390</v>
      </c>
      <c r="B393" s="25" t="s">
        <v>840</v>
      </c>
      <c r="C393" s="25" t="str">
        <f t="shared" si="144"/>
        <v>Shipment 1 B-10124 Fired Proces Heater</v>
      </c>
      <c r="D393" s="25" t="s">
        <v>839</v>
      </c>
      <c r="E393" s="25" t="s">
        <v>838</v>
      </c>
      <c r="F393" s="25"/>
      <c r="G393" s="65"/>
      <c r="H393" s="25" t="s">
        <v>842</v>
      </c>
      <c r="I393" s="25"/>
      <c r="J393" s="26" t="s">
        <v>845</v>
      </c>
      <c r="K393" s="27" t="s">
        <v>499</v>
      </c>
      <c r="L393" s="28" t="s">
        <v>500</v>
      </c>
      <c r="M393" s="28" t="s">
        <v>777</v>
      </c>
      <c r="N393" s="25">
        <v>1</v>
      </c>
      <c r="O393" s="29">
        <v>22.925000000000001</v>
      </c>
      <c r="P393" s="29">
        <v>22.925000000000001</v>
      </c>
      <c r="Q393" s="25" t="s">
        <v>789</v>
      </c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145"/>
        <v>0</v>
      </c>
      <c r="AF393" s="32">
        <f t="shared" si="146"/>
        <v>22.925000000000001</v>
      </c>
      <c r="AG393" s="30"/>
      <c r="AH393" s="33"/>
      <c r="AI393" s="34">
        <f t="shared" si="147"/>
        <v>0</v>
      </c>
      <c r="AJ393" s="35"/>
      <c r="AK393" s="30"/>
      <c r="AL393" s="36">
        <f t="shared" si="148"/>
        <v>0</v>
      </c>
      <c r="AM393" s="35"/>
      <c r="AN393" s="30"/>
      <c r="AO393" s="36">
        <f t="shared" si="149"/>
        <v>0</v>
      </c>
      <c r="AP393" s="35"/>
      <c r="AQ393" s="30"/>
      <c r="AR393" s="36">
        <f t="shared" si="150"/>
        <v>0</v>
      </c>
      <c r="AS393" s="27"/>
      <c r="AT393" s="37"/>
      <c r="AU393" s="30"/>
      <c r="AV393" s="36">
        <f t="shared" si="151"/>
        <v>0</v>
      </c>
      <c r="AW393" s="35"/>
      <c r="AX393" s="30"/>
      <c r="AY393" s="32">
        <f t="shared" si="152"/>
        <v>0</v>
      </c>
      <c r="AZ393" s="30" t="s">
        <v>841</v>
      </c>
      <c r="BA393" s="63"/>
      <c r="BB393" s="71" t="e">
        <f>SUMIFS([1]Form!$F$9:$F$22,[1]Form!$K$9:$K$22,K393)</f>
        <v>#VALUE!</v>
      </c>
      <c r="BC393" s="71"/>
      <c r="BD393" s="71"/>
    </row>
    <row r="394" spans="1:56" x14ac:dyDescent="0.25">
      <c r="A394" s="24">
        <f>IF(B394="","",SUBTOTAL(3,$B$4:B394))</f>
        <v>391</v>
      </c>
      <c r="B394" s="25" t="s">
        <v>840</v>
      </c>
      <c r="C394" s="25" t="str">
        <f t="shared" si="144"/>
        <v>Shipment 1 B-10124 Fired Proces Heater</v>
      </c>
      <c r="D394" s="25" t="s">
        <v>839</v>
      </c>
      <c r="E394" s="25" t="s">
        <v>838</v>
      </c>
      <c r="F394" s="25"/>
      <c r="G394" s="65"/>
      <c r="H394" s="25" t="s">
        <v>842</v>
      </c>
      <c r="I394" s="25"/>
      <c r="J394" s="26" t="s">
        <v>845</v>
      </c>
      <c r="K394" s="27" t="s">
        <v>499</v>
      </c>
      <c r="L394" s="28" t="s">
        <v>501</v>
      </c>
      <c r="M394" s="28" t="s">
        <v>777</v>
      </c>
      <c r="N394" s="25">
        <v>1</v>
      </c>
      <c r="O394" s="29">
        <v>22.925000000000001</v>
      </c>
      <c r="P394" s="29">
        <v>22.925000000000001</v>
      </c>
      <c r="Q394" s="25" t="s">
        <v>789</v>
      </c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145"/>
        <v>0</v>
      </c>
      <c r="AF394" s="32">
        <f t="shared" si="146"/>
        <v>22.925000000000001</v>
      </c>
      <c r="AG394" s="30"/>
      <c r="AH394" s="33"/>
      <c r="AI394" s="34">
        <f t="shared" si="147"/>
        <v>0</v>
      </c>
      <c r="AJ394" s="35"/>
      <c r="AK394" s="30"/>
      <c r="AL394" s="36">
        <f t="shared" si="148"/>
        <v>0</v>
      </c>
      <c r="AM394" s="35"/>
      <c r="AN394" s="30"/>
      <c r="AO394" s="36">
        <f t="shared" si="149"/>
        <v>0</v>
      </c>
      <c r="AP394" s="35"/>
      <c r="AQ394" s="30"/>
      <c r="AR394" s="36">
        <f t="shared" si="150"/>
        <v>0</v>
      </c>
      <c r="AS394" s="27"/>
      <c r="AT394" s="37"/>
      <c r="AU394" s="30"/>
      <c r="AV394" s="36">
        <f t="shared" si="151"/>
        <v>0</v>
      </c>
      <c r="AW394" s="35"/>
      <c r="AX394" s="30"/>
      <c r="AY394" s="32">
        <f t="shared" si="152"/>
        <v>0</v>
      </c>
      <c r="AZ394" s="30" t="s">
        <v>841</v>
      </c>
      <c r="BA394" s="63"/>
      <c r="BB394" s="71" t="e">
        <f>SUMIFS([1]Form!$F$9:$F$22,[1]Form!$K$9:$K$22,K394)</f>
        <v>#VALUE!</v>
      </c>
      <c r="BC394" s="71"/>
      <c r="BD394" s="71"/>
    </row>
    <row r="395" spans="1:56" x14ac:dyDescent="0.25">
      <c r="A395" s="24">
        <f>IF(B395="","",SUBTOTAL(3,$B$4:B395))</f>
        <v>392</v>
      </c>
      <c r="B395" s="25" t="s">
        <v>840</v>
      </c>
      <c r="C395" s="25" t="str">
        <f t="shared" si="144"/>
        <v>Shipment 1 B-10124 Fired Proces Heater</v>
      </c>
      <c r="D395" s="25" t="s">
        <v>839</v>
      </c>
      <c r="E395" s="25" t="s">
        <v>838</v>
      </c>
      <c r="F395" s="25"/>
      <c r="G395" s="65"/>
      <c r="H395" s="25" t="s">
        <v>842</v>
      </c>
      <c r="I395" s="25"/>
      <c r="J395" s="26" t="s">
        <v>845</v>
      </c>
      <c r="K395" s="27" t="s">
        <v>499</v>
      </c>
      <c r="L395" s="28" t="s">
        <v>502</v>
      </c>
      <c r="M395" s="28" t="s">
        <v>777</v>
      </c>
      <c r="N395" s="25">
        <v>1</v>
      </c>
      <c r="O395" s="29">
        <v>22.925000000000001</v>
      </c>
      <c r="P395" s="29">
        <v>22.925000000000001</v>
      </c>
      <c r="Q395" s="25" t="s">
        <v>789</v>
      </c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145"/>
        <v>0</v>
      </c>
      <c r="AF395" s="32">
        <f t="shared" si="146"/>
        <v>22.925000000000001</v>
      </c>
      <c r="AG395" s="30"/>
      <c r="AH395" s="33"/>
      <c r="AI395" s="34">
        <f t="shared" si="147"/>
        <v>0</v>
      </c>
      <c r="AJ395" s="35"/>
      <c r="AK395" s="30"/>
      <c r="AL395" s="36">
        <f t="shared" si="148"/>
        <v>0</v>
      </c>
      <c r="AM395" s="35"/>
      <c r="AN395" s="30"/>
      <c r="AO395" s="36">
        <f t="shared" si="149"/>
        <v>0</v>
      </c>
      <c r="AP395" s="35"/>
      <c r="AQ395" s="30"/>
      <c r="AR395" s="36">
        <f t="shared" si="150"/>
        <v>0</v>
      </c>
      <c r="AS395" s="27"/>
      <c r="AT395" s="37"/>
      <c r="AU395" s="30"/>
      <c r="AV395" s="36">
        <f t="shared" si="151"/>
        <v>0</v>
      </c>
      <c r="AW395" s="35"/>
      <c r="AX395" s="30"/>
      <c r="AY395" s="32">
        <f t="shared" si="152"/>
        <v>0</v>
      </c>
      <c r="AZ395" s="30" t="s">
        <v>841</v>
      </c>
      <c r="BA395" s="63"/>
      <c r="BB395" s="71" t="e">
        <f>SUMIFS([1]Form!$F$9:$F$22,[1]Form!$K$9:$K$22,K395)</f>
        <v>#VALUE!</v>
      </c>
      <c r="BC395" s="71"/>
      <c r="BD395" s="71"/>
    </row>
    <row r="396" spans="1:56" x14ac:dyDescent="0.25">
      <c r="A396" s="24">
        <f>IF(B396="","",SUBTOTAL(3,$B$4:B396))</f>
        <v>393</v>
      </c>
      <c r="B396" s="25" t="s">
        <v>840</v>
      </c>
      <c r="C396" s="25" t="str">
        <f t="shared" si="144"/>
        <v>Shipment 1 B-10124 Fired Proces Heater</v>
      </c>
      <c r="D396" s="25" t="s">
        <v>839</v>
      </c>
      <c r="E396" s="25" t="s">
        <v>838</v>
      </c>
      <c r="F396" s="25"/>
      <c r="G396" s="65"/>
      <c r="H396" s="25" t="s">
        <v>842</v>
      </c>
      <c r="I396" s="25"/>
      <c r="J396" s="26" t="s">
        <v>845</v>
      </c>
      <c r="K396" s="27" t="s">
        <v>499</v>
      </c>
      <c r="L396" s="28" t="s">
        <v>503</v>
      </c>
      <c r="M396" s="28" t="s">
        <v>777</v>
      </c>
      <c r="N396" s="25">
        <v>1</v>
      </c>
      <c r="O396" s="29">
        <v>22.925000000000001</v>
      </c>
      <c r="P396" s="29">
        <v>22.925000000000001</v>
      </c>
      <c r="Q396" s="25" t="s">
        <v>789</v>
      </c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145"/>
        <v>0</v>
      </c>
      <c r="AF396" s="32">
        <f t="shared" si="146"/>
        <v>22.925000000000001</v>
      </c>
      <c r="AG396" s="30"/>
      <c r="AH396" s="33"/>
      <c r="AI396" s="34">
        <f t="shared" si="147"/>
        <v>0</v>
      </c>
      <c r="AJ396" s="35"/>
      <c r="AK396" s="30"/>
      <c r="AL396" s="36">
        <f t="shared" si="148"/>
        <v>0</v>
      </c>
      <c r="AM396" s="35"/>
      <c r="AN396" s="30"/>
      <c r="AO396" s="36">
        <f t="shared" si="149"/>
        <v>0</v>
      </c>
      <c r="AP396" s="35"/>
      <c r="AQ396" s="30"/>
      <c r="AR396" s="36">
        <f t="shared" si="150"/>
        <v>0</v>
      </c>
      <c r="AS396" s="27"/>
      <c r="AT396" s="37"/>
      <c r="AU396" s="30"/>
      <c r="AV396" s="36">
        <f t="shared" si="151"/>
        <v>0</v>
      </c>
      <c r="AW396" s="35"/>
      <c r="AX396" s="30"/>
      <c r="AY396" s="32">
        <f t="shared" si="152"/>
        <v>0</v>
      </c>
      <c r="AZ396" s="30" t="s">
        <v>841</v>
      </c>
      <c r="BA396" s="63"/>
      <c r="BB396" s="71" t="e">
        <f>SUMIFS([1]Form!$F$9:$F$22,[1]Form!$K$9:$K$22,K396)</f>
        <v>#VALUE!</v>
      </c>
      <c r="BC396" s="71"/>
      <c r="BD396" s="71"/>
    </row>
    <row r="397" spans="1:56" x14ac:dyDescent="0.25">
      <c r="A397" s="24">
        <f>IF(B397="","",SUBTOTAL(3,$B$4:B397))</f>
        <v>394</v>
      </c>
      <c r="B397" s="25" t="s">
        <v>840</v>
      </c>
      <c r="C397" s="25" t="str">
        <f t="shared" si="144"/>
        <v>Shipment 1 B-10124 Fired Proces Heater</v>
      </c>
      <c r="D397" s="25" t="s">
        <v>839</v>
      </c>
      <c r="E397" s="25" t="s">
        <v>838</v>
      </c>
      <c r="F397" s="25"/>
      <c r="G397" s="65"/>
      <c r="H397" s="25" t="s">
        <v>842</v>
      </c>
      <c r="I397" s="25"/>
      <c r="J397" s="26" t="s">
        <v>845</v>
      </c>
      <c r="K397" s="27" t="s">
        <v>504</v>
      </c>
      <c r="L397" s="28" t="s">
        <v>505</v>
      </c>
      <c r="M397" s="28" t="s">
        <v>777</v>
      </c>
      <c r="N397" s="25">
        <v>1</v>
      </c>
      <c r="O397" s="29">
        <v>21.35</v>
      </c>
      <c r="P397" s="29">
        <v>21.35</v>
      </c>
      <c r="Q397" s="25" t="s">
        <v>790</v>
      </c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145"/>
        <v>0</v>
      </c>
      <c r="AF397" s="32">
        <f t="shared" si="146"/>
        <v>21.35</v>
      </c>
      <c r="AG397" s="30"/>
      <c r="AH397" s="33"/>
      <c r="AI397" s="34">
        <f t="shared" si="147"/>
        <v>0</v>
      </c>
      <c r="AJ397" s="35"/>
      <c r="AK397" s="30"/>
      <c r="AL397" s="36">
        <f t="shared" si="148"/>
        <v>0</v>
      </c>
      <c r="AM397" s="35"/>
      <c r="AN397" s="30"/>
      <c r="AO397" s="36">
        <f t="shared" si="149"/>
        <v>0</v>
      </c>
      <c r="AP397" s="35"/>
      <c r="AQ397" s="30"/>
      <c r="AR397" s="36">
        <f t="shared" si="150"/>
        <v>0</v>
      </c>
      <c r="AS397" s="27"/>
      <c r="AT397" s="37"/>
      <c r="AU397" s="30"/>
      <c r="AV397" s="36">
        <f t="shared" si="151"/>
        <v>0</v>
      </c>
      <c r="AW397" s="35"/>
      <c r="AX397" s="30"/>
      <c r="AY397" s="32">
        <f t="shared" si="152"/>
        <v>0</v>
      </c>
      <c r="AZ397" s="30" t="s">
        <v>841</v>
      </c>
      <c r="BA397" s="63"/>
      <c r="BB397" s="71" t="e">
        <f>SUMIFS([1]Form!$F$9:$F$22,[1]Form!$K$9:$K$22,K397)</f>
        <v>#VALUE!</v>
      </c>
      <c r="BC397" s="71"/>
      <c r="BD397" s="71"/>
    </row>
    <row r="398" spans="1:56" x14ac:dyDescent="0.25">
      <c r="A398" s="24">
        <f>IF(B398="","",SUBTOTAL(3,$B$4:B398))</f>
        <v>395</v>
      </c>
      <c r="B398" s="25" t="s">
        <v>840</v>
      </c>
      <c r="C398" s="25" t="str">
        <f t="shared" si="144"/>
        <v>Shipment 1 B-10124 Fired Proces Heater</v>
      </c>
      <c r="D398" s="25" t="s">
        <v>839</v>
      </c>
      <c r="E398" s="25" t="s">
        <v>838</v>
      </c>
      <c r="F398" s="25"/>
      <c r="G398" s="65"/>
      <c r="H398" s="25" t="s">
        <v>842</v>
      </c>
      <c r="I398" s="25"/>
      <c r="J398" s="26" t="s">
        <v>845</v>
      </c>
      <c r="K398" s="27" t="s">
        <v>504</v>
      </c>
      <c r="L398" s="28" t="s">
        <v>506</v>
      </c>
      <c r="M398" s="28" t="s">
        <v>777</v>
      </c>
      <c r="N398" s="25">
        <v>1</v>
      </c>
      <c r="O398" s="29">
        <v>21.35</v>
      </c>
      <c r="P398" s="29">
        <v>21.35</v>
      </c>
      <c r="Q398" s="25" t="s">
        <v>790</v>
      </c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145"/>
        <v>0</v>
      </c>
      <c r="AF398" s="32">
        <f t="shared" si="146"/>
        <v>21.35</v>
      </c>
      <c r="AG398" s="30"/>
      <c r="AH398" s="33"/>
      <c r="AI398" s="34">
        <f t="shared" si="147"/>
        <v>0</v>
      </c>
      <c r="AJ398" s="35"/>
      <c r="AK398" s="30"/>
      <c r="AL398" s="36">
        <f t="shared" si="148"/>
        <v>0</v>
      </c>
      <c r="AM398" s="35"/>
      <c r="AN398" s="30"/>
      <c r="AO398" s="36">
        <f t="shared" si="149"/>
        <v>0</v>
      </c>
      <c r="AP398" s="35"/>
      <c r="AQ398" s="30"/>
      <c r="AR398" s="36">
        <f t="shared" si="150"/>
        <v>0</v>
      </c>
      <c r="AS398" s="27"/>
      <c r="AT398" s="37"/>
      <c r="AU398" s="30"/>
      <c r="AV398" s="36">
        <f t="shared" si="151"/>
        <v>0</v>
      </c>
      <c r="AW398" s="35"/>
      <c r="AX398" s="30"/>
      <c r="AY398" s="32">
        <f t="shared" si="152"/>
        <v>0</v>
      </c>
      <c r="AZ398" s="30" t="s">
        <v>841</v>
      </c>
      <c r="BA398" s="63"/>
      <c r="BB398" s="71" t="e">
        <f>SUMIFS([1]Form!$F$9:$F$22,[1]Form!$K$9:$K$22,K398)</f>
        <v>#VALUE!</v>
      </c>
      <c r="BC398" s="71"/>
      <c r="BD398" s="71"/>
    </row>
    <row r="399" spans="1:56" x14ac:dyDescent="0.25">
      <c r="A399" s="24">
        <f>IF(B399="","",SUBTOTAL(3,$B$4:B399))</f>
        <v>396</v>
      </c>
      <c r="B399" s="25" t="s">
        <v>840</v>
      </c>
      <c r="C399" s="25" t="str">
        <f t="shared" si="144"/>
        <v>Shipment 1 B-10124 Fired Proces Heater</v>
      </c>
      <c r="D399" s="25" t="s">
        <v>839</v>
      </c>
      <c r="E399" s="25" t="s">
        <v>838</v>
      </c>
      <c r="F399" s="25"/>
      <c r="G399" s="65"/>
      <c r="H399" s="25" t="s">
        <v>842</v>
      </c>
      <c r="I399" s="25"/>
      <c r="J399" s="26" t="s">
        <v>845</v>
      </c>
      <c r="K399" s="27" t="s">
        <v>504</v>
      </c>
      <c r="L399" s="28" t="s">
        <v>507</v>
      </c>
      <c r="M399" s="28" t="s">
        <v>777</v>
      </c>
      <c r="N399" s="25">
        <v>1</v>
      </c>
      <c r="O399" s="29">
        <v>21.35</v>
      </c>
      <c r="P399" s="29">
        <v>21.35</v>
      </c>
      <c r="Q399" s="25" t="s">
        <v>790</v>
      </c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145"/>
        <v>0</v>
      </c>
      <c r="AF399" s="32">
        <f t="shared" si="146"/>
        <v>21.35</v>
      </c>
      <c r="AG399" s="30"/>
      <c r="AH399" s="33"/>
      <c r="AI399" s="34">
        <f t="shared" si="147"/>
        <v>0</v>
      </c>
      <c r="AJ399" s="35"/>
      <c r="AK399" s="30"/>
      <c r="AL399" s="36">
        <f t="shared" si="148"/>
        <v>0</v>
      </c>
      <c r="AM399" s="35"/>
      <c r="AN399" s="30"/>
      <c r="AO399" s="36">
        <f t="shared" si="149"/>
        <v>0</v>
      </c>
      <c r="AP399" s="35"/>
      <c r="AQ399" s="30"/>
      <c r="AR399" s="36">
        <f t="shared" si="150"/>
        <v>0</v>
      </c>
      <c r="AS399" s="27"/>
      <c r="AT399" s="37"/>
      <c r="AU399" s="30"/>
      <c r="AV399" s="36">
        <f t="shared" si="151"/>
        <v>0</v>
      </c>
      <c r="AW399" s="35"/>
      <c r="AX399" s="30"/>
      <c r="AY399" s="32">
        <f t="shared" si="152"/>
        <v>0</v>
      </c>
      <c r="AZ399" s="30" t="s">
        <v>841</v>
      </c>
      <c r="BA399" s="63"/>
      <c r="BB399" s="71" t="e">
        <f>SUMIFS([1]Form!$F$9:$F$22,[1]Form!$K$9:$K$22,K399)</f>
        <v>#VALUE!</v>
      </c>
      <c r="BC399" s="71"/>
      <c r="BD399" s="71"/>
    </row>
    <row r="400" spans="1:56" x14ac:dyDescent="0.25">
      <c r="A400" s="24">
        <f>IF(B400="","",SUBTOTAL(3,$B$4:B400))</f>
        <v>397</v>
      </c>
      <c r="B400" s="25" t="s">
        <v>840</v>
      </c>
      <c r="C400" s="25" t="str">
        <f t="shared" si="144"/>
        <v>Shipment 1 B-10124 Fired Proces Heater</v>
      </c>
      <c r="D400" s="25" t="s">
        <v>839</v>
      </c>
      <c r="E400" s="25" t="s">
        <v>838</v>
      </c>
      <c r="F400" s="25"/>
      <c r="G400" s="65"/>
      <c r="H400" s="25" t="s">
        <v>842</v>
      </c>
      <c r="I400" s="25"/>
      <c r="J400" s="26" t="s">
        <v>845</v>
      </c>
      <c r="K400" s="27" t="s">
        <v>504</v>
      </c>
      <c r="L400" s="28" t="s">
        <v>508</v>
      </c>
      <c r="M400" s="28" t="s">
        <v>777</v>
      </c>
      <c r="N400" s="25">
        <v>1</v>
      </c>
      <c r="O400" s="29">
        <v>21.35</v>
      </c>
      <c r="P400" s="29">
        <v>21.35</v>
      </c>
      <c r="Q400" s="25" t="s">
        <v>790</v>
      </c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145"/>
        <v>0</v>
      </c>
      <c r="AF400" s="32">
        <f t="shared" si="146"/>
        <v>21.35</v>
      </c>
      <c r="AG400" s="30"/>
      <c r="AH400" s="33"/>
      <c r="AI400" s="34">
        <f t="shared" si="147"/>
        <v>0</v>
      </c>
      <c r="AJ400" s="35"/>
      <c r="AK400" s="30"/>
      <c r="AL400" s="36">
        <f t="shared" si="148"/>
        <v>0</v>
      </c>
      <c r="AM400" s="35"/>
      <c r="AN400" s="30"/>
      <c r="AO400" s="36">
        <f t="shared" si="149"/>
        <v>0</v>
      </c>
      <c r="AP400" s="35"/>
      <c r="AQ400" s="30"/>
      <c r="AR400" s="36">
        <f t="shared" si="150"/>
        <v>0</v>
      </c>
      <c r="AS400" s="27"/>
      <c r="AT400" s="37"/>
      <c r="AU400" s="30"/>
      <c r="AV400" s="36">
        <f t="shared" si="151"/>
        <v>0</v>
      </c>
      <c r="AW400" s="35"/>
      <c r="AX400" s="30"/>
      <c r="AY400" s="32">
        <f t="shared" si="152"/>
        <v>0</v>
      </c>
      <c r="AZ400" s="30" t="s">
        <v>841</v>
      </c>
      <c r="BA400" s="63"/>
      <c r="BB400" s="71" t="e">
        <f>SUMIFS([1]Form!$F$9:$F$22,[1]Form!$K$9:$K$22,K400)</f>
        <v>#VALUE!</v>
      </c>
      <c r="BC400" s="71"/>
      <c r="BD400" s="71"/>
    </row>
    <row r="401" spans="1:56" x14ac:dyDescent="0.25">
      <c r="A401" s="24">
        <f>IF(B401="","",SUBTOTAL(3,$B$4:B401))</f>
        <v>398</v>
      </c>
      <c r="B401" s="25" t="s">
        <v>840</v>
      </c>
      <c r="C401" s="25" t="str">
        <f t="shared" si="144"/>
        <v>Shipment 1 B-10124 Fired Proces Heater</v>
      </c>
      <c r="D401" s="25" t="s">
        <v>839</v>
      </c>
      <c r="E401" s="25" t="s">
        <v>838</v>
      </c>
      <c r="F401" s="25"/>
      <c r="G401" s="65"/>
      <c r="H401" s="25" t="s">
        <v>842</v>
      </c>
      <c r="I401" s="25"/>
      <c r="J401" s="26" t="s">
        <v>845</v>
      </c>
      <c r="K401" s="27" t="s">
        <v>509</v>
      </c>
      <c r="L401" s="28" t="s">
        <v>510</v>
      </c>
      <c r="M401" s="28" t="s">
        <v>777</v>
      </c>
      <c r="N401" s="25">
        <v>1</v>
      </c>
      <c r="O401" s="29">
        <v>21.1</v>
      </c>
      <c r="P401" s="29">
        <v>21.1</v>
      </c>
      <c r="Q401" s="25" t="s">
        <v>791</v>
      </c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145"/>
        <v>0</v>
      </c>
      <c r="AF401" s="32">
        <f t="shared" si="146"/>
        <v>21.1</v>
      </c>
      <c r="AG401" s="30"/>
      <c r="AH401" s="33"/>
      <c r="AI401" s="34">
        <f t="shared" si="147"/>
        <v>0</v>
      </c>
      <c r="AJ401" s="35"/>
      <c r="AK401" s="30"/>
      <c r="AL401" s="36">
        <f t="shared" si="148"/>
        <v>0</v>
      </c>
      <c r="AM401" s="35"/>
      <c r="AN401" s="30"/>
      <c r="AO401" s="36">
        <f t="shared" si="149"/>
        <v>0</v>
      </c>
      <c r="AP401" s="35"/>
      <c r="AQ401" s="30"/>
      <c r="AR401" s="36">
        <f t="shared" si="150"/>
        <v>0</v>
      </c>
      <c r="AS401" s="27"/>
      <c r="AT401" s="37"/>
      <c r="AU401" s="30"/>
      <c r="AV401" s="36">
        <f t="shared" si="151"/>
        <v>0</v>
      </c>
      <c r="AW401" s="35"/>
      <c r="AX401" s="30"/>
      <c r="AY401" s="32">
        <f t="shared" si="152"/>
        <v>0</v>
      </c>
      <c r="AZ401" s="30" t="s">
        <v>841</v>
      </c>
      <c r="BA401" s="63"/>
      <c r="BB401" s="71" t="e">
        <f>SUMIFS([1]Form!$F$9:$F$22,[1]Form!$K$9:$K$22,K401)</f>
        <v>#VALUE!</v>
      </c>
      <c r="BC401" s="71"/>
      <c r="BD401" s="71"/>
    </row>
    <row r="402" spans="1:56" x14ac:dyDescent="0.25">
      <c r="A402" s="24">
        <f>IF(B402="","",SUBTOTAL(3,$B$4:B402))</f>
        <v>399</v>
      </c>
      <c r="B402" s="25" t="s">
        <v>840</v>
      </c>
      <c r="C402" s="25" t="str">
        <f t="shared" si="144"/>
        <v>Shipment 1 B-10124 Fired Proces Heater</v>
      </c>
      <c r="D402" s="25" t="s">
        <v>839</v>
      </c>
      <c r="E402" s="25" t="s">
        <v>838</v>
      </c>
      <c r="F402" s="25"/>
      <c r="G402" s="65"/>
      <c r="H402" s="25" t="s">
        <v>842</v>
      </c>
      <c r="I402" s="25"/>
      <c r="J402" s="26" t="s">
        <v>845</v>
      </c>
      <c r="K402" s="27" t="s">
        <v>509</v>
      </c>
      <c r="L402" s="28" t="s">
        <v>511</v>
      </c>
      <c r="M402" s="28" t="s">
        <v>777</v>
      </c>
      <c r="N402" s="25">
        <v>1</v>
      </c>
      <c r="O402" s="29">
        <v>21.1</v>
      </c>
      <c r="P402" s="29">
        <v>21.1</v>
      </c>
      <c r="Q402" s="25" t="s">
        <v>791</v>
      </c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145"/>
        <v>0</v>
      </c>
      <c r="AF402" s="32">
        <f t="shared" si="146"/>
        <v>21.1</v>
      </c>
      <c r="AG402" s="30"/>
      <c r="AH402" s="33"/>
      <c r="AI402" s="34">
        <f t="shared" si="147"/>
        <v>0</v>
      </c>
      <c r="AJ402" s="35"/>
      <c r="AK402" s="30"/>
      <c r="AL402" s="36">
        <f t="shared" si="148"/>
        <v>0</v>
      </c>
      <c r="AM402" s="35"/>
      <c r="AN402" s="30"/>
      <c r="AO402" s="36">
        <f t="shared" si="149"/>
        <v>0</v>
      </c>
      <c r="AP402" s="35"/>
      <c r="AQ402" s="30"/>
      <c r="AR402" s="36">
        <f t="shared" si="150"/>
        <v>0</v>
      </c>
      <c r="AS402" s="27"/>
      <c r="AT402" s="37"/>
      <c r="AU402" s="30"/>
      <c r="AV402" s="36">
        <f t="shared" si="151"/>
        <v>0</v>
      </c>
      <c r="AW402" s="35"/>
      <c r="AX402" s="30"/>
      <c r="AY402" s="32">
        <f t="shared" si="152"/>
        <v>0</v>
      </c>
      <c r="AZ402" s="30" t="s">
        <v>841</v>
      </c>
      <c r="BA402" s="63"/>
      <c r="BB402" s="71" t="e">
        <f>SUMIFS([1]Form!$F$9:$F$22,[1]Form!$K$9:$K$22,K402)</f>
        <v>#VALUE!</v>
      </c>
      <c r="BC402" s="71"/>
      <c r="BD402" s="71"/>
    </row>
    <row r="403" spans="1:56" x14ac:dyDescent="0.25">
      <c r="A403" s="24">
        <f>IF(B403="","",SUBTOTAL(3,$B$4:B403))</f>
        <v>400</v>
      </c>
      <c r="B403" s="25" t="s">
        <v>840</v>
      </c>
      <c r="C403" s="25" t="str">
        <f t="shared" si="144"/>
        <v>Shipment 1 B-10124 Fired Proces Heater</v>
      </c>
      <c r="D403" s="25" t="s">
        <v>839</v>
      </c>
      <c r="E403" s="25" t="s">
        <v>838</v>
      </c>
      <c r="F403" s="25"/>
      <c r="G403" s="65"/>
      <c r="H403" s="25" t="s">
        <v>842</v>
      </c>
      <c r="I403" s="25"/>
      <c r="J403" s="26" t="s">
        <v>845</v>
      </c>
      <c r="K403" s="27" t="s">
        <v>512</v>
      </c>
      <c r="L403" s="28" t="s">
        <v>513</v>
      </c>
      <c r="M403" s="28" t="s">
        <v>777</v>
      </c>
      <c r="N403" s="25">
        <v>1</v>
      </c>
      <c r="O403" s="29">
        <v>21.1</v>
      </c>
      <c r="P403" s="29">
        <v>21.1</v>
      </c>
      <c r="Q403" s="25" t="s">
        <v>791</v>
      </c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145"/>
        <v>0</v>
      </c>
      <c r="AF403" s="32">
        <f t="shared" si="146"/>
        <v>21.1</v>
      </c>
      <c r="AG403" s="30"/>
      <c r="AH403" s="33"/>
      <c r="AI403" s="34">
        <f t="shared" si="147"/>
        <v>0</v>
      </c>
      <c r="AJ403" s="35"/>
      <c r="AK403" s="30"/>
      <c r="AL403" s="36">
        <f t="shared" si="148"/>
        <v>0</v>
      </c>
      <c r="AM403" s="35"/>
      <c r="AN403" s="30"/>
      <c r="AO403" s="36">
        <f t="shared" si="149"/>
        <v>0</v>
      </c>
      <c r="AP403" s="35"/>
      <c r="AQ403" s="30"/>
      <c r="AR403" s="36">
        <f t="shared" si="150"/>
        <v>0</v>
      </c>
      <c r="AS403" s="27"/>
      <c r="AT403" s="37"/>
      <c r="AU403" s="30"/>
      <c r="AV403" s="36">
        <f t="shared" si="151"/>
        <v>0</v>
      </c>
      <c r="AW403" s="35"/>
      <c r="AX403" s="30"/>
      <c r="AY403" s="32">
        <f t="shared" si="152"/>
        <v>0</v>
      </c>
      <c r="AZ403" s="30" t="s">
        <v>841</v>
      </c>
      <c r="BA403" s="63"/>
      <c r="BB403" s="71" t="e">
        <f>SUMIFS([1]Form!$F$9:$F$22,[1]Form!$K$9:$K$22,K403)</f>
        <v>#VALUE!</v>
      </c>
      <c r="BC403" s="71"/>
      <c r="BD403" s="71"/>
    </row>
    <row r="404" spans="1:56" x14ac:dyDescent="0.25">
      <c r="A404" s="24">
        <f>IF(B404="","",SUBTOTAL(3,$B$4:B404))</f>
        <v>401</v>
      </c>
      <c r="B404" s="25" t="s">
        <v>840</v>
      </c>
      <c r="C404" s="25" t="str">
        <f t="shared" si="144"/>
        <v>Shipment 1 B-10124 Fired Proces Heater</v>
      </c>
      <c r="D404" s="25" t="s">
        <v>839</v>
      </c>
      <c r="E404" s="25" t="s">
        <v>838</v>
      </c>
      <c r="F404" s="25"/>
      <c r="G404" s="65"/>
      <c r="H404" s="25" t="s">
        <v>842</v>
      </c>
      <c r="I404" s="25"/>
      <c r="J404" s="26" t="s">
        <v>845</v>
      </c>
      <c r="K404" s="27" t="s">
        <v>512</v>
      </c>
      <c r="L404" s="28" t="s">
        <v>514</v>
      </c>
      <c r="M404" s="28" t="s">
        <v>777</v>
      </c>
      <c r="N404" s="25">
        <v>1</v>
      </c>
      <c r="O404" s="29">
        <v>21.1</v>
      </c>
      <c r="P404" s="29">
        <v>21.1</v>
      </c>
      <c r="Q404" s="25" t="s">
        <v>791</v>
      </c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145"/>
        <v>0</v>
      </c>
      <c r="AF404" s="32">
        <f t="shared" si="146"/>
        <v>21.1</v>
      </c>
      <c r="AG404" s="30"/>
      <c r="AH404" s="33"/>
      <c r="AI404" s="34">
        <f t="shared" si="147"/>
        <v>0</v>
      </c>
      <c r="AJ404" s="35"/>
      <c r="AK404" s="30"/>
      <c r="AL404" s="36">
        <f t="shared" si="148"/>
        <v>0</v>
      </c>
      <c r="AM404" s="35"/>
      <c r="AN404" s="30"/>
      <c r="AO404" s="36">
        <f t="shared" si="149"/>
        <v>0</v>
      </c>
      <c r="AP404" s="35"/>
      <c r="AQ404" s="30"/>
      <c r="AR404" s="36">
        <f t="shared" si="150"/>
        <v>0</v>
      </c>
      <c r="AS404" s="27"/>
      <c r="AT404" s="37"/>
      <c r="AU404" s="30"/>
      <c r="AV404" s="36">
        <f t="shared" si="151"/>
        <v>0</v>
      </c>
      <c r="AW404" s="35"/>
      <c r="AX404" s="30"/>
      <c r="AY404" s="32">
        <f t="shared" si="152"/>
        <v>0</v>
      </c>
      <c r="AZ404" s="30" t="s">
        <v>841</v>
      </c>
      <c r="BA404" s="63"/>
      <c r="BB404" s="71" t="e">
        <f>SUMIFS([1]Form!$F$9:$F$22,[1]Form!$K$9:$K$22,K404)</f>
        <v>#VALUE!</v>
      </c>
      <c r="BC404" s="71"/>
      <c r="BD404" s="71"/>
    </row>
    <row r="405" spans="1:56" x14ac:dyDescent="0.25">
      <c r="A405" s="24">
        <f>IF(B405="","",SUBTOTAL(3,$B$4:B405))</f>
        <v>402</v>
      </c>
      <c r="B405" s="25" t="s">
        <v>840</v>
      </c>
      <c r="C405" s="25" t="str">
        <f t="shared" si="144"/>
        <v>Shipment 1 B-10124 Fired Proces Heater</v>
      </c>
      <c r="D405" s="25" t="s">
        <v>839</v>
      </c>
      <c r="E405" s="25" t="s">
        <v>838</v>
      </c>
      <c r="F405" s="25"/>
      <c r="G405" s="65"/>
      <c r="H405" s="25" t="s">
        <v>842</v>
      </c>
      <c r="I405" s="25"/>
      <c r="J405" s="26" t="s">
        <v>845</v>
      </c>
      <c r="K405" s="27" t="s">
        <v>515</v>
      </c>
      <c r="L405" s="28" t="s">
        <v>516</v>
      </c>
      <c r="M405" s="28" t="s">
        <v>777</v>
      </c>
      <c r="N405" s="25">
        <v>1</v>
      </c>
      <c r="O405" s="29">
        <v>45.35</v>
      </c>
      <c r="P405" s="29">
        <v>45.35</v>
      </c>
      <c r="Q405" s="25" t="s">
        <v>792</v>
      </c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145"/>
        <v>0</v>
      </c>
      <c r="AF405" s="32">
        <f t="shared" si="146"/>
        <v>45.35</v>
      </c>
      <c r="AG405" s="30"/>
      <c r="AH405" s="33"/>
      <c r="AI405" s="34">
        <f t="shared" si="147"/>
        <v>0</v>
      </c>
      <c r="AJ405" s="35"/>
      <c r="AK405" s="30"/>
      <c r="AL405" s="36">
        <f t="shared" si="148"/>
        <v>0</v>
      </c>
      <c r="AM405" s="35"/>
      <c r="AN405" s="30"/>
      <c r="AO405" s="36">
        <f t="shared" si="149"/>
        <v>0</v>
      </c>
      <c r="AP405" s="35"/>
      <c r="AQ405" s="30"/>
      <c r="AR405" s="36">
        <f t="shared" si="150"/>
        <v>0</v>
      </c>
      <c r="AS405" s="27"/>
      <c r="AT405" s="37"/>
      <c r="AU405" s="30"/>
      <c r="AV405" s="36">
        <f t="shared" si="151"/>
        <v>0</v>
      </c>
      <c r="AW405" s="35"/>
      <c r="AX405" s="30"/>
      <c r="AY405" s="32">
        <f t="shared" si="152"/>
        <v>0</v>
      </c>
      <c r="AZ405" s="30" t="s">
        <v>841</v>
      </c>
      <c r="BA405" s="63"/>
      <c r="BB405" s="71" t="e">
        <f>SUMIFS([1]Form!$F$9:$F$22,[1]Form!$K$9:$K$22,K405)</f>
        <v>#VALUE!</v>
      </c>
      <c r="BC405" s="71"/>
      <c r="BD405" s="71"/>
    </row>
    <row r="406" spans="1:56" x14ac:dyDescent="0.25">
      <c r="A406" s="24">
        <f>IF(B406="","",SUBTOTAL(3,$B$4:B406))</f>
        <v>403</v>
      </c>
      <c r="B406" s="25" t="s">
        <v>840</v>
      </c>
      <c r="C406" s="25" t="str">
        <f t="shared" si="144"/>
        <v>Shipment 1 B-10124 Fired Proces Heater</v>
      </c>
      <c r="D406" s="25" t="s">
        <v>839</v>
      </c>
      <c r="E406" s="25" t="s">
        <v>838</v>
      </c>
      <c r="F406" s="25"/>
      <c r="G406" s="65"/>
      <c r="H406" s="25" t="s">
        <v>842</v>
      </c>
      <c r="I406" s="25"/>
      <c r="J406" s="26" t="s">
        <v>845</v>
      </c>
      <c r="K406" s="27" t="s">
        <v>515</v>
      </c>
      <c r="L406" s="28" t="s">
        <v>517</v>
      </c>
      <c r="M406" s="28" t="s">
        <v>777</v>
      </c>
      <c r="N406" s="25">
        <v>1</v>
      </c>
      <c r="O406" s="29">
        <v>45.35</v>
      </c>
      <c r="P406" s="29">
        <v>45.35</v>
      </c>
      <c r="Q406" s="25" t="s">
        <v>792</v>
      </c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145"/>
        <v>0</v>
      </c>
      <c r="AF406" s="32">
        <f t="shared" si="146"/>
        <v>45.35</v>
      </c>
      <c r="AG406" s="30"/>
      <c r="AH406" s="33"/>
      <c r="AI406" s="34">
        <f t="shared" si="147"/>
        <v>0</v>
      </c>
      <c r="AJ406" s="35"/>
      <c r="AK406" s="30"/>
      <c r="AL406" s="36">
        <f t="shared" si="148"/>
        <v>0</v>
      </c>
      <c r="AM406" s="35"/>
      <c r="AN406" s="30"/>
      <c r="AO406" s="36">
        <f t="shared" si="149"/>
        <v>0</v>
      </c>
      <c r="AP406" s="35"/>
      <c r="AQ406" s="30"/>
      <c r="AR406" s="36">
        <f t="shared" si="150"/>
        <v>0</v>
      </c>
      <c r="AS406" s="27"/>
      <c r="AT406" s="37"/>
      <c r="AU406" s="30"/>
      <c r="AV406" s="36">
        <f t="shared" si="151"/>
        <v>0</v>
      </c>
      <c r="AW406" s="35"/>
      <c r="AX406" s="30"/>
      <c r="AY406" s="32">
        <f t="shared" si="152"/>
        <v>0</v>
      </c>
      <c r="AZ406" s="30" t="s">
        <v>841</v>
      </c>
      <c r="BA406" s="63"/>
      <c r="BB406" s="71" t="e">
        <f>SUMIFS([1]Form!$F$9:$F$22,[1]Form!$K$9:$K$22,K406)</f>
        <v>#VALUE!</v>
      </c>
      <c r="BC406" s="71"/>
      <c r="BD406" s="71"/>
    </row>
    <row r="407" spans="1:56" x14ac:dyDescent="0.25">
      <c r="A407" s="24">
        <f>IF(B407="","",SUBTOTAL(3,$B$4:B407))</f>
        <v>404</v>
      </c>
      <c r="B407" s="25" t="s">
        <v>840</v>
      </c>
      <c r="C407" s="25" t="str">
        <f t="shared" si="144"/>
        <v>Shipment 1 B-10124 Fired Proces Heater</v>
      </c>
      <c r="D407" s="25" t="s">
        <v>839</v>
      </c>
      <c r="E407" s="25" t="s">
        <v>838</v>
      </c>
      <c r="F407" s="25"/>
      <c r="G407" s="65"/>
      <c r="H407" s="25" t="s">
        <v>842</v>
      </c>
      <c r="I407" s="25"/>
      <c r="J407" s="26" t="s">
        <v>845</v>
      </c>
      <c r="K407" s="27" t="s">
        <v>518</v>
      </c>
      <c r="L407" s="28" t="s">
        <v>519</v>
      </c>
      <c r="M407" s="28" t="s">
        <v>777</v>
      </c>
      <c r="N407" s="25">
        <v>1</v>
      </c>
      <c r="O407" s="29">
        <v>200.28333333333333</v>
      </c>
      <c r="P407" s="29">
        <v>200.28333333333333</v>
      </c>
      <c r="Q407" s="25" t="s">
        <v>793</v>
      </c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145"/>
        <v>0</v>
      </c>
      <c r="AF407" s="32">
        <f t="shared" si="146"/>
        <v>200.28333333333333</v>
      </c>
      <c r="AG407" s="30"/>
      <c r="AH407" s="33"/>
      <c r="AI407" s="34">
        <f t="shared" si="147"/>
        <v>0</v>
      </c>
      <c r="AJ407" s="35"/>
      <c r="AK407" s="30"/>
      <c r="AL407" s="36">
        <f t="shared" si="148"/>
        <v>0</v>
      </c>
      <c r="AM407" s="35"/>
      <c r="AN407" s="30"/>
      <c r="AO407" s="36">
        <f t="shared" si="149"/>
        <v>0</v>
      </c>
      <c r="AP407" s="35"/>
      <c r="AQ407" s="30"/>
      <c r="AR407" s="36">
        <f t="shared" si="150"/>
        <v>0</v>
      </c>
      <c r="AS407" s="27"/>
      <c r="AT407" s="37"/>
      <c r="AU407" s="30"/>
      <c r="AV407" s="36">
        <f t="shared" si="151"/>
        <v>0</v>
      </c>
      <c r="AW407" s="35"/>
      <c r="AX407" s="30"/>
      <c r="AY407" s="32">
        <f t="shared" si="152"/>
        <v>0</v>
      </c>
      <c r="AZ407" s="30" t="s">
        <v>841</v>
      </c>
      <c r="BA407" s="63"/>
      <c r="BB407" s="71" t="e">
        <f>SUMIFS([1]Form!$F$9:$F$22,[1]Form!$K$9:$K$22,K407)</f>
        <v>#VALUE!</v>
      </c>
      <c r="BC407" s="71"/>
      <c r="BD407" s="71"/>
    </row>
    <row r="408" spans="1:56" x14ac:dyDescent="0.25">
      <c r="A408" s="24">
        <f>IF(B408="","",SUBTOTAL(3,$B$4:B408))</f>
        <v>405</v>
      </c>
      <c r="B408" s="25" t="s">
        <v>840</v>
      </c>
      <c r="C408" s="25" t="str">
        <f t="shared" si="144"/>
        <v>Shipment 1 B-10124 Fired Proces Heater</v>
      </c>
      <c r="D408" s="25" t="s">
        <v>839</v>
      </c>
      <c r="E408" s="25" t="s">
        <v>838</v>
      </c>
      <c r="F408" s="25"/>
      <c r="G408" s="65"/>
      <c r="H408" s="25" t="s">
        <v>842</v>
      </c>
      <c r="I408" s="25"/>
      <c r="J408" s="26" t="s">
        <v>845</v>
      </c>
      <c r="K408" s="27" t="s">
        <v>518</v>
      </c>
      <c r="L408" s="28" t="s">
        <v>520</v>
      </c>
      <c r="M408" s="28" t="s">
        <v>777</v>
      </c>
      <c r="N408" s="25">
        <v>1</v>
      </c>
      <c r="O408" s="29">
        <v>200.28333333333333</v>
      </c>
      <c r="P408" s="29">
        <v>200.28333333333333</v>
      </c>
      <c r="Q408" s="25" t="s">
        <v>793</v>
      </c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145"/>
        <v>0</v>
      </c>
      <c r="AF408" s="32">
        <f t="shared" si="146"/>
        <v>200.28333333333333</v>
      </c>
      <c r="AG408" s="30"/>
      <c r="AH408" s="33"/>
      <c r="AI408" s="34">
        <f t="shared" si="147"/>
        <v>0</v>
      </c>
      <c r="AJ408" s="35"/>
      <c r="AK408" s="30"/>
      <c r="AL408" s="36">
        <f t="shared" si="148"/>
        <v>0</v>
      </c>
      <c r="AM408" s="35"/>
      <c r="AN408" s="30"/>
      <c r="AO408" s="36">
        <f t="shared" si="149"/>
        <v>0</v>
      </c>
      <c r="AP408" s="35"/>
      <c r="AQ408" s="30"/>
      <c r="AR408" s="36">
        <f t="shared" si="150"/>
        <v>0</v>
      </c>
      <c r="AS408" s="27"/>
      <c r="AT408" s="37"/>
      <c r="AU408" s="30"/>
      <c r="AV408" s="36">
        <f t="shared" si="151"/>
        <v>0</v>
      </c>
      <c r="AW408" s="35"/>
      <c r="AX408" s="30"/>
      <c r="AY408" s="32">
        <f t="shared" si="152"/>
        <v>0</v>
      </c>
      <c r="AZ408" s="30" t="s">
        <v>841</v>
      </c>
      <c r="BA408" s="63"/>
      <c r="BB408" s="71" t="e">
        <f>SUMIFS([1]Form!$F$9:$F$22,[1]Form!$K$9:$K$22,K408)</f>
        <v>#VALUE!</v>
      </c>
      <c r="BC408" s="71"/>
      <c r="BD408" s="71"/>
    </row>
    <row r="409" spans="1:56" x14ac:dyDescent="0.25">
      <c r="A409" s="24">
        <f>IF(B409="","",SUBTOTAL(3,$B$4:B409))</f>
        <v>406</v>
      </c>
      <c r="B409" s="25" t="s">
        <v>840</v>
      </c>
      <c r="C409" s="25" t="str">
        <f t="shared" si="144"/>
        <v>Shipment 1 B-10124 Fired Proces Heater</v>
      </c>
      <c r="D409" s="25" t="s">
        <v>839</v>
      </c>
      <c r="E409" s="25" t="s">
        <v>838</v>
      </c>
      <c r="F409" s="25"/>
      <c r="G409" s="65"/>
      <c r="H409" s="25" t="s">
        <v>842</v>
      </c>
      <c r="I409" s="25"/>
      <c r="J409" s="26" t="s">
        <v>845</v>
      </c>
      <c r="K409" s="27" t="s">
        <v>518</v>
      </c>
      <c r="L409" s="28" t="s">
        <v>521</v>
      </c>
      <c r="M409" s="28" t="s">
        <v>777</v>
      </c>
      <c r="N409" s="25">
        <v>1</v>
      </c>
      <c r="O409" s="29">
        <v>200.28333333333333</v>
      </c>
      <c r="P409" s="29">
        <v>200.28333333333333</v>
      </c>
      <c r="Q409" s="25" t="s">
        <v>793</v>
      </c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145"/>
        <v>0</v>
      </c>
      <c r="AF409" s="32">
        <f t="shared" si="146"/>
        <v>200.28333333333333</v>
      </c>
      <c r="AG409" s="30"/>
      <c r="AH409" s="33"/>
      <c r="AI409" s="34">
        <f t="shared" si="147"/>
        <v>0</v>
      </c>
      <c r="AJ409" s="35"/>
      <c r="AK409" s="30"/>
      <c r="AL409" s="36">
        <f t="shared" si="148"/>
        <v>0</v>
      </c>
      <c r="AM409" s="35"/>
      <c r="AN409" s="30"/>
      <c r="AO409" s="36">
        <f t="shared" si="149"/>
        <v>0</v>
      </c>
      <c r="AP409" s="35"/>
      <c r="AQ409" s="30"/>
      <c r="AR409" s="36">
        <f t="shared" si="150"/>
        <v>0</v>
      </c>
      <c r="AS409" s="27"/>
      <c r="AT409" s="37"/>
      <c r="AU409" s="30"/>
      <c r="AV409" s="36">
        <f t="shared" si="151"/>
        <v>0</v>
      </c>
      <c r="AW409" s="35"/>
      <c r="AX409" s="30"/>
      <c r="AY409" s="32">
        <f t="shared" si="152"/>
        <v>0</v>
      </c>
      <c r="AZ409" s="30" t="s">
        <v>841</v>
      </c>
      <c r="BA409" s="63"/>
      <c r="BB409" s="71" t="e">
        <f>SUMIFS([1]Form!$F$9:$F$22,[1]Form!$K$9:$K$22,K409)</f>
        <v>#VALUE!</v>
      </c>
      <c r="BC409" s="71"/>
      <c r="BD409" s="71"/>
    </row>
    <row r="410" spans="1:56" x14ac:dyDescent="0.25">
      <c r="A410" s="24">
        <f>IF(B410="","",SUBTOTAL(3,$B$4:B410))</f>
        <v>407</v>
      </c>
      <c r="B410" s="25" t="s">
        <v>840</v>
      </c>
      <c r="C410" s="25" t="str">
        <f t="shared" si="144"/>
        <v>Shipment 1 B-10124 Fired Proces Heater</v>
      </c>
      <c r="D410" s="25" t="s">
        <v>839</v>
      </c>
      <c r="E410" s="25" t="s">
        <v>838</v>
      </c>
      <c r="F410" s="25"/>
      <c r="G410" s="65"/>
      <c r="H410" s="25" t="s">
        <v>842</v>
      </c>
      <c r="I410" s="25"/>
      <c r="J410" s="26" t="s">
        <v>845</v>
      </c>
      <c r="K410" s="27" t="s">
        <v>518</v>
      </c>
      <c r="L410" s="28" t="s">
        <v>522</v>
      </c>
      <c r="M410" s="28" t="s">
        <v>777</v>
      </c>
      <c r="N410" s="25">
        <v>1</v>
      </c>
      <c r="O410" s="29">
        <v>200.28333333333333</v>
      </c>
      <c r="P410" s="29">
        <v>200.28333333333333</v>
      </c>
      <c r="Q410" s="25" t="s">
        <v>793</v>
      </c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145"/>
        <v>0</v>
      </c>
      <c r="AF410" s="32">
        <f t="shared" si="146"/>
        <v>200.28333333333333</v>
      </c>
      <c r="AG410" s="30"/>
      <c r="AH410" s="33"/>
      <c r="AI410" s="34">
        <f t="shared" si="147"/>
        <v>0</v>
      </c>
      <c r="AJ410" s="35"/>
      <c r="AK410" s="30"/>
      <c r="AL410" s="36">
        <f t="shared" si="148"/>
        <v>0</v>
      </c>
      <c r="AM410" s="35"/>
      <c r="AN410" s="30"/>
      <c r="AO410" s="36">
        <f t="shared" si="149"/>
        <v>0</v>
      </c>
      <c r="AP410" s="35"/>
      <c r="AQ410" s="30"/>
      <c r="AR410" s="36">
        <f t="shared" si="150"/>
        <v>0</v>
      </c>
      <c r="AS410" s="27"/>
      <c r="AT410" s="37"/>
      <c r="AU410" s="30"/>
      <c r="AV410" s="36">
        <f t="shared" si="151"/>
        <v>0</v>
      </c>
      <c r="AW410" s="35"/>
      <c r="AX410" s="30"/>
      <c r="AY410" s="32">
        <f t="shared" si="152"/>
        <v>0</v>
      </c>
      <c r="AZ410" s="30" t="s">
        <v>841</v>
      </c>
      <c r="BA410" s="63"/>
      <c r="BB410" s="71" t="e">
        <f>SUMIFS([1]Form!$F$9:$F$22,[1]Form!$K$9:$K$22,K410)</f>
        <v>#VALUE!</v>
      </c>
      <c r="BC410" s="71"/>
      <c r="BD410" s="71"/>
    </row>
    <row r="411" spans="1:56" x14ac:dyDescent="0.25">
      <c r="A411" s="24">
        <f>IF(B411="","",SUBTOTAL(3,$B$4:B411))</f>
        <v>408</v>
      </c>
      <c r="B411" s="25" t="s">
        <v>840</v>
      </c>
      <c r="C411" s="25" t="str">
        <f t="shared" si="144"/>
        <v>Shipment 1 B-10124 Fired Proces Heater</v>
      </c>
      <c r="D411" s="25" t="s">
        <v>839</v>
      </c>
      <c r="E411" s="25" t="s">
        <v>838</v>
      </c>
      <c r="F411" s="25"/>
      <c r="G411" s="65"/>
      <c r="H411" s="25" t="s">
        <v>842</v>
      </c>
      <c r="I411" s="25"/>
      <c r="J411" s="26" t="s">
        <v>845</v>
      </c>
      <c r="K411" s="27" t="s">
        <v>518</v>
      </c>
      <c r="L411" s="28" t="s">
        <v>523</v>
      </c>
      <c r="M411" s="28" t="s">
        <v>777</v>
      </c>
      <c r="N411" s="25">
        <v>1</v>
      </c>
      <c r="O411" s="29">
        <v>200.28333333333333</v>
      </c>
      <c r="P411" s="29">
        <v>200.28333333333333</v>
      </c>
      <c r="Q411" s="25" t="s">
        <v>793</v>
      </c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145"/>
        <v>0</v>
      </c>
      <c r="AF411" s="32">
        <f t="shared" si="146"/>
        <v>200.28333333333333</v>
      </c>
      <c r="AG411" s="30"/>
      <c r="AH411" s="33"/>
      <c r="AI411" s="34">
        <f t="shared" si="147"/>
        <v>0</v>
      </c>
      <c r="AJ411" s="35"/>
      <c r="AK411" s="30"/>
      <c r="AL411" s="36">
        <f t="shared" si="148"/>
        <v>0</v>
      </c>
      <c r="AM411" s="35"/>
      <c r="AN411" s="30"/>
      <c r="AO411" s="36">
        <f t="shared" si="149"/>
        <v>0</v>
      </c>
      <c r="AP411" s="35"/>
      <c r="AQ411" s="30"/>
      <c r="AR411" s="36">
        <f t="shared" si="150"/>
        <v>0</v>
      </c>
      <c r="AS411" s="27"/>
      <c r="AT411" s="37"/>
      <c r="AU411" s="30"/>
      <c r="AV411" s="36">
        <f t="shared" si="151"/>
        <v>0</v>
      </c>
      <c r="AW411" s="35"/>
      <c r="AX411" s="30"/>
      <c r="AY411" s="32">
        <f t="shared" si="152"/>
        <v>0</v>
      </c>
      <c r="AZ411" s="30" t="s">
        <v>841</v>
      </c>
      <c r="BA411" s="63"/>
      <c r="BB411" s="71" t="e">
        <f>SUMIFS([1]Form!$F$9:$F$22,[1]Form!$K$9:$K$22,K411)</f>
        <v>#VALUE!</v>
      </c>
      <c r="BC411" s="71"/>
      <c r="BD411" s="71"/>
    </row>
    <row r="412" spans="1:56" x14ac:dyDescent="0.25">
      <c r="A412" s="24">
        <f>IF(B412="","",SUBTOTAL(3,$B$4:B412))</f>
        <v>409</v>
      </c>
      <c r="B412" s="25" t="s">
        <v>840</v>
      </c>
      <c r="C412" s="25" t="str">
        <f t="shared" si="144"/>
        <v>Shipment 1 B-10124 Fired Proces Heater</v>
      </c>
      <c r="D412" s="25" t="s">
        <v>839</v>
      </c>
      <c r="E412" s="25" t="s">
        <v>838</v>
      </c>
      <c r="F412" s="25"/>
      <c r="G412" s="65"/>
      <c r="H412" s="25" t="s">
        <v>842</v>
      </c>
      <c r="I412" s="25"/>
      <c r="J412" s="26" t="s">
        <v>845</v>
      </c>
      <c r="K412" s="27" t="s">
        <v>518</v>
      </c>
      <c r="L412" s="28" t="s">
        <v>524</v>
      </c>
      <c r="M412" s="28" t="s">
        <v>777</v>
      </c>
      <c r="N412" s="25">
        <v>1</v>
      </c>
      <c r="O412" s="29">
        <v>200.28333333333333</v>
      </c>
      <c r="P412" s="29">
        <v>200.28333333333333</v>
      </c>
      <c r="Q412" s="25" t="s">
        <v>793</v>
      </c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145"/>
        <v>0</v>
      </c>
      <c r="AF412" s="32">
        <f t="shared" si="146"/>
        <v>200.28333333333333</v>
      </c>
      <c r="AG412" s="30"/>
      <c r="AH412" s="33"/>
      <c r="AI412" s="34">
        <f t="shared" si="147"/>
        <v>0</v>
      </c>
      <c r="AJ412" s="35"/>
      <c r="AK412" s="30"/>
      <c r="AL412" s="36">
        <f t="shared" si="148"/>
        <v>0</v>
      </c>
      <c r="AM412" s="35"/>
      <c r="AN412" s="30"/>
      <c r="AO412" s="36">
        <f t="shared" si="149"/>
        <v>0</v>
      </c>
      <c r="AP412" s="35"/>
      <c r="AQ412" s="30"/>
      <c r="AR412" s="36">
        <f t="shared" si="150"/>
        <v>0</v>
      </c>
      <c r="AS412" s="27"/>
      <c r="AT412" s="37"/>
      <c r="AU412" s="30"/>
      <c r="AV412" s="36">
        <f t="shared" si="151"/>
        <v>0</v>
      </c>
      <c r="AW412" s="35"/>
      <c r="AX412" s="30"/>
      <c r="AY412" s="32">
        <f t="shared" si="152"/>
        <v>0</v>
      </c>
      <c r="AZ412" s="30" t="s">
        <v>841</v>
      </c>
      <c r="BA412" s="63"/>
      <c r="BB412" s="71" t="e">
        <f>SUMIFS([1]Form!$F$9:$F$22,[1]Form!$K$9:$K$22,K412)</f>
        <v>#VALUE!</v>
      </c>
      <c r="BC412" s="71"/>
      <c r="BD412" s="71"/>
    </row>
    <row r="413" spans="1:56" x14ac:dyDescent="0.25">
      <c r="A413" s="24">
        <f>IF(B413="","",SUBTOTAL(3,$B$4:B413))</f>
        <v>410</v>
      </c>
      <c r="B413" s="25" t="s">
        <v>840</v>
      </c>
      <c r="C413" s="25" t="str">
        <f t="shared" si="144"/>
        <v>Shipment 1 B-10124 Fired Proces Heater</v>
      </c>
      <c r="D413" s="25" t="s">
        <v>839</v>
      </c>
      <c r="E413" s="25" t="s">
        <v>838</v>
      </c>
      <c r="F413" s="25"/>
      <c r="G413" s="65"/>
      <c r="H413" s="25" t="s">
        <v>842</v>
      </c>
      <c r="I413" s="25"/>
      <c r="J413" s="26" t="s">
        <v>845</v>
      </c>
      <c r="K413" s="27" t="s">
        <v>525</v>
      </c>
      <c r="L413" s="28" t="s">
        <v>526</v>
      </c>
      <c r="M413" s="28" t="s">
        <v>777</v>
      </c>
      <c r="N413" s="25">
        <v>1</v>
      </c>
      <c r="O413" s="29">
        <v>134.48749999999998</v>
      </c>
      <c r="P413" s="29">
        <v>134.48749999999998</v>
      </c>
      <c r="Q413" s="25" t="s">
        <v>794</v>
      </c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145"/>
        <v>0</v>
      </c>
      <c r="AF413" s="32">
        <f t="shared" si="146"/>
        <v>134.48749999999998</v>
      </c>
      <c r="AG413" s="30"/>
      <c r="AH413" s="33"/>
      <c r="AI413" s="34">
        <f t="shared" si="147"/>
        <v>0</v>
      </c>
      <c r="AJ413" s="35"/>
      <c r="AK413" s="30"/>
      <c r="AL413" s="36">
        <f t="shared" si="148"/>
        <v>0</v>
      </c>
      <c r="AM413" s="35"/>
      <c r="AN413" s="30"/>
      <c r="AO413" s="36">
        <f t="shared" si="149"/>
        <v>0</v>
      </c>
      <c r="AP413" s="35"/>
      <c r="AQ413" s="30"/>
      <c r="AR413" s="36">
        <f t="shared" si="150"/>
        <v>0</v>
      </c>
      <c r="AS413" s="27"/>
      <c r="AT413" s="37"/>
      <c r="AU413" s="30"/>
      <c r="AV413" s="36">
        <f t="shared" si="151"/>
        <v>0</v>
      </c>
      <c r="AW413" s="35"/>
      <c r="AX413" s="30"/>
      <c r="AY413" s="32">
        <f t="shared" si="152"/>
        <v>0</v>
      </c>
      <c r="AZ413" s="30" t="s">
        <v>841</v>
      </c>
      <c r="BA413" s="63"/>
      <c r="BB413" s="71" t="e">
        <f>SUMIFS([1]Form!$F$9:$F$22,[1]Form!$K$9:$K$22,K413)</f>
        <v>#VALUE!</v>
      </c>
      <c r="BC413" s="71"/>
      <c r="BD413" s="71"/>
    </row>
    <row r="414" spans="1:56" x14ac:dyDescent="0.25">
      <c r="A414" s="24">
        <f>IF(B414="","",SUBTOTAL(3,$B$4:B414))</f>
        <v>411</v>
      </c>
      <c r="B414" s="25" t="s">
        <v>840</v>
      </c>
      <c r="C414" s="25" t="str">
        <f t="shared" si="144"/>
        <v>Shipment 1 B-10124 Fired Proces Heater</v>
      </c>
      <c r="D414" s="25" t="s">
        <v>839</v>
      </c>
      <c r="E414" s="25" t="s">
        <v>838</v>
      </c>
      <c r="F414" s="25"/>
      <c r="G414" s="65"/>
      <c r="H414" s="25" t="s">
        <v>842</v>
      </c>
      <c r="I414" s="25"/>
      <c r="J414" s="26" t="s">
        <v>845</v>
      </c>
      <c r="K414" s="27" t="s">
        <v>525</v>
      </c>
      <c r="L414" s="28" t="s">
        <v>527</v>
      </c>
      <c r="M414" s="28" t="s">
        <v>777</v>
      </c>
      <c r="N414" s="25">
        <v>1</v>
      </c>
      <c r="O414" s="29">
        <v>134.48749999999998</v>
      </c>
      <c r="P414" s="29">
        <v>134.48749999999998</v>
      </c>
      <c r="Q414" s="25" t="s">
        <v>794</v>
      </c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145"/>
        <v>0</v>
      </c>
      <c r="AF414" s="32">
        <f t="shared" si="146"/>
        <v>134.48749999999998</v>
      </c>
      <c r="AG414" s="30"/>
      <c r="AH414" s="33"/>
      <c r="AI414" s="34">
        <f t="shared" si="147"/>
        <v>0</v>
      </c>
      <c r="AJ414" s="35"/>
      <c r="AK414" s="30"/>
      <c r="AL414" s="36">
        <f t="shared" si="148"/>
        <v>0</v>
      </c>
      <c r="AM414" s="35"/>
      <c r="AN414" s="30"/>
      <c r="AO414" s="36">
        <f t="shared" si="149"/>
        <v>0</v>
      </c>
      <c r="AP414" s="35"/>
      <c r="AQ414" s="30"/>
      <c r="AR414" s="36">
        <f t="shared" si="150"/>
        <v>0</v>
      </c>
      <c r="AS414" s="27"/>
      <c r="AT414" s="37"/>
      <c r="AU414" s="30"/>
      <c r="AV414" s="36">
        <f t="shared" si="151"/>
        <v>0</v>
      </c>
      <c r="AW414" s="35"/>
      <c r="AX414" s="30"/>
      <c r="AY414" s="32">
        <f t="shared" si="152"/>
        <v>0</v>
      </c>
      <c r="AZ414" s="30" t="s">
        <v>841</v>
      </c>
      <c r="BA414" s="63"/>
      <c r="BB414" s="71" t="e">
        <f>SUMIFS([1]Form!$F$9:$F$22,[1]Form!$K$9:$K$22,K414)</f>
        <v>#VALUE!</v>
      </c>
      <c r="BC414" s="71"/>
      <c r="BD414" s="71"/>
    </row>
    <row r="415" spans="1:56" x14ac:dyDescent="0.25">
      <c r="A415" s="24">
        <f>IF(B415="","",SUBTOTAL(3,$B$4:B415))</f>
        <v>412</v>
      </c>
      <c r="B415" s="25" t="s">
        <v>840</v>
      </c>
      <c r="C415" s="25" t="str">
        <f t="shared" si="144"/>
        <v>Shipment 1 B-10124 Fired Proces Heater</v>
      </c>
      <c r="D415" s="25" t="s">
        <v>839</v>
      </c>
      <c r="E415" s="25" t="s">
        <v>838</v>
      </c>
      <c r="F415" s="25"/>
      <c r="G415" s="65"/>
      <c r="H415" s="25" t="s">
        <v>842</v>
      </c>
      <c r="I415" s="25"/>
      <c r="J415" s="26" t="s">
        <v>845</v>
      </c>
      <c r="K415" s="27" t="s">
        <v>525</v>
      </c>
      <c r="L415" s="28" t="s">
        <v>528</v>
      </c>
      <c r="M415" s="28" t="s">
        <v>777</v>
      </c>
      <c r="N415" s="25">
        <v>1</v>
      </c>
      <c r="O415" s="29">
        <v>134.48749999999998</v>
      </c>
      <c r="P415" s="29">
        <v>134.48749999999998</v>
      </c>
      <c r="Q415" s="25" t="s">
        <v>794</v>
      </c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145"/>
        <v>0</v>
      </c>
      <c r="AF415" s="32">
        <f t="shared" si="146"/>
        <v>134.48749999999998</v>
      </c>
      <c r="AG415" s="30"/>
      <c r="AH415" s="33"/>
      <c r="AI415" s="34">
        <f t="shared" si="147"/>
        <v>0</v>
      </c>
      <c r="AJ415" s="35"/>
      <c r="AK415" s="30"/>
      <c r="AL415" s="36">
        <f t="shared" si="148"/>
        <v>0</v>
      </c>
      <c r="AM415" s="35"/>
      <c r="AN415" s="30"/>
      <c r="AO415" s="36">
        <f t="shared" si="149"/>
        <v>0</v>
      </c>
      <c r="AP415" s="35"/>
      <c r="AQ415" s="30"/>
      <c r="AR415" s="36">
        <f t="shared" si="150"/>
        <v>0</v>
      </c>
      <c r="AS415" s="27"/>
      <c r="AT415" s="37"/>
      <c r="AU415" s="30"/>
      <c r="AV415" s="36">
        <f t="shared" si="151"/>
        <v>0</v>
      </c>
      <c r="AW415" s="35"/>
      <c r="AX415" s="30"/>
      <c r="AY415" s="32">
        <f t="shared" si="152"/>
        <v>0</v>
      </c>
      <c r="AZ415" s="30" t="s">
        <v>841</v>
      </c>
      <c r="BA415" s="63"/>
      <c r="BB415" s="71" t="e">
        <f>SUMIFS([1]Form!$F$9:$F$22,[1]Form!$K$9:$K$22,K415)</f>
        <v>#VALUE!</v>
      </c>
      <c r="BC415" s="71"/>
      <c r="BD415" s="71"/>
    </row>
    <row r="416" spans="1:56" x14ac:dyDescent="0.25">
      <c r="A416" s="24">
        <f>IF(B416="","",SUBTOTAL(3,$B$4:B416))</f>
        <v>413</v>
      </c>
      <c r="B416" s="25" t="s">
        <v>840</v>
      </c>
      <c r="C416" s="25" t="str">
        <f t="shared" si="144"/>
        <v>Shipment 1 B-10124 Fired Proces Heater</v>
      </c>
      <c r="D416" s="25" t="s">
        <v>839</v>
      </c>
      <c r="E416" s="25" t="s">
        <v>838</v>
      </c>
      <c r="F416" s="25"/>
      <c r="G416" s="65"/>
      <c r="H416" s="25" t="s">
        <v>842</v>
      </c>
      <c r="I416" s="25"/>
      <c r="J416" s="26" t="s">
        <v>845</v>
      </c>
      <c r="K416" s="27" t="s">
        <v>525</v>
      </c>
      <c r="L416" s="28" t="s">
        <v>529</v>
      </c>
      <c r="M416" s="28" t="s">
        <v>777</v>
      </c>
      <c r="N416" s="25">
        <v>1</v>
      </c>
      <c r="O416" s="29">
        <v>134.48749999999998</v>
      </c>
      <c r="P416" s="29">
        <v>134.48749999999998</v>
      </c>
      <c r="Q416" s="25" t="s">
        <v>794</v>
      </c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145"/>
        <v>0</v>
      </c>
      <c r="AF416" s="32">
        <f t="shared" si="146"/>
        <v>134.48749999999998</v>
      </c>
      <c r="AG416" s="30"/>
      <c r="AH416" s="33"/>
      <c r="AI416" s="34">
        <f t="shared" si="147"/>
        <v>0</v>
      </c>
      <c r="AJ416" s="35"/>
      <c r="AK416" s="30"/>
      <c r="AL416" s="36">
        <f t="shared" si="148"/>
        <v>0</v>
      </c>
      <c r="AM416" s="35"/>
      <c r="AN416" s="30"/>
      <c r="AO416" s="36">
        <f t="shared" si="149"/>
        <v>0</v>
      </c>
      <c r="AP416" s="35"/>
      <c r="AQ416" s="30"/>
      <c r="AR416" s="36">
        <f t="shared" si="150"/>
        <v>0</v>
      </c>
      <c r="AS416" s="27"/>
      <c r="AT416" s="37"/>
      <c r="AU416" s="30"/>
      <c r="AV416" s="36">
        <f t="shared" si="151"/>
        <v>0</v>
      </c>
      <c r="AW416" s="35"/>
      <c r="AX416" s="30"/>
      <c r="AY416" s="32">
        <f t="shared" si="152"/>
        <v>0</v>
      </c>
      <c r="AZ416" s="30" t="s">
        <v>841</v>
      </c>
      <c r="BA416" s="63"/>
      <c r="BB416" s="71" t="e">
        <f>SUMIFS([1]Form!$F$9:$F$22,[1]Form!$K$9:$K$22,K416)</f>
        <v>#VALUE!</v>
      </c>
      <c r="BC416" s="71"/>
      <c r="BD416" s="71"/>
    </row>
    <row r="417" spans="1:56" x14ac:dyDescent="0.25">
      <c r="A417" s="24">
        <f>IF(B417="","",SUBTOTAL(3,$B$4:B417))</f>
        <v>414</v>
      </c>
      <c r="B417" s="25" t="s">
        <v>840</v>
      </c>
      <c r="C417" s="25" t="str">
        <f t="shared" si="144"/>
        <v>Shipment 1 B-10124 Fired Proces Heater</v>
      </c>
      <c r="D417" s="25" t="s">
        <v>839</v>
      </c>
      <c r="E417" s="25" t="s">
        <v>838</v>
      </c>
      <c r="F417" s="25"/>
      <c r="G417" s="65"/>
      <c r="H417" s="25" t="s">
        <v>842</v>
      </c>
      <c r="I417" s="25"/>
      <c r="J417" s="26" t="s">
        <v>845</v>
      </c>
      <c r="K417" s="27" t="s">
        <v>525</v>
      </c>
      <c r="L417" s="28" t="s">
        <v>530</v>
      </c>
      <c r="M417" s="28" t="s">
        <v>777</v>
      </c>
      <c r="N417" s="25">
        <v>1</v>
      </c>
      <c r="O417" s="29">
        <v>134.48749999999998</v>
      </c>
      <c r="P417" s="29">
        <v>134.48749999999998</v>
      </c>
      <c r="Q417" s="25" t="s">
        <v>794</v>
      </c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145"/>
        <v>0</v>
      </c>
      <c r="AF417" s="32">
        <f t="shared" si="146"/>
        <v>134.48749999999998</v>
      </c>
      <c r="AG417" s="30"/>
      <c r="AH417" s="33"/>
      <c r="AI417" s="34">
        <f t="shared" si="147"/>
        <v>0</v>
      </c>
      <c r="AJ417" s="35"/>
      <c r="AK417" s="30"/>
      <c r="AL417" s="36">
        <f t="shared" si="148"/>
        <v>0</v>
      </c>
      <c r="AM417" s="35"/>
      <c r="AN417" s="30"/>
      <c r="AO417" s="36">
        <f t="shared" si="149"/>
        <v>0</v>
      </c>
      <c r="AP417" s="35"/>
      <c r="AQ417" s="30"/>
      <c r="AR417" s="36">
        <f t="shared" si="150"/>
        <v>0</v>
      </c>
      <c r="AS417" s="27"/>
      <c r="AT417" s="37"/>
      <c r="AU417" s="30"/>
      <c r="AV417" s="36">
        <f t="shared" si="151"/>
        <v>0</v>
      </c>
      <c r="AW417" s="35"/>
      <c r="AX417" s="30"/>
      <c r="AY417" s="32">
        <f t="shared" si="152"/>
        <v>0</v>
      </c>
      <c r="AZ417" s="30" t="s">
        <v>841</v>
      </c>
      <c r="BA417" s="63"/>
      <c r="BB417" s="71" t="e">
        <f>SUMIFS([1]Form!$F$9:$F$22,[1]Form!$K$9:$K$22,K417)</f>
        <v>#VALUE!</v>
      </c>
      <c r="BC417" s="71"/>
      <c r="BD417" s="71"/>
    </row>
    <row r="418" spans="1:56" x14ac:dyDescent="0.25">
      <c r="A418" s="24">
        <f>IF(B418="","",SUBTOTAL(3,$B$4:B418))</f>
        <v>415</v>
      </c>
      <c r="B418" s="25" t="s">
        <v>840</v>
      </c>
      <c r="C418" s="25" t="str">
        <f t="shared" si="144"/>
        <v>Shipment 1 B-10124 Fired Proces Heater</v>
      </c>
      <c r="D418" s="25" t="s">
        <v>839</v>
      </c>
      <c r="E418" s="25" t="s">
        <v>838</v>
      </c>
      <c r="F418" s="25"/>
      <c r="G418" s="65"/>
      <c r="H418" s="25" t="s">
        <v>842</v>
      </c>
      <c r="I418" s="25"/>
      <c r="J418" s="26" t="s">
        <v>845</v>
      </c>
      <c r="K418" s="27" t="s">
        <v>525</v>
      </c>
      <c r="L418" s="28" t="s">
        <v>531</v>
      </c>
      <c r="M418" s="28" t="s">
        <v>777</v>
      </c>
      <c r="N418" s="25">
        <v>1</v>
      </c>
      <c r="O418" s="29">
        <v>134.48749999999998</v>
      </c>
      <c r="P418" s="29">
        <v>134.48749999999998</v>
      </c>
      <c r="Q418" s="25" t="s">
        <v>794</v>
      </c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145"/>
        <v>0</v>
      </c>
      <c r="AF418" s="32">
        <f t="shared" si="146"/>
        <v>134.48749999999998</v>
      </c>
      <c r="AG418" s="30"/>
      <c r="AH418" s="33"/>
      <c r="AI418" s="34">
        <f t="shared" si="147"/>
        <v>0</v>
      </c>
      <c r="AJ418" s="35"/>
      <c r="AK418" s="30"/>
      <c r="AL418" s="36">
        <f t="shared" si="148"/>
        <v>0</v>
      </c>
      <c r="AM418" s="35"/>
      <c r="AN418" s="30"/>
      <c r="AO418" s="36">
        <f t="shared" si="149"/>
        <v>0</v>
      </c>
      <c r="AP418" s="35"/>
      <c r="AQ418" s="30"/>
      <c r="AR418" s="36">
        <f t="shared" si="150"/>
        <v>0</v>
      </c>
      <c r="AS418" s="27"/>
      <c r="AT418" s="37"/>
      <c r="AU418" s="30"/>
      <c r="AV418" s="36">
        <f t="shared" si="151"/>
        <v>0</v>
      </c>
      <c r="AW418" s="35"/>
      <c r="AX418" s="30"/>
      <c r="AY418" s="32">
        <f t="shared" si="152"/>
        <v>0</v>
      </c>
      <c r="AZ418" s="30" t="s">
        <v>841</v>
      </c>
      <c r="BA418" s="63"/>
      <c r="BB418" s="71" t="e">
        <f>SUMIFS([1]Form!$F$9:$F$22,[1]Form!$K$9:$K$22,K418)</f>
        <v>#VALUE!</v>
      </c>
      <c r="BC418" s="71"/>
      <c r="BD418" s="71"/>
    </row>
    <row r="419" spans="1:56" x14ac:dyDescent="0.25">
      <c r="A419" s="24">
        <f>IF(B419="","",SUBTOTAL(3,$B$4:B419))</f>
        <v>416</v>
      </c>
      <c r="B419" s="25" t="s">
        <v>840</v>
      </c>
      <c r="C419" s="25" t="str">
        <f t="shared" si="144"/>
        <v>Shipment 1 B-10124 Fired Proces Heater</v>
      </c>
      <c r="D419" s="25" t="s">
        <v>839</v>
      </c>
      <c r="E419" s="25" t="s">
        <v>838</v>
      </c>
      <c r="F419" s="25"/>
      <c r="G419" s="65"/>
      <c r="H419" s="25" t="s">
        <v>842</v>
      </c>
      <c r="I419" s="25"/>
      <c r="J419" s="26" t="s">
        <v>845</v>
      </c>
      <c r="K419" s="27" t="s">
        <v>525</v>
      </c>
      <c r="L419" s="28" t="s">
        <v>532</v>
      </c>
      <c r="M419" s="28" t="s">
        <v>777</v>
      </c>
      <c r="N419" s="25">
        <v>1</v>
      </c>
      <c r="O419" s="29">
        <v>134.48749999999998</v>
      </c>
      <c r="P419" s="29">
        <v>134.48749999999998</v>
      </c>
      <c r="Q419" s="25" t="s">
        <v>794</v>
      </c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145"/>
        <v>0</v>
      </c>
      <c r="AF419" s="32">
        <f t="shared" si="146"/>
        <v>134.48749999999998</v>
      </c>
      <c r="AG419" s="30"/>
      <c r="AH419" s="33"/>
      <c r="AI419" s="34">
        <f t="shared" si="147"/>
        <v>0</v>
      </c>
      <c r="AJ419" s="35"/>
      <c r="AK419" s="30"/>
      <c r="AL419" s="36">
        <f t="shared" si="148"/>
        <v>0</v>
      </c>
      <c r="AM419" s="35"/>
      <c r="AN419" s="30"/>
      <c r="AO419" s="36">
        <f t="shared" si="149"/>
        <v>0</v>
      </c>
      <c r="AP419" s="35"/>
      <c r="AQ419" s="30"/>
      <c r="AR419" s="36">
        <f t="shared" si="150"/>
        <v>0</v>
      </c>
      <c r="AS419" s="27"/>
      <c r="AT419" s="37"/>
      <c r="AU419" s="30"/>
      <c r="AV419" s="36">
        <f t="shared" si="151"/>
        <v>0</v>
      </c>
      <c r="AW419" s="35"/>
      <c r="AX419" s="30"/>
      <c r="AY419" s="32">
        <f t="shared" si="152"/>
        <v>0</v>
      </c>
      <c r="AZ419" s="30" t="s">
        <v>841</v>
      </c>
      <c r="BA419" s="63"/>
      <c r="BB419" s="71" t="e">
        <f>SUMIFS([1]Form!$F$9:$F$22,[1]Form!$K$9:$K$22,K419)</f>
        <v>#VALUE!</v>
      </c>
      <c r="BC419" s="71"/>
      <c r="BD419" s="71"/>
    </row>
    <row r="420" spans="1:56" x14ac:dyDescent="0.25">
      <c r="A420" s="24">
        <f>IF(B420="","",SUBTOTAL(3,$B$4:B420))</f>
        <v>417</v>
      </c>
      <c r="B420" s="25" t="s">
        <v>840</v>
      </c>
      <c r="C420" s="25" t="str">
        <f t="shared" si="144"/>
        <v>Shipment 1 B-10124 Fired Proces Heater</v>
      </c>
      <c r="D420" s="25" t="s">
        <v>839</v>
      </c>
      <c r="E420" s="25" t="s">
        <v>838</v>
      </c>
      <c r="F420" s="25"/>
      <c r="G420" s="65"/>
      <c r="H420" s="25" t="s">
        <v>842</v>
      </c>
      <c r="I420" s="25"/>
      <c r="J420" s="26" t="s">
        <v>845</v>
      </c>
      <c r="K420" s="27" t="s">
        <v>525</v>
      </c>
      <c r="L420" s="28" t="s">
        <v>533</v>
      </c>
      <c r="M420" s="28" t="s">
        <v>777</v>
      </c>
      <c r="N420" s="25">
        <v>1</v>
      </c>
      <c r="O420" s="29">
        <v>134.48749999999998</v>
      </c>
      <c r="P420" s="29">
        <v>134.48749999999998</v>
      </c>
      <c r="Q420" s="25" t="s">
        <v>794</v>
      </c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45"/>
        <v>0</v>
      </c>
      <c r="AF420" s="32">
        <f t="shared" si="146"/>
        <v>134.48749999999998</v>
      </c>
      <c r="AG420" s="30"/>
      <c r="AH420" s="33"/>
      <c r="AI420" s="34">
        <f t="shared" si="147"/>
        <v>0</v>
      </c>
      <c r="AJ420" s="35"/>
      <c r="AK420" s="30"/>
      <c r="AL420" s="36">
        <f t="shared" si="148"/>
        <v>0</v>
      </c>
      <c r="AM420" s="35"/>
      <c r="AN420" s="30"/>
      <c r="AO420" s="36">
        <f t="shared" si="149"/>
        <v>0</v>
      </c>
      <c r="AP420" s="35"/>
      <c r="AQ420" s="30"/>
      <c r="AR420" s="36">
        <f t="shared" si="150"/>
        <v>0</v>
      </c>
      <c r="AS420" s="27"/>
      <c r="AT420" s="37"/>
      <c r="AU420" s="30"/>
      <c r="AV420" s="36">
        <f t="shared" si="151"/>
        <v>0</v>
      </c>
      <c r="AW420" s="35"/>
      <c r="AX420" s="30"/>
      <c r="AY420" s="32">
        <f t="shared" si="152"/>
        <v>0</v>
      </c>
      <c r="AZ420" s="30" t="s">
        <v>841</v>
      </c>
      <c r="BA420" s="63"/>
      <c r="BB420" s="71" t="e">
        <f>SUMIFS([1]Form!$F$9:$F$22,[1]Form!$K$9:$K$22,K420)</f>
        <v>#VALUE!</v>
      </c>
      <c r="BC420" s="71"/>
      <c r="BD420" s="71"/>
    </row>
    <row r="421" spans="1:56" x14ac:dyDescent="0.25">
      <c r="A421" s="24">
        <f>IF(B421="","",SUBTOTAL(3,$B$4:B421))</f>
        <v>418</v>
      </c>
      <c r="B421" s="25" t="s">
        <v>840</v>
      </c>
      <c r="C421" s="25" t="str">
        <f t="shared" si="144"/>
        <v>Shipment 1 B-10124 Fired Proces Heater</v>
      </c>
      <c r="D421" s="25" t="s">
        <v>839</v>
      </c>
      <c r="E421" s="25" t="s">
        <v>838</v>
      </c>
      <c r="F421" s="25"/>
      <c r="G421" s="65"/>
      <c r="H421" s="25" t="s">
        <v>842</v>
      </c>
      <c r="I421" s="25"/>
      <c r="J421" s="26" t="s">
        <v>845</v>
      </c>
      <c r="K421" s="27" t="s">
        <v>534</v>
      </c>
      <c r="L421" s="28" t="s">
        <v>535</v>
      </c>
      <c r="M421" s="28" t="s">
        <v>777</v>
      </c>
      <c r="N421" s="25">
        <v>1</v>
      </c>
      <c r="O421" s="29">
        <v>122.10624999999999</v>
      </c>
      <c r="P421" s="29">
        <v>122.10624999999999</v>
      </c>
      <c r="Q421" s="25" t="s">
        <v>795</v>
      </c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45"/>
        <v>0</v>
      </c>
      <c r="AF421" s="32">
        <f t="shared" si="146"/>
        <v>122.10624999999999</v>
      </c>
      <c r="AG421" s="30"/>
      <c r="AH421" s="33"/>
      <c r="AI421" s="34">
        <f t="shared" si="147"/>
        <v>0</v>
      </c>
      <c r="AJ421" s="35"/>
      <c r="AK421" s="30"/>
      <c r="AL421" s="36">
        <f t="shared" si="148"/>
        <v>0</v>
      </c>
      <c r="AM421" s="35"/>
      <c r="AN421" s="30"/>
      <c r="AO421" s="36">
        <f t="shared" si="149"/>
        <v>0</v>
      </c>
      <c r="AP421" s="35"/>
      <c r="AQ421" s="30"/>
      <c r="AR421" s="36">
        <f t="shared" si="150"/>
        <v>0</v>
      </c>
      <c r="AS421" s="27"/>
      <c r="AT421" s="37"/>
      <c r="AU421" s="30"/>
      <c r="AV421" s="36">
        <f t="shared" si="151"/>
        <v>0</v>
      </c>
      <c r="AW421" s="35"/>
      <c r="AX421" s="30"/>
      <c r="AY421" s="32">
        <f t="shared" si="152"/>
        <v>0</v>
      </c>
      <c r="AZ421" s="30" t="s">
        <v>841</v>
      </c>
      <c r="BA421" s="63"/>
      <c r="BB421" s="71" t="e">
        <f>SUMIFS([1]Form!$F$9:$F$22,[1]Form!$K$9:$K$22,K421)</f>
        <v>#VALUE!</v>
      </c>
      <c r="BC421" s="71"/>
      <c r="BD421" s="71"/>
    </row>
    <row r="422" spans="1:56" x14ac:dyDescent="0.25">
      <c r="A422" s="24">
        <f>IF(B422="","",SUBTOTAL(3,$B$4:B422))</f>
        <v>419</v>
      </c>
      <c r="B422" s="25" t="s">
        <v>840</v>
      </c>
      <c r="C422" s="25" t="str">
        <f t="shared" si="144"/>
        <v>Shipment 1 B-10124 Fired Proces Heater</v>
      </c>
      <c r="D422" s="25" t="s">
        <v>839</v>
      </c>
      <c r="E422" s="25" t="s">
        <v>838</v>
      </c>
      <c r="F422" s="25"/>
      <c r="G422" s="65"/>
      <c r="H422" s="25" t="s">
        <v>842</v>
      </c>
      <c r="I422" s="25"/>
      <c r="J422" s="26" t="s">
        <v>845</v>
      </c>
      <c r="K422" s="27" t="s">
        <v>534</v>
      </c>
      <c r="L422" s="28" t="s">
        <v>536</v>
      </c>
      <c r="M422" s="28" t="s">
        <v>777</v>
      </c>
      <c r="N422" s="25">
        <v>1</v>
      </c>
      <c r="O422" s="29">
        <v>122.10624999999999</v>
      </c>
      <c r="P422" s="29">
        <v>122.10624999999999</v>
      </c>
      <c r="Q422" s="25" t="s">
        <v>795</v>
      </c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45"/>
        <v>0</v>
      </c>
      <c r="AF422" s="32">
        <f t="shared" si="146"/>
        <v>122.10624999999999</v>
      </c>
      <c r="AG422" s="30"/>
      <c r="AH422" s="33"/>
      <c r="AI422" s="34">
        <f t="shared" si="147"/>
        <v>0</v>
      </c>
      <c r="AJ422" s="35"/>
      <c r="AK422" s="30"/>
      <c r="AL422" s="36">
        <f t="shared" si="148"/>
        <v>0</v>
      </c>
      <c r="AM422" s="35"/>
      <c r="AN422" s="30"/>
      <c r="AO422" s="36">
        <f t="shared" si="149"/>
        <v>0</v>
      </c>
      <c r="AP422" s="35"/>
      <c r="AQ422" s="30"/>
      <c r="AR422" s="36">
        <f t="shared" si="150"/>
        <v>0</v>
      </c>
      <c r="AS422" s="27"/>
      <c r="AT422" s="37"/>
      <c r="AU422" s="30"/>
      <c r="AV422" s="36">
        <f t="shared" si="151"/>
        <v>0</v>
      </c>
      <c r="AW422" s="35"/>
      <c r="AX422" s="30"/>
      <c r="AY422" s="32">
        <f t="shared" si="152"/>
        <v>0</v>
      </c>
      <c r="AZ422" s="30" t="s">
        <v>841</v>
      </c>
      <c r="BA422" s="63"/>
      <c r="BB422" s="71" t="e">
        <f>SUMIFS([1]Form!$F$9:$F$22,[1]Form!$K$9:$K$22,K422)</f>
        <v>#VALUE!</v>
      </c>
      <c r="BC422" s="71"/>
      <c r="BD422" s="71"/>
    </row>
    <row r="423" spans="1:56" x14ac:dyDescent="0.25">
      <c r="A423" s="24">
        <f>IF(B423="","",SUBTOTAL(3,$B$4:B423))</f>
        <v>420</v>
      </c>
      <c r="B423" s="25" t="s">
        <v>840</v>
      </c>
      <c r="C423" s="25" t="str">
        <f t="shared" si="144"/>
        <v>Shipment 1 B-10124 Fired Proces Heater</v>
      </c>
      <c r="D423" s="25" t="s">
        <v>839</v>
      </c>
      <c r="E423" s="25" t="s">
        <v>838</v>
      </c>
      <c r="F423" s="25"/>
      <c r="G423" s="65"/>
      <c r="H423" s="25" t="s">
        <v>842</v>
      </c>
      <c r="I423" s="25"/>
      <c r="J423" s="26" t="s">
        <v>845</v>
      </c>
      <c r="K423" s="27" t="s">
        <v>534</v>
      </c>
      <c r="L423" s="28" t="s">
        <v>537</v>
      </c>
      <c r="M423" s="28" t="s">
        <v>777</v>
      </c>
      <c r="N423" s="25">
        <v>1</v>
      </c>
      <c r="O423" s="29">
        <v>122.10624999999999</v>
      </c>
      <c r="P423" s="29">
        <v>122.10624999999999</v>
      </c>
      <c r="Q423" s="25" t="s">
        <v>795</v>
      </c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45"/>
        <v>0</v>
      </c>
      <c r="AF423" s="32">
        <f t="shared" si="146"/>
        <v>122.10624999999999</v>
      </c>
      <c r="AG423" s="30"/>
      <c r="AH423" s="33"/>
      <c r="AI423" s="34">
        <f t="shared" si="147"/>
        <v>0</v>
      </c>
      <c r="AJ423" s="35"/>
      <c r="AK423" s="30"/>
      <c r="AL423" s="36">
        <f t="shared" si="148"/>
        <v>0</v>
      </c>
      <c r="AM423" s="35"/>
      <c r="AN423" s="30"/>
      <c r="AO423" s="36">
        <f t="shared" si="149"/>
        <v>0</v>
      </c>
      <c r="AP423" s="35"/>
      <c r="AQ423" s="30"/>
      <c r="AR423" s="36">
        <f t="shared" si="150"/>
        <v>0</v>
      </c>
      <c r="AS423" s="27"/>
      <c r="AT423" s="37"/>
      <c r="AU423" s="30"/>
      <c r="AV423" s="36">
        <f t="shared" si="151"/>
        <v>0</v>
      </c>
      <c r="AW423" s="35"/>
      <c r="AX423" s="30"/>
      <c r="AY423" s="32">
        <f t="shared" si="152"/>
        <v>0</v>
      </c>
      <c r="AZ423" s="30" t="s">
        <v>841</v>
      </c>
      <c r="BA423" s="63"/>
      <c r="BB423" s="71" t="e">
        <f>SUMIFS([1]Form!$F$9:$F$22,[1]Form!$K$9:$K$22,K423)</f>
        <v>#VALUE!</v>
      </c>
      <c r="BC423" s="71"/>
      <c r="BD423" s="71"/>
    </row>
    <row r="424" spans="1:56" x14ac:dyDescent="0.25">
      <c r="A424" s="24">
        <f>IF(B424="","",SUBTOTAL(3,$B$4:B424))</f>
        <v>421</v>
      </c>
      <c r="B424" s="25" t="s">
        <v>840</v>
      </c>
      <c r="C424" s="25" t="str">
        <f t="shared" si="144"/>
        <v>Shipment 1 B-10124 Fired Proces Heater</v>
      </c>
      <c r="D424" s="25" t="s">
        <v>839</v>
      </c>
      <c r="E424" s="25" t="s">
        <v>838</v>
      </c>
      <c r="F424" s="25"/>
      <c r="G424" s="65"/>
      <c r="H424" s="25" t="s">
        <v>842</v>
      </c>
      <c r="I424" s="25"/>
      <c r="J424" s="26" t="s">
        <v>845</v>
      </c>
      <c r="K424" s="27" t="s">
        <v>534</v>
      </c>
      <c r="L424" s="28" t="s">
        <v>538</v>
      </c>
      <c r="M424" s="28" t="s">
        <v>777</v>
      </c>
      <c r="N424" s="25">
        <v>1</v>
      </c>
      <c r="O424" s="29">
        <v>122.10624999999999</v>
      </c>
      <c r="P424" s="29">
        <v>122.10624999999999</v>
      </c>
      <c r="Q424" s="25" t="s">
        <v>795</v>
      </c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45"/>
        <v>0</v>
      </c>
      <c r="AF424" s="32">
        <f t="shared" si="146"/>
        <v>122.10624999999999</v>
      </c>
      <c r="AG424" s="30"/>
      <c r="AH424" s="33"/>
      <c r="AI424" s="34">
        <f t="shared" si="147"/>
        <v>0</v>
      </c>
      <c r="AJ424" s="35"/>
      <c r="AK424" s="30"/>
      <c r="AL424" s="36">
        <f t="shared" si="148"/>
        <v>0</v>
      </c>
      <c r="AM424" s="35"/>
      <c r="AN424" s="30"/>
      <c r="AO424" s="36">
        <f t="shared" si="149"/>
        <v>0</v>
      </c>
      <c r="AP424" s="35"/>
      <c r="AQ424" s="30"/>
      <c r="AR424" s="36">
        <f t="shared" si="150"/>
        <v>0</v>
      </c>
      <c r="AS424" s="27"/>
      <c r="AT424" s="37"/>
      <c r="AU424" s="30"/>
      <c r="AV424" s="36">
        <f t="shared" si="151"/>
        <v>0</v>
      </c>
      <c r="AW424" s="35"/>
      <c r="AX424" s="30"/>
      <c r="AY424" s="32">
        <f t="shared" si="152"/>
        <v>0</v>
      </c>
      <c r="AZ424" s="30" t="s">
        <v>841</v>
      </c>
      <c r="BA424" s="63"/>
      <c r="BB424" s="71" t="e">
        <f>SUMIFS([1]Form!$F$9:$F$22,[1]Form!$K$9:$K$22,K424)</f>
        <v>#VALUE!</v>
      </c>
      <c r="BC424" s="71"/>
      <c r="BD424" s="71"/>
    </row>
    <row r="425" spans="1:56" x14ac:dyDescent="0.25">
      <c r="A425" s="24">
        <f>IF(B425="","",SUBTOTAL(3,$B$4:B425))</f>
        <v>422</v>
      </c>
      <c r="B425" s="25" t="s">
        <v>840</v>
      </c>
      <c r="C425" s="25" t="str">
        <f t="shared" si="144"/>
        <v>Shipment 1 B-10124 Fired Proces Heater</v>
      </c>
      <c r="D425" s="25" t="s">
        <v>839</v>
      </c>
      <c r="E425" s="25" t="s">
        <v>838</v>
      </c>
      <c r="F425" s="25"/>
      <c r="G425" s="65"/>
      <c r="H425" s="25" t="s">
        <v>842</v>
      </c>
      <c r="I425" s="25"/>
      <c r="J425" s="26" t="s">
        <v>845</v>
      </c>
      <c r="K425" s="27" t="s">
        <v>534</v>
      </c>
      <c r="L425" s="28" t="s">
        <v>539</v>
      </c>
      <c r="M425" s="28" t="s">
        <v>777</v>
      </c>
      <c r="N425" s="25">
        <v>1</v>
      </c>
      <c r="O425" s="29">
        <v>122.10624999999999</v>
      </c>
      <c r="P425" s="29">
        <v>122.10624999999999</v>
      </c>
      <c r="Q425" s="25" t="s">
        <v>795</v>
      </c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45"/>
        <v>0</v>
      </c>
      <c r="AF425" s="32">
        <f t="shared" si="146"/>
        <v>122.10624999999999</v>
      </c>
      <c r="AG425" s="30"/>
      <c r="AH425" s="33"/>
      <c r="AI425" s="34">
        <f t="shared" si="147"/>
        <v>0</v>
      </c>
      <c r="AJ425" s="35"/>
      <c r="AK425" s="30"/>
      <c r="AL425" s="36">
        <f t="shared" si="148"/>
        <v>0</v>
      </c>
      <c r="AM425" s="35"/>
      <c r="AN425" s="30"/>
      <c r="AO425" s="36">
        <f t="shared" si="149"/>
        <v>0</v>
      </c>
      <c r="AP425" s="35"/>
      <c r="AQ425" s="30"/>
      <c r="AR425" s="36">
        <f t="shared" si="150"/>
        <v>0</v>
      </c>
      <c r="AS425" s="27"/>
      <c r="AT425" s="37"/>
      <c r="AU425" s="30"/>
      <c r="AV425" s="36">
        <f t="shared" si="151"/>
        <v>0</v>
      </c>
      <c r="AW425" s="35"/>
      <c r="AX425" s="30"/>
      <c r="AY425" s="32">
        <f t="shared" si="152"/>
        <v>0</v>
      </c>
      <c r="AZ425" s="30" t="s">
        <v>841</v>
      </c>
      <c r="BA425" s="63"/>
      <c r="BB425" s="71" t="e">
        <f>SUMIFS([1]Form!$F$9:$F$22,[1]Form!$K$9:$K$22,K425)</f>
        <v>#VALUE!</v>
      </c>
      <c r="BC425" s="71"/>
      <c r="BD425" s="71"/>
    </row>
    <row r="426" spans="1:56" x14ac:dyDescent="0.25">
      <c r="A426" s="24">
        <f>IF(B426="","",SUBTOTAL(3,$B$4:B426))</f>
        <v>423</v>
      </c>
      <c r="B426" s="25" t="s">
        <v>840</v>
      </c>
      <c r="C426" s="25" t="str">
        <f t="shared" si="144"/>
        <v>Shipment 1 B-10124 Fired Proces Heater</v>
      </c>
      <c r="D426" s="25" t="s">
        <v>839</v>
      </c>
      <c r="E426" s="25" t="s">
        <v>838</v>
      </c>
      <c r="F426" s="25"/>
      <c r="G426" s="65"/>
      <c r="H426" s="25" t="s">
        <v>842</v>
      </c>
      <c r="I426" s="25"/>
      <c r="J426" s="26" t="s">
        <v>845</v>
      </c>
      <c r="K426" s="27" t="s">
        <v>534</v>
      </c>
      <c r="L426" s="28" t="s">
        <v>540</v>
      </c>
      <c r="M426" s="28" t="s">
        <v>777</v>
      </c>
      <c r="N426" s="25">
        <v>1</v>
      </c>
      <c r="O426" s="29">
        <v>122.10624999999999</v>
      </c>
      <c r="P426" s="29">
        <v>122.10624999999999</v>
      </c>
      <c r="Q426" s="25" t="s">
        <v>795</v>
      </c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45"/>
        <v>0</v>
      </c>
      <c r="AF426" s="32">
        <f t="shared" si="146"/>
        <v>122.10624999999999</v>
      </c>
      <c r="AG426" s="30"/>
      <c r="AH426" s="33"/>
      <c r="AI426" s="34">
        <f t="shared" si="147"/>
        <v>0</v>
      </c>
      <c r="AJ426" s="35"/>
      <c r="AK426" s="30"/>
      <c r="AL426" s="36">
        <f t="shared" si="148"/>
        <v>0</v>
      </c>
      <c r="AM426" s="35"/>
      <c r="AN426" s="30"/>
      <c r="AO426" s="36">
        <f t="shared" si="149"/>
        <v>0</v>
      </c>
      <c r="AP426" s="35"/>
      <c r="AQ426" s="30"/>
      <c r="AR426" s="36">
        <f t="shared" si="150"/>
        <v>0</v>
      </c>
      <c r="AS426" s="27"/>
      <c r="AT426" s="37"/>
      <c r="AU426" s="30"/>
      <c r="AV426" s="36">
        <f t="shared" si="151"/>
        <v>0</v>
      </c>
      <c r="AW426" s="35"/>
      <c r="AX426" s="30"/>
      <c r="AY426" s="32">
        <f t="shared" si="152"/>
        <v>0</v>
      </c>
      <c r="AZ426" s="30" t="s">
        <v>841</v>
      </c>
      <c r="BA426" s="63"/>
      <c r="BB426" s="71" t="e">
        <f>SUMIFS([1]Form!$F$9:$F$22,[1]Form!$K$9:$K$22,K426)</f>
        <v>#VALUE!</v>
      </c>
      <c r="BC426" s="71"/>
      <c r="BD426" s="71"/>
    </row>
    <row r="427" spans="1:56" x14ac:dyDescent="0.25">
      <c r="A427" s="24">
        <f>IF(B427="","",SUBTOTAL(3,$B$4:B427))</f>
        <v>424</v>
      </c>
      <c r="B427" s="25" t="s">
        <v>840</v>
      </c>
      <c r="C427" s="25" t="str">
        <f t="shared" si="144"/>
        <v>Shipment 1 B-10124 Fired Proces Heater</v>
      </c>
      <c r="D427" s="25" t="s">
        <v>839</v>
      </c>
      <c r="E427" s="25" t="s">
        <v>838</v>
      </c>
      <c r="F427" s="25"/>
      <c r="G427" s="65"/>
      <c r="H427" s="25" t="s">
        <v>842</v>
      </c>
      <c r="I427" s="25"/>
      <c r="J427" s="26" t="s">
        <v>845</v>
      </c>
      <c r="K427" s="27" t="s">
        <v>534</v>
      </c>
      <c r="L427" s="28" t="s">
        <v>541</v>
      </c>
      <c r="M427" s="28" t="s">
        <v>777</v>
      </c>
      <c r="N427" s="25">
        <v>1</v>
      </c>
      <c r="O427" s="29">
        <v>122.10624999999999</v>
      </c>
      <c r="P427" s="29">
        <v>122.10624999999999</v>
      </c>
      <c r="Q427" s="25" t="s">
        <v>795</v>
      </c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45"/>
        <v>0</v>
      </c>
      <c r="AF427" s="32">
        <f t="shared" si="146"/>
        <v>122.10624999999999</v>
      </c>
      <c r="AG427" s="30"/>
      <c r="AH427" s="33"/>
      <c r="AI427" s="34">
        <f t="shared" si="147"/>
        <v>0</v>
      </c>
      <c r="AJ427" s="35"/>
      <c r="AK427" s="30"/>
      <c r="AL427" s="36">
        <f t="shared" si="148"/>
        <v>0</v>
      </c>
      <c r="AM427" s="35"/>
      <c r="AN427" s="30"/>
      <c r="AO427" s="36">
        <f t="shared" si="149"/>
        <v>0</v>
      </c>
      <c r="AP427" s="35"/>
      <c r="AQ427" s="30"/>
      <c r="AR427" s="36">
        <f t="shared" si="150"/>
        <v>0</v>
      </c>
      <c r="AS427" s="27"/>
      <c r="AT427" s="37"/>
      <c r="AU427" s="30"/>
      <c r="AV427" s="36">
        <f t="shared" si="151"/>
        <v>0</v>
      </c>
      <c r="AW427" s="35"/>
      <c r="AX427" s="30"/>
      <c r="AY427" s="32">
        <f t="shared" si="152"/>
        <v>0</v>
      </c>
      <c r="AZ427" s="30" t="s">
        <v>841</v>
      </c>
      <c r="BA427" s="63"/>
      <c r="BB427" s="71" t="e">
        <f>SUMIFS([1]Form!$F$9:$F$22,[1]Form!$K$9:$K$22,K427)</f>
        <v>#VALUE!</v>
      </c>
      <c r="BC427" s="71"/>
      <c r="BD427" s="71"/>
    </row>
    <row r="428" spans="1:56" x14ac:dyDescent="0.25">
      <c r="A428" s="24">
        <f>IF(B428="","",SUBTOTAL(3,$B$4:B428))</f>
        <v>425</v>
      </c>
      <c r="B428" s="25" t="s">
        <v>840</v>
      </c>
      <c r="C428" s="25" t="str">
        <f t="shared" ref="C428:C491" si="153">D428&amp;" "&amp;E428</f>
        <v>Shipment 1 B-10124 Fired Proces Heater</v>
      </c>
      <c r="D428" s="25" t="s">
        <v>839</v>
      </c>
      <c r="E428" s="25" t="s">
        <v>838</v>
      </c>
      <c r="F428" s="25"/>
      <c r="G428" s="65"/>
      <c r="H428" s="25" t="s">
        <v>842</v>
      </c>
      <c r="I428" s="25"/>
      <c r="J428" s="26" t="s">
        <v>845</v>
      </c>
      <c r="K428" s="27" t="s">
        <v>534</v>
      </c>
      <c r="L428" s="28" t="s">
        <v>542</v>
      </c>
      <c r="M428" s="28" t="s">
        <v>777</v>
      </c>
      <c r="N428" s="25">
        <v>1</v>
      </c>
      <c r="O428" s="29">
        <v>122.10624999999999</v>
      </c>
      <c r="P428" s="29">
        <v>122.10624999999999</v>
      </c>
      <c r="Q428" s="25" t="s">
        <v>795</v>
      </c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45"/>
        <v>0</v>
      </c>
      <c r="AF428" s="32">
        <f t="shared" si="146"/>
        <v>122.10624999999999</v>
      </c>
      <c r="AG428" s="30"/>
      <c r="AH428" s="33"/>
      <c r="AI428" s="34">
        <f t="shared" si="147"/>
        <v>0</v>
      </c>
      <c r="AJ428" s="35"/>
      <c r="AK428" s="30"/>
      <c r="AL428" s="36">
        <f t="shared" si="148"/>
        <v>0</v>
      </c>
      <c r="AM428" s="35"/>
      <c r="AN428" s="30"/>
      <c r="AO428" s="36">
        <f t="shared" si="149"/>
        <v>0</v>
      </c>
      <c r="AP428" s="35"/>
      <c r="AQ428" s="30"/>
      <c r="AR428" s="36">
        <f t="shared" si="150"/>
        <v>0</v>
      </c>
      <c r="AS428" s="27"/>
      <c r="AT428" s="37"/>
      <c r="AU428" s="30"/>
      <c r="AV428" s="36">
        <f t="shared" si="151"/>
        <v>0</v>
      </c>
      <c r="AW428" s="35"/>
      <c r="AX428" s="30"/>
      <c r="AY428" s="32">
        <f t="shared" si="152"/>
        <v>0</v>
      </c>
      <c r="AZ428" s="30" t="s">
        <v>841</v>
      </c>
      <c r="BA428" s="63"/>
      <c r="BB428" s="71" t="e">
        <f>SUMIFS([1]Form!$F$9:$F$22,[1]Form!$K$9:$K$22,K428)</f>
        <v>#VALUE!</v>
      </c>
      <c r="BC428" s="71"/>
      <c r="BD428" s="71"/>
    </row>
    <row r="429" spans="1:56" x14ac:dyDescent="0.25">
      <c r="A429" s="24">
        <f>IF(B429="","",SUBTOTAL(3,$B$4:B429))</f>
        <v>426</v>
      </c>
      <c r="B429" s="25" t="s">
        <v>840</v>
      </c>
      <c r="C429" s="25" t="str">
        <f t="shared" si="153"/>
        <v>Shipment 1 B-10124 Fired Proces Heater</v>
      </c>
      <c r="D429" s="25" t="s">
        <v>839</v>
      </c>
      <c r="E429" s="25" t="s">
        <v>838</v>
      </c>
      <c r="F429" s="25"/>
      <c r="G429" s="65"/>
      <c r="H429" s="25" t="s">
        <v>842</v>
      </c>
      <c r="I429" s="25"/>
      <c r="J429" s="26" t="s">
        <v>845</v>
      </c>
      <c r="K429" s="27" t="s">
        <v>534</v>
      </c>
      <c r="L429" s="28" t="s">
        <v>543</v>
      </c>
      <c r="M429" s="28" t="s">
        <v>777</v>
      </c>
      <c r="N429" s="25">
        <v>1</v>
      </c>
      <c r="O429" s="29">
        <v>122.10624999999999</v>
      </c>
      <c r="P429" s="29">
        <v>122.10624999999999</v>
      </c>
      <c r="Q429" s="25" t="s">
        <v>795</v>
      </c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45"/>
        <v>0</v>
      </c>
      <c r="AF429" s="32">
        <f t="shared" si="146"/>
        <v>122.10624999999999</v>
      </c>
      <c r="AG429" s="30"/>
      <c r="AH429" s="33"/>
      <c r="AI429" s="34">
        <f t="shared" si="147"/>
        <v>0</v>
      </c>
      <c r="AJ429" s="35"/>
      <c r="AK429" s="30"/>
      <c r="AL429" s="36">
        <f t="shared" si="148"/>
        <v>0</v>
      </c>
      <c r="AM429" s="35"/>
      <c r="AN429" s="30"/>
      <c r="AO429" s="36">
        <f t="shared" si="149"/>
        <v>0</v>
      </c>
      <c r="AP429" s="35"/>
      <c r="AQ429" s="30"/>
      <c r="AR429" s="36">
        <f t="shared" si="150"/>
        <v>0</v>
      </c>
      <c r="AS429" s="27"/>
      <c r="AT429" s="37"/>
      <c r="AU429" s="30"/>
      <c r="AV429" s="36">
        <f t="shared" si="151"/>
        <v>0</v>
      </c>
      <c r="AW429" s="35"/>
      <c r="AX429" s="30"/>
      <c r="AY429" s="32">
        <f t="shared" si="152"/>
        <v>0</v>
      </c>
      <c r="AZ429" s="30" t="s">
        <v>841</v>
      </c>
      <c r="BA429" s="63"/>
      <c r="BB429" s="71" t="e">
        <f>SUMIFS([1]Form!$F$9:$F$22,[1]Form!$K$9:$K$22,K429)</f>
        <v>#VALUE!</v>
      </c>
      <c r="BC429" s="71"/>
      <c r="BD429" s="71"/>
    </row>
    <row r="430" spans="1:56" x14ac:dyDescent="0.25">
      <c r="A430" s="24">
        <f>IF(B430="","",SUBTOTAL(3,$B$4:B430))</f>
        <v>427</v>
      </c>
      <c r="B430" s="25" t="s">
        <v>840</v>
      </c>
      <c r="C430" s="25" t="str">
        <f t="shared" si="153"/>
        <v>Shipment 1 B-10124 Fired Proces Heater</v>
      </c>
      <c r="D430" s="25" t="s">
        <v>839</v>
      </c>
      <c r="E430" s="25" t="s">
        <v>838</v>
      </c>
      <c r="F430" s="25"/>
      <c r="G430" s="65"/>
      <c r="H430" s="25" t="s">
        <v>842</v>
      </c>
      <c r="I430" s="25"/>
      <c r="J430" s="26" t="s">
        <v>845</v>
      </c>
      <c r="K430" s="27" t="s">
        <v>534</v>
      </c>
      <c r="L430" s="28" t="s">
        <v>544</v>
      </c>
      <c r="M430" s="28" t="s">
        <v>777</v>
      </c>
      <c r="N430" s="25">
        <v>1</v>
      </c>
      <c r="O430" s="29">
        <v>122.10624999999999</v>
      </c>
      <c r="P430" s="29">
        <v>122.10624999999999</v>
      </c>
      <c r="Q430" s="25" t="s">
        <v>795</v>
      </c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45"/>
        <v>0</v>
      </c>
      <c r="AF430" s="32">
        <f t="shared" si="146"/>
        <v>122.10624999999999</v>
      </c>
      <c r="AG430" s="30"/>
      <c r="AH430" s="33"/>
      <c r="AI430" s="34">
        <f t="shared" si="147"/>
        <v>0</v>
      </c>
      <c r="AJ430" s="35"/>
      <c r="AK430" s="30"/>
      <c r="AL430" s="36">
        <f t="shared" si="148"/>
        <v>0</v>
      </c>
      <c r="AM430" s="35"/>
      <c r="AN430" s="30"/>
      <c r="AO430" s="36">
        <f t="shared" si="149"/>
        <v>0</v>
      </c>
      <c r="AP430" s="35"/>
      <c r="AQ430" s="30"/>
      <c r="AR430" s="36">
        <f t="shared" si="150"/>
        <v>0</v>
      </c>
      <c r="AS430" s="27"/>
      <c r="AT430" s="37"/>
      <c r="AU430" s="30"/>
      <c r="AV430" s="36">
        <f t="shared" si="151"/>
        <v>0</v>
      </c>
      <c r="AW430" s="35"/>
      <c r="AX430" s="30"/>
      <c r="AY430" s="32">
        <f t="shared" si="152"/>
        <v>0</v>
      </c>
      <c r="AZ430" s="30" t="s">
        <v>841</v>
      </c>
      <c r="BA430" s="63"/>
      <c r="BB430" s="71" t="e">
        <f>SUMIFS([1]Form!$F$9:$F$22,[1]Form!$K$9:$K$22,K430)</f>
        <v>#VALUE!</v>
      </c>
      <c r="BC430" s="71"/>
      <c r="BD430" s="71"/>
    </row>
    <row r="431" spans="1:56" x14ac:dyDescent="0.25">
      <c r="A431" s="24">
        <f>IF(B431="","",SUBTOTAL(3,$B$4:B431))</f>
        <v>428</v>
      </c>
      <c r="B431" s="25" t="s">
        <v>840</v>
      </c>
      <c r="C431" s="25" t="str">
        <f t="shared" si="153"/>
        <v>Shipment 1 B-10124 Fired Proces Heater</v>
      </c>
      <c r="D431" s="25" t="s">
        <v>839</v>
      </c>
      <c r="E431" s="25" t="s">
        <v>838</v>
      </c>
      <c r="F431" s="25"/>
      <c r="G431" s="65"/>
      <c r="H431" s="25" t="s">
        <v>842</v>
      </c>
      <c r="I431" s="25"/>
      <c r="J431" s="26" t="s">
        <v>845</v>
      </c>
      <c r="K431" s="27" t="s">
        <v>534</v>
      </c>
      <c r="L431" s="28" t="s">
        <v>545</v>
      </c>
      <c r="M431" s="28" t="s">
        <v>777</v>
      </c>
      <c r="N431" s="25">
        <v>1</v>
      </c>
      <c r="O431" s="29">
        <v>122.10624999999999</v>
      </c>
      <c r="P431" s="29">
        <v>122.10624999999999</v>
      </c>
      <c r="Q431" s="25" t="s">
        <v>795</v>
      </c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45"/>
        <v>0</v>
      </c>
      <c r="AF431" s="32">
        <f t="shared" si="146"/>
        <v>122.10624999999999</v>
      </c>
      <c r="AG431" s="30"/>
      <c r="AH431" s="33"/>
      <c r="AI431" s="34">
        <f t="shared" si="147"/>
        <v>0</v>
      </c>
      <c r="AJ431" s="35"/>
      <c r="AK431" s="30"/>
      <c r="AL431" s="36">
        <f t="shared" si="148"/>
        <v>0</v>
      </c>
      <c r="AM431" s="35"/>
      <c r="AN431" s="30"/>
      <c r="AO431" s="36">
        <f t="shared" si="149"/>
        <v>0</v>
      </c>
      <c r="AP431" s="35"/>
      <c r="AQ431" s="30"/>
      <c r="AR431" s="36">
        <f t="shared" si="150"/>
        <v>0</v>
      </c>
      <c r="AS431" s="27"/>
      <c r="AT431" s="37"/>
      <c r="AU431" s="30"/>
      <c r="AV431" s="36">
        <f t="shared" si="151"/>
        <v>0</v>
      </c>
      <c r="AW431" s="35"/>
      <c r="AX431" s="30"/>
      <c r="AY431" s="32">
        <f t="shared" si="152"/>
        <v>0</v>
      </c>
      <c r="AZ431" s="30" t="s">
        <v>841</v>
      </c>
      <c r="BA431" s="63"/>
      <c r="BB431" s="71" t="e">
        <f>SUMIFS([1]Form!$F$9:$F$22,[1]Form!$K$9:$K$22,K431)</f>
        <v>#VALUE!</v>
      </c>
      <c r="BC431" s="71"/>
      <c r="BD431" s="71"/>
    </row>
    <row r="432" spans="1:56" x14ac:dyDescent="0.25">
      <c r="A432" s="24">
        <f>IF(B432="","",SUBTOTAL(3,$B$4:B432))</f>
        <v>429</v>
      </c>
      <c r="B432" s="25" t="s">
        <v>840</v>
      </c>
      <c r="C432" s="25" t="str">
        <f t="shared" si="153"/>
        <v>Shipment 1 B-10124 Fired Proces Heater</v>
      </c>
      <c r="D432" s="25" t="s">
        <v>839</v>
      </c>
      <c r="E432" s="25" t="s">
        <v>838</v>
      </c>
      <c r="F432" s="25"/>
      <c r="G432" s="65"/>
      <c r="H432" s="25" t="s">
        <v>842</v>
      </c>
      <c r="I432" s="25"/>
      <c r="J432" s="26" t="s">
        <v>845</v>
      </c>
      <c r="K432" s="27" t="s">
        <v>534</v>
      </c>
      <c r="L432" s="28" t="s">
        <v>546</v>
      </c>
      <c r="M432" s="28" t="s">
        <v>777</v>
      </c>
      <c r="N432" s="25">
        <v>1</v>
      </c>
      <c r="O432" s="29">
        <v>122.10624999999999</v>
      </c>
      <c r="P432" s="29">
        <v>122.10624999999999</v>
      </c>
      <c r="Q432" s="25" t="s">
        <v>795</v>
      </c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45"/>
        <v>0</v>
      </c>
      <c r="AF432" s="32">
        <f t="shared" si="146"/>
        <v>122.10624999999999</v>
      </c>
      <c r="AG432" s="30"/>
      <c r="AH432" s="33"/>
      <c r="AI432" s="34">
        <f t="shared" si="147"/>
        <v>0</v>
      </c>
      <c r="AJ432" s="35"/>
      <c r="AK432" s="30"/>
      <c r="AL432" s="36">
        <f t="shared" si="148"/>
        <v>0</v>
      </c>
      <c r="AM432" s="35"/>
      <c r="AN432" s="30"/>
      <c r="AO432" s="36">
        <f t="shared" si="149"/>
        <v>0</v>
      </c>
      <c r="AP432" s="35"/>
      <c r="AQ432" s="30"/>
      <c r="AR432" s="36">
        <f t="shared" si="150"/>
        <v>0</v>
      </c>
      <c r="AS432" s="27"/>
      <c r="AT432" s="37"/>
      <c r="AU432" s="30"/>
      <c r="AV432" s="36">
        <f t="shared" si="151"/>
        <v>0</v>
      </c>
      <c r="AW432" s="35"/>
      <c r="AX432" s="30"/>
      <c r="AY432" s="32">
        <f t="shared" si="152"/>
        <v>0</v>
      </c>
      <c r="AZ432" s="30" t="s">
        <v>841</v>
      </c>
      <c r="BA432" s="63"/>
      <c r="BB432" s="71" t="e">
        <f>SUMIFS([1]Form!$F$9:$F$22,[1]Form!$K$9:$K$22,K432)</f>
        <v>#VALUE!</v>
      </c>
      <c r="BC432" s="71"/>
      <c r="BD432" s="71"/>
    </row>
    <row r="433" spans="1:56" x14ac:dyDescent="0.25">
      <c r="A433" s="24">
        <f>IF(B433="","",SUBTOTAL(3,$B$4:B433))</f>
        <v>430</v>
      </c>
      <c r="B433" s="25" t="s">
        <v>840</v>
      </c>
      <c r="C433" s="25" t="str">
        <f t="shared" si="153"/>
        <v>Shipment 1 B-10124 Fired Proces Heater</v>
      </c>
      <c r="D433" s="25" t="s">
        <v>839</v>
      </c>
      <c r="E433" s="25" t="s">
        <v>838</v>
      </c>
      <c r="F433" s="25"/>
      <c r="G433" s="65"/>
      <c r="H433" s="25" t="s">
        <v>842</v>
      </c>
      <c r="I433" s="25"/>
      <c r="J433" s="26" t="s">
        <v>845</v>
      </c>
      <c r="K433" s="27" t="s">
        <v>534</v>
      </c>
      <c r="L433" s="28" t="s">
        <v>547</v>
      </c>
      <c r="M433" s="28" t="s">
        <v>777</v>
      </c>
      <c r="N433" s="25">
        <v>1</v>
      </c>
      <c r="O433" s="29">
        <v>122.10624999999999</v>
      </c>
      <c r="P433" s="29">
        <v>122.10624999999999</v>
      </c>
      <c r="Q433" s="25" t="s">
        <v>795</v>
      </c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45"/>
        <v>0</v>
      </c>
      <c r="AF433" s="32">
        <f t="shared" si="146"/>
        <v>122.10624999999999</v>
      </c>
      <c r="AG433" s="30"/>
      <c r="AH433" s="33"/>
      <c r="AI433" s="34">
        <f t="shared" si="147"/>
        <v>0</v>
      </c>
      <c r="AJ433" s="35"/>
      <c r="AK433" s="30"/>
      <c r="AL433" s="36">
        <f t="shared" si="148"/>
        <v>0</v>
      </c>
      <c r="AM433" s="35"/>
      <c r="AN433" s="30"/>
      <c r="AO433" s="36">
        <f t="shared" si="149"/>
        <v>0</v>
      </c>
      <c r="AP433" s="35"/>
      <c r="AQ433" s="30"/>
      <c r="AR433" s="36">
        <f t="shared" si="150"/>
        <v>0</v>
      </c>
      <c r="AS433" s="27"/>
      <c r="AT433" s="37"/>
      <c r="AU433" s="30"/>
      <c r="AV433" s="36">
        <f t="shared" si="151"/>
        <v>0</v>
      </c>
      <c r="AW433" s="35"/>
      <c r="AX433" s="30"/>
      <c r="AY433" s="32">
        <f t="shared" si="152"/>
        <v>0</v>
      </c>
      <c r="AZ433" s="30" t="s">
        <v>841</v>
      </c>
      <c r="BA433" s="63"/>
      <c r="BB433" s="71" t="e">
        <f>SUMIFS([1]Form!$F$9:$F$22,[1]Form!$K$9:$K$22,K433)</f>
        <v>#VALUE!</v>
      </c>
      <c r="BC433" s="71"/>
      <c r="BD433" s="71"/>
    </row>
    <row r="434" spans="1:56" x14ac:dyDescent="0.25">
      <c r="A434" s="24">
        <f>IF(B434="","",SUBTOTAL(3,$B$4:B434))</f>
        <v>431</v>
      </c>
      <c r="B434" s="25" t="s">
        <v>840</v>
      </c>
      <c r="C434" s="25" t="str">
        <f t="shared" si="153"/>
        <v>Shipment 1 B-10124 Fired Proces Heater</v>
      </c>
      <c r="D434" s="25" t="s">
        <v>839</v>
      </c>
      <c r="E434" s="25" t="s">
        <v>838</v>
      </c>
      <c r="F434" s="25"/>
      <c r="G434" s="65"/>
      <c r="H434" s="25" t="s">
        <v>842</v>
      </c>
      <c r="I434" s="25"/>
      <c r="J434" s="26" t="s">
        <v>845</v>
      </c>
      <c r="K434" s="27" t="s">
        <v>534</v>
      </c>
      <c r="L434" s="28" t="s">
        <v>548</v>
      </c>
      <c r="M434" s="28" t="s">
        <v>777</v>
      </c>
      <c r="N434" s="25">
        <v>1</v>
      </c>
      <c r="O434" s="29">
        <v>122.10624999999999</v>
      </c>
      <c r="P434" s="29">
        <v>122.10624999999999</v>
      </c>
      <c r="Q434" s="25" t="s">
        <v>795</v>
      </c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45"/>
        <v>0</v>
      </c>
      <c r="AF434" s="32">
        <f t="shared" si="146"/>
        <v>122.10624999999999</v>
      </c>
      <c r="AG434" s="30"/>
      <c r="AH434" s="33"/>
      <c r="AI434" s="34">
        <f t="shared" si="147"/>
        <v>0</v>
      </c>
      <c r="AJ434" s="35"/>
      <c r="AK434" s="30"/>
      <c r="AL434" s="36">
        <f t="shared" si="148"/>
        <v>0</v>
      </c>
      <c r="AM434" s="35"/>
      <c r="AN434" s="30"/>
      <c r="AO434" s="36">
        <f t="shared" si="149"/>
        <v>0</v>
      </c>
      <c r="AP434" s="35"/>
      <c r="AQ434" s="30"/>
      <c r="AR434" s="36">
        <f t="shared" si="150"/>
        <v>0</v>
      </c>
      <c r="AS434" s="27"/>
      <c r="AT434" s="37"/>
      <c r="AU434" s="30"/>
      <c r="AV434" s="36">
        <f t="shared" si="151"/>
        <v>0</v>
      </c>
      <c r="AW434" s="35"/>
      <c r="AX434" s="30"/>
      <c r="AY434" s="32">
        <f t="shared" si="152"/>
        <v>0</v>
      </c>
      <c r="AZ434" s="30" t="s">
        <v>841</v>
      </c>
      <c r="BA434" s="63"/>
      <c r="BB434" s="71" t="e">
        <f>SUMIFS([1]Form!$F$9:$F$22,[1]Form!$K$9:$K$22,K434)</f>
        <v>#VALUE!</v>
      </c>
      <c r="BC434" s="71"/>
      <c r="BD434" s="71"/>
    </row>
    <row r="435" spans="1:56" x14ac:dyDescent="0.25">
      <c r="A435" s="24">
        <f>IF(B435="","",SUBTOTAL(3,$B$4:B435))</f>
        <v>432</v>
      </c>
      <c r="B435" s="25" t="s">
        <v>840</v>
      </c>
      <c r="C435" s="25" t="str">
        <f t="shared" si="153"/>
        <v>Shipment 1 B-10124 Fired Proces Heater</v>
      </c>
      <c r="D435" s="25" t="s">
        <v>839</v>
      </c>
      <c r="E435" s="25" t="s">
        <v>838</v>
      </c>
      <c r="F435" s="25"/>
      <c r="G435" s="65"/>
      <c r="H435" s="25" t="s">
        <v>842</v>
      </c>
      <c r="I435" s="25"/>
      <c r="J435" s="26" t="s">
        <v>845</v>
      </c>
      <c r="K435" s="27" t="s">
        <v>534</v>
      </c>
      <c r="L435" s="28" t="s">
        <v>549</v>
      </c>
      <c r="M435" s="28" t="s">
        <v>777</v>
      </c>
      <c r="N435" s="25">
        <v>1</v>
      </c>
      <c r="O435" s="29">
        <v>122.10624999999999</v>
      </c>
      <c r="P435" s="29">
        <v>122.10624999999999</v>
      </c>
      <c r="Q435" s="25" t="s">
        <v>795</v>
      </c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45"/>
        <v>0</v>
      </c>
      <c r="AF435" s="32">
        <f t="shared" si="146"/>
        <v>122.10624999999999</v>
      </c>
      <c r="AG435" s="30"/>
      <c r="AH435" s="33"/>
      <c r="AI435" s="34">
        <f t="shared" si="147"/>
        <v>0</v>
      </c>
      <c r="AJ435" s="35"/>
      <c r="AK435" s="30"/>
      <c r="AL435" s="36">
        <f t="shared" si="148"/>
        <v>0</v>
      </c>
      <c r="AM435" s="35"/>
      <c r="AN435" s="30"/>
      <c r="AO435" s="36">
        <f t="shared" si="149"/>
        <v>0</v>
      </c>
      <c r="AP435" s="35"/>
      <c r="AQ435" s="30"/>
      <c r="AR435" s="36">
        <f t="shared" si="150"/>
        <v>0</v>
      </c>
      <c r="AS435" s="27"/>
      <c r="AT435" s="37"/>
      <c r="AU435" s="30"/>
      <c r="AV435" s="36">
        <f t="shared" si="151"/>
        <v>0</v>
      </c>
      <c r="AW435" s="35"/>
      <c r="AX435" s="30"/>
      <c r="AY435" s="32">
        <f t="shared" si="152"/>
        <v>0</v>
      </c>
      <c r="AZ435" s="30" t="s">
        <v>841</v>
      </c>
      <c r="BA435" s="63"/>
      <c r="BB435" s="71" t="e">
        <f>SUMIFS([1]Form!$F$9:$F$22,[1]Form!$K$9:$K$22,K435)</f>
        <v>#VALUE!</v>
      </c>
      <c r="BC435" s="71"/>
      <c r="BD435" s="71"/>
    </row>
    <row r="436" spans="1:56" x14ac:dyDescent="0.25">
      <c r="A436" s="24">
        <f>IF(B436="","",SUBTOTAL(3,$B$4:B436))</f>
        <v>433</v>
      </c>
      <c r="B436" s="25" t="s">
        <v>840</v>
      </c>
      <c r="C436" s="25" t="str">
        <f t="shared" si="153"/>
        <v>Shipment 1 B-10124 Fired Proces Heater</v>
      </c>
      <c r="D436" s="25" t="s">
        <v>839</v>
      </c>
      <c r="E436" s="25" t="s">
        <v>838</v>
      </c>
      <c r="F436" s="25"/>
      <c r="G436" s="65"/>
      <c r="H436" s="25" t="s">
        <v>842</v>
      </c>
      <c r="I436" s="25"/>
      <c r="J436" s="26" t="s">
        <v>845</v>
      </c>
      <c r="K436" s="27" t="s">
        <v>534</v>
      </c>
      <c r="L436" s="28" t="s">
        <v>550</v>
      </c>
      <c r="M436" s="28" t="s">
        <v>777</v>
      </c>
      <c r="N436" s="25">
        <v>1</v>
      </c>
      <c r="O436" s="29">
        <v>122.10624999999999</v>
      </c>
      <c r="P436" s="29">
        <v>122.10624999999999</v>
      </c>
      <c r="Q436" s="25" t="s">
        <v>795</v>
      </c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45"/>
        <v>0</v>
      </c>
      <c r="AF436" s="32">
        <f t="shared" si="146"/>
        <v>122.10624999999999</v>
      </c>
      <c r="AG436" s="30"/>
      <c r="AH436" s="33"/>
      <c r="AI436" s="34">
        <f t="shared" si="147"/>
        <v>0</v>
      </c>
      <c r="AJ436" s="35"/>
      <c r="AK436" s="30"/>
      <c r="AL436" s="36">
        <f t="shared" si="148"/>
        <v>0</v>
      </c>
      <c r="AM436" s="35"/>
      <c r="AN436" s="30"/>
      <c r="AO436" s="36">
        <f t="shared" si="149"/>
        <v>0</v>
      </c>
      <c r="AP436" s="35"/>
      <c r="AQ436" s="30"/>
      <c r="AR436" s="36">
        <f t="shared" si="150"/>
        <v>0</v>
      </c>
      <c r="AS436" s="27"/>
      <c r="AT436" s="37"/>
      <c r="AU436" s="30"/>
      <c r="AV436" s="36">
        <f t="shared" si="151"/>
        <v>0</v>
      </c>
      <c r="AW436" s="35"/>
      <c r="AX436" s="30"/>
      <c r="AY436" s="32">
        <f t="shared" si="152"/>
        <v>0</v>
      </c>
      <c r="AZ436" s="30" t="s">
        <v>841</v>
      </c>
      <c r="BA436" s="63"/>
      <c r="BB436" s="71" t="e">
        <f>SUMIFS([1]Form!$F$9:$F$22,[1]Form!$K$9:$K$22,K436)</f>
        <v>#VALUE!</v>
      </c>
      <c r="BC436" s="71"/>
      <c r="BD436" s="71"/>
    </row>
    <row r="437" spans="1:56" x14ac:dyDescent="0.25">
      <c r="A437" s="24">
        <f>IF(B437="","",SUBTOTAL(3,$B$4:B437))</f>
        <v>434</v>
      </c>
      <c r="B437" s="25" t="s">
        <v>840</v>
      </c>
      <c r="C437" s="25" t="str">
        <f t="shared" si="153"/>
        <v>Shipment 1 B-10124 Fired Proces Heater</v>
      </c>
      <c r="D437" s="25" t="s">
        <v>839</v>
      </c>
      <c r="E437" s="25" t="s">
        <v>838</v>
      </c>
      <c r="F437" s="25"/>
      <c r="G437" s="65"/>
      <c r="H437" s="25" t="s">
        <v>842</v>
      </c>
      <c r="I437" s="25"/>
      <c r="J437" s="26" t="s">
        <v>845</v>
      </c>
      <c r="K437" s="27" t="s">
        <v>551</v>
      </c>
      <c r="L437" s="28" t="s">
        <v>552</v>
      </c>
      <c r="M437" s="28" t="s">
        <v>777</v>
      </c>
      <c r="N437" s="25">
        <v>1</v>
      </c>
      <c r="O437" s="29">
        <v>127.49999999999999</v>
      </c>
      <c r="P437" s="29">
        <v>127.49999999999999</v>
      </c>
      <c r="Q437" s="25" t="s">
        <v>796</v>
      </c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45"/>
        <v>0</v>
      </c>
      <c r="AF437" s="32">
        <f t="shared" si="146"/>
        <v>127.49999999999999</v>
      </c>
      <c r="AG437" s="30"/>
      <c r="AH437" s="33"/>
      <c r="AI437" s="34">
        <f t="shared" si="147"/>
        <v>0</v>
      </c>
      <c r="AJ437" s="35"/>
      <c r="AK437" s="30"/>
      <c r="AL437" s="36">
        <f t="shared" si="148"/>
        <v>0</v>
      </c>
      <c r="AM437" s="35"/>
      <c r="AN437" s="30"/>
      <c r="AO437" s="36">
        <f t="shared" si="149"/>
        <v>0</v>
      </c>
      <c r="AP437" s="35"/>
      <c r="AQ437" s="30"/>
      <c r="AR437" s="36">
        <f t="shared" si="150"/>
        <v>0</v>
      </c>
      <c r="AS437" s="27"/>
      <c r="AT437" s="37"/>
      <c r="AU437" s="30"/>
      <c r="AV437" s="36">
        <f t="shared" si="151"/>
        <v>0</v>
      </c>
      <c r="AW437" s="35"/>
      <c r="AX437" s="30"/>
      <c r="AY437" s="32">
        <f t="shared" si="152"/>
        <v>0</v>
      </c>
      <c r="AZ437" s="30" t="s">
        <v>841</v>
      </c>
      <c r="BA437" s="63"/>
      <c r="BB437" s="71" t="e">
        <f>SUMIFS([1]Form!$F$9:$F$22,[1]Form!$K$9:$K$22,K437)</f>
        <v>#VALUE!</v>
      </c>
      <c r="BC437" s="71"/>
      <c r="BD437" s="71"/>
    </row>
    <row r="438" spans="1:56" x14ac:dyDescent="0.25">
      <c r="A438" s="24">
        <f>IF(B438="","",SUBTOTAL(3,$B$4:B438))</f>
        <v>435</v>
      </c>
      <c r="B438" s="25" t="s">
        <v>840</v>
      </c>
      <c r="C438" s="25" t="str">
        <f t="shared" si="153"/>
        <v>Shipment 1 B-10124 Fired Proces Heater</v>
      </c>
      <c r="D438" s="25" t="s">
        <v>839</v>
      </c>
      <c r="E438" s="25" t="s">
        <v>838</v>
      </c>
      <c r="F438" s="25"/>
      <c r="G438" s="65"/>
      <c r="H438" s="25" t="s">
        <v>842</v>
      </c>
      <c r="I438" s="25"/>
      <c r="J438" s="26" t="s">
        <v>845</v>
      </c>
      <c r="K438" s="27" t="s">
        <v>551</v>
      </c>
      <c r="L438" s="28" t="s">
        <v>553</v>
      </c>
      <c r="M438" s="28" t="s">
        <v>777</v>
      </c>
      <c r="N438" s="25">
        <v>1</v>
      </c>
      <c r="O438" s="29">
        <v>127.49999999999999</v>
      </c>
      <c r="P438" s="29">
        <v>127.49999999999999</v>
      </c>
      <c r="Q438" s="25" t="s">
        <v>796</v>
      </c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45"/>
        <v>0</v>
      </c>
      <c r="AF438" s="32">
        <f t="shared" si="146"/>
        <v>127.49999999999999</v>
      </c>
      <c r="AG438" s="30"/>
      <c r="AH438" s="33"/>
      <c r="AI438" s="34">
        <f t="shared" si="147"/>
        <v>0</v>
      </c>
      <c r="AJ438" s="35"/>
      <c r="AK438" s="30"/>
      <c r="AL438" s="36">
        <f t="shared" si="148"/>
        <v>0</v>
      </c>
      <c r="AM438" s="35"/>
      <c r="AN438" s="30"/>
      <c r="AO438" s="36">
        <f t="shared" si="149"/>
        <v>0</v>
      </c>
      <c r="AP438" s="35"/>
      <c r="AQ438" s="30"/>
      <c r="AR438" s="36">
        <f t="shared" si="150"/>
        <v>0</v>
      </c>
      <c r="AS438" s="27"/>
      <c r="AT438" s="37"/>
      <c r="AU438" s="30"/>
      <c r="AV438" s="36">
        <f t="shared" si="151"/>
        <v>0</v>
      </c>
      <c r="AW438" s="35"/>
      <c r="AX438" s="30"/>
      <c r="AY438" s="32">
        <f t="shared" si="152"/>
        <v>0</v>
      </c>
      <c r="AZ438" s="30" t="s">
        <v>841</v>
      </c>
      <c r="BA438" s="63"/>
      <c r="BB438" s="71" t="e">
        <f>SUMIFS([1]Form!$F$9:$F$22,[1]Form!$K$9:$K$22,K438)</f>
        <v>#VALUE!</v>
      </c>
      <c r="BC438" s="71"/>
      <c r="BD438" s="71"/>
    </row>
    <row r="439" spans="1:56" x14ac:dyDescent="0.25">
      <c r="A439" s="24">
        <f>IF(B439="","",SUBTOTAL(3,$B$4:B439))</f>
        <v>436</v>
      </c>
      <c r="B439" s="25" t="s">
        <v>840</v>
      </c>
      <c r="C439" s="25" t="str">
        <f t="shared" si="153"/>
        <v>Shipment 1 B-10124 Fired Proces Heater</v>
      </c>
      <c r="D439" s="25" t="s">
        <v>839</v>
      </c>
      <c r="E439" s="25" t="s">
        <v>838</v>
      </c>
      <c r="F439" s="25"/>
      <c r="G439" s="65"/>
      <c r="H439" s="25" t="s">
        <v>842</v>
      </c>
      <c r="I439" s="25"/>
      <c r="J439" s="26" t="s">
        <v>845</v>
      </c>
      <c r="K439" s="27" t="s">
        <v>554</v>
      </c>
      <c r="L439" s="28" t="s">
        <v>555</v>
      </c>
      <c r="M439" s="28" t="s">
        <v>777</v>
      </c>
      <c r="N439" s="25">
        <v>1</v>
      </c>
      <c r="O439" s="29">
        <v>257.05</v>
      </c>
      <c r="P439" s="29">
        <v>257.05</v>
      </c>
      <c r="Q439" s="25" t="s">
        <v>793</v>
      </c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45"/>
        <v>0</v>
      </c>
      <c r="AF439" s="32">
        <f t="shared" si="146"/>
        <v>257.05</v>
      </c>
      <c r="AG439" s="30"/>
      <c r="AH439" s="33"/>
      <c r="AI439" s="34">
        <f t="shared" si="147"/>
        <v>0</v>
      </c>
      <c r="AJ439" s="35"/>
      <c r="AK439" s="30"/>
      <c r="AL439" s="36">
        <f t="shared" si="148"/>
        <v>0</v>
      </c>
      <c r="AM439" s="35"/>
      <c r="AN439" s="30"/>
      <c r="AO439" s="36">
        <f t="shared" si="149"/>
        <v>0</v>
      </c>
      <c r="AP439" s="35"/>
      <c r="AQ439" s="30"/>
      <c r="AR439" s="36">
        <f t="shared" si="150"/>
        <v>0</v>
      </c>
      <c r="AS439" s="27"/>
      <c r="AT439" s="37"/>
      <c r="AU439" s="30"/>
      <c r="AV439" s="36">
        <f t="shared" si="151"/>
        <v>0</v>
      </c>
      <c r="AW439" s="35"/>
      <c r="AX439" s="30"/>
      <c r="AY439" s="32">
        <f t="shared" si="152"/>
        <v>0</v>
      </c>
      <c r="AZ439" s="30" t="s">
        <v>841</v>
      </c>
      <c r="BA439" s="63"/>
      <c r="BB439" s="71" t="e">
        <f>SUMIFS([1]Form!$F$9:$F$22,[1]Form!$K$9:$K$22,K439)</f>
        <v>#VALUE!</v>
      </c>
      <c r="BC439" s="71"/>
      <c r="BD439" s="71"/>
    </row>
    <row r="440" spans="1:56" x14ac:dyDescent="0.25">
      <c r="A440" s="24">
        <f>IF(B440="","",SUBTOTAL(3,$B$4:B440))</f>
        <v>437</v>
      </c>
      <c r="B440" s="25" t="s">
        <v>840</v>
      </c>
      <c r="C440" s="25" t="str">
        <f t="shared" si="153"/>
        <v>Shipment 1 B-10124 Fired Proces Heater</v>
      </c>
      <c r="D440" s="25" t="s">
        <v>839</v>
      </c>
      <c r="E440" s="25" t="s">
        <v>838</v>
      </c>
      <c r="F440" s="25"/>
      <c r="G440" s="65"/>
      <c r="H440" s="25" t="s">
        <v>842</v>
      </c>
      <c r="I440" s="25"/>
      <c r="J440" s="26" t="s">
        <v>845</v>
      </c>
      <c r="K440" s="27" t="s">
        <v>554</v>
      </c>
      <c r="L440" s="28" t="s">
        <v>556</v>
      </c>
      <c r="M440" s="28" t="s">
        <v>777</v>
      </c>
      <c r="N440" s="25">
        <v>1</v>
      </c>
      <c r="O440" s="29">
        <v>257.05</v>
      </c>
      <c r="P440" s="29">
        <v>257.05</v>
      </c>
      <c r="Q440" s="25" t="s">
        <v>793</v>
      </c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45"/>
        <v>0</v>
      </c>
      <c r="AF440" s="32">
        <f t="shared" si="146"/>
        <v>257.05</v>
      </c>
      <c r="AG440" s="30"/>
      <c r="AH440" s="33"/>
      <c r="AI440" s="34">
        <f t="shared" si="147"/>
        <v>0</v>
      </c>
      <c r="AJ440" s="35"/>
      <c r="AK440" s="30"/>
      <c r="AL440" s="36">
        <f t="shared" si="148"/>
        <v>0</v>
      </c>
      <c r="AM440" s="35"/>
      <c r="AN440" s="30"/>
      <c r="AO440" s="36">
        <f t="shared" si="149"/>
        <v>0</v>
      </c>
      <c r="AP440" s="35"/>
      <c r="AQ440" s="30"/>
      <c r="AR440" s="36">
        <f t="shared" si="150"/>
        <v>0</v>
      </c>
      <c r="AS440" s="27"/>
      <c r="AT440" s="37"/>
      <c r="AU440" s="30"/>
      <c r="AV440" s="36">
        <f t="shared" si="151"/>
        <v>0</v>
      </c>
      <c r="AW440" s="35"/>
      <c r="AX440" s="30"/>
      <c r="AY440" s="32">
        <f t="shared" si="152"/>
        <v>0</v>
      </c>
      <c r="AZ440" s="30" t="s">
        <v>841</v>
      </c>
      <c r="BA440" s="63"/>
      <c r="BB440" s="71" t="e">
        <f>SUMIFS([1]Form!$F$9:$F$22,[1]Form!$K$9:$K$22,K440)</f>
        <v>#VALUE!</v>
      </c>
      <c r="BC440" s="71"/>
      <c r="BD440" s="71"/>
    </row>
    <row r="441" spans="1:56" x14ac:dyDescent="0.25">
      <c r="A441" s="24">
        <f>IF(B441="","",SUBTOTAL(3,$B$4:B441))</f>
        <v>438</v>
      </c>
      <c r="B441" s="25" t="s">
        <v>840</v>
      </c>
      <c r="C441" s="25" t="str">
        <f t="shared" si="153"/>
        <v>Shipment 1 B-10124 Fired Proces Heater</v>
      </c>
      <c r="D441" s="25" t="s">
        <v>839</v>
      </c>
      <c r="E441" s="25" t="s">
        <v>838</v>
      </c>
      <c r="F441" s="25"/>
      <c r="G441" s="65"/>
      <c r="H441" s="25" t="s">
        <v>842</v>
      </c>
      <c r="I441" s="25"/>
      <c r="J441" s="26" t="s">
        <v>845</v>
      </c>
      <c r="K441" s="27" t="s">
        <v>557</v>
      </c>
      <c r="L441" s="28" t="s">
        <v>558</v>
      </c>
      <c r="M441" s="28" t="s">
        <v>777</v>
      </c>
      <c r="N441" s="25">
        <v>1</v>
      </c>
      <c r="O441" s="29">
        <v>328.7999999999999</v>
      </c>
      <c r="P441" s="29">
        <v>328.7999999999999</v>
      </c>
      <c r="Q441" s="25" t="s">
        <v>797</v>
      </c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45"/>
        <v>0</v>
      </c>
      <c r="AF441" s="32">
        <f t="shared" si="146"/>
        <v>328.7999999999999</v>
      </c>
      <c r="AG441" s="30"/>
      <c r="AH441" s="33"/>
      <c r="AI441" s="34">
        <f t="shared" si="147"/>
        <v>0</v>
      </c>
      <c r="AJ441" s="35"/>
      <c r="AK441" s="30"/>
      <c r="AL441" s="36">
        <f t="shared" si="148"/>
        <v>0</v>
      </c>
      <c r="AM441" s="35"/>
      <c r="AN441" s="30"/>
      <c r="AO441" s="36">
        <f t="shared" si="149"/>
        <v>0</v>
      </c>
      <c r="AP441" s="35"/>
      <c r="AQ441" s="30"/>
      <c r="AR441" s="36">
        <f t="shared" si="150"/>
        <v>0</v>
      </c>
      <c r="AS441" s="27"/>
      <c r="AT441" s="37"/>
      <c r="AU441" s="30"/>
      <c r="AV441" s="36">
        <f t="shared" si="151"/>
        <v>0</v>
      </c>
      <c r="AW441" s="35"/>
      <c r="AX441" s="30"/>
      <c r="AY441" s="32">
        <f t="shared" si="152"/>
        <v>0</v>
      </c>
      <c r="AZ441" s="30" t="s">
        <v>841</v>
      </c>
      <c r="BA441" s="63"/>
      <c r="BB441" s="71" t="e">
        <f>SUMIFS([1]Form!$F$9:$F$22,[1]Form!$K$9:$K$22,K441)</f>
        <v>#VALUE!</v>
      </c>
      <c r="BC441" s="71"/>
      <c r="BD441" s="71"/>
    </row>
    <row r="442" spans="1:56" x14ac:dyDescent="0.25">
      <c r="A442" s="24">
        <f>IF(B442="","",SUBTOTAL(3,$B$4:B442))</f>
        <v>439</v>
      </c>
      <c r="B442" s="25" t="s">
        <v>840</v>
      </c>
      <c r="C442" s="25" t="str">
        <f t="shared" si="153"/>
        <v>Shipment 1 B-10124 Fired Proces Heater</v>
      </c>
      <c r="D442" s="25" t="s">
        <v>839</v>
      </c>
      <c r="E442" s="25" t="s">
        <v>838</v>
      </c>
      <c r="F442" s="25"/>
      <c r="G442" s="65"/>
      <c r="H442" s="25" t="s">
        <v>842</v>
      </c>
      <c r="I442" s="25"/>
      <c r="J442" s="26" t="s">
        <v>845</v>
      </c>
      <c r="K442" s="27" t="s">
        <v>557</v>
      </c>
      <c r="L442" s="28" t="s">
        <v>559</v>
      </c>
      <c r="M442" s="28" t="s">
        <v>777</v>
      </c>
      <c r="N442" s="25">
        <v>1</v>
      </c>
      <c r="O442" s="29">
        <v>328.7999999999999</v>
      </c>
      <c r="P442" s="29">
        <v>328.7999999999999</v>
      </c>
      <c r="Q442" s="25" t="s">
        <v>797</v>
      </c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ref="AE442:AE505" si="154">+AL442*0.5+AO442*0.4+AV442*0.1</f>
        <v>0</v>
      </c>
      <c r="AF442" s="32">
        <f t="shared" ref="AF442:AF505" si="155">+P442-AE442</f>
        <v>328.7999999999999</v>
      </c>
      <c r="AG442" s="30"/>
      <c r="AH442" s="33"/>
      <c r="AI442" s="34">
        <f t="shared" ref="AI442:AI505" si="156">+AH442*P442</f>
        <v>0</v>
      </c>
      <c r="AJ442" s="35"/>
      <c r="AK442" s="30"/>
      <c r="AL442" s="36">
        <f t="shared" ref="AL442:AL505" si="157">IFERROR(AK442*$P442/$N442,0)</f>
        <v>0</v>
      </c>
      <c r="AM442" s="35"/>
      <c r="AN442" s="30"/>
      <c r="AO442" s="36">
        <f t="shared" ref="AO442:AO505" si="158">IFERROR(AN442*$P442/$N442,0)</f>
        <v>0</v>
      </c>
      <c r="AP442" s="35"/>
      <c r="AQ442" s="30"/>
      <c r="AR442" s="36">
        <f t="shared" ref="AR442:AR505" si="159">IFERROR(AQ442*$P442/$N442,0)</f>
        <v>0</v>
      </c>
      <c r="AS442" s="27"/>
      <c r="AT442" s="37"/>
      <c r="AU442" s="30"/>
      <c r="AV442" s="36">
        <f t="shared" ref="AV442:AV505" si="160">IFERROR(AU442*$P442/$N442,0)</f>
        <v>0</v>
      </c>
      <c r="AW442" s="35"/>
      <c r="AX442" s="30"/>
      <c r="AY442" s="32">
        <f t="shared" ref="AY442:AY505" si="161">IFERROR(AX442*$P442/$N442,0)</f>
        <v>0</v>
      </c>
      <c r="AZ442" s="30" t="s">
        <v>841</v>
      </c>
      <c r="BA442" s="63"/>
      <c r="BB442" s="71" t="e">
        <f>SUMIFS([1]Form!$F$9:$F$22,[1]Form!$K$9:$K$22,K442)</f>
        <v>#VALUE!</v>
      </c>
      <c r="BC442" s="71"/>
      <c r="BD442" s="71"/>
    </row>
    <row r="443" spans="1:56" x14ac:dyDescent="0.25">
      <c r="A443" s="24">
        <f>IF(B443="","",SUBTOTAL(3,$B$4:B443))</f>
        <v>440</v>
      </c>
      <c r="B443" s="25" t="s">
        <v>840</v>
      </c>
      <c r="C443" s="25" t="str">
        <f t="shared" si="153"/>
        <v>Shipment 1 B-10124 Fired Proces Heater</v>
      </c>
      <c r="D443" s="25" t="s">
        <v>839</v>
      </c>
      <c r="E443" s="25" t="s">
        <v>838</v>
      </c>
      <c r="F443" s="25"/>
      <c r="G443" s="65"/>
      <c r="H443" s="25" t="s">
        <v>842</v>
      </c>
      <c r="I443" s="25"/>
      <c r="J443" s="26" t="s">
        <v>845</v>
      </c>
      <c r="K443" s="27" t="s">
        <v>560</v>
      </c>
      <c r="L443" s="28" t="s">
        <v>561</v>
      </c>
      <c r="M443" s="28" t="s">
        <v>777</v>
      </c>
      <c r="N443" s="25">
        <v>1</v>
      </c>
      <c r="O443" s="29">
        <v>328.7999999999999</v>
      </c>
      <c r="P443" s="29">
        <v>328.7999999999999</v>
      </c>
      <c r="Q443" s="25" t="s">
        <v>797</v>
      </c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54"/>
        <v>0</v>
      </c>
      <c r="AF443" s="32">
        <f t="shared" si="155"/>
        <v>328.7999999999999</v>
      </c>
      <c r="AG443" s="30"/>
      <c r="AH443" s="33"/>
      <c r="AI443" s="34">
        <f t="shared" si="156"/>
        <v>0</v>
      </c>
      <c r="AJ443" s="35"/>
      <c r="AK443" s="30"/>
      <c r="AL443" s="36">
        <f t="shared" si="157"/>
        <v>0</v>
      </c>
      <c r="AM443" s="35"/>
      <c r="AN443" s="30"/>
      <c r="AO443" s="36">
        <f t="shared" si="158"/>
        <v>0</v>
      </c>
      <c r="AP443" s="35"/>
      <c r="AQ443" s="30"/>
      <c r="AR443" s="36">
        <f t="shared" si="159"/>
        <v>0</v>
      </c>
      <c r="AS443" s="27"/>
      <c r="AT443" s="37"/>
      <c r="AU443" s="30"/>
      <c r="AV443" s="36">
        <f t="shared" si="160"/>
        <v>0</v>
      </c>
      <c r="AW443" s="35"/>
      <c r="AX443" s="30"/>
      <c r="AY443" s="32">
        <f t="shared" si="161"/>
        <v>0</v>
      </c>
      <c r="AZ443" s="30" t="s">
        <v>841</v>
      </c>
      <c r="BA443" s="63"/>
      <c r="BB443" s="71" t="e">
        <f>SUMIFS([1]Form!$F$9:$F$22,[1]Form!$K$9:$K$22,K443)</f>
        <v>#VALUE!</v>
      </c>
      <c r="BC443" s="71"/>
      <c r="BD443" s="71"/>
    </row>
    <row r="444" spans="1:56" x14ac:dyDescent="0.25">
      <c r="A444" s="24">
        <f>IF(B444="","",SUBTOTAL(3,$B$4:B444))</f>
        <v>441</v>
      </c>
      <c r="B444" s="25" t="s">
        <v>840</v>
      </c>
      <c r="C444" s="25" t="str">
        <f t="shared" si="153"/>
        <v>Shipment 1 B-10124 Fired Proces Heater</v>
      </c>
      <c r="D444" s="25" t="s">
        <v>839</v>
      </c>
      <c r="E444" s="25" t="s">
        <v>838</v>
      </c>
      <c r="F444" s="25"/>
      <c r="G444" s="65"/>
      <c r="H444" s="25" t="s">
        <v>842</v>
      </c>
      <c r="I444" s="25"/>
      <c r="J444" s="26" t="s">
        <v>845</v>
      </c>
      <c r="K444" s="27" t="s">
        <v>560</v>
      </c>
      <c r="L444" s="28" t="s">
        <v>562</v>
      </c>
      <c r="M444" s="28" t="s">
        <v>777</v>
      </c>
      <c r="N444" s="25">
        <v>1</v>
      </c>
      <c r="O444" s="29">
        <v>328.7999999999999</v>
      </c>
      <c r="P444" s="29">
        <v>328.7999999999999</v>
      </c>
      <c r="Q444" s="25" t="s">
        <v>797</v>
      </c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54"/>
        <v>0</v>
      </c>
      <c r="AF444" s="32">
        <f t="shared" si="155"/>
        <v>328.7999999999999</v>
      </c>
      <c r="AG444" s="30"/>
      <c r="AH444" s="33"/>
      <c r="AI444" s="34">
        <f t="shared" si="156"/>
        <v>0</v>
      </c>
      <c r="AJ444" s="35"/>
      <c r="AK444" s="30"/>
      <c r="AL444" s="36">
        <f t="shared" si="157"/>
        <v>0</v>
      </c>
      <c r="AM444" s="35"/>
      <c r="AN444" s="30"/>
      <c r="AO444" s="36">
        <f t="shared" si="158"/>
        <v>0</v>
      </c>
      <c r="AP444" s="35"/>
      <c r="AQ444" s="30"/>
      <c r="AR444" s="36">
        <f t="shared" si="159"/>
        <v>0</v>
      </c>
      <c r="AS444" s="27"/>
      <c r="AT444" s="37"/>
      <c r="AU444" s="30"/>
      <c r="AV444" s="36">
        <f t="shared" si="160"/>
        <v>0</v>
      </c>
      <c r="AW444" s="35"/>
      <c r="AX444" s="30"/>
      <c r="AY444" s="32">
        <f t="shared" si="161"/>
        <v>0</v>
      </c>
      <c r="AZ444" s="30" t="s">
        <v>841</v>
      </c>
      <c r="BA444" s="63"/>
      <c r="BB444" s="71" t="e">
        <f>SUMIFS([1]Form!$F$9:$F$22,[1]Form!$K$9:$K$22,K444)</f>
        <v>#VALUE!</v>
      </c>
      <c r="BC444" s="71"/>
      <c r="BD444" s="71"/>
    </row>
    <row r="445" spans="1:56" x14ac:dyDescent="0.25">
      <c r="A445" s="24">
        <f>IF(B445="","",SUBTOTAL(3,$B$4:B445))</f>
        <v>442</v>
      </c>
      <c r="B445" s="25" t="s">
        <v>840</v>
      </c>
      <c r="C445" s="25" t="str">
        <f t="shared" si="153"/>
        <v>Shipment 1 B-10124 Fired Proces Heater</v>
      </c>
      <c r="D445" s="25" t="s">
        <v>839</v>
      </c>
      <c r="E445" s="25" t="s">
        <v>838</v>
      </c>
      <c r="F445" s="25"/>
      <c r="G445" s="65"/>
      <c r="H445" s="25" t="s">
        <v>842</v>
      </c>
      <c r="I445" s="25"/>
      <c r="J445" s="26" t="s">
        <v>845</v>
      </c>
      <c r="K445" s="27" t="s">
        <v>563</v>
      </c>
      <c r="L445" s="28" t="s">
        <v>564</v>
      </c>
      <c r="M445" s="28" t="s">
        <v>777</v>
      </c>
      <c r="N445" s="25">
        <v>1</v>
      </c>
      <c r="O445" s="29">
        <v>585.79999999999995</v>
      </c>
      <c r="P445" s="29">
        <v>585.79999999999995</v>
      </c>
      <c r="Q445" s="25" t="s">
        <v>798</v>
      </c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54"/>
        <v>0</v>
      </c>
      <c r="AF445" s="32">
        <f t="shared" si="155"/>
        <v>585.79999999999995</v>
      </c>
      <c r="AG445" s="30"/>
      <c r="AH445" s="33"/>
      <c r="AI445" s="34">
        <f t="shared" si="156"/>
        <v>0</v>
      </c>
      <c r="AJ445" s="35"/>
      <c r="AK445" s="30"/>
      <c r="AL445" s="36">
        <f t="shared" si="157"/>
        <v>0</v>
      </c>
      <c r="AM445" s="35"/>
      <c r="AN445" s="30"/>
      <c r="AO445" s="36">
        <f t="shared" si="158"/>
        <v>0</v>
      </c>
      <c r="AP445" s="35"/>
      <c r="AQ445" s="30"/>
      <c r="AR445" s="36">
        <f t="shared" si="159"/>
        <v>0</v>
      </c>
      <c r="AS445" s="27"/>
      <c r="AT445" s="37"/>
      <c r="AU445" s="30"/>
      <c r="AV445" s="36">
        <f t="shared" si="160"/>
        <v>0</v>
      </c>
      <c r="AW445" s="35"/>
      <c r="AX445" s="30"/>
      <c r="AY445" s="32">
        <f t="shared" si="161"/>
        <v>0</v>
      </c>
      <c r="AZ445" s="30" t="s">
        <v>841</v>
      </c>
      <c r="BA445" s="63"/>
      <c r="BB445" s="71" t="e">
        <f>SUMIFS([1]Form!$F$9:$F$22,[1]Form!$K$9:$K$22,K445)</f>
        <v>#VALUE!</v>
      </c>
      <c r="BC445" s="71"/>
      <c r="BD445" s="71"/>
    </row>
    <row r="446" spans="1:56" x14ac:dyDescent="0.25">
      <c r="A446" s="24">
        <f>IF(B446="","",SUBTOTAL(3,$B$4:B446))</f>
        <v>443</v>
      </c>
      <c r="B446" s="25" t="s">
        <v>840</v>
      </c>
      <c r="C446" s="25" t="str">
        <f t="shared" si="153"/>
        <v>Shipment 1 B-10124 Fired Proces Heater</v>
      </c>
      <c r="D446" s="25" t="s">
        <v>839</v>
      </c>
      <c r="E446" s="25" t="s">
        <v>838</v>
      </c>
      <c r="F446" s="25"/>
      <c r="G446" s="65"/>
      <c r="H446" s="25" t="s">
        <v>842</v>
      </c>
      <c r="I446" s="25"/>
      <c r="J446" s="26" t="s">
        <v>845</v>
      </c>
      <c r="K446" s="27" t="s">
        <v>565</v>
      </c>
      <c r="L446" s="28" t="s">
        <v>566</v>
      </c>
      <c r="M446" s="28" t="s">
        <v>777</v>
      </c>
      <c r="N446" s="25">
        <v>1</v>
      </c>
      <c r="O446" s="29">
        <v>585.79999999999995</v>
      </c>
      <c r="P446" s="29">
        <v>585.79999999999995</v>
      </c>
      <c r="Q446" s="25" t="s">
        <v>799</v>
      </c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54"/>
        <v>0</v>
      </c>
      <c r="AF446" s="32">
        <f t="shared" si="155"/>
        <v>585.79999999999995</v>
      </c>
      <c r="AG446" s="30"/>
      <c r="AH446" s="33"/>
      <c r="AI446" s="34">
        <f t="shared" si="156"/>
        <v>0</v>
      </c>
      <c r="AJ446" s="35"/>
      <c r="AK446" s="30"/>
      <c r="AL446" s="36">
        <f t="shared" si="157"/>
        <v>0</v>
      </c>
      <c r="AM446" s="35"/>
      <c r="AN446" s="30"/>
      <c r="AO446" s="36">
        <f t="shared" si="158"/>
        <v>0</v>
      </c>
      <c r="AP446" s="35"/>
      <c r="AQ446" s="30"/>
      <c r="AR446" s="36">
        <f t="shared" si="159"/>
        <v>0</v>
      </c>
      <c r="AS446" s="27"/>
      <c r="AT446" s="37"/>
      <c r="AU446" s="30"/>
      <c r="AV446" s="36">
        <f t="shared" si="160"/>
        <v>0</v>
      </c>
      <c r="AW446" s="35"/>
      <c r="AX446" s="30"/>
      <c r="AY446" s="32">
        <f t="shared" si="161"/>
        <v>0</v>
      </c>
      <c r="AZ446" s="30" t="s">
        <v>841</v>
      </c>
      <c r="BA446" s="63"/>
      <c r="BB446" s="71" t="e">
        <f>SUMIFS([1]Form!$F$9:$F$22,[1]Form!$K$9:$K$22,K446)</f>
        <v>#VALUE!</v>
      </c>
      <c r="BC446" s="71"/>
      <c r="BD446" s="71"/>
    </row>
    <row r="447" spans="1:56" x14ac:dyDescent="0.25">
      <c r="A447" s="24">
        <f>IF(B447="","",SUBTOTAL(3,$B$4:B447))</f>
        <v>444</v>
      </c>
      <c r="B447" s="25" t="s">
        <v>840</v>
      </c>
      <c r="C447" s="25" t="str">
        <f t="shared" si="153"/>
        <v>Shipment 1 B-10124 Fired Proces Heater</v>
      </c>
      <c r="D447" s="25" t="s">
        <v>839</v>
      </c>
      <c r="E447" s="25" t="s">
        <v>838</v>
      </c>
      <c r="F447" s="25"/>
      <c r="G447" s="65"/>
      <c r="H447" s="25" t="s">
        <v>842</v>
      </c>
      <c r="I447" s="25"/>
      <c r="J447" s="26" t="s">
        <v>845</v>
      </c>
      <c r="K447" s="27" t="s">
        <v>567</v>
      </c>
      <c r="L447" s="28" t="s">
        <v>568</v>
      </c>
      <c r="M447" s="28" t="s">
        <v>777</v>
      </c>
      <c r="N447" s="25">
        <v>1</v>
      </c>
      <c r="O447" s="29">
        <v>224.1</v>
      </c>
      <c r="P447" s="29">
        <v>224.1</v>
      </c>
      <c r="Q447" s="25" t="s">
        <v>800</v>
      </c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54"/>
        <v>0</v>
      </c>
      <c r="AF447" s="32">
        <f t="shared" si="155"/>
        <v>224.1</v>
      </c>
      <c r="AG447" s="30"/>
      <c r="AH447" s="33"/>
      <c r="AI447" s="34">
        <f t="shared" si="156"/>
        <v>0</v>
      </c>
      <c r="AJ447" s="35"/>
      <c r="AK447" s="30"/>
      <c r="AL447" s="36">
        <f t="shared" si="157"/>
        <v>0</v>
      </c>
      <c r="AM447" s="35"/>
      <c r="AN447" s="30"/>
      <c r="AO447" s="36">
        <f t="shared" si="158"/>
        <v>0</v>
      </c>
      <c r="AP447" s="35"/>
      <c r="AQ447" s="30"/>
      <c r="AR447" s="36">
        <f t="shared" si="159"/>
        <v>0</v>
      </c>
      <c r="AS447" s="27"/>
      <c r="AT447" s="37"/>
      <c r="AU447" s="30"/>
      <c r="AV447" s="36">
        <f t="shared" si="160"/>
        <v>0</v>
      </c>
      <c r="AW447" s="35"/>
      <c r="AX447" s="30"/>
      <c r="AY447" s="32">
        <f t="shared" si="161"/>
        <v>0</v>
      </c>
      <c r="AZ447" s="30" t="s">
        <v>841</v>
      </c>
      <c r="BA447" s="63"/>
      <c r="BB447" s="71" t="e">
        <f>SUMIFS([1]Form!$F$9:$F$22,[1]Form!$K$9:$K$22,K447)</f>
        <v>#VALUE!</v>
      </c>
      <c r="BC447" s="71"/>
      <c r="BD447" s="71"/>
    </row>
    <row r="448" spans="1:56" x14ac:dyDescent="0.25">
      <c r="A448" s="24">
        <f>IF(B448="","",SUBTOTAL(3,$B$4:B448))</f>
        <v>445</v>
      </c>
      <c r="B448" s="25" t="s">
        <v>840</v>
      </c>
      <c r="C448" s="25" t="str">
        <f t="shared" si="153"/>
        <v>Shipment 1 B-10124 Fired Proces Heater</v>
      </c>
      <c r="D448" s="25" t="s">
        <v>839</v>
      </c>
      <c r="E448" s="25" t="s">
        <v>838</v>
      </c>
      <c r="F448" s="25"/>
      <c r="G448" s="65"/>
      <c r="H448" s="25" t="s">
        <v>842</v>
      </c>
      <c r="I448" s="25"/>
      <c r="J448" s="26" t="s">
        <v>845</v>
      </c>
      <c r="K448" s="27" t="s">
        <v>569</v>
      </c>
      <c r="L448" s="28" t="s">
        <v>570</v>
      </c>
      <c r="M448" s="28" t="s">
        <v>777</v>
      </c>
      <c r="N448" s="25">
        <v>1</v>
      </c>
      <c r="O448" s="29">
        <v>224.2</v>
      </c>
      <c r="P448" s="29">
        <v>224.2</v>
      </c>
      <c r="Q448" s="25" t="s">
        <v>800</v>
      </c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54"/>
        <v>0</v>
      </c>
      <c r="AF448" s="32">
        <f t="shared" si="155"/>
        <v>224.2</v>
      </c>
      <c r="AG448" s="30"/>
      <c r="AH448" s="33"/>
      <c r="AI448" s="34">
        <f t="shared" si="156"/>
        <v>0</v>
      </c>
      <c r="AJ448" s="35"/>
      <c r="AK448" s="30"/>
      <c r="AL448" s="36">
        <f t="shared" si="157"/>
        <v>0</v>
      </c>
      <c r="AM448" s="35"/>
      <c r="AN448" s="30"/>
      <c r="AO448" s="36">
        <f t="shared" si="158"/>
        <v>0</v>
      </c>
      <c r="AP448" s="35"/>
      <c r="AQ448" s="30"/>
      <c r="AR448" s="36">
        <f t="shared" si="159"/>
        <v>0</v>
      </c>
      <c r="AS448" s="27"/>
      <c r="AT448" s="37"/>
      <c r="AU448" s="30"/>
      <c r="AV448" s="36">
        <f t="shared" si="160"/>
        <v>0</v>
      </c>
      <c r="AW448" s="35"/>
      <c r="AX448" s="30"/>
      <c r="AY448" s="32">
        <f t="shared" si="161"/>
        <v>0</v>
      </c>
      <c r="AZ448" s="30" t="s">
        <v>841</v>
      </c>
      <c r="BA448" s="63"/>
      <c r="BB448" s="71" t="e">
        <f>SUMIFS([1]Form!$F$9:$F$22,[1]Form!$K$9:$K$22,K448)</f>
        <v>#VALUE!</v>
      </c>
      <c r="BC448" s="71"/>
      <c r="BD448" s="71"/>
    </row>
    <row r="449" spans="1:56" x14ac:dyDescent="0.25">
      <c r="A449" s="24">
        <f>IF(B449="","",SUBTOTAL(3,$B$4:B449))</f>
        <v>446</v>
      </c>
      <c r="B449" s="25" t="s">
        <v>840</v>
      </c>
      <c r="C449" s="25" t="str">
        <f t="shared" si="153"/>
        <v>Shipment 1 B-10124 Fired Proces Heater</v>
      </c>
      <c r="D449" s="25" t="s">
        <v>839</v>
      </c>
      <c r="E449" s="25" t="s">
        <v>838</v>
      </c>
      <c r="F449" s="25"/>
      <c r="G449" s="65"/>
      <c r="H449" s="25" t="s">
        <v>842</v>
      </c>
      <c r="I449" s="25"/>
      <c r="J449" s="26" t="s">
        <v>845</v>
      </c>
      <c r="K449" s="27" t="s">
        <v>571</v>
      </c>
      <c r="L449" s="28" t="s">
        <v>572</v>
      </c>
      <c r="M449" s="28" t="s">
        <v>777</v>
      </c>
      <c r="N449" s="25">
        <v>1</v>
      </c>
      <c r="O449" s="29">
        <v>227.29999999999998</v>
      </c>
      <c r="P449" s="29">
        <v>227.29999999999998</v>
      </c>
      <c r="Q449" s="25" t="s">
        <v>801</v>
      </c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54"/>
        <v>0</v>
      </c>
      <c r="AF449" s="32">
        <f t="shared" si="155"/>
        <v>227.29999999999998</v>
      </c>
      <c r="AG449" s="30"/>
      <c r="AH449" s="33"/>
      <c r="AI449" s="34">
        <f t="shared" si="156"/>
        <v>0</v>
      </c>
      <c r="AJ449" s="35"/>
      <c r="AK449" s="30"/>
      <c r="AL449" s="36">
        <f t="shared" si="157"/>
        <v>0</v>
      </c>
      <c r="AM449" s="35"/>
      <c r="AN449" s="30"/>
      <c r="AO449" s="36">
        <f t="shared" si="158"/>
        <v>0</v>
      </c>
      <c r="AP449" s="35"/>
      <c r="AQ449" s="30"/>
      <c r="AR449" s="36">
        <f t="shared" si="159"/>
        <v>0</v>
      </c>
      <c r="AS449" s="27"/>
      <c r="AT449" s="37"/>
      <c r="AU449" s="30"/>
      <c r="AV449" s="36">
        <f t="shared" si="160"/>
        <v>0</v>
      </c>
      <c r="AW449" s="35"/>
      <c r="AX449" s="30"/>
      <c r="AY449" s="32">
        <f t="shared" si="161"/>
        <v>0</v>
      </c>
      <c r="AZ449" s="30" t="s">
        <v>841</v>
      </c>
      <c r="BA449" s="63"/>
      <c r="BB449" s="71" t="e">
        <f>SUMIFS([1]Form!$F$9:$F$22,[1]Form!$K$9:$K$22,K449)</f>
        <v>#VALUE!</v>
      </c>
      <c r="BC449" s="71"/>
      <c r="BD449" s="71"/>
    </row>
    <row r="450" spans="1:56" x14ac:dyDescent="0.25">
      <c r="A450" s="24">
        <f>IF(B450="","",SUBTOTAL(3,$B$4:B450))</f>
        <v>447</v>
      </c>
      <c r="B450" s="25" t="s">
        <v>840</v>
      </c>
      <c r="C450" s="25" t="str">
        <f t="shared" si="153"/>
        <v>Shipment 1 B-10124 Fired Proces Heater</v>
      </c>
      <c r="D450" s="25" t="s">
        <v>839</v>
      </c>
      <c r="E450" s="25" t="s">
        <v>838</v>
      </c>
      <c r="F450" s="25"/>
      <c r="G450" s="65"/>
      <c r="H450" s="25" t="s">
        <v>842</v>
      </c>
      <c r="I450" s="25"/>
      <c r="J450" s="26" t="s">
        <v>845</v>
      </c>
      <c r="K450" s="27" t="s">
        <v>573</v>
      </c>
      <c r="L450" s="28" t="s">
        <v>574</v>
      </c>
      <c r="M450" s="28" t="s">
        <v>777</v>
      </c>
      <c r="N450" s="25">
        <v>1</v>
      </c>
      <c r="O450" s="29">
        <v>227.29999999999998</v>
      </c>
      <c r="P450" s="29">
        <v>227.29999999999998</v>
      </c>
      <c r="Q450" s="25" t="s">
        <v>801</v>
      </c>
      <c r="R450" s="25"/>
      <c r="S450" s="26"/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54"/>
        <v>0</v>
      </c>
      <c r="AF450" s="32">
        <f t="shared" si="155"/>
        <v>227.29999999999998</v>
      </c>
      <c r="AG450" s="30"/>
      <c r="AH450" s="33"/>
      <c r="AI450" s="34">
        <f t="shared" si="156"/>
        <v>0</v>
      </c>
      <c r="AJ450" s="35"/>
      <c r="AK450" s="30"/>
      <c r="AL450" s="36">
        <f t="shared" si="157"/>
        <v>0</v>
      </c>
      <c r="AM450" s="35"/>
      <c r="AN450" s="30"/>
      <c r="AO450" s="36">
        <f t="shared" si="158"/>
        <v>0</v>
      </c>
      <c r="AP450" s="35"/>
      <c r="AQ450" s="30"/>
      <c r="AR450" s="36">
        <f t="shared" si="159"/>
        <v>0</v>
      </c>
      <c r="AS450" s="27"/>
      <c r="AT450" s="37"/>
      <c r="AU450" s="30"/>
      <c r="AV450" s="36">
        <f t="shared" si="160"/>
        <v>0</v>
      </c>
      <c r="AW450" s="35"/>
      <c r="AX450" s="30"/>
      <c r="AY450" s="32">
        <f t="shared" si="161"/>
        <v>0</v>
      </c>
      <c r="AZ450" s="30" t="s">
        <v>841</v>
      </c>
      <c r="BA450" s="63"/>
      <c r="BB450" s="71" t="e">
        <f>SUMIFS([1]Form!$F$9:$F$22,[1]Form!$K$9:$K$22,K450)</f>
        <v>#VALUE!</v>
      </c>
      <c r="BC450" s="71"/>
      <c r="BD450" s="71"/>
    </row>
    <row r="451" spans="1:56" x14ac:dyDescent="0.25">
      <c r="A451" s="24">
        <f>IF(B451="","",SUBTOTAL(3,$B$4:B451))</f>
        <v>448</v>
      </c>
      <c r="B451" s="25" t="s">
        <v>840</v>
      </c>
      <c r="C451" s="25" t="str">
        <f t="shared" si="153"/>
        <v>Shipment 1 B-10124 Fired Proces Heater</v>
      </c>
      <c r="D451" s="25" t="s">
        <v>839</v>
      </c>
      <c r="E451" s="25" t="s">
        <v>838</v>
      </c>
      <c r="F451" s="25"/>
      <c r="G451" s="65"/>
      <c r="H451" s="25" t="s">
        <v>842</v>
      </c>
      <c r="I451" s="25"/>
      <c r="J451" s="26" t="s">
        <v>845</v>
      </c>
      <c r="K451" s="27" t="s">
        <v>575</v>
      </c>
      <c r="L451" s="28" t="s">
        <v>576</v>
      </c>
      <c r="M451" s="28" t="s">
        <v>777</v>
      </c>
      <c r="N451" s="25">
        <v>1</v>
      </c>
      <c r="O451" s="29">
        <v>13.3</v>
      </c>
      <c r="P451" s="29">
        <v>13.3</v>
      </c>
      <c r="Q451" s="25" t="s">
        <v>802</v>
      </c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54"/>
        <v>0</v>
      </c>
      <c r="AF451" s="32">
        <f t="shared" si="155"/>
        <v>13.3</v>
      </c>
      <c r="AG451" s="30"/>
      <c r="AH451" s="33"/>
      <c r="AI451" s="34">
        <f t="shared" si="156"/>
        <v>0</v>
      </c>
      <c r="AJ451" s="35"/>
      <c r="AK451" s="30"/>
      <c r="AL451" s="36">
        <f t="shared" si="157"/>
        <v>0</v>
      </c>
      <c r="AM451" s="35"/>
      <c r="AN451" s="30"/>
      <c r="AO451" s="36">
        <f t="shared" si="158"/>
        <v>0</v>
      </c>
      <c r="AP451" s="35"/>
      <c r="AQ451" s="30"/>
      <c r="AR451" s="36">
        <f t="shared" si="159"/>
        <v>0</v>
      </c>
      <c r="AS451" s="27"/>
      <c r="AT451" s="37"/>
      <c r="AU451" s="30"/>
      <c r="AV451" s="36">
        <f t="shared" si="160"/>
        <v>0</v>
      </c>
      <c r="AW451" s="35"/>
      <c r="AX451" s="30"/>
      <c r="AY451" s="32">
        <f t="shared" si="161"/>
        <v>0</v>
      </c>
      <c r="AZ451" s="30" t="s">
        <v>841</v>
      </c>
      <c r="BA451" s="63"/>
      <c r="BB451" s="71" t="e">
        <f>SUMIFS([1]Form!$F$9:$F$22,[1]Form!$K$9:$K$22,K451)</f>
        <v>#VALUE!</v>
      </c>
      <c r="BC451" s="71"/>
      <c r="BD451" s="71"/>
    </row>
    <row r="452" spans="1:56" x14ac:dyDescent="0.25">
      <c r="A452" s="24">
        <f>IF(B452="","",SUBTOTAL(3,$B$4:B452))</f>
        <v>449</v>
      </c>
      <c r="B452" s="25" t="s">
        <v>840</v>
      </c>
      <c r="C452" s="25" t="str">
        <f t="shared" si="153"/>
        <v>Shipment 1 B-10124 Fired Proces Heater</v>
      </c>
      <c r="D452" s="25" t="s">
        <v>839</v>
      </c>
      <c r="E452" s="25" t="s">
        <v>838</v>
      </c>
      <c r="F452" s="25"/>
      <c r="G452" s="65"/>
      <c r="H452" s="25" t="s">
        <v>842</v>
      </c>
      <c r="I452" s="25"/>
      <c r="J452" s="26" t="s">
        <v>845</v>
      </c>
      <c r="K452" s="27" t="s">
        <v>575</v>
      </c>
      <c r="L452" s="28" t="s">
        <v>577</v>
      </c>
      <c r="M452" s="28" t="s">
        <v>777</v>
      </c>
      <c r="N452" s="25">
        <v>1</v>
      </c>
      <c r="O452" s="29">
        <v>13.3</v>
      </c>
      <c r="P452" s="29">
        <v>13.3</v>
      </c>
      <c r="Q452" s="25" t="s">
        <v>802</v>
      </c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54"/>
        <v>0</v>
      </c>
      <c r="AF452" s="32">
        <f t="shared" si="155"/>
        <v>13.3</v>
      </c>
      <c r="AG452" s="30"/>
      <c r="AH452" s="33"/>
      <c r="AI452" s="34">
        <f t="shared" si="156"/>
        <v>0</v>
      </c>
      <c r="AJ452" s="35"/>
      <c r="AK452" s="30"/>
      <c r="AL452" s="36">
        <f t="shared" si="157"/>
        <v>0</v>
      </c>
      <c r="AM452" s="35"/>
      <c r="AN452" s="30"/>
      <c r="AO452" s="36">
        <f t="shared" si="158"/>
        <v>0</v>
      </c>
      <c r="AP452" s="35"/>
      <c r="AQ452" s="30"/>
      <c r="AR452" s="36">
        <f t="shared" si="159"/>
        <v>0</v>
      </c>
      <c r="AS452" s="27"/>
      <c r="AT452" s="37"/>
      <c r="AU452" s="30"/>
      <c r="AV452" s="36">
        <f t="shared" si="160"/>
        <v>0</v>
      </c>
      <c r="AW452" s="35"/>
      <c r="AX452" s="30"/>
      <c r="AY452" s="32">
        <f t="shared" si="161"/>
        <v>0</v>
      </c>
      <c r="AZ452" s="30" t="s">
        <v>841</v>
      </c>
      <c r="BA452" s="63"/>
      <c r="BB452" s="71" t="e">
        <f>SUMIFS([1]Form!$F$9:$F$22,[1]Form!$K$9:$K$22,K452)</f>
        <v>#VALUE!</v>
      </c>
      <c r="BC452" s="71"/>
      <c r="BD452" s="71"/>
    </row>
    <row r="453" spans="1:56" x14ac:dyDescent="0.25">
      <c r="A453" s="24">
        <f>IF(B453="","",SUBTOTAL(3,$B$4:B453))</f>
        <v>450</v>
      </c>
      <c r="B453" s="25" t="s">
        <v>840</v>
      </c>
      <c r="C453" s="25" t="str">
        <f t="shared" si="153"/>
        <v>Shipment 1 B-10124 Fired Proces Heater</v>
      </c>
      <c r="D453" s="25" t="s">
        <v>839</v>
      </c>
      <c r="E453" s="25" t="s">
        <v>838</v>
      </c>
      <c r="F453" s="25"/>
      <c r="G453" s="65"/>
      <c r="H453" s="25" t="s">
        <v>842</v>
      </c>
      <c r="I453" s="25"/>
      <c r="J453" s="26" t="s">
        <v>845</v>
      </c>
      <c r="K453" s="27" t="s">
        <v>578</v>
      </c>
      <c r="L453" s="28" t="s">
        <v>579</v>
      </c>
      <c r="M453" s="28" t="s">
        <v>777</v>
      </c>
      <c r="N453" s="25">
        <v>1</v>
      </c>
      <c r="O453" s="29">
        <v>53.375</v>
      </c>
      <c r="P453" s="29">
        <v>53.375</v>
      </c>
      <c r="Q453" s="25" t="s">
        <v>803</v>
      </c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54"/>
        <v>0</v>
      </c>
      <c r="AF453" s="32">
        <f t="shared" si="155"/>
        <v>53.375</v>
      </c>
      <c r="AG453" s="30"/>
      <c r="AH453" s="33"/>
      <c r="AI453" s="34">
        <f t="shared" si="156"/>
        <v>0</v>
      </c>
      <c r="AJ453" s="35"/>
      <c r="AK453" s="30"/>
      <c r="AL453" s="36">
        <f t="shared" si="157"/>
        <v>0</v>
      </c>
      <c r="AM453" s="35"/>
      <c r="AN453" s="30"/>
      <c r="AO453" s="36">
        <f t="shared" si="158"/>
        <v>0</v>
      </c>
      <c r="AP453" s="35"/>
      <c r="AQ453" s="30"/>
      <c r="AR453" s="36">
        <f t="shared" si="159"/>
        <v>0</v>
      </c>
      <c r="AS453" s="27"/>
      <c r="AT453" s="37"/>
      <c r="AU453" s="30"/>
      <c r="AV453" s="36">
        <f t="shared" si="160"/>
        <v>0</v>
      </c>
      <c r="AW453" s="35"/>
      <c r="AX453" s="30"/>
      <c r="AY453" s="32">
        <f t="shared" si="161"/>
        <v>0</v>
      </c>
      <c r="AZ453" s="30" t="s">
        <v>841</v>
      </c>
      <c r="BA453" s="63"/>
      <c r="BB453" s="71" t="e">
        <f>SUMIFS([1]Form!$F$9:$F$22,[1]Form!$K$9:$K$22,K453)</f>
        <v>#VALUE!</v>
      </c>
      <c r="BC453" s="71"/>
      <c r="BD453" s="71"/>
    </row>
    <row r="454" spans="1:56" x14ac:dyDescent="0.25">
      <c r="A454" s="24">
        <f>IF(B454="","",SUBTOTAL(3,$B$4:B454))</f>
        <v>451</v>
      </c>
      <c r="B454" s="25" t="s">
        <v>840</v>
      </c>
      <c r="C454" s="25" t="str">
        <f t="shared" si="153"/>
        <v>Shipment 1 B-10124 Fired Proces Heater</v>
      </c>
      <c r="D454" s="25" t="s">
        <v>839</v>
      </c>
      <c r="E454" s="25" t="s">
        <v>838</v>
      </c>
      <c r="F454" s="25"/>
      <c r="G454" s="65"/>
      <c r="H454" s="25" t="s">
        <v>842</v>
      </c>
      <c r="I454" s="25"/>
      <c r="J454" s="26" t="s">
        <v>845</v>
      </c>
      <c r="K454" s="27" t="s">
        <v>578</v>
      </c>
      <c r="L454" s="28" t="s">
        <v>580</v>
      </c>
      <c r="M454" s="28" t="s">
        <v>777</v>
      </c>
      <c r="N454" s="25">
        <v>1</v>
      </c>
      <c r="O454" s="29">
        <v>53.375</v>
      </c>
      <c r="P454" s="29">
        <v>53.375</v>
      </c>
      <c r="Q454" s="25" t="s">
        <v>803</v>
      </c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54"/>
        <v>0</v>
      </c>
      <c r="AF454" s="32">
        <f t="shared" si="155"/>
        <v>53.375</v>
      </c>
      <c r="AG454" s="30"/>
      <c r="AH454" s="33"/>
      <c r="AI454" s="34">
        <f t="shared" si="156"/>
        <v>0</v>
      </c>
      <c r="AJ454" s="35"/>
      <c r="AK454" s="30"/>
      <c r="AL454" s="36">
        <f t="shared" si="157"/>
        <v>0</v>
      </c>
      <c r="AM454" s="35"/>
      <c r="AN454" s="30"/>
      <c r="AO454" s="36">
        <f t="shared" si="158"/>
        <v>0</v>
      </c>
      <c r="AP454" s="35"/>
      <c r="AQ454" s="30"/>
      <c r="AR454" s="36">
        <f t="shared" si="159"/>
        <v>0</v>
      </c>
      <c r="AS454" s="27"/>
      <c r="AT454" s="37"/>
      <c r="AU454" s="30"/>
      <c r="AV454" s="36">
        <f t="shared" si="160"/>
        <v>0</v>
      </c>
      <c r="AW454" s="35"/>
      <c r="AX454" s="30"/>
      <c r="AY454" s="32">
        <f t="shared" si="161"/>
        <v>0</v>
      </c>
      <c r="AZ454" s="30" t="s">
        <v>841</v>
      </c>
      <c r="BA454" s="63"/>
      <c r="BB454" s="71" t="e">
        <f>SUMIFS([1]Form!$F$9:$F$22,[1]Form!$K$9:$K$22,K454)</f>
        <v>#VALUE!</v>
      </c>
      <c r="BC454" s="71"/>
      <c r="BD454" s="71"/>
    </row>
    <row r="455" spans="1:56" x14ac:dyDescent="0.25">
      <c r="A455" s="24">
        <f>IF(B455="","",SUBTOTAL(3,$B$4:B455))</f>
        <v>452</v>
      </c>
      <c r="B455" s="25" t="s">
        <v>840</v>
      </c>
      <c r="C455" s="25" t="str">
        <f t="shared" si="153"/>
        <v>Shipment 1 B-10124 Fired Proces Heater</v>
      </c>
      <c r="D455" s="25" t="s">
        <v>839</v>
      </c>
      <c r="E455" s="25" t="s">
        <v>838</v>
      </c>
      <c r="F455" s="25"/>
      <c r="G455" s="65"/>
      <c r="H455" s="25" t="s">
        <v>842</v>
      </c>
      <c r="I455" s="25"/>
      <c r="J455" s="26" t="s">
        <v>845</v>
      </c>
      <c r="K455" s="27" t="s">
        <v>578</v>
      </c>
      <c r="L455" s="28" t="s">
        <v>581</v>
      </c>
      <c r="M455" s="28" t="s">
        <v>777</v>
      </c>
      <c r="N455" s="25">
        <v>1</v>
      </c>
      <c r="O455" s="29">
        <v>53.375</v>
      </c>
      <c r="P455" s="29">
        <v>53.375</v>
      </c>
      <c r="Q455" s="25" t="s">
        <v>803</v>
      </c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54"/>
        <v>0</v>
      </c>
      <c r="AF455" s="32">
        <f t="shared" si="155"/>
        <v>53.375</v>
      </c>
      <c r="AG455" s="30"/>
      <c r="AH455" s="33"/>
      <c r="AI455" s="34">
        <f t="shared" si="156"/>
        <v>0</v>
      </c>
      <c r="AJ455" s="35"/>
      <c r="AK455" s="30"/>
      <c r="AL455" s="36">
        <f t="shared" si="157"/>
        <v>0</v>
      </c>
      <c r="AM455" s="35"/>
      <c r="AN455" s="30"/>
      <c r="AO455" s="36">
        <f t="shared" si="158"/>
        <v>0</v>
      </c>
      <c r="AP455" s="35"/>
      <c r="AQ455" s="30"/>
      <c r="AR455" s="36">
        <f t="shared" si="159"/>
        <v>0</v>
      </c>
      <c r="AS455" s="27"/>
      <c r="AT455" s="37"/>
      <c r="AU455" s="30"/>
      <c r="AV455" s="36">
        <f t="shared" si="160"/>
        <v>0</v>
      </c>
      <c r="AW455" s="35"/>
      <c r="AX455" s="30"/>
      <c r="AY455" s="32">
        <f t="shared" si="161"/>
        <v>0</v>
      </c>
      <c r="AZ455" s="30" t="s">
        <v>841</v>
      </c>
      <c r="BA455" s="63"/>
      <c r="BB455" s="71" t="e">
        <f>SUMIFS([1]Form!$F$9:$F$22,[1]Form!$K$9:$K$22,K455)</f>
        <v>#VALUE!</v>
      </c>
      <c r="BC455" s="71"/>
      <c r="BD455" s="71"/>
    </row>
    <row r="456" spans="1:56" x14ac:dyDescent="0.25">
      <c r="A456" s="24">
        <f>IF(B456="","",SUBTOTAL(3,$B$4:B456))</f>
        <v>453</v>
      </c>
      <c r="B456" s="25" t="s">
        <v>840</v>
      </c>
      <c r="C456" s="25" t="str">
        <f t="shared" si="153"/>
        <v>Shipment 1 B-10124 Fired Proces Heater</v>
      </c>
      <c r="D456" s="25" t="s">
        <v>839</v>
      </c>
      <c r="E456" s="25" t="s">
        <v>838</v>
      </c>
      <c r="F456" s="25"/>
      <c r="G456" s="65"/>
      <c r="H456" s="25" t="s">
        <v>842</v>
      </c>
      <c r="I456" s="25"/>
      <c r="J456" s="26" t="s">
        <v>845</v>
      </c>
      <c r="K456" s="27" t="s">
        <v>578</v>
      </c>
      <c r="L456" s="28" t="s">
        <v>582</v>
      </c>
      <c r="M456" s="28" t="s">
        <v>777</v>
      </c>
      <c r="N456" s="25">
        <v>1</v>
      </c>
      <c r="O456" s="29">
        <v>53.375</v>
      </c>
      <c r="P456" s="29">
        <v>53.375</v>
      </c>
      <c r="Q456" s="25" t="s">
        <v>803</v>
      </c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54"/>
        <v>0</v>
      </c>
      <c r="AF456" s="32">
        <f t="shared" si="155"/>
        <v>53.375</v>
      </c>
      <c r="AG456" s="30"/>
      <c r="AH456" s="33"/>
      <c r="AI456" s="34">
        <f t="shared" si="156"/>
        <v>0</v>
      </c>
      <c r="AJ456" s="35"/>
      <c r="AK456" s="30"/>
      <c r="AL456" s="36">
        <f t="shared" si="157"/>
        <v>0</v>
      </c>
      <c r="AM456" s="35"/>
      <c r="AN456" s="30"/>
      <c r="AO456" s="36">
        <f t="shared" si="158"/>
        <v>0</v>
      </c>
      <c r="AP456" s="35"/>
      <c r="AQ456" s="30"/>
      <c r="AR456" s="36">
        <f t="shared" si="159"/>
        <v>0</v>
      </c>
      <c r="AS456" s="27"/>
      <c r="AT456" s="37"/>
      <c r="AU456" s="30"/>
      <c r="AV456" s="36">
        <f t="shared" si="160"/>
        <v>0</v>
      </c>
      <c r="AW456" s="35"/>
      <c r="AX456" s="30"/>
      <c r="AY456" s="32">
        <f t="shared" si="161"/>
        <v>0</v>
      </c>
      <c r="AZ456" s="30" t="s">
        <v>841</v>
      </c>
      <c r="BA456" s="63"/>
      <c r="BB456" s="71" t="e">
        <f>SUMIFS([1]Form!$F$9:$F$22,[1]Form!$K$9:$K$22,K456)</f>
        <v>#VALUE!</v>
      </c>
      <c r="BC456" s="71"/>
      <c r="BD456" s="71"/>
    </row>
    <row r="457" spans="1:56" x14ac:dyDescent="0.25">
      <c r="A457" s="24">
        <f>IF(B457="","",SUBTOTAL(3,$B$4:B457))</f>
        <v>454</v>
      </c>
      <c r="B457" s="25" t="s">
        <v>840</v>
      </c>
      <c r="C457" s="25" t="str">
        <f t="shared" si="153"/>
        <v>Shipment 1 B-10124 Fired Proces Heater</v>
      </c>
      <c r="D457" s="25" t="s">
        <v>839</v>
      </c>
      <c r="E457" s="25" t="s">
        <v>838</v>
      </c>
      <c r="F457" s="25"/>
      <c r="G457" s="65"/>
      <c r="H457" s="25" t="s">
        <v>842</v>
      </c>
      <c r="I457" s="25"/>
      <c r="J457" s="26" t="s">
        <v>845</v>
      </c>
      <c r="K457" s="27" t="s">
        <v>583</v>
      </c>
      <c r="L457" s="28" t="s">
        <v>584</v>
      </c>
      <c r="M457" s="28" t="s">
        <v>777</v>
      </c>
      <c r="N457" s="25">
        <v>1</v>
      </c>
      <c r="O457" s="29">
        <v>25.087499999999999</v>
      </c>
      <c r="P457" s="29">
        <v>25.087499999999999</v>
      </c>
      <c r="Q457" s="25" t="s">
        <v>804</v>
      </c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54"/>
        <v>0</v>
      </c>
      <c r="AF457" s="32">
        <f t="shared" si="155"/>
        <v>25.087499999999999</v>
      </c>
      <c r="AG457" s="30"/>
      <c r="AH457" s="33"/>
      <c r="AI457" s="34">
        <f t="shared" si="156"/>
        <v>0</v>
      </c>
      <c r="AJ457" s="35"/>
      <c r="AK457" s="30"/>
      <c r="AL457" s="36">
        <f t="shared" si="157"/>
        <v>0</v>
      </c>
      <c r="AM457" s="35"/>
      <c r="AN457" s="30"/>
      <c r="AO457" s="36">
        <f t="shared" si="158"/>
        <v>0</v>
      </c>
      <c r="AP457" s="35"/>
      <c r="AQ457" s="30"/>
      <c r="AR457" s="36">
        <f t="shared" si="159"/>
        <v>0</v>
      </c>
      <c r="AS457" s="27"/>
      <c r="AT457" s="37"/>
      <c r="AU457" s="30"/>
      <c r="AV457" s="36">
        <f t="shared" si="160"/>
        <v>0</v>
      </c>
      <c r="AW457" s="35"/>
      <c r="AX457" s="30"/>
      <c r="AY457" s="32">
        <f t="shared" si="161"/>
        <v>0</v>
      </c>
      <c r="AZ457" s="30" t="s">
        <v>841</v>
      </c>
      <c r="BA457" s="63"/>
      <c r="BB457" s="71" t="e">
        <f>SUMIFS([1]Form!$F$9:$F$22,[1]Form!$K$9:$K$22,K457)</f>
        <v>#VALUE!</v>
      </c>
      <c r="BC457" s="71"/>
      <c r="BD457" s="71"/>
    </row>
    <row r="458" spans="1:56" x14ac:dyDescent="0.25">
      <c r="A458" s="24">
        <f>IF(B458="","",SUBTOTAL(3,$B$4:B458))</f>
        <v>455</v>
      </c>
      <c r="B458" s="25" t="s">
        <v>840</v>
      </c>
      <c r="C458" s="25" t="str">
        <f t="shared" si="153"/>
        <v>Shipment 1 B-10124 Fired Proces Heater</v>
      </c>
      <c r="D458" s="25" t="s">
        <v>839</v>
      </c>
      <c r="E458" s="25" t="s">
        <v>838</v>
      </c>
      <c r="F458" s="25"/>
      <c r="G458" s="65"/>
      <c r="H458" s="25" t="s">
        <v>842</v>
      </c>
      <c r="I458" s="25"/>
      <c r="J458" s="26" t="s">
        <v>845</v>
      </c>
      <c r="K458" s="27" t="s">
        <v>583</v>
      </c>
      <c r="L458" s="28" t="s">
        <v>585</v>
      </c>
      <c r="M458" s="28" t="s">
        <v>777</v>
      </c>
      <c r="N458" s="25">
        <v>1</v>
      </c>
      <c r="O458" s="29">
        <v>25.087499999999999</v>
      </c>
      <c r="P458" s="29">
        <v>25.087499999999999</v>
      </c>
      <c r="Q458" s="25" t="s">
        <v>804</v>
      </c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54"/>
        <v>0</v>
      </c>
      <c r="AF458" s="32">
        <f t="shared" si="155"/>
        <v>25.087499999999999</v>
      </c>
      <c r="AG458" s="30"/>
      <c r="AH458" s="33"/>
      <c r="AI458" s="34">
        <f t="shared" si="156"/>
        <v>0</v>
      </c>
      <c r="AJ458" s="35"/>
      <c r="AK458" s="30"/>
      <c r="AL458" s="36">
        <f t="shared" si="157"/>
        <v>0</v>
      </c>
      <c r="AM458" s="35"/>
      <c r="AN458" s="30"/>
      <c r="AO458" s="36">
        <f t="shared" si="158"/>
        <v>0</v>
      </c>
      <c r="AP458" s="35"/>
      <c r="AQ458" s="30"/>
      <c r="AR458" s="36">
        <f t="shared" si="159"/>
        <v>0</v>
      </c>
      <c r="AS458" s="27"/>
      <c r="AT458" s="37"/>
      <c r="AU458" s="30"/>
      <c r="AV458" s="36">
        <f t="shared" si="160"/>
        <v>0</v>
      </c>
      <c r="AW458" s="35"/>
      <c r="AX458" s="30"/>
      <c r="AY458" s="32">
        <f t="shared" si="161"/>
        <v>0</v>
      </c>
      <c r="AZ458" s="30" t="s">
        <v>841</v>
      </c>
      <c r="BA458" s="63"/>
      <c r="BB458" s="71" t="e">
        <f>SUMIFS([1]Form!$F$9:$F$22,[1]Form!$K$9:$K$22,K458)</f>
        <v>#VALUE!</v>
      </c>
      <c r="BC458" s="71"/>
      <c r="BD458" s="71"/>
    </row>
    <row r="459" spans="1:56" x14ac:dyDescent="0.25">
      <c r="A459" s="24">
        <f>IF(B459="","",SUBTOTAL(3,$B$4:B459))</f>
        <v>456</v>
      </c>
      <c r="B459" s="25" t="s">
        <v>840</v>
      </c>
      <c r="C459" s="25" t="str">
        <f t="shared" si="153"/>
        <v>Shipment 1 B-10124 Fired Proces Heater</v>
      </c>
      <c r="D459" s="25" t="s">
        <v>839</v>
      </c>
      <c r="E459" s="25" t="s">
        <v>838</v>
      </c>
      <c r="F459" s="25"/>
      <c r="G459" s="65"/>
      <c r="H459" s="25" t="s">
        <v>842</v>
      </c>
      <c r="I459" s="25"/>
      <c r="J459" s="26" t="s">
        <v>845</v>
      </c>
      <c r="K459" s="27" t="s">
        <v>583</v>
      </c>
      <c r="L459" s="28" t="s">
        <v>586</v>
      </c>
      <c r="M459" s="28" t="s">
        <v>777</v>
      </c>
      <c r="N459" s="25">
        <v>1</v>
      </c>
      <c r="O459" s="29">
        <v>25.087499999999999</v>
      </c>
      <c r="P459" s="29">
        <v>25.087499999999999</v>
      </c>
      <c r="Q459" s="25" t="s">
        <v>804</v>
      </c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54"/>
        <v>0</v>
      </c>
      <c r="AF459" s="32">
        <f t="shared" si="155"/>
        <v>25.087499999999999</v>
      </c>
      <c r="AG459" s="30"/>
      <c r="AH459" s="33"/>
      <c r="AI459" s="34">
        <f t="shared" si="156"/>
        <v>0</v>
      </c>
      <c r="AJ459" s="35"/>
      <c r="AK459" s="30"/>
      <c r="AL459" s="36">
        <f t="shared" si="157"/>
        <v>0</v>
      </c>
      <c r="AM459" s="35"/>
      <c r="AN459" s="30"/>
      <c r="AO459" s="36">
        <f t="shared" si="158"/>
        <v>0</v>
      </c>
      <c r="AP459" s="35"/>
      <c r="AQ459" s="30"/>
      <c r="AR459" s="36">
        <f t="shared" si="159"/>
        <v>0</v>
      </c>
      <c r="AS459" s="27"/>
      <c r="AT459" s="37"/>
      <c r="AU459" s="30"/>
      <c r="AV459" s="36">
        <f t="shared" si="160"/>
        <v>0</v>
      </c>
      <c r="AW459" s="35"/>
      <c r="AX459" s="30"/>
      <c r="AY459" s="32">
        <f t="shared" si="161"/>
        <v>0</v>
      </c>
      <c r="AZ459" s="30" t="s">
        <v>841</v>
      </c>
      <c r="BA459" s="63"/>
      <c r="BB459" s="71" t="e">
        <f>SUMIFS([1]Form!$F$9:$F$22,[1]Form!$K$9:$K$22,K459)</f>
        <v>#VALUE!</v>
      </c>
      <c r="BC459" s="71"/>
      <c r="BD459" s="71"/>
    </row>
    <row r="460" spans="1:56" x14ac:dyDescent="0.25">
      <c r="A460" s="24">
        <f>IF(B460="","",SUBTOTAL(3,$B$4:B460))</f>
        <v>457</v>
      </c>
      <c r="B460" s="25" t="s">
        <v>840</v>
      </c>
      <c r="C460" s="25" t="str">
        <f t="shared" si="153"/>
        <v>Shipment 1 B-10124 Fired Proces Heater</v>
      </c>
      <c r="D460" s="25" t="s">
        <v>839</v>
      </c>
      <c r="E460" s="25" t="s">
        <v>838</v>
      </c>
      <c r="F460" s="25"/>
      <c r="G460" s="65"/>
      <c r="H460" s="25" t="s">
        <v>842</v>
      </c>
      <c r="I460" s="25"/>
      <c r="J460" s="26" t="s">
        <v>845</v>
      </c>
      <c r="K460" s="27" t="s">
        <v>583</v>
      </c>
      <c r="L460" s="28" t="s">
        <v>587</v>
      </c>
      <c r="M460" s="28" t="s">
        <v>777</v>
      </c>
      <c r="N460" s="25">
        <v>1</v>
      </c>
      <c r="O460" s="29">
        <v>25.087499999999999</v>
      </c>
      <c r="P460" s="29">
        <v>25.087499999999999</v>
      </c>
      <c r="Q460" s="25" t="s">
        <v>804</v>
      </c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54"/>
        <v>0</v>
      </c>
      <c r="AF460" s="32">
        <f t="shared" si="155"/>
        <v>25.087499999999999</v>
      </c>
      <c r="AG460" s="30"/>
      <c r="AH460" s="33"/>
      <c r="AI460" s="34">
        <f t="shared" si="156"/>
        <v>0</v>
      </c>
      <c r="AJ460" s="35"/>
      <c r="AK460" s="30"/>
      <c r="AL460" s="36">
        <f t="shared" si="157"/>
        <v>0</v>
      </c>
      <c r="AM460" s="35"/>
      <c r="AN460" s="30"/>
      <c r="AO460" s="36">
        <f t="shared" si="158"/>
        <v>0</v>
      </c>
      <c r="AP460" s="35"/>
      <c r="AQ460" s="30"/>
      <c r="AR460" s="36">
        <f t="shared" si="159"/>
        <v>0</v>
      </c>
      <c r="AS460" s="27"/>
      <c r="AT460" s="37"/>
      <c r="AU460" s="30"/>
      <c r="AV460" s="36">
        <f t="shared" si="160"/>
        <v>0</v>
      </c>
      <c r="AW460" s="35"/>
      <c r="AX460" s="30"/>
      <c r="AY460" s="32">
        <f t="shared" si="161"/>
        <v>0</v>
      </c>
      <c r="AZ460" s="30" t="s">
        <v>841</v>
      </c>
      <c r="BA460" s="63"/>
      <c r="BB460" s="71" t="e">
        <f>SUMIFS([1]Form!$F$9:$F$22,[1]Form!$K$9:$K$22,K460)</f>
        <v>#VALUE!</v>
      </c>
      <c r="BC460" s="71"/>
      <c r="BD460" s="71"/>
    </row>
    <row r="461" spans="1:56" x14ac:dyDescent="0.25">
      <c r="A461" s="24">
        <f>IF(B461="","",SUBTOTAL(3,$B$4:B461))</f>
        <v>458</v>
      </c>
      <c r="B461" s="25" t="s">
        <v>840</v>
      </c>
      <c r="C461" s="25" t="str">
        <f t="shared" si="153"/>
        <v>Shipment 1 B-10124 Fired Proces Heater</v>
      </c>
      <c r="D461" s="25" t="s">
        <v>839</v>
      </c>
      <c r="E461" s="25" t="s">
        <v>838</v>
      </c>
      <c r="F461" s="25"/>
      <c r="G461" s="65"/>
      <c r="H461" s="25" t="s">
        <v>842</v>
      </c>
      <c r="I461" s="25"/>
      <c r="J461" s="26" t="s">
        <v>845</v>
      </c>
      <c r="K461" s="27" t="s">
        <v>583</v>
      </c>
      <c r="L461" s="28" t="s">
        <v>588</v>
      </c>
      <c r="M461" s="28" t="s">
        <v>777</v>
      </c>
      <c r="N461" s="25">
        <v>1</v>
      </c>
      <c r="O461" s="29">
        <v>25.087499999999999</v>
      </c>
      <c r="P461" s="29">
        <v>25.087499999999999</v>
      </c>
      <c r="Q461" s="25" t="s">
        <v>804</v>
      </c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54"/>
        <v>0</v>
      </c>
      <c r="AF461" s="32">
        <f t="shared" si="155"/>
        <v>25.087499999999999</v>
      </c>
      <c r="AG461" s="30"/>
      <c r="AH461" s="33"/>
      <c r="AI461" s="34">
        <f t="shared" si="156"/>
        <v>0</v>
      </c>
      <c r="AJ461" s="35"/>
      <c r="AK461" s="30"/>
      <c r="AL461" s="36">
        <f t="shared" si="157"/>
        <v>0</v>
      </c>
      <c r="AM461" s="35"/>
      <c r="AN461" s="30"/>
      <c r="AO461" s="36">
        <f t="shared" si="158"/>
        <v>0</v>
      </c>
      <c r="AP461" s="35"/>
      <c r="AQ461" s="30"/>
      <c r="AR461" s="36">
        <f t="shared" si="159"/>
        <v>0</v>
      </c>
      <c r="AS461" s="27"/>
      <c r="AT461" s="37"/>
      <c r="AU461" s="30"/>
      <c r="AV461" s="36">
        <f t="shared" si="160"/>
        <v>0</v>
      </c>
      <c r="AW461" s="35"/>
      <c r="AX461" s="30"/>
      <c r="AY461" s="32">
        <f t="shared" si="161"/>
        <v>0</v>
      </c>
      <c r="AZ461" s="30" t="s">
        <v>841</v>
      </c>
      <c r="BA461" s="63"/>
      <c r="BB461" s="71" t="e">
        <f>SUMIFS([1]Form!$F$9:$F$22,[1]Form!$K$9:$K$22,K461)</f>
        <v>#VALUE!</v>
      </c>
      <c r="BC461" s="71"/>
      <c r="BD461" s="71"/>
    </row>
    <row r="462" spans="1:56" x14ac:dyDescent="0.25">
      <c r="A462" s="24">
        <f>IF(B462="","",SUBTOTAL(3,$B$4:B462))</f>
        <v>459</v>
      </c>
      <c r="B462" s="25" t="s">
        <v>840</v>
      </c>
      <c r="C462" s="25" t="str">
        <f t="shared" si="153"/>
        <v>Shipment 1 B-10124 Fired Proces Heater</v>
      </c>
      <c r="D462" s="25" t="s">
        <v>839</v>
      </c>
      <c r="E462" s="25" t="s">
        <v>838</v>
      </c>
      <c r="F462" s="25"/>
      <c r="G462" s="65"/>
      <c r="H462" s="25" t="s">
        <v>842</v>
      </c>
      <c r="I462" s="25"/>
      <c r="J462" s="26" t="s">
        <v>845</v>
      </c>
      <c r="K462" s="27" t="s">
        <v>583</v>
      </c>
      <c r="L462" s="28" t="s">
        <v>589</v>
      </c>
      <c r="M462" s="28" t="s">
        <v>777</v>
      </c>
      <c r="N462" s="25">
        <v>1</v>
      </c>
      <c r="O462" s="29">
        <v>25.087499999999999</v>
      </c>
      <c r="P462" s="29">
        <v>25.087499999999999</v>
      </c>
      <c r="Q462" s="25" t="s">
        <v>804</v>
      </c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54"/>
        <v>0</v>
      </c>
      <c r="AF462" s="32">
        <f t="shared" si="155"/>
        <v>25.087499999999999</v>
      </c>
      <c r="AG462" s="30"/>
      <c r="AH462" s="33"/>
      <c r="AI462" s="34">
        <f t="shared" si="156"/>
        <v>0</v>
      </c>
      <c r="AJ462" s="35"/>
      <c r="AK462" s="30"/>
      <c r="AL462" s="36">
        <f t="shared" si="157"/>
        <v>0</v>
      </c>
      <c r="AM462" s="35"/>
      <c r="AN462" s="30"/>
      <c r="AO462" s="36">
        <f t="shared" si="158"/>
        <v>0</v>
      </c>
      <c r="AP462" s="35"/>
      <c r="AQ462" s="30"/>
      <c r="AR462" s="36">
        <f t="shared" si="159"/>
        <v>0</v>
      </c>
      <c r="AS462" s="27"/>
      <c r="AT462" s="37"/>
      <c r="AU462" s="30"/>
      <c r="AV462" s="36">
        <f t="shared" si="160"/>
        <v>0</v>
      </c>
      <c r="AW462" s="35"/>
      <c r="AX462" s="30"/>
      <c r="AY462" s="32">
        <f t="shared" si="161"/>
        <v>0</v>
      </c>
      <c r="AZ462" s="30" t="s">
        <v>841</v>
      </c>
      <c r="BA462" s="63"/>
      <c r="BB462" s="71" t="e">
        <f>SUMIFS([1]Form!$F$9:$F$22,[1]Form!$K$9:$K$22,K462)</f>
        <v>#VALUE!</v>
      </c>
      <c r="BC462" s="71"/>
      <c r="BD462" s="71"/>
    </row>
    <row r="463" spans="1:56" x14ac:dyDescent="0.25">
      <c r="A463" s="24">
        <f>IF(B463="","",SUBTOTAL(3,$B$4:B463))</f>
        <v>460</v>
      </c>
      <c r="B463" s="25" t="s">
        <v>840</v>
      </c>
      <c r="C463" s="25" t="str">
        <f t="shared" si="153"/>
        <v>Shipment 1 B-10124 Fired Proces Heater</v>
      </c>
      <c r="D463" s="25" t="s">
        <v>839</v>
      </c>
      <c r="E463" s="25" t="s">
        <v>838</v>
      </c>
      <c r="F463" s="25"/>
      <c r="G463" s="65"/>
      <c r="H463" s="25" t="s">
        <v>842</v>
      </c>
      <c r="I463" s="25"/>
      <c r="J463" s="26" t="s">
        <v>845</v>
      </c>
      <c r="K463" s="27" t="s">
        <v>583</v>
      </c>
      <c r="L463" s="28" t="s">
        <v>590</v>
      </c>
      <c r="M463" s="28" t="s">
        <v>777</v>
      </c>
      <c r="N463" s="25">
        <v>1</v>
      </c>
      <c r="O463" s="29">
        <v>25.087499999999999</v>
      </c>
      <c r="P463" s="29">
        <v>25.087499999999999</v>
      </c>
      <c r="Q463" s="25" t="s">
        <v>804</v>
      </c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54"/>
        <v>0</v>
      </c>
      <c r="AF463" s="32">
        <f t="shared" si="155"/>
        <v>25.087499999999999</v>
      </c>
      <c r="AG463" s="30"/>
      <c r="AH463" s="33"/>
      <c r="AI463" s="34">
        <f t="shared" si="156"/>
        <v>0</v>
      </c>
      <c r="AJ463" s="35"/>
      <c r="AK463" s="30"/>
      <c r="AL463" s="36">
        <f t="shared" si="157"/>
        <v>0</v>
      </c>
      <c r="AM463" s="35"/>
      <c r="AN463" s="30"/>
      <c r="AO463" s="36">
        <f t="shared" si="158"/>
        <v>0</v>
      </c>
      <c r="AP463" s="35"/>
      <c r="AQ463" s="30"/>
      <c r="AR463" s="36">
        <f t="shared" si="159"/>
        <v>0</v>
      </c>
      <c r="AS463" s="27"/>
      <c r="AT463" s="37"/>
      <c r="AU463" s="30"/>
      <c r="AV463" s="36">
        <f t="shared" si="160"/>
        <v>0</v>
      </c>
      <c r="AW463" s="35"/>
      <c r="AX463" s="30"/>
      <c r="AY463" s="32">
        <f t="shared" si="161"/>
        <v>0</v>
      </c>
      <c r="AZ463" s="30" t="s">
        <v>841</v>
      </c>
      <c r="BA463" s="63"/>
      <c r="BB463" s="71" t="e">
        <f>SUMIFS([1]Form!$F$9:$F$22,[1]Form!$K$9:$K$22,K463)</f>
        <v>#VALUE!</v>
      </c>
      <c r="BC463" s="71"/>
      <c r="BD463" s="71"/>
    </row>
    <row r="464" spans="1:56" x14ac:dyDescent="0.25">
      <c r="A464" s="24">
        <f>IF(B464="","",SUBTOTAL(3,$B$4:B464))</f>
        <v>461</v>
      </c>
      <c r="B464" s="25" t="s">
        <v>840</v>
      </c>
      <c r="C464" s="25" t="str">
        <f t="shared" si="153"/>
        <v>Shipment 1 B-10124 Fired Proces Heater</v>
      </c>
      <c r="D464" s="25" t="s">
        <v>839</v>
      </c>
      <c r="E464" s="25" t="s">
        <v>838</v>
      </c>
      <c r="F464" s="25"/>
      <c r="G464" s="65"/>
      <c r="H464" s="25" t="s">
        <v>842</v>
      </c>
      <c r="I464" s="25"/>
      <c r="J464" s="26" t="s">
        <v>845</v>
      </c>
      <c r="K464" s="27" t="s">
        <v>583</v>
      </c>
      <c r="L464" s="28" t="s">
        <v>591</v>
      </c>
      <c r="M464" s="28" t="s">
        <v>777</v>
      </c>
      <c r="N464" s="25">
        <v>1</v>
      </c>
      <c r="O464" s="29">
        <v>25.087499999999999</v>
      </c>
      <c r="P464" s="29">
        <v>25.087499999999999</v>
      </c>
      <c r="Q464" s="25" t="s">
        <v>804</v>
      </c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54"/>
        <v>0</v>
      </c>
      <c r="AF464" s="32">
        <f t="shared" si="155"/>
        <v>25.087499999999999</v>
      </c>
      <c r="AG464" s="30"/>
      <c r="AH464" s="33"/>
      <c r="AI464" s="34">
        <f t="shared" si="156"/>
        <v>0</v>
      </c>
      <c r="AJ464" s="35"/>
      <c r="AK464" s="30"/>
      <c r="AL464" s="36">
        <f t="shared" si="157"/>
        <v>0</v>
      </c>
      <c r="AM464" s="35"/>
      <c r="AN464" s="30"/>
      <c r="AO464" s="36">
        <f t="shared" si="158"/>
        <v>0</v>
      </c>
      <c r="AP464" s="35"/>
      <c r="AQ464" s="30"/>
      <c r="AR464" s="36">
        <f t="shared" si="159"/>
        <v>0</v>
      </c>
      <c r="AS464" s="27"/>
      <c r="AT464" s="37"/>
      <c r="AU464" s="30"/>
      <c r="AV464" s="36">
        <f t="shared" si="160"/>
        <v>0</v>
      </c>
      <c r="AW464" s="35"/>
      <c r="AX464" s="30"/>
      <c r="AY464" s="32">
        <f t="shared" si="161"/>
        <v>0</v>
      </c>
      <c r="AZ464" s="30" t="s">
        <v>841</v>
      </c>
      <c r="BA464" s="63"/>
      <c r="BB464" s="71" t="e">
        <f>SUMIFS([1]Form!$F$9:$F$22,[1]Form!$K$9:$K$22,K464)</f>
        <v>#VALUE!</v>
      </c>
      <c r="BC464" s="71"/>
      <c r="BD464" s="71"/>
    </row>
    <row r="465" spans="1:56" x14ac:dyDescent="0.25">
      <c r="A465" s="24">
        <f>IF(B465="","",SUBTOTAL(3,$B$4:B465))</f>
        <v>462</v>
      </c>
      <c r="B465" s="25" t="s">
        <v>840</v>
      </c>
      <c r="C465" s="25" t="str">
        <f t="shared" si="153"/>
        <v>Shipment 1 B-10124 Fired Proces Heater</v>
      </c>
      <c r="D465" s="25" t="s">
        <v>839</v>
      </c>
      <c r="E465" s="25" t="s">
        <v>838</v>
      </c>
      <c r="F465" s="25"/>
      <c r="G465" s="65"/>
      <c r="H465" s="25" t="s">
        <v>842</v>
      </c>
      <c r="I465" s="25"/>
      <c r="J465" s="26" t="s">
        <v>845</v>
      </c>
      <c r="K465" s="27" t="s">
        <v>592</v>
      </c>
      <c r="L465" s="28" t="s">
        <v>593</v>
      </c>
      <c r="M465" s="28" t="s">
        <v>777</v>
      </c>
      <c r="N465" s="25">
        <v>1</v>
      </c>
      <c r="O465" s="29">
        <v>13.3</v>
      </c>
      <c r="P465" s="29">
        <v>13.3</v>
      </c>
      <c r="Q465" s="25" t="s">
        <v>802</v>
      </c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54"/>
        <v>0</v>
      </c>
      <c r="AF465" s="32">
        <f t="shared" si="155"/>
        <v>13.3</v>
      </c>
      <c r="AG465" s="30"/>
      <c r="AH465" s="33"/>
      <c r="AI465" s="34">
        <f t="shared" si="156"/>
        <v>0</v>
      </c>
      <c r="AJ465" s="35"/>
      <c r="AK465" s="30"/>
      <c r="AL465" s="36">
        <f t="shared" si="157"/>
        <v>0</v>
      </c>
      <c r="AM465" s="35"/>
      <c r="AN465" s="30"/>
      <c r="AO465" s="36">
        <f t="shared" si="158"/>
        <v>0</v>
      </c>
      <c r="AP465" s="35"/>
      <c r="AQ465" s="30"/>
      <c r="AR465" s="36">
        <f t="shared" si="159"/>
        <v>0</v>
      </c>
      <c r="AS465" s="27"/>
      <c r="AT465" s="37"/>
      <c r="AU465" s="30"/>
      <c r="AV465" s="36">
        <f t="shared" si="160"/>
        <v>0</v>
      </c>
      <c r="AW465" s="35"/>
      <c r="AX465" s="30"/>
      <c r="AY465" s="32">
        <f t="shared" si="161"/>
        <v>0</v>
      </c>
      <c r="AZ465" s="30" t="s">
        <v>841</v>
      </c>
      <c r="BA465" s="63"/>
      <c r="BB465" s="71" t="e">
        <f>SUMIFS([1]Form!$F$9:$F$22,[1]Form!$K$9:$K$22,K465)</f>
        <v>#VALUE!</v>
      </c>
      <c r="BC465" s="71"/>
      <c r="BD465" s="71"/>
    </row>
    <row r="466" spans="1:56" x14ac:dyDescent="0.25">
      <c r="A466" s="24">
        <f>IF(B466="","",SUBTOTAL(3,$B$4:B466))</f>
        <v>463</v>
      </c>
      <c r="B466" s="25" t="s">
        <v>840</v>
      </c>
      <c r="C466" s="25" t="str">
        <f t="shared" si="153"/>
        <v>Shipment 1 B-10124 Fired Proces Heater</v>
      </c>
      <c r="D466" s="25" t="s">
        <v>839</v>
      </c>
      <c r="E466" s="25" t="s">
        <v>838</v>
      </c>
      <c r="F466" s="25"/>
      <c r="G466" s="65"/>
      <c r="H466" s="25" t="s">
        <v>842</v>
      </c>
      <c r="I466" s="25"/>
      <c r="J466" s="26" t="s">
        <v>845</v>
      </c>
      <c r="K466" s="27" t="s">
        <v>594</v>
      </c>
      <c r="L466" s="28" t="s">
        <v>595</v>
      </c>
      <c r="M466" s="28" t="s">
        <v>777</v>
      </c>
      <c r="N466" s="25">
        <v>1</v>
      </c>
      <c r="O466" s="29">
        <v>56.6</v>
      </c>
      <c r="P466" s="29">
        <v>56.6</v>
      </c>
      <c r="Q466" s="25" t="s">
        <v>805</v>
      </c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54"/>
        <v>0</v>
      </c>
      <c r="AF466" s="32">
        <f t="shared" si="155"/>
        <v>56.6</v>
      </c>
      <c r="AG466" s="30"/>
      <c r="AH466" s="33"/>
      <c r="AI466" s="34">
        <f t="shared" si="156"/>
        <v>0</v>
      </c>
      <c r="AJ466" s="35"/>
      <c r="AK466" s="30"/>
      <c r="AL466" s="36">
        <f t="shared" si="157"/>
        <v>0</v>
      </c>
      <c r="AM466" s="35"/>
      <c r="AN466" s="30"/>
      <c r="AO466" s="36">
        <f t="shared" si="158"/>
        <v>0</v>
      </c>
      <c r="AP466" s="35"/>
      <c r="AQ466" s="30"/>
      <c r="AR466" s="36">
        <f t="shared" si="159"/>
        <v>0</v>
      </c>
      <c r="AS466" s="27"/>
      <c r="AT466" s="37"/>
      <c r="AU466" s="30"/>
      <c r="AV466" s="36">
        <f t="shared" si="160"/>
        <v>0</v>
      </c>
      <c r="AW466" s="35"/>
      <c r="AX466" s="30"/>
      <c r="AY466" s="32">
        <f t="shared" si="161"/>
        <v>0</v>
      </c>
      <c r="AZ466" s="30" t="s">
        <v>841</v>
      </c>
      <c r="BA466" s="63"/>
      <c r="BB466" s="71" t="e">
        <f>SUMIFS([1]Form!$F$9:$F$22,[1]Form!$K$9:$K$22,K466)</f>
        <v>#VALUE!</v>
      </c>
      <c r="BC466" s="71"/>
      <c r="BD466" s="71"/>
    </row>
    <row r="467" spans="1:56" x14ac:dyDescent="0.25">
      <c r="A467" s="24">
        <f>IF(B467="","",SUBTOTAL(3,$B$4:B467))</f>
        <v>464</v>
      </c>
      <c r="B467" s="25" t="s">
        <v>840</v>
      </c>
      <c r="C467" s="25" t="str">
        <f t="shared" si="153"/>
        <v>Shipment 1 B-10124 Fired Proces Heater</v>
      </c>
      <c r="D467" s="25" t="s">
        <v>839</v>
      </c>
      <c r="E467" s="25" t="s">
        <v>838</v>
      </c>
      <c r="F467" s="25"/>
      <c r="G467" s="65"/>
      <c r="H467" s="25" t="s">
        <v>842</v>
      </c>
      <c r="I467" s="25"/>
      <c r="J467" s="26" t="s">
        <v>845</v>
      </c>
      <c r="K467" s="27" t="s">
        <v>594</v>
      </c>
      <c r="L467" s="28" t="s">
        <v>596</v>
      </c>
      <c r="M467" s="28" t="s">
        <v>777</v>
      </c>
      <c r="N467" s="25">
        <v>1</v>
      </c>
      <c r="O467" s="29">
        <v>56.6</v>
      </c>
      <c r="P467" s="29">
        <v>56.6</v>
      </c>
      <c r="Q467" s="25" t="s">
        <v>805</v>
      </c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54"/>
        <v>0</v>
      </c>
      <c r="AF467" s="32">
        <f t="shared" si="155"/>
        <v>56.6</v>
      </c>
      <c r="AG467" s="30"/>
      <c r="AH467" s="33"/>
      <c r="AI467" s="34">
        <f t="shared" si="156"/>
        <v>0</v>
      </c>
      <c r="AJ467" s="35"/>
      <c r="AK467" s="30"/>
      <c r="AL467" s="36">
        <f t="shared" si="157"/>
        <v>0</v>
      </c>
      <c r="AM467" s="35"/>
      <c r="AN467" s="30"/>
      <c r="AO467" s="36">
        <f t="shared" si="158"/>
        <v>0</v>
      </c>
      <c r="AP467" s="35"/>
      <c r="AQ467" s="30"/>
      <c r="AR467" s="36">
        <f t="shared" si="159"/>
        <v>0</v>
      </c>
      <c r="AS467" s="27"/>
      <c r="AT467" s="37"/>
      <c r="AU467" s="30"/>
      <c r="AV467" s="36">
        <f t="shared" si="160"/>
        <v>0</v>
      </c>
      <c r="AW467" s="35"/>
      <c r="AX467" s="30"/>
      <c r="AY467" s="32">
        <f t="shared" si="161"/>
        <v>0</v>
      </c>
      <c r="AZ467" s="30" t="s">
        <v>841</v>
      </c>
      <c r="BA467" s="63"/>
      <c r="BB467" s="71" t="e">
        <f>SUMIFS([1]Form!$F$9:$F$22,[1]Form!$K$9:$K$22,K467)</f>
        <v>#VALUE!</v>
      </c>
      <c r="BC467" s="71"/>
      <c r="BD467" s="71"/>
    </row>
    <row r="468" spans="1:56" x14ac:dyDescent="0.25">
      <c r="A468" s="24">
        <f>IF(B468="","",SUBTOTAL(3,$B$4:B468))</f>
        <v>465</v>
      </c>
      <c r="B468" s="25" t="s">
        <v>840</v>
      </c>
      <c r="C468" s="25" t="str">
        <f t="shared" si="153"/>
        <v>Shipment 1 B-10124 Fired Proces Heater</v>
      </c>
      <c r="D468" s="25" t="s">
        <v>839</v>
      </c>
      <c r="E468" s="25" t="s">
        <v>838</v>
      </c>
      <c r="F468" s="25"/>
      <c r="G468" s="65"/>
      <c r="H468" s="25" t="s">
        <v>842</v>
      </c>
      <c r="I468" s="25"/>
      <c r="J468" s="26" t="s">
        <v>845</v>
      </c>
      <c r="K468" s="27" t="s">
        <v>597</v>
      </c>
      <c r="L468" s="28" t="s">
        <v>598</v>
      </c>
      <c r="M468" s="28" t="s">
        <v>777</v>
      </c>
      <c r="N468" s="25">
        <v>1</v>
      </c>
      <c r="O468" s="29">
        <v>26.7</v>
      </c>
      <c r="P468" s="29">
        <v>26.7</v>
      </c>
      <c r="Q468" s="25" t="s">
        <v>806</v>
      </c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54"/>
        <v>0</v>
      </c>
      <c r="AF468" s="32">
        <f t="shared" si="155"/>
        <v>26.7</v>
      </c>
      <c r="AG468" s="30"/>
      <c r="AH468" s="33"/>
      <c r="AI468" s="34">
        <f t="shared" si="156"/>
        <v>0</v>
      </c>
      <c r="AJ468" s="35"/>
      <c r="AK468" s="30"/>
      <c r="AL468" s="36">
        <f t="shared" si="157"/>
        <v>0</v>
      </c>
      <c r="AM468" s="35"/>
      <c r="AN468" s="30"/>
      <c r="AO468" s="36">
        <f t="shared" si="158"/>
        <v>0</v>
      </c>
      <c r="AP468" s="35"/>
      <c r="AQ468" s="30"/>
      <c r="AR468" s="36">
        <f t="shared" si="159"/>
        <v>0</v>
      </c>
      <c r="AS468" s="27"/>
      <c r="AT468" s="37"/>
      <c r="AU468" s="30"/>
      <c r="AV468" s="36">
        <f t="shared" si="160"/>
        <v>0</v>
      </c>
      <c r="AW468" s="35"/>
      <c r="AX468" s="30"/>
      <c r="AY468" s="32">
        <f t="shared" si="161"/>
        <v>0</v>
      </c>
      <c r="AZ468" s="30" t="s">
        <v>841</v>
      </c>
      <c r="BA468" s="63"/>
      <c r="BB468" s="71" t="e">
        <f>SUMIFS([1]Form!$F$9:$F$22,[1]Form!$K$9:$K$22,K468)</f>
        <v>#VALUE!</v>
      </c>
      <c r="BC468" s="71"/>
      <c r="BD468" s="71"/>
    </row>
    <row r="469" spans="1:56" x14ac:dyDescent="0.25">
      <c r="A469" s="24">
        <f>IF(B469="","",SUBTOTAL(3,$B$4:B469))</f>
        <v>466</v>
      </c>
      <c r="B469" s="25" t="s">
        <v>840</v>
      </c>
      <c r="C469" s="25" t="str">
        <f t="shared" si="153"/>
        <v>Shipment 1 B-10124 Fired Proces Heater</v>
      </c>
      <c r="D469" s="25" t="s">
        <v>839</v>
      </c>
      <c r="E469" s="25" t="s">
        <v>838</v>
      </c>
      <c r="F469" s="25"/>
      <c r="G469" s="65"/>
      <c r="H469" s="25" t="s">
        <v>842</v>
      </c>
      <c r="I469" s="25"/>
      <c r="J469" s="26" t="s">
        <v>845</v>
      </c>
      <c r="K469" s="27" t="s">
        <v>597</v>
      </c>
      <c r="L469" s="28" t="s">
        <v>599</v>
      </c>
      <c r="M469" s="28" t="s">
        <v>777</v>
      </c>
      <c r="N469" s="25">
        <v>1</v>
      </c>
      <c r="O469" s="29">
        <v>26.7</v>
      </c>
      <c r="P469" s="29">
        <v>26.7</v>
      </c>
      <c r="Q469" s="25" t="s">
        <v>806</v>
      </c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54"/>
        <v>0</v>
      </c>
      <c r="AF469" s="32">
        <f t="shared" si="155"/>
        <v>26.7</v>
      </c>
      <c r="AG469" s="30"/>
      <c r="AH469" s="33"/>
      <c r="AI469" s="34">
        <f t="shared" si="156"/>
        <v>0</v>
      </c>
      <c r="AJ469" s="35"/>
      <c r="AK469" s="30"/>
      <c r="AL469" s="36">
        <f t="shared" si="157"/>
        <v>0</v>
      </c>
      <c r="AM469" s="35"/>
      <c r="AN469" s="30"/>
      <c r="AO469" s="36">
        <f t="shared" si="158"/>
        <v>0</v>
      </c>
      <c r="AP469" s="35"/>
      <c r="AQ469" s="30"/>
      <c r="AR469" s="36">
        <f t="shared" si="159"/>
        <v>0</v>
      </c>
      <c r="AS469" s="27"/>
      <c r="AT469" s="37"/>
      <c r="AU469" s="30"/>
      <c r="AV469" s="36">
        <f t="shared" si="160"/>
        <v>0</v>
      </c>
      <c r="AW469" s="35"/>
      <c r="AX469" s="30"/>
      <c r="AY469" s="32">
        <f t="shared" si="161"/>
        <v>0</v>
      </c>
      <c r="AZ469" s="30" t="s">
        <v>841</v>
      </c>
      <c r="BA469" s="63"/>
      <c r="BB469" s="71" t="e">
        <f>SUMIFS([1]Form!$F$9:$F$22,[1]Form!$K$9:$K$22,K469)</f>
        <v>#VALUE!</v>
      </c>
      <c r="BC469" s="71"/>
      <c r="BD469" s="71"/>
    </row>
    <row r="470" spans="1:56" x14ac:dyDescent="0.25">
      <c r="A470" s="24">
        <f>IF(B470="","",SUBTOTAL(3,$B$4:B470))</f>
        <v>467</v>
      </c>
      <c r="B470" s="25" t="s">
        <v>840</v>
      </c>
      <c r="C470" s="25" t="str">
        <f t="shared" si="153"/>
        <v>Shipment 1 B-10124 Fired Proces Heater</v>
      </c>
      <c r="D470" s="25" t="s">
        <v>839</v>
      </c>
      <c r="E470" s="25" t="s">
        <v>838</v>
      </c>
      <c r="F470" s="25"/>
      <c r="G470" s="65"/>
      <c r="H470" s="25" t="s">
        <v>842</v>
      </c>
      <c r="I470" s="25"/>
      <c r="J470" s="26" t="s">
        <v>845</v>
      </c>
      <c r="K470" s="27" t="s">
        <v>597</v>
      </c>
      <c r="L470" s="28" t="s">
        <v>600</v>
      </c>
      <c r="M470" s="28" t="s">
        <v>777</v>
      </c>
      <c r="N470" s="25">
        <v>1</v>
      </c>
      <c r="O470" s="29">
        <v>26.7</v>
      </c>
      <c r="P470" s="29">
        <v>26.7</v>
      </c>
      <c r="Q470" s="25" t="s">
        <v>806</v>
      </c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54"/>
        <v>0</v>
      </c>
      <c r="AF470" s="32">
        <f t="shared" si="155"/>
        <v>26.7</v>
      </c>
      <c r="AG470" s="30"/>
      <c r="AH470" s="33"/>
      <c r="AI470" s="34">
        <f t="shared" si="156"/>
        <v>0</v>
      </c>
      <c r="AJ470" s="35"/>
      <c r="AK470" s="30"/>
      <c r="AL470" s="36">
        <f t="shared" si="157"/>
        <v>0</v>
      </c>
      <c r="AM470" s="35"/>
      <c r="AN470" s="30"/>
      <c r="AO470" s="36">
        <f t="shared" si="158"/>
        <v>0</v>
      </c>
      <c r="AP470" s="35"/>
      <c r="AQ470" s="30"/>
      <c r="AR470" s="36">
        <f t="shared" si="159"/>
        <v>0</v>
      </c>
      <c r="AS470" s="27"/>
      <c r="AT470" s="37"/>
      <c r="AU470" s="30"/>
      <c r="AV470" s="36">
        <f t="shared" si="160"/>
        <v>0</v>
      </c>
      <c r="AW470" s="35"/>
      <c r="AX470" s="30"/>
      <c r="AY470" s="32">
        <f t="shared" si="161"/>
        <v>0</v>
      </c>
      <c r="AZ470" s="30" t="s">
        <v>841</v>
      </c>
      <c r="BA470" s="63"/>
      <c r="BB470" s="71" t="e">
        <f>SUMIFS([1]Form!$F$9:$F$22,[1]Form!$K$9:$K$22,K470)</f>
        <v>#VALUE!</v>
      </c>
      <c r="BC470" s="71"/>
      <c r="BD470" s="71"/>
    </row>
    <row r="471" spans="1:56" x14ac:dyDescent="0.25">
      <c r="A471" s="24">
        <f>IF(B471="","",SUBTOTAL(3,$B$4:B471))</f>
        <v>468</v>
      </c>
      <c r="B471" s="25" t="s">
        <v>840</v>
      </c>
      <c r="C471" s="25" t="str">
        <f t="shared" si="153"/>
        <v>Shipment 1 B-10124 Fired Proces Heater</v>
      </c>
      <c r="D471" s="25" t="s">
        <v>839</v>
      </c>
      <c r="E471" s="25" t="s">
        <v>838</v>
      </c>
      <c r="F471" s="25"/>
      <c r="G471" s="65"/>
      <c r="H471" s="25" t="s">
        <v>842</v>
      </c>
      <c r="I471" s="25"/>
      <c r="J471" s="26" t="s">
        <v>845</v>
      </c>
      <c r="K471" s="27" t="s">
        <v>597</v>
      </c>
      <c r="L471" s="28" t="s">
        <v>601</v>
      </c>
      <c r="M471" s="28" t="s">
        <v>777</v>
      </c>
      <c r="N471" s="25">
        <v>1</v>
      </c>
      <c r="O471" s="29">
        <v>26.7</v>
      </c>
      <c r="P471" s="29">
        <v>26.7</v>
      </c>
      <c r="Q471" s="25" t="s">
        <v>806</v>
      </c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54"/>
        <v>0</v>
      </c>
      <c r="AF471" s="32">
        <f t="shared" si="155"/>
        <v>26.7</v>
      </c>
      <c r="AG471" s="30"/>
      <c r="AH471" s="33"/>
      <c r="AI471" s="34">
        <f t="shared" si="156"/>
        <v>0</v>
      </c>
      <c r="AJ471" s="35"/>
      <c r="AK471" s="30"/>
      <c r="AL471" s="36">
        <f t="shared" si="157"/>
        <v>0</v>
      </c>
      <c r="AM471" s="35"/>
      <c r="AN471" s="30"/>
      <c r="AO471" s="36">
        <f t="shared" si="158"/>
        <v>0</v>
      </c>
      <c r="AP471" s="35"/>
      <c r="AQ471" s="30"/>
      <c r="AR471" s="36">
        <f t="shared" si="159"/>
        <v>0</v>
      </c>
      <c r="AS471" s="27"/>
      <c r="AT471" s="37"/>
      <c r="AU471" s="30"/>
      <c r="AV471" s="36">
        <f t="shared" si="160"/>
        <v>0</v>
      </c>
      <c r="AW471" s="35"/>
      <c r="AX471" s="30"/>
      <c r="AY471" s="32">
        <f t="shared" si="161"/>
        <v>0</v>
      </c>
      <c r="AZ471" s="30" t="s">
        <v>841</v>
      </c>
      <c r="BA471" s="63"/>
      <c r="BB471" s="71" t="e">
        <f>SUMIFS([1]Form!$F$9:$F$22,[1]Form!$K$9:$K$22,K471)</f>
        <v>#VALUE!</v>
      </c>
      <c r="BC471" s="71"/>
      <c r="BD471" s="71"/>
    </row>
    <row r="472" spans="1:56" x14ac:dyDescent="0.25">
      <c r="A472" s="24">
        <f>IF(B472="","",SUBTOTAL(3,$B$4:B472))</f>
        <v>469</v>
      </c>
      <c r="B472" s="25" t="s">
        <v>840</v>
      </c>
      <c r="C472" s="25" t="str">
        <f t="shared" si="153"/>
        <v>Shipment 1 B-10124 Fired Proces Heater</v>
      </c>
      <c r="D472" s="25" t="s">
        <v>839</v>
      </c>
      <c r="E472" s="25" t="s">
        <v>838</v>
      </c>
      <c r="F472" s="25"/>
      <c r="G472" s="65"/>
      <c r="H472" s="25" t="s">
        <v>842</v>
      </c>
      <c r="I472" s="25"/>
      <c r="J472" s="26" t="s">
        <v>845</v>
      </c>
      <c r="K472" s="27" t="s">
        <v>602</v>
      </c>
      <c r="L472" s="28" t="s">
        <v>603</v>
      </c>
      <c r="M472" s="28" t="s">
        <v>777</v>
      </c>
      <c r="N472" s="25">
        <v>1</v>
      </c>
      <c r="O472" s="29">
        <v>1221.2499999999998</v>
      </c>
      <c r="P472" s="29">
        <v>1221.2499999999998</v>
      </c>
      <c r="Q472" s="25" t="s">
        <v>807</v>
      </c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54"/>
        <v>0</v>
      </c>
      <c r="AF472" s="32">
        <f t="shared" si="155"/>
        <v>1221.2499999999998</v>
      </c>
      <c r="AG472" s="30"/>
      <c r="AH472" s="33"/>
      <c r="AI472" s="34">
        <f t="shared" si="156"/>
        <v>0</v>
      </c>
      <c r="AJ472" s="35"/>
      <c r="AK472" s="30"/>
      <c r="AL472" s="36">
        <f t="shared" si="157"/>
        <v>0</v>
      </c>
      <c r="AM472" s="35"/>
      <c r="AN472" s="30"/>
      <c r="AO472" s="36">
        <f t="shared" si="158"/>
        <v>0</v>
      </c>
      <c r="AP472" s="35"/>
      <c r="AQ472" s="30"/>
      <c r="AR472" s="36">
        <f t="shared" si="159"/>
        <v>0</v>
      </c>
      <c r="AS472" s="27"/>
      <c r="AT472" s="37"/>
      <c r="AU472" s="30"/>
      <c r="AV472" s="36">
        <f t="shared" si="160"/>
        <v>0</v>
      </c>
      <c r="AW472" s="35"/>
      <c r="AX472" s="30"/>
      <c r="AY472" s="32">
        <f t="shared" si="161"/>
        <v>0</v>
      </c>
      <c r="AZ472" s="30" t="s">
        <v>841</v>
      </c>
      <c r="BA472" s="63"/>
      <c r="BB472" s="71" t="e">
        <f>SUMIFS([1]Form!$F$9:$F$22,[1]Form!$K$9:$K$22,K472)</f>
        <v>#VALUE!</v>
      </c>
      <c r="BC472" s="71"/>
      <c r="BD472" s="71"/>
    </row>
    <row r="473" spans="1:56" x14ac:dyDescent="0.25">
      <c r="A473" s="24">
        <f>IF(B473="","",SUBTOTAL(3,$B$4:B473))</f>
        <v>470</v>
      </c>
      <c r="B473" s="25" t="s">
        <v>840</v>
      </c>
      <c r="C473" s="25" t="str">
        <f t="shared" si="153"/>
        <v>Shipment 1 B-10124 Fired Proces Heater</v>
      </c>
      <c r="D473" s="25" t="s">
        <v>839</v>
      </c>
      <c r="E473" s="25" t="s">
        <v>838</v>
      </c>
      <c r="F473" s="25"/>
      <c r="G473" s="65"/>
      <c r="H473" s="25" t="s">
        <v>842</v>
      </c>
      <c r="I473" s="25"/>
      <c r="J473" s="26" t="s">
        <v>845</v>
      </c>
      <c r="K473" s="27" t="s">
        <v>602</v>
      </c>
      <c r="L473" s="28" t="s">
        <v>604</v>
      </c>
      <c r="M473" s="28" t="s">
        <v>777</v>
      </c>
      <c r="N473" s="25">
        <v>1</v>
      </c>
      <c r="O473" s="29">
        <v>1221.2499999999998</v>
      </c>
      <c r="P473" s="29">
        <v>1221.2499999999998</v>
      </c>
      <c r="Q473" s="25" t="s">
        <v>807</v>
      </c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54"/>
        <v>0</v>
      </c>
      <c r="AF473" s="32">
        <f t="shared" si="155"/>
        <v>1221.2499999999998</v>
      </c>
      <c r="AG473" s="30"/>
      <c r="AH473" s="33"/>
      <c r="AI473" s="34">
        <f t="shared" si="156"/>
        <v>0</v>
      </c>
      <c r="AJ473" s="35"/>
      <c r="AK473" s="30"/>
      <c r="AL473" s="36">
        <f t="shared" si="157"/>
        <v>0</v>
      </c>
      <c r="AM473" s="35"/>
      <c r="AN473" s="30"/>
      <c r="AO473" s="36">
        <f t="shared" si="158"/>
        <v>0</v>
      </c>
      <c r="AP473" s="35"/>
      <c r="AQ473" s="30"/>
      <c r="AR473" s="36">
        <f t="shared" si="159"/>
        <v>0</v>
      </c>
      <c r="AS473" s="27"/>
      <c r="AT473" s="37"/>
      <c r="AU473" s="30"/>
      <c r="AV473" s="36">
        <f t="shared" si="160"/>
        <v>0</v>
      </c>
      <c r="AW473" s="35"/>
      <c r="AX473" s="30"/>
      <c r="AY473" s="32">
        <f t="shared" si="161"/>
        <v>0</v>
      </c>
      <c r="AZ473" s="30" t="s">
        <v>841</v>
      </c>
      <c r="BA473" s="63"/>
      <c r="BB473" s="71" t="e">
        <f>SUMIFS([1]Form!$F$9:$F$22,[1]Form!$K$9:$K$22,K473)</f>
        <v>#VALUE!</v>
      </c>
      <c r="BC473" s="71"/>
      <c r="BD473" s="71"/>
    </row>
    <row r="474" spans="1:56" x14ac:dyDescent="0.25">
      <c r="A474" s="24">
        <f>IF(B474="","",SUBTOTAL(3,$B$4:B474))</f>
        <v>471</v>
      </c>
      <c r="B474" s="25" t="s">
        <v>840</v>
      </c>
      <c r="C474" s="25" t="str">
        <f t="shared" si="153"/>
        <v>Shipment 1 B-10124 Fired Proces Heater</v>
      </c>
      <c r="D474" s="25" t="s">
        <v>839</v>
      </c>
      <c r="E474" s="25" t="s">
        <v>838</v>
      </c>
      <c r="F474" s="25"/>
      <c r="G474" s="65"/>
      <c r="H474" s="25" t="s">
        <v>842</v>
      </c>
      <c r="I474" s="25"/>
      <c r="J474" s="26" t="s">
        <v>845</v>
      </c>
      <c r="K474" s="27" t="s">
        <v>605</v>
      </c>
      <c r="L474" s="28" t="s">
        <v>606</v>
      </c>
      <c r="M474" s="28" t="s">
        <v>777</v>
      </c>
      <c r="N474" s="25">
        <v>1</v>
      </c>
      <c r="O474" s="29">
        <v>176.45</v>
      </c>
      <c r="P474" s="29">
        <v>176.45</v>
      </c>
      <c r="Q474" s="25" t="s">
        <v>808</v>
      </c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54"/>
        <v>0</v>
      </c>
      <c r="AF474" s="32">
        <f t="shared" si="155"/>
        <v>176.45</v>
      </c>
      <c r="AG474" s="30"/>
      <c r="AH474" s="33"/>
      <c r="AI474" s="34">
        <f t="shared" si="156"/>
        <v>0</v>
      </c>
      <c r="AJ474" s="35"/>
      <c r="AK474" s="30"/>
      <c r="AL474" s="36">
        <f t="shared" si="157"/>
        <v>0</v>
      </c>
      <c r="AM474" s="35"/>
      <c r="AN474" s="30"/>
      <c r="AO474" s="36">
        <f t="shared" si="158"/>
        <v>0</v>
      </c>
      <c r="AP474" s="35"/>
      <c r="AQ474" s="30"/>
      <c r="AR474" s="36">
        <f t="shared" si="159"/>
        <v>0</v>
      </c>
      <c r="AS474" s="27"/>
      <c r="AT474" s="37"/>
      <c r="AU474" s="30"/>
      <c r="AV474" s="36">
        <f t="shared" si="160"/>
        <v>0</v>
      </c>
      <c r="AW474" s="35"/>
      <c r="AX474" s="30"/>
      <c r="AY474" s="32">
        <f t="shared" si="161"/>
        <v>0</v>
      </c>
      <c r="AZ474" s="30" t="s">
        <v>841</v>
      </c>
      <c r="BA474" s="63"/>
      <c r="BB474" s="71" t="e">
        <f>SUMIFS([1]Form!$F$9:$F$22,[1]Form!$K$9:$K$22,K474)</f>
        <v>#VALUE!</v>
      </c>
      <c r="BC474" s="71"/>
      <c r="BD474" s="71"/>
    </row>
    <row r="475" spans="1:56" x14ac:dyDescent="0.25">
      <c r="A475" s="24">
        <f>IF(B475="","",SUBTOTAL(3,$B$4:B475))</f>
        <v>472</v>
      </c>
      <c r="B475" s="25" t="s">
        <v>840</v>
      </c>
      <c r="C475" s="25" t="str">
        <f t="shared" si="153"/>
        <v>Shipment 1 B-10124 Fired Proces Heater</v>
      </c>
      <c r="D475" s="25" t="s">
        <v>839</v>
      </c>
      <c r="E475" s="25" t="s">
        <v>838</v>
      </c>
      <c r="F475" s="25"/>
      <c r="G475" s="65"/>
      <c r="H475" s="25" t="s">
        <v>842</v>
      </c>
      <c r="I475" s="25"/>
      <c r="J475" s="26" t="s">
        <v>845</v>
      </c>
      <c r="K475" s="27" t="s">
        <v>605</v>
      </c>
      <c r="L475" s="28" t="s">
        <v>607</v>
      </c>
      <c r="M475" s="28" t="s">
        <v>777</v>
      </c>
      <c r="N475" s="25">
        <v>1</v>
      </c>
      <c r="O475" s="29">
        <v>176.45</v>
      </c>
      <c r="P475" s="29">
        <v>176.45</v>
      </c>
      <c r="Q475" s="25" t="s">
        <v>808</v>
      </c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54"/>
        <v>0</v>
      </c>
      <c r="AF475" s="32">
        <f t="shared" si="155"/>
        <v>176.45</v>
      </c>
      <c r="AG475" s="30"/>
      <c r="AH475" s="33"/>
      <c r="AI475" s="34">
        <f t="shared" si="156"/>
        <v>0</v>
      </c>
      <c r="AJ475" s="35"/>
      <c r="AK475" s="30"/>
      <c r="AL475" s="36">
        <f t="shared" si="157"/>
        <v>0</v>
      </c>
      <c r="AM475" s="35"/>
      <c r="AN475" s="30"/>
      <c r="AO475" s="36">
        <f t="shared" si="158"/>
        <v>0</v>
      </c>
      <c r="AP475" s="35"/>
      <c r="AQ475" s="30"/>
      <c r="AR475" s="36">
        <f t="shared" si="159"/>
        <v>0</v>
      </c>
      <c r="AS475" s="27"/>
      <c r="AT475" s="37"/>
      <c r="AU475" s="30"/>
      <c r="AV475" s="36">
        <f t="shared" si="160"/>
        <v>0</v>
      </c>
      <c r="AW475" s="35"/>
      <c r="AX475" s="30"/>
      <c r="AY475" s="32">
        <f t="shared" si="161"/>
        <v>0</v>
      </c>
      <c r="AZ475" s="30" t="s">
        <v>841</v>
      </c>
      <c r="BA475" s="63"/>
      <c r="BB475" s="71" t="e">
        <f>SUMIFS([1]Form!$F$9:$F$22,[1]Form!$K$9:$K$22,K475)</f>
        <v>#VALUE!</v>
      </c>
      <c r="BC475" s="71"/>
      <c r="BD475" s="71"/>
    </row>
    <row r="476" spans="1:56" x14ac:dyDescent="0.25">
      <c r="A476" s="24">
        <f>IF(B476="","",SUBTOTAL(3,$B$4:B476))</f>
        <v>473</v>
      </c>
      <c r="B476" s="25" t="s">
        <v>840</v>
      </c>
      <c r="C476" s="25" t="str">
        <f t="shared" si="153"/>
        <v>Shipment 1 B-10124 Fired Proces Heater</v>
      </c>
      <c r="D476" s="25" t="s">
        <v>839</v>
      </c>
      <c r="E476" s="25" t="s">
        <v>838</v>
      </c>
      <c r="F476" s="25"/>
      <c r="G476" s="65"/>
      <c r="H476" s="25" t="s">
        <v>842</v>
      </c>
      <c r="I476" s="25"/>
      <c r="J476" s="26" t="s">
        <v>845</v>
      </c>
      <c r="K476" s="27" t="s">
        <v>608</v>
      </c>
      <c r="L476" s="28" t="s">
        <v>609</v>
      </c>
      <c r="M476" s="28" t="s">
        <v>777</v>
      </c>
      <c r="N476" s="25">
        <v>1</v>
      </c>
      <c r="O476" s="29">
        <v>505.2</v>
      </c>
      <c r="P476" s="29">
        <v>505.2</v>
      </c>
      <c r="Q476" s="25" t="s">
        <v>809</v>
      </c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54"/>
        <v>0</v>
      </c>
      <c r="AF476" s="32">
        <f t="shared" si="155"/>
        <v>505.2</v>
      </c>
      <c r="AG476" s="30"/>
      <c r="AH476" s="33"/>
      <c r="AI476" s="34">
        <f t="shared" si="156"/>
        <v>0</v>
      </c>
      <c r="AJ476" s="35"/>
      <c r="AK476" s="30"/>
      <c r="AL476" s="36">
        <f t="shared" si="157"/>
        <v>0</v>
      </c>
      <c r="AM476" s="35"/>
      <c r="AN476" s="30"/>
      <c r="AO476" s="36">
        <f t="shared" si="158"/>
        <v>0</v>
      </c>
      <c r="AP476" s="35"/>
      <c r="AQ476" s="30"/>
      <c r="AR476" s="36">
        <f t="shared" si="159"/>
        <v>0</v>
      </c>
      <c r="AS476" s="27"/>
      <c r="AT476" s="37"/>
      <c r="AU476" s="30"/>
      <c r="AV476" s="36">
        <f t="shared" si="160"/>
        <v>0</v>
      </c>
      <c r="AW476" s="35"/>
      <c r="AX476" s="30"/>
      <c r="AY476" s="32">
        <f t="shared" si="161"/>
        <v>0</v>
      </c>
      <c r="AZ476" s="30" t="s">
        <v>841</v>
      </c>
      <c r="BA476" s="63"/>
      <c r="BB476" s="71" t="e">
        <f>SUMIFS([1]Form!$F$9:$F$22,[1]Form!$K$9:$K$22,K476)</f>
        <v>#VALUE!</v>
      </c>
      <c r="BC476" s="71"/>
      <c r="BD476" s="71"/>
    </row>
    <row r="477" spans="1:56" x14ac:dyDescent="0.25">
      <c r="A477" s="24">
        <f>IF(B477="","",SUBTOTAL(3,$B$4:B477))</f>
        <v>474</v>
      </c>
      <c r="B477" s="25" t="s">
        <v>840</v>
      </c>
      <c r="C477" s="25" t="str">
        <f t="shared" si="153"/>
        <v>Shipment 1 B-10124 Fired Proces Heater</v>
      </c>
      <c r="D477" s="25" t="s">
        <v>839</v>
      </c>
      <c r="E477" s="25" t="s">
        <v>838</v>
      </c>
      <c r="F477" s="25"/>
      <c r="G477" s="65"/>
      <c r="H477" s="25" t="s">
        <v>842</v>
      </c>
      <c r="I477" s="25"/>
      <c r="J477" s="26" t="s">
        <v>845</v>
      </c>
      <c r="K477" s="27" t="s">
        <v>608</v>
      </c>
      <c r="L477" s="28" t="s">
        <v>610</v>
      </c>
      <c r="M477" s="28" t="s">
        <v>777</v>
      </c>
      <c r="N477" s="25">
        <v>1</v>
      </c>
      <c r="O477" s="29">
        <v>505.2</v>
      </c>
      <c r="P477" s="29">
        <v>505.2</v>
      </c>
      <c r="Q477" s="25" t="s">
        <v>809</v>
      </c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54"/>
        <v>0</v>
      </c>
      <c r="AF477" s="32">
        <f t="shared" si="155"/>
        <v>505.2</v>
      </c>
      <c r="AG477" s="30"/>
      <c r="AH477" s="33"/>
      <c r="AI477" s="34">
        <f t="shared" si="156"/>
        <v>0</v>
      </c>
      <c r="AJ477" s="35"/>
      <c r="AK477" s="30"/>
      <c r="AL477" s="36">
        <f t="shared" si="157"/>
        <v>0</v>
      </c>
      <c r="AM477" s="35"/>
      <c r="AN477" s="30"/>
      <c r="AO477" s="36">
        <f t="shared" si="158"/>
        <v>0</v>
      </c>
      <c r="AP477" s="35"/>
      <c r="AQ477" s="30"/>
      <c r="AR477" s="36">
        <f t="shared" si="159"/>
        <v>0</v>
      </c>
      <c r="AS477" s="27"/>
      <c r="AT477" s="37"/>
      <c r="AU477" s="30"/>
      <c r="AV477" s="36">
        <f t="shared" si="160"/>
        <v>0</v>
      </c>
      <c r="AW477" s="35"/>
      <c r="AX477" s="30"/>
      <c r="AY477" s="32">
        <f t="shared" si="161"/>
        <v>0</v>
      </c>
      <c r="AZ477" s="30" t="s">
        <v>841</v>
      </c>
      <c r="BA477" s="63"/>
      <c r="BB477" s="71" t="e">
        <f>SUMIFS([1]Form!$F$9:$F$22,[1]Form!$K$9:$K$22,K477)</f>
        <v>#VALUE!</v>
      </c>
      <c r="BC477" s="71"/>
      <c r="BD477" s="71"/>
    </row>
    <row r="478" spans="1:56" x14ac:dyDescent="0.25">
      <c r="A478" s="24">
        <f>IF(B478="","",SUBTOTAL(3,$B$4:B478))</f>
        <v>475</v>
      </c>
      <c r="B478" s="25" t="s">
        <v>840</v>
      </c>
      <c r="C478" s="25" t="str">
        <f t="shared" si="153"/>
        <v>Shipment 1 B-10124 Fired Proces Heater</v>
      </c>
      <c r="D478" s="25" t="s">
        <v>839</v>
      </c>
      <c r="E478" s="25" t="s">
        <v>838</v>
      </c>
      <c r="F478" s="25"/>
      <c r="G478" s="65"/>
      <c r="H478" s="25" t="s">
        <v>842</v>
      </c>
      <c r="I478" s="25"/>
      <c r="J478" s="26" t="s">
        <v>845</v>
      </c>
      <c r="K478" s="27" t="s">
        <v>611</v>
      </c>
      <c r="L478" s="28" t="s">
        <v>612</v>
      </c>
      <c r="M478" s="28" t="s">
        <v>777</v>
      </c>
      <c r="N478" s="25">
        <v>1</v>
      </c>
      <c r="O478" s="29">
        <v>46.3</v>
      </c>
      <c r="P478" s="29">
        <v>46.3</v>
      </c>
      <c r="Q478" s="25" t="s">
        <v>810</v>
      </c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54"/>
        <v>0</v>
      </c>
      <c r="AF478" s="32">
        <f t="shared" si="155"/>
        <v>46.3</v>
      </c>
      <c r="AG478" s="30"/>
      <c r="AH478" s="33"/>
      <c r="AI478" s="34">
        <f t="shared" si="156"/>
        <v>0</v>
      </c>
      <c r="AJ478" s="35"/>
      <c r="AK478" s="30"/>
      <c r="AL478" s="36">
        <f t="shared" si="157"/>
        <v>0</v>
      </c>
      <c r="AM478" s="35"/>
      <c r="AN478" s="30"/>
      <c r="AO478" s="36">
        <f t="shared" si="158"/>
        <v>0</v>
      </c>
      <c r="AP478" s="35"/>
      <c r="AQ478" s="30"/>
      <c r="AR478" s="36">
        <f t="shared" si="159"/>
        <v>0</v>
      </c>
      <c r="AS478" s="27"/>
      <c r="AT478" s="37"/>
      <c r="AU478" s="30"/>
      <c r="AV478" s="36">
        <f t="shared" si="160"/>
        <v>0</v>
      </c>
      <c r="AW478" s="35"/>
      <c r="AX478" s="30"/>
      <c r="AY478" s="32">
        <f t="shared" si="161"/>
        <v>0</v>
      </c>
      <c r="AZ478" s="30" t="s">
        <v>841</v>
      </c>
      <c r="BA478" s="63"/>
      <c r="BB478" s="71" t="e">
        <f>SUMIFS([1]Form!$F$9:$F$22,[1]Form!$K$9:$K$22,K478)</f>
        <v>#VALUE!</v>
      </c>
      <c r="BC478" s="71"/>
      <c r="BD478" s="71"/>
    </row>
    <row r="479" spans="1:56" x14ac:dyDescent="0.25">
      <c r="A479" s="24">
        <f>IF(B479="","",SUBTOTAL(3,$B$4:B479))</f>
        <v>476</v>
      </c>
      <c r="B479" s="25" t="s">
        <v>840</v>
      </c>
      <c r="C479" s="25" t="str">
        <f t="shared" si="153"/>
        <v>Shipment 1 B-10124 Fired Proces Heater</v>
      </c>
      <c r="D479" s="25" t="s">
        <v>839</v>
      </c>
      <c r="E479" s="25" t="s">
        <v>838</v>
      </c>
      <c r="F479" s="25"/>
      <c r="G479" s="65"/>
      <c r="H479" s="25" t="s">
        <v>842</v>
      </c>
      <c r="I479" s="25"/>
      <c r="J479" s="26" t="s">
        <v>845</v>
      </c>
      <c r="K479" s="27" t="s">
        <v>611</v>
      </c>
      <c r="L479" s="28" t="s">
        <v>613</v>
      </c>
      <c r="M479" s="28" t="s">
        <v>777</v>
      </c>
      <c r="N479" s="25">
        <v>1</v>
      </c>
      <c r="O479" s="29">
        <v>46.3</v>
      </c>
      <c r="P479" s="29">
        <v>46.3</v>
      </c>
      <c r="Q479" s="25" t="s">
        <v>810</v>
      </c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54"/>
        <v>0</v>
      </c>
      <c r="AF479" s="32">
        <f t="shared" si="155"/>
        <v>46.3</v>
      </c>
      <c r="AG479" s="30"/>
      <c r="AH479" s="33"/>
      <c r="AI479" s="34">
        <f t="shared" si="156"/>
        <v>0</v>
      </c>
      <c r="AJ479" s="35"/>
      <c r="AK479" s="30"/>
      <c r="AL479" s="36">
        <f t="shared" si="157"/>
        <v>0</v>
      </c>
      <c r="AM479" s="35"/>
      <c r="AN479" s="30"/>
      <c r="AO479" s="36">
        <f t="shared" si="158"/>
        <v>0</v>
      </c>
      <c r="AP479" s="35"/>
      <c r="AQ479" s="30"/>
      <c r="AR479" s="36">
        <f t="shared" si="159"/>
        <v>0</v>
      </c>
      <c r="AS479" s="27"/>
      <c r="AT479" s="37"/>
      <c r="AU479" s="30"/>
      <c r="AV479" s="36">
        <f t="shared" si="160"/>
        <v>0</v>
      </c>
      <c r="AW479" s="35"/>
      <c r="AX479" s="30"/>
      <c r="AY479" s="32">
        <f t="shared" si="161"/>
        <v>0</v>
      </c>
      <c r="AZ479" s="30" t="s">
        <v>841</v>
      </c>
      <c r="BA479" s="63"/>
      <c r="BB479" s="71" t="e">
        <f>SUMIFS([1]Form!$F$9:$F$22,[1]Form!$K$9:$K$22,K479)</f>
        <v>#VALUE!</v>
      </c>
      <c r="BC479" s="71"/>
      <c r="BD479" s="71"/>
    </row>
    <row r="480" spans="1:56" x14ac:dyDescent="0.25">
      <c r="A480" s="24">
        <f>IF(B480="","",SUBTOTAL(3,$B$4:B480))</f>
        <v>477</v>
      </c>
      <c r="B480" s="25" t="s">
        <v>840</v>
      </c>
      <c r="C480" s="25" t="str">
        <f t="shared" si="153"/>
        <v>Shipment 1 B-10124 Fired Proces Heater</v>
      </c>
      <c r="D480" s="25" t="s">
        <v>839</v>
      </c>
      <c r="E480" s="25" t="s">
        <v>838</v>
      </c>
      <c r="F480" s="25"/>
      <c r="G480" s="65"/>
      <c r="H480" s="25" t="s">
        <v>842</v>
      </c>
      <c r="I480" s="25"/>
      <c r="J480" s="26" t="s">
        <v>845</v>
      </c>
      <c r="K480" s="27" t="s">
        <v>614</v>
      </c>
      <c r="L480" s="28" t="s">
        <v>615</v>
      </c>
      <c r="M480" s="28" t="s">
        <v>777</v>
      </c>
      <c r="N480" s="25">
        <v>1</v>
      </c>
      <c r="O480" s="29">
        <v>140.52000000000001</v>
      </c>
      <c r="P480" s="29">
        <v>140.52000000000001</v>
      </c>
      <c r="Q480" s="25" t="s">
        <v>811</v>
      </c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54"/>
        <v>0</v>
      </c>
      <c r="AF480" s="32">
        <f t="shared" si="155"/>
        <v>140.52000000000001</v>
      </c>
      <c r="AG480" s="30"/>
      <c r="AH480" s="33"/>
      <c r="AI480" s="34">
        <f t="shared" si="156"/>
        <v>0</v>
      </c>
      <c r="AJ480" s="35"/>
      <c r="AK480" s="30"/>
      <c r="AL480" s="36">
        <f t="shared" si="157"/>
        <v>0</v>
      </c>
      <c r="AM480" s="35"/>
      <c r="AN480" s="30"/>
      <c r="AO480" s="36">
        <f t="shared" si="158"/>
        <v>0</v>
      </c>
      <c r="AP480" s="35"/>
      <c r="AQ480" s="30"/>
      <c r="AR480" s="36">
        <f t="shared" si="159"/>
        <v>0</v>
      </c>
      <c r="AS480" s="27"/>
      <c r="AT480" s="37"/>
      <c r="AU480" s="30"/>
      <c r="AV480" s="36">
        <f t="shared" si="160"/>
        <v>0</v>
      </c>
      <c r="AW480" s="35"/>
      <c r="AX480" s="30"/>
      <c r="AY480" s="32">
        <f t="shared" si="161"/>
        <v>0</v>
      </c>
      <c r="AZ480" s="30" t="s">
        <v>841</v>
      </c>
      <c r="BA480" s="63"/>
      <c r="BB480" s="71" t="e">
        <f>SUMIFS([1]Form!$F$9:$F$22,[1]Form!$K$9:$K$22,K480)</f>
        <v>#VALUE!</v>
      </c>
      <c r="BC480" s="71"/>
      <c r="BD480" s="71"/>
    </row>
    <row r="481" spans="1:56" x14ac:dyDescent="0.25">
      <c r="A481" s="24">
        <f>IF(B481="","",SUBTOTAL(3,$B$4:B481))</f>
        <v>478</v>
      </c>
      <c r="B481" s="25" t="s">
        <v>840</v>
      </c>
      <c r="C481" s="25" t="str">
        <f t="shared" si="153"/>
        <v>Shipment 1 B-10124 Fired Proces Heater</v>
      </c>
      <c r="D481" s="25" t="s">
        <v>839</v>
      </c>
      <c r="E481" s="25" t="s">
        <v>838</v>
      </c>
      <c r="F481" s="25"/>
      <c r="G481" s="65"/>
      <c r="H481" s="25" t="s">
        <v>842</v>
      </c>
      <c r="I481" s="25"/>
      <c r="J481" s="26" t="s">
        <v>845</v>
      </c>
      <c r="K481" s="27" t="s">
        <v>614</v>
      </c>
      <c r="L481" s="28" t="s">
        <v>616</v>
      </c>
      <c r="M481" s="28" t="s">
        <v>777</v>
      </c>
      <c r="N481" s="25">
        <v>1</v>
      </c>
      <c r="O481" s="29">
        <v>140.52000000000001</v>
      </c>
      <c r="P481" s="29">
        <v>140.52000000000001</v>
      </c>
      <c r="Q481" s="25" t="s">
        <v>811</v>
      </c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54"/>
        <v>0</v>
      </c>
      <c r="AF481" s="32">
        <f t="shared" si="155"/>
        <v>140.52000000000001</v>
      </c>
      <c r="AG481" s="30"/>
      <c r="AH481" s="33"/>
      <c r="AI481" s="34">
        <f t="shared" si="156"/>
        <v>0</v>
      </c>
      <c r="AJ481" s="35"/>
      <c r="AK481" s="30"/>
      <c r="AL481" s="36">
        <f t="shared" si="157"/>
        <v>0</v>
      </c>
      <c r="AM481" s="35"/>
      <c r="AN481" s="30"/>
      <c r="AO481" s="36">
        <f t="shared" si="158"/>
        <v>0</v>
      </c>
      <c r="AP481" s="35"/>
      <c r="AQ481" s="30"/>
      <c r="AR481" s="36">
        <f t="shared" si="159"/>
        <v>0</v>
      </c>
      <c r="AS481" s="27"/>
      <c r="AT481" s="37"/>
      <c r="AU481" s="30"/>
      <c r="AV481" s="36">
        <f t="shared" si="160"/>
        <v>0</v>
      </c>
      <c r="AW481" s="35"/>
      <c r="AX481" s="30"/>
      <c r="AY481" s="32">
        <f t="shared" si="161"/>
        <v>0</v>
      </c>
      <c r="AZ481" s="30" t="s">
        <v>841</v>
      </c>
      <c r="BA481" s="63"/>
      <c r="BB481" s="71" t="e">
        <f>SUMIFS([1]Form!$F$9:$F$22,[1]Form!$K$9:$K$22,K481)</f>
        <v>#VALUE!</v>
      </c>
      <c r="BC481" s="71"/>
      <c r="BD481" s="71"/>
    </row>
    <row r="482" spans="1:56" x14ac:dyDescent="0.25">
      <c r="A482" s="24">
        <f>IF(B482="","",SUBTOTAL(3,$B$4:B482))</f>
        <v>479</v>
      </c>
      <c r="B482" s="25" t="s">
        <v>840</v>
      </c>
      <c r="C482" s="25" t="str">
        <f t="shared" si="153"/>
        <v>Shipment 1 B-10124 Fired Proces Heater</v>
      </c>
      <c r="D482" s="25" t="s">
        <v>839</v>
      </c>
      <c r="E482" s="25" t="s">
        <v>838</v>
      </c>
      <c r="F482" s="25"/>
      <c r="G482" s="65"/>
      <c r="H482" s="25" t="s">
        <v>842</v>
      </c>
      <c r="I482" s="25"/>
      <c r="J482" s="26" t="s">
        <v>845</v>
      </c>
      <c r="K482" s="27" t="s">
        <v>614</v>
      </c>
      <c r="L482" s="28" t="s">
        <v>617</v>
      </c>
      <c r="M482" s="28" t="s">
        <v>777</v>
      </c>
      <c r="N482" s="25">
        <v>1</v>
      </c>
      <c r="O482" s="29">
        <v>140.52000000000001</v>
      </c>
      <c r="P482" s="29">
        <v>140.52000000000001</v>
      </c>
      <c r="Q482" s="25" t="s">
        <v>811</v>
      </c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54"/>
        <v>0</v>
      </c>
      <c r="AF482" s="32">
        <f t="shared" si="155"/>
        <v>140.52000000000001</v>
      </c>
      <c r="AG482" s="30"/>
      <c r="AH482" s="33"/>
      <c r="AI482" s="34">
        <f t="shared" si="156"/>
        <v>0</v>
      </c>
      <c r="AJ482" s="35"/>
      <c r="AK482" s="30"/>
      <c r="AL482" s="36">
        <f t="shared" si="157"/>
        <v>0</v>
      </c>
      <c r="AM482" s="35"/>
      <c r="AN482" s="30"/>
      <c r="AO482" s="36">
        <f t="shared" si="158"/>
        <v>0</v>
      </c>
      <c r="AP482" s="35"/>
      <c r="AQ482" s="30"/>
      <c r="AR482" s="36">
        <f t="shared" si="159"/>
        <v>0</v>
      </c>
      <c r="AS482" s="27"/>
      <c r="AT482" s="37"/>
      <c r="AU482" s="30"/>
      <c r="AV482" s="36">
        <f t="shared" si="160"/>
        <v>0</v>
      </c>
      <c r="AW482" s="35"/>
      <c r="AX482" s="30"/>
      <c r="AY482" s="32">
        <f t="shared" si="161"/>
        <v>0</v>
      </c>
      <c r="AZ482" s="30" t="s">
        <v>841</v>
      </c>
      <c r="BA482" s="63"/>
      <c r="BB482" s="71" t="e">
        <f>SUMIFS([1]Form!$F$9:$F$22,[1]Form!$K$9:$K$22,K482)</f>
        <v>#VALUE!</v>
      </c>
      <c r="BC482" s="71"/>
      <c r="BD482" s="71"/>
    </row>
    <row r="483" spans="1:56" x14ac:dyDescent="0.25">
      <c r="A483" s="24">
        <f>IF(B483="","",SUBTOTAL(3,$B$4:B483))</f>
        <v>480</v>
      </c>
      <c r="B483" s="25" t="s">
        <v>840</v>
      </c>
      <c r="C483" s="25" t="str">
        <f t="shared" si="153"/>
        <v>Shipment 1 B-10124 Fired Proces Heater</v>
      </c>
      <c r="D483" s="25" t="s">
        <v>839</v>
      </c>
      <c r="E483" s="25" t="s">
        <v>838</v>
      </c>
      <c r="F483" s="25"/>
      <c r="G483" s="65"/>
      <c r="H483" s="25" t="s">
        <v>842</v>
      </c>
      <c r="I483" s="25"/>
      <c r="J483" s="26" t="s">
        <v>845</v>
      </c>
      <c r="K483" s="27" t="s">
        <v>614</v>
      </c>
      <c r="L483" s="28" t="s">
        <v>618</v>
      </c>
      <c r="M483" s="28" t="s">
        <v>777</v>
      </c>
      <c r="N483" s="25">
        <v>1</v>
      </c>
      <c r="O483" s="29">
        <v>140.52000000000001</v>
      </c>
      <c r="P483" s="29">
        <v>140.52000000000001</v>
      </c>
      <c r="Q483" s="25" t="s">
        <v>811</v>
      </c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154"/>
        <v>0</v>
      </c>
      <c r="AF483" s="32">
        <f t="shared" si="155"/>
        <v>140.52000000000001</v>
      </c>
      <c r="AG483" s="30"/>
      <c r="AH483" s="33"/>
      <c r="AI483" s="34">
        <f t="shared" si="156"/>
        <v>0</v>
      </c>
      <c r="AJ483" s="35"/>
      <c r="AK483" s="30"/>
      <c r="AL483" s="36">
        <f t="shared" si="157"/>
        <v>0</v>
      </c>
      <c r="AM483" s="35"/>
      <c r="AN483" s="30"/>
      <c r="AO483" s="36">
        <f t="shared" si="158"/>
        <v>0</v>
      </c>
      <c r="AP483" s="35"/>
      <c r="AQ483" s="30"/>
      <c r="AR483" s="36">
        <f t="shared" si="159"/>
        <v>0</v>
      </c>
      <c r="AS483" s="27"/>
      <c r="AT483" s="37"/>
      <c r="AU483" s="30"/>
      <c r="AV483" s="36">
        <f t="shared" si="160"/>
        <v>0</v>
      </c>
      <c r="AW483" s="35"/>
      <c r="AX483" s="30"/>
      <c r="AY483" s="32">
        <f t="shared" si="161"/>
        <v>0</v>
      </c>
      <c r="AZ483" s="30" t="s">
        <v>841</v>
      </c>
      <c r="BA483" s="63"/>
      <c r="BB483" s="71" t="e">
        <f>SUMIFS([1]Form!$F$9:$F$22,[1]Form!$K$9:$K$22,K483)</f>
        <v>#VALUE!</v>
      </c>
      <c r="BC483" s="71"/>
      <c r="BD483" s="71"/>
    </row>
    <row r="484" spans="1:56" x14ac:dyDescent="0.25">
      <c r="A484" s="24">
        <f>IF(B484="","",SUBTOTAL(3,$B$4:B484))</f>
        <v>481</v>
      </c>
      <c r="B484" s="25" t="s">
        <v>840</v>
      </c>
      <c r="C484" s="25" t="str">
        <f t="shared" si="153"/>
        <v>Shipment 1 B-10124 Fired Proces Heater</v>
      </c>
      <c r="D484" s="25" t="s">
        <v>839</v>
      </c>
      <c r="E484" s="25" t="s">
        <v>838</v>
      </c>
      <c r="F484" s="25"/>
      <c r="G484" s="65"/>
      <c r="H484" s="25" t="s">
        <v>842</v>
      </c>
      <c r="I484" s="25"/>
      <c r="J484" s="26" t="s">
        <v>845</v>
      </c>
      <c r="K484" s="27" t="s">
        <v>614</v>
      </c>
      <c r="L484" s="28" t="s">
        <v>619</v>
      </c>
      <c r="M484" s="28" t="s">
        <v>777</v>
      </c>
      <c r="N484" s="25">
        <v>1</v>
      </c>
      <c r="O484" s="29">
        <v>140.52000000000001</v>
      </c>
      <c r="P484" s="29">
        <v>140.52000000000001</v>
      </c>
      <c r="Q484" s="25" t="s">
        <v>811</v>
      </c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54"/>
        <v>0</v>
      </c>
      <c r="AF484" s="32">
        <f t="shared" si="155"/>
        <v>140.52000000000001</v>
      </c>
      <c r="AG484" s="30"/>
      <c r="AH484" s="33"/>
      <c r="AI484" s="34">
        <f t="shared" si="156"/>
        <v>0</v>
      </c>
      <c r="AJ484" s="35"/>
      <c r="AK484" s="30"/>
      <c r="AL484" s="36">
        <f t="shared" si="157"/>
        <v>0</v>
      </c>
      <c r="AM484" s="35"/>
      <c r="AN484" s="30"/>
      <c r="AO484" s="36">
        <f t="shared" si="158"/>
        <v>0</v>
      </c>
      <c r="AP484" s="35"/>
      <c r="AQ484" s="30"/>
      <c r="AR484" s="36">
        <f t="shared" si="159"/>
        <v>0</v>
      </c>
      <c r="AS484" s="27"/>
      <c r="AT484" s="37"/>
      <c r="AU484" s="30"/>
      <c r="AV484" s="36">
        <f t="shared" si="160"/>
        <v>0</v>
      </c>
      <c r="AW484" s="35"/>
      <c r="AX484" s="30"/>
      <c r="AY484" s="32">
        <f t="shared" si="161"/>
        <v>0</v>
      </c>
      <c r="AZ484" s="30" t="s">
        <v>841</v>
      </c>
      <c r="BA484" s="63"/>
      <c r="BB484" s="71" t="e">
        <f>SUMIFS([1]Form!$F$9:$F$22,[1]Form!$K$9:$K$22,K484)</f>
        <v>#VALUE!</v>
      </c>
      <c r="BC484" s="71"/>
      <c r="BD484" s="71"/>
    </row>
    <row r="485" spans="1:56" x14ac:dyDescent="0.25">
      <c r="A485" s="24">
        <f>IF(B485="","",SUBTOTAL(3,$B$4:B485))</f>
        <v>482</v>
      </c>
      <c r="B485" s="25" t="s">
        <v>840</v>
      </c>
      <c r="C485" s="25" t="str">
        <f t="shared" si="153"/>
        <v>Shipment 1 B-10124 Fired Proces Heater</v>
      </c>
      <c r="D485" s="25" t="s">
        <v>839</v>
      </c>
      <c r="E485" s="25" t="s">
        <v>838</v>
      </c>
      <c r="F485" s="25"/>
      <c r="G485" s="65"/>
      <c r="H485" s="25" t="s">
        <v>842</v>
      </c>
      <c r="I485" s="25"/>
      <c r="J485" s="26" t="s">
        <v>845</v>
      </c>
      <c r="K485" s="27" t="s">
        <v>614</v>
      </c>
      <c r="L485" s="28" t="s">
        <v>620</v>
      </c>
      <c r="M485" s="28" t="s">
        <v>777</v>
      </c>
      <c r="N485" s="25">
        <v>1</v>
      </c>
      <c r="O485" s="29">
        <v>140.52000000000001</v>
      </c>
      <c r="P485" s="29">
        <v>140.52000000000001</v>
      </c>
      <c r="Q485" s="25" t="s">
        <v>811</v>
      </c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54"/>
        <v>0</v>
      </c>
      <c r="AF485" s="32">
        <f t="shared" si="155"/>
        <v>140.52000000000001</v>
      </c>
      <c r="AG485" s="30"/>
      <c r="AH485" s="33"/>
      <c r="AI485" s="34">
        <f t="shared" si="156"/>
        <v>0</v>
      </c>
      <c r="AJ485" s="35"/>
      <c r="AK485" s="30"/>
      <c r="AL485" s="36">
        <f t="shared" si="157"/>
        <v>0</v>
      </c>
      <c r="AM485" s="35"/>
      <c r="AN485" s="30"/>
      <c r="AO485" s="36">
        <f t="shared" si="158"/>
        <v>0</v>
      </c>
      <c r="AP485" s="35"/>
      <c r="AQ485" s="30"/>
      <c r="AR485" s="36">
        <f t="shared" si="159"/>
        <v>0</v>
      </c>
      <c r="AS485" s="27"/>
      <c r="AT485" s="37"/>
      <c r="AU485" s="30"/>
      <c r="AV485" s="36">
        <f t="shared" si="160"/>
        <v>0</v>
      </c>
      <c r="AW485" s="35"/>
      <c r="AX485" s="30"/>
      <c r="AY485" s="32">
        <f t="shared" si="161"/>
        <v>0</v>
      </c>
      <c r="AZ485" s="30" t="s">
        <v>841</v>
      </c>
      <c r="BA485" s="63"/>
      <c r="BB485" s="71" t="e">
        <f>SUMIFS([1]Form!$F$9:$F$22,[1]Form!$K$9:$K$22,K485)</f>
        <v>#VALUE!</v>
      </c>
      <c r="BC485" s="71"/>
      <c r="BD485" s="71"/>
    </row>
    <row r="486" spans="1:56" x14ac:dyDescent="0.25">
      <c r="A486" s="24">
        <f>IF(B486="","",SUBTOTAL(3,$B$4:B486))</f>
        <v>483</v>
      </c>
      <c r="B486" s="25" t="s">
        <v>840</v>
      </c>
      <c r="C486" s="25" t="str">
        <f t="shared" si="153"/>
        <v>Shipment 1 B-10124 Fired Proces Heater</v>
      </c>
      <c r="D486" s="25" t="s">
        <v>839</v>
      </c>
      <c r="E486" s="25" t="s">
        <v>838</v>
      </c>
      <c r="F486" s="25"/>
      <c r="G486" s="65"/>
      <c r="H486" s="25" t="s">
        <v>842</v>
      </c>
      <c r="I486" s="25"/>
      <c r="J486" s="26" t="s">
        <v>845</v>
      </c>
      <c r="K486" s="27" t="s">
        <v>614</v>
      </c>
      <c r="L486" s="28" t="s">
        <v>621</v>
      </c>
      <c r="M486" s="28" t="s">
        <v>777</v>
      </c>
      <c r="N486" s="25">
        <v>1</v>
      </c>
      <c r="O486" s="29">
        <v>140.52000000000001</v>
      </c>
      <c r="P486" s="29">
        <v>140.52000000000001</v>
      </c>
      <c r="Q486" s="25" t="s">
        <v>811</v>
      </c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54"/>
        <v>0</v>
      </c>
      <c r="AF486" s="32">
        <f t="shared" si="155"/>
        <v>140.52000000000001</v>
      </c>
      <c r="AG486" s="30"/>
      <c r="AH486" s="33"/>
      <c r="AI486" s="34">
        <f t="shared" si="156"/>
        <v>0</v>
      </c>
      <c r="AJ486" s="35"/>
      <c r="AK486" s="30"/>
      <c r="AL486" s="36">
        <f t="shared" si="157"/>
        <v>0</v>
      </c>
      <c r="AM486" s="35"/>
      <c r="AN486" s="30"/>
      <c r="AO486" s="36">
        <f t="shared" si="158"/>
        <v>0</v>
      </c>
      <c r="AP486" s="35"/>
      <c r="AQ486" s="30"/>
      <c r="AR486" s="36">
        <f t="shared" si="159"/>
        <v>0</v>
      </c>
      <c r="AS486" s="27"/>
      <c r="AT486" s="37"/>
      <c r="AU486" s="30"/>
      <c r="AV486" s="36">
        <f t="shared" si="160"/>
        <v>0</v>
      </c>
      <c r="AW486" s="35"/>
      <c r="AX486" s="30"/>
      <c r="AY486" s="32">
        <f t="shared" si="161"/>
        <v>0</v>
      </c>
      <c r="AZ486" s="30" t="s">
        <v>841</v>
      </c>
      <c r="BA486" s="63"/>
      <c r="BB486" s="71" t="e">
        <f>SUMIFS([1]Form!$F$9:$F$22,[1]Form!$K$9:$K$22,K486)</f>
        <v>#VALUE!</v>
      </c>
      <c r="BC486" s="71"/>
      <c r="BD486" s="71"/>
    </row>
    <row r="487" spans="1:56" x14ac:dyDescent="0.25">
      <c r="A487" s="24">
        <f>IF(B487="","",SUBTOTAL(3,$B$4:B487))</f>
        <v>484</v>
      </c>
      <c r="B487" s="25" t="s">
        <v>840</v>
      </c>
      <c r="C487" s="25" t="str">
        <f t="shared" si="153"/>
        <v>Shipment 1 B-10124 Fired Proces Heater</v>
      </c>
      <c r="D487" s="25" t="s">
        <v>839</v>
      </c>
      <c r="E487" s="25" t="s">
        <v>838</v>
      </c>
      <c r="F487" s="25"/>
      <c r="G487" s="65"/>
      <c r="H487" s="25" t="s">
        <v>842</v>
      </c>
      <c r="I487" s="25"/>
      <c r="J487" s="26" t="s">
        <v>845</v>
      </c>
      <c r="K487" s="27" t="s">
        <v>614</v>
      </c>
      <c r="L487" s="28" t="s">
        <v>622</v>
      </c>
      <c r="M487" s="28" t="s">
        <v>777</v>
      </c>
      <c r="N487" s="25">
        <v>1</v>
      </c>
      <c r="O487" s="29">
        <v>140.52000000000001</v>
      </c>
      <c r="P487" s="29">
        <v>140.52000000000001</v>
      </c>
      <c r="Q487" s="25" t="s">
        <v>811</v>
      </c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54"/>
        <v>0</v>
      </c>
      <c r="AF487" s="32">
        <f t="shared" si="155"/>
        <v>140.52000000000001</v>
      </c>
      <c r="AG487" s="30"/>
      <c r="AH487" s="33"/>
      <c r="AI487" s="34">
        <f t="shared" si="156"/>
        <v>0</v>
      </c>
      <c r="AJ487" s="35"/>
      <c r="AK487" s="30"/>
      <c r="AL487" s="36">
        <f t="shared" si="157"/>
        <v>0</v>
      </c>
      <c r="AM487" s="35"/>
      <c r="AN487" s="30"/>
      <c r="AO487" s="36">
        <f t="shared" si="158"/>
        <v>0</v>
      </c>
      <c r="AP487" s="35"/>
      <c r="AQ487" s="30"/>
      <c r="AR487" s="36">
        <f t="shared" si="159"/>
        <v>0</v>
      </c>
      <c r="AS487" s="27"/>
      <c r="AT487" s="37"/>
      <c r="AU487" s="30"/>
      <c r="AV487" s="36">
        <f t="shared" si="160"/>
        <v>0</v>
      </c>
      <c r="AW487" s="35"/>
      <c r="AX487" s="30"/>
      <c r="AY487" s="32">
        <f t="shared" si="161"/>
        <v>0</v>
      </c>
      <c r="AZ487" s="30" t="s">
        <v>841</v>
      </c>
      <c r="BA487" s="63"/>
      <c r="BB487" s="71" t="e">
        <f>SUMIFS([1]Form!$F$9:$F$22,[1]Form!$K$9:$K$22,K487)</f>
        <v>#VALUE!</v>
      </c>
      <c r="BC487" s="71"/>
      <c r="BD487" s="71"/>
    </row>
    <row r="488" spans="1:56" x14ac:dyDescent="0.25">
      <c r="A488" s="24">
        <f>IF(B488="","",SUBTOTAL(3,$B$4:B488))</f>
        <v>485</v>
      </c>
      <c r="B488" s="25" t="s">
        <v>840</v>
      </c>
      <c r="C488" s="25" t="str">
        <f t="shared" si="153"/>
        <v>Shipment 1 B-10124 Fired Proces Heater</v>
      </c>
      <c r="D488" s="25" t="s">
        <v>839</v>
      </c>
      <c r="E488" s="25" t="s">
        <v>838</v>
      </c>
      <c r="F488" s="25"/>
      <c r="G488" s="65"/>
      <c r="H488" s="25" t="s">
        <v>842</v>
      </c>
      <c r="I488" s="25"/>
      <c r="J488" s="26" t="s">
        <v>845</v>
      </c>
      <c r="K488" s="27" t="s">
        <v>614</v>
      </c>
      <c r="L488" s="28" t="s">
        <v>623</v>
      </c>
      <c r="M488" s="28" t="s">
        <v>777</v>
      </c>
      <c r="N488" s="25">
        <v>1</v>
      </c>
      <c r="O488" s="29">
        <v>140.52000000000001</v>
      </c>
      <c r="P488" s="29">
        <v>140.52000000000001</v>
      </c>
      <c r="Q488" s="25" t="s">
        <v>811</v>
      </c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54"/>
        <v>0</v>
      </c>
      <c r="AF488" s="32">
        <f t="shared" si="155"/>
        <v>140.52000000000001</v>
      </c>
      <c r="AG488" s="30"/>
      <c r="AH488" s="33"/>
      <c r="AI488" s="34">
        <f t="shared" si="156"/>
        <v>0</v>
      </c>
      <c r="AJ488" s="35"/>
      <c r="AK488" s="30"/>
      <c r="AL488" s="36">
        <f t="shared" si="157"/>
        <v>0</v>
      </c>
      <c r="AM488" s="35"/>
      <c r="AN488" s="30"/>
      <c r="AO488" s="36">
        <f t="shared" si="158"/>
        <v>0</v>
      </c>
      <c r="AP488" s="35"/>
      <c r="AQ488" s="30"/>
      <c r="AR488" s="36">
        <f t="shared" si="159"/>
        <v>0</v>
      </c>
      <c r="AS488" s="27"/>
      <c r="AT488" s="37"/>
      <c r="AU488" s="30"/>
      <c r="AV488" s="36">
        <f t="shared" si="160"/>
        <v>0</v>
      </c>
      <c r="AW488" s="35"/>
      <c r="AX488" s="30"/>
      <c r="AY488" s="32">
        <f t="shared" si="161"/>
        <v>0</v>
      </c>
      <c r="AZ488" s="30" t="s">
        <v>841</v>
      </c>
      <c r="BA488" s="63"/>
      <c r="BB488" s="71" t="e">
        <f>SUMIFS([1]Form!$F$9:$F$22,[1]Form!$K$9:$K$22,K488)</f>
        <v>#VALUE!</v>
      </c>
      <c r="BC488" s="71"/>
      <c r="BD488" s="71"/>
    </row>
    <row r="489" spans="1:56" x14ac:dyDescent="0.25">
      <c r="A489" s="24">
        <f>IF(B489="","",SUBTOTAL(3,$B$4:B489))</f>
        <v>486</v>
      </c>
      <c r="B489" s="25" t="s">
        <v>840</v>
      </c>
      <c r="C489" s="25" t="str">
        <f t="shared" si="153"/>
        <v>Shipment 1 B-10124 Fired Proces Heater</v>
      </c>
      <c r="D489" s="25" t="s">
        <v>839</v>
      </c>
      <c r="E489" s="25" t="s">
        <v>838</v>
      </c>
      <c r="F489" s="25"/>
      <c r="G489" s="65"/>
      <c r="H489" s="25" t="s">
        <v>842</v>
      </c>
      <c r="I489" s="25"/>
      <c r="J489" s="26" t="s">
        <v>845</v>
      </c>
      <c r="K489" s="27" t="s">
        <v>614</v>
      </c>
      <c r="L489" s="28" t="s">
        <v>624</v>
      </c>
      <c r="M489" s="28" t="s">
        <v>777</v>
      </c>
      <c r="N489" s="25">
        <v>1</v>
      </c>
      <c r="O489" s="29">
        <v>140.52000000000001</v>
      </c>
      <c r="P489" s="29">
        <v>140.52000000000001</v>
      </c>
      <c r="Q489" s="25" t="s">
        <v>811</v>
      </c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54"/>
        <v>0</v>
      </c>
      <c r="AF489" s="32">
        <f t="shared" si="155"/>
        <v>140.52000000000001</v>
      </c>
      <c r="AG489" s="30"/>
      <c r="AH489" s="33"/>
      <c r="AI489" s="34">
        <f t="shared" si="156"/>
        <v>0</v>
      </c>
      <c r="AJ489" s="35"/>
      <c r="AK489" s="30"/>
      <c r="AL489" s="36">
        <f t="shared" si="157"/>
        <v>0</v>
      </c>
      <c r="AM489" s="35"/>
      <c r="AN489" s="30"/>
      <c r="AO489" s="36">
        <f t="shared" si="158"/>
        <v>0</v>
      </c>
      <c r="AP489" s="35"/>
      <c r="AQ489" s="30"/>
      <c r="AR489" s="36">
        <f t="shared" si="159"/>
        <v>0</v>
      </c>
      <c r="AS489" s="27"/>
      <c r="AT489" s="37"/>
      <c r="AU489" s="30"/>
      <c r="AV489" s="36">
        <f t="shared" si="160"/>
        <v>0</v>
      </c>
      <c r="AW489" s="35"/>
      <c r="AX489" s="30"/>
      <c r="AY489" s="32">
        <f t="shared" si="161"/>
        <v>0</v>
      </c>
      <c r="AZ489" s="30" t="s">
        <v>841</v>
      </c>
      <c r="BA489" s="63"/>
      <c r="BB489" s="71" t="e">
        <f>SUMIFS([1]Form!$F$9:$F$22,[1]Form!$K$9:$K$22,K489)</f>
        <v>#VALUE!</v>
      </c>
      <c r="BC489" s="71"/>
      <c r="BD489" s="71"/>
    </row>
    <row r="490" spans="1:56" x14ac:dyDescent="0.25">
      <c r="A490" s="24">
        <f>IF(B490="","",SUBTOTAL(3,$B$4:B490))</f>
        <v>487</v>
      </c>
      <c r="B490" s="25" t="s">
        <v>840</v>
      </c>
      <c r="C490" s="25" t="str">
        <f t="shared" si="153"/>
        <v>Shipment 1 B-10124 Fired Proces Heater</v>
      </c>
      <c r="D490" s="25" t="s">
        <v>839</v>
      </c>
      <c r="E490" s="25" t="s">
        <v>838</v>
      </c>
      <c r="F490" s="25"/>
      <c r="G490" s="65"/>
      <c r="H490" s="25" t="s">
        <v>842</v>
      </c>
      <c r="I490" s="25"/>
      <c r="J490" s="26" t="s">
        <v>845</v>
      </c>
      <c r="K490" s="27" t="s">
        <v>614</v>
      </c>
      <c r="L490" s="28" t="s">
        <v>625</v>
      </c>
      <c r="M490" s="28" t="s">
        <v>777</v>
      </c>
      <c r="N490" s="25">
        <v>1</v>
      </c>
      <c r="O490" s="29">
        <v>140.52000000000001</v>
      </c>
      <c r="P490" s="29">
        <v>140.52000000000001</v>
      </c>
      <c r="Q490" s="25" t="s">
        <v>811</v>
      </c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54"/>
        <v>0</v>
      </c>
      <c r="AF490" s="32">
        <f t="shared" si="155"/>
        <v>140.52000000000001</v>
      </c>
      <c r="AG490" s="30"/>
      <c r="AH490" s="33"/>
      <c r="AI490" s="34">
        <f t="shared" si="156"/>
        <v>0</v>
      </c>
      <c r="AJ490" s="35"/>
      <c r="AK490" s="30"/>
      <c r="AL490" s="36">
        <f t="shared" si="157"/>
        <v>0</v>
      </c>
      <c r="AM490" s="35"/>
      <c r="AN490" s="30"/>
      <c r="AO490" s="36">
        <f t="shared" si="158"/>
        <v>0</v>
      </c>
      <c r="AP490" s="35"/>
      <c r="AQ490" s="30"/>
      <c r="AR490" s="36">
        <f t="shared" si="159"/>
        <v>0</v>
      </c>
      <c r="AS490" s="27"/>
      <c r="AT490" s="37"/>
      <c r="AU490" s="30"/>
      <c r="AV490" s="36">
        <f t="shared" si="160"/>
        <v>0</v>
      </c>
      <c r="AW490" s="35"/>
      <c r="AX490" s="30"/>
      <c r="AY490" s="32">
        <f t="shared" si="161"/>
        <v>0</v>
      </c>
      <c r="AZ490" s="30" t="s">
        <v>841</v>
      </c>
      <c r="BA490" s="63"/>
      <c r="BB490" s="71" t="e">
        <f>SUMIFS([1]Form!$F$9:$F$22,[1]Form!$K$9:$K$22,K490)</f>
        <v>#VALUE!</v>
      </c>
      <c r="BC490" s="71"/>
      <c r="BD490" s="71"/>
    </row>
    <row r="491" spans="1:56" x14ac:dyDescent="0.25">
      <c r="A491" s="24">
        <f>IF(B491="","",SUBTOTAL(3,$B$4:B491))</f>
        <v>488</v>
      </c>
      <c r="B491" s="25" t="s">
        <v>840</v>
      </c>
      <c r="C491" s="25" t="str">
        <f t="shared" si="153"/>
        <v>Shipment 1 B-10124 Fired Proces Heater</v>
      </c>
      <c r="D491" s="25" t="s">
        <v>839</v>
      </c>
      <c r="E491" s="25" t="s">
        <v>838</v>
      </c>
      <c r="F491" s="25"/>
      <c r="G491" s="65"/>
      <c r="H491" s="25" t="s">
        <v>842</v>
      </c>
      <c r="I491" s="25"/>
      <c r="J491" s="26" t="s">
        <v>845</v>
      </c>
      <c r="K491" s="27" t="s">
        <v>614</v>
      </c>
      <c r="L491" s="28" t="s">
        <v>626</v>
      </c>
      <c r="M491" s="28" t="s">
        <v>777</v>
      </c>
      <c r="N491" s="25">
        <v>1</v>
      </c>
      <c r="O491" s="29">
        <v>140.52000000000001</v>
      </c>
      <c r="P491" s="29">
        <v>140.52000000000001</v>
      </c>
      <c r="Q491" s="25" t="s">
        <v>811</v>
      </c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54"/>
        <v>0</v>
      </c>
      <c r="AF491" s="32">
        <f t="shared" si="155"/>
        <v>140.52000000000001</v>
      </c>
      <c r="AG491" s="30"/>
      <c r="AH491" s="33"/>
      <c r="AI491" s="34">
        <f t="shared" si="156"/>
        <v>0</v>
      </c>
      <c r="AJ491" s="35"/>
      <c r="AK491" s="30"/>
      <c r="AL491" s="36">
        <f t="shared" si="157"/>
        <v>0</v>
      </c>
      <c r="AM491" s="35"/>
      <c r="AN491" s="30"/>
      <c r="AO491" s="36">
        <f t="shared" si="158"/>
        <v>0</v>
      </c>
      <c r="AP491" s="35"/>
      <c r="AQ491" s="30"/>
      <c r="AR491" s="36">
        <f t="shared" si="159"/>
        <v>0</v>
      </c>
      <c r="AS491" s="27"/>
      <c r="AT491" s="37"/>
      <c r="AU491" s="30"/>
      <c r="AV491" s="36">
        <f t="shared" si="160"/>
        <v>0</v>
      </c>
      <c r="AW491" s="35"/>
      <c r="AX491" s="30"/>
      <c r="AY491" s="32">
        <f t="shared" si="161"/>
        <v>0</v>
      </c>
      <c r="AZ491" s="30" t="s">
        <v>841</v>
      </c>
      <c r="BA491" s="63"/>
      <c r="BB491" s="71" t="e">
        <f>SUMIFS([1]Form!$F$9:$F$22,[1]Form!$K$9:$K$22,K491)</f>
        <v>#VALUE!</v>
      </c>
      <c r="BC491" s="71"/>
      <c r="BD491" s="71"/>
    </row>
    <row r="492" spans="1:56" x14ac:dyDescent="0.25">
      <c r="A492" s="24">
        <f>IF(B492="","",SUBTOTAL(3,$B$4:B492))</f>
        <v>489</v>
      </c>
      <c r="B492" s="25" t="s">
        <v>840</v>
      </c>
      <c r="C492" s="25" t="str">
        <f t="shared" ref="C492:C584" si="162">D492&amp;" "&amp;E492</f>
        <v>Shipment 1 B-10124 Fired Proces Heater</v>
      </c>
      <c r="D492" s="25" t="s">
        <v>839</v>
      </c>
      <c r="E492" s="25" t="s">
        <v>838</v>
      </c>
      <c r="F492" s="25"/>
      <c r="G492" s="65"/>
      <c r="H492" s="25" t="s">
        <v>842</v>
      </c>
      <c r="I492" s="25"/>
      <c r="J492" s="26" t="s">
        <v>845</v>
      </c>
      <c r="K492" s="27" t="s">
        <v>614</v>
      </c>
      <c r="L492" s="28" t="s">
        <v>627</v>
      </c>
      <c r="M492" s="28" t="s">
        <v>777</v>
      </c>
      <c r="N492" s="25">
        <v>1</v>
      </c>
      <c r="O492" s="29">
        <v>140.52000000000001</v>
      </c>
      <c r="P492" s="29">
        <v>140.52000000000001</v>
      </c>
      <c r="Q492" s="25" t="s">
        <v>811</v>
      </c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54"/>
        <v>0</v>
      </c>
      <c r="AF492" s="32">
        <f t="shared" si="155"/>
        <v>140.52000000000001</v>
      </c>
      <c r="AG492" s="30"/>
      <c r="AH492" s="33"/>
      <c r="AI492" s="34">
        <f t="shared" si="156"/>
        <v>0</v>
      </c>
      <c r="AJ492" s="35"/>
      <c r="AK492" s="30"/>
      <c r="AL492" s="36">
        <f t="shared" si="157"/>
        <v>0</v>
      </c>
      <c r="AM492" s="35"/>
      <c r="AN492" s="30"/>
      <c r="AO492" s="36">
        <f t="shared" si="158"/>
        <v>0</v>
      </c>
      <c r="AP492" s="35"/>
      <c r="AQ492" s="30"/>
      <c r="AR492" s="36">
        <f t="shared" si="159"/>
        <v>0</v>
      </c>
      <c r="AS492" s="27"/>
      <c r="AT492" s="37"/>
      <c r="AU492" s="30"/>
      <c r="AV492" s="36">
        <f t="shared" si="160"/>
        <v>0</v>
      </c>
      <c r="AW492" s="35"/>
      <c r="AX492" s="30"/>
      <c r="AY492" s="32">
        <f t="shared" si="161"/>
        <v>0</v>
      </c>
      <c r="AZ492" s="30" t="s">
        <v>841</v>
      </c>
      <c r="BA492" s="63"/>
      <c r="BB492" s="71" t="e">
        <f>SUMIFS([1]Form!$F$9:$F$22,[1]Form!$K$9:$K$22,K492)</f>
        <v>#VALUE!</v>
      </c>
      <c r="BC492" s="71"/>
      <c r="BD492" s="71"/>
    </row>
    <row r="493" spans="1:56" x14ac:dyDescent="0.25">
      <c r="A493" s="24">
        <f>IF(B493="","",SUBTOTAL(3,$B$4:B493))</f>
        <v>490</v>
      </c>
      <c r="B493" s="25" t="s">
        <v>840</v>
      </c>
      <c r="C493" s="25" t="str">
        <f t="shared" si="162"/>
        <v>Shipment 1 B-10124 Fired Proces Heater</v>
      </c>
      <c r="D493" s="25" t="s">
        <v>839</v>
      </c>
      <c r="E493" s="25" t="s">
        <v>838</v>
      </c>
      <c r="F493" s="25"/>
      <c r="G493" s="65"/>
      <c r="H493" s="25" t="s">
        <v>842</v>
      </c>
      <c r="I493" s="25"/>
      <c r="J493" s="26" t="s">
        <v>845</v>
      </c>
      <c r="K493" s="27" t="s">
        <v>614</v>
      </c>
      <c r="L493" s="28" t="s">
        <v>628</v>
      </c>
      <c r="M493" s="28" t="s">
        <v>777</v>
      </c>
      <c r="N493" s="25">
        <v>1</v>
      </c>
      <c r="O493" s="29">
        <v>140.52000000000001</v>
      </c>
      <c r="P493" s="29">
        <v>140.52000000000001</v>
      </c>
      <c r="Q493" s="25" t="s">
        <v>811</v>
      </c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54"/>
        <v>0</v>
      </c>
      <c r="AF493" s="32">
        <f t="shared" si="155"/>
        <v>140.52000000000001</v>
      </c>
      <c r="AG493" s="30"/>
      <c r="AH493" s="33"/>
      <c r="AI493" s="34">
        <f t="shared" si="156"/>
        <v>0</v>
      </c>
      <c r="AJ493" s="35"/>
      <c r="AK493" s="30"/>
      <c r="AL493" s="36">
        <f t="shared" si="157"/>
        <v>0</v>
      </c>
      <c r="AM493" s="35"/>
      <c r="AN493" s="30"/>
      <c r="AO493" s="36">
        <f t="shared" si="158"/>
        <v>0</v>
      </c>
      <c r="AP493" s="35"/>
      <c r="AQ493" s="30"/>
      <c r="AR493" s="36">
        <f t="shared" si="159"/>
        <v>0</v>
      </c>
      <c r="AS493" s="27"/>
      <c r="AT493" s="37"/>
      <c r="AU493" s="30"/>
      <c r="AV493" s="36">
        <f t="shared" si="160"/>
        <v>0</v>
      </c>
      <c r="AW493" s="35"/>
      <c r="AX493" s="30"/>
      <c r="AY493" s="32">
        <f t="shared" si="161"/>
        <v>0</v>
      </c>
      <c r="AZ493" s="30" t="s">
        <v>841</v>
      </c>
      <c r="BA493" s="63"/>
      <c r="BB493" s="71" t="e">
        <f>SUMIFS([1]Form!$F$9:$F$22,[1]Form!$K$9:$K$22,K493)</f>
        <v>#VALUE!</v>
      </c>
      <c r="BC493" s="71"/>
      <c r="BD493" s="71"/>
    </row>
    <row r="494" spans="1:56" x14ac:dyDescent="0.25">
      <c r="A494" s="24">
        <f>IF(B494="","",SUBTOTAL(3,$B$4:B494))</f>
        <v>491</v>
      </c>
      <c r="B494" s="25" t="s">
        <v>840</v>
      </c>
      <c r="C494" s="25" t="str">
        <f t="shared" si="162"/>
        <v>Shipment 1 B-10124 Fired Proces Heater</v>
      </c>
      <c r="D494" s="25" t="s">
        <v>839</v>
      </c>
      <c r="E494" s="25" t="s">
        <v>838</v>
      </c>
      <c r="F494" s="25"/>
      <c r="G494" s="65"/>
      <c r="H494" s="25" t="s">
        <v>842</v>
      </c>
      <c r="I494" s="25"/>
      <c r="J494" s="26" t="s">
        <v>845</v>
      </c>
      <c r="K494" s="27" t="s">
        <v>614</v>
      </c>
      <c r="L494" s="28" t="s">
        <v>629</v>
      </c>
      <c r="M494" s="28" t="s">
        <v>777</v>
      </c>
      <c r="N494" s="25">
        <v>1</v>
      </c>
      <c r="O494" s="29">
        <v>140.52000000000001</v>
      </c>
      <c r="P494" s="29">
        <v>140.52000000000001</v>
      </c>
      <c r="Q494" s="25" t="s">
        <v>811</v>
      </c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54"/>
        <v>0</v>
      </c>
      <c r="AF494" s="32">
        <f t="shared" si="155"/>
        <v>140.52000000000001</v>
      </c>
      <c r="AG494" s="30"/>
      <c r="AH494" s="33"/>
      <c r="AI494" s="34">
        <f t="shared" si="156"/>
        <v>0</v>
      </c>
      <c r="AJ494" s="35"/>
      <c r="AK494" s="30"/>
      <c r="AL494" s="36">
        <f t="shared" si="157"/>
        <v>0</v>
      </c>
      <c r="AM494" s="35"/>
      <c r="AN494" s="30"/>
      <c r="AO494" s="36">
        <f t="shared" si="158"/>
        <v>0</v>
      </c>
      <c r="AP494" s="35"/>
      <c r="AQ494" s="30"/>
      <c r="AR494" s="36">
        <f t="shared" si="159"/>
        <v>0</v>
      </c>
      <c r="AS494" s="27"/>
      <c r="AT494" s="37"/>
      <c r="AU494" s="30"/>
      <c r="AV494" s="36">
        <f t="shared" si="160"/>
        <v>0</v>
      </c>
      <c r="AW494" s="35"/>
      <c r="AX494" s="30"/>
      <c r="AY494" s="32">
        <f t="shared" si="161"/>
        <v>0</v>
      </c>
      <c r="AZ494" s="30" t="s">
        <v>841</v>
      </c>
      <c r="BA494" s="63"/>
      <c r="BB494" s="71" t="e">
        <f>SUMIFS([1]Form!$F$9:$F$22,[1]Form!$K$9:$K$22,K494)</f>
        <v>#VALUE!</v>
      </c>
      <c r="BC494" s="71"/>
      <c r="BD494" s="71"/>
    </row>
    <row r="495" spans="1:56" x14ac:dyDescent="0.25">
      <c r="A495" s="24">
        <f>IF(B495="","",SUBTOTAL(3,$B$4:B495))</f>
        <v>492</v>
      </c>
      <c r="B495" s="25" t="s">
        <v>840</v>
      </c>
      <c r="C495" s="25" t="str">
        <f t="shared" si="162"/>
        <v>Shipment 1 B-10124 Fired Proces Heater</v>
      </c>
      <c r="D495" s="25" t="s">
        <v>839</v>
      </c>
      <c r="E495" s="25" t="s">
        <v>838</v>
      </c>
      <c r="F495" s="25"/>
      <c r="G495" s="65"/>
      <c r="H495" s="25" t="s">
        <v>842</v>
      </c>
      <c r="I495" s="25"/>
      <c r="J495" s="26" t="s">
        <v>845</v>
      </c>
      <c r="K495" s="27" t="s">
        <v>614</v>
      </c>
      <c r="L495" s="28" t="s">
        <v>630</v>
      </c>
      <c r="M495" s="28" t="s">
        <v>777</v>
      </c>
      <c r="N495" s="25">
        <v>1</v>
      </c>
      <c r="O495" s="29">
        <v>140.52000000000001</v>
      </c>
      <c r="P495" s="29">
        <v>140.52000000000001</v>
      </c>
      <c r="Q495" s="25" t="s">
        <v>811</v>
      </c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54"/>
        <v>0</v>
      </c>
      <c r="AF495" s="32">
        <f t="shared" si="155"/>
        <v>140.52000000000001</v>
      </c>
      <c r="AG495" s="30"/>
      <c r="AH495" s="33"/>
      <c r="AI495" s="34">
        <f t="shared" si="156"/>
        <v>0</v>
      </c>
      <c r="AJ495" s="35"/>
      <c r="AK495" s="30"/>
      <c r="AL495" s="36">
        <f t="shared" si="157"/>
        <v>0</v>
      </c>
      <c r="AM495" s="35"/>
      <c r="AN495" s="30"/>
      <c r="AO495" s="36">
        <f t="shared" si="158"/>
        <v>0</v>
      </c>
      <c r="AP495" s="35"/>
      <c r="AQ495" s="30"/>
      <c r="AR495" s="36">
        <f t="shared" si="159"/>
        <v>0</v>
      </c>
      <c r="AS495" s="27"/>
      <c r="AT495" s="37"/>
      <c r="AU495" s="30"/>
      <c r="AV495" s="36">
        <f t="shared" si="160"/>
        <v>0</v>
      </c>
      <c r="AW495" s="35"/>
      <c r="AX495" s="30"/>
      <c r="AY495" s="32">
        <f t="shared" si="161"/>
        <v>0</v>
      </c>
      <c r="AZ495" s="30" t="s">
        <v>841</v>
      </c>
      <c r="BA495" s="63"/>
      <c r="BB495" s="71" t="e">
        <f>SUMIFS([1]Form!$F$9:$F$22,[1]Form!$K$9:$K$22,K495)</f>
        <v>#VALUE!</v>
      </c>
      <c r="BC495" s="71"/>
      <c r="BD495" s="71"/>
    </row>
    <row r="496" spans="1:56" x14ac:dyDescent="0.25">
      <c r="A496" s="24">
        <f>IF(B496="","",SUBTOTAL(3,$B$4:B496))</f>
        <v>493</v>
      </c>
      <c r="B496" s="25" t="s">
        <v>840</v>
      </c>
      <c r="C496" s="25" t="str">
        <f t="shared" si="162"/>
        <v>Shipment 1 B-10124 Fired Proces Heater</v>
      </c>
      <c r="D496" s="25" t="s">
        <v>839</v>
      </c>
      <c r="E496" s="25" t="s">
        <v>838</v>
      </c>
      <c r="F496" s="25"/>
      <c r="G496" s="65"/>
      <c r="H496" s="25" t="s">
        <v>842</v>
      </c>
      <c r="I496" s="25"/>
      <c r="J496" s="26" t="s">
        <v>845</v>
      </c>
      <c r="K496" s="27" t="s">
        <v>614</v>
      </c>
      <c r="L496" s="28" t="s">
        <v>631</v>
      </c>
      <c r="M496" s="28" t="s">
        <v>777</v>
      </c>
      <c r="N496" s="25">
        <v>1</v>
      </c>
      <c r="O496" s="29">
        <v>140.52000000000001</v>
      </c>
      <c r="P496" s="29">
        <v>140.52000000000001</v>
      </c>
      <c r="Q496" s="25" t="s">
        <v>811</v>
      </c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54"/>
        <v>0</v>
      </c>
      <c r="AF496" s="32">
        <f t="shared" si="155"/>
        <v>140.52000000000001</v>
      </c>
      <c r="AG496" s="30"/>
      <c r="AH496" s="33"/>
      <c r="AI496" s="34">
        <f t="shared" si="156"/>
        <v>0</v>
      </c>
      <c r="AJ496" s="35"/>
      <c r="AK496" s="30"/>
      <c r="AL496" s="36">
        <f t="shared" si="157"/>
        <v>0</v>
      </c>
      <c r="AM496" s="35"/>
      <c r="AN496" s="30"/>
      <c r="AO496" s="36">
        <f t="shared" si="158"/>
        <v>0</v>
      </c>
      <c r="AP496" s="35"/>
      <c r="AQ496" s="30"/>
      <c r="AR496" s="36">
        <f t="shared" si="159"/>
        <v>0</v>
      </c>
      <c r="AS496" s="27"/>
      <c r="AT496" s="37"/>
      <c r="AU496" s="30"/>
      <c r="AV496" s="36">
        <f t="shared" si="160"/>
        <v>0</v>
      </c>
      <c r="AW496" s="35"/>
      <c r="AX496" s="30"/>
      <c r="AY496" s="32">
        <f t="shared" si="161"/>
        <v>0</v>
      </c>
      <c r="AZ496" s="30" t="s">
        <v>841</v>
      </c>
      <c r="BA496" s="63"/>
      <c r="BB496" s="71" t="e">
        <f>SUMIFS([1]Form!$F$9:$F$22,[1]Form!$K$9:$K$22,K496)</f>
        <v>#VALUE!</v>
      </c>
      <c r="BC496" s="71"/>
      <c r="BD496" s="71"/>
    </row>
    <row r="497" spans="1:56" x14ac:dyDescent="0.25">
      <c r="A497" s="24">
        <f>IF(B497="","",SUBTOTAL(3,$B$4:B497))</f>
        <v>494</v>
      </c>
      <c r="B497" s="25" t="s">
        <v>840</v>
      </c>
      <c r="C497" s="25" t="str">
        <f t="shared" si="162"/>
        <v>Shipment 1 B-10124 Fired Proces Heater</v>
      </c>
      <c r="D497" s="25" t="s">
        <v>839</v>
      </c>
      <c r="E497" s="25" t="s">
        <v>838</v>
      </c>
      <c r="F497" s="25"/>
      <c r="G497" s="65"/>
      <c r="H497" s="25" t="s">
        <v>842</v>
      </c>
      <c r="I497" s="25"/>
      <c r="J497" s="26" t="s">
        <v>845</v>
      </c>
      <c r="K497" s="27" t="s">
        <v>614</v>
      </c>
      <c r="L497" s="28" t="s">
        <v>632</v>
      </c>
      <c r="M497" s="28" t="s">
        <v>777</v>
      </c>
      <c r="N497" s="25">
        <v>1</v>
      </c>
      <c r="O497" s="29">
        <v>140.52000000000001</v>
      </c>
      <c r="P497" s="29">
        <v>140.52000000000001</v>
      </c>
      <c r="Q497" s="25" t="s">
        <v>811</v>
      </c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54"/>
        <v>0</v>
      </c>
      <c r="AF497" s="32">
        <f t="shared" si="155"/>
        <v>140.52000000000001</v>
      </c>
      <c r="AG497" s="30"/>
      <c r="AH497" s="33"/>
      <c r="AI497" s="34">
        <f t="shared" si="156"/>
        <v>0</v>
      </c>
      <c r="AJ497" s="35"/>
      <c r="AK497" s="30"/>
      <c r="AL497" s="36">
        <f t="shared" si="157"/>
        <v>0</v>
      </c>
      <c r="AM497" s="35"/>
      <c r="AN497" s="30"/>
      <c r="AO497" s="36">
        <f t="shared" si="158"/>
        <v>0</v>
      </c>
      <c r="AP497" s="35"/>
      <c r="AQ497" s="30"/>
      <c r="AR497" s="36">
        <f t="shared" si="159"/>
        <v>0</v>
      </c>
      <c r="AS497" s="27"/>
      <c r="AT497" s="37"/>
      <c r="AU497" s="30"/>
      <c r="AV497" s="36">
        <f t="shared" si="160"/>
        <v>0</v>
      </c>
      <c r="AW497" s="35"/>
      <c r="AX497" s="30"/>
      <c r="AY497" s="32">
        <f t="shared" si="161"/>
        <v>0</v>
      </c>
      <c r="AZ497" s="30" t="s">
        <v>841</v>
      </c>
      <c r="BA497" s="63"/>
      <c r="BB497" s="71" t="e">
        <f>SUMIFS([1]Form!$F$9:$F$22,[1]Form!$K$9:$K$22,K497)</f>
        <v>#VALUE!</v>
      </c>
      <c r="BC497" s="71"/>
      <c r="BD497" s="71"/>
    </row>
    <row r="498" spans="1:56" x14ac:dyDescent="0.25">
      <c r="A498" s="24">
        <f>IF(B498="","",SUBTOTAL(3,$B$4:B498))</f>
        <v>495</v>
      </c>
      <c r="B498" s="25" t="s">
        <v>840</v>
      </c>
      <c r="C498" s="25" t="str">
        <f t="shared" si="162"/>
        <v>Shipment 1 B-10124 Fired Proces Heater</v>
      </c>
      <c r="D498" s="25" t="s">
        <v>839</v>
      </c>
      <c r="E498" s="25" t="s">
        <v>838</v>
      </c>
      <c r="F498" s="25"/>
      <c r="G498" s="65"/>
      <c r="H498" s="25" t="s">
        <v>842</v>
      </c>
      <c r="I498" s="25"/>
      <c r="J498" s="26" t="s">
        <v>845</v>
      </c>
      <c r="K498" s="27" t="s">
        <v>614</v>
      </c>
      <c r="L498" s="28" t="s">
        <v>633</v>
      </c>
      <c r="M498" s="28" t="s">
        <v>777</v>
      </c>
      <c r="N498" s="25">
        <v>1</v>
      </c>
      <c r="O498" s="29">
        <v>140.52000000000001</v>
      </c>
      <c r="P498" s="29">
        <v>140.52000000000001</v>
      </c>
      <c r="Q498" s="25" t="s">
        <v>811</v>
      </c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54"/>
        <v>0</v>
      </c>
      <c r="AF498" s="32">
        <f t="shared" si="155"/>
        <v>140.52000000000001</v>
      </c>
      <c r="AG498" s="30"/>
      <c r="AH498" s="33"/>
      <c r="AI498" s="34">
        <f t="shared" si="156"/>
        <v>0</v>
      </c>
      <c r="AJ498" s="35"/>
      <c r="AK498" s="30"/>
      <c r="AL498" s="36">
        <f t="shared" si="157"/>
        <v>0</v>
      </c>
      <c r="AM498" s="35"/>
      <c r="AN498" s="30"/>
      <c r="AO498" s="36">
        <f t="shared" si="158"/>
        <v>0</v>
      </c>
      <c r="AP498" s="35"/>
      <c r="AQ498" s="30"/>
      <c r="AR498" s="36">
        <f t="shared" si="159"/>
        <v>0</v>
      </c>
      <c r="AS498" s="27"/>
      <c r="AT498" s="37"/>
      <c r="AU498" s="30"/>
      <c r="AV498" s="36">
        <f t="shared" si="160"/>
        <v>0</v>
      </c>
      <c r="AW498" s="35"/>
      <c r="AX498" s="30"/>
      <c r="AY498" s="32">
        <f t="shared" si="161"/>
        <v>0</v>
      </c>
      <c r="AZ498" s="30" t="s">
        <v>841</v>
      </c>
      <c r="BA498" s="63"/>
      <c r="BB498" s="71" t="e">
        <f>SUMIFS([1]Form!$F$9:$F$22,[1]Form!$K$9:$K$22,K498)</f>
        <v>#VALUE!</v>
      </c>
      <c r="BC498" s="71"/>
      <c r="BD498" s="71"/>
    </row>
    <row r="499" spans="1:56" x14ac:dyDescent="0.25">
      <c r="A499" s="24">
        <f>IF(B499="","",SUBTOTAL(3,$B$4:B499))</f>
        <v>496</v>
      </c>
      <c r="B499" s="25" t="s">
        <v>840</v>
      </c>
      <c r="C499" s="25" t="str">
        <f t="shared" si="162"/>
        <v>Shipment 1 B-10124 Fired Proces Heater</v>
      </c>
      <c r="D499" s="25" t="s">
        <v>839</v>
      </c>
      <c r="E499" s="25" t="s">
        <v>838</v>
      </c>
      <c r="F499" s="25"/>
      <c r="G499" s="65"/>
      <c r="H499" s="25" t="s">
        <v>842</v>
      </c>
      <c r="I499" s="25"/>
      <c r="J499" s="26" t="s">
        <v>845</v>
      </c>
      <c r="K499" s="27" t="s">
        <v>614</v>
      </c>
      <c r="L499" s="28" t="s">
        <v>634</v>
      </c>
      <c r="M499" s="28" t="s">
        <v>777</v>
      </c>
      <c r="N499" s="25">
        <v>1</v>
      </c>
      <c r="O499" s="29">
        <v>140.52000000000001</v>
      </c>
      <c r="P499" s="29">
        <v>140.52000000000001</v>
      </c>
      <c r="Q499" s="25" t="s">
        <v>811</v>
      </c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54"/>
        <v>0</v>
      </c>
      <c r="AF499" s="32">
        <f t="shared" si="155"/>
        <v>140.52000000000001</v>
      </c>
      <c r="AG499" s="30"/>
      <c r="AH499" s="33"/>
      <c r="AI499" s="34">
        <f t="shared" si="156"/>
        <v>0</v>
      </c>
      <c r="AJ499" s="35"/>
      <c r="AK499" s="30"/>
      <c r="AL499" s="36">
        <f t="shared" si="157"/>
        <v>0</v>
      </c>
      <c r="AM499" s="35"/>
      <c r="AN499" s="30"/>
      <c r="AO499" s="36">
        <f t="shared" si="158"/>
        <v>0</v>
      </c>
      <c r="AP499" s="35"/>
      <c r="AQ499" s="30"/>
      <c r="AR499" s="36">
        <f t="shared" si="159"/>
        <v>0</v>
      </c>
      <c r="AS499" s="27"/>
      <c r="AT499" s="37"/>
      <c r="AU499" s="30"/>
      <c r="AV499" s="36">
        <f t="shared" si="160"/>
        <v>0</v>
      </c>
      <c r="AW499" s="35"/>
      <c r="AX499" s="30"/>
      <c r="AY499" s="32">
        <f t="shared" si="161"/>
        <v>0</v>
      </c>
      <c r="AZ499" s="30" t="s">
        <v>841</v>
      </c>
      <c r="BA499" s="63"/>
      <c r="BB499" s="71" t="e">
        <f>SUMIFS([1]Form!$F$9:$F$22,[1]Form!$K$9:$K$22,K499)</f>
        <v>#VALUE!</v>
      </c>
      <c r="BC499" s="71"/>
      <c r="BD499" s="71"/>
    </row>
    <row r="500" spans="1:56" x14ac:dyDescent="0.25">
      <c r="A500" s="24">
        <f>IF(B500="","",SUBTOTAL(3,$B$4:B500))</f>
        <v>497</v>
      </c>
      <c r="B500" s="25" t="s">
        <v>840</v>
      </c>
      <c r="C500" s="25" t="str">
        <f t="shared" si="162"/>
        <v>Shipment 1 B-10124 Fired Proces Heater</v>
      </c>
      <c r="D500" s="25" t="s">
        <v>839</v>
      </c>
      <c r="E500" s="25" t="s">
        <v>838</v>
      </c>
      <c r="F500" s="25"/>
      <c r="G500" s="65"/>
      <c r="H500" s="25" t="s">
        <v>842</v>
      </c>
      <c r="I500" s="25"/>
      <c r="J500" s="26" t="s">
        <v>845</v>
      </c>
      <c r="K500" s="27" t="s">
        <v>635</v>
      </c>
      <c r="L500" s="28" t="s">
        <v>975</v>
      </c>
      <c r="M500" s="28" t="s">
        <v>777</v>
      </c>
      <c r="N500" s="25">
        <v>1</v>
      </c>
      <c r="O500" s="29">
        <v>966.30000000000007</v>
      </c>
      <c r="P500" s="29">
        <v>966.30000000000007</v>
      </c>
      <c r="Q500" s="25" t="s">
        <v>1164</v>
      </c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54"/>
        <v>0</v>
      </c>
      <c r="AF500" s="32">
        <f t="shared" si="155"/>
        <v>966.30000000000007</v>
      </c>
      <c r="AG500" s="30"/>
      <c r="AH500" s="33"/>
      <c r="AI500" s="34">
        <f t="shared" si="156"/>
        <v>0</v>
      </c>
      <c r="AJ500" s="35"/>
      <c r="AK500" s="30"/>
      <c r="AL500" s="36">
        <f t="shared" si="157"/>
        <v>0</v>
      </c>
      <c r="AM500" s="35"/>
      <c r="AN500" s="30"/>
      <c r="AO500" s="36">
        <f t="shared" si="158"/>
        <v>0</v>
      </c>
      <c r="AP500" s="35"/>
      <c r="AQ500" s="30"/>
      <c r="AR500" s="36">
        <f t="shared" si="159"/>
        <v>0</v>
      </c>
      <c r="AS500" s="27"/>
      <c r="AT500" s="37"/>
      <c r="AU500" s="30"/>
      <c r="AV500" s="36">
        <f t="shared" si="160"/>
        <v>0</v>
      </c>
      <c r="AW500" s="35"/>
      <c r="AX500" s="30"/>
      <c r="AY500" s="32">
        <f t="shared" si="161"/>
        <v>0</v>
      </c>
      <c r="AZ500" s="30" t="s">
        <v>841</v>
      </c>
      <c r="BA500" s="63"/>
      <c r="BB500" s="71" t="e">
        <f>SUMIFS([1]Form!$F$9:$F$22,[1]Form!$K$9:$K$22,K500)</f>
        <v>#VALUE!</v>
      </c>
      <c r="BC500" s="71"/>
      <c r="BD500" s="71"/>
    </row>
    <row r="501" spans="1:56" x14ac:dyDescent="0.25">
      <c r="A501" s="24">
        <f>IF(B501="","",SUBTOTAL(3,$B$4:B501))</f>
        <v>498</v>
      </c>
      <c r="B501" s="25" t="s">
        <v>840</v>
      </c>
      <c r="C501" s="25" t="str">
        <f t="shared" si="162"/>
        <v>Shipment 1 B-10124 Fired Proces Heater</v>
      </c>
      <c r="D501" s="25" t="s">
        <v>839</v>
      </c>
      <c r="E501" s="25" t="s">
        <v>838</v>
      </c>
      <c r="F501" s="25"/>
      <c r="G501" s="65"/>
      <c r="H501" s="25" t="s">
        <v>842</v>
      </c>
      <c r="I501" s="25"/>
      <c r="J501" s="26" t="s">
        <v>845</v>
      </c>
      <c r="K501" s="27" t="s">
        <v>635</v>
      </c>
      <c r="L501" s="28" t="s">
        <v>976</v>
      </c>
      <c r="M501" s="28" t="s">
        <v>777</v>
      </c>
      <c r="N501" s="25">
        <v>1</v>
      </c>
      <c r="O501" s="29">
        <v>966.30000000000007</v>
      </c>
      <c r="P501" s="29">
        <v>966.30000000000007</v>
      </c>
      <c r="Q501" s="25" t="s">
        <v>1164</v>
      </c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54"/>
        <v>0</v>
      </c>
      <c r="AF501" s="32">
        <f t="shared" si="155"/>
        <v>966.30000000000007</v>
      </c>
      <c r="AG501" s="30"/>
      <c r="AH501" s="33"/>
      <c r="AI501" s="34">
        <f t="shared" si="156"/>
        <v>0</v>
      </c>
      <c r="AJ501" s="35"/>
      <c r="AK501" s="30"/>
      <c r="AL501" s="36">
        <f t="shared" si="157"/>
        <v>0</v>
      </c>
      <c r="AM501" s="35"/>
      <c r="AN501" s="30"/>
      <c r="AO501" s="36">
        <f t="shared" si="158"/>
        <v>0</v>
      </c>
      <c r="AP501" s="35"/>
      <c r="AQ501" s="30"/>
      <c r="AR501" s="36">
        <f t="shared" si="159"/>
        <v>0</v>
      </c>
      <c r="AS501" s="27"/>
      <c r="AT501" s="37"/>
      <c r="AU501" s="30"/>
      <c r="AV501" s="36">
        <f t="shared" si="160"/>
        <v>0</v>
      </c>
      <c r="AW501" s="35"/>
      <c r="AX501" s="30"/>
      <c r="AY501" s="32">
        <f t="shared" si="161"/>
        <v>0</v>
      </c>
      <c r="AZ501" s="30" t="s">
        <v>841</v>
      </c>
      <c r="BA501" s="63"/>
      <c r="BB501" s="71" t="e">
        <f>SUMIFS([1]Form!$F$9:$F$22,[1]Form!$K$9:$K$22,K501)</f>
        <v>#VALUE!</v>
      </c>
      <c r="BC501" s="71"/>
      <c r="BD501" s="71"/>
    </row>
    <row r="502" spans="1:56" x14ac:dyDescent="0.25">
      <c r="A502" s="24">
        <f>IF(B502="","",SUBTOTAL(3,$B$4:B502))</f>
        <v>499</v>
      </c>
      <c r="B502" s="25" t="s">
        <v>840</v>
      </c>
      <c r="C502" s="25" t="str">
        <f t="shared" si="162"/>
        <v>Shipment 1 B-10124 Fired Proces Heater</v>
      </c>
      <c r="D502" s="25" t="s">
        <v>839</v>
      </c>
      <c r="E502" s="25" t="s">
        <v>838</v>
      </c>
      <c r="F502" s="25"/>
      <c r="G502" s="65"/>
      <c r="H502" s="25" t="s">
        <v>842</v>
      </c>
      <c r="I502" s="25"/>
      <c r="J502" s="26" t="s">
        <v>845</v>
      </c>
      <c r="K502" s="27" t="s">
        <v>636</v>
      </c>
      <c r="L502" s="28" t="s">
        <v>637</v>
      </c>
      <c r="M502" s="28" t="s">
        <v>777</v>
      </c>
      <c r="N502" s="25">
        <v>1</v>
      </c>
      <c r="O502" s="29">
        <v>380.74999999999994</v>
      </c>
      <c r="P502" s="29">
        <v>380.74999999999994</v>
      </c>
      <c r="Q502" s="25" t="s">
        <v>812</v>
      </c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54"/>
        <v>0</v>
      </c>
      <c r="AF502" s="32">
        <f t="shared" si="155"/>
        <v>380.74999999999994</v>
      </c>
      <c r="AG502" s="30"/>
      <c r="AH502" s="33"/>
      <c r="AI502" s="34">
        <f t="shared" si="156"/>
        <v>0</v>
      </c>
      <c r="AJ502" s="35"/>
      <c r="AK502" s="30"/>
      <c r="AL502" s="36">
        <f t="shared" si="157"/>
        <v>0</v>
      </c>
      <c r="AM502" s="35"/>
      <c r="AN502" s="30"/>
      <c r="AO502" s="36">
        <f t="shared" si="158"/>
        <v>0</v>
      </c>
      <c r="AP502" s="35"/>
      <c r="AQ502" s="30"/>
      <c r="AR502" s="36">
        <f t="shared" si="159"/>
        <v>0</v>
      </c>
      <c r="AS502" s="27"/>
      <c r="AT502" s="37"/>
      <c r="AU502" s="30"/>
      <c r="AV502" s="36">
        <f t="shared" si="160"/>
        <v>0</v>
      </c>
      <c r="AW502" s="35"/>
      <c r="AX502" s="30"/>
      <c r="AY502" s="32">
        <f t="shared" si="161"/>
        <v>0</v>
      </c>
      <c r="AZ502" s="30" t="s">
        <v>841</v>
      </c>
      <c r="BA502" s="63"/>
      <c r="BB502" s="71" t="e">
        <f>SUMIFS([1]Form!$F$9:$F$22,[1]Form!$K$9:$K$22,K502)</f>
        <v>#VALUE!</v>
      </c>
      <c r="BC502" s="71"/>
      <c r="BD502" s="71"/>
    </row>
    <row r="503" spans="1:56" x14ac:dyDescent="0.25">
      <c r="A503" s="24">
        <f>IF(B503="","",SUBTOTAL(3,$B$4:B503))</f>
        <v>500</v>
      </c>
      <c r="B503" s="25" t="s">
        <v>840</v>
      </c>
      <c r="C503" s="25" t="str">
        <f t="shared" si="162"/>
        <v>Shipment 1 B-10124 Fired Proces Heater</v>
      </c>
      <c r="D503" s="25" t="s">
        <v>839</v>
      </c>
      <c r="E503" s="25" t="s">
        <v>838</v>
      </c>
      <c r="F503" s="25"/>
      <c r="G503" s="65"/>
      <c r="H503" s="25" t="s">
        <v>842</v>
      </c>
      <c r="I503" s="25"/>
      <c r="J503" s="26" t="s">
        <v>845</v>
      </c>
      <c r="K503" s="27" t="s">
        <v>636</v>
      </c>
      <c r="L503" s="28" t="s">
        <v>638</v>
      </c>
      <c r="M503" s="28" t="s">
        <v>777</v>
      </c>
      <c r="N503" s="25">
        <v>1</v>
      </c>
      <c r="O503" s="29">
        <v>380.74999999999994</v>
      </c>
      <c r="P503" s="29">
        <v>380.74999999999994</v>
      </c>
      <c r="Q503" s="25" t="s">
        <v>812</v>
      </c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54"/>
        <v>0</v>
      </c>
      <c r="AF503" s="32">
        <f t="shared" si="155"/>
        <v>380.74999999999994</v>
      </c>
      <c r="AG503" s="30"/>
      <c r="AH503" s="33"/>
      <c r="AI503" s="34">
        <f t="shared" si="156"/>
        <v>0</v>
      </c>
      <c r="AJ503" s="35"/>
      <c r="AK503" s="30"/>
      <c r="AL503" s="36">
        <f t="shared" si="157"/>
        <v>0</v>
      </c>
      <c r="AM503" s="35"/>
      <c r="AN503" s="30"/>
      <c r="AO503" s="36">
        <f t="shared" si="158"/>
        <v>0</v>
      </c>
      <c r="AP503" s="35"/>
      <c r="AQ503" s="30"/>
      <c r="AR503" s="36">
        <f t="shared" si="159"/>
        <v>0</v>
      </c>
      <c r="AS503" s="27"/>
      <c r="AT503" s="37"/>
      <c r="AU503" s="30"/>
      <c r="AV503" s="36">
        <f t="shared" si="160"/>
        <v>0</v>
      </c>
      <c r="AW503" s="35"/>
      <c r="AX503" s="30"/>
      <c r="AY503" s="32">
        <f t="shared" si="161"/>
        <v>0</v>
      </c>
      <c r="AZ503" s="30" t="s">
        <v>841</v>
      </c>
      <c r="BA503" s="63"/>
      <c r="BB503" s="71" t="e">
        <f>SUMIFS([1]Form!$F$9:$F$22,[1]Form!$K$9:$K$22,K503)</f>
        <v>#VALUE!</v>
      </c>
      <c r="BC503" s="71"/>
      <c r="BD503" s="71"/>
    </row>
    <row r="504" spans="1:56" x14ac:dyDescent="0.25">
      <c r="A504" s="24">
        <f>IF(B504="","",SUBTOTAL(3,$B$4:B504))</f>
        <v>501</v>
      </c>
      <c r="B504" s="25" t="s">
        <v>840</v>
      </c>
      <c r="C504" s="25" t="str">
        <f t="shared" si="162"/>
        <v>Shipment 1 B-10124 Fired Proces Heater</v>
      </c>
      <c r="D504" s="25" t="s">
        <v>839</v>
      </c>
      <c r="E504" s="25" t="s">
        <v>838</v>
      </c>
      <c r="F504" s="25"/>
      <c r="G504" s="65"/>
      <c r="H504" s="25" t="s">
        <v>842</v>
      </c>
      <c r="I504" s="25"/>
      <c r="J504" s="26" t="s">
        <v>845</v>
      </c>
      <c r="K504" s="27" t="s">
        <v>639</v>
      </c>
      <c r="L504" s="28" t="s">
        <v>640</v>
      </c>
      <c r="M504" s="28" t="s">
        <v>777</v>
      </c>
      <c r="N504" s="25">
        <v>1</v>
      </c>
      <c r="O504" s="29">
        <v>140.875</v>
      </c>
      <c r="P504" s="29">
        <v>140.875</v>
      </c>
      <c r="Q504" s="25" t="s">
        <v>813</v>
      </c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54"/>
        <v>0</v>
      </c>
      <c r="AF504" s="32">
        <f t="shared" si="155"/>
        <v>140.875</v>
      </c>
      <c r="AG504" s="30"/>
      <c r="AH504" s="33"/>
      <c r="AI504" s="34">
        <f t="shared" si="156"/>
        <v>0</v>
      </c>
      <c r="AJ504" s="35"/>
      <c r="AK504" s="30"/>
      <c r="AL504" s="36">
        <f t="shared" si="157"/>
        <v>0</v>
      </c>
      <c r="AM504" s="35"/>
      <c r="AN504" s="30"/>
      <c r="AO504" s="36">
        <f t="shared" si="158"/>
        <v>0</v>
      </c>
      <c r="AP504" s="35"/>
      <c r="AQ504" s="30"/>
      <c r="AR504" s="36">
        <f t="shared" si="159"/>
        <v>0</v>
      </c>
      <c r="AS504" s="27"/>
      <c r="AT504" s="37"/>
      <c r="AU504" s="30"/>
      <c r="AV504" s="36">
        <f t="shared" si="160"/>
        <v>0</v>
      </c>
      <c r="AW504" s="35"/>
      <c r="AX504" s="30"/>
      <c r="AY504" s="32">
        <f t="shared" si="161"/>
        <v>0</v>
      </c>
      <c r="AZ504" s="30" t="s">
        <v>841</v>
      </c>
      <c r="BA504" s="63"/>
      <c r="BB504" s="71" t="e">
        <f>SUMIFS([1]Form!$F$9:$F$22,[1]Form!$K$9:$K$22,K504)</f>
        <v>#VALUE!</v>
      </c>
      <c r="BC504" s="71"/>
      <c r="BD504" s="71"/>
    </row>
    <row r="505" spans="1:56" x14ac:dyDescent="0.25">
      <c r="A505" s="24">
        <f>IF(B505="","",SUBTOTAL(3,$B$4:B505))</f>
        <v>502</v>
      </c>
      <c r="B505" s="25" t="s">
        <v>840</v>
      </c>
      <c r="C505" s="25" t="str">
        <f t="shared" si="162"/>
        <v>Shipment 1 B-10124 Fired Proces Heater</v>
      </c>
      <c r="D505" s="25" t="s">
        <v>839</v>
      </c>
      <c r="E505" s="25" t="s">
        <v>838</v>
      </c>
      <c r="F505" s="25"/>
      <c r="G505" s="65"/>
      <c r="H505" s="25" t="s">
        <v>842</v>
      </c>
      <c r="I505" s="25"/>
      <c r="J505" s="26" t="s">
        <v>845</v>
      </c>
      <c r="K505" s="27" t="s">
        <v>639</v>
      </c>
      <c r="L505" s="28" t="s">
        <v>641</v>
      </c>
      <c r="M505" s="28" t="s">
        <v>777</v>
      </c>
      <c r="N505" s="25">
        <v>1</v>
      </c>
      <c r="O505" s="29">
        <v>140.875</v>
      </c>
      <c r="P505" s="29">
        <v>140.875</v>
      </c>
      <c r="Q505" s="25" t="s">
        <v>813</v>
      </c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54"/>
        <v>0</v>
      </c>
      <c r="AF505" s="32">
        <f t="shared" si="155"/>
        <v>140.875</v>
      </c>
      <c r="AG505" s="30"/>
      <c r="AH505" s="33"/>
      <c r="AI505" s="34">
        <f t="shared" si="156"/>
        <v>0</v>
      </c>
      <c r="AJ505" s="35"/>
      <c r="AK505" s="30"/>
      <c r="AL505" s="36">
        <f t="shared" si="157"/>
        <v>0</v>
      </c>
      <c r="AM505" s="35"/>
      <c r="AN505" s="30"/>
      <c r="AO505" s="36">
        <f t="shared" si="158"/>
        <v>0</v>
      </c>
      <c r="AP505" s="35"/>
      <c r="AQ505" s="30"/>
      <c r="AR505" s="36">
        <f t="shared" si="159"/>
        <v>0</v>
      </c>
      <c r="AS505" s="27"/>
      <c r="AT505" s="37"/>
      <c r="AU505" s="30"/>
      <c r="AV505" s="36">
        <f t="shared" si="160"/>
        <v>0</v>
      </c>
      <c r="AW505" s="35"/>
      <c r="AX505" s="30"/>
      <c r="AY505" s="32">
        <f t="shared" si="161"/>
        <v>0</v>
      </c>
      <c r="AZ505" s="30" t="s">
        <v>841</v>
      </c>
      <c r="BA505" s="63"/>
      <c r="BB505" s="71" t="e">
        <f>SUMIFS([1]Form!$F$9:$F$22,[1]Form!$K$9:$K$22,K505)</f>
        <v>#VALUE!</v>
      </c>
      <c r="BC505" s="71"/>
      <c r="BD505" s="71"/>
    </row>
    <row r="506" spans="1:56" x14ac:dyDescent="0.25">
      <c r="A506" s="24">
        <f>IF(B506="","",SUBTOTAL(3,$B$4:B506))</f>
        <v>503</v>
      </c>
      <c r="B506" s="25" t="s">
        <v>840</v>
      </c>
      <c r="C506" s="25" t="str">
        <f t="shared" si="162"/>
        <v>Shipment 1 B-10124 Fired Proces Heater</v>
      </c>
      <c r="D506" s="25" t="s">
        <v>839</v>
      </c>
      <c r="E506" s="25" t="s">
        <v>838</v>
      </c>
      <c r="F506" s="25"/>
      <c r="G506" s="65"/>
      <c r="H506" s="25" t="s">
        <v>842</v>
      </c>
      <c r="I506" s="25"/>
      <c r="J506" s="26" t="s">
        <v>845</v>
      </c>
      <c r="K506" s="27" t="s">
        <v>639</v>
      </c>
      <c r="L506" s="28" t="s">
        <v>642</v>
      </c>
      <c r="M506" s="28" t="s">
        <v>777</v>
      </c>
      <c r="N506" s="25">
        <v>1</v>
      </c>
      <c r="O506" s="29">
        <v>140.875</v>
      </c>
      <c r="P506" s="29">
        <v>140.875</v>
      </c>
      <c r="Q506" s="25" t="s">
        <v>813</v>
      </c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ref="AE506:AE598" si="163">+AL506*0.5+AO506*0.4+AV506*0.1</f>
        <v>0</v>
      </c>
      <c r="AF506" s="32">
        <f t="shared" ref="AF506:AF598" si="164">+P506-AE506</f>
        <v>140.875</v>
      </c>
      <c r="AG506" s="30"/>
      <c r="AH506" s="33"/>
      <c r="AI506" s="34">
        <f t="shared" ref="AI506:AI598" si="165">+AH506*P506</f>
        <v>0</v>
      </c>
      <c r="AJ506" s="35"/>
      <c r="AK506" s="30"/>
      <c r="AL506" s="36">
        <f t="shared" ref="AL506:AL598" si="166">IFERROR(AK506*$P506/$N506,0)</f>
        <v>0</v>
      </c>
      <c r="AM506" s="35"/>
      <c r="AN506" s="30"/>
      <c r="AO506" s="36">
        <f t="shared" ref="AO506:AO598" si="167">IFERROR(AN506*$P506/$N506,0)</f>
        <v>0</v>
      </c>
      <c r="AP506" s="35"/>
      <c r="AQ506" s="30"/>
      <c r="AR506" s="36">
        <f t="shared" ref="AR506:AR598" si="168">IFERROR(AQ506*$P506/$N506,0)</f>
        <v>0</v>
      </c>
      <c r="AS506" s="27"/>
      <c r="AT506" s="37"/>
      <c r="AU506" s="30"/>
      <c r="AV506" s="36">
        <f t="shared" ref="AV506:AV598" si="169">IFERROR(AU506*$P506/$N506,0)</f>
        <v>0</v>
      </c>
      <c r="AW506" s="35"/>
      <c r="AX506" s="30"/>
      <c r="AY506" s="32">
        <f t="shared" ref="AY506:AY598" si="170">IFERROR(AX506*$P506/$N506,0)</f>
        <v>0</v>
      </c>
      <c r="AZ506" s="30" t="s">
        <v>841</v>
      </c>
      <c r="BA506" s="63"/>
      <c r="BB506" s="71" t="e">
        <f>SUMIFS([1]Form!$F$9:$F$22,[1]Form!$K$9:$K$22,K506)</f>
        <v>#VALUE!</v>
      </c>
      <c r="BC506" s="71"/>
      <c r="BD506" s="71"/>
    </row>
    <row r="507" spans="1:56" x14ac:dyDescent="0.25">
      <c r="A507" s="24">
        <f>IF(B507="","",SUBTOTAL(3,$B$4:B507))</f>
        <v>504</v>
      </c>
      <c r="B507" s="25" t="s">
        <v>840</v>
      </c>
      <c r="C507" s="25" t="str">
        <f t="shared" si="162"/>
        <v>Shipment 1 B-10124 Fired Proces Heater</v>
      </c>
      <c r="D507" s="25" t="s">
        <v>839</v>
      </c>
      <c r="E507" s="25" t="s">
        <v>838</v>
      </c>
      <c r="F507" s="25"/>
      <c r="G507" s="65"/>
      <c r="H507" s="25" t="s">
        <v>842</v>
      </c>
      <c r="I507" s="25"/>
      <c r="J507" s="26" t="s">
        <v>845</v>
      </c>
      <c r="K507" s="27" t="s">
        <v>639</v>
      </c>
      <c r="L507" s="28" t="s">
        <v>643</v>
      </c>
      <c r="M507" s="28" t="s">
        <v>777</v>
      </c>
      <c r="N507" s="25">
        <v>1</v>
      </c>
      <c r="O507" s="29">
        <v>140.875</v>
      </c>
      <c r="P507" s="29">
        <v>140.875</v>
      </c>
      <c r="Q507" s="25" t="s">
        <v>813</v>
      </c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63"/>
        <v>0</v>
      </c>
      <c r="AF507" s="32">
        <f t="shared" si="164"/>
        <v>140.875</v>
      </c>
      <c r="AG507" s="30"/>
      <c r="AH507" s="33"/>
      <c r="AI507" s="34">
        <f t="shared" si="165"/>
        <v>0</v>
      </c>
      <c r="AJ507" s="35"/>
      <c r="AK507" s="30"/>
      <c r="AL507" s="36">
        <f t="shared" si="166"/>
        <v>0</v>
      </c>
      <c r="AM507" s="35"/>
      <c r="AN507" s="30"/>
      <c r="AO507" s="36">
        <f t="shared" si="167"/>
        <v>0</v>
      </c>
      <c r="AP507" s="35"/>
      <c r="AQ507" s="30"/>
      <c r="AR507" s="36">
        <f t="shared" si="168"/>
        <v>0</v>
      </c>
      <c r="AS507" s="27"/>
      <c r="AT507" s="37"/>
      <c r="AU507" s="30"/>
      <c r="AV507" s="36">
        <f t="shared" si="169"/>
        <v>0</v>
      </c>
      <c r="AW507" s="35"/>
      <c r="AX507" s="30"/>
      <c r="AY507" s="32">
        <f t="shared" si="170"/>
        <v>0</v>
      </c>
      <c r="AZ507" s="30" t="s">
        <v>841</v>
      </c>
      <c r="BA507" s="63"/>
      <c r="BB507" s="71" t="e">
        <f>SUMIFS([1]Form!$F$9:$F$22,[1]Form!$K$9:$K$22,K507)</f>
        <v>#VALUE!</v>
      </c>
      <c r="BC507" s="71"/>
      <c r="BD507" s="71"/>
    </row>
    <row r="508" spans="1:56" x14ac:dyDescent="0.25">
      <c r="A508" s="24">
        <f>IF(B508="","",SUBTOTAL(3,$B$4:B508))</f>
        <v>505</v>
      </c>
      <c r="B508" s="25" t="s">
        <v>840</v>
      </c>
      <c r="C508" s="25" t="str">
        <f t="shared" si="162"/>
        <v>Shipment 1 B-10124 Fired Proces Heater</v>
      </c>
      <c r="D508" s="25" t="s">
        <v>839</v>
      </c>
      <c r="E508" s="25" t="s">
        <v>838</v>
      </c>
      <c r="F508" s="25"/>
      <c r="G508" s="65"/>
      <c r="H508" s="25" t="s">
        <v>842</v>
      </c>
      <c r="I508" s="25"/>
      <c r="J508" s="26" t="s">
        <v>845</v>
      </c>
      <c r="K508" s="27" t="s">
        <v>639</v>
      </c>
      <c r="L508" s="28" t="s">
        <v>644</v>
      </c>
      <c r="M508" s="28" t="s">
        <v>777</v>
      </c>
      <c r="N508" s="25">
        <v>1</v>
      </c>
      <c r="O508" s="29">
        <v>140.875</v>
      </c>
      <c r="P508" s="29">
        <v>140.875</v>
      </c>
      <c r="Q508" s="25" t="s">
        <v>813</v>
      </c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63"/>
        <v>0</v>
      </c>
      <c r="AF508" s="32">
        <f t="shared" si="164"/>
        <v>140.875</v>
      </c>
      <c r="AG508" s="30"/>
      <c r="AH508" s="33"/>
      <c r="AI508" s="34">
        <f t="shared" si="165"/>
        <v>0</v>
      </c>
      <c r="AJ508" s="35"/>
      <c r="AK508" s="30"/>
      <c r="AL508" s="36">
        <f t="shared" si="166"/>
        <v>0</v>
      </c>
      <c r="AM508" s="35"/>
      <c r="AN508" s="30"/>
      <c r="AO508" s="36">
        <f t="shared" si="167"/>
        <v>0</v>
      </c>
      <c r="AP508" s="35"/>
      <c r="AQ508" s="30"/>
      <c r="AR508" s="36">
        <f t="shared" si="168"/>
        <v>0</v>
      </c>
      <c r="AS508" s="27"/>
      <c r="AT508" s="37"/>
      <c r="AU508" s="30"/>
      <c r="AV508" s="36">
        <f t="shared" si="169"/>
        <v>0</v>
      </c>
      <c r="AW508" s="35"/>
      <c r="AX508" s="30"/>
      <c r="AY508" s="32">
        <f t="shared" si="170"/>
        <v>0</v>
      </c>
      <c r="AZ508" s="30" t="s">
        <v>841</v>
      </c>
      <c r="BA508" s="63"/>
      <c r="BB508" s="71" t="e">
        <f>SUMIFS([1]Form!$F$9:$F$22,[1]Form!$K$9:$K$22,K508)</f>
        <v>#VALUE!</v>
      </c>
      <c r="BC508" s="71"/>
      <c r="BD508" s="71"/>
    </row>
    <row r="509" spans="1:56" x14ac:dyDescent="0.25">
      <c r="A509" s="24">
        <f>IF(B509="","",SUBTOTAL(3,$B$4:B509))</f>
        <v>506</v>
      </c>
      <c r="B509" s="25" t="s">
        <v>840</v>
      </c>
      <c r="C509" s="25" t="str">
        <f t="shared" si="162"/>
        <v>Shipment 1 B-10124 Fired Proces Heater</v>
      </c>
      <c r="D509" s="25" t="s">
        <v>839</v>
      </c>
      <c r="E509" s="25" t="s">
        <v>838</v>
      </c>
      <c r="F509" s="25"/>
      <c r="G509" s="65"/>
      <c r="H509" s="25" t="s">
        <v>842</v>
      </c>
      <c r="I509" s="25"/>
      <c r="J509" s="26" t="s">
        <v>845</v>
      </c>
      <c r="K509" s="27" t="s">
        <v>639</v>
      </c>
      <c r="L509" s="28" t="s">
        <v>645</v>
      </c>
      <c r="M509" s="28" t="s">
        <v>777</v>
      </c>
      <c r="N509" s="25">
        <v>1</v>
      </c>
      <c r="O509" s="29">
        <v>140.875</v>
      </c>
      <c r="P509" s="29">
        <v>140.875</v>
      </c>
      <c r="Q509" s="25" t="s">
        <v>813</v>
      </c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63"/>
        <v>0</v>
      </c>
      <c r="AF509" s="32">
        <f t="shared" si="164"/>
        <v>140.875</v>
      </c>
      <c r="AG509" s="30"/>
      <c r="AH509" s="33"/>
      <c r="AI509" s="34">
        <f t="shared" si="165"/>
        <v>0</v>
      </c>
      <c r="AJ509" s="35"/>
      <c r="AK509" s="30"/>
      <c r="AL509" s="36">
        <f t="shared" si="166"/>
        <v>0</v>
      </c>
      <c r="AM509" s="35"/>
      <c r="AN509" s="30"/>
      <c r="AO509" s="36">
        <f t="shared" si="167"/>
        <v>0</v>
      </c>
      <c r="AP509" s="35"/>
      <c r="AQ509" s="30"/>
      <c r="AR509" s="36">
        <f t="shared" si="168"/>
        <v>0</v>
      </c>
      <c r="AS509" s="27"/>
      <c r="AT509" s="37"/>
      <c r="AU509" s="30"/>
      <c r="AV509" s="36">
        <f t="shared" si="169"/>
        <v>0</v>
      </c>
      <c r="AW509" s="35"/>
      <c r="AX509" s="30"/>
      <c r="AY509" s="32">
        <f t="shared" si="170"/>
        <v>0</v>
      </c>
      <c r="AZ509" s="30" t="s">
        <v>841</v>
      </c>
      <c r="BA509" s="63"/>
      <c r="BB509" s="71" t="e">
        <f>SUMIFS([1]Form!$F$9:$F$22,[1]Form!$K$9:$K$22,K509)</f>
        <v>#VALUE!</v>
      </c>
      <c r="BC509" s="71"/>
      <c r="BD509" s="71"/>
    </row>
    <row r="510" spans="1:56" x14ac:dyDescent="0.25">
      <c r="A510" s="24">
        <f>IF(B510="","",SUBTOTAL(3,$B$4:B510))</f>
        <v>507</v>
      </c>
      <c r="B510" s="25" t="s">
        <v>840</v>
      </c>
      <c r="C510" s="25" t="str">
        <f t="shared" si="162"/>
        <v>Shipment 1 B-10124 Fired Proces Heater</v>
      </c>
      <c r="D510" s="25" t="s">
        <v>839</v>
      </c>
      <c r="E510" s="25" t="s">
        <v>838</v>
      </c>
      <c r="F510" s="25"/>
      <c r="G510" s="65"/>
      <c r="H510" s="25" t="s">
        <v>842</v>
      </c>
      <c r="I510" s="25"/>
      <c r="J510" s="26" t="s">
        <v>845</v>
      </c>
      <c r="K510" s="27" t="s">
        <v>639</v>
      </c>
      <c r="L510" s="28" t="s">
        <v>646</v>
      </c>
      <c r="M510" s="28" t="s">
        <v>777</v>
      </c>
      <c r="N510" s="25">
        <v>1</v>
      </c>
      <c r="O510" s="29">
        <v>140.875</v>
      </c>
      <c r="P510" s="29">
        <v>140.875</v>
      </c>
      <c r="Q510" s="25" t="s">
        <v>813</v>
      </c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63"/>
        <v>0</v>
      </c>
      <c r="AF510" s="32">
        <f t="shared" si="164"/>
        <v>140.875</v>
      </c>
      <c r="AG510" s="30"/>
      <c r="AH510" s="33"/>
      <c r="AI510" s="34">
        <f t="shared" si="165"/>
        <v>0</v>
      </c>
      <c r="AJ510" s="35"/>
      <c r="AK510" s="30"/>
      <c r="AL510" s="36">
        <f t="shared" si="166"/>
        <v>0</v>
      </c>
      <c r="AM510" s="35"/>
      <c r="AN510" s="30"/>
      <c r="AO510" s="36">
        <f t="shared" si="167"/>
        <v>0</v>
      </c>
      <c r="AP510" s="35"/>
      <c r="AQ510" s="30"/>
      <c r="AR510" s="36">
        <f t="shared" si="168"/>
        <v>0</v>
      </c>
      <c r="AS510" s="27"/>
      <c r="AT510" s="37"/>
      <c r="AU510" s="30"/>
      <c r="AV510" s="36">
        <f t="shared" si="169"/>
        <v>0</v>
      </c>
      <c r="AW510" s="35"/>
      <c r="AX510" s="30"/>
      <c r="AY510" s="32">
        <f t="shared" si="170"/>
        <v>0</v>
      </c>
      <c r="AZ510" s="30" t="s">
        <v>841</v>
      </c>
      <c r="BA510" s="63"/>
      <c r="BB510" s="71" t="e">
        <f>SUMIFS([1]Form!$F$9:$F$22,[1]Form!$K$9:$K$22,K510)</f>
        <v>#VALUE!</v>
      </c>
      <c r="BC510" s="71"/>
      <c r="BD510" s="71"/>
    </row>
    <row r="511" spans="1:56" x14ac:dyDescent="0.25">
      <c r="A511" s="24">
        <f>IF(B511="","",SUBTOTAL(3,$B$4:B511))</f>
        <v>508</v>
      </c>
      <c r="B511" s="25" t="s">
        <v>840</v>
      </c>
      <c r="C511" s="25" t="str">
        <f t="shared" si="162"/>
        <v>Shipment 1 B-10124 Fired Proces Heater</v>
      </c>
      <c r="D511" s="25" t="s">
        <v>839</v>
      </c>
      <c r="E511" s="25" t="s">
        <v>838</v>
      </c>
      <c r="F511" s="25"/>
      <c r="G511" s="65"/>
      <c r="H511" s="25" t="s">
        <v>842</v>
      </c>
      <c r="I511" s="25"/>
      <c r="J511" s="26" t="s">
        <v>845</v>
      </c>
      <c r="K511" s="27" t="s">
        <v>639</v>
      </c>
      <c r="L511" s="28" t="s">
        <v>647</v>
      </c>
      <c r="M511" s="28" t="s">
        <v>777</v>
      </c>
      <c r="N511" s="25">
        <v>1</v>
      </c>
      <c r="O511" s="29">
        <v>140.875</v>
      </c>
      <c r="P511" s="29">
        <v>140.875</v>
      </c>
      <c r="Q511" s="25" t="s">
        <v>813</v>
      </c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63"/>
        <v>0</v>
      </c>
      <c r="AF511" s="32">
        <f t="shared" si="164"/>
        <v>140.875</v>
      </c>
      <c r="AG511" s="30"/>
      <c r="AH511" s="33"/>
      <c r="AI511" s="34">
        <f t="shared" si="165"/>
        <v>0</v>
      </c>
      <c r="AJ511" s="35"/>
      <c r="AK511" s="30"/>
      <c r="AL511" s="36">
        <f t="shared" si="166"/>
        <v>0</v>
      </c>
      <c r="AM511" s="35"/>
      <c r="AN511" s="30"/>
      <c r="AO511" s="36">
        <f t="shared" si="167"/>
        <v>0</v>
      </c>
      <c r="AP511" s="35"/>
      <c r="AQ511" s="30"/>
      <c r="AR511" s="36">
        <f t="shared" si="168"/>
        <v>0</v>
      </c>
      <c r="AS511" s="27"/>
      <c r="AT511" s="37"/>
      <c r="AU511" s="30"/>
      <c r="AV511" s="36">
        <f t="shared" si="169"/>
        <v>0</v>
      </c>
      <c r="AW511" s="35"/>
      <c r="AX511" s="30"/>
      <c r="AY511" s="32">
        <f t="shared" si="170"/>
        <v>0</v>
      </c>
      <c r="AZ511" s="30" t="s">
        <v>841</v>
      </c>
      <c r="BA511" s="63"/>
      <c r="BB511" s="71" t="e">
        <f>SUMIFS([1]Form!$F$9:$F$22,[1]Form!$K$9:$K$22,K511)</f>
        <v>#VALUE!</v>
      </c>
      <c r="BC511" s="71"/>
      <c r="BD511" s="71"/>
    </row>
    <row r="512" spans="1:56" x14ac:dyDescent="0.25">
      <c r="A512" s="24">
        <f>IF(B512="","",SUBTOTAL(3,$B$4:B512))</f>
        <v>509</v>
      </c>
      <c r="B512" s="25" t="s">
        <v>840</v>
      </c>
      <c r="C512" s="25" t="str">
        <f t="shared" ref="C512" si="171">D512&amp;" "&amp;E512</f>
        <v>Shipment 1 B-10124 Fired Proces Heater</v>
      </c>
      <c r="D512" s="25" t="s">
        <v>839</v>
      </c>
      <c r="E512" s="25" t="s">
        <v>838</v>
      </c>
      <c r="F512" s="25"/>
      <c r="G512" s="65"/>
      <c r="H512" s="25" t="s">
        <v>842</v>
      </c>
      <c r="I512" s="25"/>
      <c r="J512" s="26" t="s">
        <v>845</v>
      </c>
      <c r="K512" s="27" t="s">
        <v>648</v>
      </c>
      <c r="L512" s="28" t="s">
        <v>1196</v>
      </c>
      <c r="M512" s="28" t="s">
        <v>777</v>
      </c>
      <c r="N512" s="25">
        <v>1</v>
      </c>
      <c r="O512" s="29">
        <v>36.200000000000003</v>
      </c>
      <c r="P512" s="29">
        <v>36.200000000000003</v>
      </c>
      <c r="Q512" s="25" t="s">
        <v>814</v>
      </c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ref="AE512" si="172">+AL512*0.5+AO512*0.4+AV512*0.1</f>
        <v>0</v>
      </c>
      <c r="AF512" s="32">
        <f t="shared" ref="AF512" si="173">+P512-AE512</f>
        <v>36.200000000000003</v>
      </c>
      <c r="AG512" s="30"/>
      <c r="AH512" s="33"/>
      <c r="AI512" s="34">
        <f t="shared" ref="AI512" si="174">+AH512*P512</f>
        <v>0</v>
      </c>
      <c r="AJ512" s="35"/>
      <c r="AK512" s="30"/>
      <c r="AL512" s="36">
        <f t="shared" ref="AL512" si="175">IFERROR(AK512*$P512/$N512,0)</f>
        <v>0</v>
      </c>
      <c r="AM512" s="35"/>
      <c r="AN512" s="30"/>
      <c r="AO512" s="36">
        <f t="shared" ref="AO512" si="176">IFERROR(AN512*$P512/$N512,0)</f>
        <v>0</v>
      </c>
      <c r="AP512" s="35"/>
      <c r="AQ512" s="30"/>
      <c r="AR512" s="36">
        <f t="shared" ref="AR512" si="177">IFERROR(AQ512*$P512/$N512,0)</f>
        <v>0</v>
      </c>
      <c r="AS512" s="27"/>
      <c r="AT512" s="37"/>
      <c r="AU512" s="30"/>
      <c r="AV512" s="36">
        <f t="shared" ref="AV512" si="178">IFERROR(AU512*$P512/$N512,0)</f>
        <v>0</v>
      </c>
      <c r="AW512" s="35"/>
      <c r="AX512" s="30"/>
      <c r="AY512" s="32">
        <f t="shared" ref="AY512" si="179">IFERROR(AX512*$P512/$N512,0)</f>
        <v>0</v>
      </c>
      <c r="AZ512" s="30" t="s">
        <v>841</v>
      </c>
      <c r="BA512" s="63"/>
      <c r="BB512" s="71" t="e">
        <f>SUMIFS([1]Form!$F$9:$F$22,[1]Form!$K$9:$K$22,K512)</f>
        <v>#VALUE!</v>
      </c>
      <c r="BC512" s="71"/>
      <c r="BD512" s="71"/>
    </row>
    <row r="513" spans="1:56" x14ac:dyDescent="0.25">
      <c r="A513" s="24">
        <f>IF(B513="","",SUBTOTAL(3,$B$4:B513))</f>
        <v>510</v>
      </c>
      <c r="B513" s="25" t="s">
        <v>840</v>
      </c>
      <c r="C513" s="25" t="str">
        <f t="shared" ref="C513" si="180">D513&amp;" "&amp;E513</f>
        <v>Shipment 1 B-10124 Fired Proces Heater</v>
      </c>
      <c r="D513" s="25" t="s">
        <v>839</v>
      </c>
      <c r="E513" s="25" t="s">
        <v>838</v>
      </c>
      <c r="F513" s="25"/>
      <c r="G513" s="65"/>
      <c r="H513" s="25" t="s">
        <v>842</v>
      </c>
      <c r="I513" s="25"/>
      <c r="J513" s="26" t="s">
        <v>845</v>
      </c>
      <c r="K513" s="27" t="s">
        <v>648</v>
      </c>
      <c r="L513" s="28" t="s">
        <v>1197</v>
      </c>
      <c r="M513" s="28" t="s">
        <v>777</v>
      </c>
      <c r="N513" s="25">
        <v>1</v>
      </c>
      <c r="O513" s="29">
        <v>36.200000000000003</v>
      </c>
      <c r="P513" s="29">
        <v>36.200000000000003</v>
      </c>
      <c r="Q513" s="25" t="s">
        <v>814</v>
      </c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ref="AE513" si="181">+AL513*0.5+AO513*0.4+AV513*0.1</f>
        <v>0</v>
      </c>
      <c r="AF513" s="32">
        <f t="shared" ref="AF513" si="182">+P513-AE513</f>
        <v>36.200000000000003</v>
      </c>
      <c r="AG513" s="30"/>
      <c r="AH513" s="33"/>
      <c r="AI513" s="34">
        <f t="shared" ref="AI513" si="183">+AH513*P513</f>
        <v>0</v>
      </c>
      <c r="AJ513" s="35"/>
      <c r="AK513" s="30"/>
      <c r="AL513" s="36">
        <f t="shared" ref="AL513" si="184">IFERROR(AK513*$P513/$N513,0)</f>
        <v>0</v>
      </c>
      <c r="AM513" s="35"/>
      <c r="AN513" s="30"/>
      <c r="AO513" s="36">
        <f t="shared" ref="AO513" si="185">IFERROR(AN513*$P513/$N513,0)</f>
        <v>0</v>
      </c>
      <c r="AP513" s="35"/>
      <c r="AQ513" s="30"/>
      <c r="AR513" s="36">
        <f t="shared" ref="AR513" si="186">IFERROR(AQ513*$P513/$N513,0)</f>
        <v>0</v>
      </c>
      <c r="AS513" s="27"/>
      <c r="AT513" s="37"/>
      <c r="AU513" s="30"/>
      <c r="AV513" s="36">
        <f t="shared" ref="AV513" si="187">IFERROR(AU513*$P513/$N513,0)</f>
        <v>0</v>
      </c>
      <c r="AW513" s="35"/>
      <c r="AX513" s="30"/>
      <c r="AY513" s="32">
        <f t="shared" ref="AY513" si="188">IFERROR(AX513*$P513/$N513,0)</f>
        <v>0</v>
      </c>
      <c r="AZ513" s="30" t="s">
        <v>841</v>
      </c>
      <c r="BA513" s="63"/>
      <c r="BB513" s="71" t="e">
        <f>SUMIFS([1]Form!$F$9:$F$22,[1]Form!$K$9:$K$22,K513)</f>
        <v>#VALUE!</v>
      </c>
      <c r="BC513" s="71"/>
      <c r="BD513" s="71"/>
    </row>
    <row r="514" spans="1:56" x14ac:dyDescent="0.25">
      <c r="A514" s="24">
        <f>IF(B514="","",SUBTOTAL(3,$B$4:B514))</f>
        <v>511</v>
      </c>
      <c r="B514" s="25" t="s">
        <v>840</v>
      </c>
      <c r="C514" s="25" t="str">
        <f t="shared" ref="C514" si="189">D514&amp;" "&amp;E514</f>
        <v>Shipment 1 B-10124 Fired Proces Heater</v>
      </c>
      <c r="D514" s="25" t="s">
        <v>839</v>
      </c>
      <c r="E514" s="25" t="s">
        <v>838</v>
      </c>
      <c r="F514" s="25"/>
      <c r="G514" s="65"/>
      <c r="H514" s="25" t="s">
        <v>842</v>
      </c>
      <c r="I514" s="25"/>
      <c r="J514" s="26" t="s">
        <v>845</v>
      </c>
      <c r="K514" s="27" t="s">
        <v>648</v>
      </c>
      <c r="L514" s="28" t="s">
        <v>1198</v>
      </c>
      <c r="M514" s="28" t="s">
        <v>777</v>
      </c>
      <c r="N514" s="25">
        <v>1</v>
      </c>
      <c r="O514" s="29">
        <v>36.200000000000003</v>
      </c>
      <c r="P514" s="29">
        <v>36.200000000000003</v>
      </c>
      <c r="Q514" s="25" t="s">
        <v>814</v>
      </c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ref="AE514" si="190">+AL514*0.5+AO514*0.4+AV514*0.1</f>
        <v>0</v>
      </c>
      <c r="AF514" s="32">
        <f t="shared" ref="AF514" si="191">+P514-AE514</f>
        <v>36.200000000000003</v>
      </c>
      <c r="AG514" s="30"/>
      <c r="AH514" s="33"/>
      <c r="AI514" s="34">
        <f t="shared" ref="AI514" si="192">+AH514*P514</f>
        <v>0</v>
      </c>
      <c r="AJ514" s="35"/>
      <c r="AK514" s="30"/>
      <c r="AL514" s="36">
        <f t="shared" ref="AL514" si="193">IFERROR(AK514*$P514/$N514,0)</f>
        <v>0</v>
      </c>
      <c r="AM514" s="35"/>
      <c r="AN514" s="30"/>
      <c r="AO514" s="36">
        <f t="shared" ref="AO514" si="194">IFERROR(AN514*$P514/$N514,0)</f>
        <v>0</v>
      </c>
      <c r="AP514" s="35"/>
      <c r="AQ514" s="30"/>
      <c r="AR514" s="36">
        <f t="shared" ref="AR514" si="195">IFERROR(AQ514*$P514/$N514,0)</f>
        <v>0</v>
      </c>
      <c r="AS514" s="27"/>
      <c r="AT514" s="37"/>
      <c r="AU514" s="30"/>
      <c r="AV514" s="36">
        <f t="shared" ref="AV514" si="196">IFERROR(AU514*$P514/$N514,0)</f>
        <v>0</v>
      </c>
      <c r="AW514" s="35"/>
      <c r="AX514" s="30"/>
      <c r="AY514" s="32">
        <f t="shared" ref="AY514" si="197">IFERROR(AX514*$P514/$N514,0)</f>
        <v>0</v>
      </c>
      <c r="AZ514" s="30" t="s">
        <v>841</v>
      </c>
      <c r="BA514" s="63"/>
      <c r="BB514" s="71" t="e">
        <f>SUMIFS([1]Form!$F$9:$F$22,[1]Form!$K$9:$K$22,K514)</f>
        <v>#VALUE!</v>
      </c>
      <c r="BC514" s="71"/>
      <c r="BD514" s="71"/>
    </row>
    <row r="515" spans="1:56" x14ac:dyDescent="0.25">
      <c r="A515" s="24">
        <f>IF(B515="","",SUBTOTAL(3,$B$4:B515))</f>
        <v>512</v>
      </c>
      <c r="B515" s="25" t="s">
        <v>840</v>
      </c>
      <c r="C515" s="25" t="str">
        <f t="shared" ref="C515" si="198">D515&amp;" "&amp;E515</f>
        <v>Shipment 1 B-10124 Fired Proces Heater</v>
      </c>
      <c r="D515" s="25" t="s">
        <v>839</v>
      </c>
      <c r="E515" s="25" t="s">
        <v>838</v>
      </c>
      <c r="F515" s="25"/>
      <c r="G515" s="65"/>
      <c r="H515" s="25" t="s">
        <v>842</v>
      </c>
      <c r="I515" s="25"/>
      <c r="J515" s="26" t="s">
        <v>845</v>
      </c>
      <c r="K515" s="27" t="s">
        <v>648</v>
      </c>
      <c r="L515" s="28" t="s">
        <v>1199</v>
      </c>
      <c r="M515" s="28" t="s">
        <v>777</v>
      </c>
      <c r="N515" s="25">
        <v>1</v>
      </c>
      <c r="O515" s="29">
        <v>36.200000000000003</v>
      </c>
      <c r="P515" s="29">
        <v>36.200000000000003</v>
      </c>
      <c r="Q515" s="25" t="s">
        <v>814</v>
      </c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ref="AE515" si="199">+AL515*0.5+AO515*0.4+AV515*0.1</f>
        <v>0</v>
      </c>
      <c r="AF515" s="32">
        <f t="shared" ref="AF515" si="200">+P515-AE515</f>
        <v>36.200000000000003</v>
      </c>
      <c r="AG515" s="30"/>
      <c r="AH515" s="33"/>
      <c r="AI515" s="34">
        <f t="shared" ref="AI515" si="201">+AH515*P515</f>
        <v>0</v>
      </c>
      <c r="AJ515" s="35"/>
      <c r="AK515" s="30"/>
      <c r="AL515" s="36">
        <f t="shared" ref="AL515" si="202">IFERROR(AK515*$P515/$N515,0)</f>
        <v>0</v>
      </c>
      <c r="AM515" s="35"/>
      <c r="AN515" s="30"/>
      <c r="AO515" s="36">
        <f t="shared" ref="AO515" si="203">IFERROR(AN515*$P515/$N515,0)</f>
        <v>0</v>
      </c>
      <c r="AP515" s="35"/>
      <c r="AQ515" s="30"/>
      <c r="AR515" s="36">
        <f t="shared" ref="AR515" si="204">IFERROR(AQ515*$P515/$N515,0)</f>
        <v>0</v>
      </c>
      <c r="AS515" s="27"/>
      <c r="AT515" s="37"/>
      <c r="AU515" s="30"/>
      <c r="AV515" s="36">
        <f t="shared" ref="AV515" si="205">IFERROR(AU515*$P515/$N515,0)</f>
        <v>0</v>
      </c>
      <c r="AW515" s="35"/>
      <c r="AX515" s="30"/>
      <c r="AY515" s="32">
        <f t="shared" ref="AY515" si="206">IFERROR(AX515*$P515/$N515,0)</f>
        <v>0</v>
      </c>
      <c r="AZ515" s="30" t="s">
        <v>841</v>
      </c>
      <c r="BA515" s="63"/>
      <c r="BB515" s="71" t="e">
        <f>SUMIFS([1]Form!$F$9:$F$22,[1]Form!$K$9:$K$22,K515)</f>
        <v>#VALUE!</v>
      </c>
      <c r="BC515" s="71"/>
      <c r="BD515" s="71"/>
    </row>
    <row r="516" spans="1:56" x14ac:dyDescent="0.25">
      <c r="A516" s="24">
        <f>IF(B516="","",SUBTOTAL(3,$B$4:B516))</f>
        <v>513</v>
      </c>
      <c r="B516" s="25" t="s">
        <v>840</v>
      </c>
      <c r="C516" s="25" t="str">
        <f t="shared" ref="C516" si="207">D516&amp;" "&amp;E516</f>
        <v>Shipment 1 B-10124 Fired Proces Heater</v>
      </c>
      <c r="D516" s="25" t="s">
        <v>839</v>
      </c>
      <c r="E516" s="25" t="s">
        <v>838</v>
      </c>
      <c r="F516" s="25"/>
      <c r="G516" s="65"/>
      <c r="H516" s="25" t="s">
        <v>842</v>
      </c>
      <c r="I516" s="25"/>
      <c r="J516" s="26" t="s">
        <v>845</v>
      </c>
      <c r="K516" s="27" t="s">
        <v>648</v>
      </c>
      <c r="L516" s="28" t="s">
        <v>1200</v>
      </c>
      <c r="M516" s="28" t="s">
        <v>777</v>
      </c>
      <c r="N516" s="25">
        <v>1</v>
      </c>
      <c r="O516" s="29">
        <v>36.200000000000003</v>
      </c>
      <c r="P516" s="29">
        <v>36.200000000000003</v>
      </c>
      <c r="Q516" s="25" t="s">
        <v>814</v>
      </c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ref="AE516" si="208">+AL516*0.5+AO516*0.4+AV516*0.1</f>
        <v>0</v>
      </c>
      <c r="AF516" s="32">
        <f t="shared" ref="AF516" si="209">+P516-AE516</f>
        <v>36.200000000000003</v>
      </c>
      <c r="AG516" s="30"/>
      <c r="AH516" s="33"/>
      <c r="AI516" s="34">
        <f t="shared" ref="AI516" si="210">+AH516*P516</f>
        <v>0</v>
      </c>
      <c r="AJ516" s="35"/>
      <c r="AK516" s="30"/>
      <c r="AL516" s="36">
        <f t="shared" ref="AL516" si="211">IFERROR(AK516*$P516/$N516,0)</f>
        <v>0</v>
      </c>
      <c r="AM516" s="35"/>
      <c r="AN516" s="30"/>
      <c r="AO516" s="36">
        <f t="shared" ref="AO516" si="212">IFERROR(AN516*$P516/$N516,0)</f>
        <v>0</v>
      </c>
      <c r="AP516" s="35"/>
      <c r="AQ516" s="30"/>
      <c r="AR516" s="36">
        <f t="shared" ref="AR516" si="213">IFERROR(AQ516*$P516/$N516,0)</f>
        <v>0</v>
      </c>
      <c r="AS516" s="27"/>
      <c r="AT516" s="37"/>
      <c r="AU516" s="30"/>
      <c r="AV516" s="36">
        <f t="shared" ref="AV516" si="214">IFERROR(AU516*$P516/$N516,0)</f>
        <v>0</v>
      </c>
      <c r="AW516" s="35"/>
      <c r="AX516" s="30"/>
      <c r="AY516" s="32">
        <f t="shared" ref="AY516" si="215">IFERROR(AX516*$P516/$N516,0)</f>
        <v>0</v>
      </c>
      <c r="AZ516" s="30" t="s">
        <v>841</v>
      </c>
      <c r="BA516" s="63"/>
      <c r="BB516" s="71" t="e">
        <f>SUMIFS([1]Form!$F$9:$F$22,[1]Form!$K$9:$K$22,K516)</f>
        <v>#VALUE!</v>
      </c>
      <c r="BC516" s="71"/>
      <c r="BD516" s="71"/>
    </row>
    <row r="517" spans="1:56" x14ac:dyDescent="0.25">
      <c r="A517" s="24">
        <f>IF(B517="","",SUBTOTAL(3,$B$4:B517))</f>
        <v>514</v>
      </c>
      <c r="B517" s="25" t="s">
        <v>840</v>
      </c>
      <c r="C517" s="25" t="str">
        <f t="shared" ref="C517" si="216">D517&amp;" "&amp;E517</f>
        <v>Shipment 1 B-10124 Fired Proces Heater</v>
      </c>
      <c r="D517" s="25" t="s">
        <v>839</v>
      </c>
      <c r="E517" s="25" t="s">
        <v>838</v>
      </c>
      <c r="F517" s="25"/>
      <c r="G517" s="65"/>
      <c r="H517" s="25" t="s">
        <v>842</v>
      </c>
      <c r="I517" s="25"/>
      <c r="J517" s="26" t="s">
        <v>845</v>
      </c>
      <c r="K517" s="27" t="s">
        <v>648</v>
      </c>
      <c r="L517" s="28" t="s">
        <v>1201</v>
      </c>
      <c r="M517" s="28" t="s">
        <v>777</v>
      </c>
      <c r="N517" s="25">
        <v>1</v>
      </c>
      <c r="O517" s="29">
        <v>36.200000000000003</v>
      </c>
      <c r="P517" s="29">
        <v>36.200000000000003</v>
      </c>
      <c r="Q517" s="25" t="s">
        <v>814</v>
      </c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ref="AE517" si="217">+AL517*0.5+AO517*0.4+AV517*0.1</f>
        <v>0</v>
      </c>
      <c r="AF517" s="32">
        <f t="shared" ref="AF517" si="218">+P517-AE517</f>
        <v>36.200000000000003</v>
      </c>
      <c r="AG517" s="30"/>
      <c r="AH517" s="33"/>
      <c r="AI517" s="34">
        <f t="shared" ref="AI517" si="219">+AH517*P517</f>
        <v>0</v>
      </c>
      <c r="AJ517" s="35"/>
      <c r="AK517" s="30"/>
      <c r="AL517" s="36">
        <f t="shared" ref="AL517" si="220">IFERROR(AK517*$P517/$N517,0)</f>
        <v>0</v>
      </c>
      <c r="AM517" s="35"/>
      <c r="AN517" s="30"/>
      <c r="AO517" s="36">
        <f t="shared" ref="AO517" si="221">IFERROR(AN517*$P517/$N517,0)</f>
        <v>0</v>
      </c>
      <c r="AP517" s="35"/>
      <c r="AQ517" s="30"/>
      <c r="AR517" s="36">
        <f t="shared" ref="AR517" si="222">IFERROR(AQ517*$P517/$N517,0)</f>
        <v>0</v>
      </c>
      <c r="AS517" s="27"/>
      <c r="AT517" s="37"/>
      <c r="AU517" s="30"/>
      <c r="AV517" s="36">
        <f t="shared" ref="AV517" si="223">IFERROR(AU517*$P517/$N517,0)</f>
        <v>0</v>
      </c>
      <c r="AW517" s="35"/>
      <c r="AX517" s="30"/>
      <c r="AY517" s="32">
        <f t="shared" ref="AY517" si="224">IFERROR(AX517*$P517/$N517,0)</f>
        <v>0</v>
      </c>
      <c r="AZ517" s="30" t="s">
        <v>841</v>
      </c>
      <c r="BA517" s="63"/>
      <c r="BB517" s="71" t="e">
        <f>SUMIFS([1]Form!$F$9:$F$22,[1]Form!$K$9:$K$22,K517)</f>
        <v>#VALUE!</v>
      </c>
      <c r="BC517" s="71"/>
      <c r="BD517" s="71"/>
    </row>
    <row r="518" spans="1:56" x14ac:dyDescent="0.25">
      <c r="A518" s="24">
        <f>IF(B518="","",SUBTOTAL(3,$B$4:B518))</f>
        <v>515</v>
      </c>
      <c r="B518" s="25" t="s">
        <v>840</v>
      </c>
      <c r="C518" s="25" t="str">
        <f t="shared" ref="C518" si="225">D518&amp;" "&amp;E518</f>
        <v>Shipment 1 B-10124 Fired Proces Heater</v>
      </c>
      <c r="D518" s="25" t="s">
        <v>839</v>
      </c>
      <c r="E518" s="25" t="s">
        <v>838</v>
      </c>
      <c r="F518" s="25"/>
      <c r="G518" s="65"/>
      <c r="H518" s="25" t="s">
        <v>842</v>
      </c>
      <c r="I518" s="25"/>
      <c r="J518" s="26" t="s">
        <v>845</v>
      </c>
      <c r="K518" s="27" t="s">
        <v>648</v>
      </c>
      <c r="L518" s="28" t="s">
        <v>1202</v>
      </c>
      <c r="M518" s="28" t="s">
        <v>777</v>
      </c>
      <c r="N518" s="25">
        <v>1</v>
      </c>
      <c r="O518" s="29">
        <v>36.200000000000003</v>
      </c>
      <c r="P518" s="29">
        <v>36.200000000000003</v>
      </c>
      <c r="Q518" s="25" t="s">
        <v>814</v>
      </c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ref="AE518" si="226">+AL518*0.5+AO518*0.4+AV518*0.1</f>
        <v>0</v>
      </c>
      <c r="AF518" s="32">
        <f t="shared" ref="AF518" si="227">+P518-AE518</f>
        <v>36.200000000000003</v>
      </c>
      <c r="AG518" s="30"/>
      <c r="AH518" s="33"/>
      <c r="AI518" s="34">
        <f t="shared" ref="AI518" si="228">+AH518*P518</f>
        <v>0</v>
      </c>
      <c r="AJ518" s="35"/>
      <c r="AK518" s="30"/>
      <c r="AL518" s="36">
        <f t="shared" ref="AL518" si="229">IFERROR(AK518*$P518/$N518,0)</f>
        <v>0</v>
      </c>
      <c r="AM518" s="35"/>
      <c r="AN518" s="30"/>
      <c r="AO518" s="36">
        <f t="shared" ref="AO518" si="230">IFERROR(AN518*$P518/$N518,0)</f>
        <v>0</v>
      </c>
      <c r="AP518" s="35"/>
      <c r="AQ518" s="30"/>
      <c r="AR518" s="36">
        <f t="shared" ref="AR518" si="231">IFERROR(AQ518*$P518/$N518,0)</f>
        <v>0</v>
      </c>
      <c r="AS518" s="27"/>
      <c r="AT518" s="37"/>
      <c r="AU518" s="30"/>
      <c r="AV518" s="36">
        <f t="shared" ref="AV518" si="232">IFERROR(AU518*$P518/$N518,0)</f>
        <v>0</v>
      </c>
      <c r="AW518" s="35"/>
      <c r="AX518" s="30"/>
      <c r="AY518" s="32">
        <f t="shared" ref="AY518" si="233">IFERROR(AX518*$P518/$N518,0)</f>
        <v>0</v>
      </c>
      <c r="AZ518" s="30" t="s">
        <v>841</v>
      </c>
      <c r="BA518" s="63"/>
      <c r="BB518" s="71" t="e">
        <f>SUMIFS([1]Form!$F$9:$F$22,[1]Form!$K$9:$K$22,K518)</f>
        <v>#VALUE!</v>
      </c>
      <c r="BC518" s="71"/>
      <c r="BD518" s="71"/>
    </row>
    <row r="519" spans="1:56" x14ac:dyDescent="0.25">
      <c r="A519" s="24">
        <f>IF(B519="","",SUBTOTAL(3,$B$4:B519))</f>
        <v>516</v>
      </c>
      <c r="B519" s="25" t="s">
        <v>840</v>
      </c>
      <c r="C519" s="25" t="str">
        <f t="shared" ref="C519" si="234">D519&amp;" "&amp;E519</f>
        <v>Shipment 1 B-10124 Fired Proces Heater</v>
      </c>
      <c r="D519" s="25" t="s">
        <v>839</v>
      </c>
      <c r="E519" s="25" t="s">
        <v>838</v>
      </c>
      <c r="F519" s="25"/>
      <c r="G519" s="65"/>
      <c r="H519" s="25" t="s">
        <v>842</v>
      </c>
      <c r="I519" s="25"/>
      <c r="J519" s="26" t="s">
        <v>845</v>
      </c>
      <c r="K519" s="27" t="s">
        <v>648</v>
      </c>
      <c r="L519" s="28" t="s">
        <v>1203</v>
      </c>
      <c r="M519" s="28" t="s">
        <v>777</v>
      </c>
      <c r="N519" s="25">
        <v>1</v>
      </c>
      <c r="O519" s="29">
        <v>36.200000000000003</v>
      </c>
      <c r="P519" s="29">
        <v>36.200000000000003</v>
      </c>
      <c r="Q519" s="25" t="s">
        <v>814</v>
      </c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ref="AE519" si="235">+AL519*0.5+AO519*0.4+AV519*0.1</f>
        <v>0</v>
      </c>
      <c r="AF519" s="32">
        <f t="shared" ref="AF519" si="236">+P519-AE519</f>
        <v>36.200000000000003</v>
      </c>
      <c r="AG519" s="30"/>
      <c r="AH519" s="33"/>
      <c r="AI519" s="34">
        <f t="shared" ref="AI519" si="237">+AH519*P519</f>
        <v>0</v>
      </c>
      <c r="AJ519" s="35"/>
      <c r="AK519" s="30"/>
      <c r="AL519" s="36">
        <f t="shared" ref="AL519" si="238">IFERROR(AK519*$P519/$N519,0)</f>
        <v>0</v>
      </c>
      <c r="AM519" s="35"/>
      <c r="AN519" s="30"/>
      <c r="AO519" s="36">
        <f t="shared" ref="AO519" si="239">IFERROR(AN519*$P519/$N519,0)</f>
        <v>0</v>
      </c>
      <c r="AP519" s="35"/>
      <c r="AQ519" s="30"/>
      <c r="AR519" s="36">
        <f t="shared" ref="AR519" si="240">IFERROR(AQ519*$P519/$N519,0)</f>
        <v>0</v>
      </c>
      <c r="AS519" s="27"/>
      <c r="AT519" s="37"/>
      <c r="AU519" s="30"/>
      <c r="AV519" s="36">
        <f t="shared" ref="AV519" si="241">IFERROR(AU519*$P519/$N519,0)</f>
        <v>0</v>
      </c>
      <c r="AW519" s="35"/>
      <c r="AX519" s="30"/>
      <c r="AY519" s="32">
        <f t="shared" ref="AY519" si="242">IFERROR(AX519*$P519/$N519,0)</f>
        <v>0</v>
      </c>
      <c r="AZ519" s="30" t="s">
        <v>841</v>
      </c>
      <c r="BA519" s="63"/>
      <c r="BB519" s="71" t="e">
        <f>SUMIFS([1]Form!$F$9:$F$22,[1]Form!$K$9:$K$22,K519)</f>
        <v>#VALUE!</v>
      </c>
      <c r="BC519" s="71"/>
      <c r="BD519" s="71"/>
    </row>
    <row r="520" spans="1:56" x14ac:dyDescent="0.25">
      <c r="A520" s="24">
        <f>IF(B520="","",SUBTOTAL(3,$B$4:B520))</f>
        <v>517</v>
      </c>
      <c r="B520" s="25" t="s">
        <v>840</v>
      </c>
      <c r="C520" s="25" t="str">
        <f t="shared" ref="C520" si="243">D520&amp;" "&amp;E520</f>
        <v>Shipment 1 B-10124 Fired Proces Heater</v>
      </c>
      <c r="D520" s="25" t="s">
        <v>839</v>
      </c>
      <c r="E520" s="25" t="s">
        <v>838</v>
      </c>
      <c r="F520" s="25"/>
      <c r="G520" s="65"/>
      <c r="H520" s="25" t="s">
        <v>842</v>
      </c>
      <c r="I520" s="25"/>
      <c r="J520" s="26" t="s">
        <v>845</v>
      </c>
      <c r="K520" s="27" t="s">
        <v>649</v>
      </c>
      <c r="L520" s="28" t="s">
        <v>1204</v>
      </c>
      <c r="M520" s="28" t="s">
        <v>777</v>
      </c>
      <c r="N520" s="25">
        <v>1</v>
      </c>
      <c r="O520" s="29">
        <v>2</v>
      </c>
      <c r="P520" s="29">
        <v>2</v>
      </c>
      <c r="Q520" s="25" t="s">
        <v>815</v>
      </c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ref="AE520" si="244">+AL520*0.5+AO520*0.4+AV520*0.1</f>
        <v>0</v>
      </c>
      <c r="AF520" s="32">
        <f t="shared" ref="AF520" si="245">+P520-AE520</f>
        <v>2</v>
      </c>
      <c r="AG520" s="30"/>
      <c r="AH520" s="33"/>
      <c r="AI520" s="34">
        <f t="shared" ref="AI520" si="246">+AH520*P520</f>
        <v>0</v>
      </c>
      <c r="AJ520" s="35"/>
      <c r="AK520" s="30"/>
      <c r="AL520" s="36">
        <f t="shared" ref="AL520" si="247">IFERROR(AK520*$P520/$N520,0)</f>
        <v>0</v>
      </c>
      <c r="AM520" s="35"/>
      <c r="AN520" s="30"/>
      <c r="AO520" s="36">
        <f t="shared" ref="AO520" si="248">IFERROR(AN520*$P520/$N520,0)</f>
        <v>0</v>
      </c>
      <c r="AP520" s="35"/>
      <c r="AQ520" s="30"/>
      <c r="AR520" s="36">
        <f t="shared" ref="AR520" si="249">IFERROR(AQ520*$P520/$N520,0)</f>
        <v>0</v>
      </c>
      <c r="AS520" s="27"/>
      <c r="AT520" s="37"/>
      <c r="AU520" s="30"/>
      <c r="AV520" s="36">
        <f t="shared" ref="AV520" si="250">IFERROR(AU520*$P520/$N520,0)</f>
        <v>0</v>
      </c>
      <c r="AW520" s="35"/>
      <c r="AX520" s="30"/>
      <c r="AY520" s="32">
        <f t="shared" ref="AY520" si="251">IFERROR(AX520*$P520/$N520,0)</f>
        <v>0</v>
      </c>
      <c r="AZ520" s="30" t="s">
        <v>841</v>
      </c>
      <c r="BA520" s="63"/>
      <c r="BB520" s="71" t="e">
        <f>SUMIFS([1]Form!$F$9:$F$22,[1]Form!$K$9:$K$22,K520)</f>
        <v>#VALUE!</v>
      </c>
      <c r="BC520" s="71"/>
      <c r="BD520" s="71"/>
    </row>
    <row r="521" spans="1:56" x14ac:dyDescent="0.25">
      <c r="A521" s="24">
        <f>IF(B521="","",SUBTOTAL(3,$B$4:B521))</f>
        <v>518</v>
      </c>
      <c r="B521" s="25" t="s">
        <v>840</v>
      </c>
      <c r="C521" s="25" t="str">
        <f t="shared" ref="C521" si="252">D521&amp;" "&amp;E521</f>
        <v>Shipment 1 B-10124 Fired Proces Heater</v>
      </c>
      <c r="D521" s="25" t="s">
        <v>839</v>
      </c>
      <c r="E521" s="25" t="s">
        <v>838</v>
      </c>
      <c r="F521" s="25"/>
      <c r="G521" s="65"/>
      <c r="H521" s="25" t="s">
        <v>842</v>
      </c>
      <c r="I521" s="25"/>
      <c r="J521" s="26" t="s">
        <v>845</v>
      </c>
      <c r="K521" s="27" t="s">
        <v>649</v>
      </c>
      <c r="L521" s="28" t="s">
        <v>1205</v>
      </c>
      <c r="M521" s="28" t="s">
        <v>777</v>
      </c>
      <c r="N521" s="25">
        <v>1</v>
      </c>
      <c r="O521" s="29">
        <v>2</v>
      </c>
      <c r="P521" s="29">
        <v>2</v>
      </c>
      <c r="Q521" s="25" t="s">
        <v>815</v>
      </c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ref="AE521" si="253">+AL521*0.5+AO521*0.4+AV521*0.1</f>
        <v>0</v>
      </c>
      <c r="AF521" s="32">
        <f t="shared" ref="AF521" si="254">+P521-AE521</f>
        <v>2</v>
      </c>
      <c r="AG521" s="30"/>
      <c r="AH521" s="33"/>
      <c r="AI521" s="34">
        <f t="shared" ref="AI521" si="255">+AH521*P521</f>
        <v>0</v>
      </c>
      <c r="AJ521" s="35"/>
      <c r="AK521" s="30"/>
      <c r="AL521" s="36">
        <f t="shared" ref="AL521" si="256">IFERROR(AK521*$P521/$N521,0)</f>
        <v>0</v>
      </c>
      <c r="AM521" s="35"/>
      <c r="AN521" s="30"/>
      <c r="AO521" s="36">
        <f t="shared" ref="AO521" si="257">IFERROR(AN521*$P521/$N521,0)</f>
        <v>0</v>
      </c>
      <c r="AP521" s="35"/>
      <c r="AQ521" s="30"/>
      <c r="AR521" s="36">
        <f t="shared" ref="AR521" si="258">IFERROR(AQ521*$P521/$N521,0)</f>
        <v>0</v>
      </c>
      <c r="AS521" s="27"/>
      <c r="AT521" s="37"/>
      <c r="AU521" s="30"/>
      <c r="AV521" s="36">
        <f t="shared" ref="AV521" si="259">IFERROR(AU521*$P521/$N521,0)</f>
        <v>0</v>
      </c>
      <c r="AW521" s="35"/>
      <c r="AX521" s="30"/>
      <c r="AY521" s="32">
        <f t="shared" ref="AY521" si="260">IFERROR(AX521*$P521/$N521,0)</f>
        <v>0</v>
      </c>
      <c r="AZ521" s="30" t="s">
        <v>841</v>
      </c>
      <c r="BA521" s="63"/>
      <c r="BB521" s="71" t="e">
        <f>SUMIFS([1]Form!$F$9:$F$22,[1]Form!$K$9:$K$22,K521)</f>
        <v>#VALUE!</v>
      </c>
      <c r="BC521" s="71"/>
      <c r="BD521" s="71"/>
    </row>
    <row r="522" spans="1:56" x14ac:dyDescent="0.25">
      <c r="A522" s="24">
        <f>IF(B522="","",SUBTOTAL(3,$B$4:B522))</f>
        <v>519</v>
      </c>
      <c r="B522" s="25" t="s">
        <v>840</v>
      </c>
      <c r="C522" s="25" t="str">
        <f t="shared" ref="C522" si="261">D522&amp;" "&amp;E522</f>
        <v>Shipment 1 B-10124 Fired Proces Heater</v>
      </c>
      <c r="D522" s="25" t="s">
        <v>839</v>
      </c>
      <c r="E522" s="25" t="s">
        <v>838</v>
      </c>
      <c r="F522" s="25"/>
      <c r="G522" s="65"/>
      <c r="H522" s="25" t="s">
        <v>842</v>
      </c>
      <c r="I522" s="25"/>
      <c r="J522" s="26" t="s">
        <v>845</v>
      </c>
      <c r="K522" s="27" t="s">
        <v>649</v>
      </c>
      <c r="L522" s="28" t="s">
        <v>1206</v>
      </c>
      <c r="M522" s="28" t="s">
        <v>777</v>
      </c>
      <c r="N522" s="25">
        <v>1</v>
      </c>
      <c r="O522" s="29">
        <v>2</v>
      </c>
      <c r="P522" s="29">
        <v>2</v>
      </c>
      <c r="Q522" s="25" t="s">
        <v>815</v>
      </c>
      <c r="R522" s="25"/>
      <c r="S522" s="26"/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ref="AE522" si="262">+AL522*0.5+AO522*0.4+AV522*0.1</f>
        <v>0</v>
      </c>
      <c r="AF522" s="32">
        <f t="shared" ref="AF522" si="263">+P522-AE522</f>
        <v>2</v>
      </c>
      <c r="AG522" s="30"/>
      <c r="AH522" s="33"/>
      <c r="AI522" s="34">
        <f t="shared" ref="AI522" si="264">+AH522*P522</f>
        <v>0</v>
      </c>
      <c r="AJ522" s="35"/>
      <c r="AK522" s="30"/>
      <c r="AL522" s="36">
        <f t="shared" ref="AL522" si="265">IFERROR(AK522*$P522/$N522,0)</f>
        <v>0</v>
      </c>
      <c r="AM522" s="35"/>
      <c r="AN522" s="30"/>
      <c r="AO522" s="36">
        <f t="shared" ref="AO522" si="266">IFERROR(AN522*$P522/$N522,0)</f>
        <v>0</v>
      </c>
      <c r="AP522" s="35"/>
      <c r="AQ522" s="30"/>
      <c r="AR522" s="36">
        <f t="shared" ref="AR522" si="267">IFERROR(AQ522*$P522/$N522,0)</f>
        <v>0</v>
      </c>
      <c r="AS522" s="27"/>
      <c r="AT522" s="37"/>
      <c r="AU522" s="30"/>
      <c r="AV522" s="36">
        <f t="shared" ref="AV522" si="268">IFERROR(AU522*$P522/$N522,0)</f>
        <v>0</v>
      </c>
      <c r="AW522" s="35"/>
      <c r="AX522" s="30"/>
      <c r="AY522" s="32">
        <f t="shared" ref="AY522" si="269">IFERROR(AX522*$P522/$N522,0)</f>
        <v>0</v>
      </c>
      <c r="AZ522" s="30" t="s">
        <v>841</v>
      </c>
      <c r="BA522" s="63"/>
      <c r="BB522" s="71" t="e">
        <f>SUMIFS([1]Form!$F$9:$F$22,[1]Form!$K$9:$K$22,K522)</f>
        <v>#VALUE!</v>
      </c>
      <c r="BC522" s="71"/>
      <c r="BD522" s="71"/>
    </row>
    <row r="523" spans="1:56" x14ac:dyDescent="0.25">
      <c r="A523" s="24">
        <f>IF(B523="","",SUBTOTAL(3,$B$4:B523))</f>
        <v>520</v>
      </c>
      <c r="B523" s="25" t="s">
        <v>840</v>
      </c>
      <c r="C523" s="25" t="str">
        <f t="shared" ref="C523" si="270">D523&amp;" "&amp;E523</f>
        <v>Shipment 1 B-10124 Fired Proces Heater</v>
      </c>
      <c r="D523" s="25" t="s">
        <v>839</v>
      </c>
      <c r="E523" s="25" t="s">
        <v>838</v>
      </c>
      <c r="F523" s="25"/>
      <c r="G523" s="65"/>
      <c r="H523" s="25" t="s">
        <v>842</v>
      </c>
      <c r="I523" s="25"/>
      <c r="J523" s="26" t="s">
        <v>845</v>
      </c>
      <c r="K523" s="27" t="s">
        <v>649</v>
      </c>
      <c r="L523" s="28" t="s">
        <v>1207</v>
      </c>
      <c r="M523" s="28" t="s">
        <v>777</v>
      </c>
      <c r="N523" s="25">
        <v>1</v>
      </c>
      <c r="O523" s="29">
        <v>2</v>
      </c>
      <c r="P523" s="29">
        <v>2</v>
      </c>
      <c r="Q523" s="25" t="s">
        <v>815</v>
      </c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ref="AE523" si="271">+AL523*0.5+AO523*0.4+AV523*0.1</f>
        <v>0</v>
      </c>
      <c r="AF523" s="32">
        <f t="shared" ref="AF523" si="272">+P523-AE523</f>
        <v>2</v>
      </c>
      <c r="AG523" s="30"/>
      <c r="AH523" s="33"/>
      <c r="AI523" s="34">
        <f t="shared" ref="AI523" si="273">+AH523*P523</f>
        <v>0</v>
      </c>
      <c r="AJ523" s="35"/>
      <c r="AK523" s="30"/>
      <c r="AL523" s="36">
        <f t="shared" ref="AL523" si="274">IFERROR(AK523*$P523/$N523,0)</f>
        <v>0</v>
      </c>
      <c r="AM523" s="35"/>
      <c r="AN523" s="30"/>
      <c r="AO523" s="36">
        <f t="shared" ref="AO523" si="275">IFERROR(AN523*$P523/$N523,0)</f>
        <v>0</v>
      </c>
      <c r="AP523" s="35"/>
      <c r="AQ523" s="30"/>
      <c r="AR523" s="36">
        <f t="shared" ref="AR523" si="276">IFERROR(AQ523*$P523/$N523,0)</f>
        <v>0</v>
      </c>
      <c r="AS523" s="27"/>
      <c r="AT523" s="37"/>
      <c r="AU523" s="30"/>
      <c r="AV523" s="36">
        <f t="shared" ref="AV523" si="277">IFERROR(AU523*$P523/$N523,0)</f>
        <v>0</v>
      </c>
      <c r="AW523" s="35"/>
      <c r="AX523" s="30"/>
      <c r="AY523" s="32">
        <f t="shared" ref="AY523" si="278">IFERROR(AX523*$P523/$N523,0)</f>
        <v>0</v>
      </c>
      <c r="AZ523" s="30" t="s">
        <v>841</v>
      </c>
      <c r="BA523" s="63"/>
      <c r="BB523" s="71" t="e">
        <f>SUMIFS([1]Form!$F$9:$F$22,[1]Form!$K$9:$K$22,K523)</f>
        <v>#VALUE!</v>
      </c>
      <c r="BC523" s="71"/>
      <c r="BD523" s="71"/>
    </row>
    <row r="524" spans="1:56" x14ac:dyDescent="0.25">
      <c r="A524" s="24">
        <f>IF(B524="","",SUBTOTAL(3,$B$4:B524))</f>
        <v>521</v>
      </c>
      <c r="B524" s="25" t="s">
        <v>840</v>
      </c>
      <c r="C524" s="25" t="str">
        <f t="shared" ref="C524" si="279">D524&amp;" "&amp;E524</f>
        <v>Shipment 1 B-10124 Fired Proces Heater</v>
      </c>
      <c r="D524" s="25" t="s">
        <v>839</v>
      </c>
      <c r="E524" s="25" t="s">
        <v>838</v>
      </c>
      <c r="F524" s="25"/>
      <c r="G524" s="65"/>
      <c r="H524" s="25" t="s">
        <v>842</v>
      </c>
      <c r="I524" s="25"/>
      <c r="J524" s="26" t="s">
        <v>845</v>
      </c>
      <c r="K524" s="27" t="s">
        <v>649</v>
      </c>
      <c r="L524" s="28" t="s">
        <v>1208</v>
      </c>
      <c r="M524" s="28" t="s">
        <v>777</v>
      </c>
      <c r="N524" s="25">
        <v>1</v>
      </c>
      <c r="O524" s="29">
        <v>2</v>
      </c>
      <c r="P524" s="29">
        <v>2</v>
      </c>
      <c r="Q524" s="25" t="s">
        <v>815</v>
      </c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ref="AE524" si="280">+AL524*0.5+AO524*0.4+AV524*0.1</f>
        <v>0</v>
      </c>
      <c r="AF524" s="32">
        <f t="shared" ref="AF524" si="281">+P524-AE524</f>
        <v>2</v>
      </c>
      <c r="AG524" s="30"/>
      <c r="AH524" s="33"/>
      <c r="AI524" s="34">
        <f t="shared" ref="AI524" si="282">+AH524*P524</f>
        <v>0</v>
      </c>
      <c r="AJ524" s="35"/>
      <c r="AK524" s="30"/>
      <c r="AL524" s="36">
        <f t="shared" ref="AL524" si="283">IFERROR(AK524*$P524/$N524,0)</f>
        <v>0</v>
      </c>
      <c r="AM524" s="35"/>
      <c r="AN524" s="30"/>
      <c r="AO524" s="36">
        <f t="shared" ref="AO524" si="284">IFERROR(AN524*$P524/$N524,0)</f>
        <v>0</v>
      </c>
      <c r="AP524" s="35"/>
      <c r="AQ524" s="30"/>
      <c r="AR524" s="36">
        <f t="shared" ref="AR524" si="285">IFERROR(AQ524*$P524/$N524,0)</f>
        <v>0</v>
      </c>
      <c r="AS524" s="27"/>
      <c r="AT524" s="37"/>
      <c r="AU524" s="30"/>
      <c r="AV524" s="36">
        <f t="shared" ref="AV524" si="286">IFERROR(AU524*$P524/$N524,0)</f>
        <v>0</v>
      </c>
      <c r="AW524" s="35"/>
      <c r="AX524" s="30"/>
      <c r="AY524" s="32">
        <f t="shared" ref="AY524" si="287">IFERROR(AX524*$P524/$N524,0)</f>
        <v>0</v>
      </c>
      <c r="AZ524" s="30" t="s">
        <v>841</v>
      </c>
      <c r="BA524" s="63"/>
      <c r="BB524" s="71" t="e">
        <f>SUMIFS([1]Form!$F$9:$F$22,[1]Form!$K$9:$K$22,K524)</f>
        <v>#VALUE!</v>
      </c>
      <c r="BC524" s="71"/>
      <c r="BD524" s="71"/>
    </row>
    <row r="525" spans="1:56" x14ac:dyDescent="0.25">
      <c r="A525" s="24">
        <f>IF(B525="","",SUBTOTAL(3,$B$4:B525))</f>
        <v>522</v>
      </c>
      <c r="B525" s="25" t="s">
        <v>840</v>
      </c>
      <c r="C525" s="25" t="str">
        <f t="shared" ref="C525" si="288">D525&amp;" "&amp;E525</f>
        <v>Shipment 1 B-10124 Fired Proces Heater</v>
      </c>
      <c r="D525" s="25" t="s">
        <v>839</v>
      </c>
      <c r="E525" s="25" t="s">
        <v>838</v>
      </c>
      <c r="F525" s="25"/>
      <c r="G525" s="65"/>
      <c r="H525" s="25" t="s">
        <v>842</v>
      </c>
      <c r="I525" s="25"/>
      <c r="J525" s="26" t="s">
        <v>845</v>
      </c>
      <c r="K525" s="27" t="s">
        <v>649</v>
      </c>
      <c r="L525" s="28" t="s">
        <v>1209</v>
      </c>
      <c r="M525" s="28" t="s">
        <v>777</v>
      </c>
      <c r="N525" s="25">
        <v>1</v>
      </c>
      <c r="O525" s="29">
        <v>2</v>
      </c>
      <c r="P525" s="29">
        <v>2</v>
      </c>
      <c r="Q525" s="25" t="s">
        <v>815</v>
      </c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ref="AE525" si="289">+AL525*0.5+AO525*0.4+AV525*0.1</f>
        <v>0</v>
      </c>
      <c r="AF525" s="32">
        <f t="shared" ref="AF525" si="290">+P525-AE525</f>
        <v>2</v>
      </c>
      <c r="AG525" s="30"/>
      <c r="AH525" s="33"/>
      <c r="AI525" s="34">
        <f t="shared" ref="AI525" si="291">+AH525*P525</f>
        <v>0</v>
      </c>
      <c r="AJ525" s="35"/>
      <c r="AK525" s="30"/>
      <c r="AL525" s="36">
        <f t="shared" ref="AL525" si="292">IFERROR(AK525*$P525/$N525,0)</f>
        <v>0</v>
      </c>
      <c r="AM525" s="35"/>
      <c r="AN525" s="30"/>
      <c r="AO525" s="36">
        <f t="shared" ref="AO525" si="293">IFERROR(AN525*$P525/$N525,0)</f>
        <v>0</v>
      </c>
      <c r="AP525" s="35"/>
      <c r="AQ525" s="30"/>
      <c r="AR525" s="36">
        <f t="shared" ref="AR525" si="294">IFERROR(AQ525*$P525/$N525,0)</f>
        <v>0</v>
      </c>
      <c r="AS525" s="27"/>
      <c r="AT525" s="37"/>
      <c r="AU525" s="30"/>
      <c r="AV525" s="36">
        <f t="shared" ref="AV525" si="295">IFERROR(AU525*$P525/$N525,0)</f>
        <v>0</v>
      </c>
      <c r="AW525" s="35"/>
      <c r="AX525" s="30"/>
      <c r="AY525" s="32">
        <f t="shared" ref="AY525" si="296">IFERROR(AX525*$P525/$N525,0)</f>
        <v>0</v>
      </c>
      <c r="AZ525" s="30" t="s">
        <v>841</v>
      </c>
      <c r="BA525" s="63"/>
      <c r="BB525" s="71" t="e">
        <f>SUMIFS([1]Form!$F$9:$F$22,[1]Form!$K$9:$K$22,K525)</f>
        <v>#VALUE!</v>
      </c>
      <c r="BC525" s="71"/>
      <c r="BD525" s="71"/>
    </row>
    <row r="526" spans="1:56" x14ac:dyDescent="0.25">
      <c r="A526" s="24">
        <f>IF(B526="","",SUBTOTAL(3,$B$4:B526))</f>
        <v>523</v>
      </c>
      <c r="B526" s="25" t="s">
        <v>840</v>
      </c>
      <c r="C526" s="25" t="str">
        <f t="shared" ref="C526" si="297">D526&amp;" "&amp;E526</f>
        <v>Shipment 1 B-10124 Fired Proces Heater</v>
      </c>
      <c r="D526" s="25" t="s">
        <v>839</v>
      </c>
      <c r="E526" s="25" t="s">
        <v>838</v>
      </c>
      <c r="F526" s="25"/>
      <c r="G526" s="65"/>
      <c r="H526" s="25" t="s">
        <v>842</v>
      </c>
      <c r="I526" s="25"/>
      <c r="J526" s="26" t="s">
        <v>845</v>
      </c>
      <c r="K526" s="27" t="s">
        <v>649</v>
      </c>
      <c r="L526" s="28" t="s">
        <v>1210</v>
      </c>
      <c r="M526" s="28" t="s">
        <v>777</v>
      </c>
      <c r="N526" s="25">
        <v>1</v>
      </c>
      <c r="O526" s="29">
        <v>2</v>
      </c>
      <c r="P526" s="29">
        <v>2</v>
      </c>
      <c r="Q526" s="25" t="s">
        <v>815</v>
      </c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ref="AE526" si="298">+AL526*0.5+AO526*0.4+AV526*0.1</f>
        <v>0</v>
      </c>
      <c r="AF526" s="32">
        <f t="shared" ref="AF526" si="299">+P526-AE526</f>
        <v>2</v>
      </c>
      <c r="AG526" s="30"/>
      <c r="AH526" s="33"/>
      <c r="AI526" s="34">
        <f t="shared" ref="AI526" si="300">+AH526*P526</f>
        <v>0</v>
      </c>
      <c r="AJ526" s="35"/>
      <c r="AK526" s="30"/>
      <c r="AL526" s="36">
        <f t="shared" ref="AL526" si="301">IFERROR(AK526*$P526/$N526,0)</f>
        <v>0</v>
      </c>
      <c r="AM526" s="35"/>
      <c r="AN526" s="30"/>
      <c r="AO526" s="36">
        <f t="shared" ref="AO526" si="302">IFERROR(AN526*$P526/$N526,0)</f>
        <v>0</v>
      </c>
      <c r="AP526" s="35"/>
      <c r="AQ526" s="30"/>
      <c r="AR526" s="36">
        <f t="shared" ref="AR526" si="303">IFERROR(AQ526*$P526/$N526,0)</f>
        <v>0</v>
      </c>
      <c r="AS526" s="27"/>
      <c r="AT526" s="37"/>
      <c r="AU526" s="30"/>
      <c r="AV526" s="36">
        <f t="shared" ref="AV526" si="304">IFERROR(AU526*$P526/$N526,0)</f>
        <v>0</v>
      </c>
      <c r="AW526" s="35"/>
      <c r="AX526" s="30"/>
      <c r="AY526" s="32">
        <f t="shared" ref="AY526" si="305">IFERROR(AX526*$P526/$N526,0)</f>
        <v>0</v>
      </c>
      <c r="AZ526" s="30" t="s">
        <v>841</v>
      </c>
      <c r="BA526" s="63"/>
      <c r="BB526" s="71" t="e">
        <f>SUMIFS([1]Form!$F$9:$F$22,[1]Form!$K$9:$K$22,K526)</f>
        <v>#VALUE!</v>
      </c>
      <c r="BC526" s="71"/>
      <c r="BD526" s="71"/>
    </row>
    <row r="527" spans="1:56" x14ac:dyDescent="0.25">
      <c r="A527" s="24">
        <f>IF(B527="","",SUBTOTAL(3,$B$4:B527))</f>
        <v>524</v>
      </c>
      <c r="B527" s="25" t="s">
        <v>840</v>
      </c>
      <c r="C527" s="25" t="str">
        <f t="shared" ref="C527" si="306">D527&amp;" "&amp;E527</f>
        <v>Shipment 1 B-10124 Fired Proces Heater</v>
      </c>
      <c r="D527" s="25" t="s">
        <v>839</v>
      </c>
      <c r="E527" s="25" t="s">
        <v>838</v>
      </c>
      <c r="F527" s="25"/>
      <c r="G527" s="65"/>
      <c r="H527" s="25" t="s">
        <v>842</v>
      </c>
      <c r="I527" s="25"/>
      <c r="J527" s="26" t="s">
        <v>845</v>
      </c>
      <c r="K527" s="27" t="s">
        <v>649</v>
      </c>
      <c r="L527" s="28" t="s">
        <v>1211</v>
      </c>
      <c r="M527" s="28" t="s">
        <v>777</v>
      </c>
      <c r="N527" s="25">
        <v>1</v>
      </c>
      <c r="O527" s="29">
        <v>2</v>
      </c>
      <c r="P527" s="29">
        <v>2</v>
      </c>
      <c r="Q527" s="25" t="s">
        <v>815</v>
      </c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ref="AE527" si="307">+AL527*0.5+AO527*0.4+AV527*0.1</f>
        <v>0</v>
      </c>
      <c r="AF527" s="32">
        <f t="shared" ref="AF527" si="308">+P527-AE527</f>
        <v>2</v>
      </c>
      <c r="AG527" s="30"/>
      <c r="AH527" s="33"/>
      <c r="AI527" s="34">
        <f t="shared" ref="AI527" si="309">+AH527*P527</f>
        <v>0</v>
      </c>
      <c r="AJ527" s="35"/>
      <c r="AK527" s="30"/>
      <c r="AL527" s="36">
        <f t="shared" ref="AL527" si="310">IFERROR(AK527*$P527/$N527,0)</f>
        <v>0</v>
      </c>
      <c r="AM527" s="35"/>
      <c r="AN527" s="30"/>
      <c r="AO527" s="36">
        <f t="shared" ref="AO527" si="311">IFERROR(AN527*$P527/$N527,0)</f>
        <v>0</v>
      </c>
      <c r="AP527" s="35"/>
      <c r="AQ527" s="30"/>
      <c r="AR527" s="36">
        <f t="shared" ref="AR527" si="312">IFERROR(AQ527*$P527/$N527,0)</f>
        <v>0</v>
      </c>
      <c r="AS527" s="27"/>
      <c r="AT527" s="37"/>
      <c r="AU527" s="30"/>
      <c r="AV527" s="36">
        <f t="shared" ref="AV527" si="313">IFERROR(AU527*$P527/$N527,0)</f>
        <v>0</v>
      </c>
      <c r="AW527" s="35"/>
      <c r="AX527" s="30"/>
      <c r="AY527" s="32">
        <f t="shared" ref="AY527" si="314">IFERROR(AX527*$P527/$N527,0)</f>
        <v>0</v>
      </c>
      <c r="AZ527" s="30" t="s">
        <v>841</v>
      </c>
      <c r="BA527" s="63"/>
      <c r="BB527" s="71" t="e">
        <f>SUMIFS([1]Form!$F$9:$F$22,[1]Form!$K$9:$K$22,K527)</f>
        <v>#VALUE!</v>
      </c>
      <c r="BC527" s="71"/>
      <c r="BD527" s="71"/>
    </row>
    <row r="528" spans="1:56" x14ac:dyDescent="0.25">
      <c r="A528" s="24">
        <f>IF(B528="","",SUBTOTAL(3,$B$4:B528))</f>
        <v>525</v>
      </c>
      <c r="B528" s="25" t="s">
        <v>840</v>
      </c>
      <c r="C528" s="25" t="str">
        <f t="shared" si="162"/>
        <v>Shipment 1 B-10124 Fired Proces Heater</v>
      </c>
      <c r="D528" s="25" t="s">
        <v>839</v>
      </c>
      <c r="E528" s="25" t="s">
        <v>838</v>
      </c>
      <c r="F528" s="25"/>
      <c r="G528" s="65"/>
      <c r="H528" s="25" t="s">
        <v>842</v>
      </c>
      <c r="I528" s="25"/>
      <c r="J528" s="26" t="s">
        <v>845</v>
      </c>
      <c r="K528" s="27" t="s">
        <v>650</v>
      </c>
      <c r="L528" s="28" t="s">
        <v>977</v>
      </c>
      <c r="M528" s="28" t="s">
        <v>777</v>
      </c>
      <c r="N528" s="25">
        <v>56</v>
      </c>
      <c r="O528" s="29">
        <v>11.625</v>
      </c>
      <c r="P528" s="29">
        <v>651.20000000000005</v>
      </c>
      <c r="Q528" s="25" t="s">
        <v>816</v>
      </c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63"/>
        <v>0</v>
      </c>
      <c r="AF528" s="32">
        <f t="shared" si="164"/>
        <v>651.20000000000005</v>
      </c>
      <c r="AG528" s="30"/>
      <c r="AH528" s="33"/>
      <c r="AI528" s="34">
        <f t="shared" si="165"/>
        <v>0</v>
      </c>
      <c r="AJ528" s="35"/>
      <c r="AK528" s="30"/>
      <c r="AL528" s="36">
        <f t="shared" si="166"/>
        <v>0</v>
      </c>
      <c r="AM528" s="35"/>
      <c r="AN528" s="30"/>
      <c r="AO528" s="36">
        <f t="shared" si="167"/>
        <v>0</v>
      </c>
      <c r="AP528" s="35"/>
      <c r="AQ528" s="30"/>
      <c r="AR528" s="36">
        <f t="shared" si="168"/>
        <v>0</v>
      </c>
      <c r="AS528" s="27"/>
      <c r="AT528" s="37"/>
      <c r="AU528" s="30"/>
      <c r="AV528" s="36">
        <f t="shared" si="169"/>
        <v>0</v>
      </c>
      <c r="AW528" s="35"/>
      <c r="AX528" s="30"/>
      <c r="AY528" s="32">
        <f t="shared" si="170"/>
        <v>0</v>
      </c>
      <c r="AZ528" s="30" t="s">
        <v>841</v>
      </c>
      <c r="BA528" s="63"/>
      <c r="BB528" s="71" t="e">
        <f>SUMIFS([1]Form!$F$9:$F$22,[1]Form!$K$9:$K$22,K528)</f>
        <v>#VALUE!</v>
      </c>
      <c r="BC528" s="71"/>
      <c r="BD528" s="71"/>
    </row>
    <row r="529" spans="1:56" x14ac:dyDescent="0.25">
      <c r="A529" s="24">
        <f>IF(B529="","",SUBTOTAL(3,$B$4:B529))</f>
        <v>526</v>
      </c>
      <c r="B529" s="25" t="s">
        <v>840</v>
      </c>
      <c r="C529" s="25" t="str">
        <f t="shared" si="162"/>
        <v>Shipment 1 B-10124 Fired Proces Heater</v>
      </c>
      <c r="D529" s="25" t="s">
        <v>839</v>
      </c>
      <c r="E529" s="25" t="s">
        <v>838</v>
      </c>
      <c r="F529" s="25"/>
      <c r="G529" s="65"/>
      <c r="H529" s="25" t="s">
        <v>842</v>
      </c>
      <c r="I529" s="25"/>
      <c r="J529" s="26" t="s">
        <v>844</v>
      </c>
      <c r="K529" s="27" t="s">
        <v>651</v>
      </c>
      <c r="L529" s="28" t="s">
        <v>652</v>
      </c>
      <c r="M529" s="28" t="s">
        <v>817</v>
      </c>
      <c r="N529" s="25">
        <v>1</v>
      </c>
      <c r="O529" s="29">
        <v>2.9750000000000001</v>
      </c>
      <c r="P529" s="29">
        <v>2.9750000000000001</v>
      </c>
      <c r="Q529" s="25" t="s">
        <v>818</v>
      </c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163"/>
        <v>0</v>
      </c>
      <c r="AF529" s="32">
        <f t="shared" si="164"/>
        <v>2.9750000000000001</v>
      </c>
      <c r="AG529" s="30"/>
      <c r="AH529" s="33"/>
      <c r="AI529" s="34">
        <f t="shared" si="165"/>
        <v>0</v>
      </c>
      <c r="AJ529" s="35"/>
      <c r="AK529" s="30"/>
      <c r="AL529" s="36">
        <f t="shared" si="166"/>
        <v>0</v>
      </c>
      <c r="AM529" s="35"/>
      <c r="AN529" s="30"/>
      <c r="AO529" s="36">
        <f t="shared" si="167"/>
        <v>0</v>
      </c>
      <c r="AP529" s="35"/>
      <c r="AQ529" s="30"/>
      <c r="AR529" s="36">
        <f t="shared" si="168"/>
        <v>0</v>
      </c>
      <c r="AS529" s="27"/>
      <c r="AT529" s="37"/>
      <c r="AU529" s="30"/>
      <c r="AV529" s="36">
        <f t="shared" si="169"/>
        <v>0</v>
      </c>
      <c r="AW529" s="35"/>
      <c r="AX529" s="30"/>
      <c r="AY529" s="32">
        <f t="shared" si="170"/>
        <v>0</v>
      </c>
      <c r="AZ529" s="30" t="s">
        <v>841</v>
      </c>
      <c r="BA529" s="63"/>
      <c r="BB529" s="71" t="e">
        <f>SUMIFS([1]Form!$F$9:$F$22,[1]Form!$K$9:$K$22,K529)</f>
        <v>#VALUE!</v>
      </c>
      <c r="BC529" s="71"/>
      <c r="BD529" s="71"/>
    </row>
    <row r="530" spans="1:56" x14ac:dyDescent="0.25">
      <c r="A530" s="24">
        <f>IF(B530="","",SUBTOTAL(3,$B$4:B530))</f>
        <v>527</v>
      </c>
      <c r="B530" s="25" t="s">
        <v>840</v>
      </c>
      <c r="C530" s="25" t="str">
        <f t="shared" si="162"/>
        <v>Shipment 1 B-10124 Fired Proces Heater</v>
      </c>
      <c r="D530" s="25" t="s">
        <v>839</v>
      </c>
      <c r="E530" s="25" t="s">
        <v>838</v>
      </c>
      <c r="F530" s="25"/>
      <c r="G530" s="65"/>
      <c r="H530" s="25" t="s">
        <v>842</v>
      </c>
      <c r="I530" s="25"/>
      <c r="J530" s="26" t="s">
        <v>844</v>
      </c>
      <c r="K530" s="27" t="s">
        <v>651</v>
      </c>
      <c r="L530" s="28" t="s">
        <v>653</v>
      </c>
      <c r="M530" s="28" t="s">
        <v>817</v>
      </c>
      <c r="N530" s="25">
        <v>1</v>
      </c>
      <c r="O530" s="29">
        <v>2.9750000000000001</v>
      </c>
      <c r="P530" s="29">
        <v>2.9750000000000001</v>
      </c>
      <c r="Q530" s="25" t="s">
        <v>818</v>
      </c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63"/>
        <v>0</v>
      </c>
      <c r="AF530" s="32">
        <f t="shared" si="164"/>
        <v>2.9750000000000001</v>
      </c>
      <c r="AG530" s="30"/>
      <c r="AH530" s="33"/>
      <c r="AI530" s="34">
        <f t="shared" si="165"/>
        <v>0</v>
      </c>
      <c r="AJ530" s="35"/>
      <c r="AK530" s="30"/>
      <c r="AL530" s="36">
        <f t="shared" si="166"/>
        <v>0</v>
      </c>
      <c r="AM530" s="35"/>
      <c r="AN530" s="30"/>
      <c r="AO530" s="36">
        <f t="shared" si="167"/>
        <v>0</v>
      </c>
      <c r="AP530" s="35"/>
      <c r="AQ530" s="30"/>
      <c r="AR530" s="36">
        <f t="shared" si="168"/>
        <v>0</v>
      </c>
      <c r="AS530" s="27"/>
      <c r="AT530" s="37"/>
      <c r="AU530" s="30"/>
      <c r="AV530" s="36">
        <f t="shared" si="169"/>
        <v>0</v>
      </c>
      <c r="AW530" s="35"/>
      <c r="AX530" s="30"/>
      <c r="AY530" s="32">
        <f t="shared" si="170"/>
        <v>0</v>
      </c>
      <c r="AZ530" s="30" t="s">
        <v>841</v>
      </c>
      <c r="BA530" s="63"/>
      <c r="BB530" s="71" t="e">
        <f>SUMIFS([1]Form!$F$9:$F$22,[1]Form!$K$9:$K$22,K530)</f>
        <v>#VALUE!</v>
      </c>
      <c r="BC530" s="71"/>
      <c r="BD530" s="71"/>
    </row>
    <row r="531" spans="1:56" x14ac:dyDescent="0.25">
      <c r="A531" s="24">
        <f>IF(B531="","",SUBTOTAL(3,$B$4:B531))</f>
        <v>528</v>
      </c>
      <c r="B531" s="25" t="s">
        <v>840</v>
      </c>
      <c r="C531" s="25" t="str">
        <f t="shared" si="162"/>
        <v>Shipment 1 B-10124 Fired Proces Heater</v>
      </c>
      <c r="D531" s="25" t="s">
        <v>839</v>
      </c>
      <c r="E531" s="25" t="s">
        <v>838</v>
      </c>
      <c r="F531" s="25"/>
      <c r="G531" s="65"/>
      <c r="H531" s="25" t="s">
        <v>842</v>
      </c>
      <c r="I531" s="25"/>
      <c r="J531" s="26" t="s">
        <v>844</v>
      </c>
      <c r="K531" s="27" t="s">
        <v>651</v>
      </c>
      <c r="L531" s="28" t="s">
        <v>654</v>
      </c>
      <c r="M531" s="28" t="s">
        <v>817</v>
      </c>
      <c r="N531" s="25">
        <v>1</v>
      </c>
      <c r="O531" s="29">
        <v>2.9750000000000001</v>
      </c>
      <c r="P531" s="29">
        <v>2.9750000000000001</v>
      </c>
      <c r="Q531" s="25" t="s">
        <v>818</v>
      </c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63"/>
        <v>0</v>
      </c>
      <c r="AF531" s="32">
        <f t="shared" si="164"/>
        <v>2.9750000000000001</v>
      </c>
      <c r="AG531" s="30"/>
      <c r="AH531" s="33"/>
      <c r="AI531" s="34">
        <f t="shared" si="165"/>
        <v>0</v>
      </c>
      <c r="AJ531" s="35"/>
      <c r="AK531" s="30"/>
      <c r="AL531" s="36">
        <f t="shared" si="166"/>
        <v>0</v>
      </c>
      <c r="AM531" s="35"/>
      <c r="AN531" s="30"/>
      <c r="AO531" s="36">
        <f t="shared" si="167"/>
        <v>0</v>
      </c>
      <c r="AP531" s="35"/>
      <c r="AQ531" s="30"/>
      <c r="AR531" s="36">
        <f t="shared" si="168"/>
        <v>0</v>
      </c>
      <c r="AS531" s="27"/>
      <c r="AT531" s="37"/>
      <c r="AU531" s="30"/>
      <c r="AV531" s="36">
        <f t="shared" si="169"/>
        <v>0</v>
      </c>
      <c r="AW531" s="35"/>
      <c r="AX531" s="30"/>
      <c r="AY531" s="32">
        <f t="shared" si="170"/>
        <v>0</v>
      </c>
      <c r="AZ531" s="30" t="s">
        <v>841</v>
      </c>
      <c r="BA531" s="63"/>
      <c r="BB531" s="71" t="e">
        <f>SUMIFS([1]Form!$F$9:$F$22,[1]Form!$K$9:$K$22,K531)</f>
        <v>#VALUE!</v>
      </c>
      <c r="BC531" s="71"/>
      <c r="BD531" s="71"/>
    </row>
    <row r="532" spans="1:56" x14ac:dyDescent="0.25">
      <c r="A532" s="24">
        <f>IF(B532="","",SUBTOTAL(3,$B$4:B532))</f>
        <v>529</v>
      </c>
      <c r="B532" s="25" t="s">
        <v>840</v>
      </c>
      <c r="C532" s="25" t="str">
        <f t="shared" si="162"/>
        <v>Shipment 1 B-10124 Fired Proces Heater</v>
      </c>
      <c r="D532" s="25" t="s">
        <v>839</v>
      </c>
      <c r="E532" s="25" t="s">
        <v>838</v>
      </c>
      <c r="F532" s="25"/>
      <c r="G532" s="65"/>
      <c r="H532" s="25" t="s">
        <v>842</v>
      </c>
      <c r="I532" s="25"/>
      <c r="J532" s="26" t="s">
        <v>844</v>
      </c>
      <c r="K532" s="27" t="s">
        <v>651</v>
      </c>
      <c r="L532" s="28" t="s">
        <v>655</v>
      </c>
      <c r="M532" s="28" t="s">
        <v>817</v>
      </c>
      <c r="N532" s="25">
        <v>1</v>
      </c>
      <c r="O532" s="29">
        <v>2.9750000000000001</v>
      </c>
      <c r="P532" s="29">
        <v>2.9750000000000001</v>
      </c>
      <c r="Q532" s="25" t="s">
        <v>818</v>
      </c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63"/>
        <v>0</v>
      </c>
      <c r="AF532" s="32">
        <f t="shared" si="164"/>
        <v>2.9750000000000001</v>
      </c>
      <c r="AG532" s="30"/>
      <c r="AH532" s="33"/>
      <c r="AI532" s="34">
        <f t="shared" si="165"/>
        <v>0</v>
      </c>
      <c r="AJ532" s="35"/>
      <c r="AK532" s="30"/>
      <c r="AL532" s="36">
        <f t="shared" si="166"/>
        <v>0</v>
      </c>
      <c r="AM532" s="35"/>
      <c r="AN532" s="30"/>
      <c r="AO532" s="36">
        <f t="shared" si="167"/>
        <v>0</v>
      </c>
      <c r="AP532" s="35"/>
      <c r="AQ532" s="30"/>
      <c r="AR532" s="36">
        <f t="shared" si="168"/>
        <v>0</v>
      </c>
      <c r="AS532" s="27"/>
      <c r="AT532" s="37"/>
      <c r="AU532" s="30"/>
      <c r="AV532" s="36">
        <f t="shared" si="169"/>
        <v>0</v>
      </c>
      <c r="AW532" s="35"/>
      <c r="AX532" s="30"/>
      <c r="AY532" s="32">
        <f t="shared" si="170"/>
        <v>0</v>
      </c>
      <c r="AZ532" s="30" t="s">
        <v>841</v>
      </c>
      <c r="BA532" s="63"/>
      <c r="BB532" s="71" t="e">
        <f>SUMIFS([1]Form!$F$9:$F$22,[1]Form!$K$9:$K$22,K532)</f>
        <v>#VALUE!</v>
      </c>
      <c r="BC532" s="71"/>
      <c r="BD532" s="71"/>
    </row>
    <row r="533" spans="1:56" x14ac:dyDescent="0.25">
      <c r="A533" s="24">
        <f>IF(B533="","",SUBTOTAL(3,$B$4:B533))</f>
        <v>530</v>
      </c>
      <c r="B533" s="25" t="s">
        <v>840</v>
      </c>
      <c r="C533" s="25" t="str">
        <f t="shared" si="162"/>
        <v>Shipment 1 B-10124 Fired Proces Heater</v>
      </c>
      <c r="D533" s="25" t="s">
        <v>839</v>
      </c>
      <c r="E533" s="25" t="s">
        <v>838</v>
      </c>
      <c r="F533" s="25"/>
      <c r="G533" s="65"/>
      <c r="H533" s="25" t="s">
        <v>842</v>
      </c>
      <c r="I533" s="25"/>
      <c r="J533" s="26" t="s">
        <v>844</v>
      </c>
      <c r="K533" s="27" t="s">
        <v>656</v>
      </c>
      <c r="L533" s="28" t="s">
        <v>657</v>
      </c>
      <c r="M533" s="28" t="s">
        <v>817</v>
      </c>
      <c r="N533" s="25">
        <v>1</v>
      </c>
      <c r="O533" s="29">
        <v>51.1</v>
      </c>
      <c r="P533" s="29">
        <v>51.1</v>
      </c>
      <c r="Q533" s="25" t="s">
        <v>819</v>
      </c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63"/>
        <v>0</v>
      </c>
      <c r="AF533" s="32">
        <f t="shared" si="164"/>
        <v>51.1</v>
      </c>
      <c r="AG533" s="30"/>
      <c r="AH533" s="33"/>
      <c r="AI533" s="34">
        <f t="shared" si="165"/>
        <v>0</v>
      </c>
      <c r="AJ533" s="35"/>
      <c r="AK533" s="30"/>
      <c r="AL533" s="36">
        <f t="shared" si="166"/>
        <v>0</v>
      </c>
      <c r="AM533" s="35"/>
      <c r="AN533" s="30"/>
      <c r="AO533" s="36">
        <f t="shared" si="167"/>
        <v>0</v>
      </c>
      <c r="AP533" s="35"/>
      <c r="AQ533" s="30"/>
      <c r="AR533" s="36">
        <f t="shared" si="168"/>
        <v>0</v>
      </c>
      <c r="AS533" s="27"/>
      <c r="AT533" s="37"/>
      <c r="AU533" s="30"/>
      <c r="AV533" s="36">
        <f t="shared" si="169"/>
        <v>0</v>
      </c>
      <c r="AW533" s="35"/>
      <c r="AX533" s="30"/>
      <c r="AY533" s="32">
        <f t="shared" si="170"/>
        <v>0</v>
      </c>
      <c r="AZ533" s="30" t="s">
        <v>841</v>
      </c>
      <c r="BA533" s="63"/>
      <c r="BB533" s="71" t="e">
        <f>SUMIFS([1]Form!$F$9:$F$22,[1]Form!$K$9:$K$22,K533)</f>
        <v>#VALUE!</v>
      </c>
      <c r="BC533" s="71"/>
      <c r="BD533" s="71"/>
    </row>
    <row r="534" spans="1:56" x14ac:dyDescent="0.25">
      <c r="A534" s="24">
        <f>IF(B534="","",SUBTOTAL(3,$B$4:B534))</f>
        <v>531</v>
      </c>
      <c r="B534" s="25" t="s">
        <v>840</v>
      </c>
      <c r="C534" s="25" t="str">
        <f t="shared" si="162"/>
        <v>Shipment 1 B-10124 Fired Proces Heater</v>
      </c>
      <c r="D534" s="25" t="s">
        <v>839</v>
      </c>
      <c r="E534" s="25" t="s">
        <v>838</v>
      </c>
      <c r="F534" s="25"/>
      <c r="G534" s="65"/>
      <c r="H534" s="25" t="s">
        <v>842</v>
      </c>
      <c r="I534" s="25"/>
      <c r="J534" s="26" t="s">
        <v>844</v>
      </c>
      <c r="K534" s="27" t="s">
        <v>658</v>
      </c>
      <c r="L534" s="28" t="s">
        <v>659</v>
      </c>
      <c r="M534" s="28" t="s">
        <v>817</v>
      </c>
      <c r="N534" s="25">
        <v>1</v>
      </c>
      <c r="O534" s="29">
        <v>51.1</v>
      </c>
      <c r="P534" s="29">
        <v>51.1</v>
      </c>
      <c r="Q534" s="25" t="s">
        <v>819</v>
      </c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63"/>
        <v>0</v>
      </c>
      <c r="AF534" s="32">
        <f t="shared" si="164"/>
        <v>51.1</v>
      </c>
      <c r="AG534" s="30"/>
      <c r="AH534" s="33"/>
      <c r="AI534" s="34">
        <f t="shared" si="165"/>
        <v>0</v>
      </c>
      <c r="AJ534" s="35"/>
      <c r="AK534" s="30"/>
      <c r="AL534" s="36">
        <f t="shared" si="166"/>
        <v>0</v>
      </c>
      <c r="AM534" s="35"/>
      <c r="AN534" s="30"/>
      <c r="AO534" s="36">
        <f t="shared" si="167"/>
        <v>0</v>
      </c>
      <c r="AP534" s="35"/>
      <c r="AQ534" s="30"/>
      <c r="AR534" s="36">
        <f t="shared" si="168"/>
        <v>0</v>
      </c>
      <c r="AS534" s="27"/>
      <c r="AT534" s="37"/>
      <c r="AU534" s="30"/>
      <c r="AV534" s="36">
        <f t="shared" si="169"/>
        <v>0</v>
      </c>
      <c r="AW534" s="35"/>
      <c r="AX534" s="30"/>
      <c r="AY534" s="32">
        <f t="shared" si="170"/>
        <v>0</v>
      </c>
      <c r="AZ534" s="30" t="s">
        <v>841</v>
      </c>
      <c r="BA534" s="63"/>
      <c r="BB534" s="71" t="e">
        <f>SUMIFS([1]Form!$F$9:$F$22,[1]Form!$K$9:$K$22,K534)</f>
        <v>#VALUE!</v>
      </c>
      <c r="BC534" s="71"/>
      <c r="BD534" s="71"/>
    </row>
    <row r="535" spans="1:56" x14ac:dyDescent="0.25">
      <c r="A535" s="24">
        <f>IF(B535="","",SUBTOTAL(3,$B$4:B535))</f>
        <v>532</v>
      </c>
      <c r="B535" s="25" t="s">
        <v>840</v>
      </c>
      <c r="C535" s="25" t="str">
        <f t="shared" ref="C535" si="315">D535&amp;" "&amp;E535</f>
        <v>Shipment 1 B-10124 Fired Proces Heater</v>
      </c>
      <c r="D535" s="25" t="s">
        <v>839</v>
      </c>
      <c r="E535" s="25" t="s">
        <v>838</v>
      </c>
      <c r="F535" s="25"/>
      <c r="G535" s="65"/>
      <c r="H535" s="25" t="s">
        <v>842</v>
      </c>
      <c r="I535" s="25"/>
      <c r="J535" s="26" t="s">
        <v>845</v>
      </c>
      <c r="K535" s="27" t="s">
        <v>1213</v>
      </c>
      <c r="L535" s="28" t="s">
        <v>1212</v>
      </c>
      <c r="M535" s="28" t="s">
        <v>777</v>
      </c>
      <c r="N535" s="25">
        <v>1</v>
      </c>
      <c r="O535" s="29">
        <v>222.7</v>
      </c>
      <c r="P535" s="29">
        <v>222.7</v>
      </c>
      <c r="Q535" s="25" t="s">
        <v>1214</v>
      </c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ref="AE535" si="316">+AL535*0.5+AO535*0.4+AV535*0.1</f>
        <v>0</v>
      </c>
      <c r="AF535" s="32">
        <f t="shared" ref="AF535" si="317">+P535-AE535</f>
        <v>222.7</v>
      </c>
      <c r="AG535" s="30"/>
      <c r="AH535" s="33"/>
      <c r="AI535" s="34">
        <f t="shared" ref="AI535" si="318">+AH535*P535</f>
        <v>0</v>
      </c>
      <c r="AJ535" s="35"/>
      <c r="AK535" s="30"/>
      <c r="AL535" s="36">
        <f t="shared" ref="AL535" si="319">IFERROR(AK535*$P535/$N535,0)</f>
        <v>0</v>
      </c>
      <c r="AM535" s="35"/>
      <c r="AN535" s="30"/>
      <c r="AO535" s="36">
        <f t="shared" ref="AO535" si="320">IFERROR(AN535*$P535/$N535,0)</f>
        <v>0</v>
      </c>
      <c r="AP535" s="35"/>
      <c r="AQ535" s="30"/>
      <c r="AR535" s="36">
        <f t="shared" ref="AR535" si="321">IFERROR(AQ535*$P535/$N535,0)</f>
        <v>0</v>
      </c>
      <c r="AS535" s="27"/>
      <c r="AT535" s="37"/>
      <c r="AU535" s="30"/>
      <c r="AV535" s="36">
        <f t="shared" ref="AV535" si="322">IFERROR(AU535*$P535/$N535,0)</f>
        <v>0</v>
      </c>
      <c r="AW535" s="35"/>
      <c r="AX535" s="30"/>
      <c r="AY535" s="32">
        <f t="shared" ref="AY535" si="323">IFERROR(AX535*$P535/$N535,0)</f>
        <v>0</v>
      </c>
      <c r="AZ535" s="30" t="s">
        <v>841</v>
      </c>
      <c r="BA535" s="63"/>
      <c r="BB535" s="71" t="e">
        <f>SUMIFS([1]Form!$F$9:$F$22,[1]Form!$K$9:$K$22,K535)</f>
        <v>#VALUE!</v>
      </c>
      <c r="BC535" s="71"/>
      <c r="BD535" s="71"/>
    </row>
    <row r="536" spans="1:56" x14ac:dyDescent="0.25">
      <c r="A536" s="24">
        <f>IF(B536="","",SUBTOTAL(3,$B$4:B536))</f>
        <v>533</v>
      </c>
      <c r="B536" s="25" t="s">
        <v>840</v>
      </c>
      <c r="C536" s="25" t="str">
        <f t="shared" ref="C536" si="324">D536&amp;" "&amp;E536</f>
        <v>Shipment 1 B-10124 Fired Proces Heater</v>
      </c>
      <c r="D536" s="25" t="s">
        <v>839</v>
      </c>
      <c r="E536" s="25" t="s">
        <v>838</v>
      </c>
      <c r="F536" s="25"/>
      <c r="G536" s="65"/>
      <c r="H536" s="25" t="s">
        <v>842</v>
      </c>
      <c r="I536" s="25"/>
      <c r="J536" s="26" t="s">
        <v>845</v>
      </c>
      <c r="K536" s="27" t="s">
        <v>1213</v>
      </c>
      <c r="L536" s="28" t="s">
        <v>1215</v>
      </c>
      <c r="M536" s="28" t="s">
        <v>777</v>
      </c>
      <c r="N536" s="25">
        <v>1</v>
      </c>
      <c r="O536" s="29">
        <v>222.7</v>
      </c>
      <c r="P536" s="29">
        <v>222.7</v>
      </c>
      <c r="Q536" s="25" t="s">
        <v>1214</v>
      </c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ref="AE536" si="325">+AL536*0.5+AO536*0.4+AV536*0.1</f>
        <v>0</v>
      </c>
      <c r="AF536" s="32">
        <f t="shared" ref="AF536" si="326">+P536-AE536</f>
        <v>222.7</v>
      </c>
      <c r="AG536" s="30"/>
      <c r="AH536" s="33"/>
      <c r="AI536" s="34">
        <f t="shared" ref="AI536" si="327">+AH536*P536</f>
        <v>0</v>
      </c>
      <c r="AJ536" s="35"/>
      <c r="AK536" s="30"/>
      <c r="AL536" s="36">
        <f t="shared" ref="AL536" si="328">IFERROR(AK536*$P536/$N536,0)</f>
        <v>0</v>
      </c>
      <c r="AM536" s="35"/>
      <c r="AN536" s="30"/>
      <c r="AO536" s="36">
        <f t="shared" ref="AO536" si="329">IFERROR(AN536*$P536/$N536,0)</f>
        <v>0</v>
      </c>
      <c r="AP536" s="35"/>
      <c r="AQ536" s="30"/>
      <c r="AR536" s="36">
        <f t="shared" ref="AR536" si="330">IFERROR(AQ536*$P536/$N536,0)</f>
        <v>0</v>
      </c>
      <c r="AS536" s="27"/>
      <c r="AT536" s="37"/>
      <c r="AU536" s="30"/>
      <c r="AV536" s="36">
        <f t="shared" ref="AV536" si="331">IFERROR(AU536*$P536/$N536,0)</f>
        <v>0</v>
      </c>
      <c r="AW536" s="35"/>
      <c r="AX536" s="30"/>
      <c r="AY536" s="32">
        <f t="shared" ref="AY536" si="332">IFERROR(AX536*$P536/$N536,0)</f>
        <v>0</v>
      </c>
      <c r="AZ536" s="30" t="s">
        <v>841</v>
      </c>
      <c r="BA536" s="63"/>
      <c r="BB536" s="71" t="e">
        <f>SUMIFS([1]Form!$F$9:$F$22,[1]Form!$K$9:$K$22,K536)</f>
        <v>#VALUE!</v>
      </c>
      <c r="BC536" s="71"/>
      <c r="BD536" s="71"/>
    </row>
    <row r="537" spans="1:56" x14ac:dyDescent="0.25">
      <c r="A537" s="24">
        <f>IF(B537="","",SUBTOTAL(3,$B$4:B537))</f>
        <v>534</v>
      </c>
      <c r="B537" s="25" t="s">
        <v>840</v>
      </c>
      <c r="C537" s="25" t="str">
        <f t="shared" ref="C537" si="333">D537&amp;" "&amp;E537</f>
        <v>Shipment 1 B-10124 Fired Proces Heater</v>
      </c>
      <c r="D537" s="25" t="s">
        <v>839</v>
      </c>
      <c r="E537" s="25" t="s">
        <v>838</v>
      </c>
      <c r="F537" s="25"/>
      <c r="G537" s="65"/>
      <c r="H537" s="25" t="s">
        <v>842</v>
      </c>
      <c r="I537" s="25"/>
      <c r="J537" s="26" t="s">
        <v>845</v>
      </c>
      <c r="K537" s="27" t="s">
        <v>1213</v>
      </c>
      <c r="L537" s="28" t="s">
        <v>1216</v>
      </c>
      <c r="M537" s="28" t="s">
        <v>777</v>
      </c>
      <c r="N537" s="25">
        <v>1</v>
      </c>
      <c r="O537" s="29">
        <v>222.7</v>
      </c>
      <c r="P537" s="29">
        <v>222.7</v>
      </c>
      <c r="Q537" s="25" t="s">
        <v>1214</v>
      </c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ref="AE537" si="334">+AL537*0.5+AO537*0.4+AV537*0.1</f>
        <v>0</v>
      </c>
      <c r="AF537" s="32">
        <f t="shared" ref="AF537" si="335">+P537-AE537</f>
        <v>222.7</v>
      </c>
      <c r="AG537" s="30"/>
      <c r="AH537" s="33"/>
      <c r="AI537" s="34">
        <f t="shared" ref="AI537" si="336">+AH537*P537</f>
        <v>0</v>
      </c>
      <c r="AJ537" s="35"/>
      <c r="AK537" s="30"/>
      <c r="AL537" s="36">
        <f t="shared" ref="AL537" si="337">IFERROR(AK537*$P537/$N537,0)</f>
        <v>0</v>
      </c>
      <c r="AM537" s="35"/>
      <c r="AN537" s="30"/>
      <c r="AO537" s="36">
        <f t="shared" ref="AO537" si="338">IFERROR(AN537*$P537/$N537,0)</f>
        <v>0</v>
      </c>
      <c r="AP537" s="35"/>
      <c r="AQ537" s="30"/>
      <c r="AR537" s="36">
        <f t="shared" ref="AR537" si="339">IFERROR(AQ537*$P537/$N537,0)</f>
        <v>0</v>
      </c>
      <c r="AS537" s="27"/>
      <c r="AT537" s="37"/>
      <c r="AU537" s="30"/>
      <c r="AV537" s="36">
        <f t="shared" ref="AV537" si="340">IFERROR(AU537*$P537/$N537,0)</f>
        <v>0</v>
      </c>
      <c r="AW537" s="35"/>
      <c r="AX537" s="30"/>
      <c r="AY537" s="32">
        <f t="shared" ref="AY537" si="341">IFERROR(AX537*$P537/$N537,0)</f>
        <v>0</v>
      </c>
      <c r="AZ537" s="30" t="s">
        <v>841</v>
      </c>
      <c r="BA537" s="63"/>
      <c r="BB537" s="71" t="e">
        <f>SUMIFS([1]Form!$F$9:$F$22,[1]Form!$K$9:$K$22,K537)</f>
        <v>#VALUE!</v>
      </c>
      <c r="BC537" s="71"/>
      <c r="BD537" s="71"/>
    </row>
    <row r="538" spans="1:56" x14ac:dyDescent="0.25">
      <c r="A538" s="24">
        <f>IF(B538="","",SUBTOTAL(3,$B$4:B538))</f>
        <v>535</v>
      </c>
      <c r="B538" s="25" t="s">
        <v>840</v>
      </c>
      <c r="C538" s="25" t="str">
        <f t="shared" ref="C538" si="342">D538&amp;" "&amp;E538</f>
        <v>Shipment 1 B-10124 Fired Proces Heater</v>
      </c>
      <c r="D538" s="25" t="s">
        <v>839</v>
      </c>
      <c r="E538" s="25" t="s">
        <v>838</v>
      </c>
      <c r="F538" s="25"/>
      <c r="G538" s="65"/>
      <c r="H538" s="25" t="s">
        <v>842</v>
      </c>
      <c r="I538" s="25"/>
      <c r="J538" s="26" t="s">
        <v>845</v>
      </c>
      <c r="K538" s="27" t="s">
        <v>1213</v>
      </c>
      <c r="L538" s="28" t="s">
        <v>1217</v>
      </c>
      <c r="M538" s="28" t="s">
        <v>777</v>
      </c>
      <c r="N538" s="25">
        <v>1</v>
      </c>
      <c r="O538" s="29">
        <v>222.7</v>
      </c>
      <c r="P538" s="29">
        <v>222.7</v>
      </c>
      <c r="Q538" s="25" t="s">
        <v>1214</v>
      </c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ref="AE538" si="343">+AL538*0.5+AO538*0.4+AV538*0.1</f>
        <v>0</v>
      </c>
      <c r="AF538" s="32">
        <f t="shared" ref="AF538" si="344">+P538-AE538</f>
        <v>222.7</v>
      </c>
      <c r="AG538" s="30"/>
      <c r="AH538" s="33"/>
      <c r="AI538" s="34">
        <f t="shared" ref="AI538" si="345">+AH538*P538</f>
        <v>0</v>
      </c>
      <c r="AJ538" s="35"/>
      <c r="AK538" s="30"/>
      <c r="AL538" s="36">
        <f t="shared" ref="AL538" si="346">IFERROR(AK538*$P538/$N538,0)</f>
        <v>0</v>
      </c>
      <c r="AM538" s="35"/>
      <c r="AN538" s="30"/>
      <c r="AO538" s="36">
        <f t="shared" ref="AO538" si="347">IFERROR(AN538*$P538/$N538,0)</f>
        <v>0</v>
      </c>
      <c r="AP538" s="35"/>
      <c r="AQ538" s="30"/>
      <c r="AR538" s="36">
        <f t="shared" ref="AR538" si="348">IFERROR(AQ538*$P538/$N538,0)</f>
        <v>0</v>
      </c>
      <c r="AS538" s="27"/>
      <c r="AT538" s="37"/>
      <c r="AU538" s="30"/>
      <c r="AV538" s="36">
        <f t="shared" ref="AV538" si="349">IFERROR(AU538*$P538/$N538,0)</f>
        <v>0</v>
      </c>
      <c r="AW538" s="35"/>
      <c r="AX538" s="30"/>
      <c r="AY538" s="32">
        <f t="shared" ref="AY538" si="350">IFERROR(AX538*$P538/$N538,0)</f>
        <v>0</v>
      </c>
      <c r="AZ538" s="30" t="s">
        <v>841</v>
      </c>
      <c r="BA538" s="63"/>
      <c r="BB538" s="71" t="e">
        <f>SUMIFS([1]Form!$F$9:$F$22,[1]Form!$K$9:$K$22,K538)</f>
        <v>#VALUE!</v>
      </c>
      <c r="BC538" s="71"/>
      <c r="BD538" s="71"/>
    </row>
    <row r="539" spans="1:56" x14ac:dyDescent="0.25">
      <c r="A539" s="24">
        <f>IF(B539="","",SUBTOTAL(3,$B$4:B539))</f>
        <v>536</v>
      </c>
      <c r="B539" s="25" t="s">
        <v>840</v>
      </c>
      <c r="C539" s="25" t="str">
        <f t="shared" ref="C539" si="351">D539&amp;" "&amp;E539</f>
        <v>Shipment 1 B-10124 Fired Proces Heater</v>
      </c>
      <c r="D539" s="25" t="s">
        <v>839</v>
      </c>
      <c r="E539" s="25" t="s">
        <v>838</v>
      </c>
      <c r="F539" s="25"/>
      <c r="G539" s="65"/>
      <c r="H539" s="25" t="s">
        <v>842</v>
      </c>
      <c r="I539" s="25"/>
      <c r="J539" s="26" t="s">
        <v>845</v>
      </c>
      <c r="K539" s="27" t="s">
        <v>1219</v>
      </c>
      <c r="L539" s="28" t="s">
        <v>1218</v>
      </c>
      <c r="M539" s="28" t="s">
        <v>777</v>
      </c>
      <c r="N539" s="25">
        <v>1</v>
      </c>
      <c r="O539" s="29">
        <v>225.6</v>
      </c>
      <c r="P539" s="29">
        <v>225.6</v>
      </c>
      <c r="Q539" s="25" t="s">
        <v>1220</v>
      </c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ref="AE539" si="352">+AL539*0.5+AO539*0.4+AV539*0.1</f>
        <v>0</v>
      </c>
      <c r="AF539" s="32">
        <f t="shared" ref="AF539" si="353">+P539-AE539</f>
        <v>225.6</v>
      </c>
      <c r="AG539" s="30"/>
      <c r="AH539" s="33"/>
      <c r="AI539" s="34">
        <f t="shared" ref="AI539" si="354">+AH539*P539</f>
        <v>0</v>
      </c>
      <c r="AJ539" s="35"/>
      <c r="AK539" s="30"/>
      <c r="AL539" s="36">
        <f t="shared" ref="AL539" si="355">IFERROR(AK539*$P539/$N539,0)</f>
        <v>0</v>
      </c>
      <c r="AM539" s="35"/>
      <c r="AN539" s="30"/>
      <c r="AO539" s="36">
        <f t="shared" ref="AO539" si="356">IFERROR(AN539*$P539/$N539,0)</f>
        <v>0</v>
      </c>
      <c r="AP539" s="35"/>
      <c r="AQ539" s="30"/>
      <c r="AR539" s="36">
        <f t="shared" ref="AR539" si="357">IFERROR(AQ539*$P539/$N539,0)</f>
        <v>0</v>
      </c>
      <c r="AS539" s="27"/>
      <c r="AT539" s="37"/>
      <c r="AU539" s="30"/>
      <c r="AV539" s="36">
        <f t="shared" ref="AV539" si="358">IFERROR(AU539*$P539/$N539,0)</f>
        <v>0</v>
      </c>
      <c r="AW539" s="35"/>
      <c r="AX539" s="30"/>
      <c r="AY539" s="32">
        <f t="shared" ref="AY539" si="359">IFERROR(AX539*$P539/$N539,0)</f>
        <v>0</v>
      </c>
      <c r="AZ539" s="30" t="s">
        <v>841</v>
      </c>
      <c r="BA539" s="63"/>
      <c r="BB539" s="71" t="e">
        <f>SUMIFS([1]Form!$F$9:$F$22,[1]Form!$K$9:$K$22,K539)</f>
        <v>#VALUE!</v>
      </c>
      <c r="BC539" s="71"/>
      <c r="BD539" s="71"/>
    </row>
    <row r="540" spans="1:56" x14ac:dyDescent="0.25">
      <c r="A540" s="24">
        <f>IF(B540="","",SUBTOTAL(3,$B$4:B540))</f>
        <v>537</v>
      </c>
      <c r="B540" s="25" t="s">
        <v>840</v>
      </c>
      <c r="C540" s="25" t="str">
        <f t="shared" ref="C540" si="360">D540&amp;" "&amp;E540</f>
        <v>Shipment 1 B-10124 Fired Proces Heater</v>
      </c>
      <c r="D540" s="25" t="s">
        <v>839</v>
      </c>
      <c r="E540" s="25" t="s">
        <v>838</v>
      </c>
      <c r="F540" s="25"/>
      <c r="G540" s="65"/>
      <c r="H540" s="25" t="s">
        <v>842</v>
      </c>
      <c r="I540" s="25"/>
      <c r="J540" s="26" t="s">
        <v>845</v>
      </c>
      <c r="K540" s="27" t="s">
        <v>1219</v>
      </c>
      <c r="L540" s="28" t="s">
        <v>1221</v>
      </c>
      <c r="M540" s="28" t="s">
        <v>777</v>
      </c>
      <c r="N540" s="25">
        <v>1</v>
      </c>
      <c r="O540" s="29">
        <v>225.6</v>
      </c>
      <c r="P540" s="29">
        <v>225.6</v>
      </c>
      <c r="Q540" s="25" t="s">
        <v>1220</v>
      </c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ref="AE540" si="361">+AL540*0.5+AO540*0.4+AV540*0.1</f>
        <v>0</v>
      </c>
      <c r="AF540" s="32">
        <f t="shared" ref="AF540" si="362">+P540-AE540</f>
        <v>225.6</v>
      </c>
      <c r="AG540" s="30"/>
      <c r="AH540" s="33"/>
      <c r="AI540" s="34">
        <f t="shared" ref="AI540" si="363">+AH540*P540</f>
        <v>0</v>
      </c>
      <c r="AJ540" s="35"/>
      <c r="AK540" s="30"/>
      <c r="AL540" s="36">
        <f t="shared" ref="AL540" si="364">IFERROR(AK540*$P540/$N540,0)</f>
        <v>0</v>
      </c>
      <c r="AM540" s="35"/>
      <c r="AN540" s="30"/>
      <c r="AO540" s="36">
        <f t="shared" ref="AO540" si="365">IFERROR(AN540*$P540/$N540,0)</f>
        <v>0</v>
      </c>
      <c r="AP540" s="35"/>
      <c r="AQ540" s="30"/>
      <c r="AR540" s="36">
        <f t="shared" ref="AR540" si="366">IFERROR(AQ540*$P540/$N540,0)</f>
        <v>0</v>
      </c>
      <c r="AS540" s="27"/>
      <c r="AT540" s="37"/>
      <c r="AU540" s="30"/>
      <c r="AV540" s="36">
        <f t="shared" ref="AV540" si="367">IFERROR(AU540*$P540/$N540,0)</f>
        <v>0</v>
      </c>
      <c r="AW540" s="35"/>
      <c r="AX540" s="30"/>
      <c r="AY540" s="32">
        <f t="shared" ref="AY540" si="368">IFERROR(AX540*$P540/$N540,0)</f>
        <v>0</v>
      </c>
      <c r="AZ540" s="30" t="s">
        <v>841</v>
      </c>
      <c r="BA540" s="63"/>
      <c r="BB540" s="71" t="e">
        <f>SUMIFS([1]Form!$F$9:$F$22,[1]Form!$K$9:$K$22,K540)</f>
        <v>#VALUE!</v>
      </c>
      <c r="BC540" s="71"/>
      <c r="BD540" s="71"/>
    </row>
    <row r="541" spans="1:56" x14ac:dyDescent="0.25">
      <c r="A541" s="24">
        <f>IF(B541="","",SUBTOTAL(3,$B$4:B541))</f>
        <v>538</v>
      </c>
      <c r="B541" s="25" t="s">
        <v>840</v>
      </c>
      <c r="C541" s="25" t="str">
        <f t="shared" ref="C541" si="369">D541&amp;" "&amp;E541</f>
        <v>Shipment 1 B-10124 Fired Proces Heater</v>
      </c>
      <c r="D541" s="25" t="s">
        <v>839</v>
      </c>
      <c r="E541" s="25" t="s">
        <v>838</v>
      </c>
      <c r="F541" s="25"/>
      <c r="G541" s="65"/>
      <c r="H541" s="25" t="s">
        <v>842</v>
      </c>
      <c r="I541" s="25"/>
      <c r="J541" s="26" t="s">
        <v>845</v>
      </c>
      <c r="K541" s="27" t="s">
        <v>1223</v>
      </c>
      <c r="L541" s="28" t="s">
        <v>1222</v>
      </c>
      <c r="M541" s="28" t="s">
        <v>777</v>
      </c>
      <c r="N541" s="25">
        <v>1</v>
      </c>
      <c r="O541" s="29">
        <v>63.6</v>
      </c>
      <c r="P541" s="29">
        <v>63.6</v>
      </c>
      <c r="Q541" s="25" t="s">
        <v>1224</v>
      </c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ref="AE541" si="370">+AL541*0.5+AO541*0.4+AV541*0.1</f>
        <v>0</v>
      </c>
      <c r="AF541" s="32">
        <f t="shared" ref="AF541" si="371">+P541-AE541</f>
        <v>63.6</v>
      </c>
      <c r="AG541" s="30"/>
      <c r="AH541" s="33"/>
      <c r="AI541" s="34">
        <f t="shared" ref="AI541" si="372">+AH541*P541</f>
        <v>0</v>
      </c>
      <c r="AJ541" s="35"/>
      <c r="AK541" s="30"/>
      <c r="AL541" s="36">
        <f t="shared" ref="AL541" si="373">IFERROR(AK541*$P541/$N541,0)</f>
        <v>0</v>
      </c>
      <c r="AM541" s="35"/>
      <c r="AN541" s="30"/>
      <c r="AO541" s="36">
        <f t="shared" ref="AO541" si="374">IFERROR(AN541*$P541/$N541,0)</f>
        <v>0</v>
      </c>
      <c r="AP541" s="35"/>
      <c r="AQ541" s="30"/>
      <c r="AR541" s="36">
        <f t="shared" ref="AR541" si="375">IFERROR(AQ541*$P541/$N541,0)</f>
        <v>0</v>
      </c>
      <c r="AS541" s="27"/>
      <c r="AT541" s="37"/>
      <c r="AU541" s="30"/>
      <c r="AV541" s="36">
        <f t="shared" ref="AV541" si="376">IFERROR(AU541*$P541/$N541,0)</f>
        <v>0</v>
      </c>
      <c r="AW541" s="35"/>
      <c r="AX541" s="30"/>
      <c r="AY541" s="32">
        <f t="shared" ref="AY541" si="377">IFERROR(AX541*$P541/$N541,0)</f>
        <v>0</v>
      </c>
      <c r="AZ541" s="30" t="s">
        <v>841</v>
      </c>
      <c r="BA541" s="63"/>
      <c r="BB541" s="71" t="e">
        <f>SUMIFS([1]Form!$F$9:$F$22,[1]Form!$K$9:$K$22,K541)</f>
        <v>#VALUE!</v>
      </c>
      <c r="BC541" s="71"/>
      <c r="BD541" s="71"/>
    </row>
    <row r="542" spans="1:56" x14ac:dyDescent="0.25">
      <c r="A542" s="24">
        <f>IF(B542="","",SUBTOTAL(3,$B$4:B542))</f>
        <v>539</v>
      </c>
      <c r="B542" s="25" t="s">
        <v>840</v>
      </c>
      <c r="C542" s="25" t="str">
        <f t="shared" ref="C542" si="378">D542&amp;" "&amp;E542</f>
        <v>Shipment 1 B-10124 Fired Proces Heater</v>
      </c>
      <c r="D542" s="25" t="s">
        <v>839</v>
      </c>
      <c r="E542" s="25" t="s">
        <v>838</v>
      </c>
      <c r="F542" s="25"/>
      <c r="G542" s="65"/>
      <c r="H542" s="25" t="s">
        <v>842</v>
      </c>
      <c r="I542" s="25"/>
      <c r="J542" s="26" t="s">
        <v>845</v>
      </c>
      <c r="K542" s="27" t="s">
        <v>1223</v>
      </c>
      <c r="L542" s="28" t="s">
        <v>1225</v>
      </c>
      <c r="M542" s="28" t="s">
        <v>777</v>
      </c>
      <c r="N542" s="25">
        <v>1</v>
      </c>
      <c r="O542" s="29">
        <v>63.6</v>
      </c>
      <c r="P542" s="29">
        <v>63.6</v>
      </c>
      <c r="Q542" s="25" t="s">
        <v>1224</v>
      </c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ref="AE542" si="379">+AL542*0.5+AO542*0.4+AV542*0.1</f>
        <v>0</v>
      </c>
      <c r="AF542" s="32">
        <f t="shared" ref="AF542" si="380">+P542-AE542</f>
        <v>63.6</v>
      </c>
      <c r="AG542" s="30"/>
      <c r="AH542" s="33"/>
      <c r="AI542" s="34">
        <f t="shared" ref="AI542" si="381">+AH542*P542</f>
        <v>0</v>
      </c>
      <c r="AJ542" s="35"/>
      <c r="AK542" s="30"/>
      <c r="AL542" s="36">
        <f t="shared" ref="AL542" si="382">IFERROR(AK542*$P542/$N542,0)</f>
        <v>0</v>
      </c>
      <c r="AM542" s="35"/>
      <c r="AN542" s="30"/>
      <c r="AO542" s="36">
        <f t="shared" ref="AO542" si="383">IFERROR(AN542*$P542/$N542,0)</f>
        <v>0</v>
      </c>
      <c r="AP542" s="35"/>
      <c r="AQ542" s="30"/>
      <c r="AR542" s="36">
        <f t="shared" ref="AR542" si="384">IFERROR(AQ542*$P542/$N542,0)</f>
        <v>0</v>
      </c>
      <c r="AS542" s="27"/>
      <c r="AT542" s="37"/>
      <c r="AU542" s="30"/>
      <c r="AV542" s="36">
        <f t="shared" ref="AV542" si="385">IFERROR(AU542*$P542/$N542,0)</f>
        <v>0</v>
      </c>
      <c r="AW542" s="35"/>
      <c r="AX542" s="30"/>
      <c r="AY542" s="32">
        <f t="shared" ref="AY542" si="386">IFERROR(AX542*$P542/$N542,0)</f>
        <v>0</v>
      </c>
      <c r="AZ542" s="30" t="s">
        <v>841</v>
      </c>
      <c r="BA542" s="63"/>
      <c r="BB542" s="71" t="e">
        <f>SUMIFS([1]Form!$F$9:$F$22,[1]Form!$K$9:$K$22,K542)</f>
        <v>#VALUE!</v>
      </c>
      <c r="BC542" s="71"/>
      <c r="BD542" s="71"/>
    </row>
    <row r="543" spans="1:56" x14ac:dyDescent="0.25">
      <c r="A543" s="24">
        <f>IF(B543="","",SUBTOTAL(3,$B$4:B543))</f>
        <v>540</v>
      </c>
      <c r="B543" s="25" t="s">
        <v>840</v>
      </c>
      <c r="C543" s="25" t="str">
        <f t="shared" ref="C543" si="387">D543&amp;" "&amp;E543</f>
        <v>Shipment 1 B-10124 Fired Proces Heater</v>
      </c>
      <c r="D543" s="25" t="s">
        <v>839</v>
      </c>
      <c r="E543" s="25" t="s">
        <v>838</v>
      </c>
      <c r="F543" s="25"/>
      <c r="G543" s="65"/>
      <c r="H543" s="25" t="s">
        <v>842</v>
      </c>
      <c r="I543" s="25"/>
      <c r="J543" s="26" t="s">
        <v>845</v>
      </c>
      <c r="K543" s="27" t="s">
        <v>1223</v>
      </c>
      <c r="L543" s="28" t="s">
        <v>1226</v>
      </c>
      <c r="M543" s="28" t="s">
        <v>777</v>
      </c>
      <c r="N543" s="25">
        <v>1</v>
      </c>
      <c r="O543" s="29">
        <v>63.6</v>
      </c>
      <c r="P543" s="29">
        <v>63.6</v>
      </c>
      <c r="Q543" s="25" t="s">
        <v>1224</v>
      </c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ref="AE543" si="388">+AL543*0.5+AO543*0.4+AV543*0.1</f>
        <v>0</v>
      </c>
      <c r="AF543" s="32">
        <f t="shared" ref="AF543" si="389">+P543-AE543</f>
        <v>63.6</v>
      </c>
      <c r="AG543" s="30"/>
      <c r="AH543" s="33"/>
      <c r="AI543" s="34">
        <f t="shared" ref="AI543" si="390">+AH543*P543</f>
        <v>0</v>
      </c>
      <c r="AJ543" s="35"/>
      <c r="AK543" s="30"/>
      <c r="AL543" s="36">
        <f t="shared" ref="AL543" si="391">IFERROR(AK543*$P543/$N543,0)</f>
        <v>0</v>
      </c>
      <c r="AM543" s="35"/>
      <c r="AN543" s="30"/>
      <c r="AO543" s="36">
        <f t="shared" ref="AO543" si="392">IFERROR(AN543*$P543/$N543,0)</f>
        <v>0</v>
      </c>
      <c r="AP543" s="35"/>
      <c r="AQ543" s="30"/>
      <c r="AR543" s="36">
        <f t="shared" ref="AR543" si="393">IFERROR(AQ543*$P543/$N543,0)</f>
        <v>0</v>
      </c>
      <c r="AS543" s="27"/>
      <c r="AT543" s="37"/>
      <c r="AU543" s="30"/>
      <c r="AV543" s="36">
        <f t="shared" ref="AV543" si="394">IFERROR(AU543*$P543/$N543,0)</f>
        <v>0</v>
      </c>
      <c r="AW543" s="35"/>
      <c r="AX543" s="30"/>
      <c r="AY543" s="32">
        <f t="shared" ref="AY543" si="395">IFERROR(AX543*$P543/$N543,0)</f>
        <v>0</v>
      </c>
      <c r="AZ543" s="30" t="s">
        <v>841</v>
      </c>
      <c r="BA543" s="63"/>
      <c r="BB543" s="71" t="e">
        <f>SUMIFS([1]Form!$F$9:$F$22,[1]Form!$K$9:$K$22,K543)</f>
        <v>#VALUE!</v>
      </c>
      <c r="BC543" s="71"/>
      <c r="BD543" s="71"/>
    </row>
    <row r="544" spans="1:56" x14ac:dyDescent="0.25">
      <c r="A544" s="24">
        <f>IF(B544="","",SUBTOTAL(3,$B$4:B544))</f>
        <v>541</v>
      </c>
      <c r="B544" s="25" t="s">
        <v>840</v>
      </c>
      <c r="C544" s="25" t="str">
        <f t="shared" ref="C544" si="396">D544&amp;" "&amp;E544</f>
        <v>Shipment 1 B-10124 Fired Proces Heater</v>
      </c>
      <c r="D544" s="25" t="s">
        <v>839</v>
      </c>
      <c r="E544" s="25" t="s">
        <v>838</v>
      </c>
      <c r="F544" s="25"/>
      <c r="G544" s="65"/>
      <c r="H544" s="25" t="s">
        <v>842</v>
      </c>
      <c r="I544" s="25"/>
      <c r="J544" s="26" t="s">
        <v>845</v>
      </c>
      <c r="K544" s="27" t="s">
        <v>1223</v>
      </c>
      <c r="L544" s="28" t="s">
        <v>1227</v>
      </c>
      <c r="M544" s="28" t="s">
        <v>777</v>
      </c>
      <c r="N544" s="25">
        <v>1</v>
      </c>
      <c r="O544" s="29">
        <v>63.6</v>
      </c>
      <c r="P544" s="29">
        <v>63.6</v>
      </c>
      <c r="Q544" s="25" t="s">
        <v>1224</v>
      </c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ref="AE544" si="397">+AL544*0.5+AO544*0.4+AV544*0.1</f>
        <v>0</v>
      </c>
      <c r="AF544" s="32">
        <f t="shared" ref="AF544" si="398">+P544-AE544</f>
        <v>63.6</v>
      </c>
      <c r="AG544" s="30"/>
      <c r="AH544" s="33"/>
      <c r="AI544" s="34">
        <f t="shared" ref="AI544" si="399">+AH544*P544</f>
        <v>0</v>
      </c>
      <c r="AJ544" s="35"/>
      <c r="AK544" s="30"/>
      <c r="AL544" s="36">
        <f t="shared" ref="AL544" si="400">IFERROR(AK544*$P544/$N544,0)</f>
        <v>0</v>
      </c>
      <c r="AM544" s="35"/>
      <c r="AN544" s="30"/>
      <c r="AO544" s="36">
        <f t="shared" ref="AO544" si="401">IFERROR(AN544*$P544/$N544,0)</f>
        <v>0</v>
      </c>
      <c r="AP544" s="35"/>
      <c r="AQ544" s="30"/>
      <c r="AR544" s="36">
        <f t="shared" ref="AR544" si="402">IFERROR(AQ544*$P544/$N544,0)</f>
        <v>0</v>
      </c>
      <c r="AS544" s="27"/>
      <c r="AT544" s="37"/>
      <c r="AU544" s="30"/>
      <c r="AV544" s="36">
        <f t="shared" ref="AV544" si="403">IFERROR(AU544*$P544/$N544,0)</f>
        <v>0</v>
      </c>
      <c r="AW544" s="35"/>
      <c r="AX544" s="30"/>
      <c r="AY544" s="32">
        <f t="shared" ref="AY544" si="404">IFERROR(AX544*$P544/$N544,0)</f>
        <v>0</v>
      </c>
      <c r="AZ544" s="30" t="s">
        <v>841</v>
      </c>
      <c r="BA544" s="63"/>
      <c r="BB544" s="71" t="e">
        <f>SUMIFS([1]Form!$F$9:$F$22,[1]Form!$K$9:$K$22,K544)</f>
        <v>#VALUE!</v>
      </c>
      <c r="BC544" s="71"/>
      <c r="BD544" s="71"/>
    </row>
    <row r="545" spans="1:56" x14ac:dyDescent="0.25">
      <c r="A545" s="24">
        <f>IF(B545="","",SUBTOTAL(3,$B$4:B545))</f>
        <v>542</v>
      </c>
      <c r="B545" s="25" t="s">
        <v>840</v>
      </c>
      <c r="C545" s="25" t="str">
        <f t="shared" ref="C545" si="405">D545&amp;" "&amp;E545</f>
        <v>Shipment 1 B-10124 Fired Proces Heater</v>
      </c>
      <c r="D545" s="25" t="s">
        <v>839</v>
      </c>
      <c r="E545" s="25" t="s">
        <v>838</v>
      </c>
      <c r="F545" s="25"/>
      <c r="G545" s="65"/>
      <c r="H545" s="25" t="s">
        <v>842</v>
      </c>
      <c r="I545" s="25"/>
      <c r="J545" s="26" t="s">
        <v>845</v>
      </c>
      <c r="K545" s="27" t="s">
        <v>1223</v>
      </c>
      <c r="L545" s="28" t="s">
        <v>1228</v>
      </c>
      <c r="M545" s="28" t="s">
        <v>777</v>
      </c>
      <c r="N545" s="25">
        <v>1</v>
      </c>
      <c r="O545" s="29">
        <v>63.6</v>
      </c>
      <c r="P545" s="29">
        <v>63.6</v>
      </c>
      <c r="Q545" s="25" t="s">
        <v>1224</v>
      </c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ref="AE545" si="406">+AL545*0.5+AO545*0.4+AV545*0.1</f>
        <v>0</v>
      </c>
      <c r="AF545" s="32">
        <f t="shared" ref="AF545" si="407">+P545-AE545</f>
        <v>63.6</v>
      </c>
      <c r="AG545" s="30"/>
      <c r="AH545" s="33"/>
      <c r="AI545" s="34">
        <f t="shared" ref="AI545" si="408">+AH545*P545</f>
        <v>0</v>
      </c>
      <c r="AJ545" s="35"/>
      <c r="AK545" s="30"/>
      <c r="AL545" s="36">
        <f t="shared" ref="AL545" si="409">IFERROR(AK545*$P545/$N545,0)</f>
        <v>0</v>
      </c>
      <c r="AM545" s="35"/>
      <c r="AN545" s="30"/>
      <c r="AO545" s="36">
        <f t="shared" ref="AO545" si="410">IFERROR(AN545*$P545/$N545,0)</f>
        <v>0</v>
      </c>
      <c r="AP545" s="35"/>
      <c r="AQ545" s="30"/>
      <c r="AR545" s="36">
        <f t="shared" ref="AR545" si="411">IFERROR(AQ545*$P545/$N545,0)</f>
        <v>0</v>
      </c>
      <c r="AS545" s="27"/>
      <c r="AT545" s="37"/>
      <c r="AU545" s="30"/>
      <c r="AV545" s="36">
        <f t="shared" ref="AV545" si="412">IFERROR(AU545*$P545/$N545,0)</f>
        <v>0</v>
      </c>
      <c r="AW545" s="35"/>
      <c r="AX545" s="30"/>
      <c r="AY545" s="32">
        <f t="shared" ref="AY545" si="413">IFERROR(AX545*$P545/$N545,0)</f>
        <v>0</v>
      </c>
      <c r="AZ545" s="30" t="s">
        <v>841</v>
      </c>
      <c r="BA545" s="63"/>
      <c r="BB545" s="71" t="e">
        <f>SUMIFS([1]Form!$F$9:$F$22,[1]Form!$K$9:$K$22,K545)</f>
        <v>#VALUE!</v>
      </c>
      <c r="BC545" s="71"/>
      <c r="BD545" s="71"/>
    </row>
    <row r="546" spans="1:56" x14ac:dyDescent="0.25">
      <c r="A546" s="24">
        <f>IF(B546="","",SUBTOTAL(3,$B$4:B546))</f>
        <v>543</v>
      </c>
      <c r="B546" s="25" t="s">
        <v>840</v>
      </c>
      <c r="C546" s="25" t="str">
        <f t="shared" ref="C546" si="414">D546&amp;" "&amp;E546</f>
        <v>Shipment 1 B-10124 Fired Proces Heater</v>
      </c>
      <c r="D546" s="25" t="s">
        <v>839</v>
      </c>
      <c r="E546" s="25" t="s">
        <v>838</v>
      </c>
      <c r="F546" s="25"/>
      <c r="G546" s="65"/>
      <c r="H546" s="25" t="s">
        <v>842</v>
      </c>
      <c r="I546" s="25"/>
      <c r="J546" s="26" t="s">
        <v>845</v>
      </c>
      <c r="K546" s="27" t="s">
        <v>1223</v>
      </c>
      <c r="L546" s="28" t="s">
        <v>1229</v>
      </c>
      <c r="M546" s="28" t="s">
        <v>777</v>
      </c>
      <c r="N546" s="25">
        <v>1</v>
      </c>
      <c r="O546" s="29">
        <v>63.6</v>
      </c>
      <c r="P546" s="29">
        <v>63.6</v>
      </c>
      <c r="Q546" s="25" t="s">
        <v>1224</v>
      </c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ref="AE546" si="415">+AL546*0.5+AO546*0.4+AV546*0.1</f>
        <v>0</v>
      </c>
      <c r="AF546" s="32">
        <f t="shared" ref="AF546" si="416">+P546-AE546</f>
        <v>63.6</v>
      </c>
      <c r="AG546" s="30"/>
      <c r="AH546" s="33"/>
      <c r="AI546" s="34">
        <f t="shared" ref="AI546" si="417">+AH546*P546</f>
        <v>0</v>
      </c>
      <c r="AJ546" s="35"/>
      <c r="AK546" s="30"/>
      <c r="AL546" s="36">
        <f t="shared" ref="AL546" si="418">IFERROR(AK546*$P546/$N546,0)</f>
        <v>0</v>
      </c>
      <c r="AM546" s="35"/>
      <c r="AN546" s="30"/>
      <c r="AO546" s="36">
        <f t="shared" ref="AO546" si="419">IFERROR(AN546*$P546/$N546,0)</f>
        <v>0</v>
      </c>
      <c r="AP546" s="35"/>
      <c r="AQ546" s="30"/>
      <c r="AR546" s="36">
        <f t="shared" ref="AR546" si="420">IFERROR(AQ546*$P546/$N546,0)</f>
        <v>0</v>
      </c>
      <c r="AS546" s="27"/>
      <c r="AT546" s="37"/>
      <c r="AU546" s="30"/>
      <c r="AV546" s="36">
        <f t="shared" ref="AV546" si="421">IFERROR(AU546*$P546/$N546,0)</f>
        <v>0</v>
      </c>
      <c r="AW546" s="35"/>
      <c r="AX546" s="30"/>
      <c r="AY546" s="32">
        <f t="shared" ref="AY546" si="422">IFERROR(AX546*$P546/$N546,0)</f>
        <v>0</v>
      </c>
      <c r="AZ546" s="30" t="s">
        <v>841</v>
      </c>
      <c r="BA546" s="63"/>
      <c r="BB546" s="71" t="e">
        <f>SUMIFS([1]Form!$F$9:$F$22,[1]Form!$K$9:$K$22,K546)</f>
        <v>#VALUE!</v>
      </c>
      <c r="BC546" s="71"/>
      <c r="BD546" s="71"/>
    </row>
    <row r="547" spans="1:56" x14ac:dyDescent="0.25">
      <c r="A547" s="24">
        <f>IF(B547="","",SUBTOTAL(3,$B$4:B547))</f>
        <v>544</v>
      </c>
      <c r="B547" s="25" t="s">
        <v>840</v>
      </c>
      <c r="C547" s="25" t="str">
        <f t="shared" ref="C547" si="423">D547&amp;" "&amp;E547</f>
        <v>Shipment 1 B-10124 Fired Proces Heater</v>
      </c>
      <c r="D547" s="25" t="s">
        <v>839</v>
      </c>
      <c r="E547" s="25" t="s">
        <v>838</v>
      </c>
      <c r="F547" s="25"/>
      <c r="G547" s="65"/>
      <c r="H547" s="25" t="s">
        <v>842</v>
      </c>
      <c r="I547" s="25"/>
      <c r="J547" s="26" t="s">
        <v>845</v>
      </c>
      <c r="K547" s="27" t="s">
        <v>1223</v>
      </c>
      <c r="L547" s="28" t="s">
        <v>1230</v>
      </c>
      <c r="M547" s="28" t="s">
        <v>777</v>
      </c>
      <c r="N547" s="25">
        <v>1</v>
      </c>
      <c r="O547" s="29">
        <v>63.6</v>
      </c>
      <c r="P547" s="29">
        <v>63.6</v>
      </c>
      <c r="Q547" s="25" t="s">
        <v>1224</v>
      </c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ref="AE547" si="424">+AL547*0.5+AO547*0.4+AV547*0.1</f>
        <v>0</v>
      </c>
      <c r="AF547" s="32">
        <f t="shared" ref="AF547" si="425">+P547-AE547</f>
        <v>63.6</v>
      </c>
      <c r="AG547" s="30"/>
      <c r="AH547" s="33"/>
      <c r="AI547" s="34">
        <f t="shared" ref="AI547" si="426">+AH547*P547</f>
        <v>0</v>
      </c>
      <c r="AJ547" s="35"/>
      <c r="AK547" s="30"/>
      <c r="AL547" s="36">
        <f t="shared" ref="AL547" si="427">IFERROR(AK547*$P547/$N547,0)</f>
        <v>0</v>
      </c>
      <c r="AM547" s="35"/>
      <c r="AN547" s="30"/>
      <c r="AO547" s="36">
        <f t="shared" ref="AO547" si="428">IFERROR(AN547*$P547/$N547,0)</f>
        <v>0</v>
      </c>
      <c r="AP547" s="35"/>
      <c r="AQ547" s="30"/>
      <c r="AR547" s="36">
        <f t="shared" ref="AR547" si="429">IFERROR(AQ547*$P547/$N547,0)</f>
        <v>0</v>
      </c>
      <c r="AS547" s="27"/>
      <c r="AT547" s="37"/>
      <c r="AU547" s="30"/>
      <c r="AV547" s="36">
        <f t="shared" ref="AV547" si="430">IFERROR(AU547*$P547/$N547,0)</f>
        <v>0</v>
      </c>
      <c r="AW547" s="35"/>
      <c r="AX547" s="30"/>
      <c r="AY547" s="32">
        <f t="shared" ref="AY547" si="431">IFERROR(AX547*$P547/$N547,0)</f>
        <v>0</v>
      </c>
      <c r="AZ547" s="30" t="s">
        <v>841</v>
      </c>
      <c r="BA547" s="63"/>
      <c r="BB547" s="71" t="e">
        <f>SUMIFS([1]Form!$F$9:$F$22,[1]Form!$K$9:$K$22,K547)</f>
        <v>#VALUE!</v>
      </c>
      <c r="BC547" s="71"/>
      <c r="BD547" s="71"/>
    </row>
    <row r="548" spans="1:56" x14ac:dyDescent="0.25">
      <c r="A548" s="24">
        <f>IF(B548="","",SUBTOTAL(3,$B$4:B548))</f>
        <v>545</v>
      </c>
      <c r="B548" s="25" t="s">
        <v>840</v>
      </c>
      <c r="C548" s="25" t="str">
        <f t="shared" ref="C548" si="432">D548&amp;" "&amp;E548</f>
        <v>Shipment 1 B-10124 Fired Proces Heater</v>
      </c>
      <c r="D548" s="25" t="s">
        <v>839</v>
      </c>
      <c r="E548" s="25" t="s">
        <v>838</v>
      </c>
      <c r="F548" s="25"/>
      <c r="G548" s="65"/>
      <c r="H548" s="25" t="s">
        <v>842</v>
      </c>
      <c r="I548" s="25"/>
      <c r="J548" s="26" t="s">
        <v>845</v>
      </c>
      <c r="K548" s="27" t="s">
        <v>1223</v>
      </c>
      <c r="L548" s="28" t="s">
        <v>1231</v>
      </c>
      <c r="M548" s="28" t="s">
        <v>777</v>
      </c>
      <c r="N548" s="25">
        <v>1</v>
      </c>
      <c r="O548" s="29">
        <v>63.6</v>
      </c>
      <c r="P548" s="29">
        <v>63.6</v>
      </c>
      <c r="Q548" s="25" t="s">
        <v>1224</v>
      </c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ref="AE548" si="433">+AL548*0.5+AO548*0.4+AV548*0.1</f>
        <v>0</v>
      </c>
      <c r="AF548" s="32">
        <f t="shared" ref="AF548" si="434">+P548-AE548</f>
        <v>63.6</v>
      </c>
      <c r="AG548" s="30"/>
      <c r="AH548" s="33"/>
      <c r="AI548" s="34">
        <f t="shared" ref="AI548" si="435">+AH548*P548</f>
        <v>0</v>
      </c>
      <c r="AJ548" s="35"/>
      <c r="AK548" s="30"/>
      <c r="AL548" s="36">
        <f t="shared" ref="AL548" si="436">IFERROR(AK548*$P548/$N548,0)</f>
        <v>0</v>
      </c>
      <c r="AM548" s="35"/>
      <c r="AN548" s="30"/>
      <c r="AO548" s="36">
        <f t="shared" ref="AO548" si="437">IFERROR(AN548*$P548/$N548,0)</f>
        <v>0</v>
      </c>
      <c r="AP548" s="35"/>
      <c r="AQ548" s="30"/>
      <c r="AR548" s="36">
        <f t="shared" ref="AR548" si="438">IFERROR(AQ548*$P548/$N548,0)</f>
        <v>0</v>
      </c>
      <c r="AS548" s="27"/>
      <c r="AT548" s="37"/>
      <c r="AU548" s="30"/>
      <c r="AV548" s="36">
        <f t="shared" ref="AV548" si="439">IFERROR(AU548*$P548/$N548,0)</f>
        <v>0</v>
      </c>
      <c r="AW548" s="35"/>
      <c r="AX548" s="30"/>
      <c r="AY548" s="32">
        <f t="shared" ref="AY548" si="440">IFERROR(AX548*$P548/$N548,0)</f>
        <v>0</v>
      </c>
      <c r="AZ548" s="30" t="s">
        <v>841</v>
      </c>
      <c r="BA548" s="63"/>
      <c r="BB548" s="71" t="e">
        <f>SUMIFS([1]Form!$F$9:$F$22,[1]Form!$K$9:$K$22,K548)</f>
        <v>#VALUE!</v>
      </c>
      <c r="BC548" s="71"/>
      <c r="BD548" s="71"/>
    </row>
    <row r="549" spans="1:56" x14ac:dyDescent="0.25">
      <c r="A549" s="24">
        <f>IF(B549="","",SUBTOTAL(3,$B$4:B549))</f>
        <v>546</v>
      </c>
      <c r="B549" s="25" t="s">
        <v>840</v>
      </c>
      <c r="C549" s="25" t="str">
        <f t="shared" ref="C549" si="441">D549&amp;" "&amp;E549</f>
        <v>Shipment 1 B-10124 Fired Proces Heater</v>
      </c>
      <c r="D549" s="25" t="s">
        <v>839</v>
      </c>
      <c r="E549" s="25" t="s">
        <v>838</v>
      </c>
      <c r="F549" s="25"/>
      <c r="G549" s="65"/>
      <c r="H549" s="25" t="s">
        <v>842</v>
      </c>
      <c r="I549" s="25"/>
      <c r="J549" s="26" t="s">
        <v>845</v>
      </c>
      <c r="K549" s="27" t="s">
        <v>1223</v>
      </c>
      <c r="L549" s="28" t="s">
        <v>1232</v>
      </c>
      <c r="M549" s="28" t="s">
        <v>777</v>
      </c>
      <c r="N549" s="25">
        <v>1</v>
      </c>
      <c r="O549" s="29">
        <v>63.6</v>
      </c>
      <c r="P549" s="29">
        <v>63.6</v>
      </c>
      <c r="Q549" s="25" t="s">
        <v>1224</v>
      </c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ref="AE549" si="442">+AL549*0.5+AO549*0.4+AV549*0.1</f>
        <v>0</v>
      </c>
      <c r="AF549" s="32">
        <f t="shared" ref="AF549" si="443">+P549-AE549</f>
        <v>63.6</v>
      </c>
      <c r="AG549" s="30"/>
      <c r="AH549" s="33"/>
      <c r="AI549" s="34">
        <f t="shared" ref="AI549" si="444">+AH549*P549</f>
        <v>0</v>
      </c>
      <c r="AJ549" s="35"/>
      <c r="AK549" s="30"/>
      <c r="AL549" s="36">
        <f t="shared" ref="AL549" si="445">IFERROR(AK549*$P549/$N549,0)</f>
        <v>0</v>
      </c>
      <c r="AM549" s="35"/>
      <c r="AN549" s="30"/>
      <c r="AO549" s="36">
        <f t="shared" ref="AO549" si="446">IFERROR(AN549*$P549/$N549,0)</f>
        <v>0</v>
      </c>
      <c r="AP549" s="35"/>
      <c r="AQ549" s="30"/>
      <c r="AR549" s="36">
        <f t="shared" ref="AR549" si="447">IFERROR(AQ549*$P549/$N549,0)</f>
        <v>0</v>
      </c>
      <c r="AS549" s="27"/>
      <c r="AT549" s="37"/>
      <c r="AU549" s="30"/>
      <c r="AV549" s="36">
        <f t="shared" ref="AV549" si="448">IFERROR(AU549*$P549/$N549,0)</f>
        <v>0</v>
      </c>
      <c r="AW549" s="35"/>
      <c r="AX549" s="30"/>
      <c r="AY549" s="32">
        <f t="shared" ref="AY549" si="449">IFERROR(AX549*$P549/$N549,0)</f>
        <v>0</v>
      </c>
      <c r="AZ549" s="30" t="s">
        <v>841</v>
      </c>
      <c r="BA549" s="63"/>
      <c r="BB549" s="71" t="e">
        <f>SUMIFS([1]Form!$F$9:$F$22,[1]Form!$K$9:$K$22,K549)</f>
        <v>#VALUE!</v>
      </c>
      <c r="BC549" s="71"/>
      <c r="BD549" s="71"/>
    </row>
    <row r="550" spans="1:56" x14ac:dyDescent="0.25">
      <c r="A550" s="24">
        <f>IF(B550="","",SUBTOTAL(3,$B$4:B550))</f>
        <v>547</v>
      </c>
      <c r="B550" s="25" t="s">
        <v>840</v>
      </c>
      <c r="C550" s="25" t="str">
        <f t="shared" ref="C550" si="450">D550&amp;" "&amp;E550</f>
        <v>Shipment 1 B-10124 Fired Proces Heater</v>
      </c>
      <c r="D550" s="25" t="s">
        <v>839</v>
      </c>
      <c r="E550" s="25" t="s">
        <v>838</v>
      </c>
      <c r="F550" s="25"/>
      <c r="G550" s="65"/>
      <c r="H550" s="25" t="s">
        <v>842</v>
      </c>
      <c r="I550" s="25"/>
      <c r="J550" s="26" t="s">
        <v>845</v>
      </c>
      <c r="K550" s="27" t="s">
        <v>1223</v>
      </c>
      <c r="L550" s="28" t="s">
        <v>1233</v>
      </c>
      <c r="M550" s="28" t="s">
        <v>777</v>
      </c>
      <c r="N550" s="25">
        <v>1</v>
      </c>
      <c r="O550" s="29">
        <v>63.6</v>
      </c>
      <c r="P550" s="29">
        <v>63.6</v>
      </c>
      <c r="Q550" s="25" t="s">
        <v>1224</v>
      </c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ref="AE550" si="451">+AL550*0.5+AO550*0.4+AV550*0.1</f>
        <v>0</v>
      </c>
      <c r="AF550" s="32">
        <f t="shared" ref="AF550" si="452">+P550-AE550</f>
        <v>63.6</v>
      </c>
      <c r="AG550" s="30"/>
      <c r="AH550" s="33"/>
      <c r="AI550" s="34">
        <f t="shared" ref="AI550" si="453">+AH550*P550</f>
        <v>0</v>
      </c>
      <c r="AJ550" s="35"/>
      <c r="AK550" s="30"/>
      <c r="AL550" s="36">
        <f t="shared" ref="AL550" si="454">IFERROR(AK550*$P550/$N550,0)</f>
        <v>0</v>
      </c>
      <c r="AM550" s="35"/>
      <c r="AN550" s="30"/>
      <c r="AO550" s="36">
        <f t="shared" ref="AO550" si="455">IFERROR(AN550*$P550/$N550,0)</f>
        <v>0</v>
      </c>
      <c r="AP550" s="35"/>
      <c r="AQ550" s="30"/>
      <c r="AR550" s="36">
        <f t="shared" ref="AR550" si="456">IFERROR(AQ550*$P550/$N550,0)</f>
        <v>0</v>
      </c>
      <c r="AS550" s="27"/>
      <c r="AT550" s="37"/>
      <c r="AU550" s="30"/>
      <c r="AV550" s="36">
        <f t="shared" ref="AV550" si="457">IFERROR(AU550*$P550/$N550,0)</f>
        <v>0</v>
      </c>
      <c r="AW550" s="35"/>
      <c r="AX550" s="30"/>
      <c r="AY550" s="32">
        <f t="shared" ref="AY550" si="458">IFERROR(AX550*$P550/$N550,0)</f>
        <v>0</v>
      </c>
      <c r="AZ550" s="30" t="s">
        <v>841</v>
      </c>
      <c r="BA550" s="63"/>
      <c r="BB550" s="71" t="e">
        <f>SUMIFS([1]Form!$F$9:$F$22,[1]Form!$K$9:$K$22,K550)</f>
        <v>#VALUE!</v>
      </c>
      <c r="BC550" s="71"/>
      <c r="BD550" s="71"/>
    </row>
    <row r="551" spans="1:56" x14ac:dyDescent="0.25">
      <c r="A551" s="24">
        <f>IF(B551="","",SUBTOTAL(3,$B$4:B551))</f>
        <v>548</v>
      </c>
      <c r="B551" s="25" t="s">
        <v>840</v>
      </c>
      <c r="C551" s="25" t="str">
        <f t="shared" ref="C551" si="459">D551&amp;" "&amp;E551</f>
        <v>Shipment 1 B-10124 Fired Proces Heater</v>
      </c>
      <c r="D551" s="25" t="s">
        <v>839</v>
      </c>
      <c r="E551" s="25" t="s">
        <v>838</v>
      </c>
      <c r="F551" s="25"/>
      <c r="G551" s="65"/>
      <c r="H551" s="25" t="s">
        <v>842</v>
      </c>
      <c r="I551" s="25"/>
      <c r="J551" s="26" t="s">
        <v>845</v>
      </c>
      <c r="K551" s="27" t="s">
        <v>1223</v>
      </c>
      <c r="L551" s="28" t="s">
        <v>1234</v>
      </c>
      <c r="M551" s="28" t="s">
        <v>777</v>
      </c>
      <c r="N551" s="25">
        <v>1</v>
      </c>
      <c r="O551" s="29">
        <v>63.6</v>
      </c>
      <c r="P551" s="29">
        <v>63.6</v>
      </c>
      <c r="Q551" s="25" t="s">
        <v>1224</v>
      </c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ref="AE551" si="460">+AL551*0.5+AO551*0.4+AV551*0.1</f>
        <v>0</v>
      </c>
      <c r="AF551" s="32">
        <f t="shared" ref="AF551" si="461">+P551-AE551</f>
        <v>63.6</v>
      </c>
      <c r="AG551" s="30"/>
      <c r="AH551" s="33"/>
      <c r="AI551" s="34">
        <f t="shared" ref="AI551" si="462">+AH551*P551</f>
        <v>0</v>
      </c>
      <c r="AJ551" s="35"/>
      <c r="AK551" s="30"/>
      <c r="AL551" s="36">
        <f t="shared" ref="AL551" si="463">IFERROR(AK551*$P551/$N551,0)</f>
        <v>0</v>
      </c>
      <c r="AM551" s="35"/>
      <c r="AN551" s="30"/>
      <c r="AO551" s="36">
        <f t="shared" ref="AO551" si="464">IFERROR(AN551*$P551/$N551,0)</f>
        <v>0</v>
      </c>
      <c r="AP551" s="35"/>
      <c r="AQ551" s="30"/>
      <c r="AR551" s="36">
        <f t="shared" ref="AR551" si="465">IFERROR(AQ551*$P551/$N551,0)</f>
        <v>0</v>
      </c>
      <c r="AS551" s="27"/>
      <c r="AT551" s="37"/>
      <c r="AU551" s="30"/>
      <c r="AV551" s="36">
        <f t="shared" ref="AV551" si="466">IFERROR(AU551*$P551/$N551,0)</f>
        <v>0</v>
      </c>
      <c r="AW551" s="35"/>
      <c r="AX551" s="30"/>
      <c r="AY551" s="32">
        <f t="shared" ref="AY551" si="467">IFERROR(AX551*$P551/$N551,0)</f>
        <v>0</v>
      </c>
      <c r="AZ551" s="30" t="s">
        <v>841</v>
      </c>
      <c r="BA551" s="63"/>
      <c r="BB551" s="71" t="e">
        <f>SUMIFS([1]Form!$F$9:$F$22,[1]Form!$K$9:$K$22,K551)</f>
        <v>#VALUE!</v>
      </c>
      <c r="BC551" s="71"/>
      <c r="BD551" s="71"/>
    </row>
    <row r="552" spans="1:56" x14ac:dyDescent="0.25">
      <c r="A552" s="24">
        <f>IF(B552="","",SUBTOTAL(3,$B$4:B552))</f>
        <v>549</v>
      </c>
      <c r="B552" s="25" t="s">
        <v>840</v>
      </c>
      <c r="C552" s="25" t="str">
        <f t="shared" ref="C552" si="468">D552&amp;" "&amp;E552</f>
        <v>Shipment 1 B-10124 Fired Proces Heater</v>
      </c>
      <c r="D552" s="25" t="s">
        <v>839</v>
      </c>
      <c r="E552" s="25" t="s">
        <v>838</v>
      </c>
      <c r="F552" s="25"/>
      <c r="G552" s="65"/>
      <c r="H552" s="25" t="s">
        <v>842</v>
      </c>
      <c r="I552" s="25"/>
      <c r="J552" s="26" t="s">
        <v>845</v>
      </c>
      <c r="K552" s="27" t="s">
        <v>1223</v>
      </c>
      <c r="L552" s="28" t="s">
        <v>1235</v>
      </c>
      <c r="M552" s="28" t="s">
        <v>777</v>
      </c>
      <c r="N552" s="25">
        <v>1</v>
      </c>
      <c r="O552" s="29">
        <v>63.6</v>
      </c>
      <c r="P552" s="29">
        <v>63.6</v>
      </c>
      <c r="Q552" s="25" t="s">
        <v>1224</v>
      </c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ref="AE552" si="469">+AL552*0.5+AO552*0.4+AV552*0.1</f>
        <v>0</v>
      </c>
      <c r="AF552" s="32">
        <f t="shared" ref="AF552" si="470">+P552-AE552</f>
        <v>63.6</v>
      </c>
      <c r="AG552" s="30"/>
      <c r="AH552" s="33"/>
      <c r="AI552" s="34">
        <f t="shared" ref="AI552" si="471">+AH552*P552</f>
        <v>0</v>
      </c>
      <c r="AJ552" s="35"/>
      <c r="AK552" s="30"/>
      <c r="AL552" s="36">
        <f t="shared" ref="AL552" si="472">IFERROR(AK552*$P552/$N552,0)</f>
        <v>0</v>
      </c>
      <c r="AM552" s="35"/>
      <c r="AN552" s="30"/>
      <c r="AO552" s="36">
        <f t="shared" ref="AO552" si="473">IFERROR(AN552*$P552/$N552,0)</f>
        <v>0</v>
      </c>
      <c r="AP552" s="35"/>
      <c r="AQ552" s="30"/>
      <c r="AR552" s="36">
        <f t="shared" ref="AR552" si="474">IFERROR(AQ552*$P552/$N552,0)</f>
        <v>0</v>
      </c>
      <c r="AS552" s="27"/>
      <c r="AT552" s="37"/>
      <c r="AU552" s="30"/>
      <c r="AV552" s="36">
        <f t="shared" ref="AV552" si="475">IFERROR(AU552*$P552/$N552,0)</f>
        <v>0</v>
      </c>
      <c r="AW552" s="35"/>
      <c r="AX552" s="30"/>
      <c r="AY552" s="32">
        <f t="shared" ref="AY552" si="476">IFERROR(AX552*$P552/$N552,0)</f>
        <v>0</v>
      </c>
      <c r="AZ552" s="30" t="s">
        <v>841</v>
      </c>
      <c r="BA552" s="63"/>
      <c r="BB552" s="71" t="e">
        <f>SUMIFS([1]Form!$F$9:$F$22,[1]Form!$K$9:$K$22,K552)</f>
        <v>#VALUE!</v>
      </c>
      <c r="BC552" s="71"/>
      <c r="BD552" s="71"/>
    </row>
    <row r="553" spans="1:56" x14ac:dyDescent="0.25">
      <c r="A553" s="24">
        <f>IF(B553="","",SUBTOTAL(3,$B$4:B553))</f>
        <v>550</v>
      </c>
      <c r="B553" s="25" t="s">
        <v>840</v>
      </c>
      <c r="C553" s="25" t="str">
        <f t="shared" ref="C553" si="477">D553&amp;" "&amp;E553</f>
        <v>Shipment 1 B-10124 Fired Proces Heater</v>
      </c>
      <c r="D553" s="25" t="s">
        <v>839</v>
      </c>
      <c r="E553" s="25" t="s">
        <v>838</v>
      </c>
      <c r="F553" s="25"/>
      <c r="G553" s="65"/>
      <c r="H553" s="25" t="s">
        <v>842</v>
      </c>
      <c r="I553" s="25"/>
      <c r="J553" s="26" t="s">
        <v>845</v>
      </c>
      <c r="K553" s="27" t="s">
        <v>1237</v>
      </c>
      <c r="L553" s="28" t="s">
        <v>1236</v>
      </c>
      <c r="M553" s="28" t="s">
        <v>777</v>
      </c>
      <c r="N553" s="25">
        <v>1</v>
      </c>
      <c r="O553" s="29">
        <v>66.5</v>
      </c>
      <c r="P553" s="29">
        <v>66.5</v>
      </c>
      <c r="Q553" s="25" t="s">
        <v>1238</v>
      </c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ref="AE553" si="478">+AL553*0.5+AO553*0.4+AV553*0.1</f>
        <v>0</v>
      </c>
      <c r="AF553" s="32">
        <f t="shared" ref="AF553" si="479">+P553-AE553</f>
        <v>66.5</v>
      </c>
      <c r="AG553" s="30"/>
      <c r="AH553" s="33"/>
      <c r="AI553" s="34">
        <f t="shared" ref="AI553" si="480">+AH553*P553</f>
        <v>0</v>
      </c>
      <c r="AJ553" s="35"/>
      <c r="AK553" s="30"/>
      <c r="AL553" s="36">
        <f t="shared" ref="AL553" si="481">IFERROR(AK553*$P553/$N553,0)</f>
        <v>0</v>
      </c>
      <c r="AM553" s="35"/>
      <c r="AN553" s="30"/>
      <c r="AO553" s="36">
        <f t="shared" ref="AO553" si="482">IFERROR(AN553*$P553/$N553,0)</f>
        <v>0</v>
      </c>
      <c r="AP553" s="35"/>
      <c r="AQ553" s="30"/>
      <c r="AR553" s="36">
        <f t="shared" ref="AR553" si="483">IFERROR(AQ553*$P553/$N553,0)</f>
        <v>0</v>
      </c>
      <c r="AS553" s="27"/>
      <c r="AT553" s="37"/>
      <c r="AU553" s="30"/>
      <c r="AV553" s="36">
        <f t="shared" ref="AV553" si="484">IFERROR(AU553*$P553/$N553,0)</f>
        <v>0</v>
      </c>
      <c r="AW553" s="35"/>
      <c r="AX553" s="30"/>
      <c r="AY553" s="32">
        <f t="shared" ref="AY553" si="485">IFERROR(AX553*$P553/$N553,0)</f>
        <v>0</v>
      </c>
      <c r="AZ553" s="30" t="s">
        <v>841</v>
      </c>
      <c r="BA553" s="63"/>
      <c r="BB553" s="71" t="e">
        <f>SUMIFS([1]Form!$F$9:$F$22,[1]Form!$K$9:$K$22,K553)</f>
        <v>#VALUE!</v>
      </c>
      <c r="BC553" s="71"/>
      <c r="BD553" s="71"/>
    </row>
    <row r="554" spans="1:56" x14ac:dyDescent="0.25">
      <c r="A554" s="24">
        <f>IF(B554="","",SUBTOTAL(3,$B$4:B554))</f>
        <v>551</v>
      </c>
      <c r="B554" s="25" t="s">
        <v>840</v>
      </c>
      <c r="C554" s="25" t="str">
        <f t="shared" ref="C554" si="486">D554&amp;" "&amp;E554</f>
        <v>Shipment 1 B-10124 Fired Proces Heater</v>
      </c>
      <c r="D554" s="25" t="s">
        <v>839</v>
      </c>
      <c r="E554" s="25" t="s">
        <v>838</v>
      </c>
      <c r="F554" s="25"/>
      <c r="G554" s="65"/>
      <c r="H554" s="25" t="s">
        <v>842</v>
      </c>
      <c r="I554" s="25"/>
      <c r="J554" s="26" t="s">
        <v>845</v>
      </c>
      <c r="K554" s="27" t="s">
        <v>1237</v>
      </c>
      <c r="L554" s="28" t="s">
        <v>1239</v>
      </c>
      <c r="M554" s="28" t="s">
        <v>777</v>
      </c>
      <c r="N554" s="25">
        <v>1</v>
      </c>
      <c r="O554" s="29">
        <v>66.5</v>
      </c>
      <c r="P554" s="29">
        <v>66.5</v>
      </c>
      <c r="Q554" s="25" t="s">
        <v>1238</v>
      </c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ref="AE554" si="487">+AL554*0.5+AO554*0.4+AV554*0.1</f>
        <v>0</v>
      </c>
      <c r="AF554" s="32">
        <f t="shared" ref="AF554" si="488">+P554-AE554</f>
        <v>66.5</v>
      </c>
      <c r="AG554" s="30"/>
      <c r="AH554" s="33"/>
      <c r="AI554" s="34">
        <f t="shared" ref="AI554" si="489">+AH554*P554</f>
        <v>0</v>
      </c>
      <c r="AJ554" s="35"/>
      <c r="AK554" s="30"/>
      <c r="AL554" s="36">
        <f t="shared" ref="AL554" si="490">IFERROR(AK554*$P554/$N554,0)</f>
        <v>0</v>
      </c>
      <c r="AM554" s="35"/>
      <c r="AN554" s="30"/>
      <c r="AO554" s="36">
        <f t="shared" ref="AO554" si="491">IFERROR(AN554*$P554/$N554,0)</f>
        <v>0</v>
      </c>
      <c r="AP554" s="35"/>
      <c r="AQ554" s="30"/>
      <c r="AR554" s="36">
        <f t="shared" ref="AR554" si="492">IFERROR(AQ554*$P554/$N554,0)</f>
        <v>0</v>
      </c>
      <c r="AS554" s="27"/>
      <c r="AT554" s="37"/>
      <c r="AU554" s="30"/>
      <c r="AV554" s="36">
        <f t="shared" ref="AV554" si="493">IFERROR(AU554*$P554/$N554,0)</f>
        <v>0</v>
      </c>
      <c r="AW554" s="35"/>
      <c r="AX554" s="30"/>
      <c r="AY554" s="32">
        <f t="shared" ref="AY554" si="494">IFERROR(AX554*$P554/$N554,0)</f>
        <v>0</v>
      </c>
      <c r="AZ554" s="30" t="s">
        <v>841</v>
      </c>
      <c r="BA554" s="63"/>
      <c r="BB554" s="71" t="e">
        <f>SUMIFS([1]Form!$F$9:$F$22,[1]Form!$K$9:$K$22,K554)</f>
        <v>#VALUE!</v>
      </c>
      <c r="BC554" s="71"/>
      <c r="BD554" s="71"/>
    </row>
    <row r="555" spans="1:56" x14ac:dyDescent="0.25">
      <c r="A555" s="24">
        <f>IF(B555="","",SUBTOTAL(3,$B$4:B555))</f>
        <v>552</v>
      </c>
      <c r="B555" s="25" t="s">
        <v>840</v>
      </c>
      <c r="C555" s="25" t="str">
        <f t="shared" ref="C555" si="495">D555&amp;" "&amp;E555</f>
        <v>Shipment 1 B-10124 Fired Proces Heater</v>
      </c>
      <c r="D555" s="25" t="s">
        <v>839</v>
      </c>
      <c r="E555" s="25" t="s">
        <v>838</v>
      </c>
      <c r="F555" s="25"/>
      <c r="G555" s="65"/>
      <c r="H555" s="25" t="s">
        <v>842</v>
      </c>
      <c r="I555" s="25"/>
      <c r="J555" s="26" t="s">
        <v>845</v>
      </c>
      <c r="K555" s="27" t="s">
        <v>1237</v>
      </c>
      <c r="L555" s="28" t="s">
        <v>1240</v>
      </c>
      <c r="M555" s="28" t="s">
        <v>777</v>
      </c>
      <c r="N555" s="25">
        <v>1</v>
      </c>
      <c r="O555" s="29">
        <v>66.5</v>
      </c>
      <c r="P555" s="29">
        <v>66.5</v>
      </c>
      <c r="Q555" s="25" t="s">
        <v>1238</v>
      </c>
      <c r="R555" s="25"/>
      <c r="S555" s="26"/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ref="AE555" si="496">+AL555*0.5+AO555*0.4+AV555*0.1</f>
        <v>0</v>
      </c>
      <c r="AF555" s="32">
        <f t="shared" ref="AF555" si="497">+P555-AE555</f>
        <v>66.5</v>
      </c>
      <c r="AG555" s="30"/>
      <c r="AH555" s="33"/>
      <c r="AI555" s="34">
        <f t="shared" ref="AI555" si="498">+AH555*P555</f>
        <v>0</v>
      </c>
      <c r="AJ555" s="35"/>
      <c r="AK555" s="30"/>
      <c r="AL555" s="36">
        <f t="shared" ref="AL555" si="499">IFERROR(AK555*$P555/$N555,0)</f>
        <v>0</v>
      </c>
      <c r="AM555" s="35"/>
      <c r="AN555" s="30"/>
      <c r="AO555" s="36">
        <f t="shared" ref="AO555" si="500">IFERROR(AN555*$P555/$N555,0)</f>
        <v>0</v>
      </c>
      <c r="AP555" s="35"/>
      <c r="AQ555" s="30"/>
      <c r="AR555" s="36">
        <f t="shared" ref="AR555" si="501">IFERROR(AQ555*$P555/$N555,0)</f>
        <v>0</v>
      </c>
      <c r="AS555" s="27"/>
      <c r="AT555" s="37"/>
      <c r="AU555" s="30"/>
      <c r="AV555" s="36">
        <f t="shared" ref="AV555" si="502">IFERROR(AU555*$P555/$N555,0)</f>
        <v>0</v>
      </c>
      <c r="AW555" s="35"/>
      <c r="AX555" s="30"/>
      <c r="AY555" s="32">
        <f t="shared" ref="AY555" si="503">IFERROR(AX555*$P555/$N555,0)</f>
        <v>0</v>
      </c>
      <c r="AZ555" s="30" t="s">
        <v>841</v>
      </c>
      <c r="BA555" s="63"/>
      <c r="BB555" s="71" t="e">
        <f>SUMIFS([1]Form!$F$9:$F$22,[1]Form!$K$9:$K$22,K555)</f>
        <v>#VALUE!</v>
      </c>
      <c r="BC555" s="71"/>
      <c r="BD555" s="71"/>
    </row>
    <row r="556" spans="1:56" x14ac:dyDescent="0.25">
      <c r="A556" s="24">
        <f>IF(B556="","",SUBTOTAL(3,$B$4:B556))</f>
        <v>553</v>
      </c>
      <c r="B556" s="25" t="s">
        <v>840</v>
      </c>
      <c r="C556" s="25" t="str">
        <f t="shared" ref="C556" si="504">D556&amp;" "&amp;E556</f>
        <v>Shipment 1 B-10124 Fired Proces Heater</v>
      </c>
      <c r="D556" s="25" t="s">
        <v>839</v>
      </c>
      <c r="E556" s="25" t="s">
        <v>838</v>
      </c>
      <c r="F556" s="25"/>
      <c r="G556" s="65"/>
      <c r="H556" s="25" t="s">
        <v>842</v>
      </c>
      <c r="I556" s="25"/>
      <c r="J556" s="26" t="s">
        <v>845</v>
      </c>
      <c r="K556" s="27" t="s">
        <v>1237</v>
      </c>
      <c r="L556" s="28" t="s">
        <v>1241</v>
      </c>
      <c r="M556" s="28" t="s">
        <v>777</v>
      </c>
      <c r="N556" s="25">
        <v>1</v>
      </c>
      <c r="O556" s="29">
        <v>66.5</v>
      </c>
      <c r="P556" s="29">
        <v>66.5</v>
      </c>
      <c r="Q556" s="25" t="s">
        <v>1238</v>
      </c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ref="AE556" si="505">+AL556*0.5+AO556*0.4+AV556*0.1</f>
        <v>0</v>
      </c>
      <c r="AF556" s="32">
        <f t="shared" ref="AF556" si="506">+P556-AE556</f>
        <v>66.5</v>
      </c>
      <c r="AG556" s="30"/>
      <c r="AH556" s="33"/>
      <c r="AI556" s="34">
        <f t="shared" ref="AI556" si="507">+AH556*P556</f>
        <v>0</v>
      </c>
      <c r="AJ556" s="35"/>
      <c r="AK556" s="30"/>
      <c r="AL556" s="36">
        <f t="shared" ref="AL556" si="508">IFERROR(AK556*$P556/$N556,0)</f>
        <v>0</v>
      </c>
      <c r="AM556" s="35"/>
      <c r="AN556" s="30"/>
      <c r="AO556" s="36">
        <f t="shared" ref="AO556" si="509">IFERROR(AN556*$P556/$N556,0)</f>
        <v>0</v>
      </c>
      <c r="AP556" s="35"/>
      <c r="AQ556" s="30"/>
      <c r="AR556" s="36">
        <f t="shared" ref="AR556" si="510">IFERROR(AQ556*$P556/$N556,0)</f>
        <v>0</v>
      </c>
      <c r="AS556" s="27"/>
      <c r="AT556" s="37"/>
      <c r="AU556" s="30"/>
      <c r="AV556" s="36">
        <f t="shared" ref="AV556" si="511">IFERROR(AU556*$P556/$N556,0)</f>
        <v>0</v>
      </c>
      <c r="AW556" s="35"/>
      <c r="AX556" s="30"/>
      <c r="AY556" s="32">
        <f t="shared" ref="AY556" si="512">IFERROR(AX556*$P556/$N556,0)</f>
        <v>0</v>
      </c>
      <c r="AZ556" s="30" t="s">
        <v>841</v>
      </c>
      <c r="BA556" s="63"/>
      <c r="BB556" s="71" t="e">
        <f>SUMIFS([1]Form!$F$9:$F$22,[1]Form!$K$9:$K$22,K556)</f>
        <v>#VALUE!</v>
      </c>
      <c r="BC556" s="71"/>
      <c r="BD556" s="71"/>
    </row>
    <row r="557" spans="1:56" x14ac:dyDescent="0.25">
      <c r="A557" s="24">
        <f>IF(B557="","",SUBTOTAL(3,$B$4:B557))</f>
        <v>554</v>
      </c>
      <c r="B557" s="25" t="s">
        <v>840</v>
      </c>
      <c r="C557" s="25" t="str">
        <f t="shared" ref="C557" si="513">D557&amp;" "&amp;E557</f>
        <v>Shipment 1 B-10124 Fired Proces Heater</v>
      </c>
      <c r="D557" s="25" t="s">
        <v>839</v>
      </c>
      <c r="E557" s="25" t="s">
        <v>838</v>
      </c>
      <c r="F557" s="25"/>
      <c r="G557" s="65"/>
      <c r="H557" s="25" t="s">
        <v>842</v>
      </c>
      <c r="I557" s="25"/>
      <c r="J557" s="26" t="s">
        <v>845</v>
      </c>
      <c r="K557" s="27" t="s">
        <v>1237</v>
      </c>
      <c r="L557" s="28" t="s">
        <v>1242</v>
      </c>
      <c r="M557" s="28" t="s">
        <v>777</v>
      </c>
      <c r="N557" s="25">
        <v>1</v>
      </c>
      <c r="O557" s="29">
        <v>66.5</v>
      </c>
      <c r="P557" s="29">
        <v>66.5</v>
      </c>
      <c r="Q557" s="25" t="s">
        <v>1238</v>
      </c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ref="AE557" si="514">+AL557*0.5+AO557*0.4+AV557*0.1</f>
        <v>0</v>
      </c>
      <c r="AF557" s="32">
        <f t="shared" ref="AF557" si="515">+P557-AE557</f>
        <v>66.5</v>
      </c>
      <c r="AG557" s="30"/>
      <c r="AH557" s="33"/>
      <c r="AI557" s="34">
        <f t="shared" ref="AI557" si="516">+AH557*P557</f>
        <v>0</v>
      </c>
      <c r="AJ557" s="35"/>
      <c r="AK557" s="30"/>
      <c r="AL557" s="36">
        <f t="shared" ref="AL557" si="517">IFERROR(AK557*$P557/$N557,0)</f>
        <v>0</v>
      </c>
      <c r="AM557" s="35"/>
      <c r="AN557" s="30"/>
      <c r="AO557" s="36">
        <f t="shared" ref="AO557" si="518">IFERROR(AN557*$P557/$N557,0)</f>
        <v>0</v>
      </c>
      <c r="AP557" s="35"/>
      <c r="AQ557" s="30"/>
      <c r="AR557" s="36">
        <f t="shared" ref="AR557" si="519">IFERROR(AQ557*$P557/$N557,0)</f>
        <v>0</v>
      </c>
      <c r="AS557" s="27"/>
      <c r="AT557" s="37"/>
      <c r="AU557" s="30"/>
      <c r="AV557" s="36">
        <f t="shared" ref="AV557" si="520">IFERROR(AU557*$P557/$N557,0)</f>
        <v>0</v>
      </c>
      <c r="AW557" s="35"/>
      <c r="AX557" s="30"/>
      <c r="AY557" s="32">
        <f t="shared" ref="AY557" si="521">IFERROR(AX557*$P557/$N557,0)</f>
        <v>0</v>
      </c>
      <c r="AZ557" s="30" t="s">
        <v>841</v>
      </c>
      <c r="BA557" s="63"/>
      <c r="BB557" s="71" t="e">
        <f>SUMIFS([1]Form!$F$9:$F$22,[1]Form!$K$9:$K$22,K557)</f>
        <v>#VALUE!</v>
      </c>
      <c r="BC557" s="71"/>
      <c r="BD557" s="71"/>
    </row>
    <row r="558" spans="1:56" x14ac:dyDescent="0.25">
      <c r="A558" s="24">
        <f>IF(B558="","",SUBTOTAL(3,$B$4:B558))</f>
        <v>555</v>
      </c>
      <c r="B558" s="25" t="s">
        <v>840</v>
      </c>
      <c r="C558" s="25" t="str">
        <f t="shared" ref="C558" si="522">D558&amp;" "&amp;E558</f>
        <v>Shipment 1 B-10124 Fired Proces Heater</v>
      </c>
      <c r="D558" s="25" t="s">
        <v>839</v>
      </c>
      <c r="E558" s="25" t="s">
        <v>838</v>
      </c>
      <c r="F558" s="25"/>
      <c r="G558" s="65"/>
      <c r="H558" s="25" t="s">
        <v>842</v>
      </c>
      <c r="I558" s="25"/>
      <c r="J558" s="26" t="s">
        <v>845</v>
      </c>
      <c r="K558" s="27" t="s">
        <v>1237</v>
      </c>
      <c r="L558" s="28" t="s">
        <v>1243</v>
      </c>
      <c r="M558" s="28" t="s">
        <v>777</v>
      </c>
      <c r="N558" s="25">
        <v>1</v>
      </c>
      <c r="O558" s="29">
        <v>66.5</v>
      </c>
      <c r="P558" s="29">
        <v>66.5</v>
      </c>
      <c r="Q558" s="25" t="s">
        <v>1238</v>
      </c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ref="AE558" si="523">+AL558*0.5+AO558*0.4+AV558*0.1</f>
        <v>0</v>
      </c>
      <c r="AF558" s="32">
        <f t="shared" ref="AF558" si="524">+P558-AE558</f>
        <v>66.5</v>
      </c>
      <c r="AG558" s="30"/>
      <c r="AH558" s="33"/>
      <c r="AI558" s="34">
        <f t="shared" ref="AI558" si="525">+AH558*P558</f>
        <v>0</v>
      </c>
      <c r="AJ558" s="35"/>
      <c r="AK558" s="30"/>
      <c r="AL558" s="36">
        <f t="shared" ref="AL558" si="526">IFERROR(AK558*$P558/$N558,0)</f>
        <v>0</v>
      </c>
      <c r="AM558" s="35"/>
      <c r="AN558" s="30"/>
      <c r="AO558" s="36">
        <f t="shared" ref="AO558" si="527">IFERROR(AN558*$P558/$N558,0)</f>
        <v>0</v>
      </c>
      <c r="AP558" s="35"/>
      <c r="AQ558" s="30"/>
      <c r="AR558" s="36">
        <f t="shared" ref="AR558" si="528">IFERROR(AQ558*$P558/$N558,0)</f>
        <v>0</v>
      </c>
      <c r="AS558" s="27"/>
      <c r="AT558" s="37"/>
      <c r="AU558" s="30"/>
      <c r="AV558" s="36">
        <f t="shared" ref="AV558" si="529">IFERROR(AU558*$P558/$N558,0)</f>
        <v>0</v>
      </c>
      <c r="AW558" s="35"/>
      <c r="AX558" s="30"/>
      <c r="AY558" s="32">
        <f t="shared" ref="AY558" si="530">IFERROR(AX558*$P558/$N558,0)</f>
        <v>0</v>
      </c>
      <c r="AZ558" s="30" t="s">
        <v>841</v>
      </c>
      <c r="BA558" s="63"/>
      <c r="BB558" s="71" t="e">
        <f>SUMIFS([1]Form!$F$9:$F$22,[1]Form!$K$9:$K$22,K558)</f>
        <v>#VALUE!</v>
      </c>
      <c r="BC558" s="71"/>
      <c r="BD558" s="71"/>
    </row>
    <row r="559" spans="1:56" x14ac:dyDescent="0.25">
      <c r="A559" s="24">
        <f>IF(B559="","",SUBTOTAL(3,$B$4:B559))</f>
        <v>556</v>
      </c>
      <c r="B559" s="25" t="s">
        <v>840</v>
      </c>
      <c r="C559" s="25" t="str">
        <f t="shared" si="162"/>
        <v>Shipment 1 B-10124 Fired Proces Heater</v>
      </c>
      <c r="D559" s="25" t="s">
        <v>839</v>
      </c>
      <c r="E559" s="25" t="s">
        <v>838</v>
      </c>
      <c r="F559" s="25"/>
      <c r="G559" s="65"/>
      <c r="H559" s="25" t="s">
        <v>842</v>
      </c>
      <c r="I559" s="25"/>
      <c r="J559" s="26" t="s">
        <v>844</v>
      </c>
      <c r="K559" s="27" t="s">
        <v>660</v>
      </c>
      <c r="L559" s="28" t="s">
        <v>661</v>
      </c>
      <c r="M559" s="28" t="s">
        <v>817</v>
      </c>
      <c r="N559" s="25">
        <v>1</v>
      </c>
      <c r="O559" s="29">
        <v>180.5</v>
      </c>
      <c r="P559" s="29">
        <v>180.5</v>
      </c>
      <c r="Q559" s="25" t="s">
        <v>820</v>
      </c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63"/>
        <v>0</v>
      </c>
      <c r="AF559" s="32">
        <f t="shared" si="164"/>
        <v>180.5</v>
      </c>
      <c r="AG559" s="30"/>
      <c r="AH559" s="33"/>
      <c r="AI559" s="34">
        <f t="shared" si="165"/>
        <v>0</v>
      </c>
      <c r="AJ559" s="35"/>
      <c r="AK559" s="30"/>
      <c r="AL559" s="36">
        <f t="shared" si="166"/>
        <v>0</v>
      </c>
      <c r="AM559" s="35"/>
      <c r="AN559" s="30"/>
      <c r="AO559" s="36">
        <f t="shared" si="167"/>
        <v>0</v>
      </c>
      <c r="AP559" s="35"/>
      <c r="AQ559" s="30"/>
      <c r="AR559" s="36">
        <f t="shared" si="168"/>
        <v>0</v>
      </c>
      <c r="AS559" s="27"/>
      <c r="AT559" s="37"/>
      <c r="AU559" s="30"/>
      <c r="AV559" s="36">
        <f t="shared" si="169"/>
        <v>0</v>
      </c>
      <c r="AW559" s="35"/>
      <c r="AX559" s="30"/>
      <c r="AY559" s="32">
        <f t="shared" si="170"/>
        <v>0</v>
      </c>
      <c r="AZ559" s="30" t="s">
        <v>841</v>
      </c>
      <c r="BA559" s="63"/>
      <c r="BB559" s="71" t="e">
        <f>SUMIFS([1]Form!$F$9:$F$22,[1]Form!$K$9:$K$22,K559)</f>
        <v>#VALUE!</v>
      </c>
      <c r="BC559" s="71"/>
      <c r="BD559" s="71"/>
    </row>
    <row r="560" spans="1:56" x14ac:dyDescent="0.25">
      <c r="A560" s="24">
        <f>IF(B560="","",SUBTOTAL(3,$B$4:B560))</f>
        <v>557</v>
      </c>
      <c r="B560" s="25" t="s">
        <v>840</v>
      </c>
      <c r="C560" s="25" t="str">
        <f t="shared" si="162"/>
        <v>Shipment 1 B-10124 Fired Proces Heater</v>
      </c>
      <c r="D560" s="25" t="s">
        <v>839</v>
      </c>
      <c r="E560" s="25" t="s">
        <v>838</v>
      </c>
      <c r="F560" s="25"/>
      <c r="G560" s="65"/>
      <c r="H560" s="25" t="s">
        <v>842</v>
      </c>
      <c r="I560" s="25"/>
      <c r="J560" s="26" t="s">
        <v>844</v>
      </c>
      <c r="K560" s="27" t="s">
        <v>662</v>
      </c>
      <c r="L560" s="28" t="s">
        <v>663</v>
      </c>
      <c r="M560" s="28" t="s">
        <v>817</v>
      </c>
      <c r="N560" s="25">
        <v>1</v>
      </c>
      <c r="O560" s="29">
        <v>33.262500000000003</v>
      </c>
      <c r="P560" s="29">
        <v>33.262500000000003</v>
      </c>
      <c r="Q560" s="25" t="s">
        <v>821</v>
      </c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63"/>
        <v>0</v>
      </c>
      <c r="AF560" s="32">
        <f t="shared" si="164"/>
        <v>33.262500000000003</v>
      </c>
      <c r="AG560" s="30"/>
      <c r="AH560" s="33"/>
      <c r="AI560" s="34">
        <f t="shared" si="165"/>
        <v>0</v>
      </c>
      <c r="AJ560" s="35"/>
      <c r="AK560" s="30"/>
      <c r="AL560" s="36">
        <f t="shared" si="166"/>
        <v>0</v>
      </c>
      <c r="AM560" s="35"/>
      <c r="AN560" s="30"/>
      <c r="AO560" s="36">
        <f t="shared" si="167"/>
        <v>0</v>
      </c>
      <c r="AP560" s="35"/>
      <c r="AQ560" s="30"/>
      <c r="AR560" s="36">
        <f t="shared" si="168"/>
        <v>0</v>
      </c>
      <c r="AS560" s="27"/>
      <c r="AT560" s="37"/>
      <c r="AU560" s="30"/>
      <c r="AV560" s="36">
        <f t="shared" si="169"/>
        <v>0</v>
      </c>
      <c r="AW560" s="35"/>
      <c r="AX560" s="30"/>
      <c r="AY560" s="32">
        <f t="shared" si="170"/>
        <v>0</v>
      </c>
      <c r="AZ560" s="30" t="s">
        <v>841</v>
      </c>
      <c r="BA560" s="63"/>
      <c r="BB560" s="71" t="e">
        <f>SUMIFS([1]Form!$F$9:$F$22,[1]Form!$K$9:$K$22,K560)</f>
        <v>#VALUE!</v>
      </c>
      <c r="BC560" s="71"/>
      <c r="BD560" s="71"/>
    </row>
    <row r="561" spans="1:56" x14ac:dyDescent="0.25">
      <c r="A561" s="24">
        <f>IF(B561="","",SUBTOTAL(3,$B$4:B561))</f>
        <v>558</v>
      </c>
      <c r="B561" s="25" t="s">
        <v>840</v>
      </c>
      <c r="C561" s="25" t="str">
        <f t="shared" si="162"/>
        <v>Shipment 1 B-10124 Fired Proces Heater</v>
      </c>
      <c r="D561" s="25" t="s">
        <v>839</v>
      </c>
      <c r="E561" s="25" t="s">
        <v>838</v>
      </c>
      <c r="F561" s="25"/>
      <c r="G561" s="65"/>
      <c r="H561" s="25" t="s">
        <v>842</v>
      </c>
      <c r="I561" s="25"/>
      <c r="J561" s="26" t="s">
        <v>844</v>
      </c>
      <c r="K561" s="27" t="s">
        <v>662</v>
      </c>
      <c r="L561" s="28" t="s">
        <v>664</v>
      </c>
      <c r="M561" s="28" t="s">
        <v>817</v>
      </c>
      <c r="N561" s="25">
        <v>1</v>
      </c>
      <c r="O561" s="29">
        <v>33.262500000000003</v>
      </c>
      <c r="P561" s="29">
        <v>33.262500000000003</v>
      </c>
      <c r="Q561" s="25" t="s">
        <v>821</v>
      </c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63"/>
        <v>0</v>
      </c>
      <c r="AF561" s="32">
        <f t="shared" si="164"/>
        <v>33.262500000000003</v>
      </c>
      <c r="AG561" s="30"/>
      <c r="AH561" s="33"/>
      <c r="AI561" s="34">
        <f t="shared" si="165"/>
        <v>0</v>
      </c>
      <c r="AJ561" s="35"/>
      <c r="AK561" s="30"/>
      <c r="AL561" s="36">
        <f t="shared" si="166"/>
        <v>0</v>
      </c>
      <c r="AM561" s="35"/>
      <c r="AN561" s="30"/>
      <c r="AO561" s="36">
        <f t="shared" si="167"/>
        <v>0</v>
      </c>
      <c r="AP561" s="35"/>
      <c r="AQ561" s="30"/>
      <c r="AR561" s="36">
        <f t="shared" si="168"/>
        <v>0</v>
      </c>
      <c r="AS561" s="27"/>
      <c r="AT561" s="37"/>
      <c r="AU561" s="30"/>
      <c r="AV561" s="36">
        <f t="shared" si="169"/>
        <v>0</v>
      </c>
      <c r="AW561" s="35"/>
      <c r="AX561" s="30"/>
      <c r="AY561" s="32">
        <f t="shared" si="170"/>
        <v>0</v>
      </c>
      <c r="AZ561" s="30" t="s">
        <v>841</v>
      </c>
      <c r="BA561" s="63"/>
      <c r="BB561" s="71" t="e">
        <f>SUMIFS([1]Form!$F$9:$F$22,[1]Form!$K$9:$K$22,K561)</f>
        <v>#VALUE!</v>
      </c>
      <c r="BC561" s="71"/>
      <c r="BD561" s="71"/>
    </row>
    <row r="562" spans="1:56" x14ac:dyDescent="0.25">
      <c r="A562" s="24">
        <f>IF(B562="","",SUBTOTAL(3,$B$4:B562))</f>
        <v>559</v>
      </c>
      <c r="B562" s="25" t="s">
        <v>840</v>
      </c>
      <c r="C562" s="25" t="str">
        <f t="shared" si="162"/>
        <v>Shipment 1 B-10124 Fired Proces Heater</v>
      </c>
      <c r="D562" s="25" t="s">
        <v>839</v>
      </c>
      <c r="E562" s="25" t="s">
        <v>838</v>
      </c>
      <c r="F562" s="25"/>
      <c r="G562" s="65"/>
      <c r="H562" s="25" t="s">
        <v>842</v>
      </c>
      <c r="I562" s="25"/>
      <c r="J562" s="26" t="s">
        <v>844</v>
      </c>
      <c r="K562" s="27" t="s">
        <v>662</v>
      </c>
      <c r="L562" s="28" t="s">
        <v>665</v>
      </c>
      <c r="M562" s="28" t="s">
        <v>817</v>
      </c>
      <c r="N562" s="25">
        <v>1</v>
      </c>
      <c r="O562" s="29">
        <v>33.262500000000003</v>
      </c>
      <c r="P562" s="29">
        <v>33.262500000000003</v>
      </c>
      <c r="Q562" s="25" t="s">
        <v>821</v>
      </c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63"/>
        <v>0</v>
      </c>
      <c r="AF562" s="32">
        <f t="shared" si="164"/>
        <v>33.262500000000003</v>
      </c>
      <c r="AG562" s="30"/>
      <c r="AH562" s="33"/>
      <c r="AI562" s="34">
        <f t="shared" si="165"/>
        <v>0</v>
      </c>
      <c r="AJ562" s="35"/>
      <c r="AK562" s="30"/>
      <c r="AL562" s="36">
        <f t="shared" si="166"/>
        <v>0</v>
      </c>
      <c r="AM562" s="35"/>
      <c r="AN562" s="30"/>
      <c r="AO562" s="36">
        <f t="shared" si="167"/>
        <v>0</v>
      </c>
      <c r="AP562" s="35"/>
      <c r="AQ562" s="30"/>
      <c r="AR562" s="36">
        <f t="shared" si="168"/>
        <v>0</v>
      </c>
      <c r="AS562" s="27"/>
      <c r="AT562" s="37"/>
      <c r="AU562" s="30"/>
      <c r="AV562" s="36">
        <f t="shared" si="169"/>
        <v>0</v>
      </c>
      <c r="AW562" s="35"/>
      <c r="AX562" s="30"/>
      <c r="AY562" s="32">
        <f t="shared" si="170"/>
        <v>0</v>
      </c>
      <c r="AZ562" s="30" t="s">
        <v>841</v>
      </c>
      <c r="BA562" s="63"/>
      <c r="BB562" s="71" t="e">
        <f>SUMIFS([1]Form!$F$9:$F$22,[1]Form!$K$9:$K$22,K562)</f>
        <v>#VALUE!</v>
      </c>
      <c r="BC562" s="71"/>
      <c r="BD562" s="71"/>
    </row>
    <row r="563" spans="1:56" x14ac:dyDescent="0.25">
      <c r="A563" s="24">
        <f>IF(B563="","",SUBTOTAL(3,$B$4:B563))</f>
        <v>560</v>
      </c>
      <c r="B563" s="25" t="s">
        <v>840</v>
      </c>
      <c r="C563" s="25" t="str">
        <f t="shared" si="162"/>
        <v>Shipment 1 B-10124 Fired Proces Heater</v>
      </c>
      <c r="D563" s="25" t="s">
        <v>839</v>
      </c>
      <c r="E563" s="25" t="s">
        <v>838</v>
      </c>
      <c r="F563" s="25"/>
      <c r="G563" s="65"/>
      <c r="H563" s="25" t="s">
        <v>842</v>
      </c>
      <c r="I563" s="25"/>
      <c r="J563" s="26" t="s">
        <v>844</v>
      </c>
      <c r="K563" s="27" t="s">
        <v>662</v>
      </c>
      <c r="L563" s="28" t="s">
        <v>666</v>
      </c>
      <c r="M563" s="28" t="s">
        <v>817</v>
      </c>
      <c r="N563" s="25">
        <v>1</v>
      </c>
      <c r="O563" s="29">
        <v>33.262500000000003</v>
      </c>
      <c r="P563" s="29">
        <v>33.262500000000003</v>
      </c>
      <c r="Q563" s="25" t="s">
        <v>821</v>
      </c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63"/>
        <v>0</v>
      </c>
      <c r="AF563" s="32">
        <f t="shared" si="164"/>
        <v>33.262500000000003</v>
      </c>
      <c r="AG563" s="30"/>
      <c r="AH563" s="33"/>
      <c r="AI563" s="34">
        <f t="shared" si="165"/>
        <v>0</v>
      </c>
      <c r="AJ563" s="35"/>
      <c r="AK563" s="30"/>
      <c r="AL563" s="36">
        <f t="shared" si="166"/>
        <v>0</v>
      </c>
      <c r="AM563" s="35"/>
      <c r="AN563" s="30"/>
      <c r="AO563" s="36">
        <f t="shared" si="167"/>
        <v>0</v>
      </c>
      <c r="AP563" s="35"/>
      <c r="AQ563" s="30"/>
      <c r="AR563" s="36">
        <f t="shared" si="168"/>
        <v>0</v>
      </c>
      <c r="AS563" s="27"/>
      <c r="AT563" s="37"/>
      <c r="AU563" s="30"/>
      <c r="AV563" s="36">
        <f t="shared" si="169"/>
        <v>0</v>
      </c>
      <c r="AW563" s="35"/>
      <c r="AX563" s="30"/>
      <c r="AY563" s="32">
        <f t="shared" si="170"/>
        <v>0</v>
      </c>
      <c r="AZ563" s="30" t="s">
        <v>841</v>
      </c>
      <c r="BA563" s="63"/>
      <c r="BB563" s="71" t="e">
        <f>SUMIFS([1]Form!$F$9:$F$22,[1]Form!$K$9:$K$22,K563)</f>
        <v>#VALUE!</v>
      </c>
      <c r="BC563" s="71"/>
      <c r="BD563" s="71"/>
    </row>
    <row r="564" spans="1:56" x14ac:dyDescent="0.25">
      <c r="A564" s="24">
        <f>IF(B564="","",SUBTOTAL(3,$B$4:B564))</f>
        <v>561</v>
      </c>
      <c r="B564" s="25" t="s">
        <v>840</v>
      </c>
      <c r="C564" s="25" t="str">
        <f t="shared" si="162"/>
        <v>Shipment 1 B-10124 Fired Proces Heater</v>
      </c>
      <c r="D564" s="25" t="s">
        <v>839</v>
      </c>
      <c r="E564" s="25" t="s">
        <v>838</v>
      </c>
      <c r="F564" s="25"/>
      <c r="G564" s="65"/>
      <c r="H564" s="25" t="s">
        <v>842</v>
      </c>
      <c r="I564" s="25"/>
      <c r="J564" s="26" t="s">
        <v>844</v>
      </c>
      <c r="K564" s="27" t="s">
        <v>662</v>
      </c>
      <c r="L564" s="28" t="s">
        <v>667</v>
      </c>
      <c r="M564" s="28" t="s">
        <v>817</v>
      </c>
      <c r="N564" s="25">
        <v>1</v>
      </c>
      <c r="O564" s="29">
        <v>33.262500000000003</v>
      </c>
      <c r="P564" s="29">
        <v>33.262500000000003</v>
      </c>
      <c r="Q564" s="25" t="s">
        <v>821</v>
      </c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63"/>
        <v>0</v>
      </c>
      <c r="AF564" s="32">
        <f t="shared" si="164"/>
        <v>33.262500000000003</v>
      </c>
      <c r="AG564" s="30"/>
      <c r="AH564" s="33"/>
      <c r="AI564" s="34">
        <f t="shared" si="165"/>
        <v>0</v>
      </c>
      <c r="AJ564" s="35"/>
      <c r="AK564" s="30"/>
      <c r="AL564" s="36">
        <f t="shared" si="166"/>
        <v>0</v>
      </c>
      <c r="AM564" s="35"/>
      <c r="AN564" s="30"/>
      <c r="AO564" s="36">
        <f t="shared" si="167"/>
        <v>0</v>
      </c>
      <c r="AP564" s="35"/>
      <c r="AQ564" s="30"/>
      <c r="AR564" s="36">
        <f t="shared" si="168"/>
        <v>0</v>
      </c>
      <c r="AS564" s="27"/>
      <c r="AT564" s="37"/>
      <c r="AU564" s="30"/>
      <c r="AV564" s="36">
        <f t="shared" si="169"/>
        <v>0</v>
      </c>
      <c r="AW564" s="35"/>
      <c r="AX564" s="30"/>
      <c r="AY564" s="32">
        <f t="shared" si="170"/>
        <v>0</v>
      </c>
      <c r="AZ564" s="30" t="s">
        <v>841</v>
      </c>
      <c r="BA564" s="63"/>
      <c r="BB564" s="71" t="e">
        <f>SUMIFS([1]Form!$F$9:$F$22,[1]Form!$K$9:$K$22,K564)</f>
        <v>#VALUE!</v>
      </c>
      <c r="BC564" s="71"/>
      <c r="BD564" s="71"/>
    </row>
    <row r="565" spans="1:56" x14ac:dyDescent="0.25">
      <c r="A565" s="24">
        <f>IF(B565="","",SUBTOTAL(3,$B$4:B565))</f>
        <v>562</v>
      </c>
      <c r="B565" s="25" t="s">
        <v>840</v>
      </c>
      <c r="C565" s="25" t="str">
        <f t="shared" si="162"/>
        <v>Shipment 1 B-10124 Fired Proces Heater</v>
      </c>
      <c r="D565" s="25" t="s">
        <v>839</v>
      </c>
      <c r="E565" s="25" t="s">
        <v>838</v>
      </c>
      <c r="F565" s="25"/>
      <c r="G565" s="65"/>
      <c r="H565" s="25" t="s">
        <v>842</v>
      </c>
      <c r="I565" s="25"/>
      <c r="J565" s="26" t="s">
        <v>844</v>
      </c>
      <c r="K565" s="27" t="s">
        <v>662</v>
      </c>
      <c r="L565" s="28" t="s">
        <v>668</v>
      </c>
      <c r="M565" s="28" t="s">
        <v>817</v>
      </c>
      <c r="N565" s="25">
        <v>1</v>
      </c>
      <c r="O565" s="29">
        <v>33.262500000000003</v>
      </c>
      <c r="P565" s="29">
        <v>33.262500000000003</v>
      </c>
      <c r="Q565" s="25" t="s">
        <v>821</v>
      </c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63"/>
        <v>0</v>
      </c>
      <c r="AF565" s="32">
        <f t="shared" si="164"/>
        <v>33.262500000000003</v>
      </c>
      <c r="AG565" s="30"/>
      <c r="AH565" s="33"/>
      <c r="AI565" s="34">
        <f t="shared" si="165"/>
        <v>0</v>
      </c>
      <c r="AJ565" s="35"/>
      <c r="AK565" s="30"/>
      <c r="AL565" s="36">
        <f t="shared" si="166"/>
        <v>0</v>
      </c>
      <c r="AM565" s="35"/>
      <c r="AN565" s="30"/>
      <c r="AO565" s="36">
        <f t="shared" si="167"/>
        <v>0</v>
      </c>
      <c r="AP565" s="35"/>
      <c r="AQ565" s="30"/>
      <c r="AR565" s="36">
        <f t="shared" si="168"/>
        <v>0</v>
      </c>
      <c r="AS565" s="27"/>
      <c r="AT565" s="37"/>
      <c r="AU565" s="30"/>
      <c r="AV565" s="36">
        <f t="shared" si="169"/>
        <v>0</v>
      </c>
      <c r="AW565" s="35"/>
      <c r="AX565" s="30"/>
      <c r="AY565" s="32">
        <f t="shared" si="170"/>
        <v>0</v>
      </c>
      <c r="AZ565" s="30" t="s">
        <v>841</v>
      </c>
      <c r="BA565" s="63"/>
      <c r="BB565" s="71" t="e">
        <f>SUMIFS([1]Form!$F$9:$F$22,[1]Form!$K$9:$K$22,K565)</f>
        <v>#VALUE!</v>
      </c>
      <c r="BC565" s="71"/>
      <c r="BD565" s="71"/>
    </row>
    <row r="566" spans="1:56" x14ac:dyDescent="0.25">
      <c r="A566" s="24">
        <f>IF(B566="","",SUBTOTAL(3,$B$4:B566))</f>
        <v>563</v>
      </c>
      <c r="B566" s="25" t="s">
        <v>840</v>
      </c>
      <c r="C566" s="25" t="str">
        <f t="shared" si="162"/>
        <v>Shipment 1 B-10124 Fired Proces Heater</v>
      </c>
      <c r="D566" s="25" t="s">
        <v>839</v>
      </c>
      <c r="E566" s="25" t="s">
        <v>838</v>
      </c>
      <c r="F566" s="25"/>
      <c r="G566" s="65"/>
      <c r="H566" s="25" t="s">
        <v>842</v>
      </c>
      <c r="I566" s="25"/>
      <c r="J566" s="26" t="s">
        <v>844</v>
      </c>
      <c r="K566" s="27" t="s">
        <v>662</v>
      </c>
      <c r="L566" s="28" t="s">
        <v>669</v>
      </c>
      <c r="M566" s="28" t="s">
        <v>817</v>
      </c>
      <c r="N566" s="25">
        <v>1</v>
      </c>
      <c r="O566" s="29">
        <v>33.262500000000003</v>
      </c>
      <c r="P566" s="29">
        <v>33.262500000000003</v>
      </c>
      <c r="Q566" s="25" t="s">
        <v>821</v>
      </c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63"/>
        <v>0</v>
      </c>
      <c r="AF566" s="32">
        <f t="shared" si="164"/>
        <v>33.262500000000003</v>
      </c>
      <c r="AG566" s="30"/>
      <c r="AH566" s="33"/>
      <c r="AI566" s="34">
        <f t="shared" si="165"/>
        <v>0</v>
      </c>
      <c r="AJ566" s="35"/>
      <c r="AK566" s="30"/>
      <c r="AL566" s="36">
        <f t="shared" si="166"/>
        <v>0</v>
      </c>
      <c r="AM566" s="35"/>
      <c r="AN566" s="30"/>
      <c r="AO566" s="36">
        <f t="shared" si="167"/>
        <v>0</v>
      </c>
      <c r="AP566" s="35"/>
      <c r="AQ566" s="30"/>
      <c r="AR566" s="36">
        <f t="shared" si="168"/>
        <v>0</v>
      </c>
      <c r="AS566" s="27"/>
      <c r="AT566" s="37"/>
      <c r="AU566" s="30"/>
      <c r="AV566" s="36">
        <f t="shared" si="169"/>
        <v>0</v>
      </c>
      <c r="AW566" s="35"/>
      <c r="AX566" s="30"/>
      <c r="AY566" s="32">
        <f t="shared" si="170"/>
        <v>0</v>
      </c>
      <c r="AZ566" s="30" t="s">
        <v>841</v>
      </c>
      <c r="BA566" s="63"/>
      <c r="BB566" s="71" t="e">
        <f>SUMIFS([1]Form!$F$9:$F$22,[1]Form!$K$9:$K$22,K566)</f>
        <v>#VALUE!</v>
      </c>
      <c r="BC566" s="71"/>
      <c r="BD566" s="71"/>
    </row>
    <row r="567" spans="1:56" x14ac:dyDescent="0.25">
      <c r="A567" s="24">
        <f>IF(B567="","",SUBTOTAL(3,$B$4:B567))</f>
        <v>564</v>
      </c>
      <c r="B567" s="25" t="s">
        <v>840</v>
      </c>
      <c r="C567" s="25" t="str">
        <f t="shared" si="162"/>
        <v>Shipment 1 B-10124 Fired Proces Heater</v>
      </c>
      <c r="D567" s="25" t="s">
        <v>839</v>
      </c>
      <c r="E567" s="25" t="s">
        <v>838</v>
      </c>
      <c r="F567" s="25"/>
      <c r="G567" s="65"/>
      <c r="H567" s="25" t="s">
        <v>842</v>
      </c>
      <c r="I567" s="25"/>
      <c r="J567" s="26" t="s">
        <v>844</v>
      </c>
      <c r="K567" s="27" t="s">
        <v>662</v>
      </c>
      <c r="L567" s="28" t="s">
        <v>670</v>
      </c>
      <c r="M567" s="28" t="s">
        <v>817</v>
      </c>
      <c r="N567" s="25">
        <v>1</v>
      </c>
      <c r="O567" s="29">
        <v>33.262500000000003</v>
      </c>
      <c r="P567" s="29">
        <v>33.262500000000003</v>
      </c>
      <c r="Q567" s="25" t="s">
        <v>821</v>
      </c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63"/>
        <v>0</v>
      </c>
      <c r="AF567" s="32">
        <f t="shared" si="164"/>
        <v>33.262500000000003</v>
      </c>
      <c r="AG567" s="30"/>
      <c r="AH567" s="33"/>
      <c r="AI567" s="34">
        <f t="shared" si="165"/>
        <v>0</v>
      </c>
      <c r="AJ567" s="35"/>
      <c r="AK567" s="30"/>
      <c r="AL567" s="36">
        <f t="shared" si="166"/>
        <v>0</v>
      </c>
      <c r="AM567" s="35"/>
      <c r="AN567" s="30"/>
      <c r="AO567" s="36">
        <f t="shared" si="167"/>
        <v>0</v>
      </c>
      <c r="AP567" s="35"/>
      <c r="AQ567" s="30"/>
      <c r="AR567" s="36">
        <f t="shared" si="168"/>
        <v>0</v>
      </c>
      <c r="AS567" s="27"/>
      <c r="AT567" s="37"/>
      <c r="AU567" s="30"/>
      <c r="AV567" s="36">
        <f t="shared" si="169"/>
        <v>0</v>
      </c>
      <c r="AW567" s="35"/>
      <c r="AX567" s="30"/>
      <c r="AY567" s="32">
        <f t="shared" si="170"/>
        <v>0</v>
      </c>
      <c r="AZ567" s="30" t="s">
        <v>841</v>
      </c>
      <c r="BA567" s="63"/>
      <c r="BB567" s="71" t="e">
        <f>SUMIFS([1]Form!$F$9:$F$22,[1]Form!$K$9:$K$22,K567)</f>
        <v>#VALUE!</v>
      </c>
      <c r="BC567" s="71"/>
      <c r="BD567" s="71"/>
    </row>
    <row r="568" spans="1:56" x14ac:dyDescent="0.25">
      <c r="A568" s="24">
        <f>IF(B568="","",SUBTOTAL(3,$B$4:B568))</f>
        <v>565</v>
      </c>
      <c r="B568" s="25" t="s">
        <v>840</v>
      </c>
      <c r="C568" s="25" t="str">
        <f t="shared" si="162"/>
        <v>Shipment 1 B-10124 Fired Proces Heater</v>
      </c>
      <c r="D568" s="25" t="s">
        <v>839</v>
      </c>
      <c r="E568" s="25" t="s">
        <v>838</v>
      </c>
      <c r="F568" s="25"/>
      <c r="G568" s="65"/>
      <c r="H568" s="25" t="s">
        <v>842</v>
      </c>
      <c r="I568" s="25"/>
      <c r="J568" s="26" t="s">
        <v>844</v>
      </c>
      <c r="K568" s="27" t="s">
        <v>671</v>
      </c>
      <c r="L568" s="28" t="s">
        <v>672</v>
      </c>
      <c r="M568" s="28" t="s">
        <v>817</v>
      </c>
      <c r="N568" s="25">
        <v>1</v>
      </c>
      <c r="O568" s="29">
        <v>51.05</v>
      </c>
      <c r="P568" s="29">
        <v>51.05</v>
      </c>
      <c r="Q568" s="25" t="s">
        <v>819</v>
      </c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63"/>
        <v>0</v>
      </c>
      <c r="AF568" s="32">
        <f t="shared" si="164"/>
        <v>51.05</v>
      </c>
      <c r="AG568" s="30"/>
      <c r="AH568" s="33"/>
      <c r="AI568" s="34">
        <f t="shared" si="165"/>
        <v>0</v>
      </c>
      <c r="AJ568" s="35"/>
      <c r="AK568" s="30"/>
      <c r="AL568" s="36">
        <f t="shared" si="166"/>
        <v>0</v>
      </c>
      <c r="AM568" s="35"/>
      <c r="AN568" s="30"/>
      <c r="AO568" s="36">
        <f t="shared" si="167"/>
        <v>0</v>
      </c>
      <c r="AP568" s="35"/>
      <c r="AQ568" s="30"/>
      <c r="AR568" s="36">
        <f t="shared" si="168"/>
        <v>0</v>
      </c>
      <c r="AS568" s="27"/>
      <c r="AT568" s="37"/>
      <c r="AU568" s="30"/>
      <c r="AV568" s="36">
        <f t="shared" si="169"/>
        <v>0</v>
      </c>
      <c r="AW568" s="35"/>
      <c r="AX568" s="30"/>
      <c r="AY568" s="32">
        <f t="shared" si="170"/>
        <v>0</v>
      </c>
      <c r="AZ568" s="30" t="s">
        <v>841</v>
      </c>
      <c r="BA568" s="63"/>
      <c r="BB568" s="71" t="e">
        <f>SUMIFS([1]Form!$F$9:$F$22,[1]Form!$K$9:$K$22,K568)</f>
        <v>#VALUE!</v>
      </c>
      <c r="BC568" s="71"/>
      <c r="BD568" s="71"/>
    </row>
    <row r="569" spans="1:56" x14ac:dyDescent="0.25">
      <c r="A569" s="24">
        <f>IF(B569="","",SUBTOTAL(3,$B$4:B569))</f>
        <v>566</v>
      </c>
      <c r="B569" s="25" t="s">
        <v>840</v>
      </c>
      <c r="C569" s="25" t="str">
        <f t="shared" si="162"/>
        <v>Shipment 1 B-10124 Fired Proces Heater</v>
      </c>
      <c r="D569" s="25" t="s">
        <v>839</v>
      </c>
      <c r="E569" s="25" t="s">
        <v>838</v>
      </c>
      <c r="F569" s="25"/>
      <c r="G569" s="65"/>
      <c r="H569" s="25" t="s">
        <v>842</v>
      </c>
      <c r="I569" s="25"/>
      <c r="J569" s="26" t="s">
        <v>844</v>
      </c>
      <c r="K569" s="27" t="s">
        <v>671</v>
      </c>
      <c r="L569" s="28" t="s">
        <v>673</v>
      </c>
      <c r="M569" s="28" t="s">
        <v>817</v>
      </c>
      <c r="N569" s="25">
        <v>1</v>
      </c>
      <c r="O569" s="29">
        <v>51.05</v>
      </c>
      <c r="P569" s="29">
        <v>51.05</v>
      </c>
      <c r="Q569" s="25" t="s">
        <v>819</v>
      </c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63"/>
        <v>0</v>
      </c>
      <c r="AF569" s="32">
        <f t="shared" si="164"/>
        <v>51.05</v>
      </c>
      <c r="AG569" s="30"/>
      <c r="AH569" s="33"/>
      <c r="AI569" s="34">
        <f t="shared" si="165"/>
        <v>0</v>
      </c>
      <c r="AJ569" s="35"/>
      <c r="AK569" s="30"/>
      <c r="AL569" s="36">
        <f t="shared" si="166"/>
        <v>0</v>
      </c>
      <c r="AM569" s="35"/>
      <c r="AN569" s="30"/>
      <c r="AO569" s="36">
        <f t="shared" si="167"/>
        <v>0</v>
      </c>
      <c r="AP569" s="35"/>
      <c r="AQ569" s="30"/>
      <c r="AR569" s="36">
        <f t="shared" si="168"/>
        <v>0</v>
      </c>
      <c r="AS569" s="27"/>
      <c r="AT569" s="37"/>
      <c r="AU569" s="30"/>
      <c r="AV569" s="36">
        <f t="shared" si="169"/>
        <v>0</v>
      </c>
      <c r="AW569" s="35"/>
      <c r="AX569" s="30"/>
      <c r="AY569" s="32">
        <f t="shared" si="170"/>
        <v>0</v>
      </c>
      <c r="AZ569" s="30" t="s">
        <v>841</v>
      </c>
      <c r="BA569" s="63"/>
      <c r="BB569" s="71" t="e">
        <f>SUMIFS([1]Form!$F$9:$F$22,[1]Form!$K$9:$K$22,K569)</f>
        <v>#VALUE!</v>
      </c>
      <c r="BC569" s="71"/>
      <c r="BD569" s="71"/>
    </row>
    <row r="570" spans="1:56" x14ac:dyDescent="0.25">
      <c r="A570" s="24">
        <f>IF(B570="","",SUBTOTAL(3,$B$4:B570))</f>
        <v>567</v>
      </c>
      <c r="B570" s="25" t="s">
        <v>840</v>
      </c>
      <c r="C570" s="25" t="str">
        <f t="shared" si="162"/>
        <v>Shipment 1 B-10124 Fired Proces Heater</v>
      </c>
      <c r="D570" s="25" t="s">
        <v>839</v>
      </c>
      <c r="E570" s="25" t="s">
        <v>838</v>
      </c>
      <c r="F570" s="25"/>
      <c r="G570" s="65"/>
      <c r="H570" s="25" t="s">
        <v>842</v>
      </c>
      <c r="I570" s="25"/>
      <c r="J570" s="26" t="s">
        <v>845</v>
      </c>
      <c r="K570" s="27" t="s">
        <v>978</v>
      </c>
      <c r="L570" s="28" t="s">
        <v>979</v>
      </c>
      <c r="M570" s="28" t="s">
        <v>980</v>
      </c>
      <c r="N570" s="25">
        <v>1</v>
      </c>
      <c r="O570" s="29">
        <v>2149</v>
      </c>
      <c r="P570" s="29">
        <v>2149</v>
      </c>
      <c r="Q570" s="25" t="s">
        <v>981</v>
      </c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63"/>
        <v>0</v>
      </c>
      <c r="AF570" s="32">
        <f t="shared" si="164"/>
        <v>2149</v>
      </c>
      <c r="AG570" s="30"/>
      <c r="AH570" s="33"/>
      <c r="AI570" s="34">
        <f t="shared" si="165"/>
        <v>0</v>
      </c>
      <c r="AJ570" s="35"/>
      <c r="AK570" s="30"/>
      <c r="AL570" s="36">
        <f t="shared" si="166"/>
        <v>0</v>
      </c>
      <c r="AM570" s="35"/>
      <c r="AN570" s="30"/>
      <c r="AO570" s="36">
        <f t="shared" si="167"/>
        <v>0</v>
      </c>
      <c r="AP570" s="35"/>
      <c r="AQ570" s="30"/>
      <c r="AR570" s="36">
        <f t="shared" si="168"/>
        <v>0</v>
      </c>
      <c r="AS570" s="27"/>
      <c r="AT570" s="37"/>
      <c r="AU570" s="30"/>
      <c r="AV570" s="36">
        <f t="shared" si="169"/>
        <v>0</v>
      </c>
      <c r="AW570" s="35"/>
      <c r="AX570" s="30"/>
      <c r="AY570" s="32">
        <f t="shared" si="170"/>
        <v>0</v>
      </c>
      <c r="AZ570" s="30" t="s">
        <v>841</v>
      </c>
      <c r="BA570" s="63"/>
      <c r="BB570" s="71" t="e">
        <f>SUMIFS([1]Form!$F$9:$F$22,[1]Form!$K$9:$K$22,K570)</f>
        <v>#VALUE!</v>
      </c>
      <c r="BC570" s="71"/>
      <c r="BD570" s="71"/>
    </row>
    <row r="571" spans="1:56" x14ac:dyDescent="0.25">
      <c r="A571" s="24">
        <f>IF(B571="","",SUBTOTAL(3,$B$4:B571))</f>
        <v>568</v>
      </c>
      <c r="B571" s="25" t="s">
        <v>840</v>
      </c>
      <c r="C571" s="25" t="str">
        <f t="shared" si="162"/>
        <v>Shipment 1 B-10124 Fired Proces Heater</v>
      </c>
      <c r="D571" s="25" t="s">
        <v>839</v>
      </c>
      <c r="E571" s="25" t="s">
        <v>838</v>
      </c>
      <c r="F571" s="25"/>
      <c r="G571" s="65"/>
      <c r="H571" s="25" t="s">
        <v>842</v>
      </c>
      <c r="I571" s="25"/>
      <c r="J571" s="26" t="s">
        <v>845</v>
      </c>
      <c r="K571" s="27" t="s">
        <v>982</v>
      </c>
      <c r="L571" s="28" t="s">
        <v>983</v>
      </c>
      <c r="M571" s="28" t="s">
        <v>984</v>
      </c>
      <c r="N571" s="25">
        <v>1</v>
      </c>
      <c r="O571" s="29">
        <v>933.9</v>
      </c>
      <c r="P571" s="29">
        <v>933.9</v>
      </c>
      <c r="Q571" s="25" t="s">
        <v>985</v>
      </c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63"/>
        <v>0</v>
      </c>
      <c r="AF571" s="32">
        <f t="shared" si="164"/>
        <v>933.9</v>
      </c>
      <c r="AG571" s="30"/>
      <c r="AH571" s="33"/>
      <c r="AI571" s="34">
        <f t="shared" si="165"/>
        <v>0</v>
      </c>
      <c r="AJ571" s="35"/>
      <c r="AK571" s="30"/>
      <c r="AL571" s="36">
        <f t="shared" si="166"/>
        <v>0</v>
      </c>
      <c r="AM571" s="35"/>
      <c r="AN571" s="30"/>
      <c r="AO571" s="36">
        <f t="shared" si="167"/>
        <v>0</v>
      </c>
      <c r="AP571" s="35"/>
      <c r="AQ571" s="30"/>
      <c r="AR571" s="36">
        <f t="shared" si="168"/>
        <v>0</v>
      </c>
      <c r="AS571" s="27"/>
      <c r="AT571" s="37"/>
      <c r="AU571" s="30"/>
      <c r="AV571" s="36">
        <f t="shared" si="169"/>
        <v>0</v>
      </c>
      <c r="AW571" s="35"/>
      <c r="AX571" s="30"/>
      <c r="AY571" s="32">
        <f t="shared" si="170"/>
        <v>0</v>
      </c>
      <c r="AZ571" s="30" t="s">
        <v>841</v>
      </c>
      <c r="BA571" s="63"/>
      <c r="BB571" s="71" t="e">
        <f>SUMIFS([1]Form!$F$9:$F$22,[1]Form!$K$9:$K$22,K571)</f>
        <v>#VALUE!</v>
      </c>
      <c r="BC571" s="71"/>
      <c r="BD571" s="71"/>
    </row>
    <row r="572" spans="1:56" x14ac:dyDescent="0.25">
      <c r="A572" s="24">
        <f>IF(B572="","",SUBTOTAL(3,$B$4:B572))</f>
        <v>569</v>
      </c>
      <c r="B572" s="25" t="s">
        <v>840</v>
      </c>
      <c r="C572" s="25" t="str">
        <f t="shared" si="162"/>
        <v>Shipment 1 B-10124 Fired Proces Heater</v>
      </c>
      <c r="D572" s="25" t="s">
        <v>839</v>
      </c>
      <c r="E572" s="25" t="s">
        <v>838</v>
      </c>
      <c r="F572" s="25"/>
      <c r="G572" s="65"/>
      <c r="H572" s="25" t="s">
        <v>842</v>
      </c>
      <c r="I572" s="25"/>
      <c r="J572" s="26" t="s">
        <v>845</v>
      </c>
      <c r="K572" s="27" t="s">
        <v>986</v>
      </c>
      <c r="L572" s="28" t="s">
        <v>987</v>
      </c>
      <c r="M572" s="28" t="s">
        <v>988</v>
      </c>
      <c r="N572" s="25">
        <v>1</v>
      </c>
      <c r="O572" s="29">
        <v>1459.4</v>
      </c>
      <c r="P572" s="29">
        <v>1459.4</v>
      </c>
      <c r="Q572" s="25" t="s">
        <v>1165</v>
      </c>
      <c r="R572" s="25"/>
      <c r="S572" s="26"/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63"/>
        <v>0</v>
      </c>
      <c r="AF572" s="32">
        <f t="shared" si="164"/>
        <v>1459.4</v>
      </c>
      <c r="AG572" s="30"/>
      <c r="AH572" s="33"/>
      <c r="AI572" s="34">
        <f t="shared" si="165"/>
        <v>0</v>
      </c>
      <c r="AJ572" s="35"/>
      <c r="AK572" s="30"/>
      <c r="AL572" s="36">
        <f t="shared" si="166"/>
        <v>0</v>
      </c>
      <c r="AM572" s="35"/>
      <c r="AN572" s="30"/>
      <c r="AO572" s="36">
        <f t="shared" si="167"/>
        <v>0</v>
      </c>
      <c r="AP572" s="35"/>
      <c r="AQ572" s="30"/>
      <c r="AR572" s="36">
        <f t="shared" si="168"/>
        <v>0</v>
      </c>
      <c r="AS572" s="27"/>
      <c r="AT572" s="37"/>
      <c r="AU572" s="30"/>
      <c r="AV572" s="36">
        <f t="shared" si="169"/>
        <v>0</v>
      </c>
      <c r="AW572" s="35"/>
      <c r="AX572" s="30"/>
      <c r="AY572" s="32">
        <f t="shared" si="170"/>
        <v>0</v>
      </c>
      <c r="AZ572" s="30" t="s">
        <v>841</v>
      </c>
      <c r="BA572" s="63"/>
      <c r="BB572" s="71" t="e">
        <f>SUMIFS([1]Form!$F$9:$F$22,[1]Form!$K$9:$K$22,K572)</f>
        <v>#VALUE!</v>
      </c>
      <c r="BC572" s="71"/>
      <c r="BD572" s="71"/>
    </row>
    <row r="573" spans="1:56" x14ac:dyDescent="0.25">
      <c r="A573" s="24">
        <f>IF(B573="","",SUBTOTAL(3,$B$4:B573))</f>
        <v>570</v>
      </c>
      <c r="B573" s="25" t="s">
        <v>840</v>
      </c>
      <c r="C573" s="25" t="str">
        <f t="shared" si="162"/>
        <v>Shipment 1 B-10124 Fired Proces Heater</v>
      </c>
      <c r="D573" s="25" t="s">
        <v>839</v>
      </c>
      <c r="E573" s="25" t="s">
        <v>838</v>
      </c>
      <c r="F573" s="25"/>
      <c r="G573" s="65"/>
      <c r="H573" s="25" t="s">
        <v>842</v>
      </c>
      <c r="I573" s="25"/>
      <c r="J573" s="26" t="s">
        <v>845</v>
      </c>
      <c r="K573" s="27" t="s">
        <v>989</v>
      </c>
      <c r="L573" s="28" t="s">
        <v>990</v>
      </c>
      <c r="M573" s="28" t="s">
        <v>991</v>
      </c>
      <c r="N573" s="25">
        <v>1</v>
      </c>
      <c r="O573" s="29">
        <v>724.1</v>
      </c>
      <c r="P573" s="29">
        <v>724.1</v>
      </c>
      <c r="Q573" s="25" t="s">
        <v>1166</v>
      </c>
      <c r="R573" s="25"/>
      <c r="S573" s="26"/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163"/>
        <v>0</v>
      </c>
      <c r="AF573" s="32">
        <f t="shared" si="164"/>
        <v>724.1</v>
      </c>
      <c r="AG573" s="30"/>
      <c r="AH573" s="33"/>
      <c r="AI573" s="34">
        <f t="shared" si="165"/>
        <v>0</v>
      </c>
      <c r="AJ573" s="35"/>
      <c r="AK573" s="30"/>
      <c r="AL573" s="36">
        <f t="shared" si="166"/>
        <v>0</v>
      </c>
      <c r="AM573" s="35"/>
      <c r="AN573" s="30"/>
      <c r="AO573" s="36">
        <f t="shared" si="167"/>
        <v>0</v>
      </c>
      <c r="AP573" s="35"/>
      <c r="AQ573" s="30"/>
      <c r="AR573" s="36">
        <f t="shared" si="168"/>
        <v>0</v>
      </c>
      <c r="AS573" s="27"/>
      <c r="AT573" s="37"/>
      <c r="AU573" s="30"/>
      <c r="AV573" s="36">
        <f t="shared" si="169"/>
        <v>0</v>
      </c>
      <c r="AW573" s="35"/>
      <c r="AX573" s="30"/>
      <c r="AY573" s="32">
        <f t="shared" si="170"/>
        <v>0</v>
      </c>
      <c r="AZ573" s="30" t="s">
        <v>841</v>
      </c>
      <c r="BA573" s="63"/>
      <c r="BB573" s="71" t="e">
        <f>SUMIFS([1]Form!$F$9:$F$22,[1]Form!$K$9:$K$22,K573)</f>
        <v>#VALUE!</v>
      </c>
      <c r="BC573" s="71"/>
      <c r="BD573" s="71"/>
    </row>
    <row r="574" spans="1:56" x14ac:dyDescent="0.25">
      <c r="A574" s="24">
        <f>IF(B574="","",SUBTOTAL(3,$B$4:B574))</f>
        <v>571</v>
      </c>
      <c r="B574" s="25" t="s">
        <v>840</v>
      </c>
      <c r="C574" s="25" t="str">
        <f t="shared" si="162"/>
        <v>Shipment 1 B-10124 Fired Proces Heater</v>
      </c>
      <c r="D574" s="25" t="s">
        <v>839</v>
      </c>
      <c r="E574" s="25" t="s">
        <v>838</v>
      </c>
      <c r="F574" s="25"/>
      <c r="G574" s="65"/>
      <c r="H574" s="25" t="s">
        <v>842</v>
      </c>
      <c r="I574" s="25"/>
      <c r="J574" s="26" t="s">
        <v>845</v>
      </c>
      <c r="K574" s="27" t="s">
        <v>992</v>
      </c>
      <c r="L574" s="28" t="s">
        <v>993</v>
      </c>
      <c r="M574" s="28" t="s">
        <v>991</v>
      </c>
      <c r="N574" s="25">
        <v>1</v>
      </c>
      <c r="O574" s="29">
        <v>794.6</v>
      </c>
      <c r="P574" s="29">
        <v>794.6</v>
      </c>
      <c r="Q574" s="25" t="s">
        <v>1167</v>
      </c>
      <c r="R574" s="25"/>
      <c r="S574" s="26"/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63"/>
        <v>0</v>
      </c>
      <c r="AF574" s="32">
        <f t="shared" si="164"/>
        <v>794.6</v>
      </c>
      <c r="AG574" s="30"/>
      <c r="AH574" s="33"/>
      <c r="AI574" s="34">
        <f t="shared" si="165"/>
        <v>0</v>
      </c>
      <c r="AJ574" s="35"/>
      <c r="AK574" s="30"/>
      <c r="AL574" s="36">
        <f t="shared" si="166"/>
        <v>0</v>
      </c>
      <c r="AM574" s="35"/>
      <c r="AN574" s="30"/>
      <c r="AO574" s="36">
        <f t="shared" si="167"/>
        <v>0</v>
      </c>
      <c r="AP574" s="35"/>
      <c r="AQ574" s="30"/>
      <c r="AR574" s="36">
        <f t="shared" si="168"/>
        <v>0</v>
      </c>
      <c r="AS574" s="27"/>
      <c r="AT574" s="37"/>
      <c r="AU574" s="30"/>
      <c r="AV574" s="36">
        <f t="shared" si="169"/>
        <v>0</v>
      </c>
      <c r="AW574" s="35"/>
      <c r="AX574" s="30"/>
      <c r="AY574" s="32">
        <f t="shared" si="170"/>
        <v>0</v>
      </c>
      <c r="AZ574" s="30" t="s">
        <v>841</v>
      </c>
      <c r="BA574" s="63"/>
      <c r="BB574" s="71" t="e">
        <f>SUMIFS([1]Form!$F$9:$F$22,[1]Form!$K$9:$K$22,K574)</f>
        <v>#VALUE!</v>
      </c>
      <c r="BC574" s="71"/>
      <c r="BD574" s="71"/>
    </row>
    <row r="575" spans="1:56" x14ac:dyDescent="0.25">
      <c r="A575" s="24">
        <f>IF(B575="","",SUBTOTAL(3,$B$4:B575))</f>
        <v>572</v>
      </c>
      <c r="B575" s="25" t="s">
        <v>840</v>
      </c>
      <c r="C575" s="25" t="str">
        <f t="shared" si="162"/>
        <v>Shipment 1 B-10124 Fired Proces Heater</v>
      </c>
      <c r="D575" s="25" t="s">
        <v>839</v>
      </c>
      <c r="E575" s="25" t="s">
        <v>838</v>
      </c>
      <c r="F575" s="25"/>
      <c r="G575" s="65"/>
      <c r="H575" s="25" t="s">
        <v>842</v>
      </c>
      <c r="I575" s="25"/>
      <c r="J575" s="26" t="s">
        <v>845</v>
      </c>
      <c r="K575" s="27" t="s">
        <v>994</v>
      </c>
      <c r="L575" s="28" t="s">
        <v>995</v>
      </c>
      <c r="M575" s="28" t="s">
        <v>996</v>
      </c>
      <c r="N575" s="25">
        <v>1</v>
      </c>
      <c r="O575" s="29">
        <v>196</v>
      </c>
      <c r="P575" s="29">
        <v>196</v>
      </c>
      <c r="Q575" s="25" t="s">
        <v>1168</v>
      </c>
      <c r="R575" s="25"/>
      <c r="S575" s="26"/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63"/>
        <v>0</v>
      </c>
      <c r="AF575" s="32">
        <f t="shared" si="164"/>
        <v>196</v>
      </c>
      <c r="AG575" s="30"/>
      <c r="AH575" s="33"/>
      <c r="AI575" s="34">
        <f t="shared" si="165"/>
        <v>0</v>
      </c>
      <c r="AJ575" s="35"/>
      <c r="AK575" s="30"/>
      <c r="AL575" s="36">
        <f t="shared" si="166"/>
        <v>0</v>
      </c>
      <c r="AM575" s="35"/>
      <c r="AN575" s="30"/>
      <c r="AO575" s="36">
        <f t="shared" si="167"/>
        <v>0</v>
      </c>
      <c r="AP575" s="35"/>
      <c r="AQ575" s="30"/>
      <c r="AR575" s="36">
        <f t="shared" si="168"/>
        <v>0</v>
      </c>
      <c r="AS575" s="27"/>
      <c r="AT575" s="37"/>
      <c r="AU575" s="30"/>
      <c r="AV575" s="36">
        <f t="shared" si="169"/>
        <v>0</v>
      </c>
      <c r="AW575" s="35"/>
      <c r="AX575" s="30"/>
      <c r="AY575" s="32">
        <f t="shared" si="170"/>
        <v>0</v>
      </c>
      <c r="AZ575" s="30" t="s">
        <v>841</v>
      </c>
      <c r="BA575" s="63"/>
      <c r="BB575" s="71" t="e">
        <f>SUMIFS([1]Form!$F$9:$F$22,[1]Form!$K$9:$K$22,K575)</f>
        <v>#VALUE!</v>
      </c>
      <c r="BC575" s="71"/>
      <c r="BD575" s="71"/>
    </row>
    <row r="576" spans="1:56" x14ac:dyDescent="0.25">
      <c r="A576" s="24">
        <f>IF(B576="","",SUBTOTAL(3,$B$4:B576))</f>
        <v>573</v>
      </c>
      <c r="B576" s="25" t="s">
        <v>840</v>
      </c>
      <c r="C576" s="25" t="str">
        <f t="shared" si="162"/>
        <v>Shipment 1 B-10124 Fired Proces Heater</v>
      </c>
      <c r="D576" s="25" t="s">
        <v>839</v>
      </c>
      <c r="E576" s="25" t="s">
        <v>838</v>
      </c>
      <c r="F576" s="25"/>
      <c r="G576" s="65"/>
      <c r="H576" s="25" t="s">
        <v>842</v>
      </c>
      <c r="I576" s="25"/>
      <c r="J576" s="26" t="s">
        <v>845</v>
      </c>
      <c r="K576" s="27" t="s">
        <v>997</v>
      </c>
      <c r="L576" s="28" t="s">
        <v>998</v>
      </c>
      <c r="M576" s="28" t="s">
        <v>991</v>
      </c>
      <c r="N576" s="25">
        <v>1</v>
      </c>
      <c r="O576" s="29">
        <v>501.5</v>
      </c>
      <c r="P576" s="29">
        <v>501.5</v>
      </c>
      <c r="Q576" s="25" t="s">
        <v>1169</v>
      </c>
      <c r="R576" s="25"/>
      <c r="S576" s="26"/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63"/>
        <v>0</v>
      </c>
      <c r="AF576" s="32">
        <f t="shared" si="164"/>
        <v>501.5</v>
      </c>
      <c r="AG576" s="30"/>
      <c r="AH576" s="33"/>
      <c r="AI576" s="34">
        <f t="shared" si="165"/>
        <v>0</v>
      </c>
      <c r="AJ576" s="35"/>
      <c r="AK576" s="30"/>
      <c r="AL576" s="36">
        <f t="shared" si="166"/>
        <v>0</v>
      </c>
      <c r="AM576" s="35"/>
      <c r="AN576" s="30"/>
      <c r="AO576" s="36">
        <f t="shared" si="167"/>
        <v>0</v>
      </c>
      <c r="AP576" s="35"/>
      <c r="AQ576" s="30"/>
      <c r="AR576" s="36">
        <f t="shared" si="168"/>
        <v>0</v>
      </c>
      <c r="AS576" s="27"/>
      <c r="AT576" s="37"/>
      <c r="AU576" s="30"/>
      <c r="AV576" s="36">
        <f t="shared" si="169"/>
        <v>0</v>
      </c>
      <c r="AW576" s="35"/>
      <c r="AX576" s="30"/>
      <c r="AY576" s="32">
        <f t="shared" si="170"/>
        <v>0</v>
      </c>
      <c r="AZ576" s="30" t="s">
        <v>841</v>
      </c>
      <c r="BA576" s="63"/>
      <c r="BB576" s="71" t="e">
        <f>SUMIFS([1]Form!$F$9:$F$22,[1]Form!$K$9:$K$22,K576)</f>
        <v>#VALUE!</v>
      </c>
      <c r="BC576" s="71"/>
      <c r="BD576" s="71"/>
    </row>
    <row r="577" spans="1:56" x14ac:dyDescent="0.25">
      <c r="A577" s="24">
        <f>IF(B577="","",SUBTOTAL(3,$B$4:B577))</f>
        <v>574</v>
      </c>
      <c r="B577" s="25" t="s">
        <v>840</v>
      </c>
      <c r="C577" s="25" t="str">
        <f t="shared" si="162"/>
        <v>Shipment 1 B-10124 Fired Proces Heater</v>
      </c>
      <c r="D577" s="25" t="s">
        <v>839</v>
      </c>
      <c r="E577" s="25" t="s">
        <v>838</v>
      </c>
      <c r="F577" s="25"/>
      <c r="G577" s="65"/>
      <c r="H577" s="25" t="s">
        <v>842</v>
      </c>
      <c r="I577" s="25"/>
      <c r="J577" s="26" t="s">
        <v>845</v>
      </c>
      <c r="K577" s="27" t="s">
        <v>999</v>
      </c>
      <c r="L577" s="28" t="s">
        <v>1000</v>
      </c>
      <c r="M577" s="28" t="s">
        <v>1001</v>
      </c>
      <c r="N577" s="25">
        <v>1</v>
      </c>
      <c r="O577" s="29">
        <v>740.59999999999991</v>
      </c>
      <c r="P577" s="29">
        <v>740.59999999999991</v>
      </c>
      <c r="Q577" s="25" t="s">
        <v>1170</v>
      </c>
      <c r="R577" s="25"/>
      <c r="S577" s="26"/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163"/>
        <v>0</v>
      </c>
      <c r="AF577" s="32">
        <f t="shared" si="164"/>
        <v>740.59999999999991</v>
      </c>
      <c r="AG577" s="30"/>
      <c r="AH577" s="33"/>
      <c r="AI577" s="34">
        <f t="shared" si="165"/>
        <v>0</v>
      </c>
      <c r="AJ577" s="35"/>
      <c r="AK577" s="30"/>
      <c r="AL577" s="36">
        <f t="shared" si="166"/>
        <v>0</v>
      </c>
      <c r="AM577" s="35"/>
      <c r="AN577" s="30"/>
      <c r="AO577" s="36">
        <f t="shared" si="167"/>
        <v>0</v>
      </c>
      <c r="AP577" s="35"/>
      <c r="AQ577" s="30"/>
      <c r="AR577" s="36">
        <f t="shared" si="168"/>
        <v>0</v>
      </c>
      <c r="AS577" s="27"/>
      <c r="AT577" s="37"/>
      <c r="AU577" s="30"/>
      <c r="AV577" s="36">
        <f t="shared" si="169"/>
        <v>0</v>
      </c>
      <c r="AW577" s="35"/>
      <c r="AX577" s="30"/>
      <c r="AY577" s="32">
        <f t="shared" si="170"/>
        <v>0</v>
      </c>
      <c r="AZ577" s="30" t="s">
        <v>841</v>
      </c>
      <c r="BA577" s="63"/>
      <c r="BB577" s="71" t="e">
        <f>SUMIFS([1]Form!$F$9:$F$22,[1]Form!$K$9:$K$22,K577)</f>
        <v>#VALUE!</v>
      </c>
      <c r="BC577" s="71"/>
      <c r="BD577" s="71"/>
    </row>
    <row r="578" spans="1:56" x14ac:dyDescent="0.25">
      <c r="A578" s="24">
        <f>IF(B578="","",SUBTOTAL(3,$B$4:B578))</f>
        <v>575</v>
      </c>
      <c r="B578" s="25" t="s">
        <v>840</v>
      </c>
      <c r="C578" s="25" t="str">
        <f t="shared" si="162"/>
        <v>Shipment 1 B-10124 Fired Proces Heater</v>
      </c>
      <c r="D578" s="25" t="s">
        <v>839</v>
      </c>
      <c r="E578" s="25" t="s">
        <v>838</v>
      </c>
      <c r="F578" s="25"/>
      <c r="G578" s="65"/>
      <c r="H578" s="25" t="s">
        <v>842</v>
      </c>
      <c r="I578" s="25"/>
      <c r="J578" s="26" t="s">
        <v>845</v>
      </c>
      <c r="K578" s="27" t="s">
        <v>1002</v>
      </c>
      <c r="L578" s="28" t="s">
        <v>1003</v>
      </c>
      <c r="M578" s="28" t="s">
        <v>1004</v>
      </c>
      <c r="N578" s="25">
        <v>1</v>
      </c>
      <c r="O578" s="29">
        <v>1137.4000000000001</v>
      </c>
      <c r="P578" s="29">
        <v>1137.4000000000001</v>
      </c>
      <c r="Q578" s="25" t="s">
        <v>1171</v>
      </c>
      <c r="R578" s="25"/>
      <c r="S578" s="26"/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63"/>
        <v>0</v>
      </c>
      <c r="AF578" s="32">
        <f t="shared" si="164"/>
        <v>1137.4000000000001</v>
      </c>
      <c r="AG578" s="30"/>
      <c r="AH578" s="33"/>
      <c r="AI578" s="34">
        <f t="shared" si="165"/>
        <v>0</v>
      </c>
      <c r="AJ578" s="35"/>
      <c r="AK578" s="30"/>
      <c r="AL578" s="36">
        <f t="shared" si="166"/>
        <v>0</v>
      </c>
      <c r="AM578" s="35"/>
      <c r="AN578" s="30"/>
      <c r="AO578" s="36">
        <f t="shared" si="167"/>
        <v>0</v>
      </c>
      <c r="AP578" s="35"/>
      <c r="AQ578" s="30"/>
      <c r="AR578" s="36">
        <f t="shared" si="168"/>
        <v>0</v>
      </c>
      <c r="AS578" s="27"/>
      <c r="AT578" s="37"/>
      <c r="AU578" s="30"/>
      <c r="AV578" s="36">
        <f t="shared" si="169"/>
        <v>0</v>
      </c>
      <c r="AW578" s="35"/>
      <c r="AX578" s="30"/>
      <c r="AY578" s="32">
        <f t="shared" si="170"/>
        <v>0</v>
      </c>
      <c r="AZ578" s="30" t="s">
        <v>841</v>
      </c>
      <c r="BA578" s="63"/>
      <c r="BB578" s="71" t="e">
        <f>SUMIFS([1]Form!$F$9:$F$22,[1]Form!$K$9:$K$22,K578)</f>
        <v>#VALUE!</v>
      </c>
      <c r="BC578" s="71"/>
      <c r="BD578" s="71"/>
    </row>
    <row r="579" spans="1:56" x14ac:dyDescent="0.25">
      <c r="A579" s="24">
        <f>IF(B579="","",SUBTOTAL(3,$B$4:B579))</f>
        <v>576</v>
      </c>
      <c r="B579" s="25" t="s">
        <v>840</v>
      </c>
      <c r="C579" s="25" t="str">
        <f t="shared" si="162"/>
        <v>Shipment 1 B-10124 Fired Proces Heater</v>
      </c>
      <c r="D579" s="25" t="s">
        <v>839</v>
      </c>
      <c r="E579" s="25" t="s">
        <v>838</v>
      </c>
      <c r="F579" s="25"/>
      <c r="G579" s="65"/>
      <c r="H579" s="25" t="s">
        <v>842</v>
      </c>
      <c r="I579" s="25"/>
      <c r="J579" s="26" t="s">
        <v>845</v>
      </c>
      <c r="K579" s="27" t="s">
        <v>1005</v>
      </c>
      <c r="L579" s="28" t="s">
        <v>1006</v>
      </c>
      <c r="M579" s="28" t="s">
        <v>1007</v>
      </c>
      <c r="N579" s="25">
        <v>1</v>
      </c>
      <c r="O579" s="29">
        <v>185.40000000000003</v>
      </c>
      <c r="P579" s="29">
        <v>185.40000000000003</v>
      </c>
      <c r="Q579" s="25" t="s">
        <v>1172</v>
      </c>
      <c r="R579" s="25"/>
      <c r="S579" s="26"/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63"/>
        <v>0</v>
      </c>
      <c r="AF579" s="32">
        <f t="shared" si="164"/>
        <v>185.40000000000003</v>
      </c>
      <c r="AG579" s="30"/>
      <c r="AH579" s="33"/>
      <c r="AI579" s="34">
        <f t="shared" si="165"/>
        <v>0</v>
      </c>
      <c r="AJ579" s="35"/>
      <c r="AK579" s="30"/>
      <c r="AL579" s="36">
        <f t="shared" si="166"/>
        <v>0</v>
      </c>
      <c r="AM579" s="35"/>
      <c r="AN579" s="30"/>
      <c r="AO579" s="36">
        <f t="shared" si="167"/>
        <v>0</v>
      </c>
      <c r="AP579" s="35"/>
      <c r="AQ579" s="30"/>
      <c r="AR579" s="36">
        <f t="shared" si="168"/>
        <v>0</v>
      </c>
      <c r="AS579" s="27"/>
      <c r="AT579" s="37"/>
      <c r="AU579" s="30"/>
      <c r="AV579" s="36">
        <f t="shared" si="169"/>
        <v>0</v>
      </c>
      <c r="AW579" s="35"/>
      <c r="AX579" s="30"/>
      <c r="AY579" s="32">
        <f t="shared" si="170"/>
        <v>0</v>
      </c>
      <c r="AZ579" s="30" t="s">
        <v>841</v>
      </c>
      <c r="BA579" s="63"/>
      <c r="BB579" s="71" t="e">
        <f>SUMIFS([1]Form!$F$9:$F$22,[1]Form!$K$9:$K$22,K579)</f>
        <v>#VALUE!</v>
      </c>
      <c r="BC579" s="71"/>
      <c r="BD579" s="71"/>
    </row>
    <row r="580" spans="1:56" x14ac:dyDescent="0.25">
      <c r="A580" s="24">
        <f>IF(B580="","",SUBTOTAL(3,$B$4:B580))</f>
        <v>577</v>
      </c>
      <c r="B580" s="25" t="s">
        <v>840</v>
      </c>
      <c r="C580" s="25" t="str">
        <f t="shared" si="162"/>
        <v>Shipment 1 B-10124 Fired Proces Heater</v>
      </c>
      <c r="D580" s="25" t="s">
        <v>839</v>
      </c>
      <c r="E580" s="25" t="s">
        <v>838</v>
      </c>
      <c r="F580" s="25"/>
      <c r="G580" s="65"/>
      <c r="H580" s="25" t="s">
        <v>842</v>
      </c>
      <c r="I580" s="25"/>
      <c r="J580" s="26" t="s">
        <v>845</v>
      </c>
      <c r="K580" s="27" t="s">
        <v>1008</v>
      </c>
      <c r="L580" s="28" t="s">
        <v>1009</v>
      </c>
      <c r="M580" s="28" t="s">
        <v>1007</v>
      </c>
      <c r="N580" s="25">
        <v>1</v>
      </c>
      <c r="O580" s="29">
        <v>268</v>
      </c>
      <c r="P580" s="29">
        <v>268</v>
      </c>
      <c r="Q580" s="25" t="s">
        <v>1173</v>
      </c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63"/>
        <v>0</v>
      </c>
      <c r="AF580" s="32">
        <f t="shared" si="164"/>
        <v>268</v>
      </c>
      <c r="AG580" s="30"/>
      <c r="AH580" s="33"/>
      <c r="AI580" s="34">
        <f t="shared" si="165"/>
        <v>0</v>
      </c>
      <c r="AJ580" s="35"/>
      <c r="AK580" s="30"/>
      <c r="AL580" s="36">
        <f t="shared" si="166"/>
        <v>0</v>
      </c>
      <c r="AM580" s="35"/>
      <c r="AN580" s="30"/>
      <c r="AO580" s="36">
        <f t="shared" si="167"/>
        <v>0</v>
      </c>
      <c r="AP580" s="35"/>
      <c r="AQ580" s="30"/>
      <c r="AR580" s="36">
        <f t="shared" si="168"/>
        <v>0</v>
      </c>
      <c r="AS580" s="27"/>
      <c r="AT580" s="37"/>
      <c r="AU580" s="30"/>
      <c r="AV580" s="36">
        <f t="shared" si="169"/>
        <v>0</v>
      </c>
      <c r="AW580" s="35"/>
      <c r="AX580" s="30"/>
      <c r="AY580" s="32">
        <f t="shared" si="170"/>
        <v>0</v>
      </c>
      <c r="AZ580" s="30" t="s">
        <v>841</v>
      </c>
      <c r="BA580" s="63"/>
      <c r="BB580" s="71" t="e">
        <f>SUMIFS([1]Form!$F$9:$F$22,[1]Form!$K$9:$K$22,K580)</f>
        <v>#VALUE!</v>
      </c>
      <c r="BC580" s="71"/>
      <c r="BD580" s="71"/>
    </row>
    <row r="581" spans="1:56" x14ac:dyDescent="0.25">
      <c r="A581" s="24">
        <f>IF(B581="","",SUBTOTAL(3,$B$4:B581))</f>
        <v>578</v>
      </c>
      <c r="B581" s="25" t="s">
        <v>840</v>
      </c>
      <c r="C581" s="25" t="str">
        <f t="shared" si="162"/>
        <v>Shipment 1 B-10124 Fired Proces Heater</v>
      </c>
      <c r="D581" s="25" t="s">
        <v>839</v>
      </c>
      <c r="E581" s="25" t="s">
        <v>838</v>
      </c>
      <c r="F581" s="25"/>
      <c r="G581" s="65"/>
      <c r="H581" s="25" t="s">
        <v>842</v>
      </c>
      <c r="I581" s="25"/>
      <c r="J581" s="26" t="s">
        <v>845</v>
      </c>
      <c r="K581" s="27" t="s">
        <v>1010</v>
      </c>
      <c r="L581" s="28" t="s">
        <v>1011</v>
      </c>
      <c r="M581" s="28" t="s">
        <v>1012</v>
      </c>
      <c r="N581" s="25">
        <v>1</v>
      </c>
      <c r="O581" s="29">
        <v>900.9</v>
      </c>
      <c r="P581" s="29">
        <v>900.9</v>
      </c>
      <c r="Q581" s="25" t="s">
        <v>1174</v>
      </c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63"/>
        <v>0</v>
      </c>
      <c r="AF581" s="32">
        <f t="shared" si="164"/>
        <v>900.9</v>
      </c>
      <c r="AG581" s="30"/>
      <c r="AH581" s="33"/>
      <c r="AI581" s="34">
        <f t="shared" si="165"/>
        <v>0</v>
      </c>
      <c r="AJ581" s="35"/>
      <c r="AK581" s="30"/>
      <c r="AL581" s="36">
        <f t="shared" si="166"/>
        <v>0</v>
      </c>
      <c r="AM581" s="35"/>
      <c r="AN581" s="30"/>
      <c r="AO581" s="36">
        <f t="shared" si="167"/>
        <v>0</v>
      </c>
      <c r="AP581" s="35"/>
      <c r="AQ581" s="30"/>
      <c r="AR581" s="36">
        <f t="shared" si="168"/>
        <v>0</v>
      </c>
      <c r="AS581" s="27"/>
      <c r="AT581" s="37"/>
      <c r="AU581" s="30"/>
      <c r="AV581" s="36">
        <f t="shared" si="169"/>
        <v>0</v>
      </c>
      <c r="AW581" s="35"/>
      <c r="AX581" s="30"/>
      <c r="AY581" s="32">
        <f t="shared" si="170"/>
        <v>0</v>
      </c>
      <c r="AZ581" s="30" t="s">
        <v>841</v>
      </c>
      <c r="BA581" s="63"/>
      <c r="BB581" s="71" t="e">
        <f>SUMIFS([1]Form!$F$9:$F$22,[1]Form!$K$9:$K$22,K581)</f>
        <v>#VALUE!</v>
      </c>
      <c r="BC581" s="71"/>
      <c r="BD581" s="71"/>
    </row>
    <row r="582" spans="1:56" x14ac:dyDescent="0.25">
      <c r="A582" s="24">
        <f>IF(B582="","",SUBTOTAL(3,$B$4:B582))</f>
        <v>579</v>
      </c>
      <c r="B582" s="25" t="s">
        <v>840</v>
      </c>
      <c r="C582" s="25" t="str">
        <f t="shared" si="162"/>
        <v>Shipment 1 B-10124 Fired Proces Heater</v>
      </c>
      <c r="D582" s="25" t="s">
        <v>839</v>
      </c>
      <c r="E582" s="25" t="s">
        <v>838</v>
      </c>
      <c r="F582" s="25"/>
      <c r="G582" s="65"/>
      <c r="H582" s="25" t="s">
        <v>842</v>
      </c>
      <c r="I582" s="25"/>
      <c r="J582" s="26" t="s">
        <v>845</v>
      </c>
      <c r="K582" s="27" t="s">
        <v>1013</v>
      </c>
      <c r="L582" s="28" t="s">
        <v>1014</v>
      </c>
      <c r="M582" s="28" t="s">
        <v>1015</v>
      </c>
      <c r="N582" s="25">
        <v>1</v>
      </c>
      <c r="O582" s="29">
        <v>533.79999999999995</v>
      </c>
      <c r="P582" s="29">
        <v>533.79999999999995</v>
      </c>
      <c r="Q582" s="25" t="s">
        <v>1175</v>
      </c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63"/>
        <v>0</v>
      </c>
      <c r="AF582" s="32">
        <f t="shared" si="164"/>
        <v>533.79999999999995</v>
      </c>
      <c r="AG582" s="30"/>
      <c r="AH582" s="33"/>
      <c r="AI582" s="34">
        <f t="shared" si="165"/>
        <v>0</v>
      </c>
      <c r="AJ582" s="35"/>
      <c r="AK582" s="30"/>
      <c r="AL582" s="36">
        <f t="shared" si="166"/>
        <v>0</v>
      </c>
      <c r="AM582" s="35"/>
      <c r="AN582" s="30"/>
      <c r="AO582" s="36">
        <f t="shared" si="167"/>
        <v>0</v>
      </c>
      <c r="AP582" s="35"/>
      <c r="AQ582" s="30"/>
      <c r="AR582" s="36">
        <f t="shared" si="168"/>
        <v>0</v>
      </c>
      <c r="AS582" s="27"/>
      <c r="AT582" s="37"/>
      <c r="AU582" s="30"/>
      <c r="AV582" s="36">
        <f t="shared" si="169"/>
        <v>0</v>
      </c>
      <c r="AW582" s="35"/>
      <c r="AX582" s="30"/>
      <c r="AY582" s="32">
        <f t="shared" si="170"/>
        <v>0</v>
      </c>
      <c r="AZ582" s="30" t="s">
        <v>841</v>
      </c>
      <c r="BA582" s="63"/>
      <c r="BB582" s="71" t="e">
        <f>SUMIFS([1]Form!$F$9:$F$22,[1]Form!$K$9:$K$22,K582)</f>
        <v>#VALUE!</v>
      </c>
      <c r="BC582" s="71"/>
      <c r="BD582" s="71"/>
    </row>
    <row r="583" spans="1:56" x14ac:dyDescent="0.25">
      <c r="A583" s="24">
        <f>IF(B583="","",SUBTOTAL(3,$B$4:B583))</f>
        <v>580</v>
      </c>
      <c r="B583" s="25" t="s">
        <v>840</v>
      </c>
      <c r="C583" s="25" t="str">
        <f t="shared" si="162"/>
        <v>Shipment 1 B-10124 Fired Proces Heater</v>
      </c>
      <c r="D583" s="25" t="s">
        <v>839</v>
      </c>
      <c r="E583" s="25" t="s">
        <v>838</v>
      </c>
      <c r="F583" s="25"/>
      <c r="G583" s="65"/>
      <c r="H583" s="25" t="s">
        <v>842</v>
      </c>
      <c r="I583" s="25"/>
      <c r="J583" s="26" t="s">
        <v>845</v>
      </c>
      <c r="K583" s="27" t="s">
        <v>1016</v>
      </c>
      <c r="L583" s="28" t="s">
        <v>1017</v>
      </c>
      <c r="M583" s="28" t="s">
        <v>1018</v>
      </c>
      <c r="N583" s="25">
        <v>1</v>
      </c>
      <c r="O583" s="29">
        <v>1146.5</v>
      </c>
      <c r="P583" s="29">
        <v>1146.5</v>
      </c>
      <c r="Q583" s="25" t="s">
        <v>1176</v>
      </c>
      <c r="R583" s="25"/>
      <c r="S583" s="26"/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163"/>
        <v>0</v>
      </c>
      <c r="AF583" s="32">
        <f t="shared" si="164"/>
        <v>1146.5</v>
      </c>
      <c r="AG583" s="30"/>
      <c r="AH583" s="33"/>
      <c r="AI583" s="34">
        <f t="shared" si="165"/>
        <v>0</v>
      </c>
      <c r="AJ583" s="35"/>
      <c r="AK583" s="30"/>
      <c r="AL583" s="36">
        <f t="shared" si="166"/>
        <v>0</v>
      </c>
      <c r="AM583" s="35"/>
      <c r="AN583" s="30"/>
      <c r="AO583" s="36">
        <f t="shared" si="167"/>
        <v>0</v>
      </c>
      <c r="AP583" s="35"/>
      <c r="AQ583" s="30"/>
      <c r="AR583" s="36">
        <f t="shared" si="168"/>
        <v>0</v>
      </c>
      <c r="AS583" s="27"/>
      <c r="AT583" s="37"/>
      <c r="AU583" s="30"/>
      <c r="AV583" s="36">
        <f t="shared" si="169"/>
        <v>0</v>
      </c>
      <c r="AW583" s="35"/>
      <c r="AX583" s="30"/>
      <c r="AY583" s="32">
        <f t="shared" si="170"/>
        <v>0</v>
      </c>
      <c r="AZ583" s="30" t="s">
        <v>841</v>
      </c>
      <c r="BA583" s="63"/>
      <c r="BB583" s="71" t="e">
        <f>SUMIFS([1]Form!$F$9:$F$22,[1]Form!$K$9:$K$22,K583)</f>
        <v>#VALUE!</v>
      </c>
      <c r="BC583" s="71"/>
      <c r="BD583" s="71"/>
    </row>
    <row r="584" spans="1:56" x14ac:dyDescent="0.25">
      <c r="A584" s="24">
        <f>IF(B584="","",SUBTOTAL(3,$B$4:B584))</f>
        <v>581</v>
      </c>
      <c r="B584" s="25" t="s">
        <v>840</v>
      </c>
      <c r="C584" s="25" t="str">
        <f t="shared" si="162"/>
        <v>Shipment 1 B-10124 Fired Proces Heater</v>
      </c>
      <c r="D584" s="25" t="s">
        <v>839</v>
      </c>
      <c r="E584" s="25" t="s">
        <v>838</v>
      </c>
      <c r="F584" s="25"/>
      <c r="G584" s="65"/>
      <c r="H584" s="25" t="s">
        <v>842</v>
      </c>
      <c r="I584" s="25"/>
      <c r="J584" s="26" t="s">
        <v>845</v>
      </c>
      <c r="K584" s="27" t="s">
        <v>1019</v>
      </c>
      <c r="L584" s="28" t="s">
        <v>1020</v>
      </c>
      <c r="M584" s="28" t="s">
        <v>1021</v>
      </c>
      <c r="N584" s="25">
        <v>1</v>
      </c>
      <c r="O584" s="29">
        <v>638.20000000000005</v>
      </c>
      <c r="P584" s="29">
        <v>638.20000000000005</v>
      </c>
      <c r="Q584" s="25" t="s">
        <v>1177</v>
      </c>
      <c r="R584" s="25"/>
      <c r="S584" s="26"/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163"/>
        <v>0</v>
      </c>
      <c r="AF584" s="32">
        <f t="shared" si="164"/>
        <v>638.20000000000005</v>
      </c>
      <c r="AG584" s="30"/>
      <c r="AH584" s="33"/>
      <c r="AI584" s="34">
        <f t="shared" si="165"/>
        <v>0</v>
      </c>
      <c r="AJ584" s="35"/>
      <c r="AK584" s="30"/>
      <c r="AL584" s="36">
        <f t="shared" si="166"/>
        <v>0</v>
      </c>
      <c r="AM584" s="35"/>
      <c r="AN584" s="30"/>
      <c r="AO584" s="36">
        <f t="shared" si="167"/>
        <v>0</v>
      </c>
      <c r="AP584" s="35"/>
      <c r="AQ584" s="30"/>
      <c r="AR584" s="36">
        <f t="shared" si="168"/>
        <v>0</v>
      </c>
      <c r="AS584" s="27"/>
      <c r="AT584" s="37"/>
      <c r="AU584" s="30"/>
      <c r="AV584" s="36">
        <f t="shared" si="169"/>
        <v>0</v>
      </c>
      <c r="AW584" s="35"/>
      <c r="AX584" s="30"/>
      <c r="AY584" s="32">
        <f t="shared" si="170"/>
        <v>0</v>
      </c>
      <c r="AZ584" s="30" t="s">
        <v>841</v>
      </c>
      <c r="BA584" s="63"/>
      <c r="BB584" s="71" t="e">
        <f>SUMIFS([1]Form!$F$9:$F$22,[1]Form!$K$9:$K$22,K584)</f>
        <v>#VALUE!</v>
      </c>
      <c r="BC584" s="71"/>
      <c r="BD584" s="71"/>
    </row>
    <row r="585" spans="1:56" x14ac:dyDescent="0.25">
      <c r="A585" s="24">
        <f>IF(B585="","",SUBTOTAL(3,$B$4:B585))</f>
        <v>582</v>
      </c>
      <c r="B585" s="25" t="s">
        <v>840</v>
      </c>
      <c r="C585" s="25" t="str">
        <f t="shared" ref="C585:C648" si="531">D585&amp;" "&amp;E585</f>
        <v>Shipment 1 B-10124 Fired Proces Heater</v>
      </c>
      <c r="D585" s="25" t="s">
        <v>839</v>
      </c>
      <c r="E585" s="25" t="s">
        <v>838</v>
      </c>
      <c r="F585" s="25"/>
      <c r="G585" s="65"/>
      <c r="H585" s="25" t="s">
        <v>842</v>
      </c>
      <c r="I585" s="25"/>
      <c r="J585" s="26" t="s">
        <v>845</v>
      </c>
      <c r="K585" s="27" t="s">
        <v>1022</v>
      </c>
      <c r="L585" s="28" t="s">
        <v>1023</v>
      </c>
      <c r="M585" s="28" t="s">
        <v>1015</v>
      </c>
      <c r="N585" s="25">
        <v>1</v>
      </c>
      <c r="O585" s="29">
        <v>525.09999999999991</v>
      </c>
      <c r="P585" s="29">
        <v>525.09999999999991</v>
      </c>
      <c r="Q585" s="25" t="s">
        <v>1178</v>
      </c>
      <c r="R585" s="25"/>
      <c r="S585" s="26"/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163"/>
        <v>0</v>
      </c>
      <c r="AF585" s="32">
        <f t="shared" si="164"/>
        <v>525.09999999999991</v>
      </c>
      <c r="AG585" s="30"/>
      <c r="AH585" s="33"/>
      <c r="AI585" s="34">
        <f t="shared" si="165"/>
        <v>0</v>
      </c>
      <c r="AJ585" s="35"/>
      <c r="AK585" s="30"/>
      <c r="AL585" s="36">
        <f t="shared" si="166"/>
        <v>0</v>
      </c>
      <c r="AM585" s="35"/>
      <c r="AN585" s="30"/>
      <c r="AO585" s="36">
        <f t="shared" si="167"/>
        <v>0</v>
      </c>
      <c r="AP585" s="35"/>
      <c r="AQ585" s="30"/>
      <c r="AR585" s="36">
        <f t="shared" si="168"/>
        <v>0</v>
      </c>
      <c r="AS585" s="27"/>
      <c r="AT585" s="37"/>
      <c r="AU585" s="30"/>
      <c r="AV585" s="36">
        <f t="shared" si="169"/>
        <v>0</v>
      </c>
      <c r="AW585" s="35"/>
      <c r="AX585" s="30"/>
      <c r="AY585" s="32">
        <f t="shared" si="170"/>
        <v>0</v>
      </c>
      <c r="AZ585" s="30" t="s">
        <v>841</v>
      </c>
      <c r="BA585" s="63"/>
      <c r="BB585" s="71" t="e">
        <f>SUMIFS([1]Form!$F$9:$F$22,[1]Form!$K$9:$K$22,K585)</f>
        <v>#VALUE!</v>
      </c>
      <c r="BC585" s="71"/>
      <c r="BD585" s="71"/>
    </row>
    <row r="586" spans="1:56" x14ac:dyDescent="0.25">
      <c r="A586" s="24">
        <f>IF(B586="","",SUBTOTAL(3,$B$4:B586))</f>
        <v>583</v>
      </c>
      <c r="B586" s="25" t="s">
        <v>840</v>
      </c>
      <c r="C586" s="25" t="str">
        <f t="shared" si="531"/>
        <v>Shipment 1 B-10124 Fired Proces Heater</v>
      </c>
      <c r="D586" s="25" t="s">
        <v>839</v>
      </c>
      <c r="E586" s="25" t="s">
        <v>838</v>
      </c>
      <c r="F586" s="25"/>
      <c r="G586" s="65"/>
      <c r="H586" s="25" t="s">
        <v>842</v>
      </c>
      <c r="I586" s="25"/>
      <c r="J586" s="26" t="s">
        <v>845</v>
      </c>
      <c r="K586" s="27" t="s">
        <v>1024</v>
      </c>
      <c r="L586" s="28" t="s">
        <v>1025</v>
      </c>
      <c r="M586" s="28" t="s">
        <v>1018</v>
      </c>
      <c r="N586" s="25">
        <v>1</v>
      </c>
      <c r="O586" s="29">
        <v>403.29999999999995</v>
      </c>
      <c r="P586" s="29">
        <v>403.29999999999995</v>
      </c>
      <c r="Q586" s="25" t="s">
        <v>1179</v>
      </c>
      <c r="R586" s="25"/>
      <c r="S586" s="26"/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163"/>
        <v>0</v>
      </c>
      <c r="AF586" s="32">
        <f t="shared" si="164"/>
        <v>403.29999999999995</v>
      </c>
      <c r="AG586" s="30"/>
      <c r="AH586" s="33"/>
      <c r="AI586" s="34">
        <f t="shared" si="165"/>
        <v>0</v>
      </c>
      <c r="AJ586" s="35"/>
      <c r="AK586" s="30"/>
      <c r="AL586" s="36">
        <f t="shared" si="166"/>
        <v>0</v>
      </c>
      <c r="AM586" s="35"/>
      <c r="AN586" s="30"/>
      <c r="AO586" s="36">
        <f t="shared" si="167"/>
        <v>0</v>
      </c>
      <c r="AP586" s="35"/>
      <c r="AQ586" s="30"/>
      <c r="AR586" s="36">
        <f t="shared" si="168"/>
        <v>0</v>
      </c>
      <c r="AS586" s="27"/>
      <c r="AT586" s="37"/>
      <c r="AU586" s="30"/>
      <c r="AV586" s="36">
        <f t="shared" si="169"/>
        <v>0</v>
      </c>
      <c r="AW586" s="35"/>
      <c r="AX586" s="30"/>
      <c r="AY586" s="32">
        <f t="shared" si="170"/>
        <v>0</v>
      </c>
      <c r="AZ586" s="30" t="s">
        <v>841</v>
      </c>
      <c r="BA586" s="63"/>
      <c r="BB586" s="71" t="e">
        <f>SUMIFS([1]Form!$F$9:$F$22,[1]Form!$K$9:$K$22,K586)</f>
        <v>#VALUE!</v>
      </c>
      <c r="BC586" s="71"/>
      <c r="BD586" s="71"/>
    </row>
    <row r="587" spans="1:56" x14ac:dyDescent="0.25">
      <c r="A587" s="24">
        <f>IF(B587="","",SUBTOTAL(3,$B$4:B587))</f>
        <v>584</v>
      </c>
      <c r="B587" s="25" t="s">
        <v>840</v>
      </c>
      <c r="C587" s="25" t="str">
        <f t="shared" si="531"/>
        <v>Shipment 1 B-10124 Fired Proces Heater</v>
      </c>
      <c r="D587" s="25" t="s">
        <v>839</v>
      </c>
      <c r="E587" s="25" t="s">
        <v>838</v>
      </c>
      <c r="F587" s="25"/>
      <c r="G587" s="65"/>
      <c r="H587" s="25" t="s">
        <v>842</v>
      </c>
      <c r="I587" s="25"/>
      <c r="J587" s="26" t="s">
        <v>845</v>
      </c>
      <c r="K587" s="27" t="s">
        <v>1026</v>
      </c>
      <c r="L587" s="28" t="s">
        <v>1027</v>
      </c>
      <c r="M587" s="28" t="s">
        <v>1028</v>
      </c>
      <c r="N587" s="25">
        <v>1</v>
      </c>
      <c r="O587" s="29">
        <v>851.4</v>
      </c>
      <c r="P587" s="29">
        <v>851.4</v>
      </c>
      <c r="Q587" s="25" t="s">
        <v>1180</v>
      </c>
      <c r="R587" s="25"/>
      <c r="S587" s="26"/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163"/>
        <v>0</v>
      </c>
      <c r="AF587" s="32">
        <f t="shared" si="164"/>
        <v>851.4</v>
      </c>
      <c r="AG587" s="30"/>
      <c r="AH587" s="33"/>
      <c r="AI587" s="34">
        <f t="shared" si="165"/>
        <v>0</v>
      </c>
      <c r="AJ587" s="35"/>
      <c r="AK587" s="30"/>
      <c r="AL587" s="36">
        <f t="shared" si="166"/>
        <v>0</v>
      </c>
      <c r="AM587" s="35"/>
      <c r="AN587" s="30"/>
      <c r="AO587" s="36">
        <f t="shared" si="167"/>
        <v>0</v>
      </c>
      <c r="AP587" s="35"/>
      <c r="AQ587" s="30"/>
      <c r="AR587" s="36">
        <f t="shared" si="168"/>
        <v>0</v>
      </c>
      <c r="AS587" s="27"/>
      <c r="AT587" s="37"/>
      <c r="AU587" s="30"/>
      <c r="AV587" s="36">
        <f t="shared" si="169"/>
        <v>0</v>
      </c>
      <c r="AW587" s="35"/>
      <c r="AX587" s="30"/>
      <c r="AY587" s="32">
        <f t="shared" si="170"/>
        <v>0</v>
      </c>
      <c r="AZ587" s="30" t="s">
        <v>841</v>
      </c>
      <c r="BA587" s="63"/>
      <c r="BB587" s="71" t="e">
        <f>SUMIFS([1]Form!$F$9:$F$22,[1]Form!$K$9:$K$22,K587)</f>
        <v>#VALUE!</v>
      </c>
      <c r="BC587" s="71"/>
      <c r="BD587" s="71"/>
    </row>
    <row r="588" spans="1:56" x14ac:dyDescent="0.25">
      <c r="A588" s="24">
        <f>IF(B588="","",SUBTOTAL(3,$B$4:B588))</f>
        <v>585</v>
      </c>
      <c r="B588" s="25" t="s">
        <v>840</v>
      </c>
      <c r="C588" s="25" t="str">
        <f t="shared" si="531"/>
        <v>Shipment 1 B-10124 Fired Proces Heater</v>
      </c>
      <c r="D588" s="25" t="s">
        <v>839</v>
      </c>
      <c r="E588" s="25" t="s">
        <v>838</v>
      </c>
      <c r="F588" s="25"/>
      <c r="G588" s="65"/>
      <c r="H588" s="25" t="s">
        <v>842</v>
      </c>
      <c r="I588" s="25"/>
      <c r="J588" s="26" t="s">
        <v>845</v>
      </c>
      <c r="K588" s="27" t="s">
        <v>1029</v>
      </c>
      <c r="L588" s="28" t="s">
        <v>1030</v>
      </c>
      <c r="M588" s="28" t="s">
        <v>1028</v>
      </c>
      <c r="N588" s="25">
        <v>1</v>
      </c>
      <c r="O588" s="29">
        <v>61.775000000000006</v>
      </c>
      <c r="P588" s="29">
        <v>61.775000000000006</v>
      </c>
      <c r="Q588" s="25" t="s">
        <v>1031</v>
      </c>
      <c r="R588" s="25"/>
      <c r="S588" s="26"/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163"/>
        <v>0</v>
      </c>
      <c r="AF588" s="32">
        <f t="shared" si="164"/>
        <v>61.775000000000006</v>
      </c>
      <c r="AG588" s="30"/>
      <c r="AH588" s="33"/>
      <c r="AI588" s="34">
        <f t="shared" si="165"/>
        <v>0</v>
      </c>
      <c r="AJ588" s="35"/>
      <c r="AK588" s="30"/>
      <c r="AL588" s="36">
        <f t="shared" si="166"/>
        <v>0</v>
      </c>
      <c r="AM588" s="35"/>
      <c r="AN588" s="30"/>
      <c r="AO588" s="36">
        <f t="shared" si="167"/>
        <v>0</v>
      </c>
      <c r="AP588" s="35"/>
      <c r="AQ588" s="30"/>
      <c r="AR588" s="36">
        <f t="shared" si="168"/>
        <v>0</v>
      </c>
      <c r="AS588" s="27"/>
      <c r="AT588" s="37"/>
      <c r="AU588" s="30"/>
      <c r="AV588" s="36">
        <f t="shared" si="169"/>
        <v>0</v>
      </c>
      <c r="AW588" s="35"/>
      <c r="AX588" s="30"/>
      <c r="AY588" s="32">
        <f t="shared" si="170"/>
        <v>0</v>
      </c>
      <c r="AZ588" s="30" t="s">
        <v>841</v>
      </c>
      <c r="BA588" s="63"/>
      <c r="BB588" s="71" t="e">
        <f>SUMIFS([1]Form!$F$9:$F$22,[1]Form!$K$9:$K$22,K588)</f>
        <v>#VALUE!</v>
      </c>
      <c r="BC588" s="71"/>
      <c r="BD588" s="71"/>
    </row>
    <row r="589" spans="1:56" x14ac:dyDescent="0.25">
      <c r="A589" s="24">
        <f>IF(B589="","",SUBTOTAL(3,$B$4:B589))</f>
        <v>586</v>
      </c>
      <c r="B589" s="25" t="s">
        <v>840</v>
      </c>
      <c r="C589" s="25" t="str">
        <f t="shared" si="531"/>
        <v>Shipment 1 B-10124 Fired Proces Heater</v>
      </c>
      <c r="D589" s="25" t="s">
        <v>839</v>
      </c>
      <c r="E589" s="25" t="s">
        <v>838</v>
      </c>
      <c r="F589" s="25"/>
      <c r="G589" s="65"/>
      <c r="H589" s="25" t="s">
        <v>842</v>
      </c>
      <c r="I589" s="25"/>
      <c r="J589" s="26" t="s">
        <v>845</v>
      </c>
      <c r="K589" s="27" t="s">
        <v>1029</v>
      </c>
      <c r="L589" s="28" t="s">
        <v>1032</v>
      </c>
      <c r="M589" s="28" t="s">
        <v>1028</v>
      </c>
      <c r="N589" s="25">
        <v>1</v>
      </c>
      <c r="O589" s="29">
        <v>61.775000000000006</v>
      </c>
      <c r="P589" s="29">
        <v>61.775000000000006</v>
      </c>
      <c r="Q589" s="25" t="s">
        <v>1031</v>
      </c>
      <c r="R589" s="25"/>
      <c r="S589" s="26"/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163"/>
        <v>0</v>
      </c>
      <c r="AF589" s="32">
        <f t="shared" si="164"/>
        <v>61.775000000000006</v>
      </c>
      <c r="AG589" s="30"/>
      <c r="AH589" s="33"/>
      <c r="AI589" s="34">
        <f t="shared" si="165"/>
        <v>0</v>
      </c>
      <c r="AJ589" s="35"/>
      <c r="AK589" s="30"/>
      <c r="AL589" s="36">
        <f t="shared" si="166"/>
        <v>0</v>
      </c>
      <c r="AM589" s="35"/>
      <c r="AN589" s="30"/>
      <c r="AO589" s="36">
        <f t="shared" si="167"/>
        <v>0</v>
      </c>
      <c r="AP589" s="35"/>
      <c r="AQ589" s="30"/>
      <c r="AR589" s="36">
        <f t="shared" si="168"/>
        <v>0</v>
      </c>
      <c r="AS589" s="27"/>
      <c r="AT589" s="37"/>
      <c r="AU589" s="30"/>
      <c r="AV589" s="36">
        <f t="shared" si="169"/>
        <v>0</v>
      </c>
      <c r="AW589" s="35"/>
      <c r="AX589" s="30"/>
      <c r="AY589" s="32">
        <f t="shared" si="170"/>
        <v>0</v>
      </c>
      <c r="AZ589" s="30" t="s">
        <v>841</v>
      </c>
      <c r="BA589" s="63"/>
      <c r="BB589" s="71" t="e">
        <f>SUMIFS([1]Form!$F$9:$F$22,[1]Form!$K$9:$K$22,K589)</f>
        <v>#VALUE!</v>
      </c>
      <c r="BC589" s="71"/>
      <c r="BD589" s="71"/>
    </row>
    <row r="590" spans="1:56" x14ac:dyDescent="0.25">
      <c r="A590" s="24">
        <f>IF(B590="","",SUBTOTAL(3,$B$4:B590))</f>
        <v>587</v>
      </c>
      <c r="B590" s="25" t="s">
        <v>840</v>
      </c>
      <c r="C590" s="25" t="str">
        <f t="shared" si="531"/>
        <v>Shipment 1 B-10124 Fired Proces Heater</v>
      </c>
      <c r="D590" s="25" t="s">
        <v>839</v>
      </c>
      <c r="E590" s="25" t="s">
        <v>838</v>
      </c>
      <c r="F590" s="25"/>
      <c r="G590" s="65"/>
      <c r="H590" s="25" t="s">
        <v>842</v>
      </c>
      <c r="I590" s="25"/>
      <c r="J590" s="26" t="s">
        <v>845</v>
      </c>
      <c r="K590" s="27" t="s">
        <v>1029</v>
      </c>
      <c r="L590" s="28" t="s">
        <v>1033</v>
      </c>
      <c r="M590" s="28" t="s">
        <v>1028</v>
      </c>
      <c r="N590" s="25">
        <v>1</v>
      </c>
      <c r="O590" s="29">
        <v>61.775000000000006</v>
      </c>
      <c r="P590" s="29">
        <v>61.775000000000006</v>
      </c>
      <c r="Q590" s="25" t="s">
        <v>1031</v>
      </c>
      <c r="R590" s="25"/>
      <c r="S590" s="26"/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si="163"/>
        <v>0</v>
      </c>
      <c r="AF590" s="32">
        <f t="shared" si="164"/>
        <v>61.775000000000006</v>
      </c>
      <c r="AG590" s="30"/>
      <c r="AH590" s="33"/>
      <c r="AI590" s="34">
        <f t="shared" si="165"/>
        <v>0</v>
      </c>
      <c r="AJ590" s="35"/>
      <c r="AK590" s="30"/>
      <c r="AL590" s="36">
        <f t="shared" si="166"/>
        <v>0</v>
      </c>
      <c r="AM590" s="35"/>
      <c r="AN590" s="30"/>
      <c r="AO590" s="36">
        <f t="shared" si="167"/>
        <v>0</v>
      </c>
      <c r="AP590" s="35"/>
      <c r="AQ590" s="30"/>
      <c r="AR590" s="36">
        <f t="shared" si="168"/>
        <v>0</v>
      </c>
      <c r="AS590" s="27"/>
      <c r="AT590" s="37"/>
      <c r="AU590" s="30"/>
      <c r="AV590" s="36">
        <f t="shared" si="169"/>
        <v>0</v>
      </c>
      <c r="AW590" s="35"/>
      <c r="AX590" s="30"/>
      <c r="AY590" s="32">
        <f t="shared" si="170"/>
        <v>0</v>
      </c>
      <c r="AZ590" s="30" t="s">
        <v>841</v>
      </c>
      <c r="BA590" s="63"/>
      <c r="BB590" s="71" t="e">
        <f>SUMIFS([1]Form!$F$9:$F$22,[1]Form!$K$9:$K$22,K590)</f>
        <v>#VALUE!</v>
      </c>
      <c r="BC590" s="71"/>
      <c r="BD590" s="71"/>
    </row>
    <row r="591" spans="1:56" x14ac:dyDescent="0.25">
      <c r="A591" s="24">
        <f>IF(B591="","",SUBTOTAL(3,$B$4:B591))</f>
        <v>588</v>
      </c>
      <c r="B591" s="25" t="s">
        <v>840</v>
      </c>
      <c r="C591" s="25" t="str">
        <f t="shared" si="531"/>
        <v>Shipment 1 B-10124 Fired Proces Heater</v>
      </c>
      <c r="D591" s="25" t="s">
        <v>839</v>
      </c>
      <c r="E591" s="25" t="s">
        <v>838</v>
      </c>
      <c r="F591" s="25"/>
      <c r="G591" s="65"/>
      <c r="H591" s="25" t="s">
        <v>842</v>
      </c>
      <c r="I591" s="25"/>
      <c r="J591" s="26" t="s">
        <v>845</v>
      </c>
      <c r="K591" s="27" t="s">
        <v>1029</v>
      </c>
      <c r="L591" s="28" t="s">
        <v>1034</v>
      </c>
      <c r="M591" s="28" t="s">
        <v>1028</v>
      </c>
      <c r="N591" s="25">
        <v>1</v>
      </c>
      <c r="O591" s="29">
        <v>61.775000000000006</v>
      </c>
      <c r="P591" s="29">
        <v>61.775000000000006</v>
      </c>
      <c r="Q591" s="25" t="s">
        <v>1031</v>
      </c>
      <c r="R591" s="25"/>
      <c r="S591" s="26"/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163"/>
        <v>0</v>
      </c>
      <c r="AF591" s="32">
        <f t="shared" si="164"/>
        <v>61.775000000000006</v>
      </c>
      <c r="AG591" s="30"/>
      <c r="AH591" s="33"/>
      <c r="AI591" s="34">
        <f t="shared" si="165"/>
        <v>0</v>
      </c>
      <c r="AJ591" s="35"/>
      <c r="AK591" s="30"/>
      <c r="AL591" s="36">
        <f t="shared" si="166"/>
        <v>0</v>
      </c>
      <c r="AM591" s="35"/>
      <c r="AN591" s="30"/>
      <c r="AO591" s="36">
        <f t="shared" si="167"/>
        <v>0</v>
      </c>
      <c r="AP591" s="35"/>
      <c r="AQ591" s="30"/>
      <c r="AR591" s="36">
        <f t="shared" si="168"/>
        <v>0</v>
      </c>
      <c r="AS591" s="27"/>
      <c r="AT591" s="37"/>
      <c r="AU591" s="30"/>
      <c r="AV591" s="36">
        <f t="shared" si="169"/>
        <v>0</v>
      </c>
      <c r="AW591" s="35"/>
      <c r="AX591" s="30"/>
      <c r="AY591" s="32">
        <f t="shared" si="170"/>
        <v>0</v>
      </c>
      <c r="AZ591" s="30" t="s">
        <v>841</v>
      </c>
      <c r="BA591" s="63"/>
      <c r="BB591" s="71" t="e">
        <f>SUMIFS([1]Form!$F$9:$F$22,[1]Form!$K$9:$K$22,K591)</f>
        <v>#VALUE!</v>
      </c>
      <c r="BC591" s="71"/>
      <c r="BD591" s="71"/>
    </row>
    <row r="592" spans="1:56" x14ac:dyDescent="0.25">
      <c r="A592" s="24">
        <f>IF(B592="","",SUBTOTAL(3,$B$4:B592))</f>
        <v>589</v>
      </c>
      <c r="B592" s="25" t="s">
        <v>840</v>
      </c>
      <c r="C592" s="25" t="str">
        <f t="shared" si="531"/>
        <v>Shipment 1 B-10124 Fired Proces Heater</v>
      </c>
      <c r="D592" s="25" t="s">
        <v>839</v>
      </c>
      <c r="E592" s="25" t="s">
        <v>838</v>
      </c>
      <c r="F592" s="25"/>
      <c r="G592" s="65"/>
      <c r="H592" s="25" t="s">
        <v>842</v>
      </c>
      <c r="I592" s="25"/>
      <c r="J592" s="26" t="s">
        <v>845</v>
      </c>
      <c r="K592" s="27" t="s">
        <v>1035</v>
      </c>
      <c r="L592" s="28" t="s">
        <v>1036</v>
      </c>
      <c r="M592" s="28" t="s">
        <v>1028</v>
      </c>
      <c r="N592" s="25">
        <v>1</v>
      </c>
      <c r="O592" s="29">
        <v>46.206250000000004</v>
      </c>
      <c r="P592" s="29">
        <v>46.206250000000004</v>
      </c>
      <c r="Q592" s="25" t="s">
        <v>1037</v>
      </c>
      <c r="R592" s="25"/>
      <c r="S592" s="26"/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163"/>
        <v>0</v>
      </c>
      <c r="AF592" s="32">
        <f t="shared" si="164"/>
        <v>46.206250000000004</v>
      </c>
      <c r="AG592" s="30"/>
      <c r="AH592" s="33"/>
      <c r="AI592" s="34">
        <f t="shared" si="165"/>
        <v>0</v>
      </c>
      <c r="AJ592" s="35"/>
      <c r="AK592" s="30"/>
      <c r="AL592" s="36">
        <f t="shared" si="166"/>
        <v>0</v>
      </c>
      <c r="AM592" s="35"/>
      <c r="AN592" s="30"/>
      <c r="AO592" s="36">
        <f t="shared" si="167"/>
        <v>0</v>
      </c>
      <c r="AP592" s="35"/>
      <c r="AQ592" s="30"/>
      <c r="AR592" s="36">
        <f t="shared" si="168"/>
        <v>0</v>
      </c>
      <c r="AS592" s="27"/>
      <c r="AT592" s="37"/>
      <c r="AU592" s="30"/>
      <c r="AV592" s="36">
        <f t="shared" si="169"/>
        <v>0</v>
      </c>
      <c r="AW592" s="35"/>
      <c r="AX592" s="30"/>
      <c r="AY592" s="32">
        <f t="shared" si="170"/>
        <v>0</v>
      </c>
      <c r="AZ592" s="30" t="s">
        <v>841</v>
      </c>
      <c r="BA592" s="63"/>
      <c r="BB592" s="71" t="e">
        <f>SUMIFS([1]Form!$F$9:$F$22,[1]Form!$K$9:$K$22,K592)</f>
        <v>#VALUE!</v>
      </c>
      <c r="BC592" s="71"/>
      <c r="BD592" s="71"/>
    </row>
    <row r="593" spans="1:56" x14ac:dyDescent="0.25">
      <c r="A593" s="24">
        <f>IF(B593="","",SUBTOTAL(3,$B$4:B593))</f>
        <v>590</v>
      </c>
      <c r="B593" s="25" t="s">
        <v>840</v>
      </c>
      <c r="C593" s="25" t="str">
        <f t="shared" si="531"/>
        <v>Shipment 1 B-10124 Fired Proces Heater</v>
      </c>
      <c r="D593" s="25" t="s">
        <v>839</v>
      </c>
      <c r="E593" s="25" t="s">
        <v>838</v>
      </c>
      <c r="F593" s="25"/>
      <c r="G593" s="65"/>
      <c r="H593" s="25" t="s">
        <v>842</v>
      </c>
      <c r="I593" s="25"/>
      <c r="J593" s="26" t="s">
        <v>845</v>
      </c>
      <c r="K593" s="27" t="s">
        <v>1035</v>
      </c>
      <c r="L593" s="28" t="s">
        <v>1038</v>
      </c>
      <c r="M593" s="28" t="s">
        <v>1028</v>
      </c>
      <c r="N593" s="25">
        <v>1</v>
      </c>
      <c r="O593" s="29">
        <v>46.206250000000004</v>
      </c>
      <c r="P593" s="29">
        <v>46.206250000000004</v>
      </c>
      <c r="Q593" s="25" t="s">
        <v>1037</v>
      </c>
      <c r="R593" s="25"/>
      <c r="S593" s="26"/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si="163"/>
        <v>0</v>
      </c>
      <c r="AF593" s="32">
        <f t="shared" si="164"/>
        <v>46.206250000000004</v>
      </c>
      <c r="AG593" s="30"/>
      <c r="AH593" s="33"/>
      <c r="AI593" s="34">
        <f t="shared" si="165"/>
        <v>0</v>
      </c>
      <c r="AJ593" s="35"/>
      <c r="AK593" s="30"/>
      <c r="AL593" s="36">
        <f t="shared" si="166"/>
        <v>0</v>
      </c>
      <c r="AM593" s="35"/>
      <c r="AN593" s="30"/>
      <c r="AO593" s="36">
        <f t="shared" si="167"/>
        <v>0</v>
      </c>
      <c r="AP593" s="35"/>
      <c r="AQ593" s="30"/>
      <c r="AR593" s="36">
        <f t="shared" si="168"/>
        <v>0</v>
      </c>
      <c r="AS593" s="27"/>
      <c r="AT593" s="37"/>
      <c r="AU593" s="30"/>
      <c r="AV593" s="36">
        <f t="shared" si="169"/>
        <v>0</v>
      </c>
      <c r="AW593" s="35"/>
      <c r="AX593" s="30"/>
      <c r="AY593" s="32">
        <f t="shared" si="170"/>
        <v>0</v>
      </c>
      <c r="AZ593" s="30" t="s">
        <v>841</v>
      </c>
      <c r="BA593" s="63"/>
      <c r="BB593" s="71" t="e">
        <f>SUMIFS([1]Form!$F$9:$F$22,[1]Form!$K$9:$K$22,K593)</f>
        <v>#VALUE!</v>
      </c>
      <c r="BC593" s="71"/>
      <c r="BD593" s="71"/>
    </row>
    <row r="594" spans="1:56" x14ac:dyDescent="0.25">
      <c r="A594" s="24">
        <f>IF(B594="","",SUBTOTAL(3,$B$4:B594))</f>
        <v>591</v>
      </c>
      <c r="B594" s="25" t="s">
        <v>840</v>
      </c>
      <c r="C594" s="25" t="str">
        <f t="shared" si="531"/>
        <v>Shipment 1 B-10124 Fired Proces Heater</v>
      </c>
      <c r="D594" s="25" t="s">
        <v>839</v>
      </c>
      <c r="E594" s="25" t="s">
        <v>838</v>
      </c>
      <c r="F594" s="25"/>
      <c r="G594" s="65"/>
      <c r="H594" s="25" t="s">
        <v>842</v>
      </c>
      <c r="I594" s="25"/>
      <c r="J594" s="26" t="s">
        <v>845</v>
      </c>
      <c r="K594" s="27" t="s">
        <v>1035</v>
      </c>
      <c r="L594" s="28" t="s">
        <v>1039</v>
      </c>
      <c r="M594" s="28" t="s">
        <v>1028</v>
      </c>
      <c r="N594" s="25">
        <v>1</v>
      </c>
      <c r="O594" s="29">
        <v>46.206250000000004</v>
      </c>
      <c r="P594" s="29">
        <v>46.206250000000004</v>
      </c>
      <c r="Q594" s="25" t="s">
        <v>1037</v>
      </c>
      <c r="R594" s="25"/>
      <c r="S594" s="26"/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163"/>
        <v>0</v>
      </c>
      <c r="AF594" s="32">
        <f t="shared" si="164"/>
        <v>46.206250000000004</v>
      </c>
      <c r="AG594" s="30"/>
      <c r="AH594" s="33"/>
      <c r="AI594" s="34">
        <f t="shared" si="165"/>
        <v>0</v>
      </c>
      <c r="AJ594" s="35"/>
      <c r="AK594" s="30"/>
      <c r="AL594" s="36">
        <f t="shared" si="166"/>
        <v>0</v>
      </c>
      <c r="AM594" s="35"/>
      <c r="AN594" s="30"/>
      <c r="AO594" s="36">
        <f t="shared" si="167"/>
        <v>0</v>
      </c>
      <c r="AP594" s="35"/>
      <c r="AQ594" s="30"/>
      <c r="AR594" s="36">
        <f t="shared" si="168"/>
        <v>0</v>
      </c>
      <c r="AS594" s="27"/>
      <c r="AT594" s="37"/>
      <c r="AU594" s="30"/>
      <c r="AV594" s="36">
        <f t="shared" si="169"/>
        <v>0</v>
      </c>
      <c r="AW594" s="35"/>
      <c r="AX594" s="30"/>
      <c r="AY594" s="32">
        <f t="shared" si="170"/>
        <v>0</v>
      </c>
      <c r="AZ594" s="30" t="s">
        <v>841</v>
      </c>
      <c r="BA594" s="63"/>
      <c r="BB594" s="71" t="e">
        <f>SUMIFS([1]Form!$F$9:$F$22,[1]Form!$K$9:$K$22,K594)</f>
        <v>#VALUE!</v>
      </c>
      <c r="BC594" s="71"/>
      <c r="BD594" s="71"/>
    </row>
    <row r="595" spans="1:56" x14ac:dyDescent="0.25">
      <c r="A595" s="24">
        <f>IF(B595="","",SUBTOTAL(3,$B$4:B595))</f>
        <v>592</v>
      </c>
      <c r="B595" s="25" t="s">
        <v>840</v>
      </c>
      <c r="C595" s="25" t="str">
        <f t="shared" si="531"/>
        <v>Shipment 1 B-10124 Fired Proces Heater</v>
      </c>
      <c r="D595" s="25" t="s">
        <v>839</v>
      </c>
      <c r="E595" s="25" t="s">
        <v>838</v>
      </c>
      <c r="F595" s="25"/>
      <c r="G595" s="65"/>
      <c r="H595" s="25" t="s">
        <v>842</v>
      </c>
      <c r="I595" s="25"/>
      <c r="J595" s="26" t="s">
        <v>845</v>
      </c>
      <c r="K595" s="27" t="s">
        <v>1035</v>
      </c>
      <c r="L595" s="28" t="s">
        <v>1040</v>
      </c>
      <c r="M595" s="28" t="s">
        <v>1028</v>
      </c>
      <c r="N595" s="25">
        <v>1</v>
      </c>
      <c r="O595" s="29">
        <v>46.206250000000004</v>
      </c>
      <c r="P595" s="29">
        <v>46.206250000000004</v>
      </c>
      <c r="Q595" s="25" t="s">
        <v>1037</v>
      </c>
      <c r="R595" s="25"/>
      <c r="S595" s="26"/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163"/>
        <v>0</v>
      </c>
      <c r="AF595" s="32">
        <f t="shared" si="164"/>
        <v>46.206250000000004</v>
      </c>
      <c r="AG595" s="30"/>
      <c r="AH595" s="33"/>
      <c r="AI595" s="34">
        <f t="shared" si="165"/>
        <v>0</v>
      </c>
      <c r="AJ595" s="35"/>
      <c r="AK595" s="30"/>
      <c r="AL595" s="36">
        <f t="shared" si="166"/>
        <v>0</v>
      </c>
      <c r="AM595" s="35"/>
      <c r="AN595" s="30"/>
      <c r="AO595" s="36">
        <f t="shared" si="167"/>
        <v>0</v>
      </c>
      <c r="AP595" s="35"/>
      <c r="AQ595" s="30"/>
      <c r="AR595" s="36">
        <f t="shared" si="168"/>
        <v>0</v>
      </c>
      <c r="AS595" s="27"/>
      <c r="AT595" s="37"/>
      <c r="AU595" s="30"/>
      <c r="AV595" s="36">
        <f t="shared" si="169"/>
        <v>0</v>
      </c>
      <c r="AW595" s="35"/>
      <c r="AX595" s="30"/>
      <c r="AY595" s="32">
        <f t="shared" si="170"/>
        <v>0</v>
      </c>
      <c r="AZ595" s="30" t="s">
        <v>841</v>
      </c>
      <c r="BA595" s="63"/>
      <c r="BB595" s="71" t="e">
        <f>SUMIFS([1]Form!$F$9:$F$22,[1]Form!$K$9:$K$22,K595)</f>
        <v>#VALUE!</v>
      </c>
      <c r="BC595" s="71"/>
      <c r="BD595" s="71"/>
    </row>
    <row r="596" spans="1:56" x14ac:dyDescent="0.25">
      <c r="A596" s="24">
        <f>IF(B596="","",SUBTOTAL(3,$B$4:B596))</f>
        <v>593</v>
      </c>
      <c r="B596" s="25" t="s">
        <v>840</v>
      </c>
      <c r="C596" s="25" t="str">
        <f t="shared" si="531"/>
        <v>Shipment 1 B-10124 Fired Proces Heater</v>
      </c>
      <c r="D596" s="25" t="s">
        <v>839</v>
      </c>
      <c r="E596" s="25" t="s">
        <v>838</v>
      </c>
      <c r="F596" s="25"/>
      <c r="G596" s="65"/>
      <c r="H596" s="25" t="s">
        <v>842</v>
      </c>
      <c r="I596" s="25"/>
      <c r="J596" s="26" t="s">
        <v>845</v>
      </c>
      <c r="K596" s="27" t="s">
        <v>1035</v>
      </c>
      <c r="L596" s="28" t="s">
        <v>1041</v>
      </c>
      <c r="M596" s="28" t="s">
        <v>1028</v>
      </c>
      <c r="N596" s="25">
        <v>1</v>
      </c>
      <c r="O596" s="29">
        <v>46.206250000000004</v>
      </c>
      <c r="P596" s="29">
        <v>46.206250000000004</v>
      </c>
      <c r="Q596" s="25" t="s">
        <v>1037</v>
      </c>
      <c r="R596" s="25"/>
      <c r="S596" s="26"/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163"/>
        <v>0</v>
      </c>
      <c r="AF596" s="32">
        <f t="shared" si="164"/>
        <v>46.206250000000004</v>
      </c>
      <c r="AG596" s="30"/>
      <c r="AH596" s="33"/>
      <c r="AI596" s="34">
        <f t="shared" si="165"/>
        <v>0</v>
      </c>
      <c r="AJ596" s="35"/>
      <c r="AK596" s="30"/>
      <c r="AL596" s="36">
        <f t="shared" si="166"/>
        <v>0</v>
      </c>
      <c r="AM596" s="35"/>
      <c r="AN596" s="30"/>
      <c r="AO596" s="36">
        <f t="shared" si="167"/>
        <v>0</v>
      </c>
      <c r="AP596" s="35"/>
      <c r="AQ596" s="30"/>
      <c r="AR596" s="36">
        <f t="shared" si="168"/>
        <v>0</v>
      </c>
      <c r="AS596" s="27"/>
      <c r="AT596" s="37"/>
      <c r="AU596" s="30"/>
      <c r="AV596" s="36">
        <f t="shared" si="169"/>
        <v>0</v>
      </c>
      <c r="AW596" s="35"/>
      <c r="AX596" s="30"/>
      <c r="AY596" s="32">
        <f t="shared" si="170"/>
        <v>0</v>
      </c>
      <c r="AZ596" s="30" t="s">
        <v>841</v>
      </c>
      <c r="BA596" s="63"/>
      <c r="BB596" s="71" t="e">
        <f>SUMIFS([1]Form!$F$9:$F$22,[1]Form!$K$9:$K$22,K596)</f>
        <v>#VALUE!</v>
      </c>
      <c r="BC596" s="71"/>
      <c r="BD596" s="71"/>
    </row>
    <row r="597" spans="1:56" x14ac:dyDescent="0.25">
      <c r="A597" s="24">
        <f>IF(B597="","",SUBTOTAL(3,$B$4:B597))</f>
        <v>594</v>
      </c>
      <c r="B597" s="25" t="s">
        <v>840</v>
      </c>
      <c r="C597" s="25" t="str">
        <f t="shared" si="531"/>
        <v>Shipment 1 B-10124 Fired Proces Heater</v>
      </c>
      <c r="D597" s="25" t="s">
        <v>839</v>
      </c>
      <c r="E597" s="25" t="s">
        <v>838</v>
      </c>
      <c r="F597" s="25"/>
      <c r="G597" s="65"/>
      <c r="H597" s="25" t="s">
        <v>842</v>
      </c>
      <c r="I597" s="25"/>
      <c r="J597" s="26" t="s">
        <v>845</v>
      </c>
      <c r="K597" s="27" t="s">
        <v>1035</v>
      </c>
      <c r="L597" s="28" t="s">
        <v>1042</v>
      </c>
      <c r="M597" s="28" t="s">
        <v>1028</v>
      </c>
      <c r="N597" s="25">
        <v>1</v>
      </c>
      <c r="O597" s="29">
        <v>46.206250000000004</v>
      </c>
      <c r="P597" s="29">
        <v>46.206250000000004</v>
      </c>
      <c r="Q597" s="25" t="s">
        <v>1037</v>
      </c>
      <c r="R597" s="25"/>
      <c r="S597" s="26"/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163"/>
        <v>0</v>
      </c>
      <c r="AF597" s="32">
        <f t="shared" si="164"/>
        <v>46.206250000000004</v>
      </c>
      <c r="AG597" s="30"/>
      <c r="AH597" s="33"/>
      <c r="AI597" s="34">
        <f t="shared" si="165"/>
        <v>0</v>
      </c>
      <c r="AJ597" s="35"/>
      <c r="AK597" s="30"/>
      <c r="AL597" s="36">
        <f t="shared" si="166"/>
        <v>0</v>
      </c>
      <c r="AM597" s="35"/>
      <c r="AN597" s="30"/>
      <c r="AO597" s="36">
        <f t="shared" si="167"/>
        <v>0</v>
      </c>
      <c r="AP597" s="35"/>
      <c r="AQ597" s="30"/>
      <c r="AR597" s="36">
        <f t="shared" si="168"/>
        <v>0</v>
      </c>
      <c r="AS597" s="27"/>
      <c r="AT597" s="37"/>
      <c r="AU597" s="30"/>
      <c r="AV597" s="36">
        <f t="shared" si="169"/>
        <v>0</v>
      </c>
      <c r="AW597" s="35"/>
      <c r="AX597" s="30"/>
      <c r="AY597" s="32">
        <f t="shared" si="170"/>
        <v>0</v>
      </c>
      <c r="AZ597" s="30" t="s">
        <v>841</v>
      </c>
      <c r="BA597" s="63"/>
      <c r="BB597" s="71" t="e">
        <f>SUMIFS([1]Form!$F$9:$F$22,[1]Form!$K$9:$K$22,K597)</f>
        <v>#VALUE!</v>
      </c>
      <c r="BC597" s="71"/>
      <c r="BD597" s="71"/>
    </row>
    <row r="598" spans="1:56" x14ac:dyDescent="0.25">
      <c r="A598" s="24">
        <f>IF(B598="","",SUBTOTAL(3,$B$4:B598))</f>
        <v>595</v>
      </c>
      <c r="B598" s="25" t="s">
        <v>840</v>
      </c>
      <c r="C598" s="25" t="str">
        <f t="shared" si="531"/>
        <v>Shipment 1 B-10124 Fired Proces Heater</v>
      </c>
      <c r="D598" s="25" t="s">
        <v>839</v>
      </c>
      <c r="E598" s="25" t="s">
        <v>838</v>
      </c>
      <c r="F598" s="25"/>
      <c r="G598" s="65"/>
      <c r="H598" s="25" t="s">
        <v>842</v>
      </c>
      <c r="I598" s="25"/>
      <c r="J598" s="26" t="s">
        <v>845</v>
      </c>
      <c r="K598" s="27" t="s">
        <v>1035</v>
      </c>
      <c r="L598" s="28" t="s">
        <v>1043</v>
      </c>
      <c r="M598" s="28" t="s">
        <v>1028</v>
      </c>
      <c r="N598" s="25">
        <v>1</v>
      </c>
      <c r="O598" s="29">
        <v>46.206250000000004</v>
      </c>
      <c r="P598" s="29">
        <v>46.206250000000004</v>
      </c>
      <c r="Q598" s="25" t="s">
        <v>1037</v>
      </c>
      <c r="R598" s="25"/>
      <c r="S598" s="26"/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163"/>
        <v>0</v>
      </c>
      <c r="AF598" s="32">
        <f t="shared" si="164"/>
        <v>46.206250000000004</v>
      </c>
      <c r="AG598" s="30"/>
      <c r="AH598" s="33"/>
      <c r="AI598" s="34">
        <f t="shared" si="165"/>
        <v>0</v>
      </c>
      <c r="AJ598" s="35"/>
      <c r="AK598" s="30"/>
      <c r="AL598" s="36">
        <f t="shared" si="166"/>
        <v>0</v>
      </c>
      <c r="AM598" s="35"/>
      <c r="AN598" s="30"/>
      <c r="AO598" s="36">
        <f t="shared" si="167"/>
        <v>0</v>
      </c>
      <c r="AP598" s="35"/>
      <c r="AQ598" s="30"/>
      <c r="AR598" s="36">
        <f t="shared" si="168"/>
        <v>0</v>
      </c>
      <c r="AS598" s="27"/>
      <c r="AT598" s="37"/>
      <c r="AU598" s="30"/>
      <c r="AV598" s="36">
        <f t="shared" si="169"/>
        <v>0</v>
      </c>
      <c r="AW598" s="35"/>
      <c r="AX598" s="30"/>
      <c r="AY598" s="32">
        <f t="shared" si="170"/>
        <v>0</v>
      </c>
      <c r="AZ598" s="30" t="s">
        <v>841</v>
      </c>
      <c r="BA598" s="63"/>
      <c r="BB598" s="71" t="e">
        <f>SUMIFS([1]Form!$F$9:$F$22,[1]Form!$K$9:$K$22,K598)</f>
        <v>#VALUE!</v>
      </c>
      <c r="BC598" s="71"/>
      <c r="BD598" s="71"/>
    </row>
    <row r="599" spans="1:56" x14ac:dyDescent="0.25">
      <c r="A599" s="24">
        <f>IF(B599="","",SUBTOTAL(3,$B$4:B599))</f>
        <v>596</v>
      </c>
      <c r="B599" s="25" t="s">
        <v>840</v>
      </c>
      <c r="C599" s="25" t="str">
        <f t="shared" si="531"/>
        <v>Shipment 1 B-10124 Fired Proces Heater</v>
      </c>
      <c r="D599" s="25" t="s">
        <v>839</v>
      </c>
      <c r="E599" s="25" t="s">
        <v>838</v>
      </c>
      <c r="F599" s="25"/>
      <c r="G599" s="65"/>
      <c r="H599" s="25" t="s">
        <v>842</v>
      </c>
      <c r="I599" s="25"/>
      <c r="J599" s="26" t="s">
        <v>845</v>
      </c>
      <c r="K599" s="27" t="s">
        <v>1035</v>
      </c>
      <c r="L599" s="28" t="s">
        <v>1044</v>
      </c>
      <c r="M599" s="28" t="s">
        <v>1028</v>
      </c>
      <c r="N599" s="25">
        <v>1</v>
      </c>
      <c r="O599" s="29">
        <v>46.206250000000004</v>
      </c>
      <c r="P599" s="29">
        <v>46.206250000000004</v>
      </c>
      <c r="Q599" s="25" t="s">
        <v>1037</v>
      </c>
      <c r="R599" s="25"/>
      <c r="S599" s="26"/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ref="AE599:AE662" si="532">+AL599*0.5+AO599*0.4+AV599*0.1</f>
        <v>0</v>
      </c>
      <c r="AF599" s="32">
        <f t="shared" ref="AF599:AF662" si="533">+P599-AE599</f>
        <v>46.206250000000004</v>
      </c>
      <c r="AG599" s="30"/>
      <c r="AH599" s="33"/>
      <c r="AI599" s="34">
        <f t="shared" ref="AI599:AI662" si="534">+AH599*P599</f>
        <v>0</v>
      </c>
      <c r="AJ599" s="35"/>
      <c r="AK599" s="30"/>
      <c r="AL599" s="36">
        <f t="shared" ref="AL599:AL662" si="535">IFERROR(AK599*$P599/$N599,0)</f>
        <v>0</v>
      </c>
      <c r="AM599" s="35"/>
      <c r="AN599" s="30"/>
      <c r="AO599" s="36">
        <f t="shared" ref="AO599:AO662" si="536">IFERROR(AN599*$P599/$N599,0)</f>
        <v>0</v>
      </c>
      <c r="AP599" s="35"/>
      <c r="AQ599" s="30"/>
      <c r="AR599" s="36">
        <f t="shared" ref="AR599:AR662" si="537">IFERROR(AQ599*$P599/$N599,0)</f>
        <v>0</v>
      </c>
      <c r="AS599" s="27"/>
      <c r="AT599" s="37"/>
      <c r="AU599" s="30"/>
      <c r="AV599" s="36">
        <f t="shared" ref="AV599:AV662" si="538">IFERROR(AU599*$P599/$N599,0)</f>
        <v>0</v>
      </c>
      <c r="AW599" s="35"/>
      <c r="AX599" s="30"/>
      <c r="AY599" s="32">
        <f t="shared" ref="AY599:AY662" si="539">IFERROR(AX599*$P599/$N599,0)</f>
        <v>0</v>
      </c>
      <c r="AZ599" s="30" t="s">
        <v>841</v>
      </c>
      <c r="BA599" s="63"/>
      <c r="BB599" s="71" t="e">
        <f>SUMIFS([1]Form!$F$9:$F$22,[1]Form!$K$9:$K$22,K599)</f>
        <v>#VALUE!</v>
      </c>
      <c r="BC599" s="71"/>
      <c r="BD599" s="71"/>
    </row>
    <row r="600" spans="1:56" x14ac:dyDescent="0.25">
      <c r="A600" s="24">
        <f>IF(B600="","",SUBTOTAL(3,$B$4:B600))</f>
        <v>597</v>
      </c>
      <c r="B600" s="25" t="s">
        <v>840</v>
      </c>
      <c r="C600" s="25" t="str">
        <f t="shared" si="531"/>
        <v>Shipment 1 B-10124 Fired Proces Heater</v>
      </c>
      <c r="D600" s="25" t="s">
        <v>839</v>
      </c>
      <c r="E600" s="25" t="s">
        <v>838</v>
      </c>
      <c r="F600" s="25"/>
      <c r="G600" s="65"/>
      <c r="H600" s="25" t="s">
        <v>842</v>
      </c>
      <c r="I600" s="25"/>
      <c r="J600" s="26" t="s">
        <v>845</v>
      </c>
      <c r="K600" s="27" t="s">
        <v>1035</v>
      </c>
      <c r="L600" s="28" t="s">
        <v>1045</v>
      </c>
      <c r="M600" s="28" t="s">
        <v>1028</v>
      </c>
      <c r="N600" s="25">
        <v>1</v>
      </c>
      <c r="O600" s="29">
        <v>46.206250000000004</v>
      </c>
      <c r="P600" s="29">
        <v>46.206250000000004</v>
      </c>
      <c r="Q600" s="25" t="s">
        <v>1037</v>
      </c>
      <c r="R600" s="25"/>
      <c r="S600" s="26"/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532"/>
        <v>0</v>
      </c>
      <c r="AF600" s="32">
        <f t="shared" si="533"/>
        <v>46.206250000000004</v>
      </c>
      <c r="AG600" s="30"/>
      <c r="AH600" s="33"/>
      <c r="AI600" s="34">
        <f t="shared" si="534"/>
        <v>0</v>
      </c>
      <c r="AJ600" s="35"/>
      <c r="AK600" s="30"/>
      <c r="AL600" s="36">
        <f t="shared" si="535"/>
        <v>0</v>
      </c>
      <c r="AM600" s="35"/>
      <c r="AN600" s="30"/>
      <c r="AO600" s="36">
        <f t="shared" si="536"/>
        <v>0</v>
      </c>
      <c r="AP600" s="35"/>
      <c r="AQ600" s="30"/>
      <c r="AR600" s="36">
        <f t="shared" si="537"/>
        <v>0</v>
      </c>
      <c r="AS600" s="27"/>
      <c r="AT600" s="37"/>
      <c r="AU600" s="30"/>
      <c r="AV600" s="36">
        <f t="shared" si="538"/>
        <v>0</v>
      </c>
      <c r="AW600" s="35"/>
      <c r="AX600" s="30"/>
      <c r="AY600" s="32">
        <f t="shared" si="539"/>
        <v>0</v>
      </c>
      <c r="AZ600" s="30" t="s">
        <v>841</v>
      </c>
      <c r="BA600" s="63"/>
      <c r="BB600" s="71" t="e">
        <f>SUMIFS([1]Form!$F$9:$F$22,[1]Form!$K$9:$K$22,K600)</f>
        <v>#VALUE!</v>
      </c>
      <c r="BC600" s="71"/>
      <c r="BD600" s="71"/>
    </row>
    <row r="601" spans="1:56" x14ac:dyDescent="0.25">
      <c r="A601" s="24">
        <f>IF(B601="","",SUBTOTAL(3,$B$4:B601))</f>
        <v>598</v>
      </c>
      <c r="B601" s="25" t="s">
        <v>840</v>
      </c>
      <c r="C601" s="25" t="str">
        <f t="shared" si="531"/>
        <v>Shipment 1 B-10124 Fired Proces Heater</v>
      </c>
      <c r="D601" s="25" t="s">
        <v>839</v>
      </c>
      <c r="E601" s="25" t="s">
        <v>838</v>
      </c>
      <c r="F601" s="25"/>
      <c r="G601" s="65"/>
      <c r="H601" s="25" t="s">
        <v>842</v>
      </c>
      <c r="I601" s="25"/>
      <c r="J601" s="26" t="s">
        <v>845</v>
      </c>
      <c r="K601" s="27" t="s">
        <v>1035</v>
      </c>
      <c r="L601" s="28" t="s">
        <v>1046</v>
      </c>
      <c r="M601" s="28" t="s">
        <v>1028</v>
      </c>
      <c r="N601" s="25">
        <v>1</v>
      </c>
      <c r="O601" s="29">
        <v>46.206250000000004</v>
      </c>
      <c r="P601" s="29">
        <v>46.206250000000004</v>
      </c>
      <c r="Q601" s="25" t="s">
        <v>1037</v>
      </c>
      <c r="R601" s="25"/>
      <c r="S601" s="26"/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532"/>
        <v>0</v>
      </c>
      <c r="AF601" s="32">
        <f t="shared" si="533"/>
        <v>46.206250000000004</v>
      </c>
      <c r="AG601" s="30"/>
      <c r="AH601" s="33"/>
      <c r="AI601" s="34">
        <f t="shared" si="534"/>
        <v>0</v>
      </c>
      <c r="AJ601" s="35"/>
      <c r="AK601" s="30"/>
      <c r="AL601" s="36">
        <f t="shared" si="535"/>
        <v>0</v>
      </c>
      <c r="AM601" s="35"/>
      <c r="AN601" s="30"/>
      <c r="AO601" s="36">
        <f t="shared" si="536"/>
        <v>0</v>
      </c>
      <c r="AP601" s="35"/>
      <c r="AQ601" s="30"/>
      <c r="AR601" s="36">
        <f t="shared" si="537"/>
        <v>0</v>
      </c>
      <c r="AS601" s="27"/>
      <c r="AT601" s="37"/>
      <c r="AU601" s="30"/>
      <c r="AV601" s="36">
        <f t="shared" si="538"/>
        <v>0</v>
      </c>
      <c r="AW601" s="35"/>
      <c r="AX601" s="30"/>
      <c r="AY601" s="32">
        <f t="shared" si="539"/>
        <v>0</v>
      </c>
      <c r="AZ601" s="30" t="s">
        <v>841</v>
      </c>
      <c r="BA601" s="63"/>
      <c r="BB601" s="71" t="e">
        <f>SUMIFS([1]Form!$F$9:$F$22,[1]Form!$K$9:$K$22,K601)</f>
        <v>#VALUE!</v>
      </c>
      <c r="BC601" s="71"/>
      <c r="BD601" s="71"/>
    </row>
    <row r="602" spans="1:56" x14ac:dyDescent="0.25">
      <c r="A602" s="24">
        <f>IF(B602="","",SUBTOTAL(3,$B$4:B602))</f>
        <v>599</v>
      </c>
      <c r="B602" s="25" t="s">
        <v>840</v>
      </c>
      <c r="C602" s="25" t="str">
        <f t="shared" si="531"/>
        <v>Shipment 1 B-10124 Fired Proces Heater</v>
      </c>
      <c r="D602" s="25" t="s">
        <v>839</v>
      </c>
      <c r="E602" s="25" t="s">
        <v>838</v>
      </c>
      <c r="F602" s="25"/>
      <c r="G602" s="65"/>
      <c r="H602" s="25" t="s">
        <v>842</v>
      </c>
      <c r="I602" s="25"/>
      <c r="J602" s="26" t="s">
        <v>845</v>
      </c>
      <c r="K602" s="27" t="s">
        <v>1035</v>
      </c>
      <c r="L602" s="28" t="s">
        <v>1047</v>
      </c>
      <c r="M602" s="28" t="s">
        <v>1028</v>
      </c>
      <c r="N602" s="25">
        <v>1</v>
      </c>
      <c r="O602" s="29">
        <v>46.206250000000004</v>
      </c>
      <c r="P602" s="29">
        <v>46.206250000000004</v>
      </c>
      <c r="Q602" s="25" t="s">
        <v>1037</v>
      </c>
      <c r="R602" s="25"/>
      <c r="S602" s="26"/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532"/>
        <v>0</v>
      </c>
      <c r="AF602" s="32">
        <f t="shared" si="533"/>
        <v>46.206250000000004</v>
      </c>
      <c r="AG602" s="30"/>
      <c r="AH602" s="33"/>
      <c r="AI602" s="34">
        <f t="shared" si="534"/>
        <v>0</v>
      </c>
      <c r="AJ602" s="35"/>
      <c r="AK602" s="30"/>
      <c r="AL602" s="36">
        <f t="shared" si="535"/>
        <v>0</v>
      </c>
      <c r="AM602" s="35"/>
      <c r="AN602" s="30"/>
      <c r="AO602" s="36">
        <f t="shared" si="536"/>
        <v>0</v>
      </c>
      <c r="AP602" s="35"/>
      <c r="AQ602" s="30"/>
      <c r="AR602" s="36">
        <f t="shared" si="537"/>
        <v>0</v>
      </c>
      <c r="AS602" s="27"/>
      <c r="AT602" s="37"/>
      <c r="AU602" s="30"/>
      <c r="AV602" s="36">
        <f t="shared" si="538"/>
        <v>0</v>
      </c>
      <c r="AW602" s="35"/>
      <c r="AX602" s="30"/>
      <c r="AY602" s="32">
        <f t="shared" si="539"/>
        <v>0</v>
      </c>
      <c r="AZ602" s="30" t="s">
        <v>841</v>
      </c>
      <c r="BA602" s="63"/>
      <c r="BB602" s="71" t="e">
        <f>SUMIFS([1]Form!$F$9:$F$22,[1]Form!$K$9:$K$22,K602)</f>
        <v>#VALUE!</v>
      </c>
      <c r="BC602" s="71"/>
      <c r="BD602" s="71"/>
    </row>
    <row r="603" spans="1:56" x14ac:dyDescent="0.25">
      <c r="A603" s="24">
        <f>IF(B603="","",SUBTOTAL(3,$B$4:B603))</f>
        <v>600</v>
      </c>
      <c r="B603" s="25" t="s">
        <v>840</v>
      </c>
      <c r="C603" s="25" t="str">
        <f t="shared" si="531"/>
        <v>Shipment 1 B-10124 Fired Proces Heater</v>
      </c>
      <c r="D603" s="25" t="s">
        <v>839</v>
      </c>
      <c r="E603" s="25" t="s">
        <v>838</v>
      </c>
      <c r="F603" s="25"/>
      <c r="G603" s="65"/>
      <c r="H603" s="25" t="s">
        <v>842</v>
      </c>
      <c r="I603" s="25"/>
      <c r="J603" s="26" t="s">
        <v>845</v>
      </c>
      <c r="K603" s="27" t="s">
        <v>1035</v>
      </c>
      <c r="L603" s="28" t="s">
        <v>1048</v>
      </c>
      <c r="M603" s="28" t="s">
        <v>1028</v>
      </c>
      <c r="N603" s="25">
        <v>1</v>
      </c>
      <c r="O603" s="29">
        <v>46.206250000000004</v>
      </c>
      <c r="P603" s="29">
        <v>46.206250000000004</v>
      </c>
      <c r="Q603" s="25" t="s">
        <v>1037</v>
      </c>
      <c r="R603" s="25"/>
      <c r="S603" s="26"/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532"/>
        <v>0</v>
      </c>
      <c r="AF603" s="32">
        <f t="shared" si="533"/>
        <v>46.206250000000004</v>
      </c>
      <c r="AG603" s="30"/>
      <c r="AH603" s="33"/>
      <c r="AI603" s="34">
        <f t="shared" si="534"/>
        <v>0</v>
      </c>
      <c r="AJ603" s="35"/>
      <c r="AK603" s="30"/>
      <c r="AL603" s="36">
        <f t="shared" si="535"/>
        <v>0</v>
      </c>
      <c r="AM603" s="35"/>
      <c r="AN603" s="30"/>
      <c r="AO603" s="36">
        <f t="shared" si="536"/>
        <v>0</v>
      </c>
      <c r="AP603" s="35"/>
      <c r="AQ603" s="30"/>
      <c r="AR603" s="36">
        <f t="shared" si="537"/>
        <v>0</v>
      </c>
      <c r="AS603" s="27"/>
      <c r="AT603" s="37"/>
      <c r="AU603" s="30"/>
      <c r="AV603" s="36">
        <f t="shared" si="538"/>
        <v>0</v>
      </c>
      <c r="AW603" s="35"/>
      <c r="AX603" s="30"/>
      <c r="AY603" s="32">
        <f t="shared" si="539"/>
        <v>0</v>
      </c>
      <c r="AZ603" s="30" t="s">
        <v>841</v>
      </c>
      <c r="BA603" s="63"/>
      <c r="BB603" s="71" t="e">
        <f>SUMIFS([1]Form!$F$9:$F$22,[1]Form!$K$9:$K$22,K603)</f>
        <v>#VALUE!</v>
      </c>
      <c r="BC603" s="71"/>
      <c r="BD603" s="71"/>
    </row>
    <row r="604" spans="1:56" x14ac:dyDescent="0.25">
      <c r="A604" s="24">
        <f>IF(B604="","",SUBTOTAL(3,$B$4:B604))</f>
        <v>601</v>
      </c>
      <c r="B604" s="25" t="s">
        <v>840</v>
      </c>
      <c r="C604" s="25" t="str">
        <f t="shared" si="531"/>
        <v>Shipment 1 B-10124 Fired Proces Heater</v>
      </c>
      <c r="D604" s="25" t="s">
        <v>839</v>
      </c>
      <c r="E604" s="25" t="s">
        <v>838</v>
      </c>
      <c r="F604" s="25"/>
      <c r="G604" s="65"/>
      <c r="H604" s="25" t="s">
        <v>842</v>
      </c>
      <c r="I604" s="25"/>
      <c r="J604" s="26" t="s">
        <v>845</v>
      </c>
      <c r="K604" s="27" t="s">
        <v>1035</v>
      </c>
      <c r="L604" s="28" t="s">
        <v>1049</v>
      </c>
      <c r="M604" s="28" t="s">
        <v>1028</v>
      </c>
      <c r="N604" s="25">
        <v>1</v>
      </c>
      <c r="O604" s="29">
        <v>46.206250000000004</v>
      </c>
      <c r="P604" s="29">
        <v>46.206250000000004</v>
      </c>
      <c r="Q604" s="25" t="s">
        <v>1037</v>
      </c>
      <c r="R604" s="25"/>
      <c r="S604" s="26"/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532"/>
        <v>0</v>
      </c>
      <c r="AF604" s="32">
        <f t="shared" si="533"/>
        <v>46.206250000000004</v>
      </c>
      <c r="AG604" s="30"/>
      <c r="AH604" s="33"/>
      <c r="AI604" s="34">
        <f t="shared" si="534"/>
        <v>0</v>
      </c>
      <c r="AJ604" s="35"/>
      <c r="AK604" s="30"/>
      <c r="AL604" s="36">
        <f t="shared" si="535"/>
        <v>0</v>
      </c>
      <c r="AM604" s="35"/>
      <c r="AN604" s="30"/>
      <c r="AO604" s="36">
        <f t="shared" si="536"/>
        <v>0</v>
      </c>
      <c r="AP604" s="35"/>
      <c r="AQ604" s="30"/>
      <c r="AR604" s="36">
        <f t="shared" si="537"/>
        <v>0</v>
      </c>
      <c r="AS604" s="27"/>
      <c r="AT604" s="37"/>
      <c r="AU604" s="30"/>
      <c r="AV604" s="36">
        <f t="shared" si="538"/>
        <v>0</v>
      </c>
      <c r="AW604" s="35"/>
      <c r="AX604" s="30"/>
      <c r="AY604" s="32">
        <f t="shared" si="539"/>
        <v>0</v>
      </c>
      <c r="AZ604" s="30" t="s">
        <v>841</v>
      </c>
      <c r="BA604" s="63"/>
      <c r="BB604" s="71" t="e">
        <f>SUMIFS([1]Form!$F$9:$F$22,[1]Form!$K$9:$K$22,K604)</f>
        <v>#VALUE!</v>
      </c>
      <c r="BC604" s="71"/>
      <c r="BD604" s="71"/>
    </row>
    <row r="605" spans="1:56" x14ac:dyDescent="0.25">
      <c r="A605" s="24">
        <f>IF(B605="","",SUBTOTAL(3,$B$4:B605))</f>
        <v>602</v>
      </c>
      <c r="B605" s="25" t="s">
        <v>840</v>
      </c>
      <c r="C605" s="25" t="str">
        <f t="shared" si="531"/>
        <v>Shipment 1 B-10124 Fired Proces Heater</v>
      </c>
      <c r="D605" s="25" t="s">
        <v>839</v>
      </c>
      <c r="E605" s="25" t="s">
        <v>838</v>
      </c>
      <c r="F605" s="25"/>
      <c r="G605" s="65"/>
      <c r="H605" s="25" t="s">
        <v>842</v>
      </c>
      <c r="I605" s="25"/>
      <c r="J605" s="26" t="s">
        <v>845</v>
      </c>
      <c r="K605" s="27" t="s">
        <v>1035</v>
      </c>
      <c r="L605" s="28" t="s">
        <v>1050</v>
      </c>
      <c r="M605" s="28" t="s">
        <v>1028</v>
      </c>
      <c r="N605" s="25">
        <v>1</v>
      </c>
      <c r="O605" s="29">
        <v>46.206250000000004</v>
      </c>
      <c r="P605" s="29">
        <v>46.206250000000004</v>
      </c>
      <c r="Q605" s="25" t="s">
        <v>1037</v>
      </c>
      <c r="R605" s="25"/>
      <c r="S605" s="26"/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532"/>
        <v>0</v>
      </c>
      <c r="AF605" s="32">
        <f t="shared" si="533"/>
        <v>46.206250000000004</v>
      </c>
      <c r="AG605" s="30"/>
      <c r="AH605" s="33"/>
      <c r="AI605" s="34">
        <f t="shared" si="534"/>
        <v>0</v>
      </c>
      <c r="AJ605" s="35"/>
      <c r="AK605" s="30"/>
      <c r="AL605" s="36">
        <f t="shared" si="535"/>
        <v>0</v>
      </c>
      <c r="AM605" s="35"/>
      <c r="AN605" s="30"/>
      <c r="AO605" s="36">
        <f t="shared" si="536"/>
        <v>0</v>
      </c>
      <c r="AP605" s="35"/>
      <c r="AQ605" s="30"/>
      <c r="AR605" s="36">
        <f t="shared" si="537"/>
        <v>0</v>
      </c>
      <c r="AS605" s="27"/>
      <c r="AT605" s="37"/>
      <c r="AU605" s="30"/>
      <c r="AV605" s="36">
        <f t="shared" si="538"/>
        <v>0</v>
      </c>
      <c r="AW605" s="35"/>
      <c r="AX605" s="30"/>
      <c r="AY605" s="32">
        <f t="shared" si="539"/>
        <v>0</v>
      </c>
      <c r="AZ605" s="30" t="s">
        <v>841</v>
      </c>
      <c r="BA605" s="63"/>
      <c r="BB605" s="71" t="e">
        <f>SUMIFS([1]Form!$F$9:$F$22,[1]Form!$K$9:$K$22,K605)</f>
        <v>#VALUE!</v>
      </c>
      <c r="BC605" s="71"/>
      <c r="BD605" s="71"/>
    </row>
    <row r="606" spans="1:56" x14ac:dyDescent="0.25">
      <c r="A606" s="24">
        <f>IF(B606="","",SUBTOTAL(3,$B$4:B606))</f>
        <v>603</v>
      </c>
      <c r="B606" s="25" t="s">
        <v>840</v>
      </c>
      <c r="C606" s="25" t="str">
        <f t="shared" si="531"/>
        <v>Shipment 1 B-10124 Fired Proces Heater</v>
      </c>
      <c r="D606" s="25" t="s">
        <v>839</v>
      </c>
      <c r="E606" s="25" t="s">
        <v>838</v>
      </c>
      <c r="F606" s="25"/>
      <c r="G606" s="65"/>
      <c r="H606" s="25" t="s">
        <v>842</v>
      </c>
      <c r="I606" s="25"/>
      <c r="J606" s="26" t="s">
        <v>845</v>
      </c>
      <c r="K606" s="27" t="s">
        <v>1035</v>
      </c>
      <c r="L606" s="28" t="s">
        <v>1051</v>
      </c>
      <c r="M606" s="28" t="s">
        <v>1028</v>
      </c>
      <c r="N606" s="25">
        <v>1</v>
      </c>
      <c r="O606" s="29">
        <v>46.206250000000004</v>
      </c>
      <c r="P606" s="29">
        <v>46.206250000000004</v>
      </c>
      <c r="Q606" s="25" t="s">
        <v>1037</v>
      </c>
      <c r="R606" s="25"/>
      <c r="S606" s="26"/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532"/>
        <v>0</v>
      </c>
      <c r="AF606" s="32">
        <f t="shared" si="533"/>
        <v>46.206250000000004</v>
      </c>
      <c r="AG606" s="30"/>
      <c r="AH606" s="33"/>
      <c r="AI606" s="34">
        <f t="shared" si="534"/>
        <v>0</v>
      </c>
      <c r="AJ606" s="35"/>
      <c r="AK606" s="30"/>
      <c r="AL606" s="36">
        <f t="shared" si="535"/>
        <v>0</v>
      </c>
      <c r="AM606" s="35"/>
      <c r="AN606" s="30"/>
      <c r="AO606" s="36">
        <f t="shared" si="536"/>
        <v>0</v>
      </c>
      <c r="AP606" s="35"/>
      <c r="AQ606" s="30"/>
      <c r="AR606" s="36">
        <f t="shared" si="537"/>
        <v>0</v>
      </c>
      <c r="AS606" s="27"/>
      <c r="AT606" s="37"/>
      <c r="AU606" s="30"/>
      <c r="AV606" s="36">
        <f t="shared" si="538"/>
        <v>0</v>
      </c>
      <c r="AW606" s="35"/>
      <c r="AX606" s="30"/>
      <c r="AY606" s="32">
        <f t="shared" si="539"/>
        <v>0</v>
      </c>
      <c r="AZ606" s="30" t="s">
        <v>841</v>
      </c>
      <c r="BA606" s="63"/>
      <c r="BB606" s="71" t="e">
        <f>SUMIFS([1]Form!$F$9:$F$22,[1]Form!$K$9:$K$22,K606)</f>
        <v>#VALUE!</v>
      </c>
      <c r="BC606" s="71"/>
      <c r="BD606" s="71"/>
    </row>
    <row r="607" spans="1:56" x14ac:dyDescent="0.25">
      <c r="A607" s="24">
        <f>IF(B607="","",SUBTOTAL(3,$B$4:B607))</f>
        <v>604</v>
      </c>
      <c r="B607" s="25" t="s">
        <v>840</v>
      </c>
      <c r="C607" s="25" t="str">
        <f t="shared" si="531"/>
        <v>Shipment 1 B-10124 Fired Proces Heater</v>
      </c>
      <c r="D607" s="25" t="s">
        <v>839</v>
      </c>
      <c r="E607" s="25" t="s">
        <v>838</v>
      </c>
      <c r="F607" s="25"/>
      <c r="G607" s="65"/>
      <c r="H607" s="25" t="s">
        <v>842</v>
      </c>
      <c r="I607" s="25"/>
      <c r="J607" s="26" t="s">
        <v>845</v>
      </c>
      <c r="K607" s="27" t="s">
        <v>1035</v>
      </c>
      <c r="L607" s="28" t="s">
        <v>1052</v>
      </c>
      <c r="M607" s="28" t="s">
        <v>1028</v>
      </c>
      <c r="N607" s="25">
        <v>1</v>
      </c>
      <c r="O607" s="29">
        <v>46.206250000000004</v>
      </c>
      <c r="P607" s="29">
        <v>46.206250000000004</v>
      </c>
      <c r="Q607" s="25" t="s">
        <v>1037</v>
      </c>
      <c r="R607" s="25"/>
      <c r="S607" s="26"/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si="532"/>
        <v>0</v>
      </c>
      <c r="AF607" s="32">
        <f t="shared" si="533"/>
        <v>46.206250000000004</v>
      </c>
      <c r="AG607" s="30"/>
      <c r="AH607" s="33"/>
      <c r="AI607" s="34">
        <f t="shared" si="534"/>
        <v>0</v>
      </c>
      <c r="AJ607" s="35"/>
      <c r="AK607" s="30"/>
      <c r="AL607" s="36">
        <f t="shared" si="535"/>
        <v>0</v>
      </c>
      <c r="AM607" s="35"/>
      <c r="AN607" s="30"/>
      <c r="AO607" s="36">
        <f t="shared" si="536"/>
        <v>0</v>
      </c>
      <c r="AP607" s="35"/>
      <c r="AQ607" s="30"/>
      <c r="AR607" s="36">
        <f t="shared" si="537"/>
        <v>0</v>
      </c>
      <c r="AS607" s="27"/>
      <c r="AT607" s="37"/>
      <c r="AU607" s="30"/>
      <c r="AV607" s="36">
        <f t="shared" si="538"/>
        <v>0</v>
      </c>
      <c r="AW607" s="35"/>
      <c r="AX607" s="30"/>
      <c r="AY607" s="32">
        <f t="shared" si="539"/>
        <v>0</v>
      </c>
      <c r="AZ607" s="30" t="s">
        <v>841</v>
      </c>
      <c r="BA607" s="63"/>
      <c r="BB607" s="71" t="e">
        <f>SUMIFS([1]Form!$F$9:$F$22,[1]Form!$K$9:$K$22,K607)</f>
        <v>#VALUE!</v>
      </c>
      <c r="BC607" s="71"/>
      <c r="BD607" s="71"/>
    </row>
    <row r="608" spans="1:56" x14ac:dyDescent="0.25">
      <c r="A608" s="24">
        <f>IF(B608="","",SUBTOTAL(3,$B$4:B608))</f>
        <v>605</v>
      </c>
      <c r="B608" s="25" t="s">
        <v>840</v>
      </c>
      <c r="C608" s="25" t="str">
        <f t="shared" si="531"/>
        <v>Shipment 1 B-10124 Fired Proces Heater</v>
      </c>
      <c r="D608" s="25" t="s">
        <v>839</v>
      </c>
      <c r="E608" s="25" t="s">
        <v>838</v>
      </c>
      <c r="F608" s="25"/>
      <c r="G608" s="65"/>
      <c r="H608" s="25" t="s">
        <v>842</v>
      </c>
      <c r="I608" s="25"/>
      <c r="J608" s="26" t="s">
        <v>845</v>
      </c>
      <c r="K608" s="27" t="s">
        <v>1053</v>
      </c>
      <c r="L608" s="28" t="s">
        <v>1054</v>
      </c>
      <c r="M608" s="28" t="s">
        <v>1028</v>
      </c>
      <c r="N608" s="25">
        <v>1</v>
      </c>
      <c r="O608" s="29">
        <v>116.1</v>
      </c>
      <c r="P608" s="29">
        <v>116.1</v>
      </c>
      <c r="Q608" s="25" t="s">
        <v>1055</v>
      </c>
      <c r="R608" s="25"/>
      <c r="S608" s="26"/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532"/>
        <v>0</v>
      </c>
      <c r="AF608" s="32">
        <f t="shared" si="533"/>
        <v>116.1</v>
      </c>
      <c r="AG608" s="30"/>
      <c r="AH608" s="33"/>
      <c r="AI608" s="34">
        <f t="shared" si="534"/>
        <v>0</v>
      </c>
      <c r="AJ608" s="35"/>
      <c r="AK608" s="30"/>
      <c r="AL608" s="36">
        <f t="shared" si="535"/>
        <v>0</v>
      </c>
      <c r="AM608" s="35"/>
      <c r="AN608" s="30"/>
      <c r="AO608" s="36">
        <f t="shared" si="536"/>
        <v>0</v>
      </c>
      <c r="AP608" s="35"/>
      <c r="AQ608" s="30"/>
      <c r="AR608" s="36">
        <f t="shared" si="537"/>
        <v>0</v>
      </c>
      <c r="AS608" s="27"/>
      <c r="AT608" s="37"/>
      <c r="AU608" s="30"/>
      <c r="AV608" s="36">
        <f t="shared" si="538"/>
        <v>0</v>
      </c>
      <c r="AW608" s="35"/>
      <c r="AX608" s="30"/>
      <c r="AY608" s="32">
        <f t="shared" si="539"/>
        <v>0</v>
      </c>
      <c r="AZ608" s="30" t="s">
        <v>841</v>
      </c>
      <c r="BA608" s="63"/>
      <c r="BB608" s="71" t="e">
        <f>SUMIFS([1]Form!$F$9:$F$22,[1]Form!$K$9:$K$22,K608)</f>
        <v>#VALUE!</v>
      </c>
      <c r="BC608" s="71"/>
      <c r="BD608" s="71"/>
    </row>
    <row r="609" spans="1:56" x14ac:dyDescent="0.25">
      <c r="A609" s="24">
        <f>IF(B609="","",SUBTOTAL(3,$B$4:B609))</f>
        <v>606</v>
      </c>
      <c r="B609" s="25" t="s">
        <v>840</v>
      </c>
      <c r="C609" s="25" t="str">
        <f t="shared" si="531"/>
        <v>Shipment 1 B-10124 Fired Proces Heater</v>
      </c>
      <c r="D609" s="25" t="s">
        <v>839</v>
      </c>
      <c r="E609" s="25" t="s">
        <v>838</v>
      </c>
      <c r="F609" s="25"/>
      <c r="G609" s="65"/>
      <c r="H609" s="25" t="s">
        <v>842</v>
      </c>
      <c r="I609" s="25"/>
      <c r="J609" s="26" t="s">
        <v>845</v>
      </c>
      <c r="K609" s="27" t="s">
        <v>1056</v>
      </c>
      <c r="L609" s="28" t="s">
        <v>1057</v>
      </c>
      <c r="M609" s="28" t="s">
        <v>1028</v>
      </c>
      <c r="N609" s="25">
        <v>1</v>
      </c>
      <c r="O609" s="29">
        <v>46.674999999999997</v>
      </c>
      <c r="P609" s="29">
        <v>46.674999999999997</v>
      </c>
      <c r="Q609" s="25" t="s">
        <v>1058</v>
      </c>
      <c r="R609" s="25"/>
      <c r="S609" s="26"/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532"/>
        <v>0</v>
      </c>
      <c r="AF609" s="32">
        <f t="shared" si="533"/>
        <v>46.674999999999997</v>
      </c>
      <c r="AG609" s="30"/>
      <c r="AH609" s="33"/>
      <c r="AI609" s="34">
        <f t="shared" si="534"/>
        <v>0</v>
      </c>
      <c r="AJ609" s="35"/>
      <c r="AK609" s="30"/>
      <c r="AL609" s="36">
        <f t="shared" si="535"/>
        <v>0</v>
      </c>
      <c r="AM609" s="35"/>
      <c r="AN609" s="30"/>
      <c r="AO609" s="36">
        <f t="shared" si="536"/>
        <v>0</v>
      </c>
      <c r="AP609" s="35"/>
      <c r="AQ609" s="30"/>
      <c r="AR609" s="36">
        <f t="shared" si="537"/>
        <v>0</v>
      </c>
      <c r="AS609" s="27"/>
      <c r="AT609" s="37"/>
      <c r="AU609" s="30"/>
      <c r="AV609" s="36">
        <f t="shared" si="538"/>
        <v>0</v>
      </c>
      <c r="AW609" s="35"/>
      <c r="AX609" s="30"/>
      <c r="AY609" s="32">
        <f t="shared" si="539"/>
        <v>0</v>
      </c>
      <c r="AZ609" s="30" t="s">
        <v>841</v>
      </c>
      <c r="BA609" s="63"/>
      <c r="BB609" s="71" t="e">
        <f>SUMIFS([1]Form!$F$9:$F$22,[1]Form!$K$9:$K$22,K609)</f>
        <v>#VALUE!</v>
      </c>
      <c r="BC609" s="71"/>
      <c r="BD609" s="71"/>
    </row>
    <row r="610" spans="1:56" x14ac:dyDescent="0.25">
      <c r="A610" s="24">
        <f>IF(B610="","",SUBTOTAL(3,$B$4:B610))</f>
        <v>607</v>
      </c>
      <c r="B610" s="25" t="s">
        <v>840</v>
      </c>
      <c r="C610" s="25" t="str">
        <f t="shared" si="531"/>
        <v>Shipment 1 B-10124 Fired Proces Heater</v>
      </c>
      <c r="D610" s="25" t="s">
        <v>839</v>
      </c>
      <c r="E610" s="25" t="s">
        <v>838</v>
      </c>
      <c r="F610" s="25"/>
      <c r="G610" s="65"/>
      <c r="H610" s="25" t="s">
        <v>842</v>
      </c>
      <c r="I610" s="25"/>
      <c r="J610" s="26" t="s">
        <v>845</v>
      </c>
      <c r="K610" s="27" t="s">
        <v>1056</v>
      </c>
      <c r="L610" s="28" t="s">
        <v>1059</v>
      </c>
      <c r="M610" s="28" t="s">
        <v>1028</v>
      </c>
      <c r="N610" s="25">
        <v>1</v>
      </c>
      <c r="O610" s="29">
        <v>46.674999999999997</v>
      </c>
      <c r="P610" s="29">
        <v>46.674999999999997</v>
      </c>
      <c r="Q610" s="25" t="s">
        <v>1058</v>
      </c>
      <c r="R610" s="25"/>
      <c r="S610" s="26"/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532"/>
        <v>0</v>
      </c>
      <c r="AF610" s="32">
        <f t="shared" si="533"/>
        <v>46.674999999999997</v>
      </c>
      <c r="AG610" s="30"/>
      <c r="AH610" s="33"/>
      <c r="AI610" s="34">
        <f t="shared" si="534"/>
        <v>0</v>
      </c>
      <c r="AJ610" s="35"/>
      <c r="AK610" s="30"/>
      <c r="AL610" s="36">
        <f t="shared" si="535"/>
        <v>0</v>
      </c>
      <c r="AM610" s="35"/>
      <c r="AN610" s="30"/>
      <c r="AO610" s="36">
        <f t="shared" si="536"/>
        <v>0</v>
      </c>
      <c r="AP610" s="35"/>
      <c r="AQ610" s="30"/>
      <c r="AR610" s="36">
        <f t="shared" si="537"/>
        <v>0</v>
      </c>
      <c r="AS610" s="27"/>
      <c r="AT610" s="37"/>
      <c r="AU610" s="30"/>
      <c r="AV610" s="36">
        <f t="shared" si="538"/>
        <v>0</v>
      </c>
      <c r="AW610" s="35"/>
      <c r="AX610" s="30"/>
      <c r="AY610" s="32">
        <f t="shared" si="539"/>
        <v>0</v>
      </c>
      <c r="AZ610" s="30" t="s">
        <v>841</v>
      </c>
      <c r="BA610" s="63"/>
      <c r="BB610" s="71" t="e">
        <f>SUMIFS([1]Form!$F$9:$F$22,[1]Form!$K$9:$K$22,K610)</f>
        <v>#VALUE!</v>
      </c>
      <c r="BC610" s="71"/>
      <c r="BD610" s="71"/>
    </row>
    <row r="611" spans="1:56" x14ac:dyDescent="0.25">
      <c r="A611" s="24">
        <f>IF(B611="","",SUBTOTAL(3,$B$4:B611))</f>
        <v>608</v>
      </c>
      <c r="B611" s="25" t="s">
        <v>840</v>
      </c>
      <c r="C611" s="25" t="str">
        <f t="shared" si="531"/>
        <v>Shipment 1 B-10124 Fired Proces Heater</v>
      </c>
      <c r="D611" s="25" t="s">
        <v>839</v>
      </c>
      <c r="E611" s="25" t="s">
        <v>838</v>
      </c>
      <c r="F611" s="25"/>
      <c r="G611" s="65"/>
      <c r="H611" s="25" t="s">
        <v>842</v>
      </c>
      <c r="I611" s="25"/>
      <c r="J611" s="26" t="s">
        <v>845</v>
      </c>
      <c r="K611" s="27" t="s">
        <v>1056</v>
      </c>
      <c r="L611" s="28" t="s">
        <v>1060</v>
      </c>
      <c r="M611" s="28" t="s">
        <v>1028</v>
      </c>
      <c r="N611" s="25">
        <v>1</v>
      </c>
      <c r="O611" s="29">
        <v>46.674999999999997</v>
      </c>
      <c r="P611" s="29">
        <v>46.674999999999997</v>
      </c>
      <c r="Q611" s="25" t="s">
        <v>1058</v>
      </c>
      <c r="R611" s="25"/>
      <c r="S611" s="26"/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si="532"/>
        <v>0</v>
      </c>
      <c r="AF611" s="32">
        <f t="shared" si="533"/>
        <v>46.674999999999997</v>
      </c>
      <c r="AG611" s="30"/>
      <c r="AH611" s="33"/>
      <c r="AI611" s="34">
        <f t="shared" si="534"/>
        <v>0</v>
      </c>
      <c r="AJ611" s="35"/>
      <c r="AK611" s="30"/>
      <c r="AL611" s="36">
        <f t="shared" si="535"/>
        <v>0</v>
      </c>
      <c r="AM611" s="35"/>
      <c r="AN611" s="30"/>
      <c r="AO611" s="36">
        <f t="shared" si="536"/>
        <v>0</v>
      </c>
      <c r="AP611" s="35"/>
      <c r="AQ611" s="30"/>
      <c r="AR611" s="36">
        <f t="shared" si="537"/>
        <v>0</v>
      </c>
      <c r="AS611" s="27"/>
      <c r="AT611" s="37"/>
      <c r="AU611" s="30"/>
      <c r="AV611" s="36">
        <f t="shared" si="538"/>
        <v>0</v>
      </c>
      <c r="AW611" s="35"/>
      <c r="AX611" s="30"/>
      <c r="AY611" s="32">
        <f t="shared" si="539"/>
        <v>0</v>
      </c>
      <c r="AZ611" s="30" t="s">
        <v>841</v>
      </c>
      <c r="BA611" s="63"/>
      <c r="BB611" s="71" t="e">
        <f>SUMIFS([1]Form!$F$9:$F$22,[1]Form!$K$9:$K$22,K611)</f>
        <v>#VALUE!</v>
      </c>
      <c r="BC611" s="71"/>
      <c r="BD611" s="71"/>
    </row>
    <row r="612" spans="1:56" x14ac:dyDescent="0.25">
      <c r="A612" s="24">
        <f>IF(B612="","",SUBTOTAL(3,$B$4:B612))</f>
        <v>609</v>
      </c>
      <c r="B612" s="25" t="s">
        <v>840</v>
      </c>
      <c r="C612" s="25" t="str">
        <f t="shared" si="531"/>
        <v>Shipment 1 B-10124 Fired Proces Heater</v>
      </c>
      <c r="D612" s="25" t="s">
        <v>839</v>
      </c>
      <c r="E612" s="25" t="s">
        <v>838</v>
      </c>
      <c r="F612" s="25"/>
      <c r="G612" s="65"/>
      <c r="H612" s="25" t="s">
        <v>842</v>
      </c>
      <c r="I612" s="25"/>
      <c r="J612" s="26" t="s">
        <v>845</v>
      </c>
      <c r="K612" s="27" t="s">
        <v>1056</v>
      </c>
      <c r="L612" s="28" t="s">
        <v>1061</v>
      </c>
      <c r="M612" s="28" t="s">
        <v>1028</v>
      </c>
      <c r="N612" s="25">
        <v>1</v>
      </c>
      <c r="O612" s="29">
        <v>46.674999999999997</v>
      </c>
      <c r="P612" s="29">
        <v>46.674999999999997</v>
      </c>
      <c r="Q612" s="25" t="s">
        <v>1058</v>
      </c>
      <c r="R612" s="25"/>
      <c r="S612" s="26"/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532"/>
        <v>0</v>
      </c>
      <c r="AF612" s="32">
        <f t="shared" si="533"/>
        <v>46.674999999999997</v>
      </c>
      <c r="AG612" s="30"/>
      <c r="AH612" s="33"/>
      <c r="AI612" s="34">
        <f t="shared" si="534"/>
        <v>0</v>
      </c>
      <c r="AJ612" s="35"/>
      <c r="AK612" s="30"/>
      <c r="AL612" s="36">
        <f t="shared" si="535"/>
        <v>0</v>
      </c>
      <c r="AM612" s="35"/>
      <c r="AN612" s="30"/>
      <c r="AO612" s="36">
        <f t="shared" si="536"/>
        <v>0</v>
      </c>
      <c r="AP612" s="35"/>
      <c r="AQ612" s="30"/>
      <c r="AR612" s="36">
        <f t="shared" si="537"/>
        <v>0</v>
      </c>
      <c r="AS612" s="27"/>
      <c r="AT612" s="37"/>
      <c r="AU612" s="30"/>
      <c r="AV612" s="36">
        <f t="shared" si="538"/>
        <v>0</v>
      </c>
      <c r="AW612" s="35"/>
      <c r="AX612" s="30"/>
      <c r="AY612" s="32">
        <f t="shared" si="539"/>
        <v>0</v>
      </c>
      <c r="AZ612" s="30" t="s">
        <v>841</v>
      </c>
      <c r="BA612" s="63"/>
      <c r="BB612" s="71" t="e">
        <f>SUMIFS([1]Form!$F$9:$F$22,[1]Form!$K$9:$K$22,K612)</f>
        <v>#VALUE!</v>
      </c>
      <c r="BC612" s="71"/>
      <c r="BD612" s="71"/>
    </row>
    <row r="613" spans="1:56" x14ac:dyDescent="0.25">
      <c r="A613" s="24">
        <f>IF(B613="","",SUBTOTAL(3,$B$4:B613))</f>
        <v>610</v>
      </c>
      <c r="B613" s="25" t="s">
        <v>840</v>
      </c>
      <c r="C613" s="25" t="str">
        <f t="shared" si="531"/>
        <v>Shipment 1 B-10124 Fired Proces Heater</v>
      </c>
      <c r="D613" s="25" t="s">
        <v>839</v>
      </c>
      <c r="E613" s="25" t="s">
        <v>838</v>
      </c>
      <c r="F613" s="25"/>
      <c r="G613" s="65"/>
      <c r="H613" s="25" t="s">
        <v>842</v>
      </c>
      <c r="I613" s="25"/>
      <c r="J613" s="26" t="s">
        <v>845</v>
      </c>
      <c r="K613" s="27" t="s">
        <v>1062</v>
      </c>
      <c r="L613" s="28" t="s">
        <v>1063</v>
      </c>
      <c r="M613" s="28" t="s">
        <v>1028</v>
      </c>
      <c r="N613" s="25">
        <v>1</v>
      </c>
      <c r="O613" s="29">
        <v>1140.0999999999999</v>
      </c>
      <c r="P613" s="29">
        <v>1140.0999999999999</v>
      </c>
      <c r="Q613" s="25" t="s">
        <v>1181</v>
      </c>
      <c r="R613" s="25"/>
      <c r="S613" s="26"/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532"/>
        <v>0</v>
      </c>
      <c r="AF613" s="32">
        <f t="shared" si="533"/>
        <v>1140.0999999999999</v>
      </c>
      <c r="AG613" s="30"/>
      <c r="AH613" s="33"/>
      <c r="AI613" s="34">
        <f t="shared" si="534"/>
        <v>0</v>
      </c>
      <c r="AJ613" s="35"/>
      <c r="AK613" s="30"/>
      <c r="AL613" s="36">
        <f t="shared" si="535"/>
        <v>0</v>
      </c>
      <c r="AM613" s="35"/>
      <c r="AN613" s="30"/>
      <c r="AO613" s="36">
        <f t="shared" si="536"/>
        <v>0</v>
      </c>
      <c r="AP613" s="35"/>
      <c r="AQ613" s="30"/>
      <c r="AR613" s="36">
        <f t="shared" si="537"/>
        <v>0</v>
      </c>
      <c r="AS613" s="27"/>
      <c r="AT613" s="37"/>
      <c r="AU613" s="30"/>
      <c r="AV613" s="36">
        <f t="shared" si="538"/>
        <v>0</v>
      </c>
      <c r="AW613" s="35"/>
      <c r="AX613" s="30"/>
      <c r="AY613" s="32">
        <f t="shared" si="539"/>
        <v>0</v>
      </c>
      <c r="AZ613" s="30" t="s">
        <v>841</v>
      </c>
      <c r="BA613" s="63"/>
      <c r="BB613" s="71" t="e">
        <f>SUMIFS([1]Form!$F$9:$F$22,[1]Form!$K$9:$K$22,K613)</f>
        <v>#VALUE!</v>
      </c>
      <c r="BC613" s="71"/>
      <c r="BD613" s="71"/>
    </row>
    <row r="614" spans="1:56" x14ac:dyDescent="0.25">
      <c r="A614" s="24">
        <f>IF(B614="","",SUBTOTAL(3,$B$4:B614))</f>
        <v>611</v>
      </c>
      <c r="B614" s="25" t="s">
        <v>840</v>
      </c>
      <c r="C614" s="25" t="str">
        <f t="shared" si="531"/>
        <v>Shipment 1 B-10124 Fired Proces Heater</v>
      </c>
      <c r="D614" s="25" t="s">
        <v>839</v>
      </c>
      <c r="E614" s="25" t="s">
        <v>838</v>
      </c>
      <c r="F614" s="25"/>
      <c r="G614" s="65"/>
      <c r="H614" s="25" t="s">
        <v>842</v>
      </c>
      <c r="I614" s="25"/>
      <c r="J614" s="26" t="s">
        <v>845</v>
      </c>
      <c r="K614" s="27" t="s">
        <v>1064</v>
      </c>
      <c r="L614" s="28" t="s">
        <v>1065</v>
      </c>
      <c r="M614" s="28" t="s">
        <v>1028</v>
      </c>
      <c r="N614" s="25">
        <v>1</v>
      </c>
      <c r="O614" s="29">
        <v>36.041666666666664</v>
      </c>
      <c r="P614" s="29">
        <v>36.041666666666664</v>
      </c>
      <c r="Q614" s="25" t="s">
        <v>1066</v>
      </c>
      <c r="R614" s="25"/>
      <c r="S614" s="26"/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532"/>
        <v>0</v>
      </c>
      <c r="AF614" s="32">
        <f t="shared" si="533"/>
        <v>36.041666666666664</v>
      </c>
      <c r="AG614" s="30"/>
      <c r="AH614" s="33"/>
      <c r="AI614" s="34">
        <f t="shared" si="534"/>
        <v>0</v>
      </c>
      <c r="AJ614" s="35"/>
      <c r="AK614" s="30"/>
      <c r="AL614" s="36">
        <f t="shared" si="535"/>
        <v>0</v>
      </c>
      <c r="AM614" s="35"/>
      <c r="AN614" s="30"/>
      <c r="AO614" s="36">
        <f t="shared" si="536"/>
        <v>0</v>
      </c>
      <c r="AP614" s="35"/>
      <c r="AQ614" s="30"/>
      <c r="AR614" s="36">
        <f t="shared" si="537"/>
        <v>0</v>
      </c>
      <c r="AS614" s="27"/>
      <c r="AT614" s="37"/>
      <c r="AU614" s="30"/>
      <c r="AV614" s="36">
        <f t="shared" si="538"/>
        <v>0</v>
      </c>
      <c r="AW614" s="35"/>
      <c r="AX614" s="30"/>
      <c r="AY614" s="32">
        <f t="shared" si="539"/>
        <v>0</v>
      </c>
      <c r="AZ614" s="30" t="s">
        <v>841</v>
      </c>
      <c r="BA614" s="63"/>
      <c r="BB614" s="71" t="e">
        <f>SUMIFS([1]Form!$F$9:$F$22,[1]Form!$K$9:$K$22,K614)</f>
        <v>#VALUE!</v>
      </c>
      <c r="BC614" s="71"/>
      <c r="BD614" s="71"/>
    </row>
    <row r="615" spans="1:56" x14ac:dyDescent="0.25">
      <c r="A615" s="24">
        <f>IF(B615="","",SUBTOTAL(3,$B$4:B615))</f>
        <v>612</v>
      </c>
      <c r="B615" s="25" t="s">
        <v>840</v>
      </c>
      <c r="C615" s="25" t="str">
        <f t="shared" si="531"/>
        <v>Shipment 1 B-10124 Fired Proces Heater</v>
      </c>
      <c r="D615" s="25" t="s">
        <v>839</v>
      </c>
      <c r="E615" s="25" t="s">
        <v>838</v>
      </c>
      <c r="F615" s="25"/>
      <c r="G615" s="65"/>
      <c r="H615" s="25" t="s">
        <v>842</v>
      </c>
      <c r="I615" s="25"/>
      <c r="J615" s="26" t="s">
        <v>845</v>
      </c>
      <c r="K615" s="27" t="s">
        <v>1064</v>
      </c>
      <c r="L615" s="28" t="s">
        <v>1067</v>
      </c>
      <c r="M615" s="28" t="s">
        <v>1028</v>
      </c>
      <c r="N615" s="25">
        <v>1</v>
      </c>
      <c r="O615" s="29">
        <v>36.041666666666664</v>
      </c>
      <c r="P615" s="29">
        <v>36.041666666666664</v>
      </c>
      <c r="Q615" s="25" t="s">
        <v>1066</v>
      </c>
      <c r="R615" s="25"/>
      <c r="S615" s="26"/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532"/>
        <v>0</v>
      </c>
      <c r="AF615" s="32">
        <f t="shared" si="533"/>
        <v>36.041666666666664</v>
      </c>
      <c r="AG615" s="30"/>
      <c r="AH615" s="33"/>
      <c r="AI615" s="34">
        <f t="shared" si="534"/>
        <v>0</v>
      </c>
      <c r="AJ615" s="35"/>
      <c r="AK615" s="30"/>
      <c r="AL615" s="36">
        <f t="shared" si="535"/>
        <v>0</v>
      </c>
      <c r="AM615" s="35"/>
      <c r="AN615" s="30"/>
      <c r="AO615" s="36">
        <f t="shared" si="536"/>
        <v>0</v>
      </c>
      <c r="AP615" s="35"/>
      <c r="AQ615" s="30"/>
      <c r="AR615" s="36">
        <f t="shared" si="537"/>
        <v>0</v>
      </c>
      <c r="AS615" s="27"/>
      <c r="AT615" s="37"/>
      <c r="AU615" s="30"/>
      <c r="AV615" s="36">
        <f t="shared" si="538"/>
        <v>0</v>
      </c>
      <c r="AW615" s="35"/>
      <c r="AX615" s="30"/>
      <c r="AY615" s="32">
        <f t="shared" si="539"/>
        <v>0</v>
      </c>
      <c r="AZ615" s="30" t="s">
        <v>841</v>
      </c>
      <c r="BA615" s="63"/>
      <c r="BB615" s="71" t="e">
        <f>SUMIFS([1]Form!$F$9:$F$22,[1]Form!$K$9:$K$22,K615)</f>
        <v>#VALUE!</v>
      </c>
      <c r="BC615" s="71"/>
      <c r="BD615" s="71"/>
    </row>
    <row r="616" spans="1:56" x14ac:dyDescent="0.25">
      <c r="A616" s="24">
        <f>IF(B616="","",SUBTOTAL(3,$B$4:B616))</f>
        <v>613</v>
      </c>
      <c r="B616" s="25" t="s">
        <v>840</v>
      </c>
      <c r="C616" s="25" t="str">
        <f t="shared" si="531"/>
        <v>Shipment 1 B-10124 Fired Proces Heater</v>
      </c>
      <c r="D616" s="25" t="s">
        <v>839</v>
      </c>
      <c r="E616" s="25" t="s">
        <v>838</v>
      </c>
      <c r="F616" s="25"/>
      <c r="G616" s="65"/>
      <c r="H616" s="25" t="s">
        <v>842</v>
      </c>
      <c r="I616" s="25"/>
      <c r="J616" s="26" t="s">
        <v>845</v>
      </c>
      <c r="K616" s="27" t="s">
        <v>1064</v>
      </c>
      <c r="L616" s="28" t="s">
        <v>1068</v>
      </c>
      <c r="M616" s="28" t="s">
        <v>1028</v>
      </c>
      <c r="N616" s="25">
        <v>1</v>
      </c>
      <c r="O616" s="29">
        <v>36.041666666666664</v>
      </c>
      <c r="P616" s="29">
        <v>36.041666666666664</v>
      </c>
      <c r="Q616" s="25" t="s">
        <v>1066</v>
      </c>
      <c r="R616" s="25"/>
      <c r="S616" s="26"/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532"/>
        <v>0</v>
      </c>
      <c r="AF616" s="32">
        <f t="shared" si="533"/>
        <v>36.041666666666664</v>
      </c>
      <c r="AG616" s="30"/>
      <c r="AH616" s="33"/>
      <c r="AI616" s="34">
        <f t="shared" si="534"/>
        <v>0</v>
      </c>
      <c r="AJ616" s="35"/>
      <c r="AK616" s="30"/>
      <c r="AL616" s="36">
        <f t="shared" si="535"/>
        <v>0</v>
      </c>
      <c r="AM616" s="35"/>
      <c r="AN616" s="30"/>
      <c r="AO616" s="36">
        <f t="shared" si="536"/>
        <v>0</v>
      </c>
      <c r="AP616" s="35"/>
      <c r="AQ616" s="30"/>
      <c r="AR616" s="36">
        <f t="shared" si="537"/>
        <v>0</v>
      </c>
      <c r="AS616" s="27"/>
      <c r="AT616" s="37"/>
      <c r="AU616" s="30"/>
      <c r="AV616" s="36">
        <f t="shared" si="538"/>
        <v>0</v>
      </c>
      <c r="AW616" s="35"/>
      <c r="AX616" s="30"/>
      <c r="AY616" s="32">
        <f t="shared" si="539"/>
        <v>0</v>
      </c>
      <c r="AZ616" s="30" t="s">
        <v>841</v>
      </c>
      <c r="BA616" s="63"/>
      <c r="BB616" s="71" t="e">
        <f>SUMIFS([1]Form!$F$9:$F$22,[1]Form!$K$9:$K$22,K616)</f>
        <v>#VALUE!</v>
      </c>
      <c r="BC616" s="71"/>
      <c r="BD616" s="71"/>
    </row>
    <row r="617" spans="1:56" x14ac:dyDescent="0.25">
      <c r="A617" s="24">
        <f>IF(B617="","",SUBTOTAL(3,$B$4:B617))</f>
        <v>614</v>
      </c>
      <c r="B617" s="25" t="s">
        <v>840</v>
      </c>
      <c r="C617" s="25" t="str">
        <f t="shared" si="531"/>
        <v>Shipment 1 B-10124 Fired Proces Heater</v>
      </c>
      <c r="D617" s="25" t="s">
        <v>839</v>
      </c>
      <c r="E617" s="25" t="s">
        <v>838</v>
      </c>
      <c r="F617" s="25"/>
      <c r="G617" s="65"/>
      <c r="H617" s="25" t="s">
        <v>842</v>
      </c>
      <c r="I617" s="25"/>
      <c r="J617" s="26" t="s">
        <v>845</v>
      </c>
      <c r="K617" s="27" t="s">
        <v>1064</v>
      </c>
      <c r="L617" s="28" t="s">
        <v>1069</v>
      </c>
      <c r="M617" s="28" t="s">
        <v>1028</v>
      </c>
      <c r="N617" s="25">
        <v>1</v>
      </c>
      <c r="O617" s="29">
        <v>36.041666666666664</v>
      </c>
      <c r="P617" s="29">
        <v>36.041666666666664</v>
      </c>
      <c r="Q617" s="25" t="s">
        <v>1066</v>
      </c>
      <c r="R617" s="25"/>
      <c r="S617" s="26"/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532"/>
        <v>0</v>
      </c>
      <c r="AF617" s="32">
        <f t="shared" si="533"/>
        <v>36.041666666666664</v>
      </c>
      <c r="AG617" s="30"/>
      <c r="AH617" s="33"/>
      <c r="AI617" s="34">
        <f t="shared" si="534"/>
        <v>0</v>
      </c>
      <c r="AJ617" s="35"/>
      <c r="AK617" s="30"/>
      <c r="AL617" s="36">
        <f t="shared" si="535"/>
        <v>0</v>
      </c>
      <c r="AM617" s="35"/>
      <c r="AN617" s="30"/>
      <c r="AO617" s="36">
        <f t="shared" si="536"/>
        <v>0</v>
      </c>
      <c r="AP617" s="35"/>
      <c r="AQ617" s="30"/>
      <c r="AR617" s="36">
        <f t="shared" si="537"/>
        <v>0</v>
      </c>
      <c r="AS617" s="27"/>
      <c r="AT617" s="37"/>
      <c r="AU617" s="30"/>
      <c r="AV617" s="36">
        <f t="shared" si="538"/>
        <v>0</v>
      </c>
      <c r="AW617" s="35"/>
      <c r="AX617" s="30"/>
      <c r="AY617" s="32">
        <f t="shared" si="539"/>
        <v>0</v>
      </c>
      <c r="AZ617" s="30" t="s">
        <v>841</v>
      </c>
      <c r="BA617" s="63"/>
      <c r="BB617" s="71" t="e">
        <f>SUMIFS([1]Form!$F$9:$F$22,[1]Form!$K$9:$K$22,K617)</f>
        <v>#VALUE!</v>
      </c>
      <c r="BC617" s="71"/>
      <c r="BD617" s="71"/>
    </row>
    <row r="618" spans="1:56" x14ac:dyDescent="0.25">
      <c r="A618" s="24">
        <f>IF(B618="","",SUBTOTAL(3,$B$4:B618))</f>
        <v>615</v>
      </c>
      <c r="B618" s="25" t="s">
        <v>840</v>
      </c>
      <c r="C618" s="25" t="str">
        <f t="shared" si="531"/>
        <v>Shipment 1 B-10124 Fired Proces Heater</v>
      </c>
      <c r="D618" s="25" t="s">
        <v>839</v>
      </c>
      <c r="E618" s="25" t="s">
        <v>838</v>
      </c>
      <c r="F618" s="25"/>
      <c r="G618" s="65"/>
      <c r="H618" s="25" t="s">
        <v>842</v>
      </c>
      <c r="I618" s="25"/>
      <c r="J618" s="26" t="s">
        <v>845</v>
      </c>
      <c r="K618" s="27" t="s">
        <v>1064</v>
      </c>
      <c r="L618" s="28" t="s">
        <v>1070</v>
      </c>
      <c r="M618" s="28" t="s">
        <v>1028</v>
      </c>
      <c r="N618" s="25">
        <v>1</v>
      </c>
      <c r="O618" s="29">
        <v>36.041666666666664</v>
      </c>
      <c r="P618" s="29">
        <v>36.041666666666664</v>
      </c>
      <c r="Q618" s="25" t="s">
        <v>1066</v>
      </c>
      <c r="R618" s="25"/>
      <c r="S618" s="26"/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532"/>
        <v>0</v>
      </c>
      <c r="AF618" s="32">
        <f t="shared" si="533"/>
        <v>36.041666666666664</v>
      </c>
      <c r="AG618" s="30"/>
      <c r="AH618" s="33"/>
      <c r="AI618" s="34">
        <f t="shared" si="534"/>
        <v>0</v>
      </c>
      <c r="AJ618" s="35"/>
      <c r="AK618" s="30"/>
      <c r="AL618" s="36">
        <f t="shared" si="535"/>
        <v>0</v>
      </c>
      <c r="AM618" s="35"/>
      <c r="AN618" s="30"/>
      <c r="AO618" s="36">
        <f t="shared" si="536"/>
        <v>0</v>
      </c>
      <c r="AP618" s="35"/>
      <c r="AQ618" s="30"/>
      <c r="AR618" s="36">
        <f t="shared" si="537"/>
        <v>0</v>
      </c>
      <c r="AS618" s="27"/>
      <c r="AT618" s="37"/>
      <c r="AU618" s="30"/>
      <c r="AV618" s="36">
        <f t="shared" si="538"/>
        <v>0</v>
      </c>
      <c r="AW618" s="35"/>
      <c r="AX618" s="30"/>
      <c r="AY618" s="32">
        <f t="shared" si="539"/>
        <v>0</v>
      </c>
      <c r="AZ618" s="30" t="s">
        <v>841</v>
      </c>
      <c r="BA618" s="63"/>
      <c r="BB618" s="71" t="e">
        <f>SUMIFS([1]Form!$F$9:$F$22,[1]Form!$K$9:$K$22,K618)</f>
        <v>#VALUE!</v>
      </c>
      <c r="BC618" s="71"/>
      <c r="BD618" s="71"/>
    </row>
    <row r="619" spans="1:56" x14ac:dyDescent="0.25">
      <c r="A619" s="24">
        <f>IF(B619="","",SUBTOTAL(3,$B$4:B619))</f>
        <v>616</v>
      </c>
      <c r="B619" s="25" t="s">
        <v>840</v>
      </c>
      <c r="C619" s="25" t="str">
        <f t="shared" si="531"/>
        <v>Shipment 1 B-10124 Fired Proces Heater</v>
      </c>
      <c r="D619" s="25" t="s">
        <v>839</v>
      </c>
      <c r="E619" s="25" t="s">
        <v>838</v>
      </c>
      <c r="F619" s="25"/>
      <c r="G619" s="65"/>
      <c r="H619" s="25" t="s">
        <v>842</v>
      </c>
      <c r="I619" s="25"/>
      <c r="J619" s="26" t="s">
        <v>845</v>
      </c>
      <c r="K619" s="27" t="s">
        <v>1064</v>
      </c>
      <c r="L619" s="28" t="s">
        <v>1071</v>
      </c>
      <c r="M619" s="28" t="s">
        <v>1028</v>
      </c>
      <c r="N619" s="25">
        <v>1</v>
      </c>
      <c r="O619" s="29">
        <v>36.041666666666664</v>
      </c>
      <c r="P619" s="29">
        <v>36.041666666666664</v>
      </c>
      <c r="Q619" s="25" t="s">
        <v>1066</v>
      </c>
      <c r="R619" s="25"/>
      <c r="S619" s="26"/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532"/>
        <v>0</v>
      </c>
      <c r="AF619" s="32">
        <f t="shared" si="533"/>
        <v>36.041666666666664</v>
      </c>
      <c r="AG619" s="30"/>
      <c r="AH619" s="33"/>
      <c r="AI619" s="34">
        <f t="shared" si="534"/>
        <v>0</v>
      </c>
      <c r="AJ619" s="35"/>
      <c r="AK619" s="30"/>
      <c r="AL619" s="36">
        <f t="shared" si="535"/>
        <v>0</v>
      </c>
      <c r="AM619" s="35"/>
      <c r="AN619" s="30"/>
      <c r="AO619" s="36">
        <f t="shared" si="536"/>
        <v>0</v>
      </c>
      <c r="AP619" s="35"/>
      <c r="AQ619" s="30"/>
      <c r="AR619" s="36">
        <f t="shared" si="537"/>
        <v>0</v>
      </c>
      <c r="AS619" s="27"/>
      <c r="AT619" s="37"/>
      <c r="AU619" s="30"/>
      <c r="AV619" s="36">
        <f t="shared" si="538"/>
        <v>0</v>
      </c>
      <c r="AW619" s="35"/>
      <c r="AX619" s="30"/>
      <c r="AY619" s="32">
        <f t="shared" si="539"/>
        <v>0</v>
      </c>
      <c r="AZ619" s="30" t="s">
        <v>841</v>
      </c>
      <c r="BA619" s="63"/>
      <c r="BB619" s="71" t="e">
        <f>SUMIFS([1]Form!$F$9:$F$22,[1]Form!$K$9:$K$22,K619)</f>
        <v>#VALUE!</v>
      </c>
      <c r="BC619" s="71"/>
      <c r="BD619" s="71"/>
    </row>
    <row r="620" spans="1:56" x14ac:dyDescent="0.25">
      <c r="A620" s="24">
        <f>IF(B620="","",SUBTOTAL(3,$B$4:B620))</f>
        <v>617</v>
      </c>
      <c r="B620" s="25" t="s">
        <v>840</v>
      </c>
      <c r="C620" s="25" t="str">
        <f t="shared" si="531"/>
        <v>Shipment 1 B-10124 Fired Proces Heater</v>
      </c>
      <c r="D620" s="25" t="s">
        <v>839</v>
      </c>
      <c r="E620" s="25" t="s">
        <v>838</v>
      </c>
      <c r="F620" s="25"/>
      <c r="G620" s="65"/>
      <c r="H620" s="25" t="s">
        <v>842</v>
      </c>
      <c r="I620" s="25"/>
      <c r="J620" s="26" t="s">
        <v>845</v>
      </c>
      <c r="K620" s="27" t="s">
        <v>1064</v>
      </c>
      <c r="L620" s="28" t="s">
        <v>1072</v>
      </c>
      <c r="M620" s="28" t="s">
        <v>1028</v>
      </c>
      <c r="N620" s="25">
        <v>1</v>
      </c>
      <c r="O620" s="29">
        <v>36.041666666666664</v>
      </c>
      <c r="P620" s="29">
        <v>36.041666666666664</v>
      </c>
      <c r="Q620" s="25" t="s">
        <v>1066</v>
      </c>
      <c r="R620" s="25"/>
      <c r="S620" s="26"/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532"/>
        <v>0</v>
      </c>
      <c r="AF620" s="32">
        <f t="shared" si="533"/>
        <v>36.041666666666664</v>
      </c>
      <c r="AG620" s="30"/>
      <c r="AH620" s="33"/>
      <c r="AI620" s="34">
        <f t="shared" si="534"/>
        <v>0</v>
      </c>
      <c r="AJ620" s="35"/>
      <c r="AK620" s="30"/>
      <c r="AL620" s="36">
        <f t="shared" si="535"/>
        <v>0</v>
      </c>
      <c r="AM620" s="35"/>
      <c r="AN620" s="30"/>
      <c r="AO620" s="36">
        <f t="shared" si="536"/>
        <v>0</v>
      </c>
      <c r="AP620" s="35"/>
      <c r="AQ620" s="30"/>
      <c r="AR620" s="36">
        <f t="shared" si="537"/>
        <v>0</v>
      </c>
      <c r="AS620" s="27"/>
      <c r="AT620" s="37"/>
      <c r="AU620" s="30"/>
      <c r="AV620" s="36">
        <f t="shared" si="538"/>
        <v>0</v>
      </c>
      <c r="AW620" s="35"/>
      <c r="AX620" s="30"/>
      <c r="AY620" s="32">
        <f t="shared" si="539"/>
        <v>0</v>
      </c>
      <c r="AZ620" s="30" t="s">
        <v>841</v>
      </c>
      <c r="BA620" s="63"/>
      <c r="BB620" s="71" t="e">
        <f>SUMIFS([1]Form!$F$9:$F$22,[1]Form!$K$9:$K$22,K620)</f>
        <v>#VALUE!</v>
      </c>
      <c r="BC620" s="71"/>
      <c r="BD620" s="71"/>
    </row>
    <row r="621" spans="1:56" x14ac:dyDescent="0.25">
      <c r="A621" s="24">
        <f>IF(B621="","",SUBTOTAL(3,$B$4:B621))</f>
        <v>618</v>
      </c>
      <c r="B621" s="25" t="s">
        <v>840</v>
      </c>
      <c r="C621" s="25" t="str">
        <f t="shared" si="531"/>
        <v>Shipment 1 B-10124 Fired Proces Heater</v>
      </c>
      <c r="D621" s="25" t="s">
        <v>839</v>
      </c>
      <c r="E621" s="25" t="s">
        <v>838</v>
      </c>
      <c r="F621" s="25"/>
      <c r="G621" s="65"/>
      <c r="H621" s="25" t="s">
        <v>842</v>
      </c>
      <c r="I621" s="25"/>
      <c r="J621" s="26" t="s">
        <v>845</v>
      </c>
      <c r="K621" s="27" t="s">
        <v>1064</v>
      </c>
      <c r="L621" s="28" t="s">
        <v>1073</v>
      </c>
      <c r="M621" s="28" t="s">
        <v>1028</v>
      </c>
      <c r="N621" s="25">
        <v>1</v>
      </c>
      <c r="O621" s="29">
        <v>36.041666666666664</v>
      </c>
      <c r="P621" s="29">
        <v>36.041666666666664</v>
      </c>
      <c r="Q621" s="25" t="s">
        <v>1066</v>
      </c>
      <c r="R621" s="25"/>
      <c r="S621" s="26"/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532"/>
        <v>0</v>
      </c>
      <c r="AF621" s="32">
        <f t="shared" si="533"/>
        <v>36.041666666666664</v>
      </c>
      <c r="AG621" s="30"/>
      <c r="AH621" s="33"/>
      <c r="AI621" s="34">
        <f t="shared" si="534"/>
        <v>0</v>
      </c>
      <c r="AJ621" s="35"/>
      <c r="AK621" s="30"/>
      <c r="AL621" s="36">
        <f t="shared" si="535"/>
        <v>0</v>
      </c>
      <c r="AM621" s="35"/>
      <c r="AN621" s="30"/>
      <c r="AO621" s="36">
        <f t="shared" si="536"/>
        <v>0</v>
      </c>
      <c r="AP621" s="35"/>
      <c r="AQ621" s="30"/>
      <c r="AR621" s="36">
        <f t="shared" si="537"/>
        <v>0</v>
      </c>
      <c r="AS621" s="27"/>
      <c r="AT621" s="37"/>
      <c r="AU621" s="30"/>
      <c r="AV621" s="36">
        <f t="shared" si="538"/>
        <v>0</v>
      </c>
      <c r="AW621" s="35"/>
      <c r="AX621" s="30"/>
      <c r="AY621" s="32">
        <f t="shared" si="539"/>
        <v>0</v>
      </c>
      <c r="AZ621" s="30" t="s">
        <v>841</v>
      </c>
      <c r="BA621" s="63"/>
      <c r="BB621" s="71" t="e">
        <f>SUMIFS([1]Form!$F$9:$F$22,[1]Form!$K$9:$K$22,K621)</f>
        <v>#VALUE!</v>
      </c>
      <c r="BC621" s="71"/>
      <c r="BD621" s="71"/>
    </row>
    <row r="622" spans="1:56" x14ac:dyDescent="0.25">
      <c r="A622" s="24">
        <f>IF(B622="","",SUBTOTAL(3,$B$4:B622))</f>
        <v>619</v>
      </c>
      <c r="B622" s="25" t="s">
        <v>840</v>
      </c>
      <c r="C622" s="25" t="str">
        <f t="shared" si="531"/>
        <v>Shipment 1 B-10124 Fired Proces Heater</v>
      </c>
      <c r="D622" s="25" t="s">
        <v>839</v>
      </c>
      <c r="E622" s="25" t="s">
        <v>838</v>
      </c>
      <c r="F622" s="25"/>
      <c r="G622" s="65"/>
      <c r="H622" s="25" t="s">
        <v>842</v>
      </c>
      <c r="I622" s="25"/>
      <c r="J622" s="26" t="s">
        <v>845</v>
      </c>
      <c r="K622" s="27" t="s">
        <v>1064</v>
      </c>
      <c r="L622" s="28" t="s">
        <v>1074</v>
      </c>
      <c r="M622" s="28" t="s">
        <v>1028</v>
      </c>
      <c r="N622" s="25">
        <v>1</v>
      </c>
      <c r="O622" s="29">
        <v>36.041666666666664</v>
      </c>
      <c r="P622" s="29">
        <v>36.041666666666664</v>
      </c>
      <c r="Q622" s="25" t="s">
        <v>1066</v>
      </c>
      <c r="R622" s="25"/>
      <c r="S622" s="26"/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532"/>
        <v>0</v>
      </c>
      <c r="AF622" s="32">
        <f t="shared" si="533"/>
        <v>36.041666666666664</v>
      </c>
      <c r="AG622" s="30"/>
      <c r="AH622" s="33"/>
      <c r="AI622" s="34">
        <f t="shared" si="534"/>
        <v>0</v>
      </c>
      <c r="AJ622" s="35"/>
      <c r="AK622" s="30"/>
      <c r="AL622" s="36">
        <f t="shared" si="535"/>
        <v>0</v>
      </c>
      <c r="AM622" s="35"/>
      <c r="AN622" s="30"/>
      <c r="AO622" s="36">
        <f t="shared" si="536"/>
        <v>0</v>
      </c>
      <c r="AP622" s="35"/>
      <c r="AQ622" s="30"/>
      <c r="AR622" s="36">
        <f t="shared" si="537"/>
        <v>0</v>
      </c>
      <c r="AS622" s="27"/>
      <c r="AT622" s="37"/>
      <c r="AU622" s="30"/>
      <c r="AV622" s="36">
        <f t="shared" si="538"/>
        <v>0</v>
      </c>
      <c r="AW622" s="35"/>
      <c r="AX622" s="30"/>
      <c r="AY622" s="32">
        <f t="shared" si="539"/>
        <v>0</v>
      </c>
      <c r="AZ622" s="30" t="s">
        <v>841</v>
      </c>
      <c r="BA622" s="63"/>
      <c r="BB622" s="71" t="e">
        <f>SUMIFS([1]Form!$F$9:$F$22,[1]Form!$K$9:$K$22,K622)</f>
        <v>#VALUE!</v>
      </c>
      <c r="BC622" s="71"/>
      <c r="BD622" s="71"/>
    </row>
    <row r="623" spans="1:56" x14ac:dyDescent="0.25">
      <c r="A623" s="24">
        <f>IF(B623="","",SUBTOTAL(3,$B$4:B623))</f>
        <v>620</v>
      </c>
      <c r="B623" s="25" t="s">
        <v>840</v>
      </c>
      <c r="C623" s="25" t="str">
        <f t="shared" si="531"/>
        <v>Shipment 1 B-10124 Fired Proces Heater</v>
      </c>
      <c r="D623" s="25" t="s">
        <v>839</v>
      </c>
      <c r="E623" s="25" t="s">
        <v>838</v>
      </c>
      <c r="F623" s="25"/>
      <c r="G623" s="65"/>
      <c r="H623" s="25" t="s">
        <v>842</v>
      </c>
      <c r="I623" s="25"/>
      <c r="J623" s="26" t="s">
        <v>845</v>
      </c>
      <c r="K623" s="27" t="s">
        <v>1064</v>
      </c>
      <c r="L623" s="28" t="s">
        <v>1075</v>
      </c>
      <c r="M623" s="28" t="s">
        <v>1028</v>
      </c>
      <c r="N623" s="25">
        <v>1</v>
      </c>
      <c r="O623" s="29">
        <v>36.041666666666664</v>
      </c>
      <c r="P623" s="29">
        <v>36.041666666666664</v>
      </c>
      <c r="Q623" s="25" t="s">
        <v>1066</v>
      </c>
      <c r="R623" s="25"/>
      <c r="S623" s="26"/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532"/>
        <v>0</v>
      </c>
      <c r="AF623" s="32">
        <f t="shared" si="533"/>
        <v>36.041666666666664</v>
      </c>
      <c r="AG623" s="30"/>
      <c r="AH623" s="33"/>
      <c r="AI623" s="34">
        <f t="shared" si="534"/>
        <v>0</v>
      </c>
      <c r="AJ623" s="35"/>
      <c r="AK623" s="30"/>
      <c r="AL623" s="36">
        <f t="shared" si="535"/>
        <v>0</v>
      </c>
      <c r="AM623" s="35"/>
      <c r="AN623" s="30"/>
      <c r="AO623" s="36">
        <f t="shared" si="536"/>
        <v>0</v>
      </c>
      <c r="AP623" s="35"/>
      <c r="AQ623" s="30"/>
      <c r="AR623" s="36">
        <f t="shared" si="537"/>
        <v>0</v>
      </c>
      <c r="AS623" s="27"/>
      <c r="AT623" s="37"/>
      <c r="AU623" s="30"/>
      <c r="AV623" s="36">
        <f t="shared" si="538"/>
        <v>0</v>
      </c>
      <c r="AW623" s="35"/>
      <c r="AX623" s="30"/>
      <c r="AY623" s="32">
        <f t="shared" si="539"/>
        <v>0</v>
      </c>
      <c r="AZ623" s="30" t="s">
        <v>841</v>
      </c>
      <c r="BA623" s="63"/>
      <c r="BB623" s="71" t="e">
        <f>SUMIFS([1]Form!$F$9:$F$22,[1]Form!$K$9:$K$22,K623)</f>
        <v>#VALUE!</v>
      </c>
      <c r="BC623" s="71"/>
      <c r="BD623" s="71"/>
    </row>
    <row r="624" spans="1:56" x14ac:dyDescent="0.25">
      <c r="A624" s="24">
        <f>IF(B624="","",SUBTOTAL(3,$B$4:B624))</f>
        <v>621</v>
      </c>
      <c r="B624" s="25" t="s">
        <v>840</v>
      </c>
      <c r="C624" s="25" t="str">
        <f t="shared" si="531"/>
        <v>Shipment 1 B-10124 Fired Proces Heater</v>
      </c>
      <c r="D624" s="25" t="s">
        <v>839</v>
      </c>
      <c r="E624" s="25" t="s">
        <v>838</v>
      </c>
      <c r="F624" s="25"/>
      <c r="G624" s="65"/>
      <c r="H624" s="25" t="s">
        <v>842</v>
      </c>
      <c r="I624" s="25"/>
      <c r="J624" s="26" t="s">
        <v>845</v>
      </c>
      <c r="K624" s="27" t="s">
        <v>1064</v>
      </c>
      <c r="L624" s="28" t="s">
        <v>1076</v>
      </c>
      <c r="M624" s="28" t="s">
        <v>1028</v>
      </c>
      <c r="N624" s="25">
        <v>1</v>
      </c>
      <c r="O624" s="29">
        <v>36.041666666666664</v>
      </c>
      <c r="P624" s="29">
        <v>36.041666666666664</v>
      </c>
      <c r="Q624" s="25" t="s">
        <v>1066</v>
      </c>
      <c r="R624" s="25"/>
      <c r="S624" s="26"/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si="532"/>
        <v>0</v>
      </c>
      <c r="AF624" s="32">
        <f t="shared" si="533"/>
        <v>36.041666666666664</v>
      </c>
      <c r="AG624" s="30"/>
      <c r="AH624" s="33"/>
      <c r="AI624" s="34">
        <f t="shared" si="534"/>
        <v>0</v>
      </c>
      <c r="AJ624" s="35"/>
      <c r="AK624" s="30"/>
      <c r="AL624" s="36">
        <f t="shared" si="535"/>
        <v>0</v>
      </c>
      <c r="AM624" s="35"/>
      <c r="AN624" s="30"/>
      <c r="AO624" s="36">
        <f t="shared" si="536"/>
        <v>0</v>
      </c>
      <c r="AP624" s="35"/>
      <c r="AQ624" s="30"/>
      <c r="AR624" s="36">
        <f t="shared" si="537"/>
        <v>0</v>
      </c>
      <c r="AS624" s="27"/>
      <c r="AT624" s="37"/>
      <c r="AU624" s="30"/>
      <c r="AV624" s="36">
        <f t="shared" si="538"/>
        <v>0</v>
      </c>
      <c r="AW624" s="35"/>
      <c r="AX624" s="30"/>
      <c r="AY624" s="32">
        <f t="shared" si="539"/>
        <v>0</v>
      </c>
      <c r="AZ624" s="30" t="s">
        <v>841</v>
      </c>
      <c r="BA624" s="63"/>
      <c r="BB624" s="71" t="e">
        <f>SUMIFS([1]Form!$F$9:$F$22,[1]Form!$K$9:$K$22,K624)</f>
        <v>#VALUE!</v>
      </c>
      <c r="BC624" s="71"/>
      <c r="BD624" s="71"/>
    </row>
    <row r="625" spans="1:56" x14ac:dyDescent="0.25">
      <c r="A625" s="24">
        <f>IF(B625="","",SUBTOTAL(3,$B$4:B625))</f>
        <v>622</v>
      </c>
      <c r="B625" s="25" t="s">
        <v>840</v>
      </c>
      <c r="C625" s="25" t="str">
        <f t="shared" si="531"/>
        <v>Shipment 1 B-10124 Fired Proces Heater</v>
      </c>
      <c r="D625" s="25" t="s">
        <v>839</v>
      </c>
      <c r="E625" s="25" t="s">
        <v>838</v>
      </c>
      <c r="F625" s="25"/>
      <c r="G625" s="65"/>
      <c r="H625" s="25" t="s">
        <v>842</v>
      </c>
      <c r="I625" s="25"/>
      <c r="J625" s="26" t="s">
        <v>845</v>
      </c>
      <c r="K625" s="27" t="s">
        <v>1064</v>
      </c>
      <c r="L625" s="28" t="s">
        <v>1077</v>
      </c>
      <c r="M625" s="28" t="s">
        <v>1028</v>
      </c>
      <c r="N625" s="25">
        <v>1</v>
      </c>
      <c r="O625" s="29">
        <v>36.041666666666664</v>
      </c>
      <c r="P625" s="29">
        <v>36.041666666666664</v>
      </c>
      <c r="Q625" s="25" t="s">
        <v>1066</v>
      </c>
      <c r="R625" s="25"/>
      <c r="S625" s="26"/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532"/>
        <v>0</v>
      </c>
      <c r="AF625" s="32">
        <f t="shared" si="533"/>
        <v>36.041666666666664</v>
      </c>
      <c r="AG625" s="30"/>
      <c r="AH625" s="33"/>
      <c r="AI625" s="34">
        <f t="shared" si="534"/>
        <v>0</v>
      </c>
      <c r="AJ625" s="35"/>
      <c r="AK625" s="30"/>
      <c r="AL625" s="36">
        <f t="shared" si="535"/>
        <v>0</v>
      </c>
      <c r="AM625" s="35"/>
      <c r="AN625" s="30"/>
      <c r="AO625" s="36">
        <f t="shared" si="536"/>
        <v>0</v>
      </c>
      <c r="AP625" s="35"/>
      <c r="AQ625" s="30"/>
      <c r="AR625" s="36">
        <f t="shared" si="537"/>
        <v>0</v>
      </c>
      <c r="AS625" s="27"/>
      <c r="AT625" s="37"/>
      <c r="AU625" s="30"/>
      <c r="AV625" s="36">
        <f t="shared" si="538"/>
        <v>0</v>
      </c>
      <c r="AW625" s="35"/>
      <c r="AX625" s="30"/>
      <c r="AY625" s="32">
        <f t="shared" si="539"/>
        <v>0</v>
      </c>
      <c r="AZ625" s="30" t="s">
        <v>841</v>
      </c>
      <c r="BA625" s="63"/>
      <c r="BB625" s="71" t="e">
        <f>SUMIFS([1]Form!$F$9:$F$22,[1]Form!$K$9:$K$22,K625)</f>
        <v>#VALUE!</v>
      </c>
      <c r="BC625" s="71"/>
      <c r="BD625" s="71"/>
    </row>
    <row r="626" spans="1:56" x14ac:dyDescent="0.25">
      <c r="A626" s="24">
        <f>IF(B626="","",SUBTOTAL(3,$B$4:B626))</f>
        <v>623</v>
      </c>
      <c r="B626" s="25" t="s">
        <v>840</v>
      </c>
      <c r="C626" s="25" t="str">
        <f t="shared" si="531"/>
        <v>Shipment 1 B-10124 Fired Proces Heater</v>
      </c>
      <c r="D626" s="25" t="s">
        <v>839</v>
      </c>
      <c r="E626" s="25" t="s">
        <v>838</v>
      </c>
      <c r="F626" s="25"/>
      <c r="G626" s="65"/>
      <c r="H626" s="25" t="s">
        <v>842</v>
      </c>
      <c r="I626" s="25"/>
      <c r="J626" s="26" t="s">
        <v>845</v>
      </c>
      <c r="K626" s="27" t="s">
        <v>1078</v>
      </c>
      <c r="L626" s="28" t="s">
        <v>1079</v>
      </c>
      <c r="M626" s="28" t="s">
        <v>1028</v>
      </c>
      <c r="N626" s="25">
        <v>1</v>
      </c>
      <c r="O626" s="29">
        <v>25.324999999999999</v>
      </c>
      <c r="P626" s="29">
        <v>25.324999999999999</v>
      </c>
      <c r="Q626" s="25" t="s">
        <v>1080</v>
      </c>
      <c r="R626" s="25"/>
      <c r="S626" s="26"/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532"/>
        <v>0</v>
      </c>
      <c r="AF626" s="32">
        <f t="shared" si="533"/>
        <v>25.324999999999999</v>
      </c>
      <c r="AG626" s="30"/>
      <c r="AH626" s="33"/>
      <c r="AI626" s="34">
        <f t="shared" si="534"/>
        <v>0</v>
      </c>
      <c r="AJ626" s="35"/>
      <c r="AK626" s="30"/>
      <c r="AL626" s="36">
        <f t="shared" si="535"/>
        <v>0</v>
      </c>
      <c r="AM626" s="35"/>
      <c r="AN626" s="30"/>
      <c r="AO626" s="36">
        <f t="shared" si="536"/>
        <v>0</v>
      </c>
      <c r="AP626" s="35"/>
      <c r="AQ626" s="30"/>
      <c r="AR626" s="36">
        <f t="shared" si="537"/>
        <v>0</v>
      </c>
      <c r="AS626" s="27"/>
      <c r="AT626" s="37"/>
      <c r="AU626" s="30"/>
      <c r="AV626" s="36">
        <f t="shared" si="538"/>
        <v>0</v>
      </c>
      <c r="AW626" s="35"/>
      <c r="AX626" s="30"/>
      <c r="AY626" s="32">
        <f t="shared" si="539"/>
        <v>0</v>
      </c>
      <c r="AZ626" s="30" t="s">
        <v>841</v>
      </c>
      <c r="BA626" s="63"/>
      <c r="BB626" s="71" t="e">
        <f>SUMIFS([1]Form!$F$9:$F$22,[1]Form!$K$9:$K$22,K626)</f>
        <v>#VALUE!</v>
      </c>
      <c r="BC626" s="71"/>
      <c r="BD626" s="71"/>
    </row>
    <row r="627" spans="1:56" x14ac:dyDescent="0.25">
      <c r="A627" s="24">
        <f>IF(B627="","",SUBTOTAL(3,$B$4:B627))</f>
        <v>624</v>
      </c>
      <c r="B627" s="25" t="s">
        <v>840</v>
      </c>
      <c r="C627" s="25" t="str">
        <f t="shared" si="531"/>
        <v>Shipment 1 B-10124 Fired Proces Heater</v>
      </c>
      <c r="D627" s="25" t="s">
        <v>839</v>
      </c>
      <c r="E627" s="25" t="s">
        <v>838</v>
      </c>
      <c r="F627" s="25"/>
      <c r="G627" s="65"/>
      <c r="H627" s="25" t="s">
        <v>842</v>
      </c>
      <c r="I627" s="25"/>
      <c r="J627" s="26" t="s">
        <v>845</v>
      </c>
      <c r="K627" s="27" t="s">
        <v>1078</v>
      </c>
      <c r="L627" s="28" t="s">
        <v>1081</v>
      </c>
      <c r="M627" s="28" t="s">
        <v>1028</v>
      </c>
      <c r="N627" s="25">
        <v>1</v>
      </c>
      <c r="O627" s="29">
        <v>25.324999999999999</v>
      </c>
      <c r="P627" s="29">
        <v>25.324999999999999</v>
      </c>
      <c r="Q627" s="25" t="s">
        <v>1080</v>
      </c>
      <c r="R627" s="25"/>
      <c r="S627" s="26"/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532"/>
        <v>0</v>
      </c>
      <c r="AF627" s="32">
        <f t="shared" si="533"/>
        <v>25.324999999999999</v>
      </c>
      <c r="AG627" s="30"/>
      <c r="AH627" s="33"/>
      <c r="AI627" s="34">
        <f t="shared" si="534"/>
        <v>0</v>
      </c>
      <c r="AJ627" s="35"/>
      <c r="AK627" s="30"/>
      <c r="AL627" s="36">
        <f t="shared" si="535"/>
        <v>0</v>
      </c>
      <c r="AM627" s="35"/>
      <c r="AN627" s="30"/>
      <c r="AO627" s="36">
        <f t="shared" si="536"/>
        <v>0</v>
      </c>
      <c r="AP627" s="35"/>
      <c r="AQ627" s="30"/>
      <c r="AR627" s="36">
        <f t="shared" si="537"/>
        <v>0</v>
      </c>
      <c r="AS627" s="27"/>
      <c r="AT627" s="37"/>
      <c r="AU627" s="30"/>
      <c r="AV627" s="36">
        <f t="shared" si="538"/>
        <v>0</v>
      </c>
      <c r="AW627" s="35"/>
      <c r="AX627" s="30"/>
      <c r="AY627" s="32">
        <f t="shared" si="539"/>
        <v>0</v>
      </c>
      <c r="AZ627" s="30" t="s">
        <v>841</v>
      </c>
      <c r="BA627" s="63"/>
      <c r="BB627" s="71" t="e">
        <f>SUMIFS([1]Form!$F$9:$F$22,[1]Form!$K$9:$K$22,K627)</f>
        <v>#VALUE!</v>
      </c>
      <c r="BC627" s="71"/>
      <c r="BD627" s="71"/>
    </row>
    <row r="628" spans="1:56" x14ac:dyDescent="0.25">
      <c r="A628" s="24">
        <f>IF(B628="","",SUBTOTAL(3,$B$4:B628))</f>
        <v>625</v>
      </c>
      <c r="B628" s="25" t="s">
        <v>840</v>
      </c>
      <c r="C628" s="25" t="str">
        <f t="shared" si="531"/>
        <v>Shipment 1 B-10124 Fired Proces Heater</v>
      </c>
      <c r="D628" s="25" t="s">
        <v>839</v>
      </c>
      <c r="E628" s="25" t="s">
        <v>838</v>
      </c>
      <c r="F628" s="25"/>
      <c r="G628" s="65"/>
      <c r="H628" s="25" t="s">
        <v>842</v>
      </c>
      <c r="I628" s="25"/>
      <c r="J628" s="26" t="s">
        <v>845</v>
      </c>
      <c r="K628" s="27" t="s">
        <v>1078</v>
      </c>
      <c r="L628" s="28" t="s">
        <v>1082</v>
      </c>
      <c r="M628" s="28" t="s">
        <v>1028</v>
      </c>
      <c r="N628" s="25">
        <v>1</v>
      </c>
      <c r="O628" s="29">
        <v>25.324999999999999</v>
      </c>
      <c r="P628" s="29">
        <v>25.324999999999999</v>
      </c>
      <c r="Q628" s="25" t="s">
        <v>1080</v>
      </c>
      <c r="R628" s="25"/>
      <c r="S628" s="26"/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532"/>
        <v>0</v>
      </c>
      <c r="AF628" s="32">
        <f t="shared" si="533"/>
        <v>25.324999999999999</v>
      </c>
      <c r="AG628" s="30"/>
      <c r="AH628" s="33"/>
      <c r="AI628" s="34">
        <f t="shared" si="534"/>
        <v>0</v>
      </c>
      <c r="AJ628" s="35"/>
      <c r="AK628" s="30"/>
      <c r="AL628" s="36">
        <f t="shared" si="535"/>
        <v>0</v>
      </c>
      <c r="AM628" s="35"/>
      <c r="AN628" s="30"/>
      <c r="AO628" s="36">
        <f t="shared" si="536"/>
        <v>0</v>
      </c>
      <c r="AP628" s="35"/>
      <c r="AQ628" s="30"/>
      <c r="AR628" s="36">
        <f t="shared" si="537"/>
        <v>0</v>
      </c>
      <c r="AS628" s="27"/>
      <c r="AT628" s="37"/>
      <c r="AU628" s="30"/>
      <c r="AV628" s="36">
        <f t="shared" si="538"/>
        <v>0</v>
      </c>
      <c r="AW628" s="35"/>
      <c r="AX628" s="30"/>
      <c r="AY628" s="32">
        <f t="shared" si="539"/>
        <v>0</v>
      </c>
      <c r="AZ628" s="30" t="s">
        <v>841</v>
      </c>
      <c r="BA628" s="63"/>
      <c r="BB628" s="71" t="e">
        <f>SUMIFS([1]Form!$F$9:$F$22,[1]Form!$K$9:$K$22,K628)</f>
        <v>#VALUE!</v>
      </c>
      <c r="BC628" s="71"/>
      <c r="BD628" s="71"/>
    </row>
    <row r="629" spans="1:56" x14ac:dyDescent="0.25">
      <c r="A629" s="24">
        <f>IF(B629="","",SUBTOTAL(3,$B$4:B629))</f>
        <v>626</v>
      </c>
      <c r="B629" s="25" t="s">
        <v>840</v>
      </c>
      <c r="C629" s="25" t="str">
        <f t="shared" si="531"/>
        <v>Shipment 1 B-10124 Fired Proces Heater</v>
      </c>
      <c r="D629" s="25" t="s">
        <v>839</v>
      </c>
      <c r="E629" s="25" t="s">
        <v>838</v>
      </c>
      <c r="F629" s="25"/>
      <c r="G629" s="65"/>
      <c r="H629" s="25" t="s">
        <v>842</v>
      </c>
      <c r="I629" s="25"/>
      <c r="J629" s="26" t="s">
        <v>845</v>
      </c>
      <c r="K629" s="27" t="s">
        <v>1078</v>
      </c>
      <c r="L629" s="28" t="s">
        <v>1083</v>
      </c>
      <c r="M629" s="28" t="s">
        <v>1028</v>
      </c>
      <c r="N629" s="25">
        <v>1</v>
      </c>
      <c r="O629" s="29">
        <v>25.324999999999999</v>
      </c>
      <c r="P629" s="29">
        <v>25.324999999999999</v>
      </c>
      <c r="Q629" s="25" t="s">
        <v>1080</v>
      </c>
      <c r="R629" s="25"/>
      <c r="S629" s="26"/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532"/>
        <v>0</v>
      </c>
      <c r="AF629" s="32">
        <f t="shared" si="533"/>
        <v>25.324999999999999</v>
      </c>
      <c r="AG629" s="30"/>
      <c r="AH629" s="33"/>
      <c r="AI629" s="34">
        <f t="shared" si="534"/>
        <v>0</v>
      </c>
      <c r="AJ629" s="35"/>
      <c r="AK629" s="30"/>
      <c r="AL629" s="36">
        <f t="shared" si="535"/>
        <v>0</v>
      </c>
      <c r="AM629" s="35"/>
      <c r="AN629" s="30"/>
      <c r="AO629" s="36">
        <f t="shared" si="536"/>
        <v>0</v>
      </c>
      <c r="AP629" s="35"/>
      <c r="AQ629" s="30"/>
      <c r="AR629" s="36">
        <f t="shared" si="537"/>
        <v>0</v>
      </c>
      <c r="AS629" s="27"/>
      <c r="AT629" s="37"/>
      <c r="AU629" s="30"/>
      <c r="AV629" s="36">
        <f t="shared" si="538"/>
        <v>0</v>
      </c>
      <c r="AW629" s="35"/>
      <c r="AX629" s="30"/>
      <c r="AY629" s="32">
        <f t="shared" si="539"/>
        <v>0</v>
      </c>
      <c r="AZ629" s="30" t="s">
        <v>841</v>
      </c>
      <c r="BA629" s="63"/>
      <c r="BB629" s="71" t="e">
        <f>SUMIFS([1]Form!$F$9:$F$22,[1]Form!$K$9:$K$22,K629)</f>
        <v>#VALUE!</v>
      </c>
      <c r="BC629" s="71"/>
      <c r="BD629" s="71"/>
    </row>
    <row r="630" spans="1:56" x14ac:dyDescent="0.25">
      <c r="A630" s="24">
        <f>IF(B630="","",SUBTOTAL(3,$B$4:B630))</f>
        <v>627</v>
      </c>
      <c r="B630" s="25" t="s">
        <v>840</v>
      </c>
      <c r="C630" s="25" t="str">
        <f t="shared" si="531"/>
        <v>Shipment 1 B-10124 Fired Proces Heater</v>
      </c>
      <c r="D630" s="25" t="s">
        <v>839</v>
      </c>
      <c r="E630" s="25" t="s">
        <v>838</v>
      </c>
      <c r="F630" s="25"/>
      <c r="G630" s="65"/>
      <c r="H630" s="25" t="s">
        <v>842</v>
      </c>
      <c r="I630" s="25"/>
      <c r="J630" s="26" t="s">
        <v>845</v>
      </c>
      <c r="K630" s="27" t="s">
        <v>1084</v>
      </c>
      <c r="L630" s="28" t="s">
        <v>1085</v>
      </c>
      <c r="M630" s="28" t="s">
        <v>1028</v>
      </c>
      <c r="N630" s="25">
        <v>1</v>
      </c>
      <c r="O630" s="29">
        <v>63.150000000000006</v>
      </c>
      <c r="P630" s="29">
        <v>63.150000000000006</v>
      </c>
      <c r="Q630" s="25" t="s">
        <v>1086</v>
      </c>
      <c r="R630" s="25"/>
      <c r="S630" s="26"/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532"/>
        <v>0</v>
      </c>
      <c r="AF630" s="32">
        <f t="shared" si="533"/>
        <v>63.150000000000006</v>
      </c>
      <c r="AG630" s="30"/>
      <c r="AH630" s="33"/>
      <c r="AI630" s="34">
        <f t="shared" si="534"/>
        <v>0</v>
      </c>
      <c r="AJ630" s="35"/>
      <c r="AK630" s="30"/>
      <c r="AL630" s="36">
        <f t="shared" si="535"/>
        <v>0</v>
      </c>
      <c r="AM630" s="35"/>
      <c r="AN630" s="30"/>
      <c r="AO630" s="36">
        <f t="shared" si="536"/>
        <v>0</v>
      </c>
      <c r="AP630" s="35"/>
      <c r="AQ630" s="30"/>
      <c r="AR630" s="36">
        <f t="shared" si="537"/>
        <v>0</v>
      </c>
      <c r="AS630" s="27"/>
      <c r="AT630" s="37"/>
      <c r="AU630" s="30"/>
      <c r="AV630" s="36">
        <f t="shared" si="538"/>
        <v>0</v>
      </c>
      <c r="AW630" s="35"/>
      <c r="AX630" s="30"/>
      <c r="AY630" s="32">
        <f t="shared" si="539"/>
        <v>0</v>
      </c>
      <c r="AZ630" s="30" t="s">
        <v>841</v>
      </c>
      <c r="BA630" s="63"/>
      <c r="BB630" s="71" t="e">
        <f>SUMIFS([1]Form!$F$9:$F$22,[1]Form!$K$9:$K$22,K630)</f>
        <v>#VALUE!</v>
      </c>
      <c r="BC630" s="71"/>
      <c r="BD630" s="71"/>
    </row>
    <row r="631" spans="1:56" x14ac:dyDescent="0.25">
      <c r="A631" s="24">
        <f>IF(B631="","",SUBTOTAL(3,$B$4:B631))</f>
        <v>628</v>
      </c>
      <c r="B631" s="25" t="s">
        <v>840</v>
      </c>
      <c r="C631" s="25" t="str">
        <f t="shared" si="531"/>
        <v>Shipment 1 B-10124 Fired Proces Heater</v>
      </c>
      <c r="D631" s="25" t="s">
        <v>839</v>
      </c>
      <c r="E631" s="25" t="s">
        <v>838</v>
      </c>
      <c r="F631" s="25"/>
      <c r="G631" s="65"/>
      <c r="H631" s="25" t="s">
        <v>842</v>
      </c>
      <c r="I631" s="25"/>
      <c r="J631" s="26" t="s">
        <v>845</v>
      </c>
      <c r="K631" s="27" t="s">
        <v>1084</v>
      </c>
      <c r="L631" s="28" t="s">
        <v>1087</v>
      </c>
      <c r="M631" s="28" t="s">
        <v>1028</v>
      </c>
      <c r="N631" s="25">
        <v>1</v>
      </c>
      <c r="O631" s="29">
        <v>63.150000000000006</v>
      </c>
      <c r="P631" s="29">
        <v>63.150000000000006</v>
      </c>
      <c r="Q631" s="25" t="s">
        <v>1086</v>
      </c>
      <c r="R631" s="25"/>
      <c r="S631" s="26"/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532"/>
        <v>0</v>
      </c>
      <c r="AF631" s="32">
        <f t="shared" si="533"/>
        <v>63.150000000000006</v>
      </c>
      <c r="AG631" s="30"/>
      <c r="AH631" s="33"/>
      <c r="AI631" s="34">
        <f t="shared" si="534"/>
        <v>0</v>
      </c>
      <c r="AJ631" s="35"/>
      <c r="AK631" s="30"/>
      <c r="AL631" s="36">
        <f t="shared" si="535"/>
        <v>0</v>
      </c>
      <c r="AM631" s="35"/>
      <c r="AN631" s="30"/>
      <c r="AO631" s="36">
        <f t="shared" si="536"/>
        <v>0</v>
      </c>
      <c r="AP631" s="35"/>
      <c r="AQ631" s="30"/>
      <c r="AR631" s="36">
        <f t="shared" si="537"/>
        <v>0</v>
      </c>
      <c r="AS631" s="27"/>
      <c r="AT631" s="37"/>
      <c r="AU631" s="30"/>
      <c r="AV631" s="36">
        <f t="shared" si="538"/>
        <v>0</v>
      </c>
      <c r="AW631" s="35"/>
      <c r="AX631" s="30"/>
      <c r="AY631" s="32">
        <f t="shared" si="539"/>
        <v>0</v>
      </c>
      <c r="AZ631" s="30" t="s">
        <v>841</v>
      </c>
      <c r="BA631" s="63"/>
      <c r="BB631" s="71" t="e">
        <f>SUMIFS([1]Form!$F$9:$F$22,[1]Form!$K$9:$K$22,K631)</f>
        <v>#VALUE!</v>
      </c>
      <c r="BC631" s="71"/>
      <c r="BD631" s="71"/>
    </row>
    <row r="632" spans="1:56" x14ac:dyDescent="0.25">
      <c r="A632" s="24">
        <f>IF(B632="","",SUBTOTAL(3,$B$4:B632))</f>
        <v>629</v>
      </c>
      <c r="B632" s="25" t="s">
        <v>840</v>
      </c>
      <c r="C632" s="25" t="str">
        <f t="shared" si="531"/>
        <v>Shipment 1 B-10124 Fired Proces Heater</v>
      </c>
      <c r="D632" s="25" t="s">
        <v>839</v>
      </c>
      <c r="E632" s="25" t="s">
        <v>838</v>
      </c>
      <c r="F632" s="25"/>
      <c r="G632" s="65"/>
      <c r="H632" s="25" t="s">
        <v>842</v>
      </c>
      <c r="I632" s="25"/>
      <c r="J632" s="26" t="s">
        <v>845</v>
      </c>
      <c r="K632" s="27" t="s">
        <v>1084</v>
      </c>
      <c r="L632" s="28" t="s">
        <v>1088</v>
      </c>
      <c r="M632" s="28" t="s">
        <v>1028</v>
      </c>
      <c r="N632" s="25">
        <v>1</v>
      </c>
      <c r="O632" s="29">
        <v>63.150000000000006</v>
      </c>
      <c r="P632" s="29">
        <v>63.150000000000006</v>
      </c>
      <c r="Q632" s="25" t="s">
        <v>1086</v>
      </c>
      <c r="R632" s="25"/>
      <c r="S632" s="26"/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532"/>
        <v>0</v>
      </c>
      <c r="AF632" s="32">
        <f t="shared" si="533"/>
        <v>63.150000000000006</v>
      </c>
      <c r="AG632" s="30"/>
      <c r="AH632" s="33"/>
      <c r="AI632" s="34">
        <f t="shared" si="534"/>
        <v>0</v>
      </c>
      <c r="AJ632" s="35"/>
      <c r="AK632" s="30"/>
      <c r="AL632" s="36">
        <f t="shared" si="535"/>
        <v>0</v>
      </c>
      <c r="AM632" s="35"/>
      <c r="AN632" s="30"/>
      <c r="AO632" s="36">
        <f t="shared" si="536"/>
        <v>0</v>
      </c>
      <c r="AP632" s="35"/>
      <c r="AQ632" s="30"/>
      <c r="AR632" s="36">
        <f t="shared" si="537"/>
        <v>0</v>
      </c>
      <c r="AS632" s="27"/>
      <c r="AT632" s="37"/>
      <c r="AU632" s="30"/>
      <c r="AV632" s="36">
        <f t="shared" si="538"/>
        <v>0</v>
      </c>
      <c r="AW632" s="35"/>
      <c r="AX632" s="30"/>
      <c r="AY632" s="32">
        <f t="shared" si="539"/>
        <v>0</v>
      </c>
      <c r="AZ632" s="30" t="s">
        <v>841</v>
      </c>
      <c r="BA632" s="63"/>
      <c r="BB632" s="71" t="e">
        <f>SUMIFS([1]Form!$F$9:$F$22,[1]Form!$K$9:$K$22,K632)</f>
        <v>#VALUE!</v>
      </c>
      <c r="BC632" s="71"/>
      <c r="BD632" s="71"/>
    </row>
    <row r="633" spans="1:56" x14ac:dyDescent="0.25">
      <c r="A633" s="24">
        <f>IF(B633="","",SUBTOTAL(3,$B$4:B633))</f>
        <v>630</v>
      </c>
      <c r="B633" s="25" t="s">
        <v>840</v>
      </c>
      <c r="C633" s="25" t="str">
        <f t="shared" si="531"/>
        <v>Shipment 1 B-10124 Fired Proces Heater</v>
      </c>
      <c r="D633" s="25" t="s">
        <v>839</v>
      </c>
      <c r="E633" s="25" t="s">
        <v>838</v>
      </c>
      <c r="F633" s="25"/>
      <c r="G633" s="65"/>
      <c r="H633" s="25" t="s">
        <v>842</v>
      </c>
      <c r="I633" s="25"/>
      <c r="J633" s="26" t="s">
        <v>845</v>
      </c>
      <c r="K633" s="27" t="s">
        <v>1084</v>
      </c>
      <c r="L633" s="28" t="s">
        <v>1089</v>
      </c>
      <c r="M633" s="28" t="s">
        <v>1028</v>
      </c>
      <c r="N633" s="25">
        <v>1</v>
      </c>
      <c r="O633" s="29">
        <v>63.150000000000006</v>
      </c>
      <c r="P633" s="29">
        <v>63.150000000000006</v>
      </c>
      <c r="Q633" s="25" t="s">
        <v>1086</v>
      </c>
      <c r="R633" s="25"/>
      <c r="S633" s="26"/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532"/>
        <v>0</v>
      </c>
      <c r="AF633" s="32">
        <f t="shared" si="533"/>
        <v>63.150000000000006</v>
      </c>
      <c r="AG633" s="30"/>
      <c r="AH633" s="33"/>
      <c r="AI633" s="34">
        <f t="shared" si="534"/>
        <v>0</v>
      </c>
      <c r="AJ633" s="35"/>
      <c r="AK633" s="30"/>
      <c r="AL633" s="36">
        <f t="shared" si="535"/>
        <v>0</v>
      </c>
      <c r="AM633" s="35"/>
      <c r="AN633" s="30"/>
      <c r="AO633" s="36">
        <f t="shared" si="536"/>
        <v>0</v>
      </c>
      <c r="AP633" s="35"/>
      <c r="AQ633" s="30"/>
      <c r="AR633" s="36">
        <f t="shared" si="537"/>
        <v>0</v>
      </c>
      <c r="AS633" s="27"/>
      <c r="AT633" s="37"/>
      <c r="AU633" s="30"/>
      <c r="AV633" s="36">
        <f t="shared" si="538"/>
        <v>0</v>
      </c>
      <c r="AW633" s="35"/>
      <c r="AX633" s="30"/>
      <c r="AY633" s="32">
        <f t="shared" si="539"/>
        <v>0</v>
      </c>
      <c r="AZ633" s="30" t="s">
        <v>841</v>
      </c>
      <c r="BA633" s="63"/>
      <c r="BB633" s="71" t="e">
        <f>SUMIFS([1]Form!$F$9:$F$22,[1]Form!$K$9:$K$22,K633)</f>
        <v>#VALUE!</v>
      </c>
      <c r="BC633" s="71"/>
      <c r="BD633" s="71"/>
    </row>
    <row r="634" spans="1:56" x14ac:dyDescent="0.25">
      <c r="A634" s="24">
        <f>IF(B634="","",SUBTOTAL(3,$B$4:B634))</f>
        <v>631</v>
      </c>
      <c r="B634" s="25" t="s">
        <v>840</v>
      </c>
      <c r="C634" s="25" t="str">
        <f t="shared" si="531"/>
        <v>Shipment 1 B-10124 Fired Proces Heater</v>
      </c>
      <c r="D634" s="25" t="s">
        <v>839</v>
      </c>
      <c r="E634" s="25" t="s">
        <v>838</v>
      </c>
      <c r="F634" s="25"/>
      <c r="G634" s="65"/>
      <c r="H634" s="25" t="s">
        <v>842</v>
      </c>
      <c r="I634" s="25"/>
      <c r="J634" s="26" t="s">
        <v>845</v>
      </c>
      <c r="K634" s="27" t="s">
        <v>1090</v>
      </c>
      <c r="L634" s="28" t="s">
        <v>1091</v>
      </c>
      <c r="M634" s="28" t="s">
        <v>1028</v>
      </c>
      <c r="N634" s="25">
        <v>1</v>
      </c>
      <c r="O634" s="29">
        <v>824.2</v>
      </c>
      <c r="P634" s="29">
        <v>824.2</v>
      </c>
      <c r="Q634" s="25" t="s">
        <v>1182</v>
      </c>
      <c r="R634" s="25"/>
      <c r="S634" s="26"/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532"/>
        <v>0</v>
      </c>
      <c r="AF634" s="32">
        <f t="shared" si="533"/>
        <v>824.2</v>
      </c>
      <c r="AG634" s="30"/>
      <c r="AH634" s="33"/>
      <c r="AI634" s="34">
        <f t="shared" si="534"/>
        <v>0</v>
      </c>
      <c r="AJ634" s="35"/>
      <c r="AK634" s="30"/>
      <c r="AL634" s="36">
        <f t="shared" si="535"/>
        <v>0</v>
      </c>
      <c r="AM634" s="35"/>
      <c r="AN634" s="30"/>
      <c r="AO634" s="36">
        <f t="shared" si="536"/>
        <v>0</v>
      </c>
      <c r="AP634" s="35"/>
      <c r="AQ634" s="30"/>
      <c r="AR634" s="36">
        <f t="shared" si="537"/>
        <v>0</v>
      </c>
      <c r="AS634" s="27"/>
      <c r="AT634" s="37"/>
      <c r="AU634" s="30"/>
      <c r="AV634" s="36">
        <f t="shared" si="538"/>
        <v>0</v>
      </c>
      <c r="AW634" s="35"/>
      <c r="AX634" s="30"/>
      <c r="AY634" s="32">
        <f t="shared" si="539"/>
        <v>0</v>
      </c>
      <c r="AZ634" s="30" t="s">
        <v>841</v>
      </c>
      <c r="BA634" s="63"/>
      <c r="BB634" s="71" t="e">
        <f>SUMIFS([1]Form!$F$9:$F$22,[1]Form!$K$9:$K$22,K634)</f>
        <v>#VALUE!</v>
      </c>
      <c r="BC634" s="71"/>
      <c r="BD634" s="71"/>
    </row>
    <row r="635" spans="1:56" x14ac:dyDescent="0.25">
      <c r="A635" s="24">
        <f>IF(B635="","",SUBTOTAL(3,$B$4:B635))</f>
        <v>632</v>
      </c>
      <c r="B635" s="25" t="s">
        <v>840</v>
      </c>
      <c r="C635" s="25" t="str">
        <f t="shared" si="531"/>
        <v>Shipment 1 B-10124 Fired Proces Heater</v>
      </c>
      <c r="D635" s="25" t="s">
        <v>839</v>
      </c>
      <c r="E635" s="25" t="s">
        <v>838</v>
      </c>
      <c r="F635" s="25"/>
      <c r="G635" s="65"/>
      <c r="H635" s="25" t="s">
        <v>842</v>
      </c>
      <c r="I635" s="25"/>
      <c r="J635" s="26" t="s">
        <v>845</v>
      </c>
      <c r="K635" s="27" t="s">
        <v>1092</v>
      </c>
      <c r="L635" s="28" t="s">
        <v>1093</v>
      </c>
      <c r="M635" s="28" t="s">
        <v>1028</v>
      </c>
      <c r="N635" s="25">
        <v>1</v>
      </c>
      <c r="O635" s="29">
        <v>48.599999999999994</v>
      </c>
      <c r="P635" s="29">
        <v>48.599999999999994</v>
      </c>
      <c r="Q635" s="25" t="s">
        <v>1094</v>
      </c>
      <c r="R635" s="25"/>
      <c r="S635" s="26"/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532"/>
        <v>0</v>
      </c>
      <c r="AF635" s="32">
        <f t="shared" si="533"/>
        <v>48.599999999999994</v>
      </c>
      <c r="AG635" s="30"/>
      <c r="AH635" s="33"/>
      <c r="AI635" s="34">
        <f t="shared" si="534"/>
        <v>0</v>
      </c>
      <c r="AJ635" s="35"/>
      <c r="AK635" s="30"/>
      <c r="AL635" s="36">
        <f t="shared" si="535"/>
        <v>0</v>
      </c>
      <c r="AM635" s="35"/>
      <c r="AN635" s="30"/>
      <c r="AO635" s="36">
        <f t="shared" si="536"/>
        <v>0</v>
      </c>
      <c r="AP635" s="35"/>
      <c r="AQ635" s="30"/>
      <c r="AR635" s="36">
        <f t="shared" si="537"/>
        <v>0</v>
      </c>
      <c r="AS635" s="27"/>
      <c r="AT635" s="37"/>
      <c r="AU635" s="30"/>
      <c r="AV635" s="36">
        <f t="shared" si="538"/>
        <v>0</v>
      </c>
      <c r="AW635" s="35"/>
      <c r="AX635" s="30"/>
      <c r="AY635" s="32">
        <f t="shared" si="539"/>
        <v>0</v>
      </c>
      <c r="AZ635" s="30" t="s">
        <v>841</v>
      </c>
      <c r="BA635" s="63"/>
      <c r="BB635" s="71" t="e">
        <f>SUMIFS([1]Form!$F$9:$F$22,[1]Form!$K$9:$K$22,K635)</f>
        <v>#VALUE!</v>
      </c>
      <c r="BC635" s="71"/>
      <c r="BD635" s="71"/>
    </row>
    <row r="636" spans="1:56" x14ac:dyDescent="0.25">
      <c r="A636" s="24">
        <f>IF(B636="","",SUBTOTAL(3,$B$4:B636))</f>
        <v>633</v>
      </c>
      <c r="B636" s="25" t="s">
        <v>840</v>
      </c>
      <c r="C636" s="25" t="str">
        <f t="shared" si="531"/>
        <v>Shipment 1 B-10124 Fired Proces Heater</v>
      </c>
      <c r="D636" s="25" t="s">
        <v>839</v>
      </c>
      <c r="E636" s="25" t="s">
        <v>838</v>
      </c>
      <c r="F636" s="25"/>
      <c r="G636" s="65"/>
      <c r="H636" s="25" t="s">
        <v>842</v>
      </c>
      <c r="I636" s="25"/>
      <c r="J636" s="26" t="s">
        <v>845</v>
      </c>
      <c r="K636" s="27" t="s">
        <v>1092</v>
      </c>
      <c r="L636" s="28" t="s">
        <v>1095</v>
      </c>
      <c r="M636" s="28" t="s">
        <v>1028</v>
      </c>
      <c r="N636" s="25">
        <v>1</v>
      </c>
      <c r="O636" s="29">
        <v>48.599999999999994</v>
      </c>
      <c r="P636" s="29">
        <v>48.599999999999994</v>
      </c>
      <c r="Q636" s="25" t="s">
        <v>1094</v>
      </c>
      <c r="R636" s="25"/>
      <c r="S636" s="26"/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532"/>
        <v>0</v>
      </c>
      <c r="AF636" s="32">
        <f t="shared" si="533"/>
        <v>48.599999999999994</v>
      </c>
      <c r="AG636" s="30"/>
      <c r="AH636" s="33"/>
      <c r="AI636" s="34">
        <f t="shared" si="534"/>
        <v>0</v>
      </c>
      <c r="AJ636" s="35"/>
      <c r="AK636" s="30"/>
      <c r="AL636" s="36">
        <f t="shared" si="535"/>
        <v>0</v>
      </c>
      <c r="AM636" s="35"/>
      <c r="AN636" s="30"/>
      <c r="AO636" s="36">
        <f t="shared" si="536"/>
        <v>0</v>
      </c>
      <c r="AP636" s="35"/>
      <c r="AQ636" s="30"/>
      <c r="AR636" s="36">
        <f t="shared" si="537"/>
        <v>0</v>
      </c>
      <c r="AS636" s="27"/>
      <c r="AT636" s="37"/>
      <c r="AU636" s="30"/>
      <c r="AV636" s="36">
        <f t="shared" si="538"/>
        <v>0</v>
      </c>
      <c r="AW636" s="35"/>
      <c r="AX636" s="30"/>
      <c r="AY636" s="32">
        <f t="shared" si="539"/>
        <v>0</v>
      </c>
      <c r="AZ636" s="30" t="s">
        <v>841</v>
      </c>
      <c r="BA636" s="63"/>
      <c r="BB636" s="71" t="e">
        <f>SUMIFS([1]Form!$F$9:$F$22,[1]Form!$K$9:$K$22,K636)</f>
        <v>#VALUE!</v>
      </c>
      <c r="BC636" s="71"/>
      <c r="BD636" s="71"/>
    </row>
    <row r="637" spans="1:56" x14ac:dyDescent="0.25">
      <c r="A637" s="24">
        <f>IF(B637="","",SUBTOTAL(3,$B$4:B637))</f>
        <v>634</v>
      </c>
      <c r="B637" s="25" t="s">
        <v>840</v>
      </c>
      <c r="C637" s="25" t="str">
        <f t="shared" si="531"/>
        <v>Shipment 1 B-10124 Fired Proces Heater</v>
      </c>
      <c r="D637" s="25" t="s">
        <v>839</v>
      </c>
      <c r="E637" s="25" t="s">
        <v>838</v>
      </c>
      <c r="F637" s="25"/>
      <c r="G637" s="65"/>
      <c r="H637" s="25" t="s">
        <v>842</v>
      </c>
      <c r="I637" s="25"/>
      <c r="J637" s="26" t="s">
        <v>845</v>
      </c>
      <c r="K637" s="27" t="s">
        <v>1092</v>
      </c>
      <c r="L637" s="28" t="s">
        <v>1096</v>
      </c>
      <c r="M637" s="28" t="s">
        <v>1028</v>
      </c>
      <c r="N637" s="25">
        <v>1</v>
      </c>
      <c r="O637" s="29">
        <v>48.599999999999994</v>
      </c>
      <c r="P637" s="29">
        <v>48.599999999999994</v>
      </c>
      <c r="Q637" s="25" t="s">
        <v>1094</v>
      </c>
      <c r="R637" s="25"/>
      <c r="S637" s="26"/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532"/>
        <v>0</v>
      </c>
      <c r="AF637" s="32">
        <f t="shared" si="533"/>
        <v>48.599999999999994</v>
      </c>
      <c r="AG637" s="30"/>
      <c r="AH637" s="33"/>
      <c r="AI637" s="34">
        <f t="shared" si="534"/>
        <v>0</v>
      </c>
      <c r="AJ637" s="35"/>
      <c r="AK637" s="30"/>
      <c r="AL637" s="36">
        <f t="shared" si="535"/>
        <v>0</v>
      </c>
      <c r="AM637" s="35"/>
      <c r="AN637" s="30"/>
      <c r="AO637" s="36">
        <f t="shared" si="536"/>
        <v>0</v>
      </c>
      <c r="AP637" s="35"/>
      <c r="AQ637" s="30"/>
      <c r="AR637" s="36">
        <f t="shared" si="537"/>
        <v>0</v>
      </c>
      <c r="AS637" s="27"/>
      <c r="AT637" s="37"/>
      <c r="AU637" s="30"/>
      <c r="AV637" s="36">
        <f t="shared" si="538"/>
        <v>0</v>
      </c>
      <c r="AW637" s="35"/>
      <c r="AX637" s="30"/>
      <c r="AY637" s="32">
        <f t="shared" si="539"/>
        <v>0</v>
      </c>
      <c r="AZ637" s="30" t="s">
        <v>841</v>
      </c>
      <c r="BA637" s="63"/>
      <c r="BB637" s="71" t="e">
        <f>SUMIFS([1]Form!$F$9:$F$22,[1]Form!$K$9:$K$22,K637)</f>
        <v>#VALUE!</v>
      </c>
      <c r="BC637" s="71"/>
      <c r="BD637" s="71"/>
    </row>
    <row r="638" spans="1:56" x14ac:dyDescent="0.25">
      <c r="A638" s="24">
        <f>IF(B638="","",SUBTOTAL(3,$B$4:B638))</f>
        <v>635</v>
      </c>
      <c r="B638" s="25" t="s">
        <v>840</v>
      </c>
      <c r="C638" s="25" t="str">
        <f t="shared" si="531"/>
        <v>Shipment 1 B-10124 Fired Proces Heater</v>
      </c>
      <c r="D638" s="25" t="s">
        <v>839</v>
      </c>
      <c r="E638" s="25" t="s">
        <v>838</v>
      </c>
      <c r="F638" s="25"/>
      <c r="G638" s="65"/>
      <c r="H638" s="25" t="s">
        <v>842</v>
      </c>
      <c r="I638" s="25"/>
      <c r="J638" s="26" t="s">
        <v>845</v>
      </c>
      <c r="K638" s="27" t="s">
        <v>1092</v>
      </c>
      <c r="L638" s="28" t="s">
        <v>1097</v>
      </c>
      <c r="M638" s="28" t="s">
        <v>1028</v>
      </c>
      <c r="N638" s="25">
        <v>1</v>
      </c>
      <c r="O638" s="29">
        <v>48.599999999999994</v>
      </c>
      <c r="P638" s="29">
        <v>48.599999999999994</v>
      </c>
      <c r="Q638" s="25" t="s">
        <v>1094</v>
      </c>
      <c r="R638" s="25"/>
      <c r="S638" s="26"/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532"/>
        <v>0</v>
      </c>
      <c r="AF638" s="32">
        <f t="shared" si="533"/>
        <v>48.599999999999994</v>
      </c>
      <c r="AG638" s="30"/>
      <c r="AH638" s="33"/>
      <c r="AI638" s="34">
        <f t="shared" si="534"/>
        <v>0</v>
      </c>
      <c r="AJ638" s="35"/>
      <c r="AK638" s="30"/>
      <c r="AL638" s="36">
        <f t="shared" si="535"/>
        <v>0</v>
      </c>
      <c r="AM638" s="35"/>
      <c r="AN638" s="30"/>
      <c r="AO638" s="36">
        <f t="shared" si="536"/>
        <v>0</v>
      </c>
      <c r="AP638" s="35"/>
      <c r="AQ638" s="30"/>
      <c r="AR638" s="36">
        <f t="shared" si="537"/>
        <v>0</v>
      </c>
      <c r="AS638" s="27"/>
      <c r="AT638" s="37"/>
      <c r="AU638" s="30"/>
      <c r="AV638" s="36">
        <f t="shared" si="538"/>
        <v>0</v>
      </c>
      <c r="AW638" s="35"/>
      <c r="AX638" s="30"/>
      <c r="AY638" s="32">
        <f t="shared" si="539"/>
        <v>0</v>
      </c>
      <c r="AZ638" s="30" t="s">
        <v>841</v>
      </c>
      <c r="BA638" s="63"/>
      <c r="BB638" s="71" t="e">
        <f>SUMIFS([1]Form!$F$9:$F$22,[1]Form!$K$9:$K$22,K638)</f>
        <v>#VALUE!</v>
      </c>
      <c r="BC638" s="71"/>
      <c r="BD638" s="71"/>
    </row>
    <row r="639" spans="1:56" x14ac:dyDescent="0.25">
      <c r="A639" s="24">
        <f>IF(B639="","",SUBTOTAL(3,$B$4:B639))</f>
        <v>636</v>
      </c>
      <c r="B639" s="25" t="s">
        <v>840</v>
      </c>
      <c r="C639" s="25" t="str">
        <f t="shared" si="531"/>
        <v>Shipment 1 B-10124 Fired Proces Heater</v>
      </c>
      <c r="D639" s="25" t="s">
        <v>839</v>
      </c>
      <c r="E639" s="25" t="s">
        <v>838</v>
      </c>
      <c r="F639" s="25"/>
      <c r="G639" s="65"/>
      <c r="H639" s="25" t="s">
        <v>842</v>
      </c>
      <c r="I639" s="25"/>
      <c r="J639" s="26" t="s">
        <v>845</v>
      </c>
      <c r="K639" s="27" t="s">
        <v>1092</v>
      </c>
      <c r="L639" s="28" t="s">
        <v>1098</v>
      </c>
      <c r="M639" s="28" t="s">
        <v>1028</v>
      </c>
      <c r="N639" s="25">
        <v>1</v>
      </c>
      <c r="O639" s="29">
        <v>48.599999999999994</v>
      </c>
      <c r="P639" s="29">
        <v>48.599999999999994</v>
      </c>
      <c r="Q639" s="25" t="s">
        <v>1094</v>
      </c>
      <c r="R639" s="25"/>
      <c r="S639" s="26"/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532"/>
        <v>0</v>
      </c>
      <c r="AF639" s="32">
        <f t="shared" si="533"/>
        <v>48.599999999999994</v>
      </c>
      <c r="AG639" s="30"/>
      <c r="AH639" s="33"/>
      <c r="AI639" s="34">
        <f t="shared" si="534"/>
        <v>0</v>
      </c>
      <c r="AJ639" s="35"/>
      <c r="AK639" s="30"/>
      <c r="AL639" s="36">
        <f t="shared" si="535"/>
        <v>0</v>
      </c>
      <c r="AM639" s="35"/>
      <c r="AN639" s="30"/>
      <c r="AO639" s="36">
        <f t="shared" si="536"/>
        <v>0</v>
      </c>
      <c r="AP639" s="35"/>
      <c r="AQ639" s="30"/>
      <c r="AR639" s="36">
        <f t="shared" si="537"/>
        <v>0</v>
      </c>
      <c r="AS639" s="27"/>
      <c r="AT639" s="37"/>
      <c r="AU639" s="30"/>
      <c r="AV639" s="36">
        <f t="shared" si="538"/>
        <v>0</v>
      </c>
      <c r="AW639" s="35"/>
      <c r="AX639" s="30"/>
      <c r="AY639" s="32">
        <f t="shared" si="539"/>
        <v>0</v>
      </c>
      <c r="AZ639" s="30" t="s">
        <v>841</v>
      </c>
      <c r="BA639" s="63"/>
      <c r="BB639" s="71" t="e">
        <f>SUMIFS([1]Form!$F$9:$F$22,[1]Form!$K$9:$K$22,K639)</f>
        <v>#VALUE!</v>
      </c>
      <c r="BC639" s="71"/>
      <c r="BD639" s="71"/>
    </row>
    <row r="640" spans="1:56" x14ac:dyDescent="0.25">
      <c r="A640" s="24">
        <f>IF(B640="","",SUBTOTAL(3,$B$4:B640))</f>
        <v>637</v>
      </c>
      <c r="B640" s="25" t="s">
        <v>840</v>
      </c>
      <c r="C640" s="25" t="str">
        <f t="shared" si="531"/>
        <v>Shipment 1 B-10124 Fired Proces Heater</v>
      </c>
      <c r="D640" s="25" t="s">
        <v>839</v>
      </c>
      <c r="E640" s="25" t="s">
        <v>838</v>
      </c>
      <c r="F640" s="25"/>
      <c r="G640" s="65"/>
      <c r="H640" s="25" t="s">
        <v>842</v>
      </c>
      <c r="I640" s="25"/>
      <c r="J640" s="26" t="s">
        <v>845</v>
      </c>
      <c r="K640" s="27" t="s">
        <v>1092</v>
      </c>
      <c r="L640" s="28" t="s">
        <v>1099</v>
      </c>
      <c r="M640" s="28" t="s">
        <v>1028</v>
      </c>
      <c r="N640" s="25">
        <v>1</v>
      </c>
      <c r="O640" s="29">
        <v>48.599999999999994</v>
      </c>
      <c r="P640" s="29">
        <v>48.599999999999994</v>
      </c>
      <c r="Q640" s="25" t="s">
        <v>1094</v>
      </c>
      <c r="R640" s="25"/>
      <c r="S640" s="26"/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532"/>
        <v>0</v>
      </c>
      <c r="AF640" s="32">
        <f t="shared" si="533"/>
        <v>48.599999999999994</v>
      </c>
      <c r="AG640" s="30"/>
      <c r="AH640" s="33"/>
      <c r="AI640" s="34">
        <f t="shared" si="534"/>
        <v>0</v>
      </c>
      <c r="AJ640" s="35"/>
      <c r="AK640" s="30"/>
      <c r="AL640" s="36">
        <f t="shared" si="535"/>
        <v>0</v>
      </c>
      <c r="AM640" s="35"/>
      <c r="AN640" s="30"/>
      <c r="AO640" s="36">
        <f t="shared" si="536"/>
        <v>0</v>
      </c>
      <c r="AP640" s="35"/>
      <c r="AQ640" s="30"/>
      <c r="AR640" s="36">
        <f t="shared" si="537"/>
        <v>0</v>
      </c>
      <c r="AS640" s="27"/>
      <c r="AT640" s="37"/>
      <c r="AU640" s="30"/>
      <c r="AV640" s="36">
        <f t="shared" si="538"/>
        <v>0</v>
      </c>
      <c r="AW640" s="35"/>
      <c r="AX640" s="30"/>
      <c r="AY640" s="32">
        <f t="shared" si="539"/>
        <v>0</v>
      </c>
      <c r="AZ640" s="30" t="s">
        <v>841</v>
      </c>
      <c r="BA640" s="63"/>
      <c r="BB640" s="71" t="e">
        <f>SUMIFS([1]Form!$F$9:$F$22,[1]Form!$K$9:$K$22,K640)</f>
        <v>#VALUE!</v>
      </c>
      <c r="BC640" s="71"/>
      <c r="BD640" s="71"/>
    </row>
    <row r="641" spans="1:56" x14ac:dyDescent="0.25">
      <c r="A641" s="24">
        <f>IF(B641="","",SUBTOTAL(3,$B$4:B641))</f>
        <v>638</v>
      </c>
      <c r="B641" s="25" t="s">
        <v>840</v>
      </c>
      <c r="C641" s="25" t="str">
        <f t="shared" si="531"/>
        <v>Shipment 1 B-10124 Fired Proces Heater</v>
      </c>
      <c r="D641" s="25" t="s">
        <v>839</v>
      </c>
      <c r="E641" s="25" t="s">
        <v>838</v>
      </c>
      <c r="F641" s="25"/>
      <c r="G641" s="65"/>
      <c r="H641" s="25" t="s">
        <v>842</v>
      </c>
      <c r="I641" s="25"/>
      <c r="J641" s="26" t="s">
        <v>845</v>
      </c>
      <c r="K641" s="27" t="s">
        <v>1092</v>
      </c>
      <c r="L641" s="28" t="s">
        <v>1100</v>
      </c>
      <c r="M641" s="28" t="s">
        <v>1028</v>
      </c>
      <c r="N641" s="25">
        <v>1</v>
      </c>
      <c r="O641" s="29">
        <v>48.599999999999994</v>
      </c>
      <c r="P641" s="29">
        <v>48.599999999999994</v>
      </c>
      <c r="Q641" s="25" t="s">
        <v>1094</v>
      </c>
      <c r="R641" s="25"/>
      <c r="S641" s="26"/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532"/>
        <v>0</v>
      </c>
      <c r="AF641" s="32">
        <f t="shared" si="533"/>
        <v>48.599999999999994</v>
      </c>
      <c r="AG641" s="30"/>
      <c r="AH641" s="33"/>
      <c r="AI641" s="34">
        <f t="shared" si="534"/>
        <v>0</v>
      </c>
      <c r="AJ641" s="35"/>
      <c r="AK641" s="30"/>
      <c r="AL641" s="36">
        <f t="shared" si="535"/>
        <v>0</v>
      </c>
      <c r="AM641" s="35"/>
      <c r="AN641" s="30"/>
      <c r="AO641" s="36">
        <f t="shared" si="536"/>
        <v>0</v>
      </c>
      <c r="AP641" s="35"/>
      <c r="AQ641" s="30"/>
      <c r="AR641" s="36">
        <f t="shared" si="537"/>
        <v>0</v>
      </c>
      <c r="AS641" s="27"/>
      <c r="AT641" s="37"/>
      <c r="AU641" s="30"/>
      <c r="AV641" s="36">
        <f t="shared" si="538"/>
        <v>0</v>
      </c>
      <c r="AW641" s="35"/>
      <c r="AX641" s="30"/>
      <c r="AY641" s="32">
        <f t="shared" si="539"/>
        <v>0</v>
      </c>
      <c r="AZ641" s="30" t="s">
        <v>841</v>
      </c>
      <c r="BA641" s="63"/>
      <c r="BB641" s="71" t="e">
        <f>SUMIFS([1]Form!$F$9:$F$22,[1]Form!$K$9:$K$22,K641)</f>
        <v>#VALUE!</v>
      </c>
      <c r="BC641" s="71"/>
      <c r="BD641" s="71"/>
    </row>
    <row r="642" spans="1:56" x14ac:dyDescent="0.25">
      <c r="A642" s="24">
        <f>IF(B642="","",SUBTOTAL(3,$B$4:B642))</f>
        <v>639</v>
      </c>
      <c r="B642" s="25" t="s">
        <v>840</v>
      </c>
      <c r="C642" s="25" t="str">
        <f t="shared" si="531"/>
        <v>Shipment 1 B-10124 Fired Proces Heater</v>
      </c>
      <c r="D642" s="25" t="s">
        <v>839</v>
      </c>
      <c r="E642" s="25" t="s">
        <v>838</v>
      </c>
      <c r="F642" s="25"/>
      <c r="G642" s="65"/>
      <c r="H642" s="25" t="s">
        <v>842</v>
      </c>
      <c r="I642" s="25"/>
      <c r="J642" s="26" t="s">
        <v>845</v>
      </c>
      <c r="K642" s="27" t="s">
        <v>1092</v>
      </c>
      <c r="L642" s="28" t="s">
        <v>1101</v>
      </c>
      <c r="M642" s="28" t="s">
        <v>1028</v>
      </c>
      <c r="N642" s="25">
        <v>1</v>
      </c>
      <c r="O642" s="29">
        <v>48.599999999999994</v>
      </c>
      <c r="P642" s="29">
        <v>48.599999999999994</v>
      </c>
      <c r="Q642" s="25" t="s">
        <v>1094</v>
      </c>
      <c r="R642" s="25"/>
      <c r="S642" s="26"/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si="532"/>
        <v>0</v>
      </c>
      <c r="AF642" s="32">
        <f t="shared" si="533"/>
        <v>48.599999999999994</v>
      </c>
      <c r="AG642" s="30"/>
      <c r="AH642" s="33"/>
      <c r="AI642" s="34">
        <f t="shared" si="534"/>
        <v>0</v>
      </c>
      <c r="AJ642" s="35"/>
      <c r="AK642" s="30"/>
      <c r="AL642" s="36">
        <f t="shared" si="535"/>
        <v>0</v>
      </c>
      <c r="AM642" s="35"/>
      <c r="AN642" s="30"/>
      <c r="AO642" s="36">
        <f t="shared" si="536"/>
        <v>0</v>
      </c>
      <c r="AP642" s="35"/>
      <c r="AQ642" s="30"/>
      <c r="AR642" s="36">
        <f t="shared" si="537"/>
        <v>0</v>
      </c>
      <c r="AS642" s="27"/>
      <c r="AT642" s="37"/>
      <c r="AU642" s="30"/>
      <c r="AV642" s="36">
        <f t="shared" si="538"/>
        <v>0</v>
      </c>
      <c r="AW642" s="35"/>
      <c r="AX642" s="30"/>
      <c r="AY642" s="32">
        <f t="shared" si="539"/>
        <v>0</v>
      </c>
      <c r="AZ642" s="30" t="s">
        <v>841</v>
      </c>
      <c r="BA642" s="63"/>
      <c r="BB642" s="71" t="e">
        <f>SUMIFS([1]Form!$F$9:$F$22,[1]Form!$K$9:$K$22,K642)</f>
        <v>#VALUE!</v>
      </c>
      <c r="BC642" s="71"/>
      <c r="BD642" s="71"/>
    </row>
    <row r="643" spans="1:56" x14ac:dyDescent="0.25">
      <c r="A643" s="24">
        <f>IF(B643="","",SUBTOTAL(3,$B$4:B643))</f>
        <v>640</v>
      </c>
      <c r="B643" s="25" t="s">
        <v>840</v>
      </c>
      <c r="C643" s="25" t="str">
        <f t="shared" si="531"/>
        <v>Shipment 1 B-10124 Fired Proces Heater</v>
      </c>
      <c r="D643" s="25" t="s">
        <v>839</v>
      </c>
      <c r="E643" s="25" t="s">
        <v>838</v>
      </c>
      <c r="F643" s="25"/>
      <c r="G643" s="65"/>
      <c r="H643" s="25" t="s">
        <v>842</v>
      </c>
      <c r="I643" s="25"/>
      <c r="J643" s="26" t="s">
        <v>845</v>
      </c>
      <c r="K643" s="27" t="s">
        <v>1102</v>
      </c>
      <c r="L643" s="28" t="s">
        <v>1103</v>
      </c>
      <c r="M643" s="28" t="s">
        <v>1028</v>
      </c>
      <c r="N643" s="25">
        <v>1</v>
      </c>
      <c r="O643" s="29">
        <v>91.600000000000009</v>
      </c>
      <c r="P643" s="29">
        <v>91.600000000000009</v>
      </c>
      <c r="Q643" s="25" t="s">
        <v>1104</v>
      </c>
      <c r="R643" s="25"/>
      <c r="S643" s="26"/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532"/>
        <v>0</v>
      </c>
      <c r="AF643" s="32">
        <f t="shared" si="533"/>
        <v>91.600000000000009</v>
      </c>
      <c r="AG643" s="30"/>
      <c r="AH643" s="33"/>
      <c r="AI643" s="34">
        <f t="shared" si="534"/>
        <v>0</v>
      </c>
      <c r="AJ643" s="35"/>
      <c r="AK643" s="30"/>
      <c r="AL643" s="36">
        <f t="shared" si="535"/>
        <v>0</v>
      </c>
      <c r="AM643" s="35"/>
      <c r="AN643" s="30"/>
      <c r="AO643" s="36">
        <f t="shared" si="536"/>
        <v>0</v>
      </c>
      <c r="AP643" s="35"/>
      <c r="AQ643" s="30"/>
      <c r="AR643" s="36">
        <f t="shared" si="537"/>
        <v>0</v>
      </c>
      <c r="AS643" s="27"/>
      <c r="AT643" s="37"/>
      <c r="AU643" s="30"/>
      <c r="AV643" s="36">
        <f t="shared" si="538"/>
        <v>0</v>
      </c>
      <c r="AW643" s="35"/>
      <c r="AX643" s="30"/>
      <c r="AY643" s="32">
        <f t="shared" si="539"/>
        <v>0</v>
      </c>
      <c r="AZ643" s="30" t="s">
        <v>841</v>
      </c>
      <c r="BA643" s="63"/>
      <c r="BB643" s="71" t="e">
        <f>SUMIFS([1]Form!$F$9:$F$22,[1]Form!$K$9:$K$22,K643)</f>
        <v>#VALUE!</v>
      </c>
      <c r="BC643" s="71"/>
      <c r="BD643" s="71"/>
    </row>
    <row r="644" spans="1:56" x14ac:dyDescent="0.25">
      <c r="A644" s="24">
        <f>IF(B644="","",SUBTOTAL(3,$B$4:B644))</f>
        <v>641</v>
      </c>
      <c r="B644" s="25" t="s">
        <v>840</v>
      </c>
      <c r="C644" s="25" t="str">
        <f t="shared" si="531"/>
        <v>Shipment 1 B-10124 Fired Proces Heater</v>
      </c>
      <c r="D644" s="25" t="s">
        <v>839</v>
      </c>
      <c r="E644" s="25" t="s">
        <v>838</v>
      </c>
      <c r="F644" s="25"/>
      <c r="G644" s="65"/>
      <c r="H644" s="25" t="s">
        <v>842</v>
      </c>
      <c r="I644" s="25"/>
      <c r="J644" s="26" t="s">
        <v>845</v>
      </c>
      <c r="K644" s="27" t="s">
        <v>1105</v>
      </c>
      <c r="L644" s="28" t="s">
        <v>1106</v>
      </c>
      <c r="M644" s="28" t="s">
        <v>1028</v>
      </c>
      <c r="N644" s="25">
        <v>1</v>
      </c>
      <c r="O644" s="29">
        <v>774.1</v>
      </c>
      <c r="P644" s="29">
        <v>774.1</v>
      </c>
      <c r="Q644" s="25" t="s">
        <v>1183</v>
      </c>
      <c r="R644" s="25"/>
      <c r="S644" s="26"/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532"/>
        <v>0</v>
      </c>
      <c r="AF644" s="32">
        <f t="shared" si="533"/>
        <v>774.1</v>
      </c>
      <c r="AG644" s="30"/>
      <c r="AH644" s="33"/>
      <c r="AI644" s="34">
        <f t="shared" si="534"/>
        <v>0</v>
      </c>
      <c r="AJ644" s="35"/>
      <c r="AK644" s="30"/>
      <c r="AL644" s="36">
        <f t="shared" si="535"/>
        <v>0</v>
      </c>
      <c r="AM644" s="35"/>
      <c r="AN644" s="30"/>
      <c r="AO644" s="36">
        <f t="shared" si="536"/>
        <v>0</v>
      </c>
      <c r="AP644" s="35"/>
      <c r="AQ644" s="30"/>
      <c r="AR644" s="36">
        <f t="shared" si="537"/>
        <v>0</v>
      </c>
      <c r="AS644" s="27"/>
      <c r="AT644" s="37"/>
      <c r="AU644" s="30"/>
      <c r="AV644" s="36">
        <f t="shared" si="538"/>
        <v>0</v>
      </c>
      <c r="AW644" s="35"/>
      <c r="AX644" s="30"/>
      <c r="AY644" s="32">
        <f t="shared" si="539"/>
        <v>0</v>
      </c>
      <c r="AZ644" s="30" t="s">
        <v>841</v>
      </c>
      <c r="BA644" s="63"/>
      <c r="BB644" s="71" t="e">
        <f>SUMIFS([1]Form!$F$9:$F$22,[1]Form!$K$9:$K$22,K644)</f>
        <v>#VALUE!</v>
      </c>
      <c r="BC644" s="71"/>
      <c r="BD644" s="71"/>
    </row>
    <row r="645" spans="1:56" x14ac:dyDescent="0.25">
      <c r="A645" s="24">
        <f>IF(B645="","",SUBTOTAL(3,$B$4:B645))</f>
        <v>642</v>
      </c>
      <c r="B645" s="25" t="s">
        <v>840</v>
      </c>
      <c r="C645" s="25" t="str">
        <f t="shared" si="531"/>
        <v>Shipment 1 B-10124 Fired Proces Heater</v>
      </c>
      <c r="D645" s="25" t="s">
        <v>839</v>
      </c>
      <c r="E645" s="25" t="s">
        <v>838</v>
      </c>
      <c r="F645" s="25"/>
      <c r="G645" s="65"/>
      <c r="H645" s="25" t="s">
        <v>842</v>
      </c>
      <c r="I645" s="25"/>
      <c r="J645" s="26" t="s">
        <v>845</v>
      </c>
      <c r="K645" s="27" t="s">
        <v>1107</v>
      </c>
      <c r="L645" s="28" t="s">
        <v>1108</v>
      </c>
      <c r="M645" s="28" t="s">
        <v>1028</v>
      </c>
      <c r="N645" s="25">
        <v>1</v>
      </c>
      <c r="O645" s="29">
        <v>91.600000000000009</v>
      </c>
      <c r="P645" s="29">
        <v>91.600000000000009</v>
      </c>
      <c r="Q645" s="25" t="s">
        <v>1104</v>
      </c>
      <c r="R645" s="25"/>
      <c r="S645" s="26"/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532"/>
        <v>0</v>
      </c>
      <c r="AF645" s="32">
        <f t="shared" si="533"/>
        <v>91.600000000000009</v>
      </c>
      <c r="AG645" s="30"/>
      <c r="AH645" s="33"/>
      <c r="AI645" s="34">
        <f t="shared" si="534"/>
        <v>0</v>
      </c>
      <c r="AJ645" s="35"/>
      <c r="AK645" s="30"/>
      <c r="AL645" s="36">
        <f t="shared" si="535"/>
        <v>0</v>
      </c>
      <c r="AM645" s="35"/>
      <c r="AN645" s="30"/>
      <c r="AO645" s="36">
        <f t="shared" si="536"/>
        <v>0</v>
      </c>
      <c r="AP645" s="35"/>
      <c r="AQ645" s="30"/>
      <c r="AR645" s="36">
        <f t="shared" si="537"/>
        <v>0</v>
      </c>
      <c r="AS645" s="27"/>
      <c r="AT645" s="37"/>
      <c r="AU645" s="30"/>
      <c r="AV645" s="36">
        <f t="shared" si="538"/>
        <v>0</v>
      </c>
      <c r="AW645" s="35"/>
      <c r="AX645" s="30"/>
      <c r="AY645" s="32">
        <f t="shared" si="539"/>
        <v>0</v>
      </c>
      <c r="AZ645" s="30" t="s">
        <v>841</v>
      </c>
      <c r="BA645" s="63"/>
      <c r="BB645" s="71" t="e">
        <f>SUMIFS([1]Form!$F$9:$F$22,[1]Form!$K$9:$K$22,K645)</f>
        <v>#VALUE!</v>
      </c>
      <c r="BC645" s="71"/>
      <c r="BD645" s="71"/>
    </row>
    <row r="646" spans="1:56" x14ac:dyDescent="0.25">
      <c r="A646" s="24">
        <f>IF(B646="","",SUBTOTAL(3,$B$4:B646))</f>
        <v>643</v>
      </c>
      <c r="B646" s="25" t="s">
        <v>840</v>
      </c>
      <c r="C646" s="25" t="str">
        <f t="shared" si="531"/>
        <v>Shipment 1 B-10124 Fired Proces Heater</v>
      </c>
      <c r="D646" s="25" t="s">
        <v>839</v>
      </c>
      <c r="E646" s="25" t="s">
        <v>838</v>
      </c>
      <c r="F646" s="25"/>
      <c r="G646" s="65"/>
      <c r="H646" s="25" t="s">
        <v>842</v>
      </c>
      <c r="I646" s="25"/>
      <c r="J646" s="26" t="s">
        <v>845</v>
      </c>
      <c r="K646" s="27" t="s">
        <v>1109</v>
      </c>
      <c r="L646" s="28" t="s">
        <v>1110</v>
      </c>
      <c r="M646" s="28" t="s">
        <v>1028</v>
      </c>
      <c r="N646" s="25">
        <v>1</v>
      </c>
      <c r="O646" s="29">
        <v>1135.9999999999998</v>
      </c>
      <c r="P646" s="29">
        <v>1135.9999999999998</v>
      </c>
      <c r="Q646" s="25" t="s">
        <v>1184</v>
      </c>
      <c r="R646" s="25"/>
      <c r="S646" s="26"/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532"/>
        <v>0</v>
      </c>
      <c r="AF646" s="32">
        <f t="shared" si="533"/>
        <v>1135.9999999999998</v>
      </c>
      <c r="AG646" s="30"/>
      <c r="AH646" s="33"/>
      <c r="AI646" s="34">
        <f t="shared" si="534"/>
        <v>0</v>
      </c>
      <c r="AJ646" s="35"/>
      <c r="AK646" s="30"/>
      <c r="AL646" s="36">
        <f t="shared" si="535"/>
        <v>0</v>
      </c>
      <c r="AM646" s="35"/>
      <c r="AN646" s="30"/>
      <c r="AO646" s="36">
        <f t="shared" si="536"/>
        <v>0</v>
      </c>
      <c r="AP646" s="35"/>
      <c r="AQ646" s="30"/>
      <c r="AR646" s="36">
        <f t="shared" si="537"/>
        <v>0</v>
      </c>
      <c r="AS646" s="27"/>
      <c r="AT646" s="37"/>
      <c r="AU646" s="30"/>
      <c r="AV646" s="36">
        <f t="shared" si="538"/>
        <v>0</v>
      </c>
      <c r="AW646" s="35"/>
      <c r="AX646" s="30"/>
      <c r="AY646" s="32">
        <f t="shared" si="539"/>
        <v>0</v>
      </c>
      <c r="AZ646" s="30" t="s">
        <v>841</v>
      </c>
      <c r="BA646" s="63"/>
      <c r="BB646" s="71" t="e">
        <f>SUMIFS([1]Form!$F$9:$F$22,[1]Form!$K$9:$K$22,K646)</f>
        <v>#VALUE!</v>
      </c>
      <c r="BC646" s="71"/>
      <c r="BD646" s="71"/>
    </row>
    <row r="647" spans="1:56" x14ac:dyDescent="0.25">
      <c r="A647" s="24">
        <f>IF(B647="","",SUBTOTAL(3,$B$4:B647))</f>
        <v>644</v>
      </c>
      <c r="B647" s="25" t="s">
        <v>840</v>
      </c>
      <c r="C647" s="25" t="str">
        <f t="shared" si="531"/>
        <v>Shipment 1 B-10124 Fired Proces Heater</v>
      </c>
      <c r="D647" s="25" t="s">
        <v>839</v>
      </c>
      <c r="E647" s="25" t="s">
        <v>838</v>
      </c>
      <c r="F647" s="25"/>
      <c r="G647" s="65"/>
      <c r="H647" s="25" t="s">
        <v>842</v>
      </c>
      <c r="I647" s="25"/>
      <c r="J647" s="26" t="s">
        <v>845</v>
      </c>
      <c r="K647" s="27" t="s">
        <v>1109</v>
      </c>
      <c r="L647" s="28" t="s">
        <v>1111</v>
      </c>
      <c r="M647" s="28" t="s">
        <v>1028</v>
      </c>
      <c r="N647" s="25">
        <v>1</v>
      </c>
      <c r="O647" s="29">
        <v>1135.9999999999998</v>
      </c>
      <c r="P647" s="29">
        <v>1135.9999999999998</v>
      </c>
      <c r="Q647" s="25" t="s">
        <v>1184</v>
      </c>
      <c r="R647" s="25"/>
      <c r="S647" s="26"/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532"/>
        <v>0</v>
      </c>
      <c r="AF647" s="32">
        <f t="shared" si="533"/>
        <v>1135.9999999999998</v>
      </c>
      <c r="AG647" s="30"/>
      <c r="AH647" s="33"/>
      <c r="AI647" s="34">
        <f t="shared" si="534"/>
        <v>0</v>
      </c>
      <c r="AJ647" s="35"/>
      <c r="AK647" s="30"/>
      <c r="AL647" s="36">
        <f t="shared" si="535"/>
        <v>0</v>
      </c>
      <c r="AM647" s="35"/>
      <c r="AN647" s="30"/>
      <c r="AO647" s="36">
        <f t="shared" si="536"/>
        <v>0</v>
      </c>
      <c r="AP647" s="35"/>
      <c r="AQ647" s="30"/>
      <c r="AR647" s="36">
        <f t="shared" si="537"/>
        <v>0</v>
      </c>
      <c r="AS647" s="27"/>
      <c r="AT647" s="37"/>
      <c r="AU647" s="30"/>
      <c r="AV647" s="36">
        <f t="shared" si="538"/>
        <v>0</v>
      </c>
      <c r="AW647" s="35"/>
      <c r="AX647" s="30"/>
      <c r="AY647" s="32">
        <f t="shared" si="539"/>
        <v>0</v>
      </c>
      <c r="AZ647" s="30" t="s">
        <v>841</v>
      </c>
      <c r="BA647" s="63"/>
      <c r="BB647" s="71" t="e">
        <f>SUMIFS([1]Form!$F$9:$F$22,[1]Form!$K$9:$K$22,K647)</f>
        <v>#VALUE!</v>
      </c>
      <c r="BC647" s="71"/>
      <c r="BD647" s="71"/>
    </row>
    <row r="648" spans="1:56" x14ac:dyDescent="0.25">
      <c r="A648" s="24">
        <f>IF(B648="","",SUBTOTAL(3,$B$4:B648))</f>
        <v>645</v>
      </c>
      <c r="B648" s="25" t="s">
        <v>840</v>
      </c>
      <c r="C648" s="25" t="str">
        <f t="shared" si="531"/>
        <v>Shipment 1 B-10124 Fired Proces Heater</v>
      </c>
      <c r="D648" s="25" t="s">
        <v>839</v>
      </c>
      <c r="E648" s="25" t="s">
        <v>838</v>
      </c>
      <c r="F648" s="25"/>
      <c r="G648" s="65"/>
      <c r="H648" s="25" t="s">
        <v>842</v>
      </c>
      <c r="I648" s="25"/>
      <c r="J648" s="26" t="s">
        <v>845</v>
      </c>
      <c r="K648" s="27" t="s">
        <v>1109</v>
      </c>
      <c r="L648" s="28" t="s">
        <v>1112</v>
      </c>
      <c r="M648" s="28" t="s">
        <v>1028</v>
      </c>
      <c r="N648" s="25">
        <v>1</v>
      </c>
      <c r="O648" s="29">
        <v>1135.9999999999998</v>
      </c>
      <c r="P648" s="29">
        <v>1135.9999999999998</v>
      </c>
      <c r="Q648" s="25" t="s">
        <v>1184</v>
      </c>
      <c r="R648" s="25"/>
      <c r="S648" s="26"/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532"/>
        <v>0</v>
      </c>
      <c r="AF648" s="32">
        <f t="shared" si="533"/>
        <v>1135.9999999999998</v>
      </c>
      <c r="AG648" s="30"/>
      <c r="AH648" s="33"/>
      <c r="AI648" s="34">
        <f t="shared" si="534"/>
        <v>0</v>
      </c>
      <c r="AJ648" s="35"/>
      <c r="AK648" s="30"/>
      <c r="AL648" s="36">
        <f t="shared" si="535"/>
        <v>0</v>
      </c>
      <c r="AM648" s="35"/>
      <c r="AN648" s="30"/>
      <c r="AO648" s="36">
        <f t="shared" si="536"/>
        <v>0</v>
      </c>
      <c r="AP648" s="35"/>
      <c r="AQ648" s="30"/>
      <c r="AR648" s="36">
        <f t="shared" si="537"/>
        <v>0</v>
      </c>
      <c r="AS648" s="27"/>
      <c r="AT648" s="37"/>
      <c r="AU648" s="30"/>
      <c r="AV648" s="36">
        <f t="shared" si="538"/>
        <v>0</v>
      </c>
      <c r="AW648" s="35"/>
      <c r="AX648" s="30"/>
      <c r="AY648" s="32">
        <f t="shared" si="539"/>
        <v>0</v>
      </c>
      <c r="AZ648" s="30" t="s">
        <v>841</v>
      </c>
      <c r="BA648" s="63"/>
      <c r="BB648" s="71" t="e">
        <f>SUMIFS([1]Form!$F$9:$F$22,[1]Form!$K$9:$K$22,K648)</f>
        <v>#VALUE!</v>
      </c>
      <c r="BC648" s="71"/>
      <c r="BD648" s="71"/>
    </row>
    <row r="649" spans="1:56" x14ac:dyDescent="0.25">
      <c r="A649" s="24">
        <f>IF(B649="","",SUBTOTAL(3,$B$4:B649))</f>
        <v>646</v>
      </c>
      <c r="B649" s="25" t="s">
        <v>840</v>
      </c>
      <c r="C649" s="25" t="str">
        <f t="shared" ref="C649:C682" si="540">D649&amp;" "&amp;E649</f>
        <v>Shipment 1 B-10124 Fired Proces Heater</v>
      </c>
      <c r="D649" s="25" t="s">
        <v>839</v>
      </c>
      <c r="E649" s="25" t="s">
        <v>838</v>
      </c>
      <c r="F649" s="25"/>
      <c r="G649" s="65"/>
      <c r="H649" s="25" t="s">
        <v>842</v>
      </c>
      <c r="I649" s="25"/>
      <c r="J649" s="26" t="s">
        <v>845</v>
      </c>
      <c r="K649" s="27" t="s">
        <v>1113</v>
      </c>
      <c r="L649" s="28" t="s">
        <v>1114</v>
      </c>
      <c r="M649" s="28" t="s">
        <v>1115</v>
      </c>
      <c r="N649" s="25">
        <v>1</v>
      </c>
      <c r="O649" s="29">
        <v>744.1</v>
      </c>
      <c r="P649" s="29">
        <v>744.1</v>
      </c>
      <c r="Q649" s="25" t="s">
        <v>1185</v>
      </c>
      <c r="R649" s="25"/>
      <c r="S649" s="26"/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532"/>
        <v>0</v>
      </c>
      <c r="AF649" s="32">
        <f t="shared" si="533"/>
        <v>744.1</v>
      </c>
      <c r="AG649" s="30"/>
      <c r="AH649" s="33"/>
      <c r="AI649" s="34">
        <f t="shared" si="534"/>
        <v>0</v>
      </c>
      <c r="AJ649" s="35"/>
      <c r="AK649" s="30"/>
      <c r="AL649" s="36">
        <f t="shared" si="535"/>
        <v>0</v>
      </c>
      <c r="AM649" s="35"/>
      <c r="AN649" s="30"/>
      <c r="AO649" s="36">
        <f t="shared" si="536"/>
        <v>0</v>
      </c>
      <c r="AP649" s="35"/>
      <c r="AQ649" s="30"/>
      <c r="AR649" s="36">
        <f t="shared" si="537"/>
        <v>0</v>
      </c>
      <c r="AS649" s="27"/>
      <c r="AT649" s="37"/>
      <c r="AU649" s="30"/>
      <c r="AV649" s="36">
        <f t="shared" si="538"/>
        <v>0</v>
      </c>
      <c r="AW649" s="35"/>
      <c r="AX649" s="30"/>
      <c r="AY649" s="32">
        <f t="shared" si="539"/>
        <v>0</v>
      </c>
      <c r="AZ649" s="30" t="s">
        <v>841</v>
      </c>
      <c r="BA649" s="63"/>
      <c r="BB649" s="71" t="e">
        <f>SUMIFS([1]Form!$F$9:$F$22,[1]Form!$K$9:$K$22,K649)</f>
        <v>#VALUE!</v>
      </c>
      <c r="BC649" s="71"/>
      <c r="BD649" s="71"/>
    </row>
    <row r="650" spans="1:56" x14ac:dyDescent="0.25">
      <c r="A650" s="24">
        <f>IF(B650="","",SUBTOTAL(3,$B$4:B650))</f>
        <v>647</v>
      </c>
      <c r="B650" s="25" t="s">
        <v>840</v>
      </c>
      <c r="C650" s="25" t="str">
        <f t="shared" si="540"/>
        <v>Shipment 1 B-10124 Fired Proces Heater</v>
      </c>
      <c r="D650" s="25" t="s">
        <v>839</v>
      </c>
      <c r="E650" s="25" t="s">
        <v>838</v>
      </c>
      <c r="F650" s="25"/>
      <c r="G650" s="65"/>
      <c r="H650" s="25" t="s">
        <v>842</v>
      </c>
      <c r="I650" s="25"/>
      <c r="J650" s="26" t="s">
        <v>845</v>
      </c>
      <c r="K650" s="27" t="s">
        <v>1116</v>
      </c>
      <c r="L650" s="28" t="s">
        <v>1117</v>
      </c>
      <c r="M650" s="28" t="s">
        <v>1028</v>
      </c>
      <c r="N650" s="25">
        <v>1</v>
      </c>
      <c r="O650" s="29">
        <v>61.275000000000006</v>
      </c>
      <c r="P650" s="29">
        <v>61.275000000000006</v>
      </c>
      <c r="Q650" s="25" t="s">
        <v>1118</v>
      </c>
      <c r="R650" s="25"/>
      <c r="S650" s="26"/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532"/>
        <v>0</v>
      </c>
      <c r="AF650" s="32">
        <f t="shared" si="533"/>
        <v>61.275000000000006</v>
      </c>
      <c r="AG650" s="30"/>
      <c r="AH650" s="33"/>
      <c r="AI650" s="34">
        <f t="shared" si="534"/>
        <v>0</v>
      </c>
      <c r="AJ650" s="35"/>
      <c r="AK650" s="30"/>
      <c r="AL650" s="36">
        <f t="shared" si="535"/>
        <v>0</v>
      </c>
      <c r="AM650" s="35"/>
      <c r="AN650" s="30"/>
      <c r="AO650" s="36">
        <f t="shared" si="536"/>
        <v>0</v>
      </c>
      <c r="AP650" s="35"/>
      <c r="AQ650" s="30"/>
      <c r="AR650" s="36">
        <f t="shared" si="537"/>
        <v>0</v>
      </c>
      <c r="AS650" s="27"/>
      <c r="AT650" s="37"/>
      <c r="AU650" s="30"/>
      <c r="AV650" s="36">
        <f t="shared" si="538"/>
        <v>0</v>
      </c>
      <c r="AW650" s="35"/>
      <c r="AX650" s="30"/>
      <c r="AY650" s="32">
        <f t="shared" si="539"/>
        <v>0</v>
      </c>
      <c r="AZ650" s="30" t="s">
        <v>841</v>
      </c>
      <c r="BA650" s="63"/>
      <c r="BB650" s="71" t="e">
        <f>SUMIFS([1]Form!$F$9:$F$22,[1]Form!$K$9:$K$22,K650)</f>
        <v>#VALUE!</v>
      </c>
      <c r="BC650" s="71"/>
      <c r="BD650" s="71"/>
    </row>
    <row r="651" spans="1:56" x14ac:dyDescent="0.25">
      <c r="A651" s="24">
        <f>IF(B651="","",SUBTOTAL(3,$B$4:B651))</f>
        <v>648</v>
      </c>
      <c r="B651" s="25" t="s">
        <v>840</v>
      </c>
      <c r="C651" s="25" t="str">
        <f t="shared" si="540"/>
        <v>Shipment 1 B-10124 Fired Proces Heater</v>
      </c>
      <c r="D651" s="25" t="s">
        <v>839</v>
      </c>
      <c r="E651" s="25" t="s">
        <v>838</v>
      </c>
      <c r="F651" s="25"/>
      <c r="G651" s="65"/>
      <c r="H651" s="25" t="s">
        <v>842</v>
      </c>
      <c r="I651" s="25"/>
      <c r="J651" s="26" t="s">
        <v>845</v>
      </c>
      <c r="K651" s="27" t="s">
        <v>1116</v>
      </c>
      <c r="L651" s="28" t="s">
        <v>1119</v>
      </c>
      <c r="M651" s="28" t="s">
        <v>1028</v>
      </c>
      <c r="N651" s="25">
        <v>1</v>
      </c>
      <c r="O651" s="29">
        <v>61.275000000000006</v>
      </c>
      <c r="P651" s="29">
        <v>61.275000000000006</v>
      </c>
      <c r="Q651" s="25" t="s">
        <v>1118</v>
      </c>
      <c r="R651" s="25"/>
      <c r="S651" s="26"/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532"/>
        <v>0</v>
      </c>
      <c r="AF651" s="32">
        <f t="shared" si="533"/>
        <v>61.275000000000006</v>
      </c>
      <c r="AG651" s="30"/>
      <c r="AH651" s="33"/>
      <c r="AI651" s="34">
        <f t="shared" si="534"/>
        <v>0</v>
      </c>
      <c r="AJ651" s="35"/>
      <c r="AK651" s="30"/>
      <c r="AL651" s="36">
        <f t="shared" si="535"/>
        <v>0</v>
      </c>
      <c r="AM651" s="35"/>
      <c r="AN651" s="30"/>
      <c r="AO651" s="36">
        <f t="shared" si="536"/>
        <v>0</v>
      </c>
      <c r="AP651" s="35"/>
      <c r="AQ651" s="30"/>
      <c r="AR651" s="36">
        <f t="shared" si="537"/>
        <v>0</v>
      </c>
      <c r="AS651" s="27"/>
      <c r="AT651" s="37"/>
      <c r="AU651" s="30"/>
      <c r="AV651" s="36">
        <f t="shared" si="538"/>
        <v>0</v>
      </c>
      <c r="AW651" s="35"/>
      <c r="AX651" s="30"/>
      <c r="AY651" s="32">
        <f t="shared" si="539"/>
        <v>0</v>
      </c>
      <c r="AZ651" s="30" t="s">
        <v>841</v>
      </c>
      <c r="BA651" s="63"/>
      <c r="BB651" s="71" t="e">
        <f>SUMIFS([1]Form!$F$9:$F$22,[1]Form!$K$9:$K$22,K651)</f>
        <v>#VALUE!</v>
      </c>
      <c r="BC651" s="71"/>
      <c r="BD651" s="71"/>
    </row>
    <row r="652" spans="1:56" x14ac:dyDescent="0.25">
      <c r="A652" s="24">
        <f>IF(B652="","",SUBTOTAL(3,$B$4:B652))</f>
        <v>649</v>
      </c>
      <c r="B652" s="25" t="s">
        <v>840</v>
      </c>
      <c r="C652" s="25" t="str">
        <f t="shared" si="540"/>
        <v>Shipment 1 B-10124 Fired Proces Heater</v>
      </c>
      <c r="D652" s="25" t="s">
        <v>839</v>
      </c>
      <c r="E652" s="25" t="s">
        <v>838</v>
      </c>
      <c r="F652" s="25"/>
      <c r="G652" s="65"/>
      <c r="H652" s="25" t="s">
        <v>842</v>
      </c>
      <c r="I652" s="25"/>
      <c r="J652" s="26" t="s">
        <v>845</v>
      </c>
      <c r="K652" s="27" t="s">
        <v>1116</v>
      </c>
      <c r="L652" s="28" t="s">
        <v>1120</v>
      </c>
      <c r="M652" s="28" t="s">
        <v>1028</v>
      </c>
      <c r="N652" s="25">
        <v>1</v>
      </c>
      <c r="O652" s="29">
        <v>61.275000000000006</v>
      </c>
      <c r="P652" s="29">
        <v>61.275000000000006</v>
      </c>
      <c r="Q652" s="25" t="s">
        <v>1118</v>
      </c>
      <c r="R652" s="25"/>
      <c r="S652" s="26"/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532"/>
        <v>0</v>
      </c>
      <c r="AF652" s="32">
        <f t="shared" si="533"/>
        <v>61.275000000000006</v>
      </c>
      <c r="AG652" s="30"/>
      <c r="AH652" s="33"/>
      <c r="AI652" s="34">
        <f t="shared" si="534"/>
        <v>0</v>
      </c>
      <c r="AJ652" s="35"/>
      <c r="AK652" s="30"/>
      <c r="AL652" s="36">
        <f t="shared" si="535"/>
        <v>0</v>
      </c>
      <c r="AM652" s="35"/>
      <c r="AN652" s="30"/>
      <c r="AO652" s="36">
        <f t="shared" si="536"/>
        <v>0</v>
      </c>
      <c r="AP652" s="35"/>
      <c r="AQ652" s="30"/>
      <c r="AR652" s="36">
        <f t="shared" si="537"/>
        <v>0</v>
      </c>
      <c r="AS652" s="27"/>
      <c r="AT652" s="37"/>
      <c r="AU652" s="30"/>
      <c r="AV652" s="36">
        <f t="shared" si="538"/>
        <v>0</v>
      </c>
      <c r="AW652" s="35"/>
      <c r="AX652" s="30"/>
      <c r="AY652" s="32">
        <f t="shared" si="539"/>
        <v>0</v>
      </c>
      <c r="AZ652" s="30" t="s">
        <v>841</v>
      </c>
      <c r="BA652" s="63"/>
      <c r="BB652" s="71" t="e">
        <f>SUMIFS([1]Form!$F$9:$F$22,[1]Form!$K$9:$K$22,K652)</f>
        <v>#VALUE!</v>
      </c>
      <c r="BC652" s="71"/>
      <c r="BD652" s="71"/>
    </row>
    <row r="653" spans="1:56" x14ac:dyDescent="0.25">
      <c r="A653" s="24">
        <f>IF(B653="","",SUBTOTAL(3,$B$4:B653))</f>
        <v>650</v>
      </c>
      <c r="B653" s="25" t="s">
        <v>840</v>
      </c>
      <c r="C653" s="25" t="str">
        <f t="shared" si="540"/>
        <v>Shipment 1 B-10124 Fired Proces Heater</v>
      </c>
      <c r="D653" s="25" t="s">
        <v>839</v>
      </c>
      <c r="E653" s="25" t="s">
        <v>838</v>
      </c>
      <c r="F653" s="25"/>
      <c r="G653" s="65"/>
      <c r="H653" s="25" t="s">
        <v>842</v>
      </c>
      <c r="I653" s="25"/>
      <c r="J653" s="26" t="s">
        <v>845</v>
      </c>
      <c r="K653" s="27" t="s">
        <v>1116</v>
      </c>
      <c r="L653" s="28" t="s">
        <v>1121</v>
      </c>
      <c r="M653" s="28" t="s">
        <v>1028</v>
      </c>
      <c r="N653" s="25">
        <v>1</v>
      </c>
      <c r="O653" s="29">
        <v>61.275000000000006</v>
      </c>
      <c r="P653" s="29">
        <v>61.275000000000006</v>
      </c>
      <c r="Q653" s="25" t="s">
        <v>1118</v>
      </c>
      <c r="R653" s="25"/>
      <c r="S653" s="26"/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532"/>
        <v>0</v>
      </c>
      <c r="AF653" s="32">
        <f t="shared" si="533"/>
        <v>61.275000000000006</v>
      </c>
      <c r="AG653" s="30"/>
      <c r="AH653" s="33"/>
      <c r="AI653" s="34">
        <f t="shared" si="534"/>
        <v>0</v>
      </c>
      <c r="AJ653" s="35"/>
      <c r="AK653" s="30"/>
      <c r="AL653" s="36">
        <f t="shared" si="535"/>
        <v>0</v>
      </c>
      <c r="AM653" s="35"/>
      <c r="AN653" s="30"/>
      <c r="AO653" s="36">
        <f t="shared" si="536"/>
        <v>0</v>
      </c>
      <c r="AP653" s="35"/>
      <c r="AQ653" s="30"/>
      <c r="AR653" s="36">
        <f t="shared" si="537"/>
        <v>0</v>
      </c>
      <c r="AS653" s="27"/>
      <c r="AT653" s="37"/>
      <c r="AU653" s="30"/>
      <c r="AV653" s="36">
        <f t="shared" si="538"/>
        <v>0</v>
      </c>
      <c r="AW653" s="35"/>
      <c r="AX653" s="30"/>
      <c r="AY653" s="32">
        <f t="shared" si="539"/>
        <v>0</v>
      </c>
      <c r="AZ653" s="30" t="s">
        <v>841</v>
      </c>
      <c r="BA653" s="63"/>
      <c r="BB653" s="71" t="e">
        <f>SUMIFS([1]Form!$F$9:$F$22,[1]Form!$K$9:$K$22,K653)</f>
        <v>#VALUE!</v>
      </c>
      <c r="BC653" s="71"/>
      <c r="BD653" s="71"/>
    </row>
    <row r="654" spans="1:56" x14ac:dyDescent="0.25">
      <c r="A654" s="24">
        <f>IF(B654="","",SUBTOTAL(3,$B$4:B654))</f>
        <v>651</v>
      </c>
      <c r="B654" s="25" t="s">
        <v>840</v>
      </c>
      <c r="C654" s="25" t="str">
        <f t="shared" si="540"/>
        <v>Shipment 1 B-10124 Fired Proces Heater</v>
      </c>
      <c r="D654" s="25" t="s">
        <v>839</v>
      </c>
      <c r="E654" s="25" t="s">
        <v>838</v>
      </c>
      <c r="F654" s="25"/>
      <c r="G654" s="65"/>
      <c r="H654" s="25" t="s">
        <v>842</v>
      </c>
      <c r="I654" s="25"/>
      <c r="J654" s="26" t="s">
        <v>845</v>
      </c>
      <c r="K654" s="27" t="s">
        <v>1122</v>
      </c>
      <c r="L654" s="28" t="s">
        <v>1123</v>
      </c>
      <c r="M654" s="28" t="s">
        <v>1028</v>
      </c>
      <c r="N654" s="25">
        <v>1</v>
      </c>
      <c r="O654" s="29">
        <v>110.50000000000001</v>
      </c>
      <c r="P654" s="29">
        <v>110.50000000000001</v>
      </c>
      <c r="Q654" s="25" t="s">
        <v>1124</v>
      </c>
      <c r="R654" s="25"/>
      <c r="S654" s="26"/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532"/>
        <v>0</v>
      </c>
      <c r="AF654" s="32">
        <f t="shared" si="533"/>
        <v>110.50000000000001</v>
      </c>
      <c r="AG654" s="30"/>
      <c r="AH654" s="33"/>
      <c r="AI654" s="34">
        <f t="shared" si="534"/>
        <v>0</v>
      </c>
      <c r="AJ654" s="35"/>
      <c r="AK654" s="30"/>
      <c r="AL654" s="36">
        <f t="shared" si="535"/>
        <v>0</v>
      </c>
      <c r="AM654" s="35"/>
      <c r="AN654" s="30"/>
      <c r="AO654" s="36">
        <f t="shared" si="536"/>
        <v>0</v>
      </c>
      <c r="AP654" s="35"/>
      <c r="AQ654" s="30"/>
      <c r="AR654" s="36">
        <f t="shared" si="537"/>
        <v>0</v>
      </c>
      <c r="AS654" s="27"/>
      <c r="AT654" s="37"/>
      <c r="AU654" s="30"/>
      <c r="AV654" s="36">
        <f t="shared" si="538"/>
        <v>0</v>
      </c>
      <c r="AW654" s="35"/>
      <c r="AX654" s="30"/>
      <c r="AY654" s="32">
        <f t="shared" si="539"/>
        <v>0</v>
      </c>
      <c r="AZ654" s="30" t="s">
        <v>841</v>
      </c>
      <c r="BA654" s="63"/>
      <c r="BB654" s="71" t="e">
        <f>SUMIFS([1]Form!$F$9:$F$22,[1]Form!$K$9:$K$22,K654)</f>
        <v>#VALUE!</v>
      </c>
      <c r="BC654" s="71"/>
      <c r="BD654" s="71"/>
    </row>
    <row r="655" spans="1:56" x14ac:dyDescent="0.25">
      <c r="A655" s="24">
        <f>IF(B655="","",SUBTOTAL(3,$B$4:B655))</f>
        <v>652</v>
      </c>
      <c r="B655" s="25" t="s">
        <v>840</v>
      </c>
      <c r="C655" s="25" t="str">
        <f t="shared" si="540"/>
        <v>Shipment 1 B-10124 Fired Proces Heater</v>
      </c>
      <c r="D655" s="25" t="s">
        <v>839</v>
      </c>
      <c r="E655" s="25" t="s">
        <v>838</v>
      </c>
      <c r="F655" s="25"/>
      <c r="G655" s="65"/>
      <c r="H655" s="25" t="s">
        <v>842</v>
      </c>
      <c r="I655" s="25"/>
      <c r="J655" s="26" t="s">
        <v>845</v>
      </c>
      <c r="K655" s="27" t="s">
        <v>1125</v>
      </c>
      <c r="L655" s="28" t="s">
        <v>1126</v>
      </c>
      <c r="M655" s="28" t="s">
        <v>1028</v>
      </c>
      <c r="N655" s="25">
        <v>87</v>
      </c>
      <c r="O655" s="29">
        <v>2.7620689655172415</v>
      </c>
      <c r="P655" s="29">
        <v>240.3</v>
      </c>
      <c r="Q655" s="25" t="s">
        <v>1127</v>
      </c>
      <c r="R655" s="25"/>
      <c r="S655" s="26"/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532"/>
        <v>0</v>
      </c>
      <c r="AF655" s="32">
        <f t="shared" si="533"/>
        <v>240.3</v>
      </c>
      <c r="AG655" s="30"/>
      <c r="AH655" s="33"/>
      <c r="AI655" s="34">
        <f t="shared" si="534"/>
        <v>0</v>
      </c>
      <c r="AJ655" s="35"/>
      <c r="AK655" s="30"/>
      <c r="AL655" s="36">
        <f t="shared" si="535"/>
        <v>0</v>
      </c>
      <c r="AM655" s="35"/>
      <c r="AN655" s="30"/>
      <c r="AO655" s="36">
        <f t="shared" si="536"/>
        <v>0</v>
      </c>
      <c r="AP655" s="35"/>
      <c r="AQ655" s="30"/>
      <c r="AR655" s="36">
        <f t="shared" si="537"/>
        <v>0</v>
      </c>
      <c r="AS655" s="27"/>
      <c r="AT655" s="37"/>
      <c r="AU655" s="30"/>
      <c r="AV655" s="36">
        <f t="shared" si="538"/>
        <v>0</v>
      </c>
      <c r="AW655" s="35"/>
      <c r="AX655" s="30"/>
      <c r="AY655" s="32">
        <f t="shared" si="539"/>
        <v>0</v>
      </c>
      <c r="AZ655" s="30" t="s">
        <v>841</v>
      </c>
      <c r="BA655" s="63"/>
      <c r="BB655" s="71" t="e">
        <f>SUMIFS([1]Form!$F$9:$F$22,[1]Form!$K$9:$K$22,K655)</f>
        <v>#VALUE!</v>
      </c>
      <c r="BC655" s="71"/>
      <c r="BD655" s="71"/>
    </row>
    <row r="656" spans="1:56" x14ac:dyDescent="0.25">
      <c r="A656" s="24">
        <f>IF(B656="","",SUBTOTAL(3,$B$4:B656))</f>
        <v>653</v>
      </c>
      <c r="B656" s="25" t="s">
        <v>840</v>
      </c>
      <c r="C656" s="25" t="str">
        <f t="shared" si="540"/>
        <v>Shipment 1 B-10124 Fired Proces Heater</v>
      </c>
      <c r="D656" s="25" t="s">
        <v>839</v>
      </c>
      <c r="E656" s="25" t="s">
        <v>838</v>
      </c>
      <c r="F656" s="25"/>
      <c r="G656" s="65"/>
      <c r="H656" s="25" t="s">
        <v>842</v>
      </c>
      <c r="I656" s="25"/>
      <c r="J656" s="26" t="s">
        <v>845</v>
      </c>
      <c r="K656" s="27" t="s">
        <v>1128</v>
      </c>
      <c r="L656" s="28" t="s">
        <v>1129</v>
      </c>
      <c r="M656" s="28" t="s">
        <v>1028</v>
      </c>
      <c r="N656" s="25">
        <v>90</v>
      </c>
      <c r="O656" s="29">
        <v>0.57222222222222219</v>
      </c>
      <c r="P656" s="29">
        <v>51.5</v>
      </c>
      <c r="Q656" s="25" t="s">
        <v>1130</v>
      </c>
      <c r="R656" s="25"/>
      <c r="S656" s="26"/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532"/>
        <v>0</v>
      </c>
      <c r="AF656" s="32">
        <f t="shared" si="533"/>
        <v>51.5</v>
      </c>
      <c r="AG656" s="30"/>
      <c r="AH656" s="33"/>
      <c r="AI656" s="34">
        <f t="shared" si="534"/>
        <v>0</v>
      </c>
      <c r="AJ656" s="35"/>
      <c r="AK656" s="30"/>
      <c r="AL656" s="36">
        <f t="shared" si="535"/>
        <v>0</v>
      </c>
      <c r="AM656" s="35"/>
      <c r="AN656" s="30"/>
      <c r="AO656" s="36">
        <f t="shared" si="536"/>
        <v>0</v>
      </c>
      <c r="AP656" s="35"/>
      <c r="AQ656" s="30"/>
      <c r="AR656" s="36">
        <f t="shared" si="537"/>
        <v>0</v>
      </c>
      <c r="AS656" s="27"/>
      <c r="AT656" s="37"/>
      <c r="AU656" s="30"/>
      <c r="AV656" s="36">
        <f t="shared" si="538"/>
        <v>0</v>
      </c>
      <c r="AW656" s="35"/>
      <c r="AX656" s="30"/>
      <c r="AY656" s="32">
        <f t="shared" si="539"/>
        <v>0</v>
      </c>
      <c r="AZ656" s="30" t="s">
        <v>841</v>
      </c>
      <c r="BA656" s="63"/>
      <c r="BB656" s="71" t="e">
        <f>SUMIFS([1]Form!$F$9:$F$22,[1]Form!$K$9:$K$22,K656)</f>
        <v>#VALUE!</v>
      </c>
      <c r="BC656" s="71"/>
      <c r="BD656" s="71"/>
    </row>
    <row r="657" spans="1:56" x14ac:dyDescent="0.25">
      <c r="A657" s="24">
        <f>IF(B657="","",SUBTOTAL(3,$B$4:B657))</f>
        <v>654</v>
      </c>
      <c r="B657" s="25" t="s">
        <v>840</v>
      </c>
      <c r="C657" s="25" t="str">
        <f t="shared" si="540"/>
        <v>Shipment 1 B-10124 Fired Proces Heater</v>
      </c>
      <c r="D657" s="25" t="s">
        <v>839</v>
      </c>
      <c r="E657" s="25" t="s">
        <v>838</v>
      </c>
      <c r="F657" s="25"/>
      <c r="G657" s="65"/>
      <c r="H657" s="25" t="s">
        <v>842</v>
      </c>
      <c r="I657" s="25"/>
      <c r="J657" s="26" t="s">
        <v>845</v>
      </c>
      <c r="K657" s="27" t="s">
        <v>1131</v>
      </c>
      <c r="L657" s="28" t="s">
        <v>1132</v>
      </c>
      <c r="M657" s="28" t="s">
        <v>1028</v>
      </c>
      <c r="N657" s="25">
        <v>1</v>
      </c>
      <c r="O657" s="29">
        <v>2.8</v>
      </c>
      <c r="P657" s="29">
        <v>2.8</v>
      </c>
      <c r="Q657" s="25" t="s">
        <v>1127</v>
      </c>
      <c r="R657" s="25"/>
      <c r="S657" s="26"/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si="532"/>
        <v>0</v>
      </c>
      <c r="AF657" s="32">
        <f t="shared" si="533"/>
        <v>2.8</v>
      </c>
      <c r="AG657" s="30"/>
      <c r="AH657" s="33"/>
      <c r="AI657" s="34">
        <f t="shared" si="534"/>
        <v>0</v>
      </c>
      <c r="AJ657" s="35"/>
      <c r="AK657" s="30"/>
      <c r="AL657" s="36">
        <f t="shared" si="535"/>
        <v>0</v>
      </c>
      <c r="AM657" s="35"/>
      <c r="AN657" s="30"/>
      <c r="AO657" s="36">
        <f t="shared" si="536"/>
        <v>0</v>
      </c>
      <c r="AP657" s="35"/>
      <c r="AQ657" s="30"/>
      <c r="AR657" s="36">
        <f t="shared" si="537"/>
        <v>0</v>
      </c>
      <c r="AS657" s="27"/>
      <c r="AT657" s="37"/>
      <c r="AU657" s="30"/>
      <c r="AV657" s="36">
        <f t="shared" si="538"/>
        <v>0</v>
      </c>
      <c r="AW657" s="35"/>
      <c r="AX657" s="30"/>
      <c r="AY657" s="32">
        <f t="shared" si="539"/>
        <v>0</v>
      </c>
      <c r="AZ657" s="30" t="s">
        <v>841</v>
      </c>
      <c r="BA657" s="63"/>
      <c r="BB657" s="71" t="e">
        <f>SUMIFS([1]Form!$F$9:$F$22,[1]Form!$K$9:$K$22,K657)</f>
        <v>#VALUE!</v>
      </c>
      <c r="BC657" s="71"/>
      <c r="BD657" s="71"/>
    </row>
    <row r="658" spans="1:56" x14ac:dyDescent="0.25">
      <c r="A658" s="24">
        <f>IF(B658="","",SUBTOTAL(3,$B$4:B658))</f>
        <v>655</v>
      </c>
      <c r="B658" s="25" t="s">
        <v>840</v>
      </c>
      <c r="C658" s="25" t="str">
        <f t="shared" si="540"/>
        <v>Shipment 1 B-10124 Fired Proces Heater</v>
      </c>
      <c r="D658" s="25" t="s">
        <v>839</v>
      </c>
      <c r="E658" s="25" t="s">
        <v>838</v>
      </c>
      <c r="F658" s="25"/>
      <c r="G658" s="65"/>
      <c r="H658" s="25" t="s">
        <v>842</v>
      </c>
      <c r="I658" s="25"/>
      <c r="J658" s="26" t="s">
        <v>845</v>
      </c>
      <c r="K658" s="27" t="s">
        <v>1133</v>
      </c>
      <c r="L658" s="28" t="s">
        <v>1134</v>
      </c>
      <c r="M658" s="28" t="s">
        <v>1028</v>
      </c>
      <c r="N658" s="25">
        <v>1</v>
      </c>
      <c r="O658" s="29">
        <v>2.7</v>
      </c>
      <c r="P658" s="29">
        <v>2.7</v>
      </c>
      <c r="Q658" s="25" t="s">
        <v>1127</v>
      </c>
      <c r="R658" s="25"/>
      <c r="S658" s="26"/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532"/>
        <v>0</v>
      </c>
      <c r="AF658" s="32">
        <f t="shared" si="533"/>
        <v>2.7</v>
      </c>
      <c r="AG658" s="30"/>
      <c r="AH658" s="33"/>
      <c r="AI658" s="34">
        <f t="shared" si="534"/>
        <v>0</v>
      </c>
      <c r="AJ658" s="35"/>
      <c r="AK658" s="30"/>
      <c r="AL658" s="36">
        <f t="shared" si="535"/>
        <v>0</v>
      </c>
      <c r="AM658" s="35"/>
      <c r="AN658" s="30"/>
      <c r="AO658" s="36">
        <f t="shared" si="536"/>
        <v>0</v>
      </c>
      <c r="AP658" s="35"/>
      <c r="AQ658" s="30"/>
      <c r="AR658" s="36">
        <f t="shared" si="537"/>
        <v>0</v>
      </c>
      <c r="AS658" s="27"/>
      <c r="AT658" s="37"/>
      <c r="AU658" s="30"/>
      <c r="AV658" s="36">
        <f t="shared" si="538"/>
        <v>0</v>
      </c>
      <c r="AW658" s="35"/>
      <c r="AX658" s="30"/>
      <c r="AY658" s="32">
        <f t="shared" si="539"/>
        <v>0</v>
      </c>
      <c r="AZ658" s="30" t="s">
        <v>841</v>
      </c>
      <c r="BA658" s="63"/>
      <c r="BB658" s="71" t="e">
        <f>SUMIFS([1]Form!$F$9:$F$22,[1]Form!$K$9:$K$22,K658)</f>
        <v>#VALUE!</v>
      </c>
      <c r="BC658" s="71"/>
      <c r="BD658" s="71"/>
    </row>
    <row r="659" spans="1:56" x14ac:dyDescent="0.25">
      <c r="A659" s="24">
        <f>IF(B659="","",SUBTOTAL(3,$B$4:B659))</f>
        <v>656</v>
      </c>
      <c r="B659" s="25" t="s">
        <v>840</v>
      </c>
      <c r="C659" s="25" t="str">
        <f t="shared" si="540"/>
        <v>Shipment 1 B-10124 Fired Proces Heater</v>
      </c>
      <c r="D659" s="25" t="s">
        <v>839</v>
      </c>
      <c r="E659" s="25" t="s">
        <v>838</v>
      </c>
      <c r="F659" s="25"/>
      <c r="G659" s="65"/>
      <c r="H659" s="25" t="s">
        <v>842</v>
      </c>
      <c r="I659" s="25"/>
      <c r="J659" s="26" t="s">
        <v>845</v>
      </c>
      <c r="K659" s="27" t="s">
        <v>1135</v>
      </c>
      <c r="L659" s="28" t="s">
        <v>1136</v>
      </c>
      <c r="M659" s="28" t="s">
        <v>1028</v>
      </c>
      <c r="N659" s="25">
        <v>1</v>
      </c>
      <c r="O659" s="29">
        <v>2.8</v>
      </c>
      <c r="P659" s="29">
        <v>2.8</v>
      </c>
      <c r="Q659" s="25" t="s">
        <v>1127</v>
      </c>
      <c r="R659" s="25"/>
      <c r="S659" s="26"/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532"/>
        <v>0</v>
      </c>
      <c r="AF659" s="32">
        <f t="shared" si="533"/>
        <v>2.8</v>
      </c>
      <c r="AG659" s="30"/>
      <c r="AH659" s="33"/>
      <c r="AI659" s="34">
        <f t="shared" si="534"/>
        <v>0</v>
      </c>
      <c r="AJ659" s="35"/>
      <c r="AK659" s="30"/>
      <c r="AL659" s="36">
        <f t="shared" si="535"/>
        <v>0</v>
      </c>
      <c r="AM659" s="35"/>
      <c r="AN659" s="30"/>
      <c r="AO659" s="36">
        <f t="shared" si="536"/>
        <v>0</v>
      </c>
      <c r="AP659" s="35"/>
      <c r="AQ659" s="30"/>
      <c r="AR659" s="36">
        <f t="shared" si="537"/>
        <v>0</v>
      </c>
      <c r="AS659" s="27"/>
      <c r="AT659" s="37"/>
      <c r="AU659" s="30"/>
      <c r="AV659" s="36">
        <f t="shared" si="538"/>
        <v>0</v>
      </c>
      <c r="AW659" s="35"/>
      <c r="AX659" s="30"/>
      <c r="AY659" s="32">
        <f t="shared" si="539"/>
        <v>0</v>
      </c>
      <c r="AZ659" s="30" t="s">
        <v>841</v>
      </c>
      <c r="BA659" s="63"/>
      <c r="BB659" s="71" t="e">
        <f>SUMIFS([1]Form!$F$9:$F$22,[1]Form!$K$9:$K$22,K659)</f>
        <v>#VALUE!</v>
      </c>
      <c r="BC659" s="71"/>
      <c r="BD659" s="71"/>
    </row>
    <row r="660" spans="1:56" x14ac:dyDescent="0.25">
      <c r="A660" s="24">
        <f>IF(B660="","",SUBTOTAL(3,$B$4:B660))</f>
        <v>657</v>
      </c>
      <c r="B660" s="25" t="s">
        <v>840</v>
      </c>
      <c r="C660" s="25" t="str">
        <f t="shared" si="540"/>
        <v>Shipment 1 B-10124 Fired Proces Heater</v>
      </c>
      <c r="D660" s="25" t="s">
        <v>839</v>
      </c>
      <c r="E660" s="25" t="s">
        <v>838</v>
      </c>
      <c r="F660" s="25"/>
      <c r="G660" s="65"/>
      <c r="H660" s="25" t="s">
        <v>842</v>
      </c>
      <c r="I660" s="25"/>
      <c r="J660" s="26" t="s">
        <v>845</v>
      </c>
      <c r="K660" s="27" t="s">
        <v>1137</v>
      </c>
      <c r="L660" s="28" t="s">
        <v>1138</v>
      </c>
      <c r="M660" s="28" t="s">
        <v>1028</v>
      </c>
      <c r="N660" s="25">
        <v>16</v>
      </c>
      <c r="O660" s="29">
        <v>2.8375000000000004</v>
      </c>
      <c r="P660" s="29">
        <v>45.400000000000006</v>
      </c>
      <c r="Q660" s="25" t="s">
        <v>1139</v>
      </c>
      <c r="R660" s="25"/>
      <c r="S660" s="26"/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532"/>
        <v>0</v>
      </c>
      <c r="AF660" s="32">
        <f t="shared" si="533"/>
        <v>45.400000000000006</v>
      </c>
      <c r="AG660" s="30"/>
      <c r="AH660" s="33"/>
      <c r="AI660" s="34">
        <f t="shared" si="534"/>
        <v>0</v>
      </c>
      <c r="AJ660" s="35"/>
      <c r="AK660" s="30"/>
      <c r="AL660" s="36">
        <f t="shared" si="535"/>
        <v>0</v>
      </c>
      <c r="AM660" s="35"/>
      <c r="AN660" s="30"/>
      <c r="AO660" s="36">
        <f t="shared" si="536"/>
        <v>0</v>
      </c>
      <c r="AP660" s="35"/>
      <c r="AQ660" s="30"/>
      <c r="AR660" s="36">
        <f t="shared" si="537"/>
        <v>0</v>
      </c>
      <c r="AS660" s="27"/>
      <c r="AT660" s="37"/>
      <c r="AU660" s="30"/>
      <c r="AV660" s="36">
        <f t="shared" si="538"/>
        <v>0</v>
      </c>
      <c r="AW660" s="35"/>
      <c r="AX660" s="30"/>
      <c r="AY660" s="32">
        <f t="shared" si="539"/>
        <v>0</v>
      </c>
      <c r="AZ660" s="30" t="s">
        <v>841</v>
      </c>
      <c r="BA660" s="63"/>
      <c r="BB660" s="71" t="e">
        <f>SUMIFS([1]Form!$F$9:$F$22,[1]Form!$K$9:$K$22,K660)</f>
        <v>#VALUE!</v>
      </c>
      <c r="BC660" s="71"/>
      <c r="BD660" s="71"/>
    </row>
    <row r="661" spans="1:56" x14ac:dyDescent="0.25">
      <c r="A661" s="24">
        <f>IF(B661="","",SUBTOTAL(3,$B$4:B661))</f>
        <v>658</v>
      </c>
      <c r="B661" s="25" t="s">
        <v>840</v>
      </c>
      <c r="C661" s="25" t="str">
        <f t="shared" si="540"/>
        <v>Shipment 1 B-10124 Fired Proces Heater</v>
      </c>
      <c r="D661" s="25" t="s">
        <v>839</v>
      </c>
      <c r="E661" s="25" t="s">
        <v>838</v>
      </c>
      <c r="F661" s="25"/>
      <c r="G661" s="65"/>
      <c r="H661" s="25" t="s">
        <v>842</v>
      </c>
      <c r="I661" s="25"/>
      <c r="J661" s="26" t="s">
        <v>845</v>
      </c>
      <c r="K661" s="27" t="s">
        <v>1140</v>
      </c>
      <c r="L661" s="28" t="s">
        <v>1141</v>
      </c>
      <c r="M661" s="28" t="s">
        <v>1028</v>
      </c>
      <c r="N661" s="25">
        <v>16</v>
      </c>
      <c r="O661" s="29">
        <v>0.57499999999999996</v>
      </c>
      <c r="P661" s="29">
        <v>9.1999999999999993</v>
      </c>
      <c r="Q661" s="25" t="s">
        <v>1130</v>
      </c>
      <c r="R661" s="25"/>
      <c r="S661" s="26"/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532"/>
        <v>0</v>
      </c>
      <c r="AF661" s="32">
        <f t="shared" si="533"/>
        <v>9.1999999999999993</v>
      </c>
      <c r="AG661" s="30"/>
      <c r="AH661" s="33"/>
      <c r="AI661" s="34">
        <f t="shared" si="534"/>
        <v>0</v>
      </c>
      <c r="AJ661" s="35"/>
      <c r="AK661" s="30"/>
      <c r="AL661" s="36">
        <f t="shared" si="535"/>
        <v>0</v>
      </c>
      <c r="AM661" s="35"/>
      <c r="AN661" s="30"/>
      <c r="AO661" s="36">
        <f t="shared" si="536"/>
        <v>0</v>
      </c>
      <c r="AP661" s="35"/>
      <c r="AQ661" s="30"/>
      <c r="AR661" s="36">
        <f t="shared" si="537"/>
        <v>0</v>
      </c>
      <c r="AS661" s="27"/>
      <c r="AT661" s="37"/>
      <c r="AU661" s="30"/>
      <c r="AV661" s="36">
        <f t="shared" si="538"/>
        <v>0</v>
      </c>
      <c r="AW661" s="35"/>
      <c r="AX661" s="30"/>
      <c r="AY661" s="32">
        <f t="shared" si="539"/>
        <v>0</v>
      </c>
      <c r="AZ661" s="30" t="s">
        <v>841</v>
      </c>
      <c r="BA661" s="63"/>
      <c r="BB661" s="71" t="e">
        <f>SUMIFS([1]Form!$F$9:$F$22,[1]Form!$K$9:$K$22,K661)</f>
        <v>#VALUE!</v>
      </c>
      <c r="BC661" s="71"/>
      <c r="BD661" s="71"/>
    </row>
    <row r="662" spans="1:56" x14ac:dyDescent="0.25">
      <c r="A662" s="24">
        <f>IF(B662="","",SUBTOTAL(3,$B$4:B662))</f>
        <v>659</v>
      </c>
      <c r="B662" s="25" t="s">
        <v>840</v>
      </c>
      <c r="C662" s="25" t="str">
        <f t="shared" si="540"/>
        <v>Shipment 1 B-10124 Fired Proces Heater</v>
      </c>
      <c r="D662" s="25" t="s">
        <v>839</v>
      </c>
      <c r="E662" s="25" t="s">
        <v>838</v>
      </c>
      <c r="F662" s="25"/>
      <c r="G662" s="65"/>
      <c r="H662" s="25" t="s">
        <v>842</v>
      </c>
      <c r="I662" s="25"/>
      <c r="J662" s="26" t="s">
        <v>844</v>
      </c>
      <c r="K662" s="27" t="s">
        <v>674</v>
      </c>
      <c r="L662" s="28" t="s">
        <v>675</v>
      </c>
      <c r="M662" s="28" t="s">
        <v>822</v>
      </c>
      <c r="N662" s="25">
        <v>1</v>
      </c>
      <c r="O662" s="29">
        <v>414.20000000000005</v>
      </c>
      <c r="P662" s="29">
        <v>414.20000000000005</v>
      </c>
      <c r="Q662" s="25" t="s">
        <v>823</v>
      </c>
      <c r="R662" s="25"/>
      <c r="S662" s="26"/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532"/>
        <v>0</v>
      </c>
      <c r="AF662" s="32">
        <f t="shared" si="533"/>
        <v>414.20000000000005</v>
      </c>
      <c r="AG662" s="30"/>
      <c r="AH662" s="33"/>
      <c r="AI662" s="34">
        <f t="shared" si="534"/>
        <v>0</v>
      </c>
      <c r="AJ662" s="35"/>
      <c r="AK662" s="30"/>
      <c r="AL662" s="36">
        <f t="shared" si="535"/>
        <v>0</v>
      </c>
      <c r="AM662" s="35"/>
      <c r="AN662" s="30"/>
      <c r="AO662" s="36">
        <f t="shared" si="536"/>
        <v>0</v>
      </c>
      <c r="AP662" s="35"/>
      <c r="AQ662" s="30"/>
      <c r="AR662" s="36">
        <f t="shared" si="537"/>
        <v>0</v>
      </c>
      <c r="AS662" s="27"/>
      <c r="AT662" s="37"/>
      <c r="AU662" s="30"/>
      <c r="AV662" s="36">
        <f t="shared" si="538"/>
        <v>0</v>
      </c>
      <c r="AW662" s="35"/>
      <c r="AX662" s="30"/>
      <c r="AY662" s="32">
        <f t="shared" si="539"/>
        <v>0</v>
      </c>
      <c r="AZ662" s="30" t="s">
        <v>841</v>
      </c>
      <c r="BA662" s="63"/>
      <c r="BB662" s="71" t="e">
        <f>SUMIFS([1]Form!$F$9:$F$22,[1]Form!$K$9:$K$22,K662)</f>
        <v>#VALUE!</v>
      </c>
      <c r="BC662" s="71"/>
      <c r="BD662" s="71"/>
    </row>
    <row r="663" spans="1:56" x14ac:dyDescent="0.25">
      <c r="A663" s="24">
        <f>IF(B663="","",SUBTOTAL(3,$B$4:B663))</f>
        <v>660</v>
      </c>
      <c r="B663" s="25" t="s">
        <v>840</v>
      </c>
      <c r="C663" s="25" t="str">
        <f t="shared" si="540"/>
        <v>Shipment 1 B-10124 Fired Proces Heater</v>
      </c>
      <c r="D663" s="25" t="s">
        <v>839</v>
      </c>
      <c r="E663" s="25" t="s">
        <v>838</v>
      </c>
      <c r="F663" s="25"/>
      <c r="G663" s="65"/>
      <c r="H663" s="25" t="s">
        <v>842</v>
      </c>
      <c r="I663" s="25"/>
      <c r="J663" s="26" t="s">
        <v>844</v>
      </c>
      <c r="K663" s="27" t="s">
        <v>676</v>
      </c>
      <c r="L663" s="28" t="s">
        <v>677</v>
      </c>
      <c r="M663" s="28" t="s">
        <v>822</v>
      </c>
      <c r="N663" s="25">
        <v>1</v>
      </c>
      <c r="O663" s="29">
        <v>21.900000000000002</v>
      </c>
      <c r="P663" s="29">
        <v>21.900000000000002</v>
      </c>
      <c r="Q663" s="25" t="s">
        <v>824</v>
      </c>
      <c r="R663" s="25"/>
      <c r="S663" s="26"/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ref="AE663:AE682" si="541">+AL663*0.5+AO663*0.4+AV663*0.1</f>
        <v>0</v>
      </c>
      <c r="AF663" s="32">
        <f t="shared" ref="AF663:AF682" si="542">+P663-AE663</f>
        <v>21.900000000000002</v>
      </c>
      <c r="AG663" s="30"/>
      <c r="AH663" s="33"/>
      <c r="AI663" s="34">
        <f t="shared" ref="AI663:AI682" si="543">+AH663*P663</f>
        <v>0</v>
      </c>
      <c r="AJ663" s="35"/>
      <c r="AK663" s="30"/>
      <c r="AL663" s="36">
        <f t="shared" ref="AL663:AL682" si="544">IFERROR(AK663*$P663/$N663,0)</f>
        <v>0</v>
      </c>
      <c r="AM663" s="35"/>
      <c r="AN663" s="30"/>
      <c r="AO663" s="36">
        <f t="shared" ref="AO663:AO682" si="545">IFERROR(AN663*$P663/$N663,0)</f>
        <v>0</v>
      </c>
      <c r="AP663" s="35"/>
      <c r="AQ663" s="30"/>
      <c r="AR663" s="36">
        <f t="shared" ref="AR663:AR682" si="546">IFERROR(AQ663*$P663/$N663,0)</f>
        <v>0</v>
      </c>
      <c r="AS663" s="27"/>
      <c r="AT663" s="37"/>
      <c r="AU663" s="30"/>
      <c r="AV663" s="36">
        <f t="shared" ref="AV663:AV682" si="547">IFERROR(AU663*$P663/$N663,0)</f>
        <v>0</v>
      </c>
      <c r="AW663" s="35"/>
      <c r="AX663" s="30"/>
      <c r="AY663" s="32">
        <f t="shared" ref="AY663:AY682" si="548">IFERROR(AX663*$P663/$N663,0)</f>
        <v>0</v>
      </c>
      <c r="AZ663" s="30" t="s">
        <v>841</v>
      </c>
      <c r="BA663" s="63"/>
      <c r="BB663" s="71" t="e">
        <f>SUMIFS([1]Form!$F$9:$F$22,[1]Form!$K$9:$K$22,K663)</f>
        <v>#VALUE!</v>
      </c>
      <c r="BC663" s="71"/>
      <c r="BD663" s="71"/>
    </row>
    <row r="664" spans="1:56" x14ac:dyDescent="0.25">
      <c r="A664" s="24">
        <f>IF(B664="","",SUBTOTAL(3,$B$4:B664))</f>
        <v>661</v>
      </c>
      <c r="B664" s="25" t="s">
        <v>840</v>
      </c>
      <c r="C664" s="25" t="str">
        <f t="shared" si="540"/>
        <v>Shipment 1 B-10124 Fired Proces Heater</v>
      </c>
      <c r="D664" s="25" t="s">
        <v>839</v>
      </c>
      <c r="E664" s="25" t="s">
        <v>838</v>
      </c>
      <c r="F664" s="25"/>
      <c r="G664" s="65"/>
      <c r="H664" s="25" t="s">
        <v>842</v>
      </c>
      <c r="I664" s="25"/>
      <c r="J664" s="26" t="s">
        <v>844</v>
      </c>
      <c r="K664" s="27" t="s">
        <v>676</v>
      </c>
      <c r="L664" s="28" t="s">
        <v>678</v>
      </c>
      <c r="M664" s="28" t="s">
        <v>822</v>
      </c>
      <c r="N664" s="25">
        <v>1</v>
      </c>
      <c r="O664" s="29">
        <v>21.900000000000002</v>
      </c>
      <c r="P664" s="29">
        <v>21.900000000000002</v>
      </c>
      <c r="Q664" s="25" t="s">
        <v>824</v>
      </c>
      <c r="R664" s="25"/>
      <c r="S664" s="26"/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541"/>
        <v>0</v>
      </c>
      <c r="AF664" s="32">
        <f t="shared" si="542"/>
        <v>21.900000000000002</v>
      </c>
      <c r="AG664" s="30"/>
      <c r="AH664" s="33"/>
      <c r="AI664" s="34">
        <f t="shared" si="543"/>
        <v>0</v>
      </c>
      <c r="AJ664" s="35"/>
      <c r="AK664" s="30"/>
      <c r="AL664" s="36">
        <f t="shared" si="544"/>
        <v>0</v>
      </c>
      <c r="AM664" s="35"/>
      <c r="AN664" s="30"/>
      <c r="AO664" s="36">
        <f t="shared" si="545"/>
        <v>0</v>
      </c>
      <c r="AP664" s="35"/>
      <c r="AQ664" s="30"/>
      <c r="AR664" s="36">
        <f t="shared" si="546"/>
        <v>0</v>
      </c>
      <c r="AS664" s="27"/>
      <c r="AT664" s="37"/>
      <c r="AU664" s="30"/>
      <c r="AV664" s="36">
        <f t="shared" si="547"/>
        <v>0</v>
      </c>
      <c r="AW664" s="35"/>
      <c r="AX664" s="30"/>
      <c r="AY664" s="32">
        <f t="shared" si="548"/>
        <v>0</v>
      </c>
      <c r="AZ664" s="30" t="s">
        <v>841</v>
      </c>
      <c r="BA664" s="63"/>
      <c r="BB664" s="71" t="e">
        <f>SUMIFS([1]Form!$F$9:$F$22,[1]Form!$K$9:$K$22,K664)</f>
        <v>#VALUE!</v>
      </c>
      <c r="BC664" s="71"/>
      <c r="BD664" s="71"/>
    </row>
    <row r="665" spans="1:56" x14ac:dyDescent="0.25">
      <c r="A665" s="24">
        <f>IF(B665="","",SUBTOTAL(3,$B$4:B665))</f>
        <v>662</v>
      </c>
      <c r="B665" s="25" t="s">
        <v>840</v>
      </c>
      <c r="C665" s="25" t="str">
        <f t="shared" si="540"/>
        <v>Shipment 1 B-10124 Fired Proces Heater</v>
      </c>
      <c r="D665" s="25" t="s">
        <v>839</v>
      </c>
      <c r="E665" s="25" t="s">
        <v>838</v>
      </c>
      <c r="F665" s="25"/>
      <c r="G665" s="65"/>
      <c r="H665" s="25" t="s">
        <v>842</v>
      </c>
      <c r="I665" s="25"/>
      <c r="J665" s="26" t="s">
        <v>844</v>
      </c>
      <c r="K665" s="27" t="s">
        <v>679</v>
      </c>
      <c r="L665" s="28" t="s">
        <v>680</v>
      </c>
      <c r="M665" s="28" t="s">
        <v>822</v>
      </c>
      <c r="N665" s="25">
        <v>1</v>
      </c>
      <c r="O665" s="29">
        <v>414.6</v>
      </c>
      <c r="P665" s="29">
        <v>414.6</v>
      </c>
      <c r="Q665" s="25" t="s">
        <v>823</v>
      </c>
      <c r="R665" s="25"/>
      <c r="S665" s="26"/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541"/>
        <v>0</v>
      </c>
      <c r="AF665" s="32">
        <f t="shared" si="542"/>
        <v>414.6</v>
      </c>
      <c r="AG665" s="30"/>
      <c r="AH665" s="33"/>
      <c r="AI665" s="34">
        <f t="shared" si="543"/>
        <v>0</v>
      </c>
      <c r="AJ665" s="35"/>
      <c r="AK665" s="30"/>
      <c r="AL665" s="36">
        <f t="shared" si="544"/>
        <v>0</v>
      </c>
      <c r="AM665" s="35"/>
      <c r="AN665" s="30"/>
      <c r="AO665" s="36">
        <f t="shared" si="545"/>
        <v>0</v>
      </c>
      <c r="AP665" s="35"/>
      <c r="AQ665" s="30"/>
      <c r="AR665" s="36">
        <f t="shared" si="546"/>
        <v>0</v>
      </c>
      <c r="AS665" s="27"/>
      <c r="AT665" s="37"/>
      <c r="AU665" s="30"/>
      <c r="AV665" s="36">
        <f t="shared" si="547"/>
        <v>0</v>
      </c>
      <c r="AW665" s="35"/>
      <c r="AX665" s="30"/>
      <c r="AY665" s="32">
        <f t="shared" si="548"/>
        <v>0</v>
      </c>
      <c r="AZ665" s="30" t="s">
        <v>841</v>
      </c>
      <c r="BA665" s="63"/>
      <c r="BB665" s="71" t="e">
        <f>SUMIFS([1]Form!$F$9:$F$22,[1]Form!$K$9:$K$22,K665)</f>
        <v>#VALUE!</v>
      </c>
      <c r="BC665" s="71"/>
      <c r="BD665" s="71"/>
    </row>
    <row r="666" spans="1:56" x14ac:dyDescent="0.25">
      <c r="A666" s="24">
        <f>IF(B666="","",SUBTOTAL(3,$B$4:B666))</f>
        <v>663</v>
      </c>
      <c r="B666" s="25" t="s">
        <v>840</v>
      </c>
      <c r="C666" s="25" t="str">
        <f t="shared" si="540"/>
        <v>Shipment 1 B-10124 Fired Proces Heater</v>
      </c>
      <c r="D666" s="25" t="s">
        <v>839</v>
      </c>
      <c r="E666" s="25" t="s">
        <v>838</v>
      </c>
      <c r="F666" s="25"/>
      <c r="G666" s="65"/>
      <c r="H666" s="25" t="s">
        <v>842</v>
      </c>
      <c r="I666" s="25"/>
      <c r="J666" s="26" t="s">
        <v>844</v>
      </c>
      <c r="K666" s="27" t="s">
        <v>681</v>
      </c>
      <c r="L666" s="28" t="s">
        <v>682</v>
      </c>
      <c r="M666" s="28" t="s">
        <v>822</v>
      </c>
      <c r="N666" s="25">
        <v>1</v>
      </c>
      <c r="O666" s="29">
        <v>401.55</v>
      </c>
      <c r="P666" s="29">
        <v>401.55</v>
      </c>
      <c r="Q666" s="25" t="s">
        <v>825</v>
      </c>
      <c r="R666" s="25"/>
      <c r="S666" s="26"/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541"/>
        <v>0</v>
      </c>
      <c r="AF666" s="32">
        <f t="shared" si="542"/>
        <v>401.55</v>
      </c>
      <c r="AG666" s="30"/>
      <c r="AH666" s="33"/>
      <c r="AI666" s="34">
        <f t="shared" si="543"/>
        <v>0</v>
      </c>
      <c r="AJ666" s="35"/>
      <c r="AK666" s="30"/>
      <c r="AL666" s="36">
        <f t="shared" si="544"/>
        <v>0</v>
      </c>
      <c r="AM666" s="35"/>
      <c r="AN666" s="30"/>
      <c r="AO666" s="36">
        <f t="shared" si="545"/>
        <v>0</v>
      </c>
      <c r="AP666" s="35"/>
      <c r="AQ666" s="30"/>
      <c r="AR666" s="36">
        <f t="shared" si="546"/>
        <v>0</v>
      </c>
      <c r="AS666" s="27"/>
      <c r="AT666" s="37"/>
      <c r="AU666" s="30"/>
      <c r="AV666" s="36">
        <f t="shared" si="547"/>
        <v>0</v>
      </c>
      <c r="AW666" s="35"/>
      <c r="AX666" s="30"/>
      <c r="AY666" s="32">
        <f t="shared" si="548"/>
        <v>0</v>
      </c>
      <c r="AZ666" s="30" t="s">
        <v>841</v>
      </c>
      <c r="BA666" s="63"/>
      <c r="BB666" s="71" t="e">
        <f>SUMIFS([1]Form!$F$9:$F$22,[1]Form!$K$9:$K$22,K666)</f>
        <v>#VALUE!</v>
      </c>
      <c r="BC666" s="71"/>
      <c r="BD666" s="71"/>
    </row>
    <row r="667" spans="1:56" x14ac:dyDescent="0.25">
      <c r="A667" s="24">
        <f>IF(B667="","",SUBTOTAL(3,$B$4:B667))</f>
        <v>664</v>
      </c>
      <c r="B667" s="25" t="s">
        <v>840</v>
      </c>
      <c r="C667" s="25" t="str">
        <f t="shared" si="540"/>
        <v>Shipment 1 B-10124 Fired Proces Heater</v>
      </c>
      <c r="D667" s="25" t="s">
        <v>839</v>
      </c>
      <c r="E667" s="25" t="s">
        <v>838</v>
      </c>
      <c r="F667" s="25"/>
      <c r="G667" s="65"/>
      <c r="H667" s="25" t="s">
        <v>842</v>
      </c>
      <c r="I667" s="25"/>
      <c r="J667" s="26" t="s">
        <v>844</v>
      </c>
      <c r="K667" s="27" t="s">
        <v>681</v>
      </c>
      <c r="L667" s="28" t="s">
        <v>683</v>
      </c>
      <c r="M667" s="28" t="s">
        <v>822</v>
      </c>
      <c r="N667" s="25">
        <v>1</v>
      </c>
      <c r="O667" s="29">
        <v>401.55</v>
      </c>
      <c r="P667" s="29">
        <v>401.55</v>
      </c>
      <c r="Q667" s="25" t="s">
        <v>825</v>
      </c>
      <c r="R667" s="25"/>
      <c r="S667" s="26"/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541"/>
        <v>0</v>
      </c>
      <c r="AF667" s="32">
        <f t="shared" si="542"/>
        <v>401.55</v>
      </c>
      <c r="AG667" s="30"/>
      <c r="AH667" s="33"/>
      <c r="AI667" s="34">
        <f t="shared" si="543"/>
        <v>0</v>
      </c>
      <c r="AJ667" s="35"/>
      <c r="AK667" s="30"/>
      <c r="AL667" s="36">
        <f t="shared" si="544"/>
        <v>0</v>
      </c>
      <c r="AM667" s="35"/>
      <c r="AN667" s="30"/>
      <c r="AO667" s="36">
        <f t="shared" si="545"/>
        <v>0</v>
      </c>
      <c r="AP667" s="35"/>
      <c r="AQ667" s="30"/>
      <c r="AR667" s="36">
        <f t="shared" si="546"/>
        <v>0</v>
      </c>
      <c r="AS667" s="27"/>
      <c r="AT667" s="37"/>
      <c r="AU667" s="30"/>
      <c r="AV667" s="36">
        <f t="shared" si="547"/>
        <v>0</v>
      </c>
      <c r="AW667" s="35"/>
      <c r="AX667" s="30"/>
      <c r="AY667" s="32">
        <f t="shared" si="548"/>
        <v>0</v>
      </c>
      <c r="AZ667" s="30" t="s">
        <v>841</v>
      </c>
      <c r="BA667" s="63"/>
      <c r="BB667" s="71" t="e">
        <f>SUMIFS([1]Form!$F$9:$F$22,[1]Form!$K$9:$K$22,K667)</f>
        <v>#VALUE!</v>
      </c>
      <c r="BC667" s="71"/>
      <c r="BD667" s="71"/>
    </row>
    <row r="668" spans="1:56" x14ac:dyDescent="0.25">
      <c r="A668" s="24">
        <f>IF(B668="","",SUBTOTAL(3,$B$4:B668))</f>
        <v>665</v>
      </c>
      <c r="B668" s="25" t="s">
        <v>840</v>
      </c>
      <c r="C668" s="25" t="str">
        <f t="shared" si="540"/>
        <v>Shipment 1 B-10124 Fired Proces Heater</v>
      </c>
      <c r="D668" s="25" t="s">
        <v>839</v>
      </c>
      <c r="E668" s="25" t="s">
        <v>838</v>
      </c>
      <c r="F668" s="25"/>
      <c r="G668" s="65"/>
      <c r="H668" s="25" t="s">
        <v>842</v>
      </c>
      <c r="I668" s="25"/>
      <c r="J668" s="26" t="s">
        <v>844</v>
      </c>
      <c r="K668" s="27" t="s">
        <v>684</v>
      </c>
      <c r="L668" s="28" t="s">
        <v>685</v>
      </c>
      <c r="M668" s="28" t="s">
        <v>826</v>
      </c>
      <c r="N668" s="25">
        <v>1</v>
      </c>
      <c r="O668" s="29">
        <v>4817.3</v>
      </c>
      <c r="P668" s="29">
        <v>4817.3</v>
      </c>
      <c r="Q668" s="25" t="s">
        <v>827</v>
      </c>
      <c r="R668" s="25"/>
      <c r="S668" s="26"/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541"/>
        <v>0</v>
      </c>
      <c r="AF668" s="32">
        <f t="shared" si="542"/>
        <v>4817.3</v>
      </c>
      <c r="AG668" s="30"/>
      <c r="AH668" s="33"/>
      <c r="AI668" s="34">
        <f t="shared" si="543"/>
        <v>0</v>
      </c>
      <c r="AJ668" s="35"/>
      <c r="AK668" s="30"/>
      <c r="AL668" s="36">
        <f t="shared" si="544"/>
        <v>0</v>
      </c>
      <c r="AM668" s="35"/>
      <c r="AN668" s="30"/>
      <c r="AO668" s="36">
        <f t="shared" si="545"/>
        <v>0</v>
      </c>
      <c r="AP668" s="35"/>
      <c r="AQ668" s="30"/>
      <c r="AR668" s="36">
        <f t="shared" si="546"/>
        <v>0</v>
      </c>
      <c r="AS668" s="27"/>
      <c r="AT668" s="37"/>
      <c r="AU668" s="30"/>
      <c r="AV668" s="36">
        <f t="shared" si="547"/>
        <v>0</v>
      </c>
      <c r="AW668" s="35"/>
      <c r="AX668" s="30"/>
      <c r="AY668" s="32">
        <f t="shared" si="548"/>
        <v>0</v>
      </c>
      <c r="AZ668" s="30" t="s">
        <v>841</v>
      </c>
      <c r="BA668" s="63"/>
      <c r="BB668" s="71" t="e">
        <f>SUMIFS([1]Form!$F$9:$F$22,[1]Form!$K$9:$K$22,K668)</f>
        <v>#VALUE!</v>
      </c>
      <c r="BC668" s="71"/>
      <c r="BD668" s="71"/>
    </row>
    <row r="669" spans="1:56" x14ac:dyDescent="0.25">
      <c r="A669" s="24">
        <f>IF(B669="","",SUBTOTAL(3,$B$4:B669))</f>
        <v>666</v>
      </c>
      <c r="B669" s="25" t="s">
        <v>840</v>
      </c>
      <c r="C669" s="25" t="str">
        <f t="shared" si="540"/>
        <v>Shipment 1 B-10124 Fired Proces Heater</v>
      </c>
      <c r="D669" s="25" t="s">
        <v>839</v>
      </c>
      <c r="E669" s="25" t="s">
        <v>838</v>
      </c>
      <c r="F669" s="25"/>
      <c r="G669" s="65"/>
      <c r="H669" s="25" t="s">
        <v>842</v>
      </c>
      <c r="I669" s="25"/>
      <c r="J669" s="26" t="s">
        <v>844</v>
      </c>
      <c r="K669" s="27" t="s">
        <v>686</v>
      </c>
      <c r="L669" s="28" t="s">
        <v>687</v>
      </c>
      <c r="M669" s="28" t="s">
        <v>826</v>
      </c>
      <c r="N669" s="25">
        <v>1</v>
      </c>
      <c r="O669" s="29">
        <v>4779.1000000000004</v>
      </c>
      <c r="P669" s="29">
        <v>4779.1000000000004</v>
      </c>
      <c r="Q669" s="25" t="s">
        <v>827</v>
      </c>
      <c r="R669" s="25"/>
      <c r="S669" s="26"/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541"/>
        <v>0</v>
      </c>
      <c r="AF669" s="32">
        <f t="shared" si="542"/>
        <v>4779.1000000000004</v>
      </c>
      <c r="AG669" s="30"/>
      <c r="AH669" s="33"/>
      <c r="AI669" s="34">
        <f t="shared" si="543"/>
        <v>0</v>
      </c>
      <c r="AJ669" s="35"/>
      <c r="AK669" s="30"/>
      <c r="AL669" s="36">
        <f t="shared" si="544"/>
        <v>0</v>
      </c>
      <c r="AM669" s="35"/>
      <c r="AN669" s="30"/>
      <c r="AO669" s="36">
        <f t="shared" si="545"/>
        <v>0</v>
      </c>
      <c r="AP669" s="35"/>
      <c r="AQ669" s="30"/>
      <c r="AR669" s="36">
        <f t="shared" si="546"/>
        <v>0</v>
      </c>
      <c r="AS669" s="27"/>
      <c r="AT669" s="37"/>
      <c r="AU669" s="30"/>
      <c r="AV669" s="36">
        <f t="shared" si="547"/>
        <v>0</v>
      </c>
      <c r="AW669" s="35"/>
      <c r="AX669" s="30"/>
      <c r="AY669" s="32">
        <f t="shared" si="548"/>
        <v>0</v>
      </c>
      <c r="AZ669" s="30" t="s">
        <v>841</v>
      </c>
      <c r="BA669" s="63"/>
      <c r="BB669" s="71" t="e">
        <f>SUMIFS([1]Form!$F$9:$F$22,[1]Form!$K$9:$K$22,K669)</f>
        <v>#VALUE!</v>
      </c>
      <c r="BC669" s="71"/>
      <c r="BD669" s="71"/>
    </row>
    <row r="670" spans="1:56" x14ac:dyDescent="0.25">
      <c r="A670" s="24">
        <f>IF(B670="","",SUBTOTAL(3,$B$4:B670))</f>
        <v>667</v>
      </c>
      <c r="B670" s="25" t="s">
        <v>840</v>
      </c>
      <c r="C670" s="25" t="str">
        <f t="shared" si="540"/>
        <v>Shipment 1 B-10124 Fired Proces Heater</v>
      </c>
      <c r="D670" s="25" t="s">
        <v>839</v>
      </c>
      <c r="E670" s="25" t="s">
        <v>838</v>
      </c>
      <c r="F670" s="25"/>
      <c r="G670" s="65"/>
      <c r="H670" s="25" t="s">
        <v>842</v>
      </c>
      <c r="I670" s="25"/>
      <c r="J670" s="26" t="s">
        <v>844</v>
      </c>
      <c r="K670" s="27" t="s">
        <v>688</v>
      </c>
      <c r="L670" s="28" t="s">
        <v>689</v>
      </c>
      <c r="M670" s="28" t="s">
        <v>828</v>
      </c>
      <c r="N670" s="25">
        <v>1</v>
      </c>
      <c r="O670" s="29">
        <v>1203.7999999999997</v>
      </c>
      <c r="P670" s="29">
        <v>1203.7999999999997</v>
      </c>
      <c r="Q670" s="25" t="s">
        <v>829</v>
      </c>
      <c r="R670" s="25"/>
      <c r="S670" s="26"/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541"/>
        <v>0</v>
      </c>
      <c r="AF670" s="32">
        <f t="shared" si="542"/>
        <v>1203.7999999999997</v>
      </c>
      <c r="AG670" s="30"/>
      <c r="AH670" s="33"/>
      <c r="AI670" s="34">
        <f t="shared" si="543"/>
        <v>0</v>
      </c>
      <c r="AJ670" s="35"/>
      <c r="AK670" s="30"/>
      <c r="AL670" s="36">
        <f t="shared" si="544"/>
        <v>0</v>
      </c>
      <c r="AM670" s="35"/>
      <c r="AN670" s="30"/>
      <c r="AO670" s="36">
        <f t="shared" si="545"/>
        <v>0</v>
      </c>
      <c r="AP670" s="35"/>
      <c r="AQ670" s="30"/>
      <c r="AR670" s="36">
        <f t="shared" si="546"/>
        <v>0</v>
      </c>
      <c r="AS670" s="27"/>
      <c r="AT670" s="37"/>
      <c r="AU670" s="30"/>
      <c r="AV670" s="36">
        <f t="shared" si="547"/>
        <v>0</v>
      </c>
      <c r="AW670" s="35"/>
      <c r="AX670" s="30"/>
      <c r="AY670" s="32">
        <f t="shared" si="548"/>
        <v>0</v>
      </c>
      <c r="AZ670" s="30" t="s">
        <v>841</v>
      </c>
      <c r="BA670" s="63"/>
      <c r="BB670" s="71" t="e">
        <f>SUMIFS([1]Form!$F$9:$F$22,[1]Form!$K$9:$K$22,K670)</f>
        <v>#VALUE!</v>
      </c>
      <c r="BC670" s="71"/>
      <c r="BD670" s="71"/>
    </row>
    <row r="671" spans="1:56" x14ac:dyDescent="0.25">
      <c r="A671" s="24">
        <f>IF(B671="","",SUBTOTAL(3,$B$4:B671))</f>
        <v>668</v>
      </c>
      <c r="B671" s="25" t="s">
        <v>840</v>
      </c>
      <c r="C671" s="25" t="str">
        <f t="shared" si="540"/>
        <v>Shipment 1 B-10124 Fired Proces Heater</v>
      </c>
      <c r="D671" s="25" t="s">
        <v>839</v>
      </c>
      <c r="E671" s="25" t="s">
        <v>838</v>
      </c>
      <c r="F671" s="25"/>
      <c r="G671" s="65"/>
      <c r="H671" s="25" t="s">
        <v>842</v>
      </c>
      <c r="I671" s="25"/>
      <c r="J671" s="26" t="s">
        <v>844</v>
      </c>
      <c r="K671" s="27" t="s">
        <v>690</v>
      </c>
      <c r="L671" s="28" t="s">
        <v>691</v>
      </c>
      <c r="M671" s="28" t="s">
        <v>822</v>
      </c>
      <c r="N671" s="25">
        <v>1</v>
      </c>
      <c r="O671" s="29">
        <v>1434.0000000000002</v>
      </c>
      <c r="P671" s="29">
        <v>1434.0000000000002</v>
      </c>
      <c r="Q671" s="25" t="s">
        <v>830</v>
      </c>
      <c r="R671" s="25"/>
      <c r="S671" s="26"/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si="541"/>
        <v>0</v>
      </c>
      <c r="AF671" s="32">
        <f t="shared" si="542"/>
        <v>1434.0000000000002</v>
      </c>
      <c r="AG671" s="30"/>
      <c r="AH671" s="33"/>
      <c r="AI671" s="34">
        <f t="shared" si="543"/>
        <v>0</v>
      </c>
      <c r="AJ671" s="35"/>
      <c r="AK671" s="30"/>
      <c r="AL671" s="36">
        <f t="shared" si="544"/>
        <v>0</v>
      </c>
      <c r="AM671" s="35"/>
      <c r="AN671" s="30"/>
      <c r="AO671" s="36">
        <f t="shared" si="545"/>
        <v>0</v>
      </c>
      <c r="AP671" s="35"/>
      <c r="AQ671" s="30"/>
      <c r="AR671" s="36">
        <f t="shared" si="546"/>
        <v>0</v>
      </c>
      <c r="AS671" s="27"/>
      <c r="AT671" s="37"/>
      <c r="AU671" s="30"/>
      <c r="AV671" s="36">
        <f t="shared" si="547"/>
        <v>0</v>
      </c>
      <c r="AW671" s="35"/>
      <c r="AX671" s="30"/>
      <c r="AY671" s="32">
        <f t="shared" si="548"/>
        <v>0</v>
      </c>
      <c r="AZ671" s="30" t="s">
        <v>841</v>
      </c>
      <c r="BA671" s="63"/>
      <c r="BB671" s="71" t="e">
        <f>SUMIFS([1]Form!$F$9:$F$22,[1]Form!$K$9:$K$22,K671)</f>
        <v>#VALUE!</v>
      </c>
      <c r="BC671" s="71"/>
      <c r="BD671" s="71"/>
    </row>
    <row r="672" spans="1:56" x14ac:dyDescent="0.25">
      <c r="A672" s="24">
        <f>IF(B672="","",SUBTOTAL(3,$B$4:B672))</f>
        <v>669</v>
      </c>
      <c r="B672" s="25" t="s">
        <v>840</v>
      </c>
      <c r="C672" s="25" t="str">
        <f t="shared" si="540"/>
        <v>Shipment 1 B-10124 Fired Proces Heater</v>
      </c>
      <c r="D672" s="25" t="s">
        <v>839</v>
      </c>
      <c r="E672" s="25" t="s">
        <v>838</v>
      </c>
      <c r="F672" s="25"/>
      <c r="G672" s="65"/>
      <c r="H672" s="25" t="s">
        <v>842</v>
      </c>
      <c r="I672" s="25"/>
      <c r="J672" s="26" t="s">
        <v>844</v>
      </c>
      <c r="K672" s="27" t="s">
        <v>692</v>
      </c>
      <c r="L672" s="28" t="s">
        <v>693</v>
      </c>
      <c r="M672" s="28" t="s">
        <v>822</v>
      </c>
      <c r="N672" s="25">
        <v>1</v>
      </c>
      <c r="O672" s="29">
        <v>757.2</v>
      </c>
      <c r="P672" s="29">
        <v>757.2</v>
      </c>
      <c r="Q672" s="25" t="s">
        <v>831</v>
      </c>
      <c r="R672" s="25"/>
      <c r="S672" s="26"/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541"/>
        <v>0</v>
      </c>
      <c r="AF672" s="32">
        <f t="shared" si="542"/>
        <v>757.2</v>
      </c>
      <c r="AG672" s="30"/>
      <c r="AH672" s="33"/>
      <c r="AI672" s="34">
        <f t="shared" si="543"/>
        <v>0</v>
      </c>
      <c r="AJ672" s="35"/>
      <c r="AK672" s="30"/>
      <c r="AL672" s="36">
        <f t="shared" si="544"/>
        <v>0</v>
      </c>
      <c r="AM672" s="35"/>
      <c r="AN672" s="30"/>
      <c r="AO672" s="36">
        <f t="shared" si="545"/>
        <v>0</v>
      </c>
      <c r="AP672" s="35"/>
      <c r="AQ672" s="30"/>
      <c r="AR672" s="36">
        <f t="shared" si="546"/>
        <v>0</v>
      </c>
      <c r="AS672" s="27"/>
      <c r="AT672" s="37"/>
      <c r="AU672" s="30"/>
      <c r="AV672" s="36">
        <f t="shared" si="547"/>
        <v>0</v>
      </c>
      <c r="AW672" s="35"/>
      <c r="AX672" s="30"/>
      <c r="AY672" s="32">
        <f t="shared" si="548"/>
        <v>0</v>
      </c>
      <c r="AZ672" s="30" t="s">
        <v>841</v>
      </c>
      <c r="BA672" s="63"/>
      <c r="BB672" s="71" t="e">
        <f>SUMIFS([1]Form!$F$9:$F$22,[1]Form!$K$9:$K$22,K672)</f>
        <v>#VALUE!</v>
      </c>
      <c r="BC672" s="71"/>
      <c r="BD672" s="71"/>
    </row>
    <row r="673" spans="1:56" x14ac:dyDescent="0.25">
      <c r="A673" s="24">
        <f>IF(B673="","",SUBTOTAL(3,$B$4:B673))</f>
        <v>670</v>
      </c>
      <c r="B673" s="25" t="s">
        <v>840</v>
      </c>
      <c r="C673" s="25" t="str">
        <f t="shared" si="540"/>
        <v>Shipment 1 B-10124 Fired Proces Heater</v>
      </c>
      <c r="D673" s="25" t="s">
        <v>839</v>
      </c>
      <c r="E673" s="25" t="s">
        <v>838</v>
      </c>
      <c r="F673" s="25"/>
      <c r="G673" s="65"/>
      <c r="H673" s="25" t="s">
        <v>842</v>
      </c>
      <c r="I673" s="25"/>
      <c r="J673" s="26" t="s">
        <v>844</v>
      </c>
      <c r="K673" s="27" t="s">
        <v>694</v>
      </c>
      <c r="L673" s="28" t="s">
        <v>695</v>
      </c>
      <c r="M673" s="28" t="s">
        <v>822</v>
      </c>
      <c r="N673" s="25">
        <v>1</v>
      </c>
      <c r="O673" s="29">
        <v>1434.1000000000001</v>
      </c>
      <c r="P673" s="29">
        <v>1434.1000000000001</v>
      </c>
      <c r="Q673" s="25" t="s">
        <v>830</v>
      </c>
      <c r="R673" s="25"/>
      <c r="S673" s="26"/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541"/>
        <v>0</v>
      </c>
      <c r="AF673" s="32">
        <f t="shared" si="542"/>
        <v>1434.1000000000001</v>
      </c>
      <c r="AG673" s="30"/>
      <c r="AH673" s="33"/>
      <c r="AI673" s="34">
        <f t="shared" si="543"/>
        <v>0</v>
      </c>
      <c r="AJ673" s="35"/>
      <c r="AK673" s="30"/>
      <c r="AL673" s="36">
        <f t="shared" si="544"/>
        <v>0</v>
      </c>
      <c r="AM673" s="35"/>
      <c r="AN673" s="30"/>
      <c r="AO673" s="36">
        <f t="shared" si="545"/>
        <v>0</v>
      </c>
      <c r="AP673" s="35"/>
      <c r="AQ673" s="30"/>
      <c r="AR673" s="36">
        <f t="shared" si="546"/>
        <v>0</v>
      </c>
      <c r="AS673" s="27"/>
      <c r="AT673" s="37"/>
      <c r="AU673" s="30"/>
      <c r="AV673" s="36">
        <f t="shared" si="547"/>
        <v>0</v>
      </c>
      <c r="AW673" s="35"/>
      <c r="AX673" s="30"/>
      <c r="AY673" s="32">
        <f t="shared" si="548"/>
        <v>0</v>
      </c>
      <c r="AZ673" s="30" t="s">
        <v>841</v>
      </c>
      <c r="BA673" s="63"/>
      <c r="BB673" s="71" t="e">
        <f>SUMIFS([1]Form!$F$9:$F$22,[1]Form!$K$9:$K$22,K673)</f>
        <v>#VALUE!</v>
      </c>
      <c r="BC673" s="71"/>
      <c r="BD673" s="71"/>
    </row>
    <row r="674" spans="1:56" x14ac:dyDescent="0.25">
      <c r="A674" s="24">
        <f>IF(B674="","",SUBTOTAL(3,$B$4:B674))</f>
        <v>671</v>
      </c>
      <c r="B674" s="25" t="s">
        <v>840</v>
      </c>
      <c r="C674" s="25" t="str">
        <f t="shared" si="540"/>
        <v>Shipment 1 B-10124 Fired Proces Heater</v>
      </c>
      <c r="D674" s="25" t="s">
        <v>839</v>
      </c>
      <c r="E674" s="25" t="s">
        <v>838</v>
      </c>
      <c r="F674" s="25"/>
      <c r="G674" s="65"/>
      <c r="H674" s="25" t="s">
        <v>842</v>
      </c>
      <c r="I674" s="25"/>
      <c r="J674" s="26" t="s">
        <v>844</v>
      </c>
      <c r="K674" s="27" t="s">
        <v>696</v>
      </c>
      <c r="L674" s="28" t="s">
        <v>697</v>
      </c>
      <c r="M674" s="28" t="s">
        <v>822</v>
      </c>
      <c r="N674" s="25">
        <v>1</v>
      </c>
      <c r="O674" s="29">
        <v>1383.9</v>
      </c>
      <c r="P674" s="29">
        <v>1383.9</v>
      </c>
      <c r="Q674" s="25" t="s">
        <v>832</v>
      </c>
      <c r="R674" s="25"/>
      <c r="S674" s="26"/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541"/>
        <v>0</v>
      </c>
      <c r="AF674" s="32">
        <f t="shared" si="542"/>
        <v>1383.9</v>
      </c>
      <c r="AG674" s="30"/>
      <c r="AH674" s="33"/>
      <c r="AI674" s="34">
        <f t="shared" si="543"/>
        <v>0</v>
      </c>
      <c r="AJ674" s="35"/>
      <c r="AK674" s="30"/>
      <c r="AL674" s="36">
        <f t="shared" si="544"/>
        <v>0</v>
      </c>
      <c r="AM674" s="35"/>
      <c r="AN674" s="30"/>
      <c r="AO674" s="36">
        <f t="shared" si="545"/>
        <v>0</v>
      </c>
      <c r="AP674" s="35"/>
      <c r="AQ674" s="30"/>
      <c r="AR674" s="36">
        <f t="shared" si="546"/>
        <v>0</v>
      </c>
      <c r="AS674" s="27"/>
      <c r="AT674" s="37"/>
      <c r="AU674" s="30"/>
      <c r="AV674" s="36">
        <f t="shared" si="547"/>
        <v>0</v>
      </c>
      <c r="AW674" s="35"/>
      <c r="AX674" s="30"/>
      <c r="AY674" s="32">
        <f t="shared" si="548"/>
        <v>0</v>
      </c>
      <c r="AZ674" s="30" t="s">
        <v>841</v>
      </c>
      <c r="BA674" s="63"/>
      <c r="BB674" s="71" t="e">
        <f>SUMIFS([1]Form!$F$9:$F$22,[1]Form!$K$9:$K$22,K674)</f>
        <v>#VALUE!</v>
      </c>
      <c r="BC674" s="71"/>
      <c r="BD674" s="71"/>
    </row>
    <row r="675" spans="1:56" x14ac:dyDescent="0.25">
      <c r="A675" s="24">
        <f>IF(B675="","",SUBTOTAL(3,$B$4:B675))</f>
        <v>672</v>
      </c>
      <c r="B675" s="25" t="s">
        <v>840</v>
      </c>
      <c r="C675" s="25" t="str">
        <f t="shared" si="540"/>
        <v>Shipment 1 B-10124 Fired Proces Heater</v>
      </c>
      <c r="D675" s="25" t="s">
        <v>839</v>
      </c>
      <c r="E675" s="25" t="s">
        <v>838</v>
      </c>
      <c r="F675" s="25"/>
      <c r="G675" s="65"/>
      <c r="H675" s="25" t="s">
        <v>842</v>
      </c>
      <c r="I675" s="25"/>
      <c r="J675" s="26" t="s">
        <v>844</v>
      </c>
      <c r="K675" s="27" t="s">
        <v>698</v>
      </c>
      <c r="L675" s="28" t="s">
        <v>699</v>
      </c>
      <c r="M675" s="28" t="s">
        <v>822</v>
      </c>
      <c r="N675" s="25">
        <v>1</v>
      </c>
      <c r="O675" s="29">
        <v>1342.5</v>
      </c>
      <c r="P675" s="29">
        <v>1342.5</v>
      </c>
      <c r="Q675" s="25" t="s">
        <v>833</v>
      </c>
      <c r="R675" s="25"/>
      <c r="S675" s="26"/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si="541"/>
        <v>0</v>
      </c>
      <c r="AF675" s="32">
        <f t="shared" si="542"/>
        <v>1342.5</v>
      </c>
      <c r="AG675" s="30"/>
      <c r="AH675" s="33"/>
      <c r="AI675" s="34">
        <f t="shared" si="543"/>
        <v>0</v>
      </c>
      <c r="AJ675" s="35"/>
      <c r="AK675" s="30"/>
      <c r="AL675" s="36">
        <f t="shared" si="544"/>
        <v>0</v>
      </c>
      <c r="AM675" s="35"/>
      <c r="AN675" s="30"/>
      <c r="AO675" s="36">
        <f t="shared" si="545"/>
        <v>0</v>
      </c>
      <c r="AP675" s="35"/>
      <c r="AQ675" s="30"/>
      <c r="AR675" s="36">
        <f t="shared" si="546"/>
        <v>0</v>
      </c>
      <c r="AS675" s="27"/>
      <c r="AT675" s="37"/>
      <c r="AU675" s="30"/>
      <c r="AV675" s="36">
        <f t="shared" si="547"/>
        <v>0</v>
      </c>
      <c r="AW675" s="35"/>
      <c r="AX675" s="30"/>
      <c r="AY675" s="32">
        <f t="shared" si="548"/>
        <v>0</v>
      </c>
      <c r="AZ675" s="30" t="s">
        <v>841</v>
      </c>
      <c r="BA675" s="63"/>
      <c r="BB675" s="71" t="e">
        <f>SUMIFS([1]Form!$F$9:$F$22,[1]Form!$K$9:$K$22,K675)</f>
        <v>#VALUE!</v>
      </c>
      <c r="BC675" s="71"/>
      <c r="BD675" s="71"/>
    </row>
    <row r="676" spans="1:56" x14ac:dyDescent="0.25">
      <c r="A676" s="24">
        <f>IF(B676="","",SUBTOTAL(3,$B$4:B676))</f>
        <v>673</v>
      </c>
      <c r="B676" s="25" t="s">
        <v>840</v>
      </c>
      <c r="C676" s="25" t="str">
        <f t="shared" si="540"/>
        <v>Shipment 1 B-10124 Fired Proces Heater</v>
      </c>
      <c r="D676" s="25" t="s">
        <v>839</v>
      </c>
      <c r="E676" s="25" t="s">
        <v>838</v>
      </c>
      <c r="F676" s="25"/>
      <c r="G676" s="65"/>
      <c r="H676" s="25" t="s">
        <v>842</v>
      </c>
      <c r="I676" s="25"/>
      <c r="J676" s="26" t="s">
        <v>844</v>
      </c>
      <c r="K676" s="27" t="s">
        <v>700</v>
      </c>
      <c r="L676" s="28" t="s">
        <v>701</v>
      </c>
      <c r="M676" s="28" t="s">
        <v>834</v>
      </c>
      <c r="N676" s="25">
        <v>1</v>
      </c>
      <c r="O676" s="29">
        <v>10533.300000000003</v>
      </c>
      <c r="P676" s="29">
        <v>10533.300000000003</v>
      </c>
      <c r="Q676" s="25" t="s">
        <v>835</v>
      </c>
      <c r="R676" s="25"/>
      <c r="S676" s="26"/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si="541"/>
        <v>0</v>
      </c>
      <c r="AF676" s="32">
        <f t="shared" si="542"/>
        <v>10533.300000000003</v>
      </c>
      <c r="AG676" s="30"/>
      <c r="AH676" s="33"/>
      <c r="AI676" s="34">
        <f t="shared" si="543"/>
        <v>0</v>
      </c>
      <c r="AJ676" s="35"/>
      <c r="AK676" s="30"/>
      <c r="AL676" s="36">
        <f t="shared" si="544"/>
        <v>0</v>
      </c>
      <c r="AM676" s="35"/>
      <c r="AN676" s="30"/>
      <c r="AO676" s="36">
        <f t="shared" si="545"/>
        <v>0</v>
      </c>
      <c r="AP676" s="35"/>
      <c r="AQ676" s="30"/>
      <c r="AR676" s="36">
        <f t="shared" si="546"/>
        <v>0</v>
      </c>
      <c r="AS676" s="27"/>
      <c r="AT676" s="37"/>
      <c r="AU676" s="30"/>
      <c r="AV676" s="36">
        <f t="shared" si="547"/>
        <v>0</v>
      </c>
      <c r="AW676" s="35"/>
      <c r="AX676" s="30"/>
      <c r="AY676" s="32">
        <f t="shared" si="548"/>
        <v>0</v>
      </c>
      <c r="AZ676" s="30" t="s">
        <v>841</v>
      </c>
      <c r="BA676" s="63"/>
      <c r="BB676" s="71" t="e">
        <f>SUMIFS([1]Form!$F$9:$F$22,[1]Form!$K$9:$K$22,K676)</f>
        <v>#VALUE!</v>
      </c>
      <c r="BC676" s="71"/>
      <c r="BD676" s="71"/>
    </row>
    <row r="677" spans="1:56" x14ac:dyDescent="0.25">
      <c r="A677" s="24">
        <f>IF(B677="","",SUBTOTAL(3,$B$4:B677))</f>
        <v>674</v>
      </c>
      <c r="B677" s="25" t="s">
        <v>840</v>
      </c>
      <c r="C677" s="25" t="str">
        <f t="shared" si="540"/>
        <v>Shipment 1 B-10124 Fired Proces Heater</v>
      </c>
      <c r="D677" s="25" t="s">
        <v>839</v>
      </c>
      <c r="E677" s="25" t="s">
        <v>838</v>
      </c>
      <c r="F677" s="25"/>
      <c r="G677" s="65"/>
      <c r="H677" s="25" t="s">
        <v>842</v>
      </c>
      <c r="I677" s="25"/>
      <c r="J677" s="26" t="s">
        <v>844</v>
      </c>
      <c r="K677" s="27" t="s">
        <v>702</v>
      </c>
      <c r="L677" s="28" t="s">
        <v>703</v>
      </c>
      <c r="M677" s="28" t="s">
        <v>836</v>
      </c>
      <c r="N677" s="25">
        <v>1</v>
      </c>
      <c r="O677" s="29">
        <v>3176.6</v>
      </c>
      <c r="P677" s="29">
        <v>3176.6</v>
      </c>
      <c r="Q677" s="25" t="s">
        <v>837</v>
      </c>
      <c r="R677" s="25"/>
      <c r="S677" s="26"/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541"/>
        <v>0</v>
      </c>
      <c r="AF677" s="32">
        <f t="shared" si="542"/>
        <v>3176.6</v>
      </c>
      <c r="AG677" s="30"/>
      <c r="AH677" s="33"/>
      <c r="AI677" s="34">
        <f t="shared" si="543"/>
        <v>0</v>
      </c>
      <c r="AJ677" s="35"/>
      <c r="AK677" s="30"/>
      <c r="AL677" s="36">
        <f t="shared" si="544"/>
        <v>0</v>
      </c>
      <c r="AM677" s="35"/>
      <c r="AN677" s="30"/>
      <c r="AO677" s="36">
        <f t="shared" si="545"/>
        <v>0</v>
      </c>
      <c r="AP677" s="35"/>
      <c r="AQ677" s="30"/>
      <c r="AR677" s="36">
        <f t="shared" si="546"/>
        <v>0</v>
      </c>
      <c r="AS677" s="27"/>
      <c r="AT677" s="37"/>
      <c r="AU677" s="30"/>
      <c r="AV677" s="36">
        <f t="shared" si="547"/>
        <v>0</v>
      </c>
      <c r="AW677" s="35"/>
      <c r="AX677" s="30"/>
      <c r="AY677" s="32">
        <f t="shared" si="548"/>
        <v>0</v>
      </c>
      <c r="AZ677" s="30" t="s">
        <v>841</v>
      </c>
      <c r="BA677" s="63"/>
      <c r="BB677" s="71" t="e">
        <f>SUMIFS([1]Form!$F$9:$F$22,[1]Form!$K$9:$K$22,K677)</f>
        <v>#VALUE!</v>
      </c>
      <c r="BC677" s="71"/>
      <c r="BD677" s="71"/>
    </row>
    <row r="678" spans="1:56" x14ac:dyDescent="0.25">
      <c r="A678" s="24">
        <f>IF(B678="","",SUBTOTAL(3,$B$4:B678))</f>
        <v>675</v>
      </c>
      <c r="B678" s="25" t="s">
        <v>840</v>
      </c>
      <c r="C678" s="25" t="str">
        <f t="shared" si="540"/>
        <v>Shipment 1 B-10124 Fired Proces Heater</v>
      </c>
      <c r="D678" s="25" t="s">
        <v>839</v>
      </c>
      <c r="E678" s="25" t="s">
        <v>838</v>
      </c>
      <c r="F678" s="25"/>
      <c r="G678" s="65"/>
      <c r="H678" s="25" t="s">
        <v>842</v>
      </c>
      <c r="I678" s="25"/>
      <c r="J678" s="26" t="s">
        <v>844</v>
      </c>
      <c r="K678" s="27" t="s">
        <v>1142</v>
      </c>
      <c r="L678" s="28" t="s">
        <v>1143</v>
      </c>
      <c r="M678" s="28"/>
      <c r="N678" s="25">
        <v>1</v>
      </c>
      <c r="O678" s="29">
        <v>7.4999999999999997E-2</v>
      </c>
      <c r="P678" s="29">
        <v>7.4999999999999997E-2</v>
      </c>
      <c r="Q678" s="25" t="s">
        <v>738</v>
      </c>
      <c r="R678" s="25"/>
      <c r="S678" s="26"/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541"/>
        <v>0</v>
      </c>
      <c r="AF678" s="32">
        <f t="shared" si="542"/>
        <v>7.4999999999999997E-2</v>
      </c>
      <c r="AG678" s="30"/>
      <c r="AH678" s="33"/>
      <c r="AI678" s="34">
        <f t="shared" si="543"/>
        <v>0</v>
      </c>
      <c r="AJ678" s="35"/>
      <c r="AK678" s="30"/>
      <c r="AL678" s="36">
        <f t="shared" si="544"/>
        <v>0</v>
      </c>
      <c r="AM678" s="35"/>
      <c r="AN678" s="30"/>
      <c r="AO678" s="36">
        <f t="shared" si="545"/>
        <v>0</v>
      </c>
      <c r="AP678" s="35"/>
      <c r="AQ678" s="30"/>
      <c r="AR678" s="36">
        <f t="shared" si="546"/>
        <v>0</v>
      </c>
      <c r="AS678" s="27"/>
      <c r="AT678" s="37"/>
      <c r="AU678" s="30"/>
      <c r="AV678" s="36">
        <f t="shared" si="547"/>
        <v>0</v>
      </c>
      <c r="AW678" s="35"/>
      <c r="AX678" s="30"/>
      <c r="AY678" s="32">
        <f t="shared" si="548"/>
        <v>0</v>
      </c>
      <c r="AZ678" s="30" t="s">
        <v>841</v>
      </c>
      <c r="BA678" s="63"/>
      <c r="BB678" s="71" t="e">
        <f>SUMIFS([1]Form!$F$9:$F$22,[1]Form!$K$9:$K$22,K678)</f>
        <v>#VALUE!</v>
      </c>
      <c r="BC678" s="71"/>
      <c r="BD678" s="71"/>
    </row>
    <row r="679" spans="1:56" x14ac:dyDescent="0.25">
      <c r="A679" s="24">
        <f>IF(B679="","",SUBTOTAL(3,$B$4:B679))</f>
        <v>676</v>
      </c>
      <c r="B679" s="25" t="s">
        <v>840</v>
      </c>
      <c r="C679" s="25" t="str">
        <f t="shared" si="540"/>
        <v>Shipment 1 B-10124 Fired Proces Heater</v>
      </c>
      <c r="D679" s="25" t="s">
        <v>839</v>
      </c>
      <c r="E679" s="25" t="s">
        <v>838</v>
      </c>
      <c r="F679" s="25"/>
      <c r="G679" s="65"/>
      <c r="H679" s="25" t="s">
        <v>842</v>
      </c>
      <c r="I679" s="25"/>
      <c r="J679" s="26" t="s">
        <v>844</v>
      </c>
      <c r="K679" s="27" t="s">
        <v>1142</v>
      </c>
      <c r="L679" s="28" t="s">
        <v>1144</v>
      </c>
      <c r="M679" s="28"/>
      <c r="N679" s="25">
        <v>1</v>
      </c>
      <c r="O679" s="29">
        <v>7.4999999999999997E-2</v>
      </c>
      <c r="P679" s="29">
        <v>7.4999999999999997E-2</v>
      </c>
      <c r="Q679" s="25" t="s">
        <v>738</v>
      </c>
      <c r="R679" s="25"/>
      <c r="S679" s="26"/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541"/>
        <v>0</v>
      </c>
      <c r="AF679" s="32">
        <f t="shared" si="542"/>
        <v>7.4999999999999997E-2</v>
      </c>
      <c r="AG679" s="30"/>
      <c r="AH679" s="33"/>
      <c r="AI679" s="34">
        <f t="shared" si="543"/>
        <v>0</v>
      </c>
      <c r="AJ679" s="35"/>
      <c r="AK679" s="30"/>
      <c r="AL679" s="36">
        <f t="shared" si="544"/>
        <v>0</v>
      </c>
      <c r="AM679" s="35"/>
      <c r="AN679" s="30"/>
      <c r="AO679" s="36">
        <f t="shared" si="545"/>
        <v>0</v>
      </c>
      <c r="AP679" s="35"/>
      <c r="AQ679" s="30"/>
      <c r="AR679" s="36">
        <f t="shared" si="546"/>
        <v>0</v>
      </c>
      <c r="AS679" s="27"/>
      <c r="AT679" s="37"/>
      <c r="AU679" s="30"/>
      <c r="AV679" s="36">
        <f t="shared" si="547"/>
        <v>0</v>
      </c>
      <c r="AW679" s="35"/>
      <c r="AX679" s="30"/>
      <c r="AY679" s="32">
        <f t="shared" si="548"/>
        <v>0</v>
      </c>
      <c r="AZ679" s="30" t="s">
        <v>841</v>
      </c>
      <c r="BA679" s="63"/>
      <c r="BB679" s="71" t="e">
        <f>SUMIFS([1]Form!$F$9:$F$22,[1]Form!$K$9:$K$22,K679)</f>
        <v>#VALUE!</v>
      </c>
      <c r="BC679" s="71"/>
      <c r="BD679" s="71"/>
    </row>
    <row r="680" spans="1:56" x14ac:dyDescent="0.25">
      <c r="A680" s="24">
        <f>IF(B680="","",SUBTOTAL(3,$B$4:B680))</f>
        <v>677</v>
      </c>
      <c r="B680" s="25" t="s">
        <v>840</v>
      </c>
      <c r="C680" s="25" t="str">
        <f t="shared" si="540"/>
        <v>Shipment 1 B-10124 Fired Proces Heater</v>
      </c>
      <c r="D680" s="25" t="s">
        <v>839</v>
      </c>
      <c r="E680" s="25" t="s">
        <v>838</v>
      </c>
      <c r="F680" s="25"/>
      <c r="G680" s="65"/>
      <c r="H680" s="25" t="s">
        <v>842</v>
      </c>
      <c r="I680" s="25"/>
      <c r="J680" s="26" t="s">
        <v>844</v>
      </c>
      <c r="K680" s="27" t="s">
        <v>1142</v>
      </c>
      <c r="L680" s="28" t="s">
        <v>1145</v>
      </c>
      <c r="M680" s="28"/>
      <c r="N680" s="25">
        <v>1</v>
      </c>
      <c r="O680" s="29">
        <v>7.4999999999999997E-2</v>
      </c>
      <c r="P680" s="29">
        <v>7.4999999999999997E-2</v>
      </c>
      <c r="Q680" s="25" t="s">
        <v>738</v>
      </c>
      <c r="R680" s="25"/>
      <c r="S680" s="26"/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541"/>
        <v>0</v>
      </c>
      <c r="AF680" s="32">
        <f t="shared" si="542"/>
        <v>7.4999999999999997E-2</v>
      </c>
      <c r="AG680" s="30"/>
      <c r="AH680" s="33"/>
      <c r="AI680" s="34">
        <f t="shared" si="543"/>
        <v>0</v>
      </c>
      <c r="AJ680" s="35"/>
      <c r="AK680" s="30"/>
      <c r="AL680" s="36">
        <f t="shared" si="544"/>
        <v>0</v>
      </c>
      <c r="AM680" s="35"/>
      <c r="AN680" s="30"/>
      <c r="AO680" s="36">
        <f t="shared" si="545"/>
        <v>0</v>
      </c>
      <c r="AP680" s="35"/>
      <c r="AQ680" s="30"/>
      <c r="AR680" s="36">
        <f t="shared" si="546"/>
        <v>0</v>
      </c>
      <c r="AS680" s="27"/>
      <c r="AT680" s="37"/>
      <c r="AU680" s="30"/>
      <c r="AV680" s="36">
        <f t="shared" si="547"/>
        <v>0</v>
      </c>
      <c r="AW680" s="35"/>
      <c r="AX680" s="30"/>
      <c r="AY680" s="32">
        <f t="shared" si="548"/>
        <v>0</v>
      </c>
      <c r="AZ680" s="30" t="s">
        <v>841</v>
      </c>
      <c r="BA680" s="63"/>
      <c r="BB680" s="71" t="e">
        <f>SUMIFS([1]Form!$F$9:$F$22,[1]Form!$K$9:$K$22,K680)</f>
        <v>#VALUE!</v>
      </c>
      <c r="BC680" s="71"/>
      <c r="BD680" s="71"/>
    </row>
    <row r="681" spans="1:56" x14ac:dyDescent="0.25">
      <c r="A681" s="24">
        <f>IF(B681="","",SUBTOTAL(3,$B$4:B681))</f>
        <v>678</v>
      </c>
      <c r="B681" s="25" t="s">
        <v>840</v>
      </c>
      <c r="C681" s="25" t="str">
        <f t="shared" si="540"/>
        <v>Shipment 1 B-10124 Fired Proces Heater</v>
      </c>
      <c r="D681" s="25" t="s">
        <v>839</v>
      </c>
      <c r="E681" s="25" t="s">
        <v>838</v>
      </c>
      <c r="F681" s="25"/>
      <c r="G681" s="65"/>
      <c r="H681" s="25" t="s">
        <v>842</v>
      </c>
      <c r="I681" s="25"/>
      <c r="J681" s="26" t="s">
        <v>844</v>
      </c>
      <c r="K681" s="27" t="s">
        <v>1142</v>
      </c>
      <c r="L681" s="28" t="s">
        <v>1146</v>
      </c>
      <c r="M681" s="28"/>
      <c r="N681" s="25">
        <v>1</v>
      </c>
      <c r="O681" s="29">
        <v>7.4999999999999997E-2</v>
      </c>
      <c r="P681" s="29">
        <v>7.4999999999999997E-2</v>
      </c>
      <c r="Q681" s="25" t="s">
        <v>738</v>
      </c>
      <c r="R681" s="25"/>
      <c r="S681" s="26"/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541"/>
        <v>0</v>
      </c>
      <c r="AF681" s="32">
        <f t="shared" si="542"/>
        <v>7.4999999999999997E-2</v>
      </c>
      <c r="AG681" s="30"/>
      <c r="AH681" s="33"/>
      <c r="AI681" s="34">
        <f t="shared" si="543"/>
        <v>0</v>
      </c>
      <c r="AJ681" s="35"/>
      <c r="AK681" s="30"/>
      <c r="AL681" s="36">
        <f t="shared" si="544"/>
        <v>0</v>
      </c>
      <c r="AM681" s="35"/>
      <c r="AN681" s="30"/>
      <c r="AO681" s="36">
        <f t="shared" si="545"/>
        <v>0</v>
      </c>
      <c r="AP681" s="35"/>
      <c r="AQ681" s="30"/>
      <c r="AR681" s="36">
        <f t="shared" si="546"/>
        <v>0</v>
      </c>
      <c r="AS681" s="27"/>
      <c r="AT681" s="37"/>
      <c r="AU681" s="30"/>
      <c r="AV681" s="36">
        <f t="shared" si="547"/>
        <v>0</v>
      </c>
      <c r="AW681" s="35"/>
      <c r="AX681" s="30"/>
      <c r="AY681" s="32">
        <f t="shared" si="548"/>
        <v>0</v>
      </c>
      <c r="AZ681" s="30" t="s">
        <v>841</v>
      </c>
      <c r="BA681" s="63"/>
      <c r="BB681" s="71" t="e">
        <f>SUMIFS([1]Form!$F$9:$F$22,[1]Form!$K$9:$K$22,K681)</f>
        <v>#VALUE!</v>
      </c>
      <c r="BC681" s="71"/>
      <c r="BD681" s="71"/>
    </row>
    <row r="682" spans="1:56" x14ac:dyDescent="0.25">
      <c r="A682" s="24">
        <f>IF(B682="","",SUBTOTAL(3,$B$4:B682))</f>
        <v>679</v>
      </c>
      <c r="B682" s="25" t="s">
        <v>840</v>
      </c>
      <c r="C682" s="25" t="str">
        <f t="shared" si="540"/>
        <v>Shipment 1 B-10124 Fired Proces Heater</v>
      </c>
      <c r="D682" s="25" t="s">
        <v>839</v>
      </c>
      <c r="E682" s="25" t="s">
        <v>838</v>
      </c>
      <c r="F682" s="25"/>
      <c r="G682" s="65"/>
      <c r="H682" s="25" t="s">
        <v>842</v>
      </c>
      <c r="I682" s="25"/>
      <c r="J682" s="26" t="s">
        <v>844</v>
      </c>
      <c r="K682" s="27" t="s">
        <v>1147</v>
      </c>
      <c r="L682" s="28" t="s">
        <v>1148</v>
      </c>
      <c r="M682" s="28"/>
      <c r="N682" s="25">
        <v>1</v>
      </c>
      <c r="O682" s="29">
        <v>79.600000000000009</v>
      </c>
      <c r="P682" s="29">
        <v>79.600000000000009</v>
      </c>
      <c r="Q682" s="25" t="s">
        <v>1149</v>
      </c>
      <c r="R682" s="25"/>
      <c r="S682" s="26"/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541"/>
        <v>0</v>
      </c>
      <c r="AF682" s="32">
        <f t="shared" si="542"/>
        <v>79.600000000000009</v>
      </c>
      <c r="AG682" s="30"/>
      <c r="AH682" s="33"/>
      <c r="AI682" s="34">
        <f t="shared" si="543"/>
        <v>0</v>
      </c>
      <c r="AJ682" s="35"/>
      <c r="AK682" s="30"/>
      <c r="AL682" s="36">
        <f t="shared" si="544"/>
        <v>0</v>
      </c>
      <c r="AM682" s="35"/>
      <c r="AN682" s="30"/>
      <c r="AO682" s="36">
        <f t="shared" si="545"/>
        <v>0</v>
      </c>
      <c r="AP682" s="35"/>
      <c r="AQ682" s="30"/>
      <c r="AR682" s="36">
        <f t="shared" si="546"/>
        <v>0</v>
      </c>
      <c r="AS682" s="27"/>
      <c r="AT682" s="37"/>
      <c r="AU682" s="30"/>
      <c r="AV682" s="36">
        <f t="shared" si="547"/>
        <v>0</v>
      </c>
      <c r="AW682" s="35"/>
      <c r="AX682" s="30"/>
      <c r="AY682" s="32">
        <f t="shared" si="548"/>
        <v>0</v>
      </c>
      <c r="AZ682" s="30" t="s">
        <v>841</v>
      </c>
      <c r="BA682" s="63"/>
      <c r="BB682" s="71" t="e">
        <f>SUMIFS([1]Form!$F$9:$F$22,[1]Form!$K$9:$K$22,K682)</f>
        <v>#VALUE!</v>
      </c>
      <c r="BC682" s="71"/>
      <c r="BD682" s="71"/>
    </row>
    <row r="683" spans="1:56" x14ac:dyDescent="0.25">
      <c r="A683" s="24" t="str">
        <f>IF(B683="","",SUBTOTAL(3,$B$4:B683))</f>
        <v/>
      </c>
      <c r="B683" s="25"/>
      <c r="C683" s="25" t="str">
        <f t="shared" ref="C683:C686" si="549">D683&amp;" "&amp;E683</f>
        <v xml:space="preserve"> </v>
      </c>
      <c r="D683" s="25"/>
      <c r="E683" s="25"/>
      <c r="F683" s="25"/>
      <c r="G683" s="65"/>
      <c r="H683" s="25"/>
      <c r="I683" s="25"/>
      <c r="J683" s="26"/>
      <c r="K683" s="27"/>
      <c r="L683" s="28"/>
      <c r="M683" s="28"/>
      <c r="N683" s="25"/>
      <c r="O683" s="29"/>
      <c r="P683" s="29"/>
      <c r="Q683" s="25"/>
      <c r="R683" s="25"/>
      <c r="S683" s="26"/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ref="AE683:AE686" si="550">+AL683*0.5+AO683*0.4+AV683*0.1</f>
        <v>0</v>
      </c>
      <c r="AF683" s="32">
        <f t="shared" ref="AF683:AF686" si="551">+P683-AE683</f>
        <v>0</v>
      </c>
      <c r="AG683" s="30"/>
      <c r="AH683" s="33"/>
      <c r="AI683" s="34">
        <f t="shared" ref="AI683:AI686" si="552">+AH683*P683</f>
        <v>0</v>
      </c>
      <c r="AJ683" s="35"/>
      <c r="AK683" s="30"/>
      <c r="AL683" s="36">
        <f t="shared" ref="AL683:AL686" si="553">IFERROR(AK683*$P683/$N683,0)</f>
        <v>0</v>
      </c>
      <c r="AM683" s="35"/>
      <c r="AN683" s="30"/>
      <c r="AO683" s="36">
        <f t="shared" ref="AO683:AO686" si="554">IFERROR(AN683*$P683/$N683,0)</f>
        <v>0</v>
      </c>
      <c r="AP683" s="35"/>
      <c r="AQ683" s="30"/>
      <c r="AR683" s="36">
        <f t="shared" ref="AR683:AR686" si="555">IFERROR(AQ683*$P683/$N683,0)</f>
        <v>0</v>
      </c>
      <c r="AS683" s="27"/>
      <c r="AT683" s="37"/>
      <c r="AU683" s="30"/>
      <c r="AV683" s="36">
        <f t="shared" ref="AV683:AV686" si="556">IFERROR(AU683*$P683/$N683,0)</f>
        <v>0</v>
      </c>
      <c r="AW683" s="35"/>
      <c r="AX683" s="30"/>
      <c r="AY683" s="32">
        <f t="shared" ref="AY683:AY686" si="557">IFERROR(AX683*$P683/$N683,0)</f>
        <v>0</v>
      </c>
      <c r="AZ683" s="30"/>
      <c r="BA683" s="63"/>
      <c r="BB683" s="71"/>
      <c r="BC683" s="71"/>
      <c r="BD683" s="71"/>
    </row>
    <row r="684" spans="1:56" x14ac:dyDescent="0.25">
      <c r="A684" s="24" t="str">
        <f>IF(B684="","",SUBTOTAL(3,$B$4:B684))</f>
        <v/>
      </c>
      <c r="B684" s="25"/>
      <c r="C684" s="25" t="str">
        <f t="shared" si="549"/>
        <v xml:space="preserve"> </v>
      </c>
      <c r="D684" s="25"/>
      <c r="E684" s="25"/>
      <c r="F684" s="25"/>
      <c r="G684" s="65"/>
      <c r="H684" s="25"/>
      <c r="I684" s="25"/>
      <c r="J684" s="26"/>
      <c r="K684" s="27"/>
      <c r="L684" s="28"/>
      <c r="M684" s="28"/>
      <c r="N684" s="25"/>
      <c r="O684" s="29"/>
      <c r="P684" s="29"/>
      <c r="Q684" s="25"/>
      <c r="R684" s="25"/>
      <c r="S684" s="26"/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550"/>
        <v>0</v>
      </c>
      <c r="AF684" s="32">
        <f t="shared" si="551"/>
        <v>0</v>
      </c>
      <c r="AG684" s="30"/>
      <c r="AH684" s="33"/>
      <c r="AI684" s="34">
        <f t="shared" si="552"/>
        <v>0</v>
      </c>
      <c r="AJ684" s="35"/>
      <c r="AK684" s="30"/>
      <c r="AL684" s="36">
        <f t="shared" si="553"/>
        <v>0</v>
      </c>
      <c r="AM684" s="35"/>
      <c r="AN684" s="30"/>
      <c r="AO684" s="36">
        <f t="shared" si="554"/>
        <v>0</v>
      </c>
      <c r="AP684" s="35"/>
      <c r="AQ684" s="30"/>
      <c r="AR684" s="36">
        <f t="shared" si="555"/>
        <v>0</v>
      </c>
      <c r="AS684" s="27"/>
      <c r="AT684" s="37"/>
      <c r="AU684" s="30"/>
      <c r="AV684" s="36">
        <f t="shared" si="556"/>
        <v>0</v>
      </c>
      <c r="AW684" s="35"/>
      <c r="AX684" s="30"/>
      <c r="AY684" s="32">
        <f t="shared" si="557"/>
        <v>0</v>
      </c>
      <c r="AZ684" s="30"/>
      <c r="BA684" s="63"/>
      <c r="BB684" s="71"/>
      <c r="BC684" s="71"/>
      <c r="BD684" s="71"/>
    </row>
    <row r="685" spans="1:56" x14ac:dyDescent="0.25">
      <c r="A685" s="24" t="str">
        <f>IF(B685="","",SUBTOTAL(3,$B$4:B685))</f>
        <v/>
      </c>
      <c r="B685" s="25"/>
      <c r="C685" s="25" t="str">
        <f t="shared" si="549"/>
        <v xml:space="preserve"> </v>
      </c>
      <c r="D685" s="25"/>
      <c r="E685" s="25"/>
      <c r="F685" s="25"/>
      <c r="G685" s="65"/>
      <c r="H685" s="25"/>
      <c r="I685" s="25"/>
      <c r="J685" s="26"/>
      <c r="K685" s="27"/>
      <c r="L685" s="28"/>
      <c r="M685" s="28"/>
      <c r="N685" s="25"/>
      <c r="O685" s="29"/>
      <c r="P685" s="29"/>
      <c r="Q685" s="25"/>
      <c r="R685" s="25"/>
      <c r="S685" s="26"/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550"/>
        <v>0</v>
      </c>
      <c r="AF685" s="32">
        <f t="shared" si="551"/>
        <v>0</v>
      </c>
      <c r="AG685" s="30"/>
      <c r="AH685" s="33"/>
      <c r="AI685" s="34">
        <f t="shared" si="552"/>
        <v>0</v>
      </c>
      <c r="AJ685" s="35"/>
      <c r="AK685" s="30"/>
      <c r="AL685" s="36">
        <f t="shared" si="553"/>
        <v>0</v>
      </c>
      <c r="AM685" s="35"/>
      <c r="AN685" s="30"/>
      <c r="AO685" s="36">
        <f t="shared" si="554"/>
        <v>0</v>
      </c>
      <c r="AP685" s="35"/>
      <c r="AQ685" s="30"/>
      <c r="AR685" s="36">
        <f t="shared" si="555"/>
        <v>0</v>
      </c>
      <c r="AS685" s="27"/>
      <c r="AT685" s="37"/>
      <c r="AU685" s="30"/>
      <c r="AV685" s="36">
        <f t="shared" si="556"/>
        <v>0</v>
      </c>
      <c r="AW685" s="35"/>
      <c r="AX685" s="30"/>
      <c r="AY685" s="32">
        <f t="shared" si="557"/>
        <v>0</v>
      </c>
      <c r="AZ685" s="30"/>
      <c r="BA685" s="63"/>
      <c r="BB685" s="71"/>
      <c r="BC685" s="71"/>
      <c r="BD685" s="71"/>
    </row>
    <row r="686" spans="1:56" x14ac:dyDescent="0.25">
      <c r="A686" s="24" t="str">
        <f>IF(B686="","",SUBTOTAL(3,$B$4:B686))</f>
        <v/>
      </c>
      <c r="B686" s="25"/>
      <c r="C686" s="25" t="str">
        <f t="shared" si="549"/>
        <v xml:space="preserve"> </v>
      </c>
      <c r="D686" s="25"/>
      <c r="E686" s="25"/>
      <c r="F686" s="25"/>
      <c r="G686" s="65"/>
      <c r="H686" s="25"/>
      <c r="I686" s="25"/>
      <c r="J686" s="26"/>
      <c r="K686" s="27"/>
      <c r="L686" s="28"/>
      <c r="M686" s="28"/>
      <c r="N686" s="25"/>
      <c r="O686" s="29"/>
      <c r="P686" s="29"/>
      <c r="Q686" s="25"/>
      <c r="R686" s="25"/>
      <c r="S686" s="26"/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550"/>
        <v>0</v>
      </c>
      <c r="AF686" s="32">
        <f t="shared" si="551"/>
        <v>0</v>
      </c>
      <c r="AG686" s="30"/>
      <c r="AH686" s="33"/>
      <c r="AI686" s="34">
        <f t="shared" si="552"/>
        <v>0</v>
      </c>
      <c r="AJ686" s="35"/>
      <c r="AK686" s="30"/>
      <c r="AL686" s="36">
        <f t="shared" si="553"/>
        <v>0</v>
      </c>
      <c r="AM686" s="35"/>
      <c r="AN686" s="30"/>
      <c r="AO686" s="36">
        <f t="shared" si="554"/>
        <v>0</v>
      </c>
      <c r="AP686" s="35"/>
      <c r="AQ686" s="30"/>
      <c r="AR686" s="36">
        <f t="shared" si="555"/>
        <v>0</v>
      </c>
      <c r="AS686" s="27"/>
      <c r="AT686" s="37"/>
      <c r="AU686" s="30"/>
      <c r="AV686" s="36">
        <f t="shared" si="556"/>
        <v>0</v>
      </c>
      <c r="AW686" s="35"/>
      <c r="AX686" s="30"/>
      <c r="AY686" s="32">
        <f t="shared" si="557"/>
        <v>0</v>
      </c>
      <c r="AZ686" s="30"/>
      <c r="BA686" s="63"/>
      <c r="BB686" s="71"/>
      <c r="BC686" s="71"/>
      <c r="BD686" s="71"/>
    </row>
    <row r="687" spans="1:56" x14ac:dyDescent="0.25">
      <c r="A687" s="24" t="str">
        <f>IF(B687="","",SUBTOTAL(3,$B$4:B687))</f>
        <v/>
      </c>
      <c r="B687" s="25"/>
      <c r="C687" s="25" t="str">
        <f t="shared" ref="C687:C718" si="558">D687&amp;" "&amp;E687</f>
        <v xml:space="preserve"> </v>
      </c>
      <c r="D687" s="25"/>
      <c r="E687" s="25"/>
      <c r="F687" s="25"/>
      <c r="G687" s="65"/>
      <c r="H687" s="25"/>
      <c r="I687" s="25"/>
      <c r="J687" s="26"/>
      <c r="K687" s="27"/>
      <c r="L687" s="28"/>
      <c r="M687" s="28"/>
      <c r="N687" s="25"/>
      <c r="O687" s="29"/>
      <c r="P687" s="29"/>
      <c r="Q687" s="25"/>
      <c r="R687" s="25"/>
      <c r="S687" s="26"/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ref="AE687:AE718" si="559">+AL687*0.5+AO687*0.4+AV687*0.1</f>
        <v>0</v>
      </c>
      <c r="AF687" s="32">
        <f t="shared" ref="AF687:AF718" si="560">+P687-AE687</f>
        <v>0</v>
      </c>
      <c r="AG687" s="30"/>
      <c r="AH687" s="33"/>
      <c r="AI687" s="34">
        <f t="shared" ref="AI687:AI718" si="561">+AH687*P687</f>
        <v>0</v>
      </c>
      <c r="AJ687" s="35"/>
      <c r="AK687" s="30"/>
      <c r="AL687" s="36">
        <f t="shared" ref="AL687:AL718" si="562">IFERROR(AK687*$P687/$N687,0)</f>
        <v>0</v>
      </c>
      <c r="AM687" s="35"/>
      <c r="AN687" s="30"/>
      <c r="AO687" s="36">
        <f t="shared" ref="AO687:AO718" si="563">IFERROR(AN687*$P687/$N687,0)</f>
        <v>0</v>
      </c>
      <c r="AP687" s="35"/>
      <c r="AQ687" s="30"/>
      <c r="AR687" s="36">
        <f t="shared" ref="AR687:AR718" si="564">IFERROR(AQ687*$P687/$N687,0)</f>
        <v>0</v>
      </c>
      <c r="AS687" s="27"/>
      <c r="AT687" s="37"/>
      <c r="AU687" s="30"/>
      <c r="AV687" s="36">
        <f t="shared" ref="AV687:AV718" si="565">IFERROR(AU687*$P687/$N687,0)</f>
        <v>0</v>
      </c>
      <c r="AW687" s="35"/>
      <c r="AX687" s="30"/>
      <c r="AY687" s="32">
        <f t="shared" ref="AY687:AY718" si="566">IFERROR(AX687*$P687/$N687,0)</f>
        <v>0</v>
      </c>
      <c r="AZ687" s="30"/>
      <c r="BA687" s="63"/>
      <c r="BB687" s="71"/>
      <c r="BC687" s="71"/>
      <c r="BD687" s="71"/>
    </row>
    <row r="688" spans="1:56" x14ac:dyDescent="0.25">
      <c r="A688" s="24" t="str">
        <f>IF(B688="","",SUBTOTAL(3,$B$4:B688))</f>
        <v/>
      </c>
      <c r="B688" s="25"/>
      <c r="C688" s="25" t="str">
        <f t="shared" si="558"/>
        <v xml:space="preserve"> </v>
      </c>
      <c r="D688" s="25"/>
      <c r="E688" s="25"/>
      <c r="F688" s="25"/>
      <c r="G688" s="65"/>
      <c r="H688" s="25"/>
      <c r="I688" s="25"/>
      <c r="J688" s="26"/>
      <c r="K688" s="27"/>
      <c r="L688" s="28"/>
      <c r="M688" s="28"/>
      <c r="N688" s="25"/>
      <c r="O688" s="29"/>
      <c r="P688" s="29"/>
      <c r="Q688" s="25"/>
      <c r="R688" s="25"/>
      <c r="S688" s="26"/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si="559"/>
        <v>0</v>
      </c>
      <c r="AF688" s="32">
        <f t="shared" si="560"/>
        <v>0</v>
      </c>
      <c r="AG688" s="30"/>
      <c r="AH688" s="33"/>
      <c r="AI688" s="34">
        <f t="shared" si="561"/>
        <v>0</v>
      </c>
      <c r="AJ688" s="35"/>
      <c r="AK688" s="30"/>
      <c r="AL688" s="36">
        <f t="shared" si="562"/>
        <v>0</v>
      </c>
      <c r="AM688" s="35"/>
      <c r="AN688" s="30"/>
      <c r="AO688" s="36">
        <f t="shared" si="563"/>
        <v>0</v>
      </c>
      <c r="AP688" s="35"/>
      <c r="AQ688" s="30"/>
      <c r="AR688" s="36">
        <f t="shared" si="564"/>
        <v>0</v>
      </c>
      <c r="AS688" s="27"/>
      <c r="AT688" s="37"/>
      <c r="AU688" s="30"/>
      <c r="AV688" s="36">
        <f t="shared" si="565"/>
        <v>0</v>
      </c>
      <c r="AW688" s="35"/>
      <c r="AX688" s="30"/>
      <c r="AY688" s="32">
        <f t="shared" si="566"/>
        <v>0</v>
      </c>
      <c r="AZ688" s="30"/>
      <c r="BA688" s="63"/>
      <c r="BB688" s="71"/>
      <c r="BC688" s="71"/>
      <c r="BD688" s="71"/>
    </row>
    <row r="689" spans="1:56" x14ac:dyDescent="0.25">
      <c r="A689" s="24" t="str">
        <f>IF(B689="","",SUBTOTAL(3,$B$4:B689))</f>
        <v/>
      </c>
      <c r="B689" s="25"/>
      <c r="C689" s="25" t="str">
        <f t="shared" si="558"/>
        <v xml:space="preserve"> </v>
      </c>
      <c r="D689" s="25"/>
      <c r="E689" s="25"/>
      <c r="F689" s="25"/>
      <c r="G689" s="65"/>
      <c r="H689" s="25"/>
      <c r="I689" s="25"/>
      <c r="J689" s="26"/>
      <c r="K689" s="27"/>
      <c r="L689" s="28"/>
      <c r="M689" s="28"/>
      <c r="N689" s="25"/>
      <c r="O689" s="29"/>
      <c r="P689" s="29"/>
      <c r="Q689" s="25"/>
      <c r="R689" s="25"/>
      <c r="S689" s="26"/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559"/>
        <v>0</v>
      </c>
      <c r="AF689" s="32">
        <f t="shared" si="560"/>
        <v>0</v>
      </c>
      <c r="AG689" s="30"/>
      <c r="AH689" s="33"/>
      <c r="AI689" s="34">
        <f t="shared" si="561"/>
        <v>0</v>
      </c>
      <c r="AJ689" s="35"/>
      <c r="AK689" s="30"/>
      <c r="AL689" s="36">
        <f t="shared" si="562"/>
        <v>0</v>
      </c>
      <c r="AM689" s="35"/>
      <c r="AN689" s="30"/>
      <c r="AO689" s="36">
        <f t="shared" si="563"/>
        <v>0</v>
      </c>
      <c r="AP689" s="35"/>
      <c r="AQ689" s="30"/>
      <c r="AR689" s="36">
        <f t="shared" si="564"/>
        <v>0</v>
      </c>
      <c r="AS689" s="27"/>
      <c r="AT689" s="37"/>
      <c r="AU689" s="30"/>
      <c r="AV689" s="36">
        <f t="shared" si="565"/>
        <v>0</v>
      </c>
      <c r="AW689" s="35"/>
      <c r="AX689" s="30"/>
      <c r="AY689" s="32">
        <f t="shared" si="566"/>
        <v>0</v>
      </c>
      <c r="AZ689" s="30"/>
      <c r="BA689" s="63"/>
      <c r="BB689" s="71"/>
      <c r="BC689" s="71"/>
      <c r="BD689" s="71"/>
    </row>
    <row r="690" spans="1:56" x14ac:dyDescent="0.25">
      <c r="A690" s="24" t="str">
        <f>IF(B690="","",SUBTOTAL(3,$B$4:B690))</f>
        <v/>
      </c>
      <c r="B690" s="25"/>
      <c r="C690" s="25" t="str">
        <f t="shared" si="558"/>
        <v xml:space="preserve"> </v>
      </c>
      <c r="D690" s="25"/>
      <c r="E690" s="25"/>
      <c r="F690" s="25"/>
      <c r="G690" s="65"/>
      <c r="H690" s="25"/>
      <c r="I690" s="25"/>
      <c r="J690" s="26"/>
      <c r="K690" s="27"/>
      <c r="L690" s="28"/>
      <c r="M690" s="28"/>
      <c r="N690" s="25"/>
      <c r="O690" s="29"/>
      <c r="P690" s="29"/>
      <c r="Q690" s="25"/>
      <c r="R690" s="25"/>
      <c r="S690" s="26"/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559"/>
        <v>0</v>
      </c>
      <c r="AF690" s="32">
        <f t="shared" si="560"/>
        <v>0</v>
      </c>
      <c r="AG690" s="30"/>
      <c r="AH690" s="33"/>
      <c r="AI690" s="34">
        <f t="shared" si="561"/>
        <v>0</v>
      </c>
      <c r="AJ690" s="35"/>
      <c r="AK690" s="30"/>
      <c r="AL690" s="36">
        <f t="shared" si="562"/>
        <v>0</v>
      </c>
      <c r="AM690" s="35"/>
      <c r="AN690" s="30"/>
      <c r="AO690" s="36">
        <f t="shared" si="563"/>
        <v>0</v>
      </c>
      <c r="AP690" s="35"/>
      <c r="AQ690" s="30"/>
      <c r="AR690" s="36">
        <f t="shared" si="564"/>
        <v>0</v>
      </c>
      <c r="AS690" s="27"/>
      <c r="AT690" s="37"/>
      <c r="AU690" s="30"/>
      <c r="AV690" s="36">
        <f t="shared" si="565"/>
        <v>0</v>
      </c>
      <c r="AW690" s="35"/>
      <c r="AX690" s="30"/>
      <c r="AY690" s="32">
        <f t="shared" si="566"/>
        <v>0</v>
      </c>
      <c r="AZ690" s="30"/>
      <c r="BA690" s="63"/>
      <c r="BB690" s="71"/>
      <c r="BC690" s="71"/>
      <c r="BD690" s="71"/>
    </row>
    <row r="691" spans="1:56" x14ac:dyDescent="0.25">
      <c r="A691" s="24" t="str">
        <f>IF(B691="","",SUBTOTAL(3,$B$4:B691))</f>
        <v/>
      </c>
      <c r="B691" s="25"/>
      <c r="C691" s="25" t="str">
        <f t="shared" si="558"/>
        <v xml:space="preserve"> </v>
      </c>
      <c r="D691" s="25"/>
      <c r="E691" s="25"/>
      <c r="F691" s="25"/>
      <c r="G691" s="65"/>
      <c r="H691" s="25"/>
      <c r="I691" s="25"/>
      <c r="J691" s="26"/>
      <c r="K691" s="27"/>
      <c r="L691" s="28"/>
      <c r="M691" s="28"/>
      <c r="N691" s="25"/>
      <c r="O691" s="29"/>
      <c r="P691" s="29"/>
      <c r="Q691" s="25"/>
      <c r="R691" s="25"/>
      <c r="S691" s="26"/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559"/>
        <v>0</v>
      </c>
      <c r="AF691" s="32">
        <f t="shared" si="560"/>
        <v>0</v>
      </c>
      <c r="AG691" s="30"/>
      <c r="AH691" s="33"/>
      <c r="AI691" s="34">
        <f t="shared" si="561"/>
        <v>0</v>
      </c>
      <c r="AJ691" s="35"/>
      <c r="AK691" s="30"/>
      <c r="AL691" s="36">
        <f t="shared" si="562"/>
        <v>0</v>
      </c>
      <c r="AM691" s="35"/>
      <c r="AN691" s="30"/>
      <c r="AO691" s="36">
        <f t="shared" si="563"/>
        <v>0</v>
      </c>
      <c r="AP691" s="35"/>
      <c r="AQ691" s="30"/>
      <c r="AR691" s="36">
        <f t="shared" si="564"/>
        <v>0</v>
      </c>
      <c r="AS691" s="27"/>
      <c r="AT691" s="37"/>
      <c r="AU691" s="30"/>
      <c r="AV691" s="36">
        <f t="shared" si="565"/>
        <v>0</v>
      </c>
      <c r="AW691" s="35"/>
      <c r="AX691" s="30"/>
      <c r="AY691" s="32">
        <f t="shared" si="566"/>
        <v>0</v>
      </c>
      <c r="AZ691" s="30"/>
      <c r="BA691" s="63"/>
      <c r="BB691" s="71"/>
      <c r="BC691" s="71"/>
      <c r="BD691" s="71"/>
    </row>
    <row r="692" spans="1:56" x14ac:dyDescent="0.25">
      <c r="A692" s="24" t="str">
        <f>IF(B692="","",SUBTOTAL(3,$B$4:B692))</f>
        <v/>
      </c>
      <c r="B692" s="25"/>
      <c r="C692" s="25" t="str">
        <f t="shared" si="558"/>
        <v xml:space="preserve"> </v>
      </c>
      <c r="D692" s="25"/>
      <c r="E692" s="25"/>
      <c r="F692" s="25"/>
      <c r="G692" s="65"/>
      <c r="H692" s="25"/>
      <c r="I692" s="25"/>
      <c r="J692" s="26"/>
      <c r="K692" s="27"/>
      <c r="L692" s="28"/>
      <c r="M692" s="28"/>
      <c r="N692" s="25"/>
      <c r="O692" s="29"/>
      <c r="P692" s="29"/>
      <c r="Q692" s="25"/>
      <c r="R692" s="25"/>
      <c r="S692" s="26"/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559"/>
        <v>0</v>
      </c>
      <c r="AF692" s="32">
        <f t="shared" si="560"/>
        <v>0</v>
      </c>
      <c r="AG692" s="30"/>
      <c r="AH692" s="33"/>
      <c r="AI692" s="34">
        <f t="shared" si="561"/>
        <v>0</v>
      </c>
      <c r="AJ692" s="35"/>
      <c r="AK692" s="30"/>
      <c r="AL692" s="36">
        <f t="shared" si="562"/>
        <v>0</v>
      </c>
      <c r="AM692" s="35"/>
      <c r="AN692" s="30"/>
      <c r="AO692" s="36">
        <f t="shared" si="563"/>
        <v>0</v>
      </c>
      <c r="AP692" s="35"/>
      <c r="AQ692" s="30"/>
      <c r="AR692" s="36">
        <f t="shared" si="564"/>
        <v>0</v>
      </c>
      <c r="AS692" s="27"/>
      <c r="AT692" s="37"/>
      <c r="AU692" s="30"/>
      <c r="AV692" s="36">
        <f t="shared" si="565"/>
        <v>0</v>
      </c>
      <c r="AW692" s="35"/>
      <c r="AX692" s="30"/>
      <c r="AY692" s="32">
        <f t="shared" si="566"/>
        <v>0</v>
      </c>
      <c r="AZ692" s="30"/>
      <c r="BA692" s="63"/>
      <c r="BB692" s="71"/>
      <c r="BC692" s="71"/>
      <c r="BD692" s="71"/>
    </row>
    <row r="693" spans="1:56" x14ac:dyDescent="0.25">
      <c r="A693" s="24" t="str">
        <f>IF(B693="","",SUBTOTAL(3,$B$4:B693))</f>
        <v/>
      </c>
      <c r="B693" s="25"/>
      <c r="C693" s="25" t="str">
        <f t="shared" si="558"/>
        <v xml:space="preserve"> </v>
      </c>
      <c r="D693" s="25"/>
      <c r="E693" s="25"/>
      <c r="F693" s="25"/>
      <c r="G693" s="65"/>
      <c r="H693" s="25"/>
      <c r="I693" s="25"/>
      <c r="J693" s="26"/>
      <c r="K693" s="27"/>
      <c r="L693" s="28"/>
      <c r="M693" s="28"/>
      <c r="N693" s="25"/>
      <c r="O693" s="29"/>
      <c r="P693" s="29"/>
      <c r="Q693" s="25"/>
      <c r="R693" s="25"/>
      <c r="S693" s="26"/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559"/>
        <v>0</v>
      </c>
      <c r="AF693" s="32">
        <f t="shared" si="560"/>
        <v>0</v>
      </c>
      <c r="AG693" s="30"/>
      <c r="AH693" s="33"/>
      <c r="AI693" s="34">
        <f t="shared" si="561"/>
        <v>0</v>
      </c>
      <c r="AJ693" s="35"/>
      <c r="AK693" s="30"/>
      <c r="AL693" s="36">
        <f t="shared" si="562"/>
        <v>0</v>
      </c>
      <c r="AM693" s="35"/>
      <c r="AN693" s="30"/>
      <c r="AO693" s="36">
        <f t="shared" si="563"/>
        <v>0</v>
      </c>
      <c r="AP693" s="35"/>
      <c r="AQ693" s="30"/>
      <c r="AR693" s="36">
        <f t="shared" si="564"/>
        <v>0</v>
      </c>
      <c r="AS693" s="27"/>
      <c r="AT693" s="37"/>
      <c r="AU693" s="30"/>
      <c r="AV693" s="36">
        <f t="shared" si="565"/>
        <v>0</v>
      </c>
      <c r="AW693" s="35"/>
      <c r="AX693" s="30"/>
      <c r="AY693" s="32">
        <f t="shared" si="566"/>
        <v>0</v>
      </c>
      <c r="AZ693" s="30"/>
      <c r="BA693" s="63"/>
      <c r="BB693" s="71"/>
      <c r="BC693" s="71"/>
      <c r="BD693" s="71"/>
    </row>
    <row r="694" spans="1:56" x14ac:dyDescent="0.25">
      <c r="A694" s="24" t="str">
        <f>IF(B694="","",SUBTOTAL(3,$B$4:B694))</f>
        <v/>
      </c>
      <c r="B694" s="25"/>
      <c r="C694" s="25" t="str">
        <f t="shared" si="558"/>
        <v xml:space="preserve"> </v>
      </c>
      <c r="D694" s="25"/>
      <c r="E694" s="25"/>
      <c r="F694" s="25"/>
      <c r="G694" s="65"/>
      <c r="H694" s="25"/>
      <c r="I694" s="25"/>
      <c r="J694" s="26"/>
      <c r="K694" s="27"/>
      <c r="L694" s="28"/>
      <c r="M694" s="28"/>
      <c r="N694" s="25"/>
      <c r="O694" s="29"/>
      <c r="P694" s="29"/>
      <c r="Q694" s="25"/>
      <c r="R694" s="25"/>
      <c r="S694" s="26"/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559"/>
        <v>0</v>
      </c>
      <c r="AF694" s="32">
        <f t="shared" si="560"/>
        <v>0</v>
      </c>
      <c r="AG694" s="30"/>
      <c r="AH694" s="33"/>
      <c r="AI694" s="34">
        <f t="shared" si="561"/>
        <v>0</v>
      </c>
      <c r="AJ694" s="35"/>
      <c r="AK694" s="30"/>
      <c r="AL694" s="36">
        <f t="shared" si="562"/>
        <v>0</v>
      </c>
      <c r="AM694" s="35"/>
      <c r="AN694" s="30"/>
      <c r="AO694" s="36">
        <f t="shared" si="563"/>
        <v>0</v>
      </c>
      <c r="AP694" s="35"/>
      <c r="AQ694" s="30"/>
      <c r="AR694" s="36">
        <f t="shared" si="564"/>
        <v>0</v>
      </c>
      <c r="AS694" s="27"/>
      <c r="AT694" s="37"/>
      <c r="AU694" s="30"/>
      <c r="AV694" s="36">
        <f t="shared" si="565"/>
        <v>0</v>
      </c>
      <c r="AW694" s="35"/>
      <c r="AX694" s="30"/>
      <c r="AY694" s="32">
        <f t="shared" si="566"/>
        <v>0</v>
      </c>
      <c r="AZ694" s="30"/>
      <c r="BA694" s="63"/>
      <c r="BB694" s="71"/>
      <c r="BC694" s="71"/>
      <c r="BD694" s="71"/>
    </row>
    <row r="695" spans="1:56" x14ac:dyDescent="0.25">
      <c r="A695" s="24" t="str">
        <f>IF(B695="","",SUBTOTAL(3,$B$4:B695))</f>
        <v/>
      </c>
      <c r="B695" s="25"/>
      <c r="C695" s="25" t="str">
        <f t="shared" si="558"/>
        <v xml:space="preserve"> </v>
      </c>
      <c r="D695" s="25"/>
      <c r="E695" s="25"/>
      <c r="F695" s="25"/>
      <c r="G695" s="65"/>
      <c r="H695" s="25"/>
      <c r="I695" s="25"/>
      <c r="J695" s="26"/>
      <c r="K695" s="27"/>
      <c r="L695" s="28"/>
      <c r="M695" s="28"/>
      <c r="N695" s="25"/>
      <c r="O695" s="29"/>
      <c r="P695" s="29"/>
      <c r="Q695" s="25"/>
      <c r="R695" s="25"/>
      <c r="S695" s="26"/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559"/>
        <v>0</v>
      </c>
      <c r="AF695" s="32">
        <f t="shared" si="560"/>
        <v>0</v>
      </c>
      <c r="AG695" s="30"/>
      <c r="AH695" s="33"/>
      <c r="AI695" s="34">
        <f t="shared" si="561"/>
        <v>0</v>
      </c>
      <c r="AJ695" s="35"/>
      <c r="AK695" s="30"/>
      <c r="AL695" s="36">
        <f t="shared" si="562"/>
        <v>0</v>
      </c>
      <c r="AM695" s="35"/>
      <c r="AN695" s="30"/>
      <c r="AO695" s="36">
        <f t="shared" si="563"/>
        <v>0</v>
      </c>
      <c r="AP695" s="35"/>
      <c r="AQ695" s="30"/>
      <c r="AR695" s="36">
        <f t="shared" si="564"/>
        <v>0</v>
      </c>
      <c r="AS695" s="27"/>
      <c r="AT695" s="37"/>
      <c r="AU695" s="30"/>
      <c r="AV695" s="36">
        <f t="shared" si="565"/>
        <v>0</v>
      </c>
      <c r="AW695" s="35"/>
      <c r="AX695" s="30"/>
      <c r="AY695" s="32">
        <f t="shared" si="566"/>
        <v>0</v>
      </c>
      <c r="AZ695" s="30"/>
      <c r="BA695" s="63"/>
      <c r="BB695" s="71"/>
      <c r="BC695" s="71"/>
      <c r="BD695" s="71"/>
    </row>
    <row r="696" spans="1:56" x14ac:dyDescent="0.25">
      <c r="A696" s="24" t="str">
        <f>IF(B696="","",SUBTOTAL(3,$B$4:B696))</f>
        <v/>
      </c>
      <c r="B696" s="25"/>
      <c r="C696" s="25" t="str">
        <f t="shared" si="558"/>
        <v xml:space="preserve"> </v>
      </c>
      <c r="D696" s="25"/>
      <c r="E696" s="25"/>
      <c r="F696" s="25"/>
      <c r="G696" s="65"/>
      <c r="H696" s="25"/>
      <c r="I696" s="25"/>
      <c r="J696" s="26"/>
      <c r="K696" s="27"/>
      <c r="L696" s="28"/>
      <c r="M696" s="28"/>
      <c r="N696" s="25"/>
      <c r="O696" s="29"/>
      <c r="P696" s="29"/>
      <c r="Q696" s="25"/>
      <c r="R696" s="25"/>
      <c r="S696" s="26"/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559"/>
        <v>0</v>
      </c>
      <c r="AF696" s="32">
        <f t="shared" si="560"/>
        <v>0</v>
      </c>
      <c r="AG696" s="30"/>
      <c r="AH696" s="33"/>
      <c r="AI696" s="34">
        <f t="shared" si="561"/>
        <v>0</v>
      </c>
      <c r="AJ696" s="35"/>
      <c r="AK696" s="30"/>
      <c r="AL696" s="36">
        <f t="shared" si="562"/>
        <v>0</v>
      </c>
      <c r="AM696" s="35"/>
      <c r="AN696" s="30"/>
      <c r="AO696" s="36">
        <f t="shared" si="563"/>
        <v>0</v>
      </c>
      <c r="AP696" s="35"/>
      <c r="AQ696" s="30"/>
      <c r="AR696" s="36">
        <f t="shared" si="564"/>
        <v>0</v>
      </c>
      <c r="AS696" s="27"/>
      <c r="AT696" s="37"/>
      <c r="AU696" s="30"/>
      <c r="AV696" s="36">
        <f t="shared" si="565"/>
        <v>0</v>
      </c>
      <c r="AW696" s="35"/>
      <c r="AX696" s="30"/>
      <c r="AY696" s="32">
        <f t="shared" si="566"/>
        <v>0</v>
      </c>
      <c r="AZ696" s="30"/>
      <c r="BA696" s="63"/>
      <c r="BB696" s="71"/>
      <c r="BC696" s="71"/>
      <c r="BD696" s="71"/>
    </row>
    <row r="697" spans="1:56" x14ac:dyDescent="0.25">
      <c r="A697" s="24" t="str">
        <f>IF(B697="","",SUBTOTAL(3,$B$4:B697))</f>
        <v/>
      </c>
      <c r="B697" s="25"/>
      <c r="C697" s="25" t="str">
        <f t="shared" si="558"/>
        <v xml:space="preserve"> </v>
      </c>
      <c r="D697" s="25"/>
      <c r="E697" s="25"/>
      <c r="F697" s="25"/>
      <c r="G697" s="65"/>
      <c r="H697" s="25"/>
      <c r="I697" s="25"/>
      <c r="J697" s="26"/>
      <c r="K697" s="27"/>
      <c r="L697" s="28"/>
      <c r="M697" s="28"/>
      <c r="N697" s="25"/>
      <c r="O697" s="29"/>
      <c r="P697" s="29"/>
      <c r="Q697" s="25"/>
      <c r="R697" s="25"/>
      <c r="S697" s="26"/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559"/>
        <v>0</v>
      </c>
      <c r="AF697" s="32">
        <f t="shared" si="560"/>
        <v>0</v>
      </c>
      <c r="AG697" s="30"/>
      <c r="AH697" s="33"/>
      <c r="AI697" s="34">
        <f t="shared" si="561"/>
        <v>0</v>
      </c>
      <c r="AJ697" s="35"/>
      <c r="AK697" s="30"/>
      <c r="AL697" s="36">
        <f t="shared" si="562"/>
        <v>0</v>
      </c>
      <c r="AM697" s="35"/>
      <c r="AN697" s="30"/>
      <c r="AO697" s="36">
        <f t="shared" si="563"/>
        <v>0</v>
      </c>
      <c r="AP697" s="35"/>
      <c r="AQ697" s="30"/>
      <c r="AR697" s="36">
        <f t="shared" si="564"/>
        <v>0</v>
      </c>
      <c r="AS697" s="27"/>
      <c r="AT697" s="37"/>
      <c r="AU697" s="30"/>
      <c r="AV697" s="36">
        <f t="shared" si="565"/>
        <v>0</v>
      </c>
      <c r="AW697" s="35"/>
      <c r="AX697" s="30"/>
      <c r="AY697" s="32">
        <f t="shared" si="566"/>
        <v>0</v>
      </c>
      <c r="AZ697" s="30"/>
      <c r="BA697" s="63"/>
      <c r="BB697" s="71"/>
      <c r="BC697" s="71"/>
      <c r="BD697" s="71"/>
    </row>
    <row r="698" spans="1:56" x14ac:dyDescent="0.25">
      <c r="A698" s="24" t="str">
        <f>IF(B698="","",SUBTOTAL(3,$B$4:B698))</f>
        <v/>
      </c>
      <c r="B698" s="25"/>
      <c r="C698" s="25" t="str">
        <f t="shared" si="558"/>
        <v xml:space="preserve"> </v>
      </c>
      <c r="D698" s="25"/>
      <c r="E698" s="25"/>
      <c r="F698" s="25"/>
      <c r="G698" s="65"/>
      <c r="H698" s="25"/>
      <c r="I698" s="25"/>
      <c r="J698" s="26"/>
      <c r="K698" s="27"/>
      <c r="L698" s="28"/>
      <c r="M698" s="28"/>
      <c r="N698" s="25"/>
      <c r="O698" s="29"/>
      <c r="P698" s="29"/>
      <c r="Q698" s="25"/>
      <c r="R698" s="25"/>
      <c r="S698" s="26"/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559"/>
        <v>0</v>
      </c>
      <c r="AF698" s="32">
        <f t="shared" si="560"/>
        <v>0</v>
      </c>
      <c r="AG698" s="30"/>
      <c r="AH698" s="33"/>
      <c r="AI698" s="34">
        <f t="shared" si="561"/>
        <v>0</v>
      </c>
      <c r="AJ698" s="35"/>
      <c r="AK698" s="30"/>
      <c r="AL698" s="36">
        <f t="shared" si="562"/>
        <v>0</v>
      </c>
      <c r="AM698" s="35"/>
      <c r="AN698" s="30"/>
      <c r="AO698" s="36">
        <f t="shared" si="563"/>
        <v>0</v>
      </c>
      <c r="AP698" s="35"/>
      <c r="AQ698" s="30"/>
      <c r="AR698" s="36">
        <f t="shared" si="564"/>
        <v>0</v>
      </c>
      <c r="AS698" s="27"/>
      <c r="AT698" s="37"/>
      <c r="AU698" s="30"/>
      <c r="AV698" s="36">
        <f t="shared" si="565"/>
        <v>0</v>
      </c>
      <c r="AW698" s="35"/>
      <c r="AX698" s="30"/>
      <c r="AY698" s="32">
        <f t="shared" si="566"/>
        <v>0</v>
      </c>
      <c r="AZ698" s="30"/>
      <c r="BA698" s="63"/>
      <c r="BB698" s="71"/>
      <c r="BC698" s="71"/>
      <c r="BD698" s="71"/>
    </row>
    <row r="699" spans="1:56" x14ac:dyDescent="0.25">
      <c r="A699" s="24" t="str">
        <f>IF(B699="","",SUBTOTAL(3,$B$4:B699))</f>
        <v/>
      </c>
      <c r="B699" s="25"/>
      <c r="C699" s="25" t="str">
        <f t="shared" si="558"/>
        <v xml:space="preserve"> </v>
      </c>
      <c r="D699" s="25"/>
      <c r="E699" s="25"/>
      <c r="F699" s="25"/>
      <c r="G699" s="65"/>
      <c r="H699" s="25"/>
      <c r="I699" s="25"/>
      <c r="J699" s="26"/>
      <c r="K699" s="27"/>
      <c r="L699" s="28"/>
      <c r="M699" s="28"/>
      <c r="N699" s="25"/>
      <c r="O699" s="29"/>
      <c r="P699" s="29"/>
      <c r="Q699" s="25"/>
      <c r="R699" s="25"/>
      <c r="S699" s="26"/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559"/>
        <v>0</v>
      </c>
      <c r="AF699" s="32">
        <f t="shared" si="560"/>
        <v>0</v>
      </c>
      <c r="AG699" s="30"/>
      <c r="AH699" s="33"/>
      <c r="AI699" s="34">
        <f t="shared" si="561"/>
        <v>0</v>
      </c>
      <c r="AJ699" s="35"/>
      <c r="AK699" s="30"/>
      <c r="AL699" s="36">
        <f t="shared" si="562"/>
        <v>0</v>
      </c>
      <c r="AM699" s="35"/>
      <c r="AN699" s="30"/>
      <c r="AO699" s="36">
        <f t="shared" si="563"/>
        <v>0</v>
      </c>
      <c r="AP699" s="35"/>
      <c r="AQ699" s="30"/>
      <c r="AR699" s="36">
        <f t="shared" si="564"/>
        <v>0</v>
      </c>
      <c r="AS699" s="27"/>
      <c r="AT699" s="37"/>
      <c r="AU699" s="30"/>
      <c r="AV699" s="36">
        <f t="shared" si="565"/>
        <v>0</v>
      </c>
      <c r="AW699" s="35"/>
      <c r="AX699" s="30"/>
      <c r="AY699" s="32">
        <f t="shared" si="566"/>
        <v>0</v>
      </c>
      <c r="AZ699" s="30"/>
      <c r="BA699" s="63"/>
      <c r="BB699" s="71"/>
      <c r="BC699" s="71"/>
      <c r="BD699" s="71"/>
    </row>
    <row r="700" spans="1:56" x14ac:dyDescent="0.25">
      <c r="A700" s="24" t="str">
        <f>IF(B700="","",SUBTOTAL(3,$B$4:B700))</f>
        <v/>
      </c>
      <c r="B700" s="25"/>
      <c r="C700" s="25" t="str">
        <f t="shared" si="558"/>
        <v xml:space="preserve"> </v>
      </c>
      <c r="D700" s="25"/>
      <c r="E700" s="25"/>
      <c r="F700" s="25"/>
      <c r="G700" s="65"/>
      <c r="H700" s="25"/>
      <c r="I700" s="25"/>
      <c r="J700" s="26"/>
      <c r="K700" s="27"/>
      <c r="L700" s="28"/>
      <c r="M700" s="28"/>
      <c r="N700" s="25"/>
      <c r="O700" s="29"/>
      <c r="P700" s="29"/>
      <c r="Q700" s="25"/>
      <c r="R700" s="25"/>
      <c r="S700" s="26"/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559"/>
        <v>0</v>
      </c>
      <c r="AF700" s="32">
        <f t="shared" si="560"/>
        <v>0</v>
      </c>
      <c r="AG700" s="30"/>
      <c r="AH700" s="33"/>
      <c r="AI700" s="34">
        <f t="shared" si="561"/>
        <v>0</v>
      </c>
      <c r="AJ700" s="35"/>
      <c r="AK700" s="30"/>
      <c r="AL700" s="36">
        <f t="shared" si="562"/>
        <v>0</v>
      </c>
      <c r="AM700" s="35"/>
      <c r="AN700" s="30"/>
      <c r="AO700" s="36">
        <f t="shared" si="563"/>
        <v>0</v>
      </c>
      <c r="AP700" s="35"/>
      <c r="AQ700" s="30"/>
      <c r="AR700" s="36">
        <f t="shared" si="564"/>
        <v>0</v>
      </c>
      <c r="AS700" s="27"/>
      <c r="AT700" s="37"/>
      <c r="AU700" s="30"/>
      <c r="AV700" s="36">
        <f t="shared" si="565"/>
        <v>0</v>
      </c>
      <c r="AW700" s="35"/>
      <c r="AX700" s="30"/>
      <c r="AY700" s="32">
        <f t="shared" si="566"/>
        <v>0</v>
      </c>
      <c r="AZ700" s="30"/>
      <c r="BA700" s="63"/>
      <c r="BB700" s="71"/>
      <c r="BC700" s="71"/>
      <c r="BD700" s="71"/>
    </row>
    <row r="701" spans="1:56" x14ac:dyDescent="0.25">
      <c r="A701" s="24" t="str">
        <f>IF(B701="","",SUBTOTAL(3,$B$4:B701))</f>
        <v/>
      </c>
      <c r="B701" s="25"/>
      <c r="C701" s="25" t="str">
        <f t="shared" si="558"/>
        <v xml:space="preserve"> </v>
      </c>
      <c r="D701" s="25"/>
      <c r="E701" s="25"/>
      <c r="F701" s="25"/>
      <c r="G701" s="65"/>
      <c r="H701" s="25"/>
      <c r="I701" s="25"/>
      <c r="J701" s="26"/>
      <c r="K701" s="27"/>
      <c r="L701" s="28"/>
      <c r="M701" s="28"/>
      <c r="N701" s="25"/>
      <c r="O701" s="29"/>
      <c r="P701" s="29"/>
      <c r="Q701" s="25"/>
      <c r="R701" s="25"/>
      <c r="S701" s="26"/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559"/>
        <v>0</v>
      </c>
      <c r="AF701" s="32">
        <f t="shared" si="560"/>
        <v>0</v>
      </c>
      <c r="AG701" s="30"/>
      <c r="AH701" s="33"/>
      <c r="AI701" s="34">
        <f t="shared" si="561"/>
        <v>0</v>
      </c>
      <c r="AJ701" s="35"/>
      <c r="AK701" s="30"/>
      <c r="AL701" s="36">
        <f t="shared" si="562"/>
        <v>0</v>
      </c>
      <c r="AM701" s="35"/>
      <c r="AN701" s="30"/>
      <c r="AO701" s="36">
        <f t="shared" si="563"/>
        <v>0</v>
      </c>
      <c r="AP701" s="35"/>
      <c r="AQ701" s="30"/>
      <c r="AR701" s="36">
        <f t="shared" si="564"/>
        <v>0</v>
      </c>
      <c r="AS701" s="27"/>
      <c r="AT701" s="37"/>
      <c r="AU701" s="30"/>
      <c r="AV701" s="36">
        <f t="shared" si="565"/>
        <v>0</v>
      </c>
      <c r="AW701" s="35"/>
      <c r="AX701" s="30"/>
      <c r="AY701" s="32">
        <f t="shared" si="566"/>
        <v>0</v>
      </c>
      <c r="AZ701" s="30"/>
      <c r="BA701" s="63"/>
      <c r="BB701" s="71"/>
      <c r="BC701" s="71"/>
      <c r="BD701" s="71"/>
    </row>
    <row r="702" spans="1:56" x14ac:dyDescent="0.25">
      <c r="A702" s="24" t="str">
        <f>IF(B702="","",SUBTOTAL(3,$B$4:B702))</f>
        <v/>
      </c>
      <c r="B702" s="25"/>
      <c r="C702" s="25" t="str">
        <f t="shared" si="558"/>
        <v xml:space="preserve"> </v>
      </c>
      <c r="D702" s="25"/>
      <c r="E702" s="25"/>
      <c r="F702" s="25"/>
      <c r="G702" s="65"/>
      <c r="H702" s="25"/>
      <c r="I702" s="25"/>
      <c r="J702" s="26"/>
      <c r="K702" s="27"/>
      <c r="L702" s="28"/>
      <c r="M702" s="28"/>
      <c r="N702" s="25"/>
      <c r="O702" s="29"/>
      <c r="P702" s="29"/>
      <c r="Q702" s="25"/>
      <c r="R702" s="25"/>
      <c r="S702" s="26"/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559"/>
        <v>0</v>
      </c>
      <c r="AF702" s="32">
        <f t="shared" si="560"/>
        <v>0</v>
      </c>
      <c r="AG702" s="30"/>
      <c r="AH702" s="33"/>
      <c r="AI702" s="34">
        <f t="shared" si="561"/>
        <v>0</v>
      </c>
      <c r="AJ702" s="35"/>
      <c r="AK702" s="30"/>
      <c r="AL702" s="36">
        <f t="shared" si="562"/>
        <v>0</v>
      </c>
      <c r="AM702" s="35"/>
      <c r="AN702" s="30"/>
      <c r="AO702" s="36">
        <f t="shared" si="563"/>
        <v>0</v>
      </c>
      <c r="AP702" s="35"/>
      <c r="AQ702" s="30"/>
      <c r="AR702" s="36">
        <f t="shared" si="564"/>
        <v>0</v>
      </c>
      <c r="AS702" s="27"/>
      <c r="AT702" s="37"/>
      <c r="AU702" s="30"/>
      <c r="AV702" s="36">
        <f t="shared" si="565"/>
        <v>0</v>
      </c>
      <c r="AW702" s="35"/>
      <c r="AX702" s="30"/>
      <c r="AY702" s="32">
        <f t="shared" si="566"/>
        <v>0</v>
      </c>
      <c r="AZ702" s="30"/>
      <c r="BA702" s="63"/>
      <c r="BB702" s="71"/>
      <c r="BC702" s="71"/>
      <c r="BD702" s="71"/>
    </row>
    <row r="703" spans="1:56" x14ac:dyDescent="0.25">
      <c r="A703" s="24" t="str">
        <f>IF(B703="","",SUBTOTAL(3,$B$4:B703))</f>
        <v/>
      </c>
      <c r="B703" s="25"/>
      <c r="C703" s="25" t="str">
        <f t="shared" si="558"/>
        <v xml:space="preserve"> </v>
      </c>
      <c r="D703" s="25"/>
      <c r="E703" s="25"/>
      <c r="F703" s="25"/>
      <c r="G703" s="65"/>
      <c r="H703" s="25"/>
      <c r="I703" s="25"/>
      <c r="J703" s="26"/>
      <c r="K703" s="27"/>
      <c r="L703" s="28"/>
      <c r="M703" s="28"/>
      <c r="N703" s="25"/>
      <c r="O703" s="29"/>
      <c r="P703" s="29"/>
      <c r="Q703" s="25"/>
      <c r="R703" s="25"/>
      <c r="S703" s="26"/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559"/>
        <v>0</v>
      </c>
      <c r="AF703" s="32">
        <f t="shared" si="560"/>
        <v>0</v>
      </c>
      <c r="AG703" s="30"/>
      <c r="AH703" s="33"/>
      <c r="AI703" s="34">
        <f t="shared" si="561"/>
        <v>0</v>
      </c>
      <c r="AJ703" s="35"/>
      <c r="AK703" s="30"/>
      <c r="AL703" s="36">
        <f t="shared" si="562"/>
        <v>0</v>
      </c>
      <c r="AM703" s="35"/>
      <c r="AN703" s="30"/>
      <c r="AO703" s="36">
        <f t="shared" si="563"/>
        <v>0</v>
      </c>
      <c r="AP703" s="35"/>
      <c r="AQ703" s="30"/>
      <c r="AR703" s="36">
        <f t="shared" si="564"/>
        <v>0</v>
      </c>
      <c r="AS703" s="27"/>
      <c r="AT703" s="37"/>
      <c r="AU703" s="30"/>
      <c r="AV703" s="36">
        <f t="shared" si="565"/>
        <v>0</v>
      </c>
      <c r="AW703" s="35"/>
      <c r="AX703" s="30"/>
      <c r="AY703" s="32">
        <f t="shared" si="566"/>
        <v>0</v>
      </c>
      <c r="AZ703" s="30"/>
      <c r="BA703" s="63"/>
      <c r="BB703" s="71"/>
      <c r="BC703" s="71"/>
      <c r="BD703" s="71"/>
    </row>
    <row r="704" spans="1:56" x14ac:dyDescent="0.25">
      <c r="A704" s="24" t="str">
        <f>IF(B704="","",SUBTOTAL(3,$B$4:B704))</f>
        <v/>
      </c>
      <c r="B704" s="25"/>
      <c r="C704" s="25" t="str">
        <f t="shared" si="558"/>
        <v xml:space="preserve"> </v>
      </c>
      <c r="D704" s="25"/>
      <c r="E704" s="25"/>
      <c r="F704" s="25"/>
      <c r="G704" s="65"/>
      <c r="H704" s="25"/>
      <c r="I704" s="25"/>
      <c r="J704" s="26"/>
      <c r="K704" s="27"/>
      <c r="L704" s="28"/>
      <c r="M704" s="28"/>
      <c r="N704" s="25"/>
      <c r="O704" s="29"/>
      <c r="P704" s="29"/>
      <c r="Q704" s="25"/>
      <c r="R704" s="25"/>
      <c r="S704" s="26"/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559"/>
        <v>0</v>
      </c>
      <c r="AF704" s="32">
        <f t="shared" si="560"/>
        <v>0</v>
      </c>
      <c r="AG704" s="30"/>
      <c r="AH704" s="33"/>
      <c r="AI704" s="34">
        <f t="shared" si="561"/>
        <v>0</v>
      </c>
      <c r="AJ704" s="35"/>
      <c r="AK704" s="30"/>
      <c r="AL704" s="36">
        <f t="shared" si="562"/>
        <v>0</v>
      </c>
      <c r="AM704" s="35"/>
      <c r="AN704" s="30"/>
      <c r="AO704" s="36">
        <f t="shared" si="563"/>
        <v>0</v>
      </c>
      <c r="AP704" s="35"/>
      <c r="AQ704" s="30"/>
      <c r="AR704" s="36">
        <f t="shared" si="564"/>
        <v>0</v>
      </c>
      <c r="AS704" s="27"/>
      <c r="AT704" s="37"/>
      <c r="AU704" s="30"/>
      <c r="AV704" s="36">
        <f t="shared" si="565"/>
        <v>0</v>
      </c>
      <c r="AW704" s="35"/>
      <c r="AX704" s="30"/>
      <c r="AY704" s="32">
        <f t="shared" si="566"/>
        <v>0</v>
      </c>
      <c r="AZ704" s="30"/>
      <c r="BA704" s="63"/>
      <c r="BB704" s="71"/>
      <c r="BC704" s="71"/>
      <c r="BD704" s="71"/>
    </row>
    <row r="705" spans="1:56" x14ac:dyDescent="0.25">
      <c r="A705" s="24" t="str">
        <f>IF(B705="","",SUBTOTAL(3,$B$4:B705))</f>
        <v/>
      </c>
      <c r="B705" s="25"/>
      <c r="C705" s="25" t="str">
        <f t="shared" si="558"/>
        <v xml:space="preserve"> </v>
      </c>
      <c r="D705" s="25"/>
      <c r="E705" s="25"/>
      <c r="F705" s="25"/>
      <c r="G705" s="65"/>
      <c r="H705" s="25"/>
      <c r="I705" s="25"/>
      <c r="J705" s="26"/>
      <c r="K705" s="27"/>
      <c r="L705" s="28"/>
      <c r="M705" s="28"/>
      <c r="N705" s="25"/>
      <c r="O705" s="29"/>
      <c r="P705" s="29"/>
      <c r="Q705" s="25"/>
      <c r="R705" s="25"/>
      <c r="S705" s="26"/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559"/>
        <v>0</v>
      </c>
      <c r="AF705" s="32">
        <f t="shared" si="560"/>
        <v>0</v>
      </c>
      <c r="AG705" s="30"/>
      <c r="AH705" s="33"/>
      <c r="AI705" s="34">
        <f t="shared" si="561"/>
        <v>0</v>
      </c>
      <c r="AJ705" s="35"/>
      <c r="AK705" s="30"/>
      <c r="AL705" s="36">
        <f t="shared" si="562"/>
        <v>0</v>
      </c>
      <c r="AM705" s="35"/>
      <c r="AN705" s="30"/>
      <c r="AO705" s="36">
        <f t="shared" si="563"/>
        <v>0</v>
      </c>
      <c r="AP705" s="35"/>
      <c r="AQ705" s="30"/>
      <c r="AR705" s="36">
        <f t="shared" si="564"/>
        <v>0</v>
      </c>
      <c r="AS705" s="27"/>
      <c r="AT705" s="37"/>
      <c r="AU705" s="30"/>
      <c r="AV705" s="36">
        <f t="shared" si="565"/>
        <v>0</v>
      </c>
      <c r="AW705" s="35"/>
      <c r="AX705" s="30"/>
      <c r="AY705" s="32">
        <f t="shared" si="566"/>
        <v>0</v>
      </c>
      <c r="AZ705" s="30"/>
      <c r="BA705" s="63"/>
      <c r="BB705" s="71"/>
      <c r="BC705" s="71"/>
      <c r="BD705" s="71"/>
    </row>
    <row r="706" spans="1:56" x14ac:dyDescent="0.25">
      <c r="A706" s="24" t="str">
        <f>IF(B706="","",SUBTOTAL(3,$B$4:B706))</f>
        <v/>
      </c>
      <c r="B706" s="25"/>
      <c r="C706" s="25" t="str">
        <f t="shared" si="558"/>
        <v xml:space="preserve"> </v>
      </c>
      <c r="D706" s="25"/>
      <c r="E706" s="25"/>
      <c r="F706" s="25"/>
      <c r="G706" s="65"/>
      <c r="H706" s="25"/>
      <c r="I706" s="25"/>
      <c r="J706" s="26"/>
      <c r="K706" s="27"/>
      <c r="L706" s="28"/>
      <c r="M706" s="28"/>
      <c r="N706" s="25"/>
      <c r="O706" s="29"/>
      <c r="P706" s="29"/>
      <c r="Q706" s="25"/>
      <c r="R706" s="25"/>
      <c r="S706" s="26"/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559"/>
        <v>0</v>
      </c>
      <c r="AF706" s="32">
        <f t="shared" si="560"/>
        <v>0</v>
      </c>
      <c r="AG706" s="30"/>
      <c r="AH706" s="33"/>
      <c r="AI706" s="34">
        <f t="shared" si="561"/>
        <v>0</v>
      </c>
      <c r="AJ706" s="35"/>
      <c r="AK706" s="30"/>
      <c r="AL706" s="36">
        <f t="shared" si="562"/>
        <v>0</v>
      </c>
      <c r="AM706" s="35"/>
      <c r="AN706" s="30"/>
      <c r="AO706" s="36">
        <f t="shared" si="563"/>
        <v>0</v>
      </c>
      <c r="AP706" s="35"/>
      <c r="AQ706" s="30"/>
      <c r="AR706" s="36">
        <f t="shared" si="564"/>
        <v>0</v>
      </c>
      <c r="AS706" s="27"/>
      <c r="AT706" s="37"/>
      <c r="AU706" s="30"/>
      <c r="AV706" s="36">
        <f t="shared" si="565"/>
        <v>0</v>
      </c>
      <c r="AW706" s="35"/>
      <c r="AX706" s="30"/>
      <c r="AY706" s="32">
        <f t="shared" si="566"/>
        <v>0</v>
      </c>
      <c r="AZ706" s="30"/>
      <c r="BA706" s="63"/>
      <c r="BB706" s="71"/>
      <c r="BC706" s="71"/>
      <c r="BD706" s="71"/>
    </row>
    <row r="707" spans="1:56" x14ac:dyDescent="0.25">
      <c r="A707" s="24" t="str">
        <f>IF(B707="","",SUBTOTAL(3,$B$4:B707))</f>
        <v/>
      </c>
      <c r="B707" s="25"/>
      <c r="C707" s="25" t="str">
        <f t="shared" si="558"/>
        <v xml:space="preserve"> </v>
      </c>
      <c r="D707" s="25"/>
      <c r="E707" s="25"/>
      <c r="F707" s="25"/>
      <c r="G707" s="65"/>
      <c r="H707" s="25"/>
      <c r="I707" s="25"/>
      <c r="J707" s="26"/>
      <c r="K707" s="27"/>
      <c r="L707" s="28"/>
      <c r="M707" s="28"/>
      <c r="N707" s="25"/>
      <c r="O707" s="29"/>
      <c r="P707" s="29"/>
      <c r="Q707" s="25"/>
      <c r="R707" s="25"/>
      <c r="S707" s="26"/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559"/>
        <v>0</v>
      </c>
      <c r="AF707" s="32">
        <f t="shared" si="560"/>
        <v>0</v>
      </c>
      <c r="AG707" s="30"/>
      <c r="AH707" s="33"/>
      <c r="AI707" s="34">
        <f t="shared" si="561"/>
        <v>0</v>
      </c>
      <c r="AJ707" s="35"/>
      <c r="AK707" s="30"/>
      <c r="AL707" s="36">
        <f t="shared" si="562"/>
        <v>0</v>
      </c>
      <c r="AM707" s="35"/>
      <c r="AN707" s="30"/>
      <c r="AO707" s="36">
        <f t="shared" si="563"/>
        <v>0</v>
      </c>
      <c r="AP707" s="35"/>
      <c r="AQ707" s="30"/>
      <c r="AR707" s="36">
        <f t="shared" si="564"/>
        <v>0</v>
      </c>
      <c r="AS707" s="27"/>
      <c r="AT707" s="37"/>
      <c r="AU707" s="30"/>
      <c r="AV707" s="36">
        <f t="shared" si="565"/>
        <v>0</v>
      </c>
      <c r="AW707" s="35"/>
      <c r="AX707" s="30"/>
      <c r="AY707" s="32">
        <f t="shared" si="566"/>
        <v>0</v>
      </c>
      <c r="AZ707" s="30"/>
      <c r="BA707" s="63"/>
      <c r="BB707" s="71"/>
      <c r="BC707" s="71"/>
      <c r="BD707" s="71"/>
    </row>
    <row r="708" spans="1:56" x14ac:dyDescent="0.25">
      <c r="A708" s="24" t="str">
        <f>IF(B708="","",SUBTOTAL(3,$B$4:B708))</f>
        <v/>
      </c>
      <c r="B708" s="25"/>
      <c r="C708" s="25" t="str">
        <f t="shared" si="558"/>
        <v xml:space="preserve"> </v>
      </c>
      <c r="D708" s="25"/>
      <c r="E708" s="25"/>
      <c r="F708" s="25"/>
      <c r="G708" s="65"/>
      <c r="H708" s="25"/>
      <c r="I708" s="25"/>
      <c r="J708" s="26"/>
      <c r="K708" s="27"/>
      <c r="L708" s="28"/>
      <c r="M708" s="28"/>
      <c r="N708" s="25"/>
      <c r="O708" s="29"/>
      <c r="P708" s="29"/>
      <c r="Q708" s="25"/>
      <c r="R708" s="25"/>
      <c r="S708" s="26"/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559"/>
        <v>0</v>
      </c>
      <c r="AF708" s="32">
        <f t="shared" si="560"/>
        <v>0</v>
      </c>
      <c r="AG708" s="30"/>
      <c r="AH708" s="33"/>
      <c r="AI708" s="34">
        <f t="shared" si="561"/>
        <v>0</v>
      </c>
      <c r="AJ708" s="35"/>
      <c r="AK708" s="30"/>
      <c r="AL708" s="36">
        <f t="shared" si="562"/>
        <v>0</v>
      </c>
      <c r="AM708" s="35"/>
      <c r="AN708" s="30"/>
      <c r="AO708" s="36">
        <f t="shared" si="563"/>
        <v>0</v>
      </c>
      <c r="AP708" s="35"/>
      <c r="AQ708" s="30"/>
      <c r="AR708" s="36">
        <f t="shared" si="564"/>
        <v>0</v>
      </c>
      <c r="AS708" s="27"/>
      <c r="AT708" s="37"/>
      <c r="AU708" s="30"/>
      <c r="AV708" s="36">
        <f t="shared" si="565"/>
        <v>0</v>
      </c>
      <c r="AW708" s="35"/>
      <c r="AX708" s="30"/>
      <c r="AY708" s="32">
        <f t="shared" si="566"/>
        <v>0</v>
      </c>
      <c r="AZ708" s="30"/>
      <c r="BA708" s="63"/>
      <c r="BB708" s="71"/>
      <c r="BC708" s="71"/>
      <c r="BD708" s="71"/>
    </row>
    <row r="709" spans="1:56" x14ac:dyDescent="0.25">
      <c r="A709" s="24" t="str">
        <f>IF(B709="","",SUBTOTAL(3,$B$4:B709))</f>
        <v/>
      </c>
      <c r="B709" s="25"/>
      <c r="C709" s="25" t="str">
        <f t="shared" si="558"/>
        <v xml:space="preserve"> </v>
      </c>
      <c r="D709" s="25"/>
      <c r="E709" s="25"/>
      <c r="F709" s="25"/>
      <c r="G709" s="65"/>
      <c r="H709" s="25"/>
      <c r="I709" s="25"/>
      <c r="J709" s="26"/>
      <c r="K709" s="27"/>
      <c r="L709" s="28"/>
      <c r="M709" s="28"/>
      <c r="N709" s="25"/>
      <c r="O709" s="29"/>
      <c r="P709" s="29"/>
      <c r="Q709" s="25"/>
      <c r="R709" s="25"/>
      <c r="S709" s="26"/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si="559"/>
        <v>0</v>
      </c>
      <c r="AF709" s="32">
        <f t="shared" si="560"/>
        <v>0</v>
      </c>
      <c r="AG709" s="30"/>
      <c r="AH709" s="33"/>
      <c r="AI709" s="34">
        <f t="shared" si="561"/>
        <v>0</v>
      </c>
      <c r="AJ709" s="35"/>
      <c r="AK709" s="30"/>
      <c r="AL709" s="36">
        <f t="shared" si="562"/>
        <v>0</v>
      </c>
      <c r="AM709" s="35"/>
      <c r="AN709" s="30"/>
      <c r="AO709" s="36">
        <f t="shared" si="563"/>
        <v>0</v>
      </c>
      <c r="AP709" s="35"/>
      <c r="AQ709" s="30"/>
      <c r="AR709" s="36">
        <f t="shared" si="564"/>
        <v>0</v>
      </c>
      <c r="AS709" s="27"/>
      <c r="AT709" s="37"/>
      <c r="AU709" s="30"/>
      <c r="AV709" s="36">
        <f t="shared" si="565"/>
        <v>0</v>
      </c>
      <c r="AW709" s="35"/>
      <c r="AX709" s="30"/>
      <c r="AY709" s="32">
        <f t="shared" si="566"/>
        <v>0</v>
      </c>
      <c r="AZ709" s="30"/>
      <c r="BA709" s="63"/>
      <c r="BB709" s="71"/>
      <c r="BC709" s="71"/>
      <c r="BD709" s="71"/>
    </row>
    <row r="710" spans="1:56" x14ac:dyDescent="0.25">
      <c r="A710" s="24" t="str">
        <f>IF(B710="","",SUBTOTAL(3,$B$4:B710))</f>
        <v/>
      </c>
      <c r="B710" s="25"/>
      <c r="C710" s="25" t="str">
        <f t="shared" si="558"/>
        <v xml:space="preserve"> </v>
      </c>
      <c r="D710" s="25"/>
      <c r="E710" s="25"/>
      <c r="F710" s="25"/>
      <c r="G710" s="65"/>
      <c r="H710" s="25"/>
      <c r="I710" s="25"/>
      <c r="J710" s="26"/>
      <c r="K710" s="27"/>
      <c r="L710" s="28"/>
      <c r="M710" s="28"/>
      <c r="N710" s="25"/>
      <c r="O710" s="29"/>
      <c r="P710" s="29"/>
      <c r="Q710" s="25"/>
      <c r="R710" s="25"/>
      <c r="S710" s="26"/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559"/>
        <v>0</v>
      </c>
      <c r="AF710" s="32">
        <f t="shared" si="560"/>
        <v>0</v>
      </c>
      <c r="AG710" s="30"/>
      <c r="AH710" s="33"/>
      <c r="AI710" s="34">
        <f t="shared" si="561"/>
        <v>0</v>
      </c>
      <c r="AJ710" s="35"/>
      <c r="AK710" s="30"/>
      <c r="AL710" s="36">
        <f t="shared" si="562"/>
        <v>0</v>
      </c>
      <c r="AM710" s="35"/>
      <c r="AN710" s="30"/>
      <c r="AO710" s="36">
        <f t="shared" si="563"/>
        <v>0</v>
      </c>
      <c r="AP710" s="35"/>
      <c r="AQ710" s="30"/>
      <c r="AR710" s="36">
        <f t="shared" si="564"/>
        <v>0</v>
      </c>
      <c r="AS710" s="27"/>
      <c r="AT710" s="37"/>
      <c r="AU710" s="30"/>
      <c r="AV710" s="36">
        <f t="shared" si="565"/>
        <v>0</v>
      </c>
      <c r="AW710" s="35"/>
      <c r="AX710" s="30"/>
      <c r="AY710" s="32">
        <f t="shared" si="566"/>
        <v>0</v>
      </c>
      <c r="AZ710" s="30"/>
      <c r="BA710" s="63"/>
      <c r="BB710" s="71"/>
      <c r="BC710" s="71"/>
      <c r="BD710" s="71"/>
    </row>
    <row r="711" spans="1:56" x14ac:dyDescent="0.25">
      <c r="A711" s="24" t="str">
        <f>IF(B711="","",SUBTOTAL(3,$B$4:B711))</f>
        <v/>
      </c>
      <c r="B711" s="25"/>
      <c r="C711" s="25" t="str">
        <f t="shared" si="558"/>
        <v xml:space="preserve"> </v>
      </c>
      <c r="D711" s="25"/>
      <c r="E711" s="25"/>
      <c r="F711" s="25"/>
      <c r="G711" s="65"/>
      <c r="H711" s="25"/>
      <c r="I711" s="25"/>
      <c r="J711" s="26"/>
      <c r="K711" s="27"/>
      <c r="L711" s="28"/>
      <c r="M711" s="28"/>
      <c r="N711" s="25"/>
      <c r="O711" s="29"/>
      <c r="P711" s="29"/>
      <c r="Q711" s="25"/>
      <c r="R711" s="25"/>
      <c r="S711" s="26"/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559"/>
        <v>0</v>
      </c>
      <c r="AF711" s="32">
        <f t="shared" si="560"/>
        <v>0</v>
      </c>
      <c r="AG711" s="30"/>
      <c r="AH711" s="33"/>
      <c r="AI711" s="34">
        <f t="shared" si="561"/>
        <v>0</v>
      </c>
      <c r="AJ711" s="35"/>
      <c r="AK711" s="30"/>
      <c r="AL711" s="36">
        <f t="shared" si="562"/>
        <v>0</v>
      </c>
      <c r="AM711" s="35"/>
      <c r="AN711" s="30"/>
      <c r="AO711" s="36">
        <f t="shared" si="563"/>
        <v>0</v>
      </c>
      <c r="AP711" s="35"/>
      <c r="AQ711" s="30"/>
      <c r="AR711" s="36">
        <f t="shared" si="564"/>
        <v>0</v>
      </c>
      <c r="AS711" s="27"/>
      <c r="AT711" s="37"/>
      <c r="AU711" s="30"/>
      <c r="AV711" s="36">
        <f t="shared" si="565"/>
        <v>0</v>
      </c>
      <c r="AW711" s="35"/>
      <c r="AX711" s="30"/>
      <c r="AY711" s="32">
        <f t="shared" si="566"/>
        <v>0</v>
      </c>
      <c r="AZ711" s="30"/>
      <c r="BA711" s="63"/>
      <c r="BB711" s="71"/>
      <c r="BC711" s="71"/>
      <c r="BD711" s="71"/>
    </row>
    <row r="712" spans="1:56" x14ac:dyDescent="0.25">
      <c r="A712" s="24" t="str">
        <f>IF(B712="","",SUBTOTAL(3,$B$4:B712))</f>
        <v/>
      </c>
      <c r="B712" s="25"/>
      <c r="C712" s="25" t="str">
        <f t="shared" si="558"/>
        <v xml:space="preserve"> </v>
      </c>
      <c r="D712" s="25"/>
      <c r="E712" s="25"/>
      <c r="F712" s="25"/>
      <c r="G712" s="65"/>
      <c r="H712" s="25"/>
      <c r="I712" s="25"/>
      <c r="J712" s="26"/>
      <c r="K712" s="27"/>
      <c r="L712" s="28"/>
      <c r="M712" s="28"/>
      <c r="N712" s="25"/>
      <c r="O712" s="29"/>
      <c r="P712" s="29"/>
      <c r="Q712" s="25"/>
      <c r="R712" s="25"/>
      <c r="S712" s="26"/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559"/>
        <v>0</v>
      </c>
      <c r="AF712" s="32">
        <f t="shared" si="560"/>
        <v>0</v>
      </c>
      <c r="AG712" s="30"/>
      <c r="AH712" s="33"/>
      <c r="AI712" s="34">
        <f t="shared" si="561"/>
        <v>0</v>
      </c>
      <c r="AJ712" s="35"/>
      <c r="AK712" s="30"/>
      <c r="AL712" s="36">
        <f t="shared" si="562"/>
        <v>0</v>
      </c>
      <c r="AM712" s="35"/>
      <c r="AN712" s="30"/>
      <c r="AO712" s="36">
        <f t="shared" si="563"/>
        <v>0</v>
      </c>
      <c r="AP712" s="35"/>
      <c r="AQ712" s="30"/>
      <c r="AR712" s="36">
        <f t="shared" si="564"/>
        <v>0</v>
      </c>
      <c r="AS712" s="27"/>
      <c r="AT712" s="37"/>
      <c r="AU712" s="30"/>
      <c r="AV712" s="36">
        <f t="shared" si="565"/>
        <v>0</v>
      </c>
      <c r="AW712" s="35"/>
      <c r="AX712" s="30"/>
      <c r="AY712" s="32">
        <f t="shared" si="566"/>
        <v>0</v>
      </c>
      <c r="AZ712" s="30"/>
      <c r="BA712" s="63"/>
      <c r="BB712" s="71"/>
      <c r="BC712" s="71"/>
      <c r="BD712" s="71"/>
    </row>
    <row r="713" spans="1:56" x14ac:dyDescent="0.25">
      <c r="A713" s="24" t="str">
        <f>IF(B713="","",SUBTOTAL(3,$B$4:B713))</f>
        <v/>
      </c>
      <c r="B713" s="25"/>
      <c r="C713" s="25" t="str">
        <f t="shared" si="558"/>
        <v xml:space="preserve"> </v>
      </c>
      <c r="D713" s="25"/>
      <c r="E713" s="25"/>
      <c r="F713" s="25"/>
      <c r="G713" s="65"/>
      <c r="H713" s="25"/>
      <c r="I713" s="25"/>
      <c r="J713" s="26"/>
      <c r="K713" s="27"/>
      <c r="L713" s="28"/>
      <c r="M713" s="28"/>
      <c r="N713" s="25"/>
      <c r="O713" s="29"/>
      <c r="P713" s="29"/>
      <c r="Q713" s="25"/>
      <c r="R713" s="25"/>
      <c r="S713" s="26"/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559"/>
        <v>0</v>
      </c>
      <c r="AF713" s="32">
        <f t="shared" si="560"/>
        <v>0</v>
      </c>
      <c r="AG713" s="30"/>
      <c r="AH713" s="33"/>
      <c r="AI713" s="34">
        <f t="shared" si="561"/>
        <v>0</v>
      </c>
      <c r="AJ713" s="35"/>
      <c r="AK713" s="30"/>
      <c r="AL713" s="36">
        <f t="shared" si="562"/>
        <v>0</v>
      </c>
      <c r="AM713" s="35"/>
      <c r="AN713" s="30"/>
      <c r="AO713" s="36">
        <f t="shared" si="563"/>
        <v>0</v>
      </c>
      <c r="AP713" s="35"/>
      <c r="AQ713" s="30"/>
      <c r="AR713" s="36">
        <f t="shared" si="564"/>
        <v>0</v>
      </c>
      <c r="AS713" s="27"/>
      <c r="AT713" s="37"/>
      <c r="AU713" s="30"/>
      <c r="AV713" s="36">
        <f t="shared" si="565"/>
        <v>0</v>
      </c>
      <c r="AW713" s="35"/>
      <c r="AX713" s="30"/>
      <c r="AY713" s="32">
        <f t="shared" si="566"/>
        <v>0</v>
      </c>
      <c r="AZ713" s="30"/>
      <c r="BA713" s="63"/>
      <c r="BB713" s="71"/>
      <c r="BC713" s="71"/>
      <c r="BD713" s="71"/>
    </row>
    <row r="714" spans="1:56" x14ac:dyDescent="0.25">
      <c r="A714" s="24" t="str">
        <f>IF(B714="","",SUBTOTAL(3,$B$4:B714))</f>
        <v/>
      </c>
      <c r="B714" s="25"/>
      <c r="C714" s="25" t="str">
        <f t="shared" si="558"/>
        <v xml:space="preserve"> </v>
      </c>
      <c r="D714" s="25"/>
      <c r="E714" s="25"/>
      <c r="F714" s="25"/>
      <c r="G714" s="65"/>
      <c r="H714" s="25"/>
      <c r="I714" s="25"/>
      <c r="J714" s="26"/>
      <c r="K714" s="27"/>
      <c r="L714" s="28"/>
      <c r="M714" s="28"/>
      <c r="N714" s="25"/>
      <c r="O714" s="29"/>
      <c r="P714" s="29"/>
      <c r="Q714" s="25"/>
      <c r="R714" s="25"/>
      <c r="S714" s="26"/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559"/>
        <v>0</v>
      </c>
      <c r="AF714" s="32">
        <f t="shared" si="560"/>
        <v>0</v>
      </c>
      <c r="AG714" s="30"/>
      <c r="AH714" s="33"/>
      <c r="AI714" s="34">
        <f t="shared" si="561"/>
        <v>0</v>
      </c>
      <c r="AJ714" s="35"/>
      <c r="AK714" s="30"/>
      <c r="AL714" s="36">
        <f t="shared" si="562"/>
        <v>0</v>
      </c>
      <c r="AM714" s="35"/>
      <c r="AN714" s="30"/>
      <c r="AO714" s="36">
        <f t="shared" si="563"/>
        <v>0</v>
      </c>
      <c r="AP714" s="35"/>
      <c r="AQ714" s="30"/>
      <c r="AR714" s="36">
        <f t="shared" si="564"/>
        <v>0</v>
      </c>
      <c r="AS714" s="27"/>
      <c r="AT714" s="37"/>
      <c r="AU714" s="30"/>
      <c r="AV714" s="36">
        <f t="shared" si="565"/>
        <v>0</v>
      </c>
      <c r="AW714" s="35"/>
      <c r="AX714" s="30"/>
      <c r="AY714" s="32">
        <f t="shared" si="566"/>
        <v>0</v>
      </c>
      <c r="AZ714" s="30"/>
      <c r="BA714" s="63"/>
      <c r="BB714" s="71"/>
      <c r="BC714" s="71"/>
      <c r="BD714" s="71"/>
    </row>
    <row r="715" spans="1:56" x14ac:dyDescent="0.25">
      <c r="A715" s="24" t="str">
        <f>IF(B715="","",SUBTOTAL(3,$B$4:B715))</f>
        <v/>
      </c>
      <c r="B715" s="25"/>
      <c r="C715" s="25" t="str">
        <f t="shared" si="558"/>
        <v xml:space="preserve"> </v>
      </c>
      <c r="D715" s="25"/>
      <c r="E715" s="25"/>
      <c r="F715" s="25"/>
      <c r="G715" s="65"/>
      <c r="H715" s="25"/>
      <c r="I715" s="25"/>
      <c r="J715" s="26"/>
      <c r="K715" s="27"/>
      <c r="L715" s="28"/>
      <c r="M715" s="28"/>
      <c r="N715" s="25"/>
      <c r="O715" s="29"/>
      <c r="P715" s="29"/>
      <c r="Q715" s="25"/>
      <c r="R715" s="25"/>
      <c r="S715" s="26"/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559"/>
        <v>0</v>
      </c>
      <c r="AF715" s="32">
        <f t="shared" si="560"/>
        <v>0</v>
      </c>
      <c r="AG715" s="30"/>
      <c r="AH715" s="33"/>
      <c r="AI715" s="34">
        <f t="shared" si="561"/>
        <v>0</v>
      </c>
      <c r="AJ715" s="35"/>
      <c r="AK715" s="30"/>
      <c r="AL715" s="36">
        <f t="shared" si="562"/>
        <v>0</v>
      </c>
      <c r="AM715" s="35"/>
      <c r="AN715" s="30"/>
      <c r="AO715" s="36">
        <f t="shared" si="563"/>
        <v>0</v>
      </c>
      <c r="AP715" s="35"/>
      <c r="AQ715" s="30"/>
      <c r="AR715" s="36">
        <f t="shared" si="564"/>
        <v>0</v>
      </c>
      <c r="AS715" s="27"/>
      <c r="AT715" s="37"/>
      <c r="AU715" s="30"/>
      <c r="AV715" s="36">
        <f t="shared" si="565"/>
        <v>0</v>
      </c>
      <c r="AW715" s="35"/>
      <c r="AX715" s="30"/>
      <c r="AY715" s="32">
        <f t="shared" si="566"/>
        <v>0</v>
      </c>
      <c r="AZ715" s="30"/>
      <c r="BA715" s="63"/>
      <c r="BB715" s="71"/>
      <c r="BC715" s="71"/>
      <c r="BD715" s="71"/>
    </row>
    <row r="716" spans="1:56" x14ac:dyDescent="0.25">
      <c r="A716" s="24" t="str">
        <f>IF(B716="","",SUBTOTAL(3,$B$4:B716))</f>
        <v/>
      </c>
      <c r="B716" s="25"/>
      <c r="C716" s="25" t="str">
        <f t="shared" si="558"/>
        <v xml:space="preserve"> </v>
      </c>
      <c r="D716" s="25"/>
      <c r="E716" s="25"/>
      <c r="F716" s="25"/>
      <c r="G716" s="65"/>
      <c r="H716" s="25"/>
      <c r="I716" s="25"/>
      <c r="J716" s="26"/>
      <c r="K716" s="27"/>
      <c r="L716" s="28"/>
      <c r="M716" s="28"/>
      <c r="N716" s="25"/>
      <c r="O716" s="29"/>
      <c r="P716" s="29"/>
      <c r="Q716" s="25"/>
      <c r="R716" s="25"/>
      <c r="S716" s="26"/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559"/>
        <v>0</v>
      </c>
      <c r="AF716" s="32">
        <f t="shared" si="560"/>
        <v>0</v>
      </c>
      <c r="AG716" s="30"/>
      <c r="AH716" s="33"/>
      <c r="AI716" s="34">
        <f t="shared" si="561"/>
        <v>0</v>
      </c>
      <c r="AJ716" s="35"/>
      <c r="AK716" s="30"/>
      <c r="AL716" s="36">
        <f t="shared" si="562"/>
        <v>0</v>
      </c>
      <c r="AM716" s="35"/>
      <c r="AN716" s="30"/>
      <c r="AO716" s="36">
        <f t="shared" si="563"/>
        <v>0</v>
      </c>
      <c r="AP716" s="35"/>
      <c r="AQ716" s="30"/>
      <c r="AR716" s="36">
        <f t="shared" si="564"/>
        <v>0</v>
      </c>
      <c r="AS716" s="27"/>
      <c r="AT716" s="37"/>
      <c r="AU716" s="30"/>
      <c r="AV716" s="36">
        <f t="shared" si="565"/>
        <v>0</v>
      </c>
      <c r="AW716" s="35"/>
      <c r="AX716" s="30"/>
      <c r="AY716" s="32">
        <f t="shared" si="566"/>
        <v>0</v>
      </c>
      <c r="AZ716" s="30"/>
      <c r="BA716" s="63"/>
      <c r="BB716" s="71"/>
      <c r="BC716" s="71"/>
      <c r="BD716" s="71"/>
    </row>
    <row r="717" spans="1:56" x14ac:dyDescent="0.25">
      <c r="A717" s="24" t="str">
        <f>IF(B717="","",SUBTOTAL(3,$B$4:B717))</f>
        <v/>
      </c>
      <c r="B717" s="25"/>
      <c r="C717" s="25" t="str">
        <f t="shared" si="558"/>
        <v xml:space="preserve"> </v>
      </c>
      <c r="D717" s="25"/>
      <c r="E717" s="25"/>
      <c r="F717" s="25"/>
      <c r="G717" s="65"/>
      <c r="H717" s="25"/>
      <c r="I717" s="25"/>
      <c r="J717" s="26"/>
      <c r="K717" s="27"/>
      <c r="L717" s="28"/>
      <c r="M717" s="28"/>
      <c r="N717" s="25"/>
      <c r="O717" s="29"/>
      <c r="P717" s="29"/>
      <c r="Q717" s="25"/>
      <c r="R717" s="25"/>
      <c r="S717" s="26"/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559"/>
        <v>0</v>
      </c>
      <c r="AF717" s="32">
        <f t="shared" si="560"/>
        <v>0</v>
      </c>
      <c r="AG717" s="30"/>
      <c r="AH717" s="33"/>
      <c r="AI717" s="34">
        <f t="shared" si="561"/>
        <v>0</v>
      </c>
      <c r="AJ717" s="35"/>
      <c r="AK717" s="30"/>
      <c r="AL717" s="36">
        <f t="shared" si="562"/>
        <v>0</v>
      </c>
      <c r="AM717" s="35"/>
      <c r="AN717" s="30"/>
      <c r="AO717" s="36">
        <f t="shared" si="563"/>
        <v>0</v>
      </c>
      <c r="AP717" s="35"/>
      <c r="AQ717" s="30"/>
      <c r="AR717" s="36">
        <f t="shared" si="564"/>
        <v>0</v>
      </c>
      <c r="AS717" s="27"/>
      <c r="AT717" s="37"/>
      <c r="AU717" s="30"/>
      <c r="AV717" s="36">
        <f t="shared" si="565"/>
        <v>0</v>
      </c>
      <c r="AW717" s="35"/>
      <c r="AX717" s="30"/>
      <c r="AY717" s="32">
        <f t="shared" si="566"/>
        <v>0</v>
      </c>
      <c r="AZ717" s="30"/>
      <c r="BA717" s="63"/>
      <c r="BB717" s="71"/>
      <c r="BC717" s="71"/>
      <c r="BD717" s="71"/>
    </row>
    <row r="718" spans="1:56" x14ac:dyDescent="0.25">
      <c r="A718" s="24" t="str">
        <f>IF(B718="","",SUBTOTAL(3,$B$4:B718))</f>
        <v/>
      </c>
      <c r="B718" s="25"/>
      <c r="C718" s="25" t="str">
        <f t="shared" si="558"/>
        <v xml:space="preserve"> </v>
      </c>
      <c r="D718" s="25"/>
      <c r="E718" s="25"/>
      <c r="F718" s="25"/>
      <c r="G718" s="65"/>
      <c r="H718" s="25"/>
      <c r="I718" s="25"/>
      <c r="J718" s="26"/>
      <c r="K718" s="27"/>
      <c r="L718" s="28"/>
      <c r="M718" s="28"/>
      <c r="N718" s="25"/>
      <c r="O718" s="29"/>
      <c r="P718" s="29"/>
      <c r="Q718" s="25"/>
      <c r="R718" s="25"/>
      <c r="S718" s="26"/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559"/>
        <v>0</v>
      </c>
      <c r="AF718" s="32">
        <f t="shared" si="560"/>
        <v>0</v>
      </c>
      <c r="AG718" s="30"/>
      <c r="AH718" s="33"/>
      <c r="AI718" s="34">
        <f t="shared" si="561"/>
        <v>0</v>
      </c>
      <c r="AJ718" s="35"/>
      <c r="AK718" s="30"/>
      <c r="AL718" s="36">
        <f t="shared" si="562"/>
        <v>0</v>
      </c>
      <c r="AM718" s="35"/>
      <c r="AN718" s="30"/>
      <c r="AO718" s="36">
        <f t="shared" si="563"/>
        <v>0</v>
      </c>
      <c r="AP718" s="35"/>
      <c r="AQ718" s="30"/>
      <c r="AR718" s="36">
        <f t="shared" si="564"/>
        <v>0</v>
      </c>
      <c r="AS718" s="27"/>
      <c r="AT718" s="37"/>
      <c r="AU718" s="30"/>
      <c r="AV718" s="36">
        <f t="shared" si="565"/>
        <v>0</v>
      </c>
      <c r="AW718" s="35"/>
      <c r="AX718" s="30"/>
      <c r="AY718" s="32">
        <f t="shared" si="566"/>
        <v>0</v>
      </c>
      <c r="AZ718" s="30"/>
      <c r="BA718" s="63"/>
      <c r="BB718" s="71"/>
      <c r="BC718" s="71"/>
      <c r="BD718" s="71"/>
    </row>
    <row r="719" spans="1:56" x14ac:dyDescent="0.25">
      <c r="A719" s="24" t="str">
        <f>IF(B719="","",SUBTOTAL(3,$B$4:B719))</f>
        <v/>
      </c>
      <c r="B719" s="25"/>
      <c r="C719" s="25" t="str">
        <f t="shared" ref="C719:C782" si="567">D719&amp;" "&amp;E719</f>
        <v xml:space="preserve"> </v>
      </c>
      <c r="D719" s="25"/>
      <c r="E719" s="25"/>
      <c r="F719" s="25"/>
      <c r="G719" s="65"/>
      <c r="H719" s="25"/>
      <c r="I719" s="25"/>
      <c r="J719" s="26"/>
      <c r="K719" s="27"/>
      <c r="L719" s="28"/>
      <c r="M719" s="28"/>
      <c r="N719" s="25"/>
      <c r="O719" s="29"/>
      <c r="P719" s="29"/>
      <c r="Q719" s="25"/>
      <c r="R719" s="25"/>
      <c r="S719" s="26"/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ref="AE719:AE782" si="568">+AL719*0.5+AO719*0.4+AV719*0.1</f>
        <v>0</v>
      </c>
      <c r="AF719" s="32">
        <f t="shared" ref="AF719:AF782" si="569">+P719-AE719</f>
        <v>0</v>
      </c>
      <c r="AG719" s="30"/>
      <c r="AH719" s="33"/>
      <c r="AI719" s="34">
        <f t="shared" ref="AI719:AI782" si="570">+AH719*P719</f>
        <v>0</v>
      </c>
      <c r="AJ719" s="35"/>
      <c r="AK719" s="30"/>
      <c r="AL719" s="36">
        <f t="shared" ref="AL719:AL782" si="571">IFERROR(AK719*$P719/$N719,0)</f>
        <v>0</v>
      </c>
      <c r="AM719" s="35"/>
      <c r="AN719" s="30"/>
      <c r="AO719" s="36">
        <f t="shared" ref="AO719:AO782" si="572">IFERROR(AN719*$P719/$N719,0)</f>
        <v>0</v>
      </c>
      <c r="AP719" s="35"/>
      <c r="AQ719" s="30"/>
      <c r="AR719" s="36">
        <f t="shared" ref="AR719:AR782" si="573">IFERROR(AQ719*$P719/$N719,0)</f>
        <v>0</v>
      </c>
      <c r="AS719" s="27"/>
      <c r="AT719" s="37"/>
      <c r="AU719" s="30"/>
      <c r="AV719" s="36">
        <f t="shared" ref="AV719:AV782" si="574">IFERROR(AU719*$P719/$N719,0)</f>
        <v>0</v>
      </c>
      <c r="AW719" s="35"/>
      <c r="AX719" s="30"/>
      <c r="AY719" s="32">
        <f t="shared" ref="AY719:AY782" si="575">IFERROR(AX719*$P719/$N719,0)</f>
        <v>0</v>
      </c>
      <c r="AZ719" s="30"/>
      <c r="BA719" s="63"/>
      <c r="BB719" s="71"/>
      <c r="BC719" s="71"/>
      <c r="BD719" s="71"/>
    </row>
    <row r="720" spans="1:56" x14ac:dyDescent="0.25">
      <c r="A720" s="24" t="str">
        <f>IF(B720="","",SUBTOTAL(3,$B$4:B720))</f>
        <v/>
      </c>
      <c r="B720" s="25"/>
      <c r="C720" s="25" t="str">
        <f t="shared" si="567"/>
        <v xml:space="preserve"> </v>
      </c>
      <c r="D720" s="25"/>
      <c r="E720" s="25"/>
      <c r="F720" s="25"/>
      <c r="G720" s="65"/>
      <c r="H720" s="25"/>
      <c r="I720" s="25"/>
      <c r="J720" s="26"/>
      <c r="K720" s="27"/>
      <c r="L720" s="28"/>
      <c r="M720" s="28"/>
      <c r="N720" s="25"/>
      <c r="O720" s="29"/>
      <c r="P720" s="29"/>
      <c r="Q720" s="25"/>
      <c r="R720" s="25"/>
      <c r="S720" s="26"/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568"/>
        <v>0</v>
      </c>
      <c r="AF720" s="32">
        <f t="shared" si="569"/>
        <v>0</v>
      </c>
      <c r="AG720" s="30"/>
      <c r="AH720" s="33"/>
      <c r="AI720" s="34">
        <f t="shared" si="570"/>
        <v>0</v>
      </c>
      <c r="AJ720" s="35"/>
      <c r="AK720" s="30"/>
      <c r="AL720" s="36">
        <f t="shared" si="571"/>
        <v>0</v>
      </c>
      <c r="AM720" s="35"/>
      <c r="AN720" s="30"/>
      <c r="AO720" s="36">
        <f t="shared" si="572"/>
        <v>0</v>
      </c>
      <c r="AP720" s="35"/>
      <c r="AQ720" s="30"/>
      <c r="AR720" s="36">
        <f t="shared" si="573"/>
        <v>0</v>
      </c>
      <c r="AS720" s="27"/>
      <c r="AT720" s="37"/>
      <c r="AU720" s="30"/>
      <c r="AV720" s="36">
        <f t="shared" si="574"/>
        <v>0</v>
      </c>
      <c r="AW720" s="35"/>
      <c r="AX720" s="30"/>
      <c r="AY720" s="32">
        <f t="shared" si="575"/>
        <v>0</v>
      </c>
      <c r="AZ720" s="30"/>
      <c r="BA720" s="63"/>
      <c r="BB720" s="71"/>
      <c r="BC720" s="71"/>
      <c r="BD720" s="71"/>
    </row>
    <row r="721" spans="1:56" x14ac:dyDescent="0.25">
      <c r="A721" s="24" t="str">
        <f>IF(B721="","",SUBTOTAL(3,$B$4:B721))</f>
        <v/>
      </c>
      <c r="B721" s="25"/>
      <c r="C721" s="25" t="str">
        <f t="shared" si="567"/>
        <v xml:space="preserve"> </v>
      </c>
      <c r="D721" s="25"/>
      <c r="E721" s="25"/>
      <c r="F721" s="25"/>
      <c r="G721" s="65"/>
      <c r="H721" s="25"/>
      <c r="I721" s="25"/>
      <c r="J721" s="26"/>
      <c r="K721" s="27"/>
      <c r="L721" s="28"/>
      <c r="M721" s="28"/>
      <c r="N721" s="25"/>
      <c r="O721" s="29"/>
      <c r="P721" s="29"/>
      <c r="Q721" s="25"/>
      <c r="R721" s="25"/>
      <c r="S721" s="26"/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si="568"/>
        <v>0</v>
      </c>
      <c r="AF721" s="32">
        <f t="shared" si="569"/>
        <v>0</v>
      </c>
      <c r="AG721" s="30"/>
      <c r="AH721" s="33"/>
      <c r="AI721" s="34">
        <f t="shared" si="570"/>
        <v>0</v>
      </c>
      <c r="AJ721" s="35"/>
      <c r="AK721" s="30"/>
      <c r="AL721" s="36">
        <f t="shared" si="571"/>
        <v>0</v>
      </c>
      <c r="AM721" s="35"/>
      <c r="AN721" s="30"/>
      <c r="AO721" s="36">
        <f t="shared" si="572"/>
        <v>0</v>
      </c>
      <c r="AP721" s="35"/>
      <c r="AQ721" s="30"/>
      <c r="AR721" s="36">
        <f t="shared" si="573"/>
        <v>0</v>
      </c>
      <c r="AS721" s="27"/>
      <c r="AT721" s="37"/>
      <c r="AU721" s="30"/>
      <c r="AV721" s="36">
        <f t="shared" si="574"/>
        <v>0</v>
      </c>
      <c r="AW721" s="35"/>
      <c r="AX721" s="30"/>
      <c r="AY721" s="32">
        <f t="shared" si="575"/>
        <v>0</v>
      </c>
      <c r="AZ721" s="30"/>
      <c r="BA721" s="63"/>
      <c r="BB721" s="71"/>
      <c r="BC721" s="71"/>
      <c r="BD721" s="71"/>
    </row>
    <row r="722" spans="1:56" x14ac:dyDescent="0.25">
      <c r="A722" s="24" t="str">
        <f>IF(B722="","",SUBTOTAL(3,$B$4:B722))</f>
        <v/>
      </c>
      <c r="B722" s="25"/>
      <c r="C722" s="25" t="str">
        <f t="shared" si="567"/>
        <v xml:space="preserve"> </v>
      </c>
      <c r="D722" s="25"/>
      <c r="E722" s="25"/>
      <c r="F722" s="25"/>
      <c r="G722" s="65"/>
      <c r="H722" s="25"/>
      <c r="I722" s="25"/>
      <c r="J722" s="26"/>
      <c r="K722" s="27"/>
      <c r="L722" s="28"/>
      <c r="M722" s="28"/>
      <c r="N722" s="25"/>
      <c r="O722" s="29"/>
      <c r="P722" s="29"/>
      <c r="Q722" s="25"/>
      <c r="R722" s="25"/>
      <c r="S722" s="26"/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568"/>
        <v>0</v>
      </c>
      <c r="AF722" s="32">
        <f t="shared" si="569"/>
        <v>0</v>
      </c>
      <c r="AG722" s="30"/>
      <c r="AH722" s="33"/>
      <c r="AI722" s="34">
        <f t="shared" si="570"/>
        <v>0</v>
      </c>
      <c r="AJ722" s="35"/>
      <c r="AK722" s="30"/>
      <c r="AL722" s="36">
        <f t="shared" si="571"/>
        <v>0</v>
      </c>
      <c r="AM722" s="35"/>
      <c r="AN722" s="30"/>
      <c r="AO722" s="36">
        <f t="shared" si="572"/>
        <v>0</v>
      </c>
      <c r="AP722" s="35"/>
      <c r="AQ722" s="30"/>
      <c r="AR722" s="36">
        <f t="shared" si="573"/>
        <v>0</v>
      </c>
      <c r="AS722" s="27"/>
      <c r="AT722" s="37"/>
      <c r="AU722" s="30"/>
      <c r="AV722" s="36">
        <f t="shared" si="574"/>
        <v>0</v>
      </c>
      <c r="AW722" s="35"/>
      <c r="AX722" s="30"/>
      <c r="AY722" s="32">
        <f t="shared" si="575"/>
        <v>0</v>
      </c>
      <c r="AZ722" s="30"/>
      <c r="BA722" s="63"/>
      <c r="BB722" s="71"/>
      <c r="BC722" s="71"/>
      <c r="BD722" s="71"/>
    </row>
    <row r="723" spans="1:56" x14ac:dyDescent="0.25">
      <c r="A723" s="24" t="str">
        <f>IF(B723="","",SUBTOTAL(3,$B$4:B723))</f>
        <v/>
      </c>
      <c r="B723" s="25"/>
      <c r="C723" s="25" t="str">
        <f t="shared" si="567"/>
        <v xml:space="preserve"> </v>
      </c>
      <c r="D723" s="25"/>
      <c r="E723" s="25"/>
      <c r="F723" s="25"/>
      <c r="G723" s="65"/>
      <c r="H723" s="25"/>
      <c r="I723" s="25"/>
      <c r="J723" s="26"/>
      <c r="K723" s="27"/>
      <c r="L723" s="28"/>
      <c r="M723" s="28"/>
      <c r="N723" s="25"/>
      <c r="O723" s="29"/>
      <c r="P723" s="29"/>
      <c r="Q723" s="25"/>
      <c r="R723" s="25"/>
      <c r="S723" s="26"/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568"/>
        <v>0</v>
      </c>
      <c r="AF723" s="32">
        <f t="shared" si="569"/>
        <v>0</v>
      </c>
      <c r="AG723" s="30"/>
      <c r="AH723" s="33"/>
      <c r="AI723" s="34">
        <f t="shared" si="570"/>
        <v>0</v>
      </c>
      <c r="AJ723" s="35"/>
      <c r="AK723" s="30"/>
      <c r="AL723" s="36">
        <f t="shared" si="571"/>
        <v>0</v>
      </c>
      <c r="AM723" s="35"/>
      <c r="AN723" s="30"/>
      <c r="AO723" s="36">
        <f t="shared" si="572"/>
        <v>0</v>
      </c>
      <c r="AP723" s="35"/>
      <c r="AQ723" s="30"/>
      <c r="AR723" s="36">
        <f t="shared" si="573"/>
        <v>0</v>
      </c>
      <c r="AS723" s="27"/>
      <c r="AT723" s="37"/>
      <c r="AU723" s="30"/>
      <c r="AV723" s="36">
        <f t="shared" si="574"/>
        <v>0</v>
      </c>
      <c r="AW723" s="35"/>
      <c r="AX723" s="30"/>
      <c r="AY723" s="32">
        <f t="shared" si="575"/>
        <v>0</v>
      </c>
      <c r="AZ723" s="30"/>
      <c r="BA723" s="63"/>
      <c r="BB723" s="71"/>
      <c r="BC723" s="71"/>
      <c r="BD723" s="71"/>
    </row>
    <row r="724" spans="1:56" x14ac:dyDescent="0.25">
      <c r="A724" s="24" t="str">
        <f>IF(B724="","",SUBTOTAL(3,$B$4:B724))</f>
        <v/>
      </c>
      <c r="B724" s="25"/>
      <c r="C724" s="25" t="str">
        <f t="shared" si="567"/>
        <v xml:space="preserve"> </v>
      </c>
      <c r="D724" s="25"/>
      <c r="E724" s="25"/>
      <c r="F724" s="25"/>
      <c r="G724" s="65"/>
      <c r="H724" s="25"/>
      <c r="I724" s="25"/>
      <c r="J724" s="26"/>
      <c r="K724" s="27"/>
      <c r="L724" s="28"/>
      <c r="M724" s="28"/>
      <c r="N724" s="25"/>
      <c r="O724" s="29"/>
      <c r="P724" s="29"/>
      <c r="Q724" s="25"/>
      <c r="R724" s="25"/>
      <c r="S724" s="26"/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568"/>
        <v>0</v>
      </c>
      <c r="AF724" s="32">
        <f t="shared" si="569"/>
        <v>0</v>
      </c>
      <c r="AG724" s="30"/>
      <c r="AH724" s="33"/>
      <c r="AI724" s="34">
        <f t="shared" si="570"/>
        <v>0</v>
      </c>
      <c r="AJ724" s="35"/>
      <c r="AK724" s="30"/>
      <c r="AL724" s="36">
        <f t="shared" si="571"/>
        <v>0</v>
      </c>
      <c r="AM724" s="35"/>
      <c r="AN724" s="30"/>
      <c r="AO724" s="36">
        <f t="shared" si="572"/>
        <v>0</v>
      </c>
      <c r="AP724" s="35"/>
      <c r="AQ724" s="30"/>
      <c r="AR724" s="36">
        <f t="shared" si="573"/>
        <v>0</v>
      </c>
      <c r="AS724" s="27"/>
      <c r="AT724" s="37"/>
      <c r="AU724" s="30"/>
      <c r="AV724" s="36">
        <f t="shared" si="574"/>
        <v>0</v>
      </c>
      <c r="AW724" s="35"/>
      <c r="AX724" s="30"/>
      <c r="AY724" s="32">
        <f t="shared" si="575"/>
        <v>0</v>
      </c>
      <c r="AZ724" s="30"/>
      <c r="BA724" s="63"/>
      <c r="BB724" s="71"/>
      <c r="BC724" s="71"/>
      <c r="BD724" s="71"/>
    </row>
    <row r="725" spans="1:56" x14ac:dyDescent="0.25">
      <c r="A725" s="24" t="str">
        <f>IF(B725="","",SUBTOTAL(3,$B$4:B725))</f>
        <v/>
      </c>
      <c r="B725" s="25"/>
      <c r="C725" s="25" t="str">
        <f t="shared" si="567"/>
        <v xml:space="preserve"> </v>
      </c>
      <c r="D725" s="25"/>
      <c r="E725" s="25"/>
      <c r="F725" s="25"/>
      <c r="G725" s="65"/>
      <c r="H725" s="25"/>
      <c r="I725" s="25"/>
      <c r="J725" s="26"/>
      <c r="K725" s="27"/>
      <c r="L725" s="28"/>
      <c r="M725" s="28"/>
      <c r="N725" s="25"/>
      <c r="O725" s="29"/>
      <c r="P725" s="29"/>
      <c r="Q725" s="25"/>
      <c r="R725" s="25"/>
      <c r="S725" s="26"/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568"/>
        <v>0</v>
      </c>
      <c r="AF725" s="32">
        <f t="shared" si="569"/>
        <v>0</v>
      </c>
      <c r="AG725" s="30"/>
      <c r="AH725" s="33"/>
      <c r="AI725" s="34">
        <f t="shared" si="570"/>
        <v>0</v>
      </c>
      <c r="AJ725" s="35"/>
      <c r="AK725" s="30"/>
      <c r="AL725" s="36">
        <f t="shared" si="571"/>
        <v>0</v>
      </c>
      <c r="AM725" s="35"/>
      <c r="AN725" s="30"/>
      <c r="AO725" s="36">
        <f t="shared" si="572"/>
        <v>0</v>
      </c>
      <c r="AP725" s="35"/>
      <c r="AQ725" s="30"/>
      <c r="AR725" s="36">
        <f t="shared" si="573"/>
        <v>0</v>
      </c>
      <c r="AS725" s="27"/>
      <c r="AT725" s="37"/>
      <c r="AU725" s="30"/>
      <c r="AV725" s="36">
        <f t="shared" si="574"/>
        <v>0</v>
      </c>
      <c r="AW725" s="35"/>
      <c r="AX725" s="30"/>
      <c r="AY725" s="32">
        <f t="shared" si="575"/>
        <v>0</v>
      </c>
      <c r="AZ725" s="30"/>
      <c r="BA725" s="63"/>
      <c r="BB725" s="71"/>
      <c r="BC725" s="71"/>
      <c r="BD725" s="71"/>
    </row>
    <row r="726" spans="1:56" x14ac:dyDescent="0.25">
      <c r="A726" s="24" t="str">
        <f>IF(B726="","",SUBTOTAL(3,$B$4:B726))</f>
        <v/>
      </c>
      <c r="B726" s="25"/>
      <c r="C726" s="25" t="str">
        <f t="shared" si="567"/>
        <v xml:space="preserve"> </v>
      </c>
      <c r="D726" s="25"/>
      <c r="E726" s="25"/>
      <c r="F726" s="25"/>
      <c r="G726" s="65"/>
      <c r="H726" s="25"/>
      <c r="I726" s="25"/>
      <c r="J726" s="26"/>
      <c r="K726" s="27"/>
      <c r="L726" s="28"/>
      <c r="M726" s="28"/>
      <c r="N726" s="25"/>
      <c r="O726" s="29"/>
      <c r="P726" s="29"/>
      <c r="Q726" s="25"/>
      <c r="R726" s="25"/>
      <c r="S726" s="26"/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568"/>
        <v>0</v>
      </c>
      <c r="AF726" s="32">
        <f t="shared" si="569"/>
        <v>0</v>
      </c>
      <c r="AG726" s="30"/>
      <c r="AH726" s="33"/>
      <c r="AI726" s="34">
        <f t="shared" si="570"/>
        <v>0</v>
      </c>
      <c r="AJ726" s="35"/>
      <c r="AK726" s="30"/>
      <c r="AL726" s="36">
        <f t="shared" si="571"/>
        <v>0</v>
      </c>
      <c r="AM726" s="35"/>
      <c r="AN726" s="30"/>
      <c r="AO726" s="36">
        <f t="shared" si="572"/>
        <v>0</v>
      </c>
      <c r="AP726" s="35"/>
      <c r="AQ726" s="30"/>
      <c r="AR726" s="36">
        <f t="shared" si="573"/>
        <v>0</v>
      </c>
      <c r="AS726" s="27"/>
      <c r="AT726" s="37"/>
      <c r="AU726" s="30"/>
      <c r="AV726" s="36">
        <f t="shared" si="574"/>
        <v>0</v>
      </c>
      <c r="AW726" s="35"/>
      <c r="AX726" s="30"/>
      <c r="AY726" s="32">
        <f t="shared" si="575"/>
        <v>0</v>
      </c>
      <c r="AZ726" s="30"/>
      <c r="BA726" s="63"/>
      <c r="BB726" s="71"/>
      <c r="BC726" s="71"/>
      <c r="BD726" s="71"/>
    </row>
    <row r="727" spans="1:56" x14ac:dyDescent="0.25">
      <c r="A727" s="24" t="str">
        <f>IF(B727="","",SUBTOTAL(3,$B$4:B727))</f>
        <v/>
      </c>
      <c r="B727" s="25"/>
      <c r="C727" s="25" t="str">
        <f t="shared" si="567"/>
        <v xml:space="preserve"> </v>
      </c>
      <c r="D727" s="25"/>
      <c r="E727" s="25"/>
      <c r="F727" s="25"/>
      <c r="G727" s="65"/>
      <c r="H727" s="25"/>
      <c r="I727" s="25"/>
      <c r="J727" s="26"/>
      <c r="K727" s="27"/>
      <c r="L727" s="28"/>
      <c r="M727" s="28"/>
      <c r="N727" s="25"/>
      <c r="O727" s="29"/>
      <c r="P727" s="29"/>
      <c r="Q727" s="25"/>
      <c r="R727" s="25"/>
      <c r="S727" s="26"/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568"/>
        <v>0</v>
      </c>
      <c r="AF727" s="32">
        <f t="shared" si="569"/>
        <v>0</v>
      </c>
      <c r="AG727" s="30"/>
      <c r="AH727" s="33"/>
      <c r="AI727" s="34">
        <f t="shared" si="570"/>
        <v>0</v>
      </c>
      <c r="AJ727" s="35"/>
      <c r="AK727" s="30"/>
      <c r="AL727" s="36">
        <f t="shared" si="571"/>
        <v>0</v>
      </c>
      <c r="AM727" s="35"/>
      <c r="AN727" s="30"/>
      <c r="AO727" s="36">
        <f t="shared" si="572"/>
        <v>0</v>
      </c>
      <c r="AP727" s="35"/>
      <c r="AQ727" s="30"/>
      <c r="AR727" s="36">
        <f t="shared" si="573"/>
        <v>0</v>
      </c>
      <c r="AS727" s="27"/>
      <c r="AT727" s="37"/>
      <c r="AU727" s="30"/>
      <c r="AV727" s="36">
        <f t="shared" si="574"/>
        <v>0</v>
      </c>
      <c r="AW727" s="35"/>
      <c r="AX727" s="30"/>
      <c r="AY727" s="32">
        <f t="shared" si="575"/>
        <v>0</v>
      </c>
      <c r="AZ727" s="30"/>
      <c r="BA727" s="63"/>
      <c r="BB727" s="71"/>
      <c r="BC727" s="71"/>
      <c r="BD727" s="71"/>
    </row>
    <row r="728" spans="1:56" x14ac:dyDescent="0.25">
      <c r="A728" s="24" t="str">
        <f>IF(B728="","",SUBTOTAL(3,$B$4:B728))</f>
        <v/>
      </c>
      <c r="B728" s="25"/>
      <c r="C728" s="25" t="str">
        <f t="shared" si="567"/>
        <v xml:space="preserve"> </v>
      </c>
      <c r="D728" s="25"/>
      <c r="E728" s="25"/>
      <c r="F728" s="25"/>
      <c r="G728" s="65"/>
      <c r="H728" s="25"/>
      <c r="I728" s="25"/>
      <c r="J728" s="26"/>
      <c r="K728" s="27"/>
      <c r="L728" s="28"/>
      <c r="M728" s="28"/>
      <c r="N728" s="25"/>
      <c r="O728" s="29"/>
      <c r="P728" s="29"/>
      <c r="Q728" s="25"/>
      <c r="R728" s="25"/>
      <c r="S728" s="26"/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568"/>
        <v>0</v>
      </c>
      <c r="AF728" s="32">
        <f t="shared" si="569"/>
        <v>0</v>
      </c>
      <c r="AG728" s="30"/>
      <c r="AH728" s="33"/>
      <c r="AI728" s="34">
        <f t="shared" si="570"/>
        <v>0</v>
      </c>
      <c r="AJ728" s="35"/>
      <c r="AK728" s="30"/>
      <c r="AL728" s="36">
        <f t="shared" si="571"/>
        <v>0</v>
      </c>
      <c r="AM728" s="35"/>
      <c r="AN728" s="30"/>
      <c r="AO728" s="36">
        <f t="shared" si="572"/>
        <v>0</v>
      </c>
      <c r="AP728" s="35"/>
      <c r="AQ728" s="30"/>
      <c r="AR728" s="36">
        <f t="shared" si="573"/>
        <v>0</v>
      </c>
      <c r="AS728" s="27"/>
      <c r="AT728" s="37"/>
      <c r="AU728" s="30"/>
      <c r="AV728" s="36">
        <f t="shared" si="574"/>
        <v>0</v>
      </c>
      <c r="AW728" s="35"/>
      <c r="AX728" s="30"/>
      <c r="AY728" s="32">
        <f t="shared" si="575"/>
        <v>0</v>
      </c>
      <c r="AZ728" s="30"/>
      <c r="BA728" s="63"/>
      <c r="BB728" s="71"/>
      <c r="BC728" s="71"/>
      <c r="BD728" s="71"/>
    </row>
    <row r="729" spans="1:56" x14ac:dyDescent="0.25">
      <c r="A729" s="24" t="str">
        <f>IF(B729="","",SUBTOTAL(3,$B$4:B729))</f>
        <v/>
      </c>
      <c r="B729" s="25"/>
      <c r="C729" s="25" t="str">
        <f t="shared" si="567"/>
        <v xml:space="preserve"> </v>
      </c>
      <c r="D729" s="25"/>
      <c r="E729" s="25"/>
      <c r="F729" s="25"/>
      <c r="G729" s="65"/>
      <c r="H729" s="25"/>
      <c r="I729" s="25"/>
      <c r="J729" s="26"/>
      <c r="K729" s="27"/>
      <c r="L729" s="28"/>
      <c r="M729" s="28"/>
      <c r="N729" s="25"/>
      <c r="O729" s="29"/>
      <c r="P729" s="29"/>
      <c r="Q729" s="25"/>
      <c r="R729" s="25"/>
      <c r="S729" s="26"/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568"/>
        <v>0</v>
      </c>
      <c r="AF729" s="32">
        <f t="shared" si="569"/>
        <v>0</v>
      </c>
      <c r="AG729" s="30"/>
      <c r="AH729" s="33"/>
      <c r="AI729" s="34">
        <f t="shared" si="570"/>
        <v>0</v>
      </c>
      <c r="AJ729" s="35"/>
      <c r="AK729" s="30"/>
      <c r="AL729" s="36">
        <f t="shared" si="571"/>
        <v>0</v>
      </c>
      <c r="AM729" s="35"/>
      <c r="AN729" s="30"/>
      <c r="AO729" s="36">
        <f t="shared" si="572"/>
        <v>0</v>
      </c>
      <c r="AP729" s="35"/>
      <c r="AQ729" s="30"/>
      <c r="AR729" s="36">
        <f t="shared" si="573"/>
        <v>0</v>
      </c>
      <c r="AS729" s="27"/>
      <c r="AT729" s="37"/>
      <c r="AU729" s="30"/>
      <c r="AV729" s="36">
        <f t="shared" si="574"/>
        <v>0</v>
      </c>
      <c r="AW729" s="35"/>
      <c r="AX729" s="30"/>
      <c r="AY729" s="32">
        <f t="shared" si="575"/>
        <v>0</v>
      </c>
      <c r="AZ729" s="30"/>
      <c r="BA729" s="63"/>
      <c r="BB729" s="71"/>
      <c r="BC729" s="71"/>
      <c r="BD729" s="71"/>
    </row>
    <row r="730" spans="1:56" x14ac:dyDescent="0.25">
      <c r="A730" s="24" t="str">
        <f>IF(B730="","",SUBTOTAL(3,$B$4:B730))</f>
        <v/>
      </c>
      <c r="B730" s="25"/>
      <c r="C730" s="25" t="str">
        <f t="shared" si="567"/>
        <v xml:space="preserve"> </v>
      </c>
      <c r="D730" s="25"/>
      <c r="E730" s="25"/>
      <c r="F730" s="25"/>
      <c r="G730" s="65"/>
      <c r="H730" s="25"/>
      <c r="I730" s="25"/>
      <c r="J730" s="26"/>
      <c r="K730" s="27"/>
      <c r="L730" s="28"/>
      <c r="M730" s="28"/>
      <c r="N730" s="25"/>
      <c r="O730" s="29"/>
      <c r="P730" s="29"/>
      <c r="Q730" s="25"/>
      <c r="R730" s="25"/>
      <c r="S730" s="26"/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568"/>
        <v>0</v>
      </c>
      <c r="AF730" s="32">
        <f t="shared" si="569"/>
        <v>0</v>
      </c>
      <c r="AG730" s="30"/>
      <c r="AH730" s="33"/>
      <c r="AI730" s="34">
        <f t="shared" si="570"/>
        <v>0</v>
      </c>
      <c r="AJ730" s="35"/>
      <c r="AK730" s="30"/>
      <c r="AL730" s="36">
        <f t="shared" si="571"/>
        <v>0</v>
      </c>
      <c r="AM730" s="35"/>
      <c r="AN730" s="30"/>
      <c r="AO730" s="36">
        <f t="shared" si="572"/>
        <v>0</v>
      </c>
      <c r="AP730" s="35"/>
      <c r="AQ730" s="30"/>
      <c r="AR730" s="36">
        <f t="shared" si="573"/>
        <v>0</v>
      </c>
      <c r="AS730" s="27"/>
      <c r="AT730" s="37"/>
      <c r="AU730" s="30"/>
      <c r="AV730" s="36">
        <f t="shared" si="574"/>
        <v>0</v>
      </c>
      <c r="AW730" s="35"/>
      <c r="AX730" s="30"/>
      <c r="AY730" s="32">
        <f t="shared" si="575"/>
        <v>0</v>
      </c>
      <c r="AZ730" s="30"/>
      <c r="BA730" s="63"/>
      <c r="BB730" s="71"/>
      <c r="BC730" s="71"/>
      <c r="BD730" s="71"/>
    </row>
    <row r="731" spans="1:56" x14ac:dyDescent="0.25">
      <c r="A731" s="24" t="str">
        <f>IF(B731="","",SUBTOTAL(3,$B$4:B731))</f>
        <v/>
      </c>
      <c r="B731" s="25"/>
      <c r="C731" s="25" t="str">
        <f t="shared" si="567"/>
        <v xml:space="preserve"> </v>
      </c>
      <c r="D731" s="25"/>
      <c r="E731" s="25"/>
      <c r="F731" s="25"/>
      <c r="G731" s="65"/>
      <c r="H731" s="25"/>
      <c r="I731" s="25"/>
      <c r="J731" s="26"/>
      <c r="K731" s="27"/>
      <c r="L731" s="28"/>
      <c r="M731" s="28"/>
      <c r="N731" s="25"/>
      <c r="O731" s="29"/>
      <c r="P731" s="29"/>
      <c r="Q731" s="25"/>
      <c r="R731" s="25"/>
      <c r="S731" s="26"/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568"/>
        <v>0</v>
      </c>
      <c r="AF731" s="32">
        <f t="shared" si="569"/>
        <v>0</v>
      </c>
      <c r="AG731" s="30"/>
      <c r="AH731" s="33"/>
      <c r="AI731" s="34">
        <f t="shared" si="570"/>
        <v>0</v>
      </c>
      <c r="AJ731" s="35"/>
      <c r="AK731" s="30"/>
      <c r="AL731" s="36">
        <f t="shared" si="571"/>
        <v>0</v>
      </c>
      <c r="AM731" s="35"/>
      <c r="AN731" s="30"/>
      <c r="AO731" s="36">
        <f t="shared" si="572"/>
        <v>0</v>
      </c>
      <c r="AP731" s="35"/>
      <c r="AQ731" s="30"/>
      <c r="AR731" s="36">
        <f t="shared" si="573"/>
        <v>0</v>
      </c>
      <c r="AS731" s="27"/>
      <c r="AT731" s="37"/>
      <c r="AU731" s="30"/>
      <c r="AV731" s="36">
        <f t="shared" si="574"/>
        <v>0</v>
      </c>
      <c r="AW731" s="35"/>
      <c r="AX731" s="30"/>
      <c r="AY731" s="32">
        <f t="shared" si="575"/>
        <v>0</v>
      </c>
      <c r="AZ731" s="30"/>
      <c r="BA731" s="63"/>
      <c r="BB731" s="71"/>
      <c r="BC731" s="71"/>
      <c r="BD731" s="71"/>
    </row>
    <row r="732" spans="1:56" x14ac:dyDescent="0.25">
      <c r="A732" s="24" t="str">
        <f>IF(B732="","",SUBTOTAL(3,$B$4:B732))</f>
        <v/>
      </c>
      <c r="B732" s="25"/>
      <c r="C732" s="25" t="str">
        <f t="shared" si="567"/>
        <v xml:space="preserve"> </v>
      </c>
      <c r="D732" s="25"/>
      <c r="E732" s="25"/>
      <c r="F732" s="25"/>
      <c r="G732" s="65"/>
      <c r="H732" s="25"/>
      <c r="I732" s="25"/>
      <c r="J732" s="26"/>
      <c r="K732" s="27"/>
      <c r="L732" s="28"/>
      <c r="M732" s="28"/>
      <c r="N732" s="25"/>
      <c r="O732" s="29"/>
      <c r="P732" s="29"/>
      <c r="Q732" s="25"/>
      <c r="R732" s="25"/>
      <c r="S732" s="26"/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568"/>
        <v>0</v>
      </c>
      <c r="AF732" s="32">
        <f t="shared" si="569"/>
        <v>0</v>
      </c>
      <c r="AG732" s="30"/>
      <c r="AH732" s="33"/>
      <c r="AI732" s="34">
        <f t="shared" si="570"/>
        <v>0</v>
      </c>
      <c r="AJ732" s="35"/>
      <c r="AK732" s="30"/>
      <c r="AL732" s="36">
        <f t="shared" si="571"/>
        <v>0</v>
      </c>
      <c r="AM732" s="35"/>
      <c r="AN732" s="30"/>
      <c r="AO732" s="36">
        <f t="shared" si="572"/>
        <v>0</v>
      </c>
      <c r="AP732" s="35"/>
      <c r="AQ732" s="30"/>
      <c r="AR732" s="36">
        <f t="shared" si="573"/>
        <v>0</v>
      </c>
      <c r="AS732" s="27"/>
      <c r="AT732" s="37"/>
      <c r="AU732" s="30"/>
      <c r="AV732" s="36">
        <f t="shared" si="574"/>
        <v>0</v>
      </c>
      <c r="AW732" s="35"/>
      <c r="AX732" s="30"/>
      <c r="AY732" s="32">
        <f t="shared" si="575"/>
        <v>0</v>
      </c>
      <c r="AZ732" s="30"/>
      <c r="BA732" s="63"/>
      <c r="BB732" s="71"/>
      <c r="BC732" s="71"/>
      <c r="BD732" s="71"/>
    </row>
    <row r="733" spans="1:56" x14ac:dyDescent="0.25">
      <c r="A733" s="24" t="str">
        <f>IF(B733="","",SUBTOTAL(3,$B$4:B733))</f>
        <v/>
      </c>
      <c r="B733" s="25"/>
      <c r="C733" s="25" t="str">
        <f t="shared" si="567"/>
        <v xml:space="preserve"> </v>
      </c>
      <c r="D733" s="25"/>
      <c r="E733" s="25"/>
      <c r="F733" s="25"/>
      <c r="G733" s="65"/>
      <c r="H733" s="25"/>
      <c r="I733" s="25"/>
      <c r="J733" s="26"/>
      <c r="K733" s="27"/>
      <c r="L733" s="28"/>
      <c r="M733" s="28"/>
      <c r="N733" s="25"/>
      <c r="O733" s="29"/>
      <c r="P733" s="29"/>
      <c r="Q733" s="25"/>
      <c r="R733" s="25"/>
      <c r="S733" s="26"/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568"/>
        <v>0</v>
      </c>
      <c r="AF733" s="32">
        <f t="shared" si="569"/>
        <v>0</v>
      </c>
      <c r="AG733" s="30"/>
      <c r="AH733" s="33"/>
      <c r="AI733" s="34">
        <f t="shared" si="570"/>
        <v>0</v>
      </c>
      <c r="AJ733" s="35"/>
      <c r="AK733" s="30"/>
      <c r="AL733" s="36">
        <f t="shared" si="571"/>
        <v>0</v>
      </c>
      <c r="AM733" s="35"/>
      <c r="AN733" s="30"/>
      <c r="AO733" s="36">
        <f t="shared" si="572"/>
        <v>0</v>
      </c>
      <c r="AP733" s="35"/>
      <c r="AQ733" s="30"/>
      <c r="AR733" s="36">
        <f t="shared" si="573"/>
        <v>0</v>
      </c>
      <c r="AS733" s="27"/>
      <c r="AT733" s="37"/>
      <c r="AU733" s="30"/>
      <c r="AV733" s="36">
        <f t="shared" si="574"/>
        <v>0</v>
      </c>
      <c r="AW733" s="35"/>
      <c r="AX733" s="30"/>
      <c r="AY733" s="32">
        <f t="shared" si="575"/>
        <v>0</v>
      </c>
      <c r="AZ733" s="30"/>
      <c r="BA733" s="63"/>
      <c r="BB733" s="71"/>
      <c r="BC733" s="71"/>
      <c r="BD733" s="71"/>
    </row>
    <row r="734" spans="1:56" x14ac:dyDescent="0.25">
      <c r="A734" s="24" t="str">
        <f>IF(B734="","",SUBTOTAL(3,$B$4:B734))</f>
        <v/>
      </c>
      <c r="B734" s="25"/>
      <c r="C734" s="25" t="str">
        <f t="shared" si="567"/>
        <v xml:space="preserve"> </v>
      </c>
      <c r="D734" s="25"/>
      <c r="E734" s="25"/>
      <c r="F734" s="25"/>
      <c r="G734" s="65"/>
      <c r="H734" s="25"/>
      <c r="I734" s="25"/>
      <c r="J734" s="26"/>
      <c r="K734" s="27"/>
      <c r="L734" s="28"/>
      <c r="M734" s="28"/>
      <c r="N734" s="25"/>
      <c r="O734" s="29"/>
      <c r="P734" s="29"/>
      <c r="Q734" s="25"/>
      <c r="R734" s="25"/>
      <c r="S734" s="26"/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568"/>
        <v>0</v>
      </c>
      <c r="AF734" s="32">
        <f t="shared" si="569"/>
        <v>0</v>
      </c>
      <c r="AG734" s="30"/>
      <c r="AH734" s="33"/>
      <c r="AI734" s="34">
        <f t="shared" si="570"/>
        <v>0</v>
      </c>
      <c r="AJ734" s="35"/>
      <c r="AK734" s="30"/>
      <c r="AL734" s="36">
        <f t="shared" si="571"/>
        <v>0</v>
      </c>
      <c r="AM734" s="35"/>
      <c r="AN734" s="30"/>
      <c r="AO734" s="36">
        <f t="shared" si="572"/>
        <v>0</v>
      </c>
      <c r="AP734" s="35"/>
      <c r="AQ734" s="30"/>
      <c r="AR734" s="36">
        <f t="shared" si="573"/>
        <v>0</v>
      </c>
      <c r="AS734" s="27"/>
      <c r="AT734" s="37"/>
      <c r="AU734" s="30"/>
      <c r="AV734" s="36">
        <f t="shared" si="574"/>
        <v>0</v>
      </c>
      <c r="AW734" s="35"/>
      <c r="AX734" s="30"/>
      <c r="AY734" s="32">
        <f t="shared" si="575"/>
        <v>0</v>
      </c>
      <c r="AZ734" s="30"/>
      <c r="BA734" s="63"/>
      <c r="BB734" s="71"/>
      <c r="BC734" s="71"/>
      <c r="BD734" s="71"/>
    </row>
    <row r="735" spans="1:56" x14ac:dyDescent="0.25">
      <c r="A735" s="24" t="str">
        <f>IF(B735="","",SUBTOTAL(3,$B$4:B735))</f>
        <v/>
      </c>
      <c r="B735" s="25"/>
      <c r="C735" s="25" t="str">
        <f t="shared" si="567"/>
        <v xml:space="preserve"> </v>
      </c>
      <c r="D735" s="25"/>
      <c r="E735" s="25"/>
      <c r="F735" s="25"/>
      <c r="G735" s="65"/>
      <c r="H735" s="25"/>
      <c r="I735" s="25"/>
      <c r="J735" s="26"/>
      <c r="K735" s="27"/>
      <c r="L735" s="28"/>
      <c r="M735" s="28"/>
      <c r="N735" s="25"/>
      <c r="O735" s="29"/>
      <c r="P735" s="29"/>
      <c r="Q735" s="25"/>
      <c r="R735" s="25"/>
      <c r="S735" s="26"/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si="568"/>
        <v>0</v>
      </c>
      <c r="AF735" s="32">
        <f t="shared" si="569"/>
        <v>0</v>
      </c>
      <c r="AG735" s="30"/>
      <c r="AH735" s="33"/>
      <c r="AI735" s="34">
        <f t="shared" si="570"/>
        <v>0</v>
      </c>
      <c r="AJ735" s="35"/>
      <c r="AK735" s="30"/>
      <c r="AL735" s="36">
        <f t="shared" si="571"/>
        <v>0</v>
      </c>
      <c r="AM735" s="35"/>
      <c r="AN735" s="30"/>
      <c r="AO735" s="36">
        <f t="shared" si="572"/>
        <v>0</v>
      </c>
      <c r="AP735" s="35"/>
      <c r="AQ735" s="30"/>
      <c r="AR735" s="36">
        <f t="shared" si="573"/>
        <v>0</v>
      </c>
      <c r="AS735" s="27"/>
      <c r="AT735" s="37"/>
      <c r="AU735" s="30"/>
      <c r="AV735" s="36">
        <f t="shared" si="574"/>
        <v>0</v>
      </c>
      <c r="AW735" s="35"/>
      <c r="AX735" s="30"/>
      <c r="AY735" s="32">
        <f t="shared" si="575"/>
        <v>0</v>
      </c>
      <c r="AZ735" s="30"/>
      <c r="BA735" s="63"/>
      <c r="BB735" s="71"/>
      <c r="BC735" s="71"/>
      <c r="BD735" s="71"/>
    </row>
    <row r="736" spans="1:56" x14ac:dyDescent="0.25">
      <c r="A736" s="24" t="str">
        <f>IF(B736="","",SUBTOTAL(3,$B$4:B736))</f>
        <v/>
      </c>
      <c r="B736" s="25"/>
      <c r="C736" s="25" t="str">
        <f t="shared" si="567"/>
        <v xml:space="preserve"> </v>
      </c>
      <c r="D736" s="25"/>
      <c r="E736" s="25"/>
      <c r="F736" s="25"/>
      <c r="G736" s="65"/>
      <c r="H736" s="25"/>
      <c r="I736" s="25"/>
      <c r="J736" s="26"/>
      <c r="K736" s="27"/>
      <c r="L736" s="28"/>
      <c r="M736" s="28"/>
      <c r="N736" s="25"/>
      <c r="O736" s="29"/>
      <c r="P736" s="29"/>
      <c r="Q736" s="25"/>
      <c r="R736" s="25"/>
      <c r="S736" s="26"/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568"/>
        <v>0</v>
      </c>
      <c r="AF736" s="32">
        <f t="shared" si="569"/>
        <v>0</v>
      </c>
      <c r="AG736" s="30"/>
      <c r="AH736" s="33"/>
      <c r="AI736" s="34">
        <f t="shared" si="570"/>
        <v>0</v>
      </c>
      <c r="AJ736" s="35"/>
      <c r="AK736" s="30"/>
      <c r="AL736" s="36">
        <f t="shared" si="571"/>
        <v>0</v>
      </c>
      <c r="AM736" s="35"/>
      <c r="AN736" s="30"/>
      <c r="AO736" s="36">
        <f t="shared" si="572"/>
        <v>0</v>
      </c>
      <c r="AP736" s="35"/>
      <c r="AQ736" s="30"/>
      <c r="AR736" s="36">
        <f t="shared" si="573"/>
        <v>0</v>
      </c>
      <c r="AS736" s="27"/>
      <c r="AT736" s="37"/>
      <c r="AU736" s="30"/>
      <c r="AV736" s="36">
        <f t="shared" si="574"/>
        <v>0</v>
      </c>
      <c r="AW736" s="35"/>
      <c r="AX736" s="30"/>
      <c r="AY736" s="32">
        <f t="shared" si="575"/>
        <v>0</v>
      </c>
      <c r="AZ736" s="30"/>
      <c r="BA736" s="63"/>
      <c r="BB736" s="71"/>
      <c r="BC736" s="71"/>
      <c r="BD736" s="71"/>
    </row>
    <row r="737" spans="1:56" x14ac:dyDescent="0.25">
      <c r="A737" s="24" t="str">
        <f>IF(B737="","",SUBTOTAL(3,$B$4:B737))</f>
        <v/>
      </c>
      <c r="B737" s="25"/>
      <c r="C737" s="25" t="str">
        <f t="shared" si="567"/>
        <v xml:space="preserve"> </v>
      </c>
      <c r="D737" s="25"/>
      <c r="E737" s="25"/>
      <c r="F737" s="25"/>
      <c r="G737" s="65"/>
      <c r="H737" s="25"/>
      <c r="I737" s="25"/>
      <c r="J737" s="26"/>
      <c r="K737" s="27"/>
      <c r="L737" s="28"/>
      <c r="M737" s="28"/>
      <c r="N737" s="25"/>
      <c r="O737" s="29"/>
      <c r="P737" s="29"/>
      <c r="Q737" s="25"/>
      <c r="R737" s="25"/>
      <c r="S737" s="26"/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568"/>
        <v>0</v>
      </c>
      <c r="AF737" s="32">
        <f t="shared" si="569"/>
        <v>0</v>
      </c>
      <c r="AG737" s="30"/>
      <c r="AH737" s="33"/>
      <c r="AI737" s="34">
        <f t="shared" si="570"/>
        <v>0</v>
      </c>
      <c r="AJ737" s="35"/>
      <c r="AK737" s="30"/>
      <c r="AL737" s="36">
        <f t="shared" si="571"/>
        <v>0</v>
      </c>
      <c r="AM737" s="35"/>
      <c r="AN737" s="30"/>
      <c r="AO737" s="36">
        <f t="shared" si="572"/>
        <v>0</v>
      </c>
      <c r="AP737" s="35"/>
      <c r="AQ737" s="30"/>
      <c r="AR737" s="36">
        <f t="shared" si="573"/>
        <v>0</v>
      </c>
      <c r="AS737" s="27"/>
      <c r="AT737" s="37"/>
      <c r="AU737" s="30"/>
      <c r="AV737" s="36">
        <f t="shared" si="574"/>
        <v>0</v>
      </c>
      <c r="AW737" s="35"/>
      <c r="AX737" s="30"/>
      <c r="AY737" s="32">
        <f t="shared" si="575"/>
        <v>0</v>
      </c>
      <c r="AZ737" s="30"/>
      <c r="BA737" s="63"/>
      <c r="BB737" s="71"/>
      <c r="BC737" s="71"/>
      <c r="BD737" s="71"/>
    </row>
    <row r="738" spans="1:56" x14ac:dyDescent="0.25">
      <c r="A738" s="24" t="str">
        <f>IF(B738="","",SUBTOTAL(3,$B$4:B738))</f>
        <v/>
      </c>
      <c r="B738" s="25"/>
      <c r="C738" s="25" t="str">
        <f t="shared" si="567"/>
        <v xml:space="preserve"> </v>
      </c>
      <c r="D738" s="25"/>
      <c r="E738" s="25"/>
      <c r="F738" s="25"/>
      <c r="G738" s="65"/>
      <c r="H738" s="25"/>
      <c r="I738" s="25"/>
      <c r="J738" s="26"/>
      <c r="K738" s="27"/>
      <c r="L738" s="28"/>
      <c r="M738" s="28"/>
      <c r="N738" s="25"/>
      <c r="O738" s="29"/>
      <c r="P738" s="29"/>
      <c r="Q738" s="25"/>
      <c r="R738" s="25"/>
      <c r="S738" s="26"/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568"/>
        <v>0</v>
      </c>
      <c r="AF738" s="32">
        <f t="shared" si="569"/>
        <v>0</v>
      </c>
      <c r="AG738" s="30"/>
      <c r="AH738" s="33"/>
      <c r="AI738" s="34">
        <f t="shared" si="570"/>
        <v>0</v>
      </c>
      <c r="AJ738" s="35"/>
      <c r="AK738" s="30"/>
      <c r="AL738" s="36">
        <f t="shared" si="571"/>
        <v>0</v>
      </c>
      <c r="AM738" s="35"/>
      <c r="AN738" s="30"/>
      <c r="AO738" s="36">
        <f t="shared" si="572"/>
        <v>0</v>
      </c>
      <c r="AP738" s="35"/>
      <c r="AQ738" s="30"/>
      <c r="AR738" s="36">
        <f t="shared" si="573"/>
        <v>0</v>
      </c>
      <c r="AS738" s="27"/>
      <c r="AT738" s="37"/>
      <c r="AU738" s="30"/>
      <c r="AV738" s="36">
        <f t="shared" si="574"/>
        <v>0</v>
      </c>
      <c r="AW738" s="35"/>
      <c r="AX738" s="30"/>
      <c r="AY738" s="32">
        <f t="shared" si="575"/>
        <v>0</v>
      </c>
      <c r="AZ738" s="30"/>
      <c r="BA738" s="63"/>
      <c r="BB738" s="71"/>
      <c r="BC738" s="71"/>
      <c r="BD738" s="71"/>
    </row>
    <row r="739" spans="1:56" x14ac:dyDescent="0.25">
      <c r="A739" s="24" t="str">
        <f>IF(B739="","",SUBTOTAL(3,$B$4:B739))</f>
        <v/>
      </c>
      <c r="B739" s="25"/>
      <c r="C739" s="25" t="str">
        <f t="shared" si="567"/>
        <v xml:space="preserve"> </v>
      </c>
      <c r="D739" s="25"/>
      <c r="E739" s="25"/>
      <c r="F739" s="25"/>
      <c r="G739" s="65"/>
      <c r="H739" s="25"/>
      <c r="I739" s="25"/>
      <c r="J739" s="26"/>
      <c r="K739" s="27"/>
      <c r="L739" s="28"/>
      <c r="M739" s="28"/>
      <c r="N739" s="25"/>
      <c r="O739" s="29"/>
      <c r="P739" s="29"/>
      <c r="Q739" s="25"/>
      <c r="R739" s="25"/>
      <c r="S739" s="26"/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si="568"/>
        <v>0</v>
      </c>
      <c r="AF739" s="32">
        <f t="shared" si="569"/>
        <v>0</v>
      </c>
      <c r="AG739" s="30"/>
      <c r="AH739" s="33"/>
      <c r="AI739" s="34">
        <f t="shared" si="570"/>
        <v>0</v>
      </c>
      <c r="AJ739" s="35"/>
      <c r="AK739" s="30"/>
      <c r="AL739" s="36">
        <f t="shared" si="571"/>
        <v>0</v>
      </c>
      <c r="AM739" s="35"/>
      <c r="AN739" s="30"/>
      <c r="AO739" s="36">
        <f t="shared" si="572"/>
        <v>0</v>
      </c>
      <c r="AP739" s="35"/>
      <c r="AQ739" s="30"/>
      <c r="AR739" s="36">
        <f t="shared" si="573"/>
        <v>0</v>
      </c>
      <c r="AS739" s="27"/>
      <c r="AT739" s="37"/>
      <c r="AU739" s="30"/>
      <c r="AV739" s="36">
        <f t="shared" si="574"/>
        <v>0</v>
      </c>
      <c r="AW739" s="35"/>
      <c r="AX739" s="30"/>
      <c r="AY739" s="32">
        <f t="shared" si="575"/>
        <v>0</v>
      </c>
      <c r="AZ739" s="30"/>
      <c r="BA739" s="63"/>
      <c r="BB739" s="71"/>
      <c r="BC739" s="71"/>
      <c r="BD739" s="71"/>
    </row>
    <row r="740" spans="1:56" x14ac:dyDescent="0.25">
      <c r="A740" s="24" t="str">
        <f>IF(B740="","",SUBTOTAL(3,$B$4:B740))</f>
        <v/>
      </c>
      <c r="B740" s="25"/>
      <c r="C740" s="25" t="str">
        <f t="shared" si="567"/>
        <v xml:space="preserve"> </v>
      </c>
      <c r="D740" s="25"/>
      <c r="E740" s="25"/>
      <c r="F740" s="25"/>
      <c r="G740" s="65"/>
      <c r="H740" s="25"/>
      <c r="I740" s="25"/>
      <c r="J740" s="26"/>
      <c r="K740" s="27"/>
      <c r="L740" s="28"/>
      <c r="M740" s="28"/>
      <c r="N740" s="25"/>
      <c r="O740" s="29"/>
      <c r="P740" s="29"/>
      <c r="Q740" s="25"/>
      <c r="R740" s="25"/>
      <c r="S740" s="26"/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568"/>
        <v>0</v>
      </c>
      <c r="AF740" s="32">
        <f t="shared" si="569"/>
        <v>0</v>
      </c>
      <c r="AG740" s="30"/>
      <c r="AH740" s="33"/>
      <c r="AI740" s="34">
        <f t="shared" si="570"/>
        <v>0</v>
      </c>
      <c r="AJ740" s="35"/>
      <c r="AK740" s="30"/>
      <c r="AL740" s="36">
        <f t="shared" si="571"/>
        <v>0</v>
      </c>
      <c r="AM740" s="35"/>
      <c r="AN740" s="30"/>
      <c r="AO740" s="36">
        <f t="shared" si="572"/>
        <v>0</v>
      </c>
      <c r="AP740" s="35"/>
      <c r="AQ740" s="30"/>
      <c r="AR740" s="36">
        <f t="shared" si="573"/>
        <v>0</v>
      </c>
      <c r="AS740" s="27"/>
      <c r="AT740" s="37"/>
      <c r="AU740" s="30"/>
      <c r="AV740" s="36">
        <f t="shared" si="574"/>
        <v>0</v>
      </c>
      <c r="AW740" s="35"/>
      <c r="AX740" s="30"/>
      <c r="AY740" s="32">
        <f t="shared" si="575"/>
        <v>0</v>
      </c>
      <c r="AZ740" s="30"/>
      <c r="BA740" s="63"/>
      <c r="BB740" s="71"/>
      <c r="BC740" s="71"/>
      <c r="BD740" s="71"/>
    </row>
    <row r="741" spans="1:56" x14ac:dyDescent="0.25">
      <c r="A741" s="24" t="str">
        <f>IF(B741="","",SUBTOTAL(3,$B$4:B741))</f>
        <v/>
      </c>
      <c r="B741" s="25"/>
      <c r="C741" s="25" t="str">
        <f t="shared" si="567"/>
        <v xml:space="preserve"> </v>
      </c>
      <c r="D741" s="25"/>
      <c r="E741" s="25"/>
      <c r="F741" s="25"/>
      <c r="G741" s="65"/>
      <c r="H741" s="25"/>
      <c r="I741" s="25"/>
      <c r="J741" s="26"/>
      <c r="K741" s="27"/>
      <c r="L741" s="28"/>
      <c r="M741" s="28"/>
      <c r="N741" s="25"/>
      <c r="O741" s="29"/>
      <c r="P741" s="29"/>
      <c r="Q741" s="25"/>
      <c r="R741" s="25"/>
      <c r="S741" s="26"/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568"/>
        <v>0</v>
      </c>
      <c r="AF741" s="32">
        <f t="shared" si="569"/>
        <v>0</v>
      </c>
      <c r="AG741" s="30"/>
      <c r="AH741" s="33"/>
      <c r="AI741" s="34">
        <f t="shared" si="570"/>
        <v>0</v>
      </c>
      <c r="AJ741" s="35"/>
      <c r="AK741" s="30"/>
      <c r="AL741" s="36">
        <f t="shared" si="571"/>
        <v>0</v>
      </c>
      <c r="AM741" s="35"/>
      <c r="AN741" s="30"/>
      <c r="AO741" s="36">
        <f t="shared" si="572"/>
        <v>0</v>
      </c>
      <c r="AP741" s="35"/>
      <c r="AQ741" s="30"/>
      <c r="AR741" s="36">
        <f t="shared" si="573"/>
        <v>0</v>
      </c>
      <c r="AS741" s="27"/>
      <c r="AT741" s="37"/>
      <c r="AU741" s="30"/>
      <c r="AV741" s="36">
        <f t="shared" si="574"/>
        <v>0</v>
      </c>
      <c r="AW741" s="35"/>
      <c r="AX741" s="30"/>
      <c r="AY741" s="32">
        <f t="shared" si="575"/>
        <v>0</v>
      </c>
      <c r="AZ741" s="30"/>
      <c r="BA741" s="63"/>
      <c r="BB741" s="71"/>
      <c r="BC741" s="71"/>
      <c r="BD741" s="71"/>
    </row>
    <row r="742" spans="1:56" x14ac:dyDescent="0.25">
      <c r="A742" s="24" t="str">
        <f>IF(B742="","",SUBTOTAL(3,$B$4:B742))</f>
        <v/>
      </c>
      <c r="B742" s="25"/>
      <c r="C742" s="25" t="str">
        <f t="shared" si="567"/>
        <v xml:space="preserve"> </v>
      </c>
      <c r="D742" s="25"/>
      <c r="E742" s="25"/>
      <c r="F742" s="25"/>
      <c r="G742" s="65"/>
      <c r="H742" s="25"/>
      <c r="I742" s="25"/>
      <c r="J742" s="26"/>
      <c r="K742" s="27"/>
      <c r="L742" s="28"/>
      <c r="M742" s="28"/>
      <c r="N742" s="25"/>
      <c r="O742" s="29"/>
      <c r="P742" s="29"/>
      <c r="Q742" s="25"/>
      <c r="R742" s="25"/>
      <c r="S742" s="26"/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568"/>
        <v>0</v>
      </c>
      <c r="AF742" s="32">
        <f t="shared" si="569"/>
        <v>0</v>
      </c>
      <c r="AG742" s="30"/>
      <c r="AH742" s="33"/>
      <c r="AI742" s="34">
        <f t="shared" si="570"/>
        <v>0</v>
      </c>
      <c r="AJ742" s="35"/>
      <c r="AK742" s="30"/>
      <c r="AL742" s="36">
        <f t="shared" si="571"/>
        <v>0</v>
      </c>
      <c r="AM742" s="35"/>
      <c r="AN742" s="30"/>
      <c r="AO742" s="36">
        <f t="shared" si="572"/>
        <v>0</v>
      </c>
      <c r="AP742" s="35"/>
      <c r="AQ742" s="30"/>
      <c r="AR742" s="36">
        <f t="shared" si="573"/>
        <v>0</v>
      </c>
      <c r="AS742" s="27"/>
      <c r="AT742" s="37"/>
      <c r="AU742" s="30"/>
      <c r="AV742" s="36">
        <f t="shared" si="574"/>
        <v>0</v>
      </c>
      <c r="AW742" s="35"/>
      <c r="AX742" s="30"/>
      <c r="AY742" s="32">
        <f t="shared" si="575"/>
        <v>0</v>
      </c>
      <c r="AZ742" s="30"/>
      <c r="BA742" s="63"/>
      <c r="BB742" s="71"/>
      <c r="BC742" s="71"/>
      <c r="BD742" s="71"/>
    </row>
    <row r="743" spans="1:56" x14ac:dyDescent="0.25">
      <c r="A743" s="24" t="str">
        <f>IF(B743="","",SUBTOTAL(3,$B$4:B743))</f>
        <v/>
      </c>
      <c r="B743" s="25"/>
      <c r="C743" s="25" t="str">
        <f t="shared" si="567"/>
        <v xml:space="preserve"> </v>
      </c>
      <c r="D743" s="25"/>
      <c r="E743" s="25"/>
      <c r="F743" s="25"/>
      <c r="G743" s="65"/>
      <c r="H743" s="25"/>
      <c r="I743" s="25"/>
      <c r="J743" s="26"/>
      <c r="K743" s="27"/>
      <c r="L743" s="28"/>
      <c r="M743" s="28"/>
      <c r="N743" s="25"/>
      <c r="O743" s="29"/>
      <c r="P743" s="29"/>
      <c r="Q743" s="25"/>
      <c r="R743" s="25"/>
      <c r="S743" s="26"/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568"/>
        <v>0</v>
      </c>
      <c r="AF743" s="32">
        <f t="shared" si="569"/>
        <v>0</v>
      </c>
      <c r="AG743" s="30"/>
      <c r="AH743" s="33"/>
      <c r="AI743" s="34">
        <f t="shared" si="570"/>
        <v>0</v>
      </c>
      <c r="AJ743" s="35"/>
      <c r="AK743" s="30"/>
      <c r="AL743" s="36">
        <f t="shared" si="571"/>
        <v>0</v>
      </c>
      <c r="AM743" s="35"/>
      <c r="AN743" s="30"/>
      <c r="AO743" s="36">
        <f t="shared" si="572"/>
        <v>0</v>
      </c>
      <c r="AP743" s="35"/>
      <c r="AQ743" s="30"/>
      <c r="AR743" s="36">
        <f t="shared" si="573"/>
        <v>0</v>
      </c>
      <c r="AS743" s="27"/>
      <c r="AT743" s="37"/>
      <c r="AU743" s="30"/>
      <c r="AV743" s="36">
        <f t="shared" si="574"/>
        <v>0</v>
      </c>
      <c r="AW743" s="35"/>
      <c r="AX743" s="30"/>
      <c r="AY743" s="32">
        <f t="shared" si="575"/>
        <v>0</v>
      </c>
      <c r="AZ743" s="30"/>
      <c r="BA743" s="63"/>
      <c r="BB743" s="71"/>
      <c r="BC743" s="71"/>
      <c r="BD743" s="71"/>
    </row>
    <row r="744" spans="1:56" x14ac:dyDescent="0.25">
      <c r="A744" s="24" t="str">
        <f>IF(B744="","",SUBTOTAL(3,$B$4:B744))</f>
        <v/>
      </c>
      <c r="B744" s="25"/>
      <c r="C744" s="25" t="str">
        <f t="shared" si="567"/>
        <v xml:space="preserve"> </v>
      </c>
      <c r="D744" s="25"/>
      <c r="E744" s="25"/>
      <c r="F744" s="25"/>
      <c r="G744" s="65"/>
      <c r="H744" s="25"/>
      <c r="I744" s="25"/>
      <c r="J744" s="26"/>
      <c r="K744" s="27"/>
      <c r="L744" s="28"/>
      <c r="M744" s="28"/>
      <c r="N744" s="25"/>
      <c r="O744" s="29"/>
      <c r="P744" s="29"/>
      <c r="Q744" s="25"/>
      <c r="R744" s="25"/>
      <c r="S744" s="26"/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568"/>
        <v>0</v>
      </c>
      <c r="AF744" s="32">
        <f t="shared" si="569"/>
        <v>0</v>
      </c>
      <c r="AG744" s="30"/>
      <c r="AH744" s="33"/>
      <c r="AI744" s="34">
        <f t="shared" si="570"/>
        <v>0</v>
      </c>
      <c r="AJ744" s="35"/>
      <c r="AK744" s="30"/>
      <c r="AL744" s="36">
        <f t="shared" si="571"/>
        <v>0</v>
      </c>
      <c r="AM744" s="35"/>
      <c r="AN744" s="30"/>
      <c r="AO744" s="36">
        <f t="shared" si="572"/>
        <v>0</v>
      </c>
      <c r="AP744" s="35"/>
      <c r="AQ744" s="30"/>
      <c r="AR744" s="36">
        <f t="shared" si="573"/>
        <v>0</v>
      </c>
      <c r="AS744" s="27"/>
      <c r="AT744" s="37"/>
      <c r="AU744" s="30"/>
      <c r="AV744" s="36">
        <f t="shared" si="574"/>
        <v>0</v>
      </c>
      <c r="AW744" s="35"/>
      <c r="AX744" s="30"/>
      <c r="AY744" s="32">
        <f t="shared" si="575"/>
        <v>0</v>
      </c>
      <c r="AZ744" s="30"/>
      <c r="BA744" s="63"/>
      <c r="BB744" s="71"/>
      <c r="BC744" s="71"/>
      <c r="BD744" s="71"/>
    </row>
    <row r="745" spans="1:56" x14ac:dyDescent="0.25">
      <c r="A745" s="24" t="str">
        <f>IF(B745="","",SUBTOTAL(3,$B$4:B745))</f>
        <v/>
      </c>
      <c r="B745" s="25"/>
      <c r="C745" s="25" t="str">
        <f t="shared" si="567"/>
        <v xml:space="preserve"> </v>
      </c>
      <c r="D745" s="25"/>
      <c r="E745" s="25"/>
      <c r="F745" s="25"/>
      <c r="G745" s="65"/>
      <c r="H745" s="25"/>
      <c r="I745" s="25"/>
      <c r="J745" s="26"/>
      <c r="K745" s="27"/>
      <c r="L745" s="28"/>
      <c r="M745" s="28"/>
      <c r="N745" s="25"/>
      <c r="O745" s="29"/>
      <c r="P745" s="29"/>
      <c r="Q745" s="25"/>
      <c r="R745" s="25"/>
      <c r="S745" s="26"/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568"/>
        <v>0</v>
      </c>
      <c r="AF745" s="32">
        <f t="shared" si="569"/>
        <v>0</v>
      </c>
      <c r="AG745" s="30"/>
      <c r="AH745" s="33"/>
      <c r="AI745" s="34">
        <f t="shared" si="570"/>
        <v>0</v>
      </c>
      <c r="AJ745" s="35"/>
      <c r="AK745" s="30"/>
      <c r="AL745" s="36">
        <f t="shared" si="571"/>
        <v>0</v>
      </c>
      <c r="AM745" s="35"/>
      <c r="AN745" s="30"/>
      <c r="AO745" s="36">
        <f t="shared" si="572"/>
        <v>0</v>
      </c>
      <c r="AP745" s="35"/>
      <c r="AQ745" s="30"/>
      <c r="AR745" s="36">
        <f t="shared" si="573"/>
        <v>0</v>
      </c>
      <c r="AS745" s="27"/>
      <c r="AT745" s="37"/>
      <c r="AU745" s="30"/>
      <c r="AV745" s="36">
        <f t="shared" si="574"/>
        <v>0</v>
      </c>
      <c r="AW745" s="35"/>
      <c r="AX745" s="30"/>
      <c r="AY745" s="32">
        <f t="shared" si="575"/>
        <v>0</v>
      </c>
      <c r="AZ745" s="30"/>
      <c r="BA745" s="63"/>
      <c r="BB745" s="71"/>
      <c r="BC745" s="71"/>
      <c r="BD745" s="71"/>
    </row>
    <row r="746" spans="1:56" x14ac:dyDescent="0.25">
      <c r="A746" s="24" t="str">
        <f>IF(B746="","",SUBTOTAL(3,$B$4:B746))</f>
        <v/>
      </c>
      <c r="B746" s="25"/>
      <c r="C746" s="25" t="str">
        <f t="shared" si="567"/>
        <v xml:space="preserve"> </v>
      </c>
      <c r="D746" s="25"/>
      <c r="E746" s="25"/>
      <c r="F746" s="25"/>
      <c r="G746" s="65"/>
      <c r="H746" s="25"/>
      <c r="I746" s="25"/>
      <c r="J746" s="26"/>
      <c r="K746" s="27"/>
      <c r="L746" s="28"/>
      <c r="M746" s="28"/>
      <c r="N746" s="25"/>
      <c r="O746" s="29"/>
      <c r="P746" s="29"/>
      <c r="Q746" s="25"/>
      <c r="R746" s="25"/>
      <c r="S746" s="26"/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568"/>
        <v>0</v>
      </c>
      <c r="AF746" s="32">
        <f t="shared" si="569"/>
        <v>0</v>
      </c>
      <c r="AG746" s="30"/>
      <c r="AH746" s="33"/>
      <c r="AI746" s="34">
        <f t="shared" si="570"/>
        <v>0</v>
      </c>
      <c r="AJ746" s="35"/>
      <c r="AK746" s="30"/>
      <c r="AL746" s="36">
        <f t="shared" si="571"/>
        <v>0</v>
      </c>
      <c r="AM746" s="35"/>
      <c r="AN746" s="30"/>
      <c r="AO746" s="36">
        <f t="shared" si="572"/>
        <v>0</v>
      </c>
      <c r="AP746" s="35"/>
      <c r="AQ746" s="30"/>
      <c r="AR746" s="36">
        <f t="shared" si="573"/>
        <v>0</v>
      </c>
      <c r="AS746" s="27"/>
      <c r="AT746" s="37"/>
      <c r="AU746" s="30"/>
      <c r="AV746" s="36">
        <f t="shared" si="574"/>
        <v>0</v>
      </c>
      <c r="AW746" s="35"/>
      <c r="AX746" s="30"/>
      <c r="AY746" s="32">
        <f t="shared" si="575"/>
        <v>0</v>
      </c>
      <c r="AZ746" s="30"/>
      <c r="BA746" s="63"/>
      <c r="BB746" s="71"/>
      <c r="BC746" s="71"/>
      <c r="BD746" s="71"/>
    </row>
    <row r="747" spans="1:56" x14ac:dyDescent="0.25">
      <c r="A747" s="24" t="str">
        <f>IF(B747="","",SUBTOTAL(3,$B$4:B747))</f>
        <v/>
      </c>
      <c r="B747" s="25"/>
      <c r="C747" s="25" t="str">
        <f t="shared" si="567"/>
        <v xml:space="preserve"> </v>
      </c>
      <c r="D747" s="25"/>
      <c r="E747" s="25"/>
      <c r="F747" s="25"/>
      <c r="G747" s="65"/>
      <c r="H747" s="25"/>
      <c r="I747" s="25"/>
      <c r="J747" s="26"/>
      <c r="K747" s="27"/>
      <c r="L747" s="28"/>
      <c r="M747" s="28"/>
      <c r="N747" s="25"/>
      <c r="O747" s="29"/>
      <c r="P747" s="29"/>
      <c r="Q747" s="25"/>
      <c r="R747" s="25"/>
      <c r="S747" s="26"/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568"/>
        <v>0</v>
      </c>
      <c r="AF747" s="32">
        <f t="shared" si="569"/>
        <v>0</v>
      </c>
      <c r="AG747" s="30"/>
      <c r="AH747" s="33"/>
      <c r="AI747" s="34">
        <f t="shared" si="570"/>
        <v>0</v>
      </c>
      <c r="AJ747" s="35"/>
      <c r="AK747" s="30"/>
      <c r="AL747" s="36">
        <f t="shared" si="571"/>
        <v>0</v>
      </c>
      <c r="AM747" s="35"/>
      <c r="AN747" s="30"/>
      <c r="AO747" s="36">
        <f t="shared" si="572"/>
        <v>0</v>
      </c>
      <c r="AP747" s="35"/>
      <c r="AQ747" s="30"/>
      <c r="AR747" s="36">
        <f t="shared" si="573"/>
        <v>0</v>
      </c>
      <c r="AS747" s="27"/>
      <c r="AT747" s="37"/>
      <c r="AU747" s="30"/>
      <c r="AV747" s="36">
        <f t="shared" si="574"/>
        <v>0</v>
      </c>
      <c r="AW747" s="35"/>
      <c r="AX747" s="30"/>
      <c r="AY747" s="32">
        <f t="shared" si="575"/>
        <v>0</v>
      </c>
      <c r="AZ747" s="30"/>
      <c r="BA747" s="63"/>
      <c r="BB747" s="71"/>
      <c r="BC747" s="71"/>
      <c r="BD747" s="71"/>
    </row>
    <row r="748" spans="1:56" x14ac:dyDescent="0.25">
      <c r="A748" s="24" t="str">
        <f>IF(B748="","",SUBTOTAL(3,$B$4:B748))</f>
        <v/>
      </c>
      <c r="B748" s="25"/>
      <c r="C748" s="25" t="str">
        <f t="shared" si="567"/>
        <v xml:space="preserve"> </v>
      </c>
      <c r="D748" s="25"/>
      <c r="E748" s="25"/>
      <c r="F748" s="25"/>
      <c r="G748" s="65"/>
      <c r="H748" s="25"/>
      <c r="I748" s="25"/>
      <c r="J748" s="26"/>
      <c r="K748" s="27"/>
      <c r="L748" s="28"/>
      <c r="M748" s="28"/>
      <c r="N748" s="25"/>
      <c r="O748" s="29"/>
      <c r="P748" s="29"/>
      <c r="Q748" s="25"/>
      <c r="R748" s="25"/>
      <c r="S748" s="26"/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568"/>
        <v>0</v>
      </c>
      <c r="AF748" s="32">
        <f t="shared" si="569"/>
        <v>0</v>
      </c>
      <c r="AG748" s="30"/>
      <c r="AH748" s="33"/>
      <c r="AI748" s="34">
        <f t="shared" si="570"/>
        <v>0</v>
      </c>
      <c r="AJ748" s="35"/>
      <c r="AK748" s="30"/>
      <c r="AL748" s="36">
        <f t="shared" si="571"/>
        <v>0</v>
      </c>
      <c r="AM748" s="35"/>
      <c r="AN748" s="30"/>
      <c r="AO748" s="36">
        <f t="shared" si="572"/>
        <v>0</v>
      </c>
      <c r="AP748" s="35"/>
      <c r="AQ748" s="30"/>
      <c r="AR748" s="36">
        <f t="shared" si="573"/>
        <v>0</v>
      </c>
      <c r="AS748" s="27"/>
      <c r="AT748" s="37"/>
      <c r="AU748" s="30"/>
      <c r="AV748" s="36">
        <f t="shared" si="574"/>
        <v>0</v>
      </c>
      <c r="AW748" s="35"/>
      <c r="AX748" s="30"/>
      <c r="AY748" s="32">
        <f t="shared" si="575"/>
        <v>0</v>
      </c>
      <c r="AZ748" s="30"/>
      <c r="BA748" s="63"/>
      <c r="BB748" s="71"/>
      <c r="BC748" s="71"/>
      <c r="BD748" s="71"/>
    </row>
    <row r="749" spans="1:56" x14ac:dyDescent="0.25">
      <c r="A749" s="24" t="str">
        <f>IF(B749="","",SUBTOTAL(3,$B$4:B749))</f>
        <v/>
      </c>
      <c r="B749" s="25"/>
      <c r="C749" s="25" t="str">
        <f t="shared" si="567"/>
        <v xml:space="preserve"> </v>
      </c>
      <c r="D749" s="25"/>
      <c r="E749" s="25"/>
      <c r="F749" s="25"/>
      <c r="G749" s="65"/>
      <c r="H749" s="25"/>
      <c r="I749" s="25"/>
      <c r="J749" s="26"/>
      <c r="K749" s="27"/>
      <c r="L749" s="28"/>
      <c r="M749" s="28"/>
      <c r="N749" s="25"/>
      <c r="O749" s="29"/>
      <c r="P749" s="29"/>
      <c r="Q749" s="25"/>
      <c r="R749" s="25"/>
      <c r="S749" s="26"/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568"/>
        <v>0</v>
      </c>
      <c r="AF749" s="32">
        <f t="shared" si="569"/>
        <v>0</v>
      </c>
      <c r="AG749" s="30"/>
      <c r="AH749" s="33"/>
      <c r="AI749" s="34">
        <f t="shared" si="570"/>
        <v>0</v>
      </c>
      <c r="AJ749" s="35"/>
      <c r="AK749" s="30"/>
      <c r="AL749" s="36">
        <f t="shared" si="571"/>
        <v>0</v>
      </c>
      <c r="AM749" s="35"/>
      <c r="AN749" s="30"/>
      <c r="AO749" s="36">
        <f t="shared" si="572"/>
        <v>0</v>
      </c>
      <c r="AP749" s="35"/>
      <c r="AQ749" s="30"/>
      <c r="AR749" s="36">
        <f t="shared" si="573"/>
        <v>0</v>
      </c>
      <c r="AS749" s="27"/>
      <c r="AT749" s="37"/>
      <c r="AU749" s="30"/>
      <c r="AV749" s="36">
        <f t="shared" si="574"/>
        <v>0</v>
      </c>
      <c r="AW749" s="35"/>
      <c r="AX749" s="30"/>
      <c r="AY749" s="32">
        <f t="shared" si="575"/>
        <v>0</v>
      </c>
      <c r="AZ749" s="30"/>
      <c r="BA749" s="63"/>
      <c r="BB749" s="71"/>
      <c r="BC749" s="71"/>
      <c r="BD749" s="71"/>
    </row>
    <row r="750" spans="1:56" x14ac:dyDescent="0.25">
      <c r="A750" s="24" t="str">
        <f>IF(B750="","",SUBTOTAL(3,$B$4:B750))</f>
        <v/>
      </c>
      <c r="B750" s="25"/>
      <c r="C750" s="25" t="str">
        <f t="shared" si="567"/>
        <v xml:space="preserve"> </v>
      </c>
      <c r="D750" s="25"/>
      <c r="E750" s="25"/>
      <c r="F750" s="25"/>
      <c r="G750" s="65"/>
      <c r="H750" s="25"/>
      <c r="I750" s="25"/>
      <c r="J750" s="26"/>
      <c r="K750" s="27"/>
      <c r="L750" s="28"/>
      <c r="M750" s="28"/>
      <c r="N750" s="25"/>
      <c r="O750" s="29"/>
      <c r="P750" s="29"/>
      <c r="Q750" s="25"/>
      <c r="R750" s="25"/>
      <c r="S750" s="26"/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568"/>
        <v>0</v>
      </c>
      <c r="AF750" s="32">
        <f t="shared" si="569"/>
        <v>0</v>
      </c>
      <c r="AG750" s="30"/>
      <c r="AH750" s="33"/>
      <c r="AI750" s="34">
        <f t="shared" si="570"/>
        <v>0</v>
      </c>
      <c r="AJ750" s="35"/>
      <c r="AK750" s="30"/>
      <c r="AL750" s="36">
        <f t="shared" si="571"/>
        <v>0</v>
      </c>
      <c r="AM750" s="35"/>
      <c r="AN750" s="30"/>
      <c r="AO750" s="36">
        <f t="shared" si="572"/>
        <v>0</v>
      </c>
      <c r="AP750" s="35"/>
      <c r="AQ750" s="30"/>
      <c r="AR750" s="36">
        <f t="shared" si="573"/>
        <v>0</v>
      </c>
      <c r="AS750" s="27"/>
      <c r="AT750" s="37"/>
      <c r="AU750" s="30"/>
      <c r="AV750" s="36">
        <f t="shared" si="574"/>
        <v>0</v>
      </c>
      <c r="AW750" s="35"/>
      <c r="AX750" s="30"/>
      <c r="AY750" s="32">
        <f t="shared" si="575"/>
        <v>0</v>
      </c>
      <c r="AZ750" s="30"/>
      <c r="BA750" s="63"/>
      <c r="BB750" s="71"/>
      <c r="BC750" s="71"/>
      <c r="BD750" s="71"/>
    </row>
    <row r="751" spans="1:56" x14ac:dyDescent="0.25">
      <c r="A751" s="24" t="str">
        <f>IF(B751="","",SUBTOTAL(3,$B$4:B751))</f>
        <v/>
      </c>
      <c r="B751" s="25"/>
      <c r="C751" s="25" t="str">
        <f t="shared" si="567"/>
        <v xml:space="preserve"> </v>
      </c>
      <c r="D751" s="25"/>
      <c r="E751" s="25"/>
      <c r="F751" s="25"/>
      <c r="G751" s="65"/>
      <c r="H751" s="25"/>
      <c r="I751" s="25"/>
      <c r="J751" s="26"/>
      <c r="K751" s="27"/>
      <c r="L751" s="28"/>
      <c r="M751" s="28"/>
      <c r="N751" s="25"/>
      <c r="O751" s="29"/>
      <c r="P751" s="29"/>
      <c r="Q751" s="25"/>
      <c r="R751" s="25"/>
      <c r="S751" s="26"/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568"/>
        <v>0</v>
      </c>
      <c r="AF751" s="32">
        <f t="shared" si="569"/>
        <v>0</v>
      </c>
      <c r="AG751" s="30"/>
      <c r="AH751" s="33"/>
      <c r="AI751" s="34">
        <f t="shared" si="570"/>
        <v>0</v>
      </c>
      <c r="AJ751" s="35"/>
      <c r="AK751" s="30"/>
      <c r="AL751" s="36">
        <f t="shared" si="571"/>
        <v>0</v>
      </c>
      <c r="AM751" s="35"/>
      <c r="AN751" s="30"/>
      <c r="AO751" s="36">
        <f t="shared" si="572"/>
        <v>0</v>
      </c>
      <c r="AP751" s="35"/>
      <c r="AQ751" s="30"/>
      <c r="AR751" s="36">
        <f t="shared" si="573"/>
        <v>0</v>
      </c>
      <c r="AS751" s="27"/>
      <c r="AT751" s="37"/>
      <c r="AU751" s="30"/>
      <c r="AV751" s="36">
        <f t="shared" si="574"/>
        <v>0</v>
      </c>
      <c r="AW751" s="35"/>
      <c r="AX751" s="30"/>
      <c r="AY751" s="32">
        <f t="shared" si="575"/>
        <v>0</v>
      </c>
      <c r="AZ751" s="30"/>
      <c r="BA751" s="63"/>
      <c r="BB751" s="71"/>
      <c r="BC751" s="71"/>
      <c r="BD751" s="71"/>
    </row>
    <row r="752" spans="1:56" x14ac:dyDescent="0.25">
      <c r="A752" s="24" t="str">
        <f>IF(B752="","",SUBTOTAL(3,$B$4:B752))</f>
        <v/>
      </c>
      <c r="B752" s="25"/>
      <c r="C752" s="25" t="str">
        <f t="shared" si="567"/>
        <v xml:space="preserve"> </v>
      </c>
      <c r="D752" s="25"/>
      <c r="E752" s="25"/>
      <c r="F752" s="25"/>
      <c r="G752" s="65"/>
      <c r="H752" s="25"/>
      <c r="I752" s="25"/>
      <c r="J752" s="26"/>
      <c r="K752" s="27"/>
      <c r="L752" s="28"/>
      <c r="M752" s="28"/>
      <c r="N752" s="25"/>
      <c r="O752" s="29"/>
      <c r="P752" s="29"/>
      <c r="Q752" s="25"/>
      <c r="R752" s="25"/>
      <c r="S752" s="26"/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si="568"/>
        <v>0</v>
      </c>
      <c r="AF752" s="32">
        <f t="shared" si="569"/>
        <v>0</v>
      </c>
      <c r="AG752" s="30"/>
      <c r="AH752" s="33"/>
      <c r="AI752" s="34">
        <f t="shared" si="570"/>
        <v>0</v>
      </c>
      <c r="AJ752" s="35"/>
      <c r="AK752" s="30"/>
      <c r="AL752" s="36">
        <f t="shared" si="571"/>
        <v>0</v>
      </c>
      <c r="AM752" s="35"/>
      <c r="AN752" s="30"/>
      <c r="AO752" s="36">
        <f t="shared" si="572"/>
        <v>0</v>
      </c>
      <c r="AP752" s="35"/>
      <c r="AQ752" s="30"/>
      <c r="AR752" s="36">
        <f t="shared" si="573"/>
        <v>0</v>
      </c>
      <c r="AS752" s="27"/>
      <c r="AT752" s="37"/>
      <c r="AU752" s="30"/>
      <c r="AV752" s="36">
        <f t="shared" si="574"/>
        <v>0</v>
      </c>
      <c r="AW752" s="35"/>
      <c r="AX752" s="30"/>
      <c r="AY752" s="32">
        <f t="shared" si="575"/>
        <v>0</v>
      </c>
      <c r="AZ752" s="30"/>
      <c r="BA752" s="63"/>
      <c r="BB752" s="71"/>
      <c r="BC752" s="71"/>
      <c r="BD752" s="71"/>
    </row>
    <row r="753" spans="1:56" x14ac:dyDescent="0.25">
      <c r="A753" s="24" t="str">
        <f>IF(B753="","",SUBTOTAL(3,$B$4:B753))</f>
        <v/>
      </c>
      <c r="B753" s="25"/>
      <c r="C753" s="25" t="str">
        <f t="shared" si="567"/>
        <v xml:space="preserve"> </v>
      </c>
      <c r="D753" s="25"/>
      <c r="E753" s="25"/>
      <c r="F753" s="25"/>
      <c r="G753" s="65"/>
      <c r="H753" s="25"/>
      <c r="I753" s="25"/>
      <c r="J753" s="26"/>
      <c r="K753" s="27"/>
      <c r="L753" s="28"/>
      <c r="M753" s="28"/>
      <c r="N753" s="25"/>
      <c r="O753" s="29"/>
      <c r="P753" s="29"/>
      <c r="Q753" s="25"/>
      <c r="R753" s="25"/>
      <c r="S753" s="26"/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568"/>
        <v>0</v>
      </c>
      <c r="AF753" s="32">
        <f t="shared" si="569"/>
        <v>0</v>
      </c>
      <c r="AG753" s="30"/>
      <c r="AH753" s="33"/>
      <c r="AI753" s="34">
        <f t="shared" si="570"/>
        <v>0</v>
      </c>
      <c r="AJ753" s="35"/>
      <c r="AK753" s="30"/>
      <c r="AL753" s="36">
        <f t="shared" si="571"/>
        <v>0</v>
      </c>
      <c r="AM753" s="35"/>
      <c r="AN753" s="30"/>
      <c r="AO753" s="36">
        <f t="shared" si="572"/>
        <v>0</v>
      </c>
      <c r="AP753" s="35"/>
      <c r="AQ753" s="30"/>
      <c r="AR753" s="36">
        <f t="shared" si="573"/>
        <v>0</v>
      </c>
      <c r="AS753" s="27"/>
      <c r="AT753" s="37"/>
      <c r="AU753" s="30"/>
      <c r="AV753" s="36">
        <f t="shared" si="574"/>
        <v>0</v>
      </c>
      <c r="AW753" s="35"/>
      <c r="AX753" s="30"/>
      <c r="AY753" s="32">
        <f t="shared" si="575"/>
        <v>0</v>
      </c>
      <c r="AZ753" s="30"/>
      <c r="BA753" s="63"/>
      <c r="BB753" s="71"/>
      <c r="BC753" s="71"/>
      <c r="BD753" s="71"/>
    </row>
    <row r="754" spans="1:56" x14ac:dyDescent="0.25">
      <c r="A754" s="24" t="str">
        <f>IF(B754="","",SUBTOTAL(3,$B$4:B754))</f>
        <v/>
      </c>
      <c r="B754" s="25"/>
      <c r="C754" s="25" t="str">
        <f t="shared" si="567"/>
        <v xml:space="preserve"> </v>
      </c>
      <c r="D754" s="25"/>
      <c r="E754" s="25"/>
      <c r="F754" s="25"/>
      <c r="G754" s="65"/>
      <c r="H754" s="25"/>
      <c r="I754" s="25"/>
      <c r="J754" s="26"/>
      <c r="K754" s="27"/>
      <c r="L754" s="28"/>
      <c r="M754" s="28"/>
      <c r="N754" s="25"/>
      <c r="O754" s="29"/>
      <c r="P754" s="29"/>
      <c r="Q754" s="25"/>
      <c r="R754" s="25"/>
      <c r="S754" s="26"/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568"/>
        <v>0</v>
      </c>
      <c r="AF754" s="32">
        <f t="shared" si="569"/>
        <v>0</v>
      </c>
      <c r="AG754" s="30"/>
      <c r="AH754" s="33"/>
      <c r="AI754" s="34">
        <f t="shared" si="570"/>
        <v>0</v>
      </c>
      <c r="AJ754" s="35"/>
      <c r="AK754" s="30"/>
      <c r="AL754" s="36">
        <f t="shared" si="571"/>
        <v>0</v>
      </c>
      <c r="AM754" s="35"/>
      <c r="AN754" s="30"/>
      <c r="AO754" s="36">
        <f t="shared" si="572"/>
        <v>0</v>
      </c>
      <c r="AP754" s="35"/>
      <c r="AQ754" s="30"/>
      <c r="AR754" s="36">
        <f t="shared" si="573"/>
        <v>0</v>
      </c>
      <c r="AS754" s="27"/>
      <c r="AT754" s="37"/>
      <c r="AU754" s="30"/>
      <c r="AV754" s="36">
        <f t="shared" si="574"/>
        <v>0</v>
      </c>
      <c r="AW754" s="35"/>
      <c r="AX754" s="30"/>
      <c r="AY754" s="32">
        <f t="shared" si="575"/>
        <v>0</v>
      </c>
      <c r="AZ754" s="30"/>
      <c r="BA754" s="63"/>
      <c r="BB754" s="71"/>
      <c r="BC754" s="71"/>
      <c r="BD754" s="71"/>
    </row>
    <row r="755" spans="1:56" x14ac:dyDescent="0.25">
      <c r="A755" s="24" t="str">
        <f>IF(B755="","",SUBTOTAL(3,$B$4:B755))</f>
        <v/>
      </c>
      <c r="B755" s="25"/>
      <c r="C755" s="25" t="str">
        <f t="shared" si="567"/>
        <v xml:space="preserve"> </v>
      </c>
      <c r="D755" s="25"/>
      <c r="E755" s="25"/>
      <c r="F755" s="25"/>
      <c r="G755" s="65"/>
      <c r="H755" s="25"/>
      <c r="I755" s="25"/>
      <c r="J755" s="26"/>
      <c r="K755" s="27"/>
      <c r="L755" s="28"/>
      <c r="M755" s="28"/>
      <c r="N755" s="25"/>
      <c r="O755" s="29"/>
      <c r="P755" s="29"/>
      <c r="Q755" s="25"/>
      <c r="R755" s="25"/>
      <c r="S755" s="26"/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si="568"/>
        <v>0</v>
      </c>
      <c r="AF755" s="32">
        <f t="shared" si="569"/>
        <v>0</v>
      </c>
      <c r="AG755" s="30"/>
      <c r="AH755" s="33"/>
      <c r="AI755" s="34">
        <f t="shared" si="570"/>
        <v>0</v>
      </c>
      <c r="AJ755" s="35"/>
      <c r="AK755" s="30"/>
      <c r="AL755" s="36">
        <f t="shared" si="571"/>
        <v>0</v>
      </c>
      <c r="AM755" s="35"/>
      <c r="AN755" s="30"/>
      <c r="AO755" s="36">
        <f t="shared" si="572"/>
        <v>0</v>
      </c>
      <c r="AP755" s="35"/>
      <c r="AQ755" s="30"/>
      <c r="AR755" s="36">
        <f t="shared" si="573"/>
        <v>0</v>
      </c>
      <c r="AS755" s="27"/>
      <c r="AT755" s="37"/>
      <c r="AU755" s="30"/>
      <c r="AV755" s="36">
        <f t="shared" si="574"/>
        <v>0</v>
      </c>
      <c r="AW755" s="35"/>
      <c r="AX755" s="30"/>
      <c r="AY755" s="32">
        <f t="shared" si="575"/>
        <v>0</v>
      </c>
      <c r="AZ755" s="30"/>
      <c r="BA755" s="63"/>
      <c r="BB755" s="71"/>
      <c r="BC755" s="71"/>
      <c r="BD755" s="71"/>
    </row>
    <row r="756" spans="1:56" x14ac:dyDescent="0.25">
      <c r="A756" s="24" t="str">
        <f>IF(B756="","",SUBTOTAL(3,$B$4:B756))</f>
        <v/>
      </c>
      <c r="B756" s="25"/>
      <c r="C756" s="25" t="str">
        <f t="shared" si="567"/>
        <v xml:space="preserve"> </v>
      </c>
      <c r="D756" s="25"/>
      <c r="E756" s="25"/>
      <c r="F756" s="25"/>
      <c r="G756" s="65"/>
      <c r="H756" s="25"/>
      <c r="I756" s="25"/>
      <c r="J756" s="26"/>
      <c r="K756" s="27"/>
      <c r="L756" s="28"/>
      <c r="M756" s="28"/>
      <c r="N756" s="25"/>
      <c r="O756" s="29"/>
      <c r="P756" s="29"/>
      <c r="Q756" s="25"/>
      <c r="R756" s="25"/>
      <c r="S756" s="26"/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568"/>
        <v>0</v>
      </c>
      <c r="AF756" s="32">
        <f t="shared" si="569"/>
        <v>0</v>
      </c>
      <c r="AG756" s="30"/>
      <c r="AH756" s="33"/>
      <c r="AI756" s="34">
        <f t="shared" si="570"/>
        <v>0</v>
      </c>
      <c r="AJ756" s="35"/>
      <c r="AK756" s="30"/>
      <c r="AL756" s="36">
        <f t="shared" si="571"/>
        <v>0</v>
      </c>
      <c r="AM756" s="35"/>
      <c r="AN756" s="30"/>
      <c r="AO756" s="36">
        <f t="shared" si="572"/>
        <v>0</v>
      </c>
      <c r="AP756" s="35"/>
      <c r="AQ756" s="30"/>
      <c r="AR756" s="36">
        <f t="shared" si="573"/>
        <v>0</v>
      </c>
      <c r="AS756" s="27"/>
      <c r="AT756" s="37"/>
      <c r="AU756" s="30"/>
      <c r="AV756" s="36">
        <f t="shared" si="574"/>
        <v>0</v>
      </c>
      <c r="AW756" s="35"/>
      <c r="AX756" s="30"/>
      <c r="AY756" s="32">
        <f t="shared" si="575"/>
        <v>0</v>
      </c>
      <c r="AZ756" s="30"/>
      <c r="BA756" s="63"/>
      <c r="BB756" s="71"/>
      <c r="BC756" s="71"/>
      <c r="BD756" s="71"/>
    </row>
    <row r="757" spans="1:56" x14ac:dyDescent="0.25">
      <c r="A757" s="24" t="str">
        <f>IF(B757="","",SUBTOTAL(3,$B$4:B757))</f>
        <v/>
      </c>
      <c r="B757" s="25"/>
      <c r="C757" s="25" t="str">
        <f t="shared" si="567"/>
        <v xml:space="preserve"> </v>
      </c>
      <c r="D757" s="25"/>
      <c r="E757" s="25"/>
      <c r="F757" s="25"/>
      <c r="G757" s="65"/>
      <c r="H757" s="25"/>
      <c r="I757" s="25"/>
      <c r="J757" s="26"/>
      <c r="K757" s="27"/>
      <c r="L757" s="28"/>
      <c r="M757" s="28"/>
      <c r="N757" s="25"/>
      <c r="O757" s="29"/>
      <c r="P757" s="29"/>
      <c r="Q757" s="25"/>
      <c r="R757" s="25"/>
      <c r="S757" s="26"/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568"/>
        <v>0</v>
      </c>
      <c r="AF757" s="32">
        <f t="shared" si="569"/>
        <v>0</v>
      </c>
      <c r="AG757" s="30"/>
      <c r="AH757" s="33"/>
      <c r="AI757" s="34">
        <f t="shared" si="570"/>
        <v>0</v>
      </c>
      <c r="AJ757" s="35"/>
      <c r="AK757" s="30"/>
      <c r="AL757" s="36">
        <f t="shared" si="571"/>
        <v>0</v>
      </c>
      <c r="AM757" s="35"/>
      <c r="AN757" s="30"/>
      <c r="AO757" s="36">
        <f t="shared" si="572"/>
        <v>0</v>
      </c>
      <c r="AP757" s="35"/>
      <c r="AQ757" s="30"/>
      <c r="AR757" s="36">
        <f t="shared" si="573"/>
        <v>0</v>
      </c>
      <c r="AS757" s="27"/>
      <c r="AT757" s="37"/>
      <c r="AU757" s="30"/>
      <c r="AV757" s="36">
        <f t="shared" si="574"/>
        <v>0</v>
      </c>
      <c r="AW757" s="35"/>
      <c r="AX757" s="30"/>
      <c r="AY757" s="32">
        <f t="shared" si="575"/>
        <v>0</v>
      </c>
      <c r="AZ757" s="30"/>
      <c r="BA757" s="63"/>
      <c r="BB757" s="71"/>
      <c r="BC757" s="71"/>
      <c r="BD757" s="71"/>
    </row>
    <row r="758" spans="1:56" x14ac:dyDescent="0.25">
      <c r="A758" s="24" t="str">
        <f>IF(B758="","",SUBTOTAL(3,$B$4:B758))</f>
        <v/>
      </c>
      <c r="B758" s="25"/>
      <c r="C758" s="25" t="str">
        <f t="shared" si="567"/>
        <v xml:space="preserve"> </v>
      </c>
      <c r="D758" s="25"/>
      <c r="E758" s="25"/>
      <c r="F758" s="25"/>
      <c r="G758" s="65"/>
      <c r="H758" s="25"/>
      <c r="I758" s="25"/>
      <c r="J758" s="26"/>
      <c r="K758" s="27"/>
      <c r="L758" s="28"/>
      <c r="M758" s="28"/>
      <c r="N758" s="25"/>
      <c r="O758" s="29"/>
      <c r="P758" s="29"/>
      <c r="Q758" s="25"/>
      <c r="R758" s="25"/>
      <c r="S758" s="26"/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568"/>
        <v>0</v>
      </c>
      <c r="AF758" s="32">
        <f t="shared" si="569"/>
        <v>0</v>
      </c>
      <c r="AG758" s="30"/>
      <c r="AH758" s="33"/>
      <c r="AI758" s="34">
        <f t="shared" si="570"/>
        <v>0</v>
      </c>
      <c r="AJ758" s="35"/>
      <c r="AK758" s="30"/>
      <c r="AL758" s="36">
        <f t="shared" si="571"/>
        <v>0</v>
      </c>
      <c r="AM758" s="35"/>
      <c r="AN758" s="30"/>
      <c r="AO758" s="36">
        <f t="shared" si="572"/>
        <v>0</v>
      </c>
      <c r="AP758" s="35"/>
      <c r="AQ758" s="30"/>
      <c r="AR758" s="36">
        <f t="shared" si="573"/>
        <v>0</v>
      </c>
      <c r="AS758" s="27"/>
      <c r="AT758" s="37"/>
      <c r="AU758" s="30"/>
      <c r="AV758" s="36">
        <f t="shared" si="574"/>
        <v>0</v>
      </c>
      <c r="AW758" s="35"/>
      <c r="AX758" s="30"/>
      <c r="AY758" s="32">
        <f t="shared" si="575"/>
        <v>0</v>
      </c>
      <c r="AZ758" s="30"/>
      <c r="BA758" s="63"/>
      <c r="BB758" s="71"/>
      <c r="BC758" s="71"/>
      <c r="BD758" s="71"/>
    </row>
    <row r="759" spans="1:56" x14ac:dyDescent="0.25">
      <c r="A759" s="24" t="str">
        <f>IF(B759="","",SUBTOTAL(3,$B$4:B759))</f>
        <v/>
      </c>
      <c r="B759" s="25"/>
      <c r="C759" s="25" t="str">
        <f t="shared" si="567"/>
        <v xml:space="preserve"> </v>
      </c>
      <c r="D759" s="25"/>
      <c r="E759" s="25"/>
      <c r="F759" s="25"/>
      <c r="G759" s="65"/>
      <c r="H759" s="25"/>
      <c r="I759" s="25"/>
      <c r="J759" s="26"/>
      <c r="K759" s="27"/>
      <c r="L759" s="28"/>
      <c r="M759" s="28"/>
      <c r="N759" s="25"/>
      <c r="O759" s="29"/>
      <c r="P759" s="29"/>
      <c r="Q759" s="25"/>
      <c r="R759" s="25"/>
      <c r="S759" s="26"/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568"/>
        <v>0</v>
      </c>
      <c r="AF759" s="32">
        <f t="shared" si="569"/>
        <v>0</v>
      </c>
      <c r="AG759" s="30"/>
      <c r="AH759" s="33"/>
      <c r="AI759" s="34">
        <f t="shared" si="570"/>
        <v>0</v>
      </c>
      <c r="AJ759" s="35"/>
      <c r="AK759" s="30"/>
      <c r="AL759" s="36">
        <f t="shared" si="571"/>
        <v>0</v>
      </c>
      <c r="AM759" s="35"/>
      <c r="AN759" s="30"/>
      <c r="AO759" s="36">
        <f t="shared" si="572"/>
        <v>0</v>
      </c>
      <c r="AP759" s="35"/>
      <c r="AQ759" s="30"/>
      <c r="AR759" s="36">
        <f t="shared" si="573"/>
        <v>0</v>
      </c>
      <c r="AS759" s="27"/>
      <c r="AT759" s="37"/>
      <c r="AU759" s="30"/>
      <c r="AV759" s="36">
        <f t="shared" si="574"/>
        <v>0</v>
      </c>
      <c r="AW759" s="35"/>
      <c r="AX759" s="30"/>
      <c r="AY759" s="32">
        <f t="shared" si="575"/>
        <v>0</v>
      </c>
      <c r="AZ759" s="30"/>
      <c r="BA759" s="63"/>
      <c r="BB759" s="71"/>
      <c r="BC759" s="71"/>
      <c r="BD759" s="71"/>
    </row>
    <row r="760" spans="1:56" x14ac:dyDescent="0.25">
      <c r="A760" s="24" t="str">
        <f>IF(B760="","",SUBTOTAL(3,$B$4:B760))</f>
        <v/>
      </c>
      <c r="B760" s="25"/>
      <c r="C760" s="25" t="str">
        <f t="shared" si="567"/>
        <v xml:space="preserve"> </v>
      </c>
      <c r="D760" s="25"/>
      <c r="E760" s="25"/>
      <c r="F760" s="25"/>
      <c r="G760" s="65"/>
      <c r="H760" s="25"/>
      <c r="I760" s="25"/>
      <c r="J760" s="26"/>
      <c r="K760" s="27"/>
      <c r="L760" s="28"/>
      <c r="M760" s="28"/>
      <c r="N760" s="25"/>
      <c r="O760" s="29"/>
      <c r="P760" s="29"/>
      <c r="Q760" s="25"/>
      <c r="R760" s="25"/>
      <c r="S760" s="26"/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568"/>
        <v>0</v>
      </c>
      <c r="AF760" s="32">
        <f t="shared" si="569"/>
        <v>0</v>
      </c>
      <c r="AG760" s="30"/>
      <c r="AH760" s="33"/>
      <c r="AI760" s="34">
        <f t="shared" si="570"/>
        <v>0</v>
      </c>
      <c r="AJ760" s="35"/>
      <c r="AK760" s="30"/>
      <c r="AL760" s="36">
        <f t="shared" si="571"/>
        <v>0</v>
      </c>
      <c r="AM760" s="35"/>
      <c r="AN760" s="30"/>
      <c r="AO760" s="36">
        <f t="shared" si="572"/>
        <v>0</v>
      </c>
      <c r="AP760" s="35"/>
      <c r="AQ760" s="30"/>
      <c r="AR760" s="36">
        <f t="shared" si="573"/>
        <v>0</v>
      </c>
      <c r="AS760" s="27"/>
      <c r="AT760" s="37"/>
      <c r="AU760" s="30"/>
      <c r="AV760" s="36">
        <f t="shared" si="574"/>
        <v>0</v>
      </c>
      <c r="AW760" s="35"/>
      <c r="AX760" s="30"/>
      <c r="AY760" s="32">
        <f t="shared" si="575"/>
        <v>0</v>
      </c>
      <c r="AZ760" s="30"/>
      <c r="BA760" s="63"/>
      <c r="BB760" s="71"/>
      <c r="BC760" s="71"/>
      <c r="BD760" s="71"/>
    </row>
    <row r="761" spans="1:56" x14ac:dyDescent="0.25">
      <c r="A761" s="24" t="str">
        <f>IF(B761="","",SUBTOTAL(3,$B$4:B761))</f>
        <v/>
      </c>
      <c r="B761" s="25"/>
      <c r="C761" s="25" t="str">
        <f t="shared" si="567"/>
        <v xml:space="preserve"> </v>
      </c>
      <c r="D761" s="25"/>
      <c r="E761" s="25"/>
      <c r="F761" s="25"/>
      <c r="G761" s="65"/>
      <c r="H761" s="25"/>
      <c r="I761" s="25"/>
      <c r="J761" s="26"/>
      <c r="K761" s="27"/>
      <c r="L761" s="28"/>
      <c r="M761" s="28"/>
      <c r="N761" s="25"/>
      <c r="O761" s="29"/>
      <c r="P761" s="29"/>
      <c r="Q761" s="25"/>
      <c r="R761" s="25"/>
      <c r="S761" s="26"/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568"/>
        <v>0</v>
      </c>
      <c r="AF761" s="32">
        <f t="shared" si="569"/>
        <v>0</v>
      </c>
      <c r="AG761" s="30"/>
      <c r="AH761" s="33"/>
      <c r="AI761" s="34">
        <f t="shared" si="570"/>
        <v>0</v>
      </c>
      <c r="AJ761" s="35"/>
      <c r="AK761" s="30"/>
      <c r="AL761" s="36">
        <f t="shared" si="571"/>
        <v>0</v>
      </c>
      <c r="AM761" s="35"/>
      <c r="AN761" s="30"/>
      <c r="AO761" s="36">
        <f t="shared" si="572"/>
        <v>0</v>
      </c>
      <c r="AP761" s="35"/>
      <c r="AQ761" s="30"/>
      <c r="AR761" s="36">
        <f t="shared" si="573"/>
        <v>0</v>
      </c>
      <c r="AS761" s="27"/>
      <c r="AT761" s="37"/>
      <c r="AU761" s="30"/>
      <c r="AV761" s="36">
        <f t="shared" si="574"/>
        <v>0</v>
      </c>
      <c r="AW761" s="35"/>
      <c r="AX761" s="30"/>
      <c r="AY761" s="32">
        <f t="shared" si="575"/>
        <v>0</v>
      </c>
      <c r="AZ761" s="30"/>
      <c r="BA761" s="63"/>
      <c r="BB761" s="71"/>
      <c r="BC761" s="71"/>
      <c r="BD761" s="71"/>
    </row>
    <row r="762" spans="1:56" x14ac:dyDescent="0.25">
      <c r="A762" s="24" t="str">
        <f>IF(B762="","",SUBTOTAL(3,$B$4:B762))</f>
        <v/>
      </c>
      <c r="B762" s="25"/>
      <c r="C762" s="25" t="str">
        <f t="shared" si="567"/>
        <v xml:space="preserve"> </v>
      </c>
      <c r="D762" s="25"/>
      <c r="E762" s="25"/>
      <c r="F762" s="25"/>
      <c r="G762" s="65"/>
      <c r="H762" s="25"/>
      <c r="I762" s="25"/>
      <c r="J762" s="26"/>
      <c r="K762" s="27"/>
      <c r="L762" s="28"/>
      <c r="M762" s="28"/>
      <c r="N762" s="25"/>
      <c r="O762" s="29"/>
      <c r="P762" s="29"/>
      <c r="Q762" s="25"/>
      <c r="R762" s="25"/>
      <c r="S762" s="26"/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568"/>
        <v>0</v>
      </c>
      <c r="AF762" s="32">
        <f t="shared" si="569"/>
        <v>0</v>
      </c>
      <c r="AG762" s="30"/>
      <c r="AH762" s="33"/>
      <c r="AI762" s="34">
        <f t="shared" si="570"/>
        <v>0</v>
      </c>
      <c r="AJ762" s="35"/>
      <c r="AK762" s="30"/>
      <c r="AL762" s="36">
        <f t="shared" si="571"/>
        <v>0</v>
      </c>
      <c r="AM762" s="35"/>
      <c r="AN762" s="30"/>
      <c r="AO762" s="36">
        <f t="shared" si="572"/>
        <v>0</v>
      </c>
      <c r="AP762" s="35"/>
      <c r="AQ762" s="30"/>
      <c r="AR762" s="36">
        <f t="shared" si="573"/>
        <v>0</v>
      </c>
      <c r="AS762" s="27"/>
      <c r="AT762" s="37"/>
      <c r="AU762" s="30"/>
      <c r="AV762" s="36">
        <f t="shared" si="574"/>
        <v>0</v>
      </c>
      <c r="AW762" s="35"/>
      <c r="AX762" s="30"/>
      <c r="AY762" s="32">
        <f t="shared" si="575"/>
        <v>0</v>
      </c>
      <c r="AZ762" s="30"/>
      <c r="BA762" s="63"/>
      <c r="BB762" s="71"/>
      <c r="BC762" s="71"/>
      <c r="BD762" s="71"/>
    </row>
    <row r="763" spans="1:56" x14ac:dyDescent="0.25">
      <c r="A763" s="24" t="str">
        <f>IF(B763="","",SUBTOTAL(3,$B$4:B763))</f>
        <v/>
      </c>
      <c r="B763" s="25"/>
      <c r="C763" s="25" t="str">
        <f t="shared" si="567"/>
        <v xml:space="preserve"> </v>
      </c>
      <c r="D763" s="25"/>
      <c r="E763" s="25"/>
      <c r="F763" s="25"/>
      <c r="G763" s="65"/>
      <c r="H763" s="25"/>
      <c r="I763" s="25"/>
      <c r="J763" s="26"/>
      <c r="K763" s="27"/>
      <c r="L763" s="28"/>
      <c r="M763" s="28"/>
      <c r="N763" s="25"/>
      <c r="O763" s="29"/>
      <c r="P763" s="29"/>
      <c r="Q763" s="25"/>
      <c r="R763" s="25"/>
      <c r="S763" s="26"/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568"/>
        <v>0</v>
      </c>
      <c r="AF763" s="32">
        <f t="shared" si="569"/>
        <v>0</v>
      </c>
      <c r="AG763" s="30"/>
      <c r="AH763" s="33"/>
      <c r="AI763" s="34">
        <f t="shared" si="570"/>
        <v>0</v>
      </c>
      <c r="AJ763" s="35"/>
      <c r="AK763" s="30"/>
      <c r="AL763" s="36">
        <f t="shared" si="571"/>
        <v>0</v>
      </c>
      <c r="AM763" s="35"/>
      <c r="AN763" s="30"/>
      <c r="AO763" s="36">
        <f t="shared" si="572"/>
        <v>0</v>
      </c>
      <c r="AP763" s="35"/>
      <c r="AQ763" s="30"/>
      <c r="AR763" s="36">
        <f t="shared" si="573"/>
        <v>0</v>
      </c>
      <c r="AS763" s="27"/>
      <c r="AT763" s="37"/>
      <c r="AU763" s="30"/>
      <c r="AV763" s="36">
        <f t="shared" si="574"/>
        <v>0</v>
      </c>
      <c r="AW763" s="35"/>
      <c r="AX763" s="30"/>
      <c r="AY763" s="32">
        <f t="shared" si="575"/>
        <v>0</v>
      </c>
      <c r="AZ763" s="30"/>
      <c r="BA763" s="63"/>
      <c r="BB763" s="71"/>
      <c r="BC763" s="71"/>
      <c r="BD763" s="71"/>
    </row>
    <row r="764" spans="1:56" x14ac:dyDescent="0.25">
      <c r="A764" s="24" t="str">
        <f>IF(B764="","",SUBTOTAL(3,$B$4:B764))</f>
        <v/>
      </c>
      <c r="B764" s="25"/>
      <c r="C764" s="25" t="str">
        <f t="shared" si="567"/>
        <v xml:space="preserve"> </v>
      </c>
      <c r="D764" s="25"/>
      <c r="E764" s="25"/>
      <c r="F764" s="25"/>
      <c r="G764" s="65"/>
      <c r="H764" s="25"/>
      <c r="I764" s="25"/>
      <c r="J764" s="26"/>
      <c r="K764" s="27"/>
      <c r="L764" s="28"/>
      <c r="M764" s="28"/>
      <c r="N764" s="25"/>
      <c r="O764" s="29"/>
      <c r="P764" s="29"/>
      <c r="Q764" s="25"/>
      <c r="R764" s="25"/>
      <c r="S764" s="26"/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568"/>
        <v>0</v>
      </c>
      <c r="AF764" s="32">
        <f t="shared" si="569"/>
        <v>0</v>
      </c>
      <c r="AG764" s="30"/>
      <c r="AH764" s="33"/>
      <c r="AI764" s="34">
        <f t="shared" si="570"/>
        <v>0</v>
      </c>
      <c r="AJ764" s="35"/>
      <c r="AK764" s="30"/>
      <c r="AL764" s="36">
        <f t="shared" si="571"/>
        <v>0</v>
      </c>
      <c r="AM764" s="35"/>
      <c r="AN764" s="30"/>
      <c r="AO764" s="36">
        <f t="shared" si="572"/>
        <v>0</v>
      </c>
      <c r="AP764" s="35"/>
      <c r="AQ764" s="30"/>
      <c r="AR764" s="36">
        <f t="shared" si="573"/>
        <v>0</v>
      </c>
      <c r="AS764" s="27"/>
      <c r="AT764" s="37"/>
      <c r="AU764" s="30"/>
      <c r="AV764" s="36">
        <f t="shared" si="574"/>
        <v>0</v>
      </c>
      <c r="AW764" s="35"/>
      <c r="AX764" s="30"/>
      <c r="AY764" s="32">
        <f t="shared" si="575"/>
        <v>0</v>
      </c>
      <c r="AZ764" s="30"/>
      <c r="BA764" s="63"/>
      <c r="BB764" s="71"/>
      <c r="BC764" s="71"/>
      <c r="BD764" s="71"/>
    </row>
    <row r="765" spans="1:56" x14ac:dyDescent="0.25">
      <c r="A765" s="24" t="str">
        <f>IF(B765="","",SUBTOTAL(3,$B$4:B765))</f>
        <v/>
      </c>
      <c r="B765" s="25"/>
      <c r="C765" s="25" t="str">
        <f t="shared" si="567"/>
        <v xml:space="preserve"> </v>
      </c>
      <c r="D765" s="25"/>
      <c r="E765" s="25"/>
      <c r="F765" s="25"/>
      <c r="G765" s="65"/>
      <c r="H765" s="25"/>
      <c r="I765" s="25"/>
      <c r="J765" s="26"/>
      <c r="K765" s="27"/>
      <c r="L765" s="28"/>
      <c r="M765" s="28"/>
      <c r="N765" s="25"/>
      <c r="O765" s="29"/>
      <c r="P765" s="29"/>
      <c r="Q765" s="25"/>
      <c r="R765" s="25"/>
      <c r="S765" s="26"/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568"/>
        <v>0</v>
      </c>
      <c r="AF765" s="32">
        <f t="shared" si="569"/>
        <v>0</v>
      </c>
      <c r="AG765" s="30"/>
      <c r="AH765" s="33"/>
      <c r="AI765" s="34">
        <f t="shared" si="570"/>
        <v>0</v>
      </c>
      <c r="AJ765" s="35"/>
      <c r="AK765" s="30"/>
      <c r="AL765" s="36">
        <f t="shared" si="571"/>
        <v>0</v>
      </c>
      <c r="AM765" s="35"/>
      <c r="AN765" s="30"/>
      <c r="AO765" s="36">
        <f t="shared" si="572"/>
        <v>0</v>
      </c>
      <c r="AP765" s="35"/>
      <c r="AQ765" s="30"/>
      <c r="AR765" s="36">
        <f t="shared" si="573"/>
        <v>0</v>
      </c>
      <c r="AS765" s="27"/>
      <c r="AT765" s="37"/>
      <c r="AU765" s="30"/>
      <c r="AV765" s="36">
        <f t="shared" si="574"/>
        <v>0</v>
      </c>
      <c r="AW765" s="35"/>
      <c r="AX765" s="30"/>
      <c r="AY765" s="32">
        <f t="shared" si="575"/>
        <v>0</v>
      </c>
      <c r="AZ765" s="30"/>
      <c r="BA765" s="63"/>
      <c r="BB765" s="71"/>
      <c r="BC765" s="71"/>
      <c r="BD765" s="71"/>
    </row>
    <row r="766" spans="1:56" x14ac:dyDescent="0.25">
      <c r="A766" s="24" t="str">
        <f>IF(B766="","",SUBTOTAL(3,$B$4:B766))</f>
        <v/>
      </c>
      <c r="B766" s="25"/>
      <c r="C766" s="25" t="str">
        <f t="shared" si="567"/>
        <v xml:space="preserve"> </v>
      </c>
      <c r="D766" s="25"/>
      <c r="E766" s="25"/>
      <c r="F766" s="25"/>
      <c r="G766" s="65"/>
      <c r="H766" s="25"/>
      <c r="I766" s="25"/>
      <c r="J766" s="26"/>
      <c r="K766" s="27"/>
      <c r="L766" s="28"/>
      <c r="M766" s="28"/>
      <c r="N766" s="25"/>
      <c r="O766" s="29"/>
      <c r="P766" s="29"/>
      <c r="Q766" s="25"/>
      <c r="R766" s="25"/>
      <c r="S766" s="26"/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568"/>
        <v>0</v>
      </c>
      <c r="AF766" s="32">
        <f t="shared" si="569"/>
        <v>0</v>
      </c>
      <c r="AG766" s="30"/>
      <c r="AH766" s="33"/>
      <c r="AI766" s="34">
        <f t="shared" si="570"/>
        <v>0</v>
      </c>
      <c r="AJ766" s="35"/>
      <c r="AK766" s="30"/>
      <c r="AL766" s="36">
        <f t="shared" si="571"/>
        <v>0</v>
      </c>
      <c r="AM766" s="35"/>
      <c r="AN766" s="30"/>
      <c r="AO766" s="36">
        <f t="shared" si="572"/>
        <v>0</v>
      </c>
      <c r="AP766" s="35"/>
      <c r="AQ766" s="30"/>
      <c r="AR766" s="36">
        <f t="shared" si="573"/>
        <v>0</v>
      </c>
      <c r="AS766" s="27"/>
      <c r="AT766" s="37"/>
      <c r="AU766" s="30"/>
      <c r="AV766" s="36">
        <f t="shared" si="574"/>
        <v>0</v>
      </c>
      <c r="AW766" s="35"/>
      <c r="AX766" s="30"/>
      <c r="AY766" s="32">
        <f t="shared" si="575"/>
        <v>0</v>
      </c>
      <c r="AZ766" s="30"/>
      <c r="BA766" s="63"/>
      <c r="BB766" s="71"/>
      <c r="BC766" s="71"/>
      <c r="BD766" s="71"/>
    </row>
    <row r="767" spans="1:56" x14ac:dyDescent="0.25">
      <c r="A767" s="24" t="str">
        <f>IF(B767="","",SUBTOTAL(3,$B$4:B767))</f>
        <v/>
      </c>
      <c r="B767" s="25"/>
      <c r="C767" s="25" t="str">
        <f t="shared" si="567"/>
        <v xml:space="preserve"> </v>
      </c>
      <c r="D767" s="25"/>
      <c r="E767" s="25"/>
      <c r="F767" s="25"/>
      <c r="G767" s="65"/>
      <c r="H767" s="25"/>
      <c r="I767" s="25"/>
      <c r="J767" s="26"/>
      <c r="K767" s="27"/>
      <c r="L767" s="28"/>
      <c r="M767" s="28"/>
      <c r="N767" s="25"/>
      <c r="O767" s="29"/>
      <c r="P767" s="29"/>
      <c r="Q767" s="25"/>
      <c r="R767" s="25"/>
      <c r="S767" s="26"/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568"/>
        <v>0</v>
      </c>
      <c r="AF767" s="32">
        <f t="shared" si="569"/>
        <v>0</v>
      </c>
      <c r="AG767" s="30"/>
      <c r="AH767" s="33"/>
      <c r="AI767" s="34">
        <f t="shared" si="570"/>
        <v>0</v>
      </c>
      <c r="AJ767" s="35"/>
      <c r="AK767" s="30"/>
      <c r="AL767" s="36">
        <f t="shared" si="571"/>
        <v>0</v>
      </c>
      <c r="AM767" s="35"/>
      <c r="AN767" s="30"/>
      <c r="AO767" s="36">
        <f t="shared" si="572"/>
        <v>0</v>
      </c>
      <c r="AP767" s="35"/>
      <c r="AQ767" s="30"/>
      <c r="AR767" s="36">
        <f t="shared" si="573"/>
        <v>0</v>
      </c>
      <c r="AS767" s="27"/>
      <c r="AT767" s="37"/>
      <c r="AU767" s="30"/>
      <c r="AV767" s="36">
        <f t="shared" si="574"/>
        <v>0</v>
      </c>
      <c r="AW767" s="35"/>
      <c r="AX767" s="30"/>
      <c r="AY767" s="32">
        <f t="shared" si="575"/>
        <v>0</v>
      </c>
      <c r="AZ767" s="30"/>
      <c r="BA767" s="63"/>
      <c r="BB767" s="71"/>
      <c r="BC767" s="71"/>
      <c r="BD767" s="71"/>
    </row>
    <row r="768" spans="1:56" x14ac:dyDescent="0.25">
      <c r="A768" s="24" t="str">
        <f>IF(B768="","",SUBTOTAL(3,$B$4:B768))</f>
        <v/>
      </c>
      <c r="B768" s="25"/>
      <c r="C768" s="25" t="str">
        <f t="shared" si="567"/>
        <v xml:space="preserve"> </v>
      </c>
      <c r="D768" s="25"/>
      <c r="E768" s="25"/>
      <c r="F768" s="25"/>
      <c r="G768" s="65"/>
      <c r="H768" s="25"/>
      <c r="I768" s="25"/>
      <c r="J768" s="26"/>
      <c r="K768" s="27"/>
      <c r="L768" s="28"/>
      <c r="M768" s="28"/>
      <c r="N768" s="25"/>
      <c r="O768" s="29"/>
      <c r="P768" s="29"/>
      <c r="Q768" s="25"/>
      <c r="R768" s="25"/>
      <c r="S768" s="26"/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568"/>
        <v>0</v>
      </c>
      <c r="AF768" s="32">
        <f t="shared" si="569"/>
        <v>0</v>
      </c>
      <c r="AG768" s="30"/>
      <c r="AH768" s="33"/>
      <c r="AI768" s="34">
        <f t="shared" si="570"/>
        <v>0</v>
      </c>
      <c r="AJ768" s="35"/>
      <c r="AK768" s="30"/>
      <c r="AL768" s="36">
        <f t="shared" si="571"/>
        <v>0</v>
      </c>
      <c r="AM768" s="35"/>
      <c r="AN768" s="30"/>
      <c r="AO768" s="36">
        <f t="shared" si="572"/>
        <v>0</v>
      </c>
      <c r="AP768" s="35"/>
      <c r="AQ768" s="30"/>
      <c r="AR768" s="36">
        <f t="shared" si="573"/>
        <v>0</v>
      </c>
      <c r="AS768" s="27"/>
      <c r="AT768" s="37"/>
      <c r="AU768" s="30"/>
      <c r="AV768" s="36">
        <f t="shared" si="574"/>
        <v>0</v>
      </c>
      <c r="AW768" s="35"/>
      <c r="AX768" s="30"/>
      <c r="AY768" s="32">
        <f t="shared" si="575"/>
        <v>0</v>
      </c>
      <c r="AZ768" s="30"/>
      <c r="BA768" s="63"/>
      <c r="BB768" s="71"/>
      <c r="BC768" s="71"/>
      <c r="BD768" s="71"/>
    </row>
    <row r="769" spans="1:56" x14ac:dyDescent="0.25">
      <c r="A769" s="24" t="str">
        <f>IF(B769="","",SUBTOTAL(3,$B$4:B769))</f>
        <v/>
      </c>
      <c r="B769" s="25"/>
      <c r="C769" s="25" t="str">
        <f t="shared" si="567"/>
        <v xml:space="preserve"> </v>
      </c>
      <c r="D769" s="25"/>
      <c r="E769" s="25"/>
      <c r="F769" s="25"/>
      <c r="G769" s="65"/>
      <c r="H769" s="25"/>
      <c r="I769" s="25"/>
      <c r="J769" s="26"/>
      <c r="K769" s="27"/>
      <c r="L769" s="28"/>
      <c r="M769" s="28"/>
      <c r="N769" s="25"/>
      <c r="O769" s="29"/>
      <c r="P769" s="29"/>
      <c r="Q769" s="25"/>
      <c r="R769" s="25"/>
      <c r="S769" s="26"/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568"/>
        <v>0</v>
      </c>
      <c r="AF769" s="32">
        <f t="shared" si="569"/>
        <v>0</v>
      </c>
      <c r="AG769" s="30"/>
      <c r="AH769" s="33"/>
      <c r="AI769" s="34">
        <f t="shared" si="570"/>
        <v>0</v>
      </c>
      <c r="AJ769" s="35"/>
      <c r="AK769" s="30"/>
      <c r="AL769" s="36">
        <f t="shared" si="571"/>
        <v>0</v>
      </c>
      <c r="AM769" s="35"/>
      <c r="AN769" s="30"/>
      <c r="AO769" s="36">
        <f t="shared" si="572"/>
        <v>0</v>
      </c>
      <c r="AP769" s="35"/>
      <c r="AQ769" s="30"/>
      <c r="AR769" s="36">
        <f t="shared" si="573"/>
        <v>0</v>
      </c>
      <c r="AS769" s="27"/>
      <c r="AT769" s="37"/>
      <c r="AU769" s="30"/>
      <c r="AV769" s="36">
        <f t="shared" si="574"/>
        <v>0</v>
      </c>
      <c r="AW769" s="35"/>
      <c r="AX769" s="30"/>
      <c r="AY769" s="32">
        <f t="shared" si="575"/>
        <v>0</v>
      </c>
      <c r="AZ769" s="30"/>
      <c r="BA769" s="63"/>
      <c r="BB769" s="71"/>
      <c r="BC769" s="71"/>
      <c r="BD769" s="71"/>
    </row>
    <row r="770" spans="1:56" x14ac:dyDescent="0.25">
      <c r="A770" s="24" t="str">
        <f>IF(B770="","",SUBTOTAL(3,$B$4:B770))</f>
        <v/>
      </c>
      <c r="B770" s="25"/>
      <c r="C770" s="25" t="str">
        <f t="shared" si="567"/>
        <v xml:space="preserve"> </v>
      </c>
      <c r="D770" s="25"/>
      <c r="E770" s="25"/>
      <c r="F770" s="25"/>
      <c r="G770" s="65"/>
      <c r="H770" s="25"/>
      <c r="I770" s="25"/>
      <c r="J770" s="26"/>
      <c r="K770" s="27"/>
      <c r="L770" s="28"/>
      <c r="M770" s="28"/>
      <c r="N770" s="25"/>
      <c r="O770" s="29"/>
      <c r="P770" s="29"/>
      <c r="Q770" s="25"/>
      <c r="R770" s="25"/>
      <c r="S770" s="26"/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568"/>
        <v>0</v>
      </c>
      <c r="AF770" s="32">
        <f t="shared" si="569"/>
        <v>0</v>
      </c>
      <c r="AG770" s="30"/>
      <c r="AH770" s="33"/>
      <c r="AI770" s="34">
        <f t="shared" si="570"/>
        <v>0</v>
      </c>
      <c r="AJ770" s="35"/>
      <c r="AK770" s="30"/>
      <c r="AL770" s="36">
        <f t="shared" si="571"/>
        <v>0</v>
      </c>
      <c r="AM770" s="35"/>
      <c r="AN770" s="30"/>
      <c r="AO770" s="36">
        <f t="shared" si="572"/>
        <v>0</v>
      </c>
      <c r="AP770" s="35"/>
      <c r="AQ770" s="30"/>
      <c r="AR770" s="36">
        <f t="shared" si="573"/>
        <v>0</v>
      </c>
      <c r="AS770" s="27"/>
      <c r="AT770" s="37"/>
      <c r="AU770" s="30"/>
      <c r="AV770" s="36">
        <f t="shared" si="574"/>
        <v>0</v>
      </c>
      <c r="AW770" s="35"/>
      <c r="AX770" s="30"/>
      <c r="AY770" s="32">
        <f t="shared" si="575"/>
        <v>0</v>
      </c>
      <c r="AZ770" s="30"/>
      <c r="BA770" s="63"/>
      <c r="BB770" s="71"/>
      <c r="BC770" s="71"/>
      <c r="BD770" s="71"/>
    </row>
    <row r="771" spans="1:56" x14ac:dyDescent="0.25">
      <c r="A771" s="24" t="str">
        <f>IF(B771="","",SUBTOTAL(3,$B$4:B771))</f>
        <v/>
      </c>
      <c r="B771" s="25"/>
      <c r="C771" s="25" t="str">
        <f t="shared" si="567"/>
        <v xml:space="preserve"> </v>
      </c>
      <c r="D771" s="25"/>
      <c r="E771" s="25"/>
      <c r="F771" s="25"/>
      <c r="G771" s="65"/>
      <c r="H771" s="25"/>
      <c r="I771" s="25"/>
      <c r="J771" s="26"/>
      <c r="K771" s="27"/>
      <c r="L771" s="28"/>
      <c r="M771" s="28"/>
      <c r="N771" s="25"/>
      <c r="O771" s="29"/>
      <c r="P771" s="29"/>
      <c r="Q771" s="25"/>
      <c r="R771" s="25"/>
      <c r="S771" s="26"/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568"/>
        <v>0</v>
      </c>
      <c r="AF771" s="32">
        <f t="shared" si="569"/>
        <v>0</v>
      </c>
      <c r="AG771" s="30"/>
      <c r="AH771" s="33"/>
      <c r="AI771" s="34">
        <f t="shared" si="570"/>
        <v>0</v>
      </c>
      <c r="AJ771" s="35"/>
      <c r="AK771" s="30"/>
      <c r="AL771" s="36">
        <f t="shared" si="571"/>
        <v>0</v>
      </c>
      <c r="AM771" s="35"/>
      <c r="AN771" s="30"/>
      <c r="AO771" s="36">
        <f t="shared" si="572"/>
        <v>0</v>
      </c>
      <c r="AP771" s="35"/>
      <c r="AQ771" s="30"/>
      <c r="AR771" s="36">
        <f t="shared" si="573"/>
        <v>0</v>
      </c>
      <c r="AS771" s="27"/>
      <c r="AT771" s="37"/>
      <c r="AU771" s="30"/>
      <c r="AV771" s="36">
        <f t="shared" si="574"/>
        <v>0</v>
      </c>
      <c r="AW771" s="35"/>
      <c r="AX771" s="30"/>
      <c r="AY771" s="32">
        <f t="shared" si="575"/>
        <v>0</v>
      </c>
      <c r="AZ771" s="30"/>
      <c r="BA771" s="63"/>
      <c r="BB771" s="71"/>
      <c r="BC771" s="71"/>
      <c r="BD771" s="71"/>
    </row>
    <row r="772" spans="1:56" x14ac:dyDescent="0.25">
      <c r="A772" s="24" t="str">
        <f>IF(B772="","",SUBTOTAL(3,$B$4:B772))</f>
        <v/>
      </c>
      <c r="B772" s="25"/>
      <c r="C772" s="25" t="str">
        <f t="shared" si="567"/>
        <v xml:space="preserve"> </v>
      </c>
      <c r="D772" s="25"/>
      <c r="E772" s="25"/>
      <c r="F772" s="25"/>
      <c r="G772" s="65"/>
      <c r="H772" s="25"/>
      <c r="I772" s="25"/>
      <c r="J772" s="26"/>
      <c r="K772" s="27"/>
      <c r="L772" s="28"/>
      <c r="M772" s="28"/>
      <c r="N772" s="25"/>
      <c r="O772" s="29"/>
      <c r="P772" s="29"/>
      <c r="Q772" s="25"/>
      <c r="R772" s="25"/>
      <c r="S772" s="26"/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568"/>
        <v>0</v>
      </c>
      <c r="AF772" s="32">
        <f t="shared" si="569"/>
        <v>0</v>
      </c>
      <c r="AG772" s="30"/>
      <c r="AH772" s="33"/>
      <c r="AI772" s="34">
        <f t="shared" si="570"/>
        <v>0</v>
      </c>
      <c r="AJ772" s="35"/>
      <c r="AK772" s="30"/>
      <c r="AL772" s="36">
        <f t="shared" si="571"/>
        <v>0</v>
      </c>
      <c r="AM772" s="35"/>
      <c r="AN772" s="30"/>
      <c r="AO772" s="36">
        <f t="shared" si="572"/>
        <v>0</v>
      </c>
      <c r="AP772" s="35"/>
      <c r="AQ772" s="30"/>
      <c r="AR772" s="36">
        <f t="shared" si="573"/>
        <v>0</v>
      </c>
      <c r="AS772" s="27"/>
      <c r="AT772" s="37"/>
      <c r="AU772" s="30"/>
      <c r="AV772" s="36">
        <f t="shared" si="574"/>
        <v>0</v>
      </c>
      <c r="AW772" s="35"/>
      <c r="AX772" s="30"/>
      <c r="AY772" s="32">
        <f t="shared" si="575"/>
        <v>0</v>
      </c>
      <c r="AZ772" s="30"/>
      <c r="BA772" s="63"/>
      <c r="BB772" s="71"/>
      <c r="BC772" s="71"/>
      <c r="BD772" s="71"/>
    </row>
    <row r="773" spans="1:56" x14ac:dyDescent="0.25">
      <c r="A773" s="24" t="str">
        <f>IF(B773="","",SUBTOTAL(3,$B$4:B773))</f>
        <v/>
      </c>
      <c r="B773" s="25"/>
      <c r="C773" s="25" t="str">
        <f t="shared" si="567"/>
        <v xml:space="preserve"> </v>
      </c>
      <c r="D773" s="25"/>
      <c r="E773" s="25"/>
      <c r="F773" s="25"/>
      <c r="G773" s="65"/>
      <c r="H773" s="25"/>
      <c r="I773" s="25"/>
      <c r="J773" s="26"/>
      <c r="K773" s="27"/>
      <c r="L773" s="28"/>
      <c r="M773" s="28"/>
      <c r="N773" s="25"/>
      <c r="O773" s="29"/>
      <c r="P773" s="29"/>
      <c r="Q773" s="25"/>
      <c r="R773" s="25"/>
      <c r="S773" s="26"/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568"/>
        <v>0</v>
      </c>
      <c r="AF773" s="32">
        <f t="shared" si="569"/>
        <v>0</v>
      </c>
      <c r="AG773" s="30"/>
      <c r="AH773" s="33"/>
      <c r="AI773" s="34">
        <f t="shared" si="570"/>
        <v>0</v>
      </c>
      <c r="AJ773" s="35"/>
      <c r="AK773" s="30"/>
      <c r="AL773" s="36">
        <f t="shared" si="571"/>
        <v>0</v>
      </c>
      <c r="AM773" s="35"/>
      <c r="AN773" s="30"/>
      <c r="AO773" s="36">
        <f t="shared" si="572"/>
        <v>0</v>
      </c>
      <c r="AP773" s="35"/>
      <c r="AQ773" s="30"/>
      <c r="AR773" s="36">
        <f t="shared" si="573"/>
        <v>0</v>
      </c>
      <c r="AS773" s="27"/>
      <c r="AT773" s="37"/>
      <c r="AU773" s="30"/>
      <c r="AV773" s="36">
        <f t="shared" si="574"/>
        <v>0</v>
      </c>
      <c r="AW773" s="35"/>
      <c r="AX773" s="30"/>
      <c r="AY773" s="32">
        <f t="shared" si="575"/>
        <v>0</v>
      </c>
      <c r="AZ773" s="30"/>
      <c r="BA773" s="63"/>
      <c r="BB773" s="71"/>
      <c r="BC773" s="71"/>
      <c r="BD773" s="71"/>
    </row>
    <row r="774" spans="1:56" x14ac:dyDescent="0.25">
      <c r="A774" s="24" t="str">
        <f>IF(B774="","",SUBTOTAL(3,$B$4:B774))</f>
        <v/>
      </c>
      <c r="B774" s="25"/>
      <c r="C774" s="25" t="str">
        <f t="shared" si="567"/>
        <v xml:space="preserve"> </v>
      </c>
      <c r="D774" s="25"/>
      <c r="E774" s="25"/>
      <c r="F774" s="25"/>
      <c r="G774" s="65"/>
      <c r="H774" s="25"/>
      <c r="I774" s="25"/>
      <c r="J774" s="26"/>
      <c r="K774" s="27"/>
      <c r="L774" s="28"/>
      <c r="M774" s="28"/>
      <c r="N774" s="25"/>
      <c r="O774" s="29"/>
      <c r="P774" s="29"/>
      <c r="Q774" s="25"/>
      <c r="R774" s="25"/>
      <c r="S774" s="26"/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568"/>
        <v>0</v>
      </c>
      <c r="AF774" s="32">
        <f t="shared" si="569"/>
        <v>0</v>
      </c>
      <c r="AG774" s="30"/>
      <c r="AH774" s="33"/>
      <c r="AI774" s="34">
        <f t="shared" si="570"/>
        <v>0</v>
      </c>
      <c r="AJ774" s="35"/>
      <c r="AK774" s="30"/>
      <c r="AL774" s="36">
        <f t="shared" si="571"/>
        <v>0</v>
      </c>
      <c r="AM774" s="35"/>
      <c r="AN774" s="30"/>
      <c r="AO774" s="36">
        <f t="shared" si="572"/>
        <v>0</v>
      </c>
      <c r="AP774" s="35"/>
      <c r="AQ774" s="30"/>
      <c r="AR774" s="36">
        <f t="shared" si="573"/>
        <v>0</v>
      </c>
      <c r="AS774" s="27"/>
      <c r="AT774" s="37"/>
      <c r="AU774" s="30"/>
      <c r="AV774" s="36">
        <f t="shared" si="574"/>
        <v>0</v>
      </c>
      <c r="AW774" s="35"/>
      <c r="AX774" s="30"/>
      <c r="AY774" s="32">
        <f t="shared" si="575"/>
        <v>0</v>
      </c>
      <c r="AZ774" s="30"/>
      <c r="BA774" s="63"/>
      <c r="BB774" s="71"/>
      <c r="BC774" s="71"/>
      <c r="BD774" s="71"/>
    </row>
    <row r="775" spans="1:56" x14ac:dyDescent="0.25">
      <c r="A775" s="24" t="str">
        <f>IF(B775="","",SUBTOTAL(3,$B$4:B775))</f>
        <v/>
      </c>
      <c r="B775" s="25"/>
      <c r="C775" s="25" t="str">
        <f t="shared" si="567"/>
        <v xml:space="preserve"> </v>
      </c>
      <c r="D775" s="25"/>
      <c r="E775" s="25"/>
      <c r="F775" s="25"/>
      <c r="G775" s="65"/>
      <c r="H775" s="25"/>
      <c r="I775" s="25"/>
      <c r="J775" s="26"/>
      <c r="K775" s="27"/>
      <c r="L775" s="28"/>
      <c r="M775" s="28"/>
      <c r="N775" s="25"/>
      <c r="O775" s="29"/>
      <c r="P775" s="29"/>
      <c r="Q775" s="25"/>
      <c r="R775" s="25"/>
      <c r="S775" s="26"/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568"/>
        <v>0</v>
      </c>
      <c r="AF775" s="32">
        <f t="shared" si="569"/>
        <v>0</v>
      </c>
      <c r="AG775" s="30"/>
      <c r="AH775" s="33"/>
      <c r="AI775" s="34">
        <f t="shared" si="570"/>
        <v>0</v>
      </c>
      <c r="AJ775" s="35"/>
      <c r="AK775" s="30"/>
      <c r="AL775" s="36">
        <f t="shared" si="571"/>
        <v>0</v>
      </c>
      <c r="AM775" s="35"/>
      <c r="AN775" s="30"/>
      <c r="AO775" s="36">
        <f t="shared" si="572"/>
        <v>0</v>
      </c>
      <c r="AP775" s="35"/>
      <c r="AQ775" s="30"/>
      <c r="AR775" s="36">
        <f t="shared" si="573"/>
        <v>0</v>
      </c>
      <c r="AS775" s="27"/>
      <c r="AT775" s="37"/>
      <c r="AU775" s="30"/>
      <c r="AV775" s="36">
        <f t="shared" si="574"/>
        <v>0</v>
      </c>
      <c r="AW775" s="35"/>
      <c r="AX775" s="30"/>
      <c r="AY775" s="32">
        <f t="shared" si="575"/>
        <v>0</v>
      </c>
      <c r="AZ775" s="30"/>
      <c r="BA775" s="63"/>
      <c r="BB775" s="71"/>
      <c r="BC775" s="71"/>
      <c r="BD775" s="71"/>
    </row>
    <row r="776" spans="1:56" x14ac:dyDescent="0.25">
      <c r="A776" s="24" t="str">
        <f>IF(B776="","",SUBTOTAL(3,$B$4:B776))</f>
        <v/>
      </c>
      <c r="B776" s="25"/>
      <c r="C776" s="25" t="str">
        <f t="shared" si="567"/>
        <v xml:space="preserve"> </v>
      </c>
      <c r="D776" s="25"/>
      <c r="E776" s="25"/>
      <c r="F776" s="25"/>
      <c r="G776" s="65"/>
      <c r="H776" s="25"/>
      <c r="I776" s="25"/>
      <c r="J776" s="26"/>
      <c r="K776" s="27"/>
      <c r="L776" s="28"/>
      <c r="M776" s="28"/>
      <c r="N776" s="25"/>
      <c r="O776" s="29"/>
      <c r="P776" s="29"/>
      <c r="Q776" s="25"/>
      <c r="R776" s="25"/>
      <c r="S776" s="26"/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568"/>
        <v>0</v>
      </c>
      <c r="AF776" s="32">
        <f t="shared" si="569"/>
        <v>0</v>
      </c>
      <c r="AG776" s="30"/>
      <c r="AH776" s="33"/>
      <c r="AI776" s="34">
        <f t="shared" si="570"/>
        <v>0</v>
      </c>
      <c r="AJ776" s="35"/>
      <c r="AK776" s="30"/>
      <c r="AL776" s="36">
        <f t="shared" si="571"/>
        <v>0</v>
      </c>
      <c r="AM776" s="35"/>
      <c r="AN776" s="30"/>
      <c r="AO776" s="36">
        <f t="shared" si="572"/>
        <v>0</v>
      </c>
      <c r="AP776" s="35"/>
      <c r="AQ776" s="30"/>
      <c r="AR776" s="36">
        <f t="shared" si="573"/>
        <v>0</v>
      </c>
      <c r="AS776" s="27"/>
      <c r="AT776" s="37"/>
      <c r="AU776" s="30"/>
      <c r="AV776" s="36">
        <f t="shared" si="574"/>
        <v>0</v>
      </c>
      <c r="AW776" s="35"/>
      <c r="AX776" s="30"/>
      <c r="AY776" s="32">
        <f t="shared" si="575"/>
        <v>0</v>
      </c>
      <c r="AZ776" s="30"/>
      <c r="BA776" s="63"/>
      <c r="BB776" s="71"/>
      <c r="BC776" s="71"/>
      <c r="BD776" s="71"/>
    </row>
    <row r="777" spans="1:56" x14ac:dyDescent="0.25">
      <c r="A777" s="24" t="str">
        <f>IF(B777="","",SUBTOTAL(3,$B$4:B777))</f>
        <v/>
      </c>
      <c r="B777" s="25"/>
      <c r="C777" s="25" t="str">
        <f t="shared" si="567"/>
        <v xml:space="preserve"> </v>
      </c>
      <c r="D777" s="25"/>
      <c r="E777" s="25"/>
      <c r="F777" s="25"/>
      <c r="G777" s="65"/>
      <c r="H777" s="25"/>
      <c r="I777" s="25"/>
      <c r="J777" s="26"/>
      <c r="K777" s="27"/>
      <c r="L777" s="28"/>
      <c r="M777" s="28"/>
      <c r="N777" s="25"/>
      <c r="O777" s="29"/>
      <c r="P777" s="29"/>
      <c r="Q777" s="25"/>
      <c r="R777" s="25"/>
      <c r="S777" s="26"/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568"/>
        <v>0</v>
      </c>
      <c r="AF777" s="32">
        <f t="shared" si="569"/>
        <v>0</v>
      </c>
      <c r="AG777" s="30"/>
      <c r="AH777" s="33"/>
      <c r="AI777" s="34">
        <f t="shared" si="570"/>
        <v>0</v>
      </c>
      <c r="AJ777" s="35"/>
      <c r="AK777" s="30"/>
      <c r="AL777" s="36">
        <f t="shared" si="571"/>
        <v>0</v>
      </c>
      <c r="AM777" s="35"/>
      <c r="AN777" s="30"/>
      <c r="AO777" s="36">
        <f t="shared" si="572"/>
        <v>0</v>
      </c>
      <c r="AP777" s="35"/>
      <c r="AQ777" s="30"/>
      <c r="AR777" s="36">
        <f t="shared" si="573"/>
        <v>0</v>
      </c>
      <c r="AS777" s="27"/>
      <c r="AT777" s="37"/>
      <c r="AU777" s="30"/>
      <c r="AV777" s="36">
        <f t="shared" si="574"/>
        <v>0</v>
      </c>
      <c r="AW777" s="35"/>
      <c r="AX777" s="30"/>
      <c r="AY777" s="32">
        <f t="shared" si="575"/>
        <v>0</v>
      </c>
      <c r="AZ777" s="30"/>
      <c r="BA777" s="63"/>
      <c r="BB777" s="71"/>
      <c r="BC777" s="71"/>
      <c r="BD777" s="71"/>
    </row>
    <row r="778" spans="1:56" x14ac:dyDescent="0.25">
      <c r="A778" s="24" t="str">
        <f>IF(B778="","",SUBTOTAL(3,$B$4:B778))</f>
        <v/>
      </c>
      <c r="B778" s="25"/>
      <c r="C778" s="25" t="str">
        <f t="shared" si="567"/>
        <v xml:space="preserve"> </v>
      </c>
      <c r="D778" s="25"/>
      <c r="E778" s="25"/>
      <c r="F778" s="25"/>
      <c r="G778" s="65"/>
      <c r="H778" s="25"/>
      <c r="I778" s="25"/>
      <c r="J778" s="26"/>
      <c r="K778" s="27"/>
      <c r="L778" s="28"/>
      <c r="M778" s="28"/>
      <c r="N778" s="25"/>
      <c r="O778" s="29"/>
      <c r="P778" s="29"/>
      <c r="Q778" s="25"/>
      <c r="R778" s="25"/>
      <c r="S778" s="26"/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568"/>
        <v>0</v>
      </c>
      <c r="AF778" s="32">
        <f t="shared" si="569"/>
        <v>0</v>
      </c>
      <c r="AG778" s="30"/>
      <c r="AH778" s="33"/>
      <c r="AI778" s="34">
        <f t="shared" si="570"/>
        <v>0</v>
      </c>
      <c r="AJ778" s="35"/>
      <c r="AK778" s="30"/>
      <c r="AL778" s="36">
        <f t="shared" si="571"/>
        <v>0</v>
      </c>
      <c r="AM778" s="35"/>
      <c r="AN778" s="30"/>
      <c r="AO778" s="36">
        <f t="shared" si="572"/>
        <v>0</v>
      </c>
      <c r="AP778" s="35"/>
      <c r="AQ778" s="30"/>
      <c r="AR778" s="36">
        <f t="shared" si="573"/>
        <v>0</v>
      </c>
      <c r="AS778" s="27"/>
      <c r="AT778" s="37"/>
      <c r="AU778" s="30"/>
      <c r="AV778" s="36">
        <f t="shared" si="574"/>
        <v>0</v>
      </c>
      <c r="AW778" s="35"/>
      <c r="AX778" s="30"/>
      <c r="AY778" s="32">
        <f t="shared" si="575"/>
        <v>0</v>
      </c>
      <c r="AZ778" s="30"/>
      <c r="BA778" s="63"/>
      <c r="BB778" s="71"/>
      <c r="BC778" s="71"/>
      <c r="BD778" s="71"/>
    </row>
    <row r="779" spans="1:56" x14ac:dyDescent="0.25">
      <c r="A779" s="24" t="str">
        <f>IF(B779="","",SUBTOTAL(3,$B$4:B779))</f>
        <v/>
      </c>
      <c r="B779" s="25"/>
      <c r="C779" s="25" t="str">
        <f t="shared" si="567"/>
        <v xml:space="preserve"> </v>
      </c>
      <c r="D779" s="25"/>
      <c r="E779" s="25"/>
      <c r="F779" s="25"/>
      <c r="G779" s="65"/>
      <c r="H779" s="25"/>
      <c r="I779" s="25"/>
      <c r="J779" s="26"/>
      <c r="K779" s="27"/>
      <c r="L779" s="28"/>
      <c r="M779" s="28"/>
      <c r="N779" s="25"/>
      <c r="O779" s="29"/>
      <c r="P779" s="29"/>
      <c r="Q779" s="25"/>
      <c r="R779" s="25"/>
      <c r="S779" s="26"/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568"/>
        <v>0</v>
      </c>
      <c r="AF779" s="32">
        <f t="shared" si="569"/>
        <v>0</v>
      </c>
      <c r="AG779" s="30"/>
      <c r="AH779" s="33"/>
      <c r="AI779" s="34">
        <f t="shared" si="570"/>
        <v>0</v>
      </c>
      <c r="AJ779" s="35"/>
      <c r="AK779" s="30"/>
      <c r="AL779" s="36">
        <f t="shared" si="571"/>
        <v>0</v>
      </c>
      <c r="AM779" s="35"/>
      <c r="AN779" s="30"/>
      <c r="AO779" s="36">
        <f t="shared" si="572"/>
        <v>0</v>
      </c>
      <c r="AP779" s="35"/>
      <c r="AQ779" s="30"/>
      <c r="AR779" s="36">
        <f t="shared" si="573"/>
        <v>0</v>
      </c>
      <c r="AS779" s="27"/>
      <c r="AT779" s="37"/>
      <c r="AU779" s="30"/>
      <c r="AV779" s="36">
        <f t="shared" si="574"/>
        <v>0</v>
      </c>
      <c r="AW779" s="35"/>
      <c r="AX779" s="30"/>
      <c r="AY779" s="32">
        <f t="shared" si="575"/>
        <v>0</v>
      </c>
      <c r="AZ779" s="30"/>
      <c r="BA779" s="63"/>
      <c r="BB779" s="71"/>
      <c r="BC779" s="71"/>
      <c r="BD779" s="71"/>
    </row>
    <row r="780" spans="1:56" x14ac:dyDescent="0.25">
      <c r="A780" s="24" t="str">
        <f>IF(B780="","",SUBTOTAL(3,$B$4:B780))</f>
        <v/>
      </c>
      <c r="B780" s="25"/>
      <c r="C780" s="25" t="str">
        <f t="shared" si="567"/>
        <v xml:space="preserve"> </v>
      </c>
      <c r="D780" s="25"/>
      <c r="E780" s="25"/>
      <c r="F780" s="25"/>
      <c r="G780" s="65"/>
      <c r="H780" s="25"/>
      <c r="I780" s="25"/>
      <c r="J780" s="26"/>
      <c r="K780" s="27"/>
      <c r="L780" s="28"/>
      <c r="M780" s="28"/>
      <c r="N780" s="25"/>
      <c r="O780" s="29"/>
      <c r="P780" s="29"/>
      <c r="Q780" s="25"/>
      <c r="R780" s="25"/>
      <c r="S780" s="26"/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568"/>
        <v>0</v>
      </c>
      <c r="AF780" s="32">
        <f t="shared" si="569"/>
        <v>0</v>
      </c>
      <c r="AG780" s="30"/>
      <c r="AH780" s="33"/>
      <c r="AI780" s="34">
        <f t="shared" si="570"/>
        <v>0</v>
      </c>
      <c r="AJ780" s="35"/>
      <c r="AK780" s="30"/>
      <c r="AL780" s="36">
        <f t="shared" si="571"/>
        <v>0</v>
      </c>
      <c r="AM780" s="35"/>
      <c r="AN780" s="30"/>
      <c r="AO780" s="36">
        <f t="shared" si="572"/>
        <v>0</v>
      </c>
      <c r="AP780" s="35"/>
      <c r="AQ780" s="30"/>
      <c r="AR780" s="36">
        <f t="shared" si="573"/>
        <v>0</v>
      </c>
      <c r="AS780" s="27"/>
      <c r="AT780" s="37"/>
      <c r="AU780" s="30"/>
      <c r="AV780" s="36">
        <f t="shared" si="574"/>
        <v>0</v>
      </c>
      <c r="AW780" s="35"/>
      <c r="AX780" s="30"/>
      <c r="AY780" s="32">
        <f t="shared" si="575"/>
        <v>0</v>
      </c>
      <c r="AZ780" s="30"/>
      <c r="BA780" s="63"/>
      <c r="BB780" s="71"/>
      <c r="BC780" s="71"/>
      <c r="BD780" s="71"/>
    </row>
    <row r="781" spans="1:56" x14ac:dyDescent="0.25">
      <c r="A781" s="24" t="str">
        <f>IF(B781="","",SUBTOTAL(3,$B$4:B781))</f>
        <v/>
      </c>
      <c r="B781" s="25"/>
      <c r="C781" s="25" t="str">
        <f t="shared" si="567"/>
        <v xml:space="preserve"> </v>
      </c>
      <c r="D781" s="25"/>
      <c r="E781" s="25"/>
      <c r="F781" s="25"/>
      <c r="G781" s="65"/>
      <c r="H781" s="25"/>
      <c r="I781" s="25"/>
      <c r="J781" s="26"/>
      <c r="K781" s="27"/>
      <c r="L781" s="28"/>
      <c r="M781" s="28"/>
      <c r="N781" s="25"/>
      <c r="O781" s="29"/>
      <c r="P781" s="29"/>
      <c r="Q781" s="25"/>
      <c r="R781" s="25"/>
      <c r="S781" s="26"/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568"/>
        <v>0</v>
      </c>
      <c r="AF781" s="32">
        <f t="shared" si="569"/>
        <v>0</v>
      </c>
      <c r="AG781" s="30"/>
      <c r="AH781" s="33"/>
      <c r="AI781" s="34">
        <f t="shared" si="570"/>
        <v>0</v>
      </c>
      <c r="AJ781" s="35"/>
      <c r="AK781" s="30"/>
      <c r="AL781" s="36">
        <f t="shared" si="571"/>
        <v>0</v>
      </c>
      <c r="AM781" s="35"/>
      <c r="AN781" s="30"/>
      <c r="AO781" s="36">
        <f t="shared" si="572"/>
        <v>0</v>
      </c>
      <c r="AP781" s="35"/>
      <c r="AQ781" s="30"/>
      <c r="AR781" s="36">
        <f t="shared" si="573"/>
        <v>0</v>
      </c>
      <c r="AS781" s="27"/>
      <c r="AT781" s="37"/>
      <c r="AU781" s="30"/>
      <c r="AV781" s="36">
        <f t="shared" si="574"/>
        <v>0</v>
      </c>
      <c r="AW781" s="35"/>
      <c r="AX781" s="30"/>
      <c r="AY781" s="32">
        <f t="shared" si="575"/>
        <v>0</v>
      </c>
      <c r="AZ781" s="30"/>
      <c r="BA781" s="63"/>
      <c r="BB781" s="71"/>
      <c r="BC781" s="71"/>
      <c r="BD781" s="71"/>
    </row>
    <row r="782" spans="1:56" x14ac:dyDescent="0.25">
      <c r="A782" s="24" t="str">
        <f>IF(B782="","",SUBTOTAL(3,$B$4:B782))</f>
        <v/>
      </c>
      <c r="B782" s="25"/>
      <c r="C782" s="25" t="str">
        <f t="shared" si="567"/>
        <v xml:space="preserve"> </v>
      </c>
      <c r="D782" s="25"/>
      <c r="E782" s="25"/>
      <c r="F782" s="25"/>
      <c r="G782" s="65"/>
      <c r="H782" s="25"/>
      <c r="I782" s="25"/>
      <c r="J782" s="26"/>
      <c r="K782" s="27"/>
      <c r="L782" s="28"/>
      <c r="M782" s="28"/>
      <c r="N782" s="25"/>
      <c r="O782" s="29"/>
      <c r="P782" s="29"/>
      <c r="Q782" s="25"/>
      <c r="R782" s="25"/>
      <c r="S782" s="26"/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568"/>
        <v>0</v>
      </c>
      <c r="AF782" s="32">
        <f t="shared" si="569"/>
        <v>0</v>
      </c>
      <c r="AG782" s="30"/>
      <c r="AH782" s="33"/>
      <c r="AI782" s="34">
        <f t="shared" si="570"/>
        <v>0</v>
      </c>
      <c r="AJ782" s="35"/>
      <c r="AK782" s="30"/>
      <c r="AL782" s="36">
        <f t="shared" si="571"/>
        <v>0</v>
      </c>
      <c r="AM782" s="35"/>
      <c r="AN782" s="30"/>
      <c r="AO782" s="36">
        <f t="shared" si="572"/>
        <v>0</v>
      </c>
      <c r="AP782" s="35"/>
      <c r="AQ782" s="30"/>
      <c r="AR782" s="36">
        <f t="shared" si="573"/>
        <v>0</v>
      </c>
      <c r="AS782" s="27"/>
      <c r="AT782" s="37"/>
      <c r="AU782" s="30"/>
      <c r="AV782" s="36">
        <f t="shared" si="574"/>
        <v>0</v>
      </c>
      <c r="AW782" s="35"/>
      <c r="AX782" s="30"/>
      <c r="AY782" s="32">
        <f t="shared" si="575"/>
        <v>0</v>
      </c>
      <c r="AZ782" s="30"/>
      <c r="BA782" s="63"/>
      <c r="BB782" s="71"/>
      <c r="BC782" s="71"/>
      <c r="BD782" s="71"/>
    </row>
    <row r="783" spans="1:56" x14ac:dyDescent="0.25">
      <c r="A783" s="24" t="str">
        <f>IF(B783="","",SUBTOTAL(3,$B$4:B783))</f>
        <v/>
      </c>
      <c r="B783" s="25"/>
      <c r="C783" s="25" t="str">
        <f t="shared" ref="C783:C846" si="576">D783&amp;" "&amp;E783</f>
        <v xml:space="preserve"> </v>
      </c>
      <c r="D783" s="25"/>
      <c r="E783" s="25"/>
      <c r="F783" s="25"/>
      <c r="G783" s="65"/>
      <c r="H783" s="25"/>
      <c r="I783" s="25"/>
      <c r="J783" s="26"/>
      <c r="K783" s="27"/>
      <c r="L783" s="28"/>
      <c r="M783" s="28"/>
      <c r="N783" s="25"/>
      <c r="O783" s="29"/>
      <c r="P783" s="29"/>
      <c r="Q783" s="25"/>
      <c r="R783" s="25"/>
      <c r="S783" s="26"/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ref="AE783:AE846" si="577">+AL783*0.5+AO783*0.4+AV783*0.1</f>
        <v>0</v>
      </c>
      <c r="AF783" s="32">
        <f t="shared" ref="AF783:AF846" si="578">+P783-AE783</f>
        <v>0</v>
      </c>
      <c r="AG783" s="30"/>
      <c r="AH783" s="33"/>
      <c r="AI783" s="34">
        <f t="shared" ref="AI783:AI846" si="579">+AH783*P783</f>
        <v>0</v>
      </c>
      <c r="AJ783" s="35"/>
      <c r="AK783" s="30"/>
      <c r="AL783" s="36">
        <f t="shared" ref="AL783:AL846" si="580">IFERROR(AK783*$P783/$N783,0)</f>
        <v>0</v>
      </c>
      <c r="AM783" s="35"/>
      <c r="AN783" s="30"/>
      <c r="AO783" s="36">
        <f t="shared" ref="AO783:AO846" si="581">IFERROR(AN783*$P783/$N783,0)</f>
        <v>0</v>
      </c>
      <c r="AP783" s="35"/>
      <c r="AQ783" s="30"/>
      <c r="AR783" s="36">
        <f t="shared" ref="AR783:AR846" si="582">IFERROR(AQ783*$P783/$N783,0)</f>
        <v>0</v>
      </c>
      <c r="AS783" s="27"/>
      <c r="AT783" s="37"/>
      <c r="AU783" s="30"/>
      <c r="AV783" s="36">
        <f t="shared" ref="AV783:AV846" si="583">IFERROR(AU783*$P783/$N783,0)</f>
        <v>0</v>
      </c>
      <c r="AW783" s="35"/>
      <c r="AX783" s="30"/>
      <c r="AY783" s="32">
        <f t="shared" ref="AY783:AY846" si="584">IFERROR(AX783*$P783/$N783,0)</f>
        <v>0</v>
      </c>
      <c r="AZ783" s="30"/>
      <c r="BA783" s="63"/>
      <c r="BB783" s="71"/>
      <c r="BC783" s="71"/>
      <c r="BD783" s="71"/>
    </row>
    <row r="784" spans="1:56" x14ac:dyDescent="0.25">
      <c r="A784" s="24" t="str">
        <f>IF(B784="","",SUBTOTAL(3,$B$4:B784))</f>
        <v/>
      </c>
      <c r="B784" s="25"/>
      <c r="C784" s="25" t="str">
        <f t="shared" si="576"/>
        <v xml:space="preserve"> </v>
      </c>
      <c r="D784" s="25"/>
      <c r="E784" s="25"/>
      <c r="F784" s="25"/>
      <c r="G784" s="65"/>
      <c r="H784" s="25"/>
      <c r="I784" s="25"/>
      <c r="J784" s="26"/>
      <c r="K784" s="27"/>
      <c r="L784" s="28"/>
      <c r="M784" s="28"/>
      <c r="N784" s="25"/>
      <c r="O784" s="29"/>
      <c r="P784" s="29"/>
      <c r="Q784" s="25"/>
      <c r="R784" s="25"/>
      <c r="S784" s="26"/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577"/>
        <v>0</v>
      </c>
      <c r="AF784" s="32">
        <f t="shared" si="578"/>
        <v>0</v>
      </c>
      <c r="AG784" s="30"/>
      <c r="AH784" s="33"/>
      <c r="AI784" s="34">
        <f t="shared" si="579"/>
        <v>0</v>
      </c>
      <c r="AJ784" s="35"/>
      <c r="AK784" s="30"/>
      <c r="AL784" s="36">
        <f t="shared" si="580"/>
        <v>0</v>
      </c>
      <c r="AM784" s="35"/>
      <c r="AN784" s="30"/>
      <c r="AO784" s="36">
        <f t="shared" si="581"/>
        <v>0</v>
      </c>
      <c r="AP784" s="35"/>
      <c r="AQ784" s="30"/>
      <c r="AR784" s="36">
        <f t="shared" si="582"/>
        <v>0</v>
      </c>
      <c r="AS784" s="27"/>
      <c r="AT784" s="37"/>
      <c r="AU784" s="30"/>
      <c r="AV784" s="36">
        <f t="shared" si="583"/>
        <v>0</v>
      </c>
      <c r="AW784" s="35"/>
      <c r="AX784" s="30"/>
      <c r="AY784" s="32">
        <f t="shared" si="584"/>
        <v>0</v>
      </c>
      <c r="AZ784" s="30"/>
      <c r="BA784" s="63"/>
      <c r="BB784" s="71"/>
      <c r="BC784" s="71"/>
      <c r="BD784" s="71"/>
    </row>
    <row r="785" spans="1:56" x14ac:dyDescent="0.25">
      <c r="A785" s="24" t="str">
        <f>IF(B785="","",SUBTOTAL(3,$B$4:B785))</f>
        <v/>
      </c>
      <c r="B785" s="25"/>
      <c r="C785" s="25" t="str">
        <f t="shared" si="576"/>
        <v xml:space="preserve"> </v>
      </c>
      <c r="D785" s="25"/>
      <c r="E785" s="25"/>
      <c r="F785" s="25"/>
      <c r="G785" s="65"/>
      <c r="H785" s="25"/>
      <c r="I785" s="25"/>
      <c r="J785" s="26"/>
      <c r="K785" s="27"/>
      <c r="L785" s="28"/>
      <c r="M785" s="28"/>
      <c r="N785" s="25"/>
      <c r="O785" s="29"/>
      <c r="P785" s="29"/>
      <c r="Q785" s="25"/>
      <c r="R785" s="25"/>
      <c r="S785" s="26"/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si="577"/>
        <v>0</v>
      </c>
      <c r="AF785" s="32">
        <f t="shared" si="578"/>
        <v>0</v>
      </c>
      <c r="AG785" s="30"/>
      <c r="AH785" s="33"/>
      <c r="AI785" s="34">
        <f t="shared" si="579"/>
        <v>0</v>
      </c>
      <c r="AJ785" s="35"/>
      <c r="AK785" s="30"/>
      <c r="AL785" s="36">
        <f t="shared" si="580"/>
        <v>0</v>
      </c>
      <c r="AM785" s="35"/>
      <c r="AN785" s="30"/>
      <c r="AO785" s="36">
        <f t="shared" si="581"/>
        <v>0</v>
      </c>
      <c r="AP785" s="35"/>
      <c r="AQ785" s="30"/>
      <c r="AR785" s="36">
        <f t="shared" si="582"/>
        <v>0</v>
      </c>
      <c r="AS785" s="27"/>
      <c r="AT785" s="37"/>
      <c r="AU785" s="30"/>
      <c r="AV785" s="36">
        <f t="shared" si="583"/>
        <v>0</v>
      </c>
      <c r="AW785" s="35"/>
      <c r="AX785" s="30"/>
      <c r="AY785" s="32">
        <f t="shared" si="584"/>
        <v>0</v>
      </c>
      <c r="AZ785" s="30"/>
      <c r="BA785" s="63"/>
      <c r="BB785" s="71"/>
      <c r="BC785" s="71"/>
      <c r="BD785" s="71"/>
    </row>
    <row r="786" spans="1:56" x14ac:dyDescent="0.25">
      <c r="A786" s="24" t="str">
        <f>IF(B786="","",SUBTOTAL(3,$B$4:B786))</f>
        <v/>
      </c>
      <c r="B786" s="25"/>
      <c r="C786" s="25" t="str">
        <f t="shared" si="576"/>
        <v xml:space="preserve"> </v>
      </c>
      <c r="D786" s="25"/>
      <c r="E786" s="25"/>
      <c r="F786" s="25"/>
      <c r="G786" s="65"/>
      <c r="H786" s="25"/>
      <c r="I786" s="25"/>
      <c r="J786" s="26"/>
      <c r="K786" s="27"/>
      <c r="L786" s="28"/>
      <c r="M786" s="28"/>
      <c r="N786" s="25"/>
      <c r="O786" s="29"/>
      <c r="P786" s="29"/>
      <c r="Q786" s="25"/>
      <c r="R786" s="25"/>
      <c r="S786" s="26"/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577"/>
        <v>0</v>
      </c>
      <c r="AF786" s="32">
        <f t="shared" si="578"/>
        <v>0</v>
      </c>
      <c r="AG786" s="30"/>
      <c r="AH786" s="33"/>
      <c r="AI786" s="34">
        <f t="shared" si="579"/>
        <v>0</v>
      </c>
      <c r="AJ786" s="35"/>
      <c r="AK786" s="30"/>
      <c r="AL786" s="36">
        <f t="shared" si="580"/>
        <v>0</v>
      </c>
      <c r="AM786" s="35"/>
      <c r="AN786" s="30"/>
      <c r="AO786" s="36">
        <f t="shared" si="581"/>
        <v>0</v>
      </c>
      <c r="AP786" s="35"/>
      <c r="AQ786" s="30"/>
      <c r="AR786" s="36">
        <f t="shared" si="582"/>
        <v>0</v>
      </c>
      <c r="AS786" s="27"/>
      <c r="AT786" s="37"/>
      <c r="AU786" s="30"/>
      <c r="AV786" s="36">
        <f t="shared" si="583"/>
        <v>0</v>
      </c>
      <c r="AW786" s="35"/>
      <c r="AX786" s="30"/>
      <c r="AY786" s="32">
        <f t="shared" si="584"/>
        <v>0</v>
      </c>
      <c r="AZ786" s="30"/>
      <c r="BA786" s="63"/>
      <c r="BB786" s="71"/>
      <c r="BC786" s="71"/>
      <c r="BD786" s="71"/>
    </row>
    <row r="787" spans="1:56" x14ac:dyDescent="0.25">
      <c r="A787" s="24" t="str">
        <f>IF(B787="","",SUBTOTAL(3,$B$4:B787))</f>
        <v/>
      </c>
      <c r="B787" s="25"/>
      <c r="C787" s="25" t="str">
        <f t="shared" si="576"/>
        <v xml:space="preserve"> </v>
      </c>
      <c r="D787" s="25"/>
      <c r="E787" s="25"/>
      <c r="F787" s="25"/>
      <c r="G787" s="65"/>
      <c r="H787" s="25"/>
      <c r="I787" s="25"/>
      <c r="J787" s="26"/>
      <c r="K787" s="27"/>
      <c r="L787" s="28"/>
      <c r="M787" s="28"/>
      <c r="N787" s="25"/>
      <c r="O787" s="29"/>
      <c r="P787" s="29"/>
      <c r="Q787" s="25"/>
      <c r="R787" s="25"/>
      <c r="S787" s="26"/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577"/>
        <v>0</v>
      </c>
      <c r="AF787" s="32">
        <f t="shared" si="578"/>
        <v>0</v>
      </c>
      <c r="AG787" s="30"/>
      <c r="AH787" s="33"/>
      <c r="AI787" s="34">
        <f t="shared" si="579"/>
        <v>0</v>
      </c>
      <c r="AJ787" s="35"/>
      <c r="AK787" s="30"/>
      <c r="AL787" s="36">
        <f t="shared" si="580"/>
        <v>0</v>
      </c>
      <c r="AM787" s="35"/>
      <c r="AN787" s="30"/>
      <c r="AO787" s="36">
        <f t="shared" si="581"/>
        <v>0</v>
      </c>
      <c r="AP787" s="35"/>
      <c r="AQ787" s="30"/>
      <c r="AR787" s="36">
        <f t="shared" si="582"/>
        <v>0</v>
      </c>
      <c r="AS787" s="27"/>
      <c r="AT787" s="37"/>
      <c r="AU787" s="30"/>
      <c r="AV787" s="36">
        <f t="shared" si="583"/>
        <v>0</v>
      </c>
      <c r="AW787" s="35"/>
      <c r="AX787" s="30"/>
      <c r="AY787" s="32">
        <f t="shared" si="584"/>
        <v>0</v>
      </c>
      <c r="AZ787" s="30"/>
      <c r="BA787" s="63"/>
      <c r="BB787" s="71"/>
      <c r="BC787" s="71"/>
      <c r="BD787" s="71"/>
    </row>
    <row r="788" spans="1:56" x14ac:dyDescent="0.25">
      <c r="A788" s="24" t="str">
        <f>IF(B788="","",SUBTOTAL(3,$B$4:B788))</f>
        <v/>
      </c>
      <c r="B788" s="25"/>
      <c r="C788" s="25" t="str">
        <f t="shared" si="576"/>
        <v xml:space="preserve"> </v>
      </c>
      <c r="D788" s="25"/>
      <c r="E788" s="25"/>
      <c r="F788" s="25"/>
      <c r="G788" s="65"/>
      <c r="H788" s="25"/>
      <c r="I788" s="25"/>
      <c r="J788" s="26"/>
      <c r="K788" s="27"/>
      <c r="L788" s="28"/>
      <c r="M788" s="28"/>
      <c r="N788" s="25"/>
      <c r="O788" s="29"/>
      <c r="P788" s="29"/>
      <c r="Q788" s="25"/>
      <c r="R788" s="25"/>
      <c r="S788" s="26"/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577"/>
        <v>0</v>
      </c>
      <c r="AF788" s="32">
        <f t="shared" si="578"/>
        <v>0</v>
      </c>
      <c r="AG788" s="30"/>
      <c r="AH788" s="33"/>
      <c r="AI788" s="34">
        <f t="shared" si="579"/>
        <v>0</v>
      </c>
      <c r="AJ788" s="35"/>
      <c r="AK788" s="30"/>
      <c r="AL788" s="36">
        <f t="shared" si="580"/>
        <v>0</v>
      </c>
      <c r="AM788" s="35"/>
      <c r="AN788" s="30"/>
      <c r="AO788" s="36">
        <f t="shared" si="581"/>
        <v>0</v>
      </c>
      <c r="AP788" s="35"/>
      <c r="AQ788" s="30"/>
      <c r="AR788" s="36">
        <f t="shared" si="582"/>
        <v>0</v>
      </c>
      <c r="AS788" s="27"/>
      <c r="AT788" s="37"/>
      <c r="AU788" s="30"/>
      <c r="AV788" s="36">
        <f t="shared" si="583"/>
        <v>0</v>
      </c>
      <c r="AW788" s="35"/>
      <c r="AX788" s="30"/>
      <c r="AY788" s="32">
        <f t="shared" si="584"/>
        <v>0</v>
      </c>
      <c r="AZ788" s="30"/>
      <c r="BA788" s="63"/>
      <c r="BB788" s="71"/>
      <c r="BC788" s="71"/>
      <c r="BD788" s="71"/>
    </row>
    <row r="789" spans="1:56" x14ac:dyDescent="0.25">
      <c r="A789" s="24" t="str">
        <f>IF(B789="","",SUBTOTAL(3,$B$4:B789))</f>
        <v/>
      </c>
      <c r="B789" s="25"/>
      <c r="C789" s="25" t="str">
        <f t="shared" si="576"/>
        <v xml:space="preserve"> </v>
      </c>
      <c r="D789" s="25"/>
      <c r="E789" s="25"/>
      <c r="F789" s="25"/>
      <c r="G789" s="65"/>
      <c r="H789" s="25"/>
      <c r="I789" s="25"/>
      <c r="J789" s="26"/>
      <c r="K789" s="27"/>
      <c r="L789" s="28"/>
      <c r="M789" s="28"/>
      <c r="N789" s="25"/>
      <c r="O789" s="29"/>
      <c r="P789" s="29"/>
      <c r="Q789" s="25"/>
      <c r="R789" s="25"/>
      <c r="S789" s="26"/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577"/>
        <v>0</v>
      </c>
      <c r="AF789" s="32">
        <f t="shared" si="578"/>
        <v>0</v>
      </c>
      <c r="AG789" s="30"/>
      <c r="AH789" s="33"/>
      <c r="AI789" s="34">
        <f t="shared" si="579"/>
        <v>0</v>
      </c>
      <c r="AJ789" s="35"/>
      <c r="AK789" s="30"/>
      <c r="AL789" s="36">
        <f t="shared" si="580"/>
        <v>0</v>
      </c>
      <c r="AM789" s="35"/>
      <c r="AN789" s="30"/>
      <c r="AO789" s="36">
        <f t="shared" si="581"/>
        <v>0</v>
      </c>
      <c r="AP789" s="35"/>
      <c r="AQ789" s="30"/>
      <c r="AR789" s="36">
        <f t="shared" si="582"/>
        <v>0</v>
      </c>
      <c r="AS789" s="27"/>
      <c r="AT789" s="37"/>
      <c r="AU789" s="30"/>
      <c r="AV789" s="36">
        <f t="shared" si="583"/>
        <v>0</v>
      </c>
      <c r="AW789" s="35"/>
      <c r="AX789" s="30"/>
      <c r="AY789" s="32">
        <f t="shared" si="584"/>
        <v>0</v>
      </c>
      <c r="AZ789" s="30"/>
      <c r="BA789" s="63"/>
      <c r="BB789" s="71"/>
      <c r="BC789" s="71"/>
      <c r="BD789" s="71"/>
    </row>
    <row r="790" spans="1:56" x14ac:dyDescent="0.25">
      <c r="A790" s="24" t="str">
        <f>IF(B790="","",SUBTOTAL(3,$B$4:B790))</f>
        <v/>
      </c>
      <c r="B790" s="25"/>
      <c r="C790" s="25" t="str">
        <f t="shared" si="576"/>
        <v xml:space="preserve"> </v>
      </c>
      <c r="D790" s="25"/>
      <c r="E790" s="25"/>
      <c r="F790" s="25"/>
      <c r="G790" s="65"/>
      <c r="H790" s="25"/>
      <c r="I790" s="25"/>
      <c r="J790" s="26"/>
      <c r="K790" s="27"/>
      <c r="L790" s="28"/>
      <c r="M790" s="28"/>
      <c r="N790" s="25"/>
      <c r="O790" s="29"/>
      <c r="P790" s="29"/>
      <c r="Q790" s="25"/>
      <c r="R790" s="25"/>
      <c r="S790" s="26"/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577"/>
        <v>0</v>
      </c>
      <c r="AF790" s="32">
        <f t="shared" si="578"/>
        <v>0</v>
      </c>
      <c r="AG790" s="30"/>
      <c r="AH790" s="33"/>
      <c r="AI790" s="34">
        <f t="shared" si="579"/>
        <v>0</v>
      </c>
      <c r="AJ790" s="35"/>
      <c r="AK790" s="30"/>
      <c r="AL790" s="36">
        <f t="shared" si="580"/>
        <v>0</v>
      </c>
      <c r="AM790" s="35"/>
      <c r="AN790" s="30"/>
      <c r="AO790" s="36">
        <f t="shared" si="581"/>
        <v>0</v>
      </c>
      <c r="AP790" s="35"/>
      <c r="AQ790" s="30"/>
      <c r="AR790" s="36">
        <f t="shared" si="582"/>
        <v>0</v>
      </c>
      <c r="AS790" s="27"/>
      <c r="AT790" s="37"/>
      <c r="AU790" s="30"/>
      <c r="AV790" s="36">
        <f t="shared" si="583"/>
        <v>0</v>
      </c>
      <c r="AW790" s="35"/>
      <c r="AX790" s="30"/>
      <c r="AY790" s="32">
        <f t="shared" si="584"/>
        <v>0</v>
      </c>
      <c r="AZ790" s="30"/>
      <c r="BA790" s="63"/>
      <c r="BB790" s="71"/>
      <c r="BC790" s="71"/>
      <c r="BD790" s="71"/>
    </row>
    <row r="791" spans="1:56" x14ac:dyDescent="0.25">
      <c r="A791" s="24" t="str">
        <f>IF(B791="","",SUBTOTAL(3,$B$4:B791))</f>
        <v/>
      </c>
      <c r="B791" s="25"/>
      <c r="C791" s="25" t="str">
        <f t="shared" si="576"/>
        <v xml:space="preserve"> </v>
      </c>
      <c r="D791" s="25"/>
      <c r="E791" s="25"/>
      <c r="F791" s="25"/>
      <c r="G791" s="65"/>
      <c r="H791" s="25"/>
      <c r="I791" s="25"/>
      <c r="J791" s="26"/>
      <c r="K791" s="27"/>
      <c r="L791" s="28"/>
      <c r="M791" s="28"/>
      <c r="N791" s="25"/>
      <c r="O791" s="29"/>
      <c r="P791" s="29"/>
      <c r="Q791" s="25"/>
      <c r="R791" s="25"/>
      <c r="S791" s="26"/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577"/>
        <v>0</v>
      </c>
      <c r="AF791" s="32">
        <f t="shared" si="578"/>
        <v>0</v>
      </c>
      <c r="AG791" s="30"/>
      <c r="AH791" s="33"/>
      <c r="AI791" s="34">
        <f t="shared" si="579"/>
        <v>0</v>
      </c>
      <c r="AJ791" s="35"/>
      <c r="AK791" s="30"/>
      <c r="AL791" s="36">
        <f t="shared" si="580"/>
        <v>0</v>
      </c>
      <c r="AM791" s="35"/>
      <c r="AN791" s="30"/>
      <c r="AO791" s="36">
        <f t="shared" si="581"/>
        <v>0</v>
      </c>
      <c r="AP791" s="35"/>
      <c r="AQ791" s="30"/>
      <c r="AR791" s="36">
        <f t="shared" si="582"/>
        <v>0</v>
      </c>
      <c r="AS791" s="27"/>
      <c r="AT791" s="37"/>
      <c r="AU791" s="30"/>
      <c r="AV791" s="36">
        <f t="shared" si="583"/>
        <v>0</v>
      </c>
      <c r="AW791" s="35"/>
      <c r="AX791" s="30"/>
      <c r="AY791" s="32">
        <f t="shared" si="584"/>
        <v>0</v>
      </c>
      <c r="AZ791" s="30"/>
      <c r="BA791" s="63"/>
      <c r="BB791" s="71"/>
      <c r="BC791" s="71"/>
      <c r="BD791" s="71"/>
    </row>
    <row r="792" spans="1:56" x14ac:dyDescent="0.25">
      <c r="A792" s="24" t="str">
        <f>IF(B792="","",SUBTOTAL(3,$B$4:B792))</f>
        <v/>
      </c>
      <c r="B792" s="25"/>
      <c r="C792" s="25" t="str">
        <f t="shared" si="576"/>
        <v xml:space="preserve"> </v>
      </c>
      <c r="D792" s="25"/>
      <c r="E792" s="25"/>
      <c r="F792" s="25"/>
      <c r="G792" s="65"/>
      <c r="H792" s="25"/>
      <c r="I792" s="25"/>
      <c r="J792" s="26"/>
      <c r="K792" s="27"/>
      <c r="L792" s="28"/>
      <c r="M792" s="28"/>
      <c r="N792" s="25"/>
      <c r="O792" s="29"/>
      <c r="P792" s="29"/>
      <c r="Q792" s="25"/>
      <c r="R792" s="25"/>
      <c r="S792" s="26"/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577"/>
        <v>0</v>
      </c>
      <c r="AF792" s="32">
        <f t="shared" si="578"/>
        <v>0</v>
      </c>
      <c r="AG792" s="30"/>
      <c r="AH792" s="33"/>
      <c r="AI792" s="34">
        <f t="shared" si="579"/>
        <v>0</v>
      </c>
      <c r="AJ792" s="35"/>
      <c r="AK792" s="30"/>
      <c r="AL792" s="36">
        <f t="shared" si="580"/>
        <v>0</v>
      </c>
      <c r="AM792" s="35"/>
      <c r="AN792" s="30"/>
      <c r="AO792" s="36">
        <f t="shared" si="581"/>
        <v>0</v>
      </c>
      <c r="AP792" s="35"/>
      <c r="AQ792" s="30"/>
      <c r="AR792" s="36">
        <f t="shared" si="582"/>
        <v>0</v>
      </c>
      <c r="AS792" s="27"/>
      <c r="AT792" s="37"/>
      <c r="AU792" s="30"/>
      <c r="AV792" s="36">
        <f t="shared" si="583"/>
        <v>0</v>
      </c>
      <c r="AW792" s="35"/>
      <c r="AX792" s="30"/>
      <c r="AY792" s="32">
        <f t="shared" si="584"/>
        <v>0</v>
      </c>
      <c r="AZ792" s="30"/>
      <c r="BA792" s="63"/>
      <c r="BB792" s="71"/>
      <c r="BC792" s="71"/>
      <c r="BD792" s="71"/>
    </row>
    <row r="793" spans="1:56" x14ac:dyDescent="0.25">
      <c r="A793" s="24" t="str">
        <f>IF(B793="","",SUBTOTAL(3,$B$4:B793))</f>
        <v/>
      </c>
      <c r="B793" s="25"/>
      <c r="C793" s="25" t="str">
        <f t="shared" si="576"/>
        <v xml:space="preserve"> </v>
      </c>
      <c r="D793" s="25"/>
      <c r="E793" s="25"/>
      <c r="F793" s="25"/>
      <c r="G793" s="65"/>
      <c r="H793" s="25"/>
      <c r="I793" s="25"/>
      <c r="J793" s="26"/>
      <c r="K793" s="27"/>
      <c r="L793" s="28"/>
      <c r="M793" s="28"/>
      <c r="N793" s="25"/>
      <c r="O793" s="29"/>
      <c r="P793" s="29"/>
      <c r="Q793" s="25"/>
      <c r="R793" s="25"/>
      <c r="S793" s="26"/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577"/>
        <v>0</v>
      </c>
      <c r="AF793" s="32">
        <f t="shared" si="578"/>
        <v>0</v>
      </c>
      <c r="AG793" s="30"/>
      <c r="AH793" s="33"/>
      <c r="AI793" s="34">
        <f t="shared" si="579"/>
        <v>0</v>
      </c>
      <c r="AJ793" s="35"/>
      <c r="AK793" s="30"/>
      <c r="AL793" s="36">
        <f t="shared" si="580"/>
        <v>0</v>
      </c>
      <c r="AM793" s="35"/>
      <c r="AN793" s="30"/>
      <c r="AO793" s="36">
        <f t="shared" si="581"/>
        <v>0</v>
      </c>
      <c r="AP793" s="35"/>
      <c r="AQ793" s="30"/>
      <c r="AR793" s="36">
        <f t="shared" si="582"/>
        <v>0</v>
      </c>
      <c r="AS793" s="27"/>
      <c r="AT793" s="37"/>
      <c r="AU793" s="30"/>
      <c r="AV793" s="36">
        <f t="shared" si="583"/>
        <v>0</v>
      </c>
      <c r="AW793" s="35"/>
      <c r="AX793" s="30"/>
      <c r="AY793" s="32">
        <f t="shared" si="584"/>
        <v>0</v>
      </c>
      <c r="AZ793" s="30"/>
      <c r="BA793" s="63"/>
      <c r="BB793" s="71"/>
      <c r="BC793" s="71"/>
      <c r="BD793" s="71"/>
    </row>
    <row r="794" spans="1:56" x14ac:dyDescent="0.25">
      <c r="A794" s="24" t="str">
        <f>IF(B794="","",SUBTOTAL(3,$B$4:B794))</f>
        <v/>
      </c>
      <c r="B794" s="25"/>
      <c r="C794" s="25" t="str">
        <f t="shared" si="576"/>
        <v xml:space="preserve"> </v>
      </c>
      <c r="D794" s="25"/>
      <c r="E794" s="25"/>
      <c r="F794" s="25"/>
      <c r="G794" s="65"/>
      <c r="H794" s="25"/>
      <c r="I794" s="25"/>
      <c r="J794" s="26"/>
      <c r="K794" s="27"/>
      <c r="L794" s="28"/>
      <c r="M794" s="28"/>
      <c r="N794" s="25"/>
      <c r="O794" s="29"/>
      <c r="P794" s="29"/>
      <c r="Q794" s="25"/>
      <c r="R794" s="25"/>
      <c r="S794" s="26"/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577"/>
        <v>0</v>
      </c>
      <c r="AF794" s="32">
        <f t="shared" si="578"/>
        <v>0</v>
      </c>
      <c r="AG794" s="30"/>
      <c r="AH794" s="33"/>
      <c r="AI794" s="34">
        <f t="shared" si="579"/>
        <v>0</v>
      </c>
      <c r="AJ794" s="35"/>
      <c r="AK794" s="30"/>
      <c r="AL794" s="36">
        <f t="shared" si="580"/>
        <v>0</v>
      </c>
      <c r="AM794" s="35"/>
      <c r="AN794" s="30"/>
      <c r="AO794" s="36">
        <f t="shared" si="581"/>
        <v>0</v>
      </c>
      <c r="AP794" s="35"/>
      <c r="AQ794" s="30"/>
      <c r="AR794" s="36">
        <f t="shared" si="582"/>
        <v>0</v>
      </c>
      <c r="AS794" s="27"/>
      <c r="AT794" s="37"/>
      <c r="AU794" s="30"/>
      <c r="AV794" s="36">
        <f t="shared" si="583"/>
        <v>0</v>
      </c>
      <c r="AW794" s="35"/>
      <c r="AX794" s="30"/>
      <c r="AY794" s="32">
        <f t="shared" si="584"/>
        <v>0</v>
      </c>
      <c r="AZ794" s="30"/>
      <c r="BA794" s="63"/>
      <c r="BB794" s="71"/>
      <c r="BC794" s="71"/>
      <c r="BD794" s="71"/>
    </row>
    <row r="795" spans="1:56" x14ac:dyDescent="0.25">
      <c r="A795" s="24" t="str">
        <f>IF(B795="","",SUBTOTAL(3,$B$4:B795))</f>
        <v/>
      </c>
      <c r="B795" s="25"/>
      <c r="C795" s="25" t="str">
        <f t="shared" si="576"/>
        <v xml:space="preserve"> </v>
      </c>
      <c r="D795" s="25"/>
      <c r="E795" s="25"/>
      <c r="F795" s="25"/>
      <c r="G795" s="65"/>
      <c r="H795" s="25"/>
      <c r="I795" s="25"/>
      <c r="J795" s="26"/>
      <c r="K795" s="27"/>
      <c r="L795" s="28"/>
      <c r="M795" s="28"/>
      <c r="N795" s="25"/>
      <c r="O795" s="29"/>
      <c r="P795" s="29"/>
      <c r="Q795" s="25"/>
      <c r="R795" s="25"/>
      <c r="S795" s="26"/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577"/>
        <v>0</v>
      </c>
      <c r="AF795" s="32">
        <f t="shared" si="578"/>
        <v>0</v>
      </c>
      <c r="AG795" s="30"/>
      <c r="AH795" s="33"/>
      <c r="AI795" s="34">
        <f t="shared" si="579"/>
        <v>0</v>
      </c>
      <c r="AJ795" s="35"/>
      <c r="AK795" s="30"/>
      <c r="AL795" s="36">
        <f t="shared" si="580"/>
        <v>0</v>
      </c>
      <c r="AM795" s="35"/>
      <c r="AN795" s="30"/>
      <c r="AO795" s="36">
        <f t="shared" si="581"/>
        <v>0</v>
      </c>
      <c r="AP795" s="35"/>
      <c r="AQ795" s="30"/>
      <c r="AR795" s="36">
        <f t="shared" si="582"/>
        <v>0</v>
      </c>
      <c r="AS795" s="27"/>
      <c r="AT795" s="37"/>
      <c r="AU795" s="30"/>
      <c r="AV795" s="36">
        <f t="shared" si="583"/>
        <v>0</v>
      </c>
      <c r="AW795" s="35"/>
      <c r="AX795" s="30"/>
      <c r="AY795" s="32">
        <f t="shared" si="584"/>
        <v>0</v>
      </c>
      <c r="AZ795" s="30"/>
      <c r="BA795" s="63"/>
      <c r="BB795" s="71"/>
      <c r="BC795" s="71"/>
      <c r="BD795" s="71"/>
    </row>
    <row r="796" spans="1:56" x14ac:dyDescent="0.25">
      <c r="A796" s="24" t="str">
        <f>IF(B796="","",SUBTOTAL(3,$B$4:B796))</f>
        <v/>
      </c>
      <c r="B796" s="25"/>
      <c r="C796" s="25" t="str">
        <f t="shared" si="576"/>
        <v xml:space="preserve"> </v>
      </c>
      <c r="D796" s="25"/>
      <c r="E796" s="25"/>
      <c r="F796" s="25"/>
      <c r="G796" s="65"/>
      <c r="H796" s="25"/>
      <c r="I796" s="25"/>
      <c r="J796" s="26"/>
      <c r="K796" s="27"/>
      <c r="L796" s="28"/>
      <c r="M796" s="28"/>
      <c r="N796" s="25"/>
      <c r="O796" s="29"/>
      <c r="P796" s="29"/>
      <c r="Q796" s="25"/>
      <c r="R796" s="25"/>
      <c r="S796" s="26"/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577"/>
        <v>0</v>
      </c>
      <c r="AF796" s="32">
        <f t="shared" si="578"/>
        <v>0</v>
      </c>
      <c r="AG796" s="30"/>
      <c r="AH796" s="33"/>
      <c r="AI796" s="34">
        <f t="shared" si="579"/>
        <v>0</v>
      </c>
      <c r="AJ796" s="35"/>
      <c r="AK796" s="30"/>
      <c r="AL796" s="36">
        <f t="shared" si="580"/>
        <v>0</v>
      </c>
      <c r="AM796" s="35"/>
      <c r="AN796" s="30"/>
      <c r="AO796" s="36">
        <f t="shared" si="581"/>
        <v>0</v>
      </c>
      <c r="AP796" s="35"/>
      <c r="AQ796" s="30"/>
      <c r="AR796" s="36">
        <f t="shared" si="582"/>
        <v>0</v>
      </c>
      <c r="AS796" s="27"/>
      <c r="AT796" s="37"/>
      <c r="AU796" s="30"/>
      <c r="AV796" s="36">
        <f t="shared" si="583"/>
        <v>0</v>
      </c>
      <c r="AW796" s="35"/>
      <c r="AX796" s="30"/>
      <c r="AY796" s="32">
        <f t="shared" si="584"/>
        <v>0</v>
      </c>
      <c r="AZ796" s="30"/>
      <c r="BA796" s="63"/>
      <c r="BB796" s="71"/>
      <c r="BC796" s="71"/>
      <c r="BD796" s="71"/>
    </row>
    <row r="797" spans="1:56" x14ac:dyDescent="0.25">
      <c r="A797" s="24" t="str">
        <f>IF(B797="","",SUBTOTAL(3,$B$4:B797))</f>
        <v/>
      </c>
      <c r="B797" s="25"/>
      <c r="C797" s="25" t="str">
        <f t="shared" si="576"/>
        <v xml:space="preserve"> </v>
      </c>
      <c r="D797" s="25"/>
      <c r="E797" s="25"/>
      <c r="F797" s="25"/>
      <c r="G797" s="65"/>
      <c r="H797" s="25"/>
      <c r="I797" s="25"/>
      <c r="J797" s="26"/>
      <c r="K797" s="27"/>
      <c r="L797" s="28"/>
      <c r="M797" s="28"/>
      <c r="N797" s="25"/>
      <c r="O797" s="29"/>
      <c r="P797" s="29"/>
      <c r="Q797" s="25"/>
      <c r="R797" s="25"/>
      <c r="S797" s="26"/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577"/>
        <v>0</v>
      </c>
      <c r="AF797" s="32">
        <f t="shared" si="578"/>
        <v>0</v>
      </c>
      <c r="AG797" s="30"/>
      <c r="AH797" s="33"/>
      <c r="AI797" s="34">
        <f t="shared" si="579"/>
        <v>0</v>
      </c>
      <c r="AJ797" s="35"/>
      <c r="AK797" s="30"/>
      <c r="AL797" s="36">
        <f t="shared" si="580"/>
        <v>0</v>
      </c>
      <c r="AM797" s="35"/>
      <c r="AN797" s="30"/>
      <c r="AO797" s="36">
        <f t="shared" si="581"/>
        <v>0</v>
      </c>
      <c r="AP797" s="35"/>
      <c r="AQ797" s="30"/>
      <c r="AR797" s="36">
        <f t="shared" si="582"/>
        <v>0</v>
      </c>
      <c r="AS797" s="27"/>
      <c r="AT797" s="37"/>
      <c r="AU797" s="30"/>
      <c r="AV797" s="36">
        <f t="shared" si="583"/>
        <v>0</v>
      </c>
      <c r="AW797" s="35"/>
      <c r="AX797" s="30"/>
      <c r="AY797" s="32">
        <f t="shared" si="584"/>
        <v>0</v>
      </c>
      <c r="AZ797" s="30"/>
      <c r="BA797" s="63"/>
      <c r="BB797" s="71"/>
      <c r="BC797" s="71"/>
      <c r="BD797" s="71"/>
    </row>
    <row r="798" spans="1:56" x14ac:dyDescent="0.25">
      <c r="A798" s="24" t="str">
        <f>IF(B798="","",SUBTOTAL(3,$B$4:B798))</f>
        <v/>
      </c>
      <c r="B798" s="25"/>
      <c r="C798" s="25" t="str">
        <f t="shared" si="576"/>
        <v xml:space="preserve"> </v>
      </c>
      <c r="D798" s="25"/>
      <c r="E798" s="25"/>
      <c r="F798" s="25"/>
      <c r="G798" s="65"/>
      <c r="H798" s="25"/>
      <c r="I798" s="25"/>
      <c r="J798" s="26"/>
      <c r="K798" s="27"/>
      <c r="L798" s="28"/>
      <c r="M798" s="28"/>
      <c r="N798" s="25"/>
      <c r="O798" s="29"/>
      <c r="P798" s="29"/>
      <c r="Q798" s="25"/>
      <c r="R798" s="25"/>
      <c r="S798" s="26"/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577"/>
        <v>0</v>
      </c>
      <c r="AF798" s="32">
        <f t="shared" si="578"/>
        <v>0</v>
      </c>
      <c r="AG798" s="30"/>
      <c r="AH798" s="33"/>
      <c r="AI798" s="34">
        <f t="shared" si="579"/>
        <v>0</v>
      </c>
      <c r="AJ798" s="35"/>
      <c r="AK798" s="30"/>
      <c r="AL798" s="36">
        <f t="shared" si="580"/>
        <v>0</v>
      </c>
      <c r="AM798" s="35"/>
      <c r="AN798" s="30"/>
      <c r="AO798" s="36">
        <f t="shared" si="581"/>
        <v>0</v>
      </c>
      <c r="AP798" s="35"/>
      <c r="AQ798" s="30"/>
      <c r="AR798" s="36">
        <f t="shared" si="582"/>
        <v>0</v>
      </c>
      <c r="AS798" s="27"/>
      <c r="AT798" s="37"/>
      <c r="AU798" s="30"/>
      <c r="AV798" s="36">
        <f t="shared" si="583"/>
        <v>0</v>
      </c>
      <c r="AW798" s="35"/>
      <c r="AX798" s="30"/>
      <c r="AY798" s="32">
        <f t="shared" si="584"/>
        <v>0</v>
      </c>
      <c r="AZ798" s="30"/>
      <c r="BA798" s="63"/>
      <c r="BB798" s="71"/>
      <c r="BC798" s="71"/>
      <c r="BD798" s="71"/>
    </row>
    <row r="799" spans="1:56" x14ac:dyDescent="0.25">
      <c r="A799" s="24" t="str">
        <f>IF(B799="","",SUBTOTAL(3,$B$4:B799))</f>
        <v/>
      </c>
      <c r="B799" s="25"/>
      <c r="C799" s="25" t="str">
        <f t="shared" si="576"/>
        <v xml:space="preserve"> </v>
      </c>
      <c r="D799" s="25"/>
      <c r="E799" s="25"/>
      <c r="F799" s="25"/>
      <c r="G799" s="65"/>
      <c r="H799" s="25"/>
      <c r="I799" s="25"/>
      <c r="J799" s="26"/>
      <c r="K799" s="27"/>
      <c r="L799" s="28"/>
      <c r="M799" s="28"/>
      <c r="N799" s="25"/>
      <c r="O799" s="29"/>
      <c r="P799" s="29"/>
      <c r="Q799" s="25"/>
      <c r="R799" s="25"/>
      <c r="S799" s="26"/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si="577"/>
        <v>0</v>
      </c>
      <c r="AF799" s="32">
        <f t="shared" si="578"/>
        <v>0</v>
      </c>
      <c r="AG799" s="30"/>
      <c r="AH799" s="33"/>
      <c r="AI799" s="34">
        <f t="shared" si="579"/>
        <v>0</v>
      </c>
      <c r="AJ799" s="35"/>
      <c r="AK799" s="30"/>
      <c r="AL799" s="36">
        <f t="shared" si="580"/>
        <v>0</v>
      </c>
      <c r="AM799" s="35"/>
      <c r="AN799" s="30"/>
      <c r="AO799" s="36">
        <f t="shared" si="581"/>
        <v>0</v>
      </c>
      <c r="AP799" s="35"/>
      <c r="AQ799" s="30"/>
      <c r="AR799" s="36">
        <f t="shared" si="582"/>
        <v>0</v>
      </c>
      <c r="AS799" s="27"/>
      <c r="AT799" s="37"/>
      <c r="AU799" s="30"/>
      <c r="AV799" s="36">
        <f t="shared" si="583"/>
        <v>0</v>
      </c>
      <c r="AW799" s="35"/>
      <c r="AX799" s="30"/>
      <c r="AY799" s="32">
        <f t="shared" si="584"/>
        <v>0</v>
      </c>
      <c r="AZ799" s="30"/>
      <c r="BA799" s="63"/>
      <c r="BB799" s="71"/>
      <c r="BC799" s="71"/>
      <c r="BD799" s="71"/>
    </row>
    <row r="800" spans="1:56" x14ac:dyDescent="0.25">
      <c r="A800" s="24" t="str">
        <f>IF(B800="","",SUBTOTAL(3,$B$4:B800))</f>
        <v/>
      </c>
      <c r="B800" s="25"/>
      <c r="C800" s="25" t="str">
        <f t="shared" si="576"/>
        <v xml:space="preserve"> </v>
      </c>
      <c r="D800" s="25"/>
      <c r="E800" s="25"/>
      <c r="F800" s="25"/>
      <c r="G800" s="65"/>
      <c r="H800" s="25"/>
      <c r="I800" s="25"/>
      <c r="J800" s="26"/>
      <c r="K800" s="27"/>
      <c r="L800" s="28"/>
      <c r="M800" s="28"/>
      <c r="N800" s="25"/>
      <c r="O800" s="29"/>
      <c r="P800" s="29"/>
      <c r="Q800" s="25"/>
      <c r="R800" s="25"/>
      <c r="S800" s="26"/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577"/>
        <v>0</v>
      </c>
      <c r="AF800" s="32">
        <f t="shared" si="578"/>
        <v>0</v>
      </c>
      <c r="AG800" s="30"/>
      <c r="AH800" s="33"/>
      <c r="AI800" s="34">
        <f t="shared" si="579"/>
        <v>0</v>
      </c>
      <c r="AJ800" s="35"/>
      <c r="AK800" s="30"/>
      <c r="AL800" s="36">
        <f t="shared" si="580"/>
        <v>0</v>
      </c>
      <c r="AM800" s="35"/>
      <c r="AN800" s="30"/>
      <c r="AO800" s="36">
        <f t="shared" si="581"/>
        <v>0</v>
      </c>
      <c r="AP800" s="35"/>
      <c r="AQ800" s="30"/>
      <c r="AR800" s="36">
        <f t="shared" si="582"/>
        <v>0</v>
      </c>
      <c r="AS800" s="27"/>
      <c r="AT800" s="37"/>
      <c r="AU800" s="30"/>
      <c r="AV800" s="36">
        <f t="shared" si="583"/>
        <v>0</v>
      </c>
      <c r="AW800" s="35"/>
      <c r="AX800" s="30"/>
      <c r="AY800" s="32">
        <f t="shared" si="584"/>
        <v>0</v>
      </c>
      <c r="AZ800" s="30"/>
      <c r="BA800" s="63"/>
      <c r="BB800" s="71"/>
      <c r="BC800" s="71"/>
      <c r="BD800" s="71"/>
    </row>
    <row r="801" spans="1:56" x14ac:dyDescent="0.25">
      <c r="A801" s="24" t="str">
        <f>IF(B801="","",SUBTOTAL(3,$B$4:B801))</f>
        <v/>
      </c>
      <c r="B801" s="25"/>
      <c r="C801" s="25" t="str">
        <f t="shared" si="576"/>
        <v xml:space="preserve"> </v>
      </c>
      <c r="D801" s="25"/>
      <c r="E801" s="25"/>
      <c r="F801" s="25"/>
      <c r="G801" s="65"/>
      <c r="H801" s="25"/>
      <c r="I801" s="25"/>
      <c r="J801" s="26"/>
      <c r="K801" s="27"/>
      <c r="L801" s="28"/>
      <c r="M801" s="28"/>
      <c r="N801" s="25"/>
      <c r="O801" s="29"/>
      <c r="P801" s="29"/>
      <c r="Q801" s="25"/>
      <c r="R801" s="25"/>
      <c r="S801" s="26"/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577"/>
        <v>0</v>
      </c>
      <c r="AF801" s="32">
        <f t="shared" si="578"/>
        <v>0</v>
      </c>
      <c r="AG801" s="30"/>
      <c r="AH801" s="33"/>
      <c r="AI801" s="34">
        <f t="shared" si="579"/>
        <v>0</v>
      </c>
      <c r="AJ801" s="35"/>
      <c r="AK801" s="30"/>
      <c r="AL801" s="36">
        <f t="shared" si="580"/>
        <v>0</v>
      </c>
      <c r="AM801" s="35"/>
      <c r="AN801" s="30"/>
      <c r="AO801" s="36">
        <f t="shared" si="581"/>
        <v>0</v>
      </c>
      <c r="AP801" s="35"/>
      <c r="AQ801" s="30"/>
      <c r="AR801" s="36">
        <f t="shared" si="582"/>
        <v>0</v>
      </c>
      <c r="AS801" s="27"/>
      <c r="AT801" s="37"/>
      <c r="AU801" s="30"/>
      <c r="AV801" s="36">
        <f t="shared" si="583"/>
        <v>0</v>
      </c>
      <c r="AW801" s="35"/>
      <c r="AX801" s="30"/>
      <c r="AY801" s="32">
        <f t="shared" si="584"/>
        <v>0</v>
      </c>
      <c r="AZ801" s="30"/>
      <c r="BA801" s="63"/>
      <c r="BB801" s="71"/>
      <c r="BC801" s="71"/>
      <c r="BD801" s="71"/>
    </row>
    <row r="802" spans="1:56" x14ac:dyDescent="0.25">
      <c r="A802" s="24" t="str">
        <f>IF(B802="","",SUBTOTAL(3,$B$4:B802))</f>
        <v/>
      </c>
      <c r="B802" s="25"/>
      <c r="C802" s="25" t="str">
        <f t="shared" si="576"/>
        <v xml:space="preserve"> </v>
      </c>
      <c r="D802" s="25"/>
      <c r="E802" s="25"/>
      <c r="F802" s="25"/>
      <c r="G802" s="65"/>
      <c r="H802" s="25"/>
      <c r="I802" s="25"/>
      <c r="J802" s="26"/>
      <c r="K802" s="27"/>
      <c r="L802" s="28"/>
      <c r="M802" s="28"/>
      <c r="N802" s="25"/>
      <c r="O802" s="29"/>
      <c r="P802" s="29"/>
      <c r="Q802" s="25"/>
      <c r="R802" s="25"/>
      <c r="S802" s="26"/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577"/>
        <v>0</v>
      </c>
      <c r="AF802" s="32">
        <f t="shared" si="578"/>
        <v>0</v>
      </c>
      <c r="AG802" s="30"/>
      <c r="AH802" s="33"/>
      <c r="AI802" s="34">
        <f t="shared" si="579"/>
        <v>0</v>
      </c>
      <c r="AJ802" s="35"/>
      <c r="AK802" s="30"/>
      <c r="AL802" s="36">
        <f t="shared" si="580"/>
        <v>0</v>
      </c>
      <c r="AM802" s="35"/>
      <c r="AN802" s="30"/>
      <c r="AO802" s="36">
        <f t="shared" si="581"/>
        <v>0</v>
      </c>
      <c r="AP802" s="35"/>
      <c r="AQ802" s="30"/>
      <c r="AR802" s="36">
        <f t="shared" si="582"/>
        <v>0</v>
      </c>
      <c r="AS802" s="27"/>
      <c r="AT802" s="37"/>
      <c r="AU802" s="30"/>
      <c r="AV802" s="36">
        <f t="shared" si="583"/>
        <v>0</v>
      </c>
      <c r="AW802" s="35"/>
      <c r="AX802" s="30"/>
      <c r="AY802" s="32">
        <f t="shared" si="584"/>
        <v>0</v>
      </c>
      <c r="AZ802" s="30"/>
      <c r="BA802" s="63"/>
      <c r="BB802" s="71"/>
      <c r="BC802" s="71"/>
      <c r="BD802" s="71"/>
    </row>
    <row r="803" spans="1:56" x14ac:dyDescent="0.25">
      <c r="A803" s="24" t="str">
        <f>IF(B803="","",SUBTOTAL(3,$B$4:B803))</f>
        <v/>
      </c>
      <c r="B803" s="25"/>
      <c r="C803" s="25" t="str">
        <f t="shared" si="576"/>
        <v xml:space="preserve"> </v>
      </c>
      <c r="D803" s="25"/>
      <c r="E803" s="25"/>
      <c r="F803" s="25"/>
      <c r="G803" s="65"/>
      <c r="H803" s="25"/>
      <c r="I803" s="25"/>
      <c r="J803" s="26"/>
      <c r="K803" s="27"/>
      <c r="L803" s="28"/>
      <c r="M803" s="28"/>
      <c r="N803" s="25"/>
      <c r="O803" s="29"/>
      <c r="P803" s="29"/>
      <c r="Q803" s="25"/>
      <c r="R803" s="25"/>
      <c r="S803" s="26"/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si="577"/>
        <v>0</v>
      </c>
      <c r="AF803" s="32">
        <f t="shared" si="578"/>
        <v>0</v>
      </c>
      <c r="AG803" s="30"/>
      <c r="AH803" s="33"/>
      <c r="AI803" s="34">
        <f t="shared" si="579"/>
        <v>0</v>
      </c>
      <c r="AJ803" s="35"/>
      <c r="AK803" s="30"/>
      <c r="AL803" s="36">
        <f t="shared" si="580"/>
        <v>0</v>
      </c>
      <c r="AM803" s="35"/>
      <c r="AN803" s="30"/>
      <c r="AO803" s="36">
        <f t="shared" si="581"/>
        <v>0</v>
      </c>
      <c r="AP803" s="35"/>
      <c r="AQ803" s="30"/>
      <c r="AR803" s="36">
        <f t="shared" si="582"/>
        <v>0</v>
      </c>
      <c r="AS803" s="27"/>
      <c r="AT803" s="37"/>
      <c r="AU803" s="30"/>
      <c r="AV803" s="36">
        <f t="shared" si="583"/>
        <v>0</v>
      </c>
      <c r="AW803" s="35"/>
      <c r="AX803" s="30"/>
      <c r="AY803" s="32">
        <f t="shared" si="584"/>
        <v>0</v>
      </c>
      <c r="AZ803" s="30"/>
      <c r="BA803" s="63"/>
      <c r="BB803" s="71"/>
      <c r="BC803" s="71"/>
      <c r="BD803" s="71"/>
    </row>
    <row r="804" spans="1:56" x14ac:dyDescent="0.25">
      <c r="A804" s="24" t="str">
        <f>IF(B804="","",SUBTOTAL(3,$B$4:B804))</f>
        <v/>
      </c>
      <c r="B804" s="25"/>
      <c r="C804" s="25" t="str">
        <f t="shared" si="576"/>
        <v xml:space="preserve"> </v>
      </c>
      <c r="D804" s="25"/>
      <c r="E804" s="25"/>
      <c r="F804" s="25"/>
      <c r="G804" s="65"/>
      <c r="H804" s="25"/>
      <c r="I804" s="25"/>
      <c r="J804" s="26"/>
      <c r="K804" s="27"/>
      <c r="L804" s="28"/>
      <c r="M804" s="28"/>
      <c r="N804" s="25"/>
      <c r="O804" s="29"/>
      <c r="P804" s="29"/>
      <c r="Q804" s="25"/>
      <c r="R804" s="25"/>
      <c r="S804" s="26"/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577"/>
        <v>0</v>
      </c>
      <c r="AF804" s="32">
        <f t="shared" si="578"/>
        <v>0</v>
      </c>
      <c r="AG804" s="30"/>
      <c r="AH804" s="33"/>
      <c r="AI804" s="34">
        <f t="shared" si="579"/>
        <v>0</v>
      </c>
      <c r="AJ804" s="35"/>
      <c r="AK804" s="30"/>
      <c r="AL804" s="36">
        <f t="shared" si="580"/>
        <v>0</v>
      </c>
      <c r="AM804" s="35"/>
      <c r="AN804" s="30"/>
      <c r="AO804" s="36">
        <f t="shared" si="581"/>
        <v>0</v>
      </c>
      <c r="AP804" s="35"/>
      <c r="AQ804" s="30"/>
      <c r="AR804" s="36">
        <f t="shared" si="582"/>
        <v>0</v>
      </c>
      <c r="AS804" s="27"/>
      <c r="AT804" s="37"/>
      <c r="AU804" s="30"/>
      <c r="AV804" s="36">
        <f t="shared" si="583"/>
        <v>0</v>
      </c>
      <c r="AW804" s="35"/>
      <c r="AX804" s="30"/>
      <c r="AY804" s="32">
        <f t="shared" si="584"/>
        <v>0</v>
      </c>
      <c r="AZ804" s="30"/>
      <c r="BA804" s="63"/>
      <c r="BB804" s="71"/>
      <c r="BC804" s="71"/>
      <c r="BD804" s="71"/>
    </row>
    <row r="805" spans="1:56" x14ac:dyDescent="0.25">
      <c r="A805" s="24" t="str">
        <f>IF(B805="","",SUBTOTAL(3,$B$4:B805))</f>
        <v/>
      </c>
      <c r="B805" s="25"/>
      <c r="C805" s="25" t="str">
        <f t="shared" si="576"/>
        <v xml:space="preserve"> </v>
      </c>
      <c r="D805" s="25"/>
      <c r="E805" s="25"/>
      <c r="F805" s="25"/>
      <c r="G805" s="65"/>
      <c r="H805" s="25"/>
      <c r="I805" s="25"/>
      <c r="J805" s="26"/>
      <c r="K805" s="27"/>
      <c r="L805" s="28"/>
      <c r="M805" s="28"/>
      <c r="N805" s="25"/>
      <c r="O805" s="29"/>
      <c r="P805" s="29"/>
      <c r="Q805" s="25"/>
      <c r="R805" s="25"/>
      <c r="S805" s="26"/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577"/>
        <v>0</v>
      </c>
      <c r="AF805" s="32">
        <f t="shared" si="578"/>
        <v>0</v>
      </c>
      <c r="AG805" s="30"/>
      <c r="AH805" s="33"/>
      <c r="AI805" s="34">
        <f t="shared" si="579"/>
        <v>0</v>
      </c>
      <c r="AJ805" s="35"/>
      <c r="AK805" s="30"/>
      <c r="AL805" s="36">
        <f t="shared" si="580"/>
        <v>0</v>
      </c>
      <c r="AM805" s="35"/>
      <c r="AN805" s="30"/>
      <c r="AO805" s="36">
        <f t="shared" si="581"/>
        <v>0</v>
      </c>
      <c r="AP805" s="35"/>
      <c r="AQ805" s="30"/>
      <c r="AR805" s="36">
        <f t="shared" si="582"/>
        <v>0</v>
      </c>
      <c r="AS805" s="27"/>
      <c r="AT805" s="37"/>
      <c r="AU805" s="30"/>
      <c r="AV805" s="36">
        <f t="shared" si="583"/>
        <v>0</v>
      </c>
      <c r="AW805" s="35"/>
      <c r="AX805" s="30"/>
      <c r="AY805" s="32">
        <f t="shared" si="584"/>
        <v>0</v>
      </c>
      <c r="AZ805" s="30"/>
      <c r="BA805" s="63"/>
      <c r="BB805" s="71"/>
      <c r="BC805" s="71"/>
      <c r="BD805" s="71"/>
    </row>
    <row r="806" spans="1:56" x14ac:dyDescent="0.25">
      <c r="A806" s="24" t="str">
        <f>IF(B806="","",SUBTOTAL(3,$B$4:B806))</f>
        <v/>
      </c>
      <c r="B806" s="25"/>
      <c r="C806" s="25" t="str">
        <f t="shared" si="576"/>
        <v xml:space="preserve"> </v>
      </c>
      <c r="D806" s="25"/>
      <c r="E806" s="25"/>
      <c r="F806" s="25"/>
      <c r="G806" s="65"/>
      <c r="H806" s="25"/>
      <c r="I806" s="25"/>
      <c r="J806" s="26"/>
      <c r="K806" s="27"/>
      <c r="L806" s="28"/>
      <c r="M806" s="28"/>
      <c r="N806" s="25"/>
      <c r="O806" s="29"/>
      <c r="P806" s="29"/>
      <c r="Q806" s="25"/>
      <c r="R806" s="25"/>
      <c r="S806" s="26"/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577"/>
        <v>0</v>
      </c>
      <c r="AF806" s="32">
        <f t="shared" si="578"/>
        <v>0</v>
      </c>
      <c r="AG806" s="30"/>
      <c r="AH806" s="33"/>
      <c r="AI806" s="34">
        <f t="shared" si="579"/>
        <v>0</v>
      </c>
      <c r="AJ806" s="35"/>
      <c r="AK806" s="30"/>
      <c r="AL806" s="36">
        <f t="shared" si="580"/>
        <v>0</v>
      </c>
      <c r="AM806" s="35"/>
      <c r="AN806" s="30"/>
      <c r="AO806" s="36">
        <f t="shared" si="581"/>
        <v>0</v>
      </c>
      <c r="AP806" s="35"/>
      <c r="AQ806" s="30"/>
      <c r="AR806" s="36">
        <f t="shared" si="582"/>
        <v>0</v>
      </c>
      <c r="AS806" s="27"/>
      <c r="AT806" s="37"/>
      <c r="AU806" s="30"/>
      <c r="AV806" s="36">
        <f t="shared" si="583"/>
        <v>0</v>
      </c>
      <c r="AW806" s="35"/>
      <c r="AX806" s="30"/>
      <c r="AY806" s="32">
        <f t="shared" si="584"/>
        <v>0</v>
      </c>
      <c r="AZ806" s="30"/>
      <c r="BA806" s="63"/>
      <c r="BB806" s="71"/>
      <c r="BC806" s="71"/>
      <c r="BD806" s="71"/>
    </row>
    <row r="807" spans="1:56" x14ac:dyDescent="0.25">
      <c r="A807" s="24" t="str">
        <f>IF(B807="","",SUBTOTAL(3,$B$4:B807))</f>
        <v/>
      </c>
      <c r="B807" s="25"/>
      <c r="C807" s="25" t="str">
        <f t="shared" si="576"/>
        <v xml:space="preserve"> </v>
      </c>
      <c r="D807" s="25"/>
      <c r="E807" s="25"/>
      <c r="F807" s="25"/>
      <c r="G807" s="65"/>
      <c r="H807" s="25"/>
      <c r="I807" s="25"/>
      <c r="J807" s="26"/>
      <c r="K807" s="27"/>
      <c r="L807" s="28"/>
      <c r="M807" s="28"/>
      <c r="N807" s="25"/>
      <c r="O807" s="29"/>
      <c r="P807" s="29"/>
      <c r="Q807" s="25"/>
      <c r="R807" s="25"/>
      <c r="S807" s="26"/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577"/>
        <v>0</v>
      </c>
      <c r="AF807" s="32">
        <f t="shared" si="578"/>
        <v>0</v>
      </c>
      <c r="AG807" s="30"/>
      <c r="AH807" s="33"/>
      <c r="AI807" s="34">
        <f t="shared" si="579"/>
        <v>0</v>
      </c>
      <c r="AJ807" s="35"/>
      <c r="AK807" s="30"/>
      <c r="AL807" s="36">
        <f t="shared" si="580"/>
        <v>0</v>
      </c>
      <c r="AM807" s="35"/>
      <c r="AN807" s="30"/>
      <c r="AO807" s="36">
        <f t="shared" si="581"/>
        <v>0</v>
      </c>
      <c r="AP807" s="35"/>
      <c r="AQ807" s="30"/>
      <c r="AR807" s="36">
        <f t="shared" si="582"/>
        <v>0</v>
      </c>
      <c r="AS807" s="27"/>
      <c r="AT807" s="37"/>
      <c r="AU807" s="30"/>
      <c r="AV807" s="36">
        <f t="shared" si="583"/>
        <v>0</v>
      </c>
      <c r="AW807" s="35"/>
      <c r="AX807" s="30"/>
      <c r="AY807" s="32">
        <f t="shared" si="584"/>
        <v>0</v>
      </c>
      <c r="AZ807" s="30"/>
      <c r="BA807" s="63"/>
      <c r="BB807" s="71"/>
      <c r="BC807" s="71"/>
      <c r="BD807" s="71"/>
    </row>
    <row r="808" spans="1:56" x14ac:dyDescent="0.25">
      <c r="A808" s="24" t="str">
        <f>IF(B808="","",SUBTOTAL(3,$B$4:B808))</f>
        <v/>
      </c>
      <c r="B808" s="25"/>
      <c r="C808" s="25" t="str">
        <f t="shared" si="576"/>
        <v xml:space="preserve"> </v>
      </c>
      <c r="D808" s="25"/>
      <c r="E808" s="25"/>
      <c r="F808" s="25"/>
      <c r="G808" s="65"/>
      <c r="H808" s="25"/>
      <c r="I808" s="25"/>
      <c r="J808" s="26"/>
      <c r="K808" s="27"/>
      <c r="L808" s="28"/>
      <c r="M808" s="28"/>
      <c r="N808" s="25"/>
      <c r="O808" s="29"/>
      <c r="P808" s="29"/>
      <c r="Q808" s="25"/>
      <c r="R808" s="25"/>
      <c r="S808" s="26"/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577"/>
        <v>0</v>
      </c>
      <c r="AF808" s="32">
        <f t="shared" si="578"/>
        <v>0</v>
      </c>
      <c r="AG808" s="30"/>
      <c r="AH808" s="33"/>
      <c r="AI808" s="34">
        <f t="shared" si="579"/>
        <v>0</v>
      </c>
      <c r="AJ808" s="35"/>
      <c r="AK808" s="30"/>
      <c r="AL808" s="36">
        <f t="shared" si="580"/>
        <v>0</v>
      </c>
      <c r="AM808" s="35"/>
      <c r="AN808" s="30"/>
      <c r="AO808" s="36">
        <f t="shared" si="581"/>
        <v>0</v>
      </c>
      <c r="AP808" s="35"/>
      <c r="AQ808" s="30"/>
      <c r="AR808" s="36">
        <f t="shared" si="582"/>
        <v>0</v>
      </c>
      <c r="AS808" s="27"/>
      <c r="AT808" s="37"/>
      <c r="AU808" s="30"/>
      <c r="AV808" s="36">
        <f t="shared" si="583"/>
        <v>0</v>
      </c>
      <c r="AW808" s="35"/>
      <c r="AX808" s="30"/>
      <c r="AY808" s="32">
        <f t="shared" si="584"/>
        <v>0</v>
      </c>
      <c r="AZ808" s="30"/>
      <c r="BA808" s="63"/>
      <c r="BB808" s="71"/>
      <c r="BC808" s="71"/>
      <c r="BD808" s="71"/>
    </row>
    <row r="809" spans="1:56" x14ac:dyDescent="0.25">
      <c r="A809" s="24" t="str">
        <f>IF(B809="","",SUBTOTAL(3,$B$4:B809))</f>
        <v/>
      </c>
      <c r="B809" s="25"/>
      <c r="C809" s="25" t="str">
        <f t="shared" si="576"/>
        <v xml:space="preserve"> </v>
      </c>
      <c r="D809" s="25"/>
      <c r="E809" s="25"/>
      <c r="F809" s="25"/>
      <c r="G809" s="65"/>
      <c r="H809" s="25"/>
      <c r="I809" s="25"/>
      <c r="J809" s="26"/>
      <c r="K809" s="27"/>
      <c r="L809" s="28"/>
      <c r="M809" s="28"/>
      <c r="N809" s="25"/>
      <c r="O809" s="29"/>
      <c r="P809" s="29"/>
      <c r="Q809" s="25"/>
      <c r="R809" s="25"/>
      <c r="S809" s="26"/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577"/>
        <v>0</v>
      </c>
      <c r="AF809" s="32">
        <f t="shared" si="578"/>
        <v>0</v>
      </c>
      <c r="AG809" s="30"/>
      <c r="AH809" s="33"/>
      <c r="AI809" s="34">
        <f t="shared" si="579"/>
        <v>0</v>
      </c>
      <c r="AJ809" s="35"/>
      <c r="AK809" s="30"/>
      <c r="AL809" s="36">
        <f t="shared" si="580"/>
        <v>0</v>
      </c>
      <c r="AM809" s="35"/>
      <c r="AN809" s="30"/>
      <c r="AO809" s="36">
        <f t="shared" si="581"/>
        <v>0</v>
      </c>
      <c r="AP809" s="35"/>
      <c r="AQ809" s="30"/>
      <c r="AR809" s="36">
        <f t="shared" si="582"/>
        <v>0</v>
      </c>
      <c r="AS809" s="27"/>
      <c r="AT809" s="37"/>
      <c r="AU809" s="30"/>
      <c r="AV809" s="36">
        <f t="shared" si="583"/>
        <v>0</v>
      </c>
      <c r="AW809" s="35"/>
      <c r="AX809" s="30"/>
      <c r="AY809" s="32">
        <f t="shared" si="584"/>
        <v>0</v>
      </c>
      <c r="AZ809" s="30"/>
      <c r="BA809" s="63"/>
      <c r="BB809" s="71"/>
      <c r="BC809" s="71"/>
      <c r="BD809" s="71"/>
    </row>
    <row r="810" spans="1:56" x14ac:dyDescent="0.25">
      <c r="A810" s="24" t="str">
        <f>IF(B810="","",SUBTOTAL(3,$B$4:B810))</f>
        <v/>
      </c>
      <c r="B810" s="25"/>
      <c r="C810" s="25" t="str">
        <f t="shared" si="576"/>
        <v xml:space="preserve"> </v>
      </c>
      <c r="D810" s="25"/>
      <c r="E810" s="25"/>
      <c r="F810" s="25"/>
      <c r="G810" s="65"/>
      <c r="H810" s="25"/>
      <c r="I810" s="25"/>
      <c r="J810" s="26"/>
      <c r="K810" s="27"/>
      <c r="L810" s="28"/>
      <c r="M810" s="28"/>
      <c r="N810" s="25"/>
      <c r="O810" s="29"/>
      <c r="P810" s="29"/>
      <c r="Q810" s="25"/>
      <c r="R810" s="25"/>
      <c r="S810" s="26"/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577"/>
        <v>0</v>
      </c>
      <c r="AF810" s="32">
        <f t="shared" si="578"/>
        <v>0</v>
      </c>
      <c r="AG810" s="30"/>
      <c r="AH810" s="33"/>
      <c r="AI810" s="34">
        <f t="shared" si="579"/>
        <v>0</v>
      </c>
      <c r="AJ810" s="35"/>
      <c r="AK810" s="30"/>
      <c r="AL810" s="36">
        <f t="shared" si="580"/>
        <v>0</v>
      </c>
      <c r="AM810" s="35"/>
      <c r="AN810" s="30"/>
      <c r="AO810" s="36">
        <f t="shared" si="581"/>
        <v>0</v>
      </c>
      <c r="AP810" s="35"/>
      <c r="AQ810" s="30"/>
      <c r="AR810" s="36">
        <f t="shared" si="582"/>
        <v>0</v>
      </c>
      <c r="AS810" s="27"/>
      <c r="AT810" s="37"/>
      <c r="AU810" s="30"/>
      <c r="AV810" s="36">
        <f t="shared" si="583"/>
        <v>0</v>
      </c>
      <c r="AW810" s="35"/>
      <c r="AX810" s="30"/>
      <c r="AY810" s="32">
        <f t="shared" si="584"/>
        <v>0</v>
      </c>
      <c r="AZ810" s="30"/>
      <c r="BA810" s="63"/>
      <c r="BB810" s="71"/>
      <c r="BC810" s="71"/>
      <c r="BD810" s="71"/>
    </row>
    <row r="811" spans="1:56" x14ac:dyDescent="0.25">
      <c r="A811" s="24" t="str">
        <f>IF(B811="","",SUBTOTAL(3,$B$4:B811))</f>
        <v/>
      </c>
      <c r="B811" s="25"/>
      <c r="C811" s="25" t="str">
        <f t="shared" si="576"/>
        <v xml:space="preserve"> </v>
      </c>
      <c r="D811" s="25"/>
      <c r="E811" s="25"/>
      <c r="F811" s="25"/>
      <c r="G811" s="65"/>
      <c r="H811" s="25"/>
      <c r="I811" s="25"/>
      <c r="J811" s="26"/>
      <c r="K811" s="27"/>
      <c r="L811" s="28"/>
      <c r="M811" s="28"/>
      <c r="N811" s="25"/>
      <c r="O811" s="29"/>
      <c r="P811" s="29"/>
      <c r="Q811" s="25"/>
      <c r="R811" s="25"/>
      <c r="S811" s="26"/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577"/>
        <v>0</v>
      </c>
      <c r="AF811" s="32">
        <f t="shared" si="578"/>
        <v>0</v>
      </c>
      <c r="AG811" s="30"/>
      <c r="AH811" s="33"/>
      <c r="AI811" s="34">
        <f t="shared" si="579"/>
        <v>0</v>
      </c>
      <c r="AJ811" s="35"/>
      <c r="AK811" s="30"/>
      <c r="AL811" s="36">
        <f t="shared" si="580"/>
        <v>0</v>
      </c>
      <c r="AM811" s="35"/>
      <c r="AN811" s="30"/>
      <c r="AO811" s="36">
        <f t="shared" si="581"/>
        <v>0</v>
      </c>
      <c r="AP811" s="35"/>
      <c r="AQ811" s="30"/>
      <c r="AR811" s="36">
        <f t="shared" si="582"/>
        <v>0</v>
      </c>
      <c r="AS811" s="27"/>
      <c r="AT811" s="37"/>
      <c r="AU811" s="30"/>
      <c r="AV811" s="36">
        <f t="shared" si="583"/>
        <v>0</v>
      </c>
      <c r="AW811" s="35"/>
      <c r="AX811" s="30"/>
      <c r="AY811" s="32">
        <f t="shared" si="584"/>
        <v>0</v>
      </c>
      <c r="AZ811" s="30"/>
      <c r="BA811" s="63"/>
      <c r="BB811" s="71"/>
      <c r="BC811" s="71"/>
      <c r="BD811" s="71"/>
    </row>
    <row r="812" spans="1:56" x14ac:dyDescent="0.25">
      <c r="A812" s="24" t="str">
        <f>IF(B812="","",SUBTOTAL(3,$B$4:B812))</f>
        <v/>
      </c>
      <c r="B812" s="25"/>
      <c r="C812" s="25" t="str">
        <f t="shared" si="576"/>
        <v xml:space="preserve"> </v>
      </c>
      <c r="D812" s="25"/>
      <c r="E812" s="25"/>
      <c r="F812" s="25"/>
      <c r="G812" s="65"/>
      <c r="H812" s="25"/>
      <c r="I812" s="25"/>
      <c r="J812" s="26"/>
      <c r="K812" s="27"/>
      <c r="L812" s="28"/>
      <c r="M812" s="28"/>
      <c r="N812" s="25"/>
      <c r="O812" s="29"/>
      <c r="P812" s="29"/>
      <c r="Q812" s="25"/>
      <c r="R812" s="25"/>
      <c r="S812" s="26"/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577"/>
        <v>0</v>
      </c>
      <c r="AF812" s="32">
        <f t="shared" si="578"/>
        <v>0</v>
      </c>
      <c r="AG812" s="30"/>
      <c r="AH812" s="33"/>
      <c r="AI812" s="34">
        <f t="shared" si="579"/>
        <v>0</v>
      </c>
      <c r="AJ812" s="35"/>
      <c r="AK812" s="30"/>
      <c r="AL812" s="36">
        <f t="shared" si="580"/>
        <v>0</v>
      </c>
      <c r="AM812" s="35"/>
      <c r="AN812" s="30"/>
      <c r="AO812" s="36">
        <f t="shared" si="581"/>
        <v>0</v>
      </c>
      <c r="AP812" s="35"/>
      <c r="AQ812" s="30"/>
      <c r="AR812" s="36">
        <f t="shared" si="582"/>
        <v>0</v>
      </c>
      <c r="AS812" s="27"/>
      <c r="AT812" s="37"/>
      <c r="AU812" s="30"/>
      <c r="AV812" s="36">
        <f t="shared" si="583"/>
        <v>0</v>
      </c>
      <c r="AW812" s="35"/>
      <c r="AX812" s="30"/>
      <c r="AY812" s="32">
        <f t="shared" si="584"/>
        <v>0</v>
      </c>
      <c r="AZ812" s="30"/>
      <c r="BA812" s="63"/>
      <c r="BB812" s="71"/>
      <c r="BC812" s="71"/>
      <c r="BD812" s="71"/>
    </row>
    <row r="813" spans="1:56" x14ac:dyDescent="0.25">
      <c r="A813" s="24" t="str">
        <f>IF(B813="","",SUBTOTAL(3,$B$4:B813))</f>
        <v/>
      </c>
      <c r="B813" s="25"/>
      <c r="C813" s="25" t="str">
        <f t="shared" si="576"/>
        <v xml:space="preserve"> </v>
      </c>
      <c r="D813" s="25"/>
      <c r="E813" s="25"/>
      <c r="F813" s="25"/>
      <c r="G813" s="65"/>
      <c r="H813" s="25"/>
      <c r="I813" s="25"/>
      <c r="J813" s="26"/>
      <c r="K813" s="27"/>
      <c r="L813" s="28"/>
      <c r="M813" s="28"/>
      <c r="N813" s="25"/>
      <c r="O813" s="29"/>
      <c r="P813" s="29"/>
      <c r="Q813" s="25"/>
      <c r="R813" s="25"/>
      <c r="S813" s="26"/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577"/>
        <v>0</v>
      </c>
      <c r="AF813" s="32">
        <f t="shared" si="578"/>
        <v>0</v>
      </c>
      <c r="AG813" s="30"/>
      <c r="AH813" s="33"/>
      <c r="AI813" s="34">
        <f t="shared" si="579"/>
        <v>0</v>
      </c>
      <c r="AJ813" s="35"/>
      <c r="AK813" s="30"/>
      <c r="AL813" s="36">
        <f t="shared" si="580"/>
        <v>0</v>
      </c>
      <c r="AM813" s="35"/>
      <c r="AN813" s="30"/>
      <c r="AO813" s="36">
        <f t="shared" si="581"/>
        <v>0</v>
      </c>
      <c r="AP813" s="35"/>
      <c r="AQ813" s="30"/>
      <c r="AR813" s="36">
        <f t="shared" si="582"/>
        <v>0</v>
      </c>
      <c r="AS813" s="27"/>
      <c r="AT813" s="37"/>
      <c r="AU813" s="30"/>
      <c r="AV813" s="36">
        <f t="shared" si="583"/>
        <v>0</v>
      </c>
      <c r="AW813" s="35"/>
      <c r="AX813" s="30"/>
      <c r="AY813" s="32">
        <f t="shared" si="584"/>
        <v>0</v>
      </c>
      <c r="AZ813" s="30"/>
      <c r="BA813" s="63"/>
      <c r="BB813" s="71"/>
      <c r="BC813" s="71"/>
      <c r="BD813" s="71"/>
    </row>
    <row r="814" spans="1:56" x14ac:dyDescent="0.25">
      <c r="A814" s="24" t="str">
        <f>IF(B814="","",SUBTOTAL(3,$B$4:B814))</f>
        <v/>
      </c>
      <c r="B814" s="25"/>
      <c r="C814" s="25" t="str">
        <f t="shared" si="576"/>
        <v xml:space="preserve"> </v>
      </c>
      <c r="D814" s="25"/>
      <c r="E814" s="25"/>
      <c r="F814" s="25"/>
      <c r="G814" s="65"/>
      <c r="H814" s="25"/>
      <c r="I814" s="25"/>
      <c r="J814" s="26"/>
      <c r="K814" s="27"/>
      <c r="L814" s="28"/>
      <c r="M814" s="28"/>
      <c r="N814" s="25"/>
      <c r="O814" s="29"/>
      <c r="P814" s="29"/>
      <c r="Q814" s="25"/>
      <c r="R814" s="25"/>
      <c r="S814" s="26"/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577"/>
        <v>0</v>
      </c>
      <c r="AF814" s="32">
        <f t="shared" si="578"/>
        <v>0</v>
      </c>
      <c r="AG814" s="30"/>
      <c r="AH814" s="33"/>
      <c r="AI814" s="34">
        <f t="shared" si="579"/>
        <v>0</v>
      </c>
      <c r="AJ814" s="35"/>
      <c r="AK814" s="30"/>
      <c r="AL814" s="36">
        <f t="shared" si="580"/>
        <v>0</v>
      </c>
      <c r="AM814" s="35"/>
      <c r="AN814" s="30"/>
      <c r="AO814" s="36">
        <f t="shared" si="581"/>
        <v>0</v>
      </c>
      <c r="AP814" s="35"/>
      <c r="AQ814" s="30"/>
      <c r="AR814" s="36">
        <f t="shared" si="582"/>
        <v>0</v>
      </c>
      <c r="AS814" s="27"/>
      <c r="AT814" s="37"/>
      <c r="AU814" s="30"/>
      <c r="AV814" s="36">
        <f t="shared" si="583"/>
        <v>0</v>
      </c>
      <c r="AW814" s="35"/>
      <c r="AX814" s="30"/>
      <c r="AY814" s="32">
        <f t="shared" si="584"/>
        <v>0</v>
      </c>
      <c r="AZ814" s="30"/>
      <c r="BA814" s="63"/>
      <c r="BB814" s="71"/>
      <c r="BC814" s="71"/>
      <c r="BD814" s="71"/>
    </row>
    <row r="815" spans="1:56" x14ac:dyDescent="0.25">
      <c r="A815" s="24" t="str">
        <f>IF(B815="","",SUBTOTAL(3,$B$4:B815))</f>
        <v/>
      </c>
      <c r="B815" s="25"/>
      <c r="C815" s="25" t="str">
        <f t="shared" si="576"/>
        <v xml:space="preserve"> </v>
      </c>
      <c r="D815" s="25"/>
      <c r="E815" s="25"/>
      <c r="F815" s="25"/>
      <c r="G815" s="65"/>
      <c r="H815" s="25"/>
      <c r="I815" s="25"/>
      <c r="J815" s="26"/>
      <c r="K815" s="27"/>
      <c r="L815" s="28"/>
      <c r="M815" s="28"/>
      <c r="N815" s="25"/>
      <c r="O815" s="29"/>
      <c r="P815" s="29"/>
      <c r="Q815" s="25"/>
      <c r="R815" s="25"/>
      <c r="S815" s="26"/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577"/>
        <v>0</v>
      </c>
      <c r="AF815" s="32">
        <f t="shared" si="578"/>
        <v>0</v>
      </c>
      <c r="AG815" s="30"/>
      <c r="AH815" s="33"/>
      <c r="AI815" s="34">
        <f t="shared" si="579"/>
        <v>0</v>
      </c>
      <c r="AJ815" s="35"/>
      <c r="AK815" s="30"/>
      <c r="AL815" s="36">
        <f t="shared" si="580"/>
        <v>0</v>
      </c>
      <c r="AM815" s="35"/>
      <c r="AN815" s="30"/>
      <c r="AO815" s="36">
        <f t="shared" si="581"/>
        <v>0</v>
      </c>
      <c r="AP815" s="35"/>
      <c r="AQ815" s="30"/>
      <c r="AR815" s="36">
        <f t="shared" si="582"/>
        <v>0</v>
      </c>
      <c r="AS815" s="27"/>
      <c r="AT815" s="37"/>
      <c r="AU815" s="30"/>
      <c r="AV815" s="36">
        <f t="shared" si="583"/>
        <v>0</v>
      </c>
      <c r="AW815" s="35"/>
      <c r="AX815" s="30"/>
      <c r="AY815" s="32">
        <f t="shared" si="584"/>
        <v>0</v>
      </c>
      <c r="AZ815" s="30"/>
      <c r="BA815" s="63"/>
      <c r="BB815" s="71"/>
      <c r="BC815" s="71"/>
      <c r="BD815" s="71"/>
    </row>
    <row r="816" spans="1:56" x14ac:dyDescent="0.25">
      <c r="A816" s="24" t="str">
        <f>IF(B816="","",SUBTOTAL(3,$B$4:B816))</f>
        <v/>
      </c>
      <c r="B816" s="25"/>
      <c r="C816" s="25" t="str">
        <f t="shared" si="576"/>
        <v xml:space="preserve"> </v>
      </c>
      <c r="D816" s="25"/>
      <c r="E816" s="25"/>
      <c r="F816" s="25"/>
      <c r="G816" s="65"/>
      <c r="H816" s="25"/>
      <c r="I816" s="25"/>
      <c r="J816" s="26"/>
      <c r="K816" s="27"/>
      <c r="L816" s="28"/>
      <c r="M816" s="28"/>
      <c r="N816" s="25"/>
      <c r="O816" s="29"/>
      <c r="P816" s="29"/>
      <c r="Q816" s="25"/>
      <c r="R816" s="25"/>
      <c r="S816" s="26"/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si="577"/>
        <v>0</v>
      </c>
      <c r="AF816" s="32">
        <f t="shared" si="578"/>
        <v>0</v>
      </c>
      <c r="AG816" s="30"/>
      <c r="AH816" s="33"/>
      <c r="AI816" s="34">
        <f t="shared" si="579"/>
        <v>0</v>
      </c>
      <c r="AJ816" s="35"/>
      <c r="AK816" s="30"/>
      <c r="AL816" s="36">
        <f t="shared" si="580"/>
        <v>0</v>
      </c>
      <c r="AM816" s="35"/>
      <c r="AN816" s="30"/>
      <c r="AO816" s="36">
        <f t="shared" si="581"/>
        <v>0</v>
      </c>
      <c r="AP816" s="35"/>
      <c r="AQ816" s="30"/>
      <c r="AR816" s="36">
        <f t="shared" si="582"/>
        <v>0</v>
      </c>
      <c r="AS816" s="27"/>
      <c r="AT816" s="37"/>
      <c r="AU816" s="30"/>
      <c r="AV816" s="36">
        <f t="shared" si="583"/>
        <v>0</v>
      </c>
      <c r="AW816" s="35"/>
      <c r="AX816" s="30"/>
      <c r="AY816" s="32">
        <f t="shared" si="584"/>
        <v>0</v>
      </c>
      <c r="AZ816" s="30"/>
      <c r="BA816" s="63"/>
      <c r="BB816" s="71"/>
      <c r="BC816" s="71"/>
      <c r="BD816" s="71"/>
    </row>
    <row r="817" spans="1:56" x14ac:dyDescent="0.25">
      <c r="A817" s="24" t="str">
        <f>IF(B817="","",SUBTOTAL(3,$B$4:B817))</f>
        <v/>
      </c>
      <c r="B817" s="25"/>
      <c r="C817" s="25" t="str">
        <f t="shared" si="576"/>
        <v xml:space="preserve"> </v>
      </c>
      <c r="D817" s="25"/>
      <c r="E817" s="25"/>
      <c r="F817" s="25"/>
      <c r="G817" s="65"/>
      <c r="H817" s="25"/>
      <c r="I817" s="25"/>
      <c r="J817" s="26"/>
      <c r="K817" s="27"/>
      <c r="L817" s="28"/>
      <c r="M817" s="28"/>
      <c r="N817" s="25"/>
      <c r="O817" s="29"/>
      <c r="P817" s="29"/>
      <c r="Q817" s="25"/>
      <c r="R817" s="25"/>
      <c r="S817" s="26"/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577"/>
        <v>0</v>
      </c>
      <c r="AF817" s="32">
        <f t="shared" si="578"/>
        <v>0</v>
      </c>
      <c r="AG817" s="30"/>
      <c r="AH817" s="33"/>
      <c r="AI817" s="34">
        <f t="shared" si="579"/>
        <v>0</v>
      </c>
      <c r="AJ817" s="35"/>
      <c r="AK817" s="30"/>
      <c r="AL817" s="36">
        <f t="shared" si="580"/>
        <v>0</v>
      </c>
      <c r="AM817" s="35"/>
      <c r="AN817" s="30"/>
      <c r="AO817" s="36">
        <f t="shared" si="581"/>
        <v>0</v>
      </c>
      <c r="AP817" s="35"/>
      <c r="AQ817" s="30"/>
      <c r="AR817" s="36">
        <f t="shared" si="582"/>
        <v>0</v>
      </c>
      <c r="AS817" s="27"/>
      <c r="AT817" s="37"/>
      <c r="AU817" s="30"/>
      <c r="AV817" s="36">
        <f t="shared" si="583"/>
        <v>0</v>
      </c>
      <c r="AW817" s="35"/>
      <c r="AX817" s="30"/>
      <c r="AY817" s="32">
        <f t="shared" si="584"/>
        <v>0</v>
      </c>
      <c r="AZ817" s="30"/>
      <c r="BA817" s="63"/>
      <c r="BB817" s="71"/>
      <c r="BC817" s="71"/>
      <c r="BD817" s="71"/>
    </row>
    <row r="818" spans="1:56" x14ac:dyDescent="0.25">
      <c r="A818" s="24" t="str">
        <f>IF(B818="","",SUBTOTAL(3,$B$4:B818))</f>
        <v/>
      </c>
      <c r="B818" s="25"/>
      <c r="C818" s="25" t="str">
        <f t="shared" si="576"/>
        <v xml:space="preserve"> </v>
      </c>
      <c r="D818" s="25"/>
      <c r="E818" s="25"/>
      <c r="F818" s="25"/>
      <c r="G818" s="65"/>
      <c r="H818" s="25"/>
      <c r="I818" s="25"/>
      <c r="J818" s="26"/>
      <c r="K818" s="27"/>
      <c r="L818" s="28"/>
      <c r="M818" s="28"/>
      <c r="N818" s="25"/>
      <c r="O818" s="29"/>
      <c r="P818" s="29"/>
      <c r="Q818" s="25"/>
      <c r="R818" s="25"/>
      <c r="S818" s="26"/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577"/>
        <v>0</v>
      </c>
      <c r="AF818" s="32">
        <f t="shared" si="578"/>
        <v>0</v>
      </c>
      <c r="AG818" s="30"/>
      <c r="AH818" s="33"/>
      <c r="AI818" s="34">
        <f t="shared" si="579"/>
        <v>0</v>
      </c>
      <c r="AJ818" s="35"/>
      <c r="AK818" s="30"/>
      <c r="AL818" s="36">
        <f t="shared" si="580"/>
        <v>0</v>
      </c>
      <c r="AM818" s="35"/>
      <c r="AN818" s="30"/>
      <c r="AO818" s="36">
        <f t="shared" si="581"/>
        <v>0</v>
      </c>
      <c r="AP818" s="35"/>
      <c r="AQ818" s="30"/>
      <c r="AR818" s="36">
        <f t="shared" si="582"/>
        <v>0</v>
      </c>
      <c r="AS818" s="27"/>
      <c r="AT818" s="37"/>
      <c r="AU818" s="30"/>
      <c r="AV818" s="36">
        <f t="shared" si="583"/>
        <v>0</v>
      </c>
      <c r="AW818" s="35"/>
      <c r="AX818" s="30"/>
      <c r="AY818" s="32">
        <f t="shared" si="584"/>
        <v>0</v>
      </c>
      <c r="AZ818" s="30"/>
      <c r="BA818" s="63"/>
      <c r="BB818" s="71"/>
      <c r="BC818" s="71"/>
      <c r="BD818" s="71"/>
    </row>
    <row r="819" spans="1:56" x14ac:dyDescent="0.25">
      <c r="A819" s="24" t="str">
        <f>IF(B819="","",SUBTOTAL(3,$B$4:B819))</f>
        <v/>
      </c>
      <c r="B819" s="25"/>
      <c r="C819" s="25" t="str">
        <f t="shared" si="576"/>
        <v xml:space="preserve"> </v>
      </c>
      <c r="D819" s="25"/>
      <c r="E819" s="25"/>
      <c r="F819" s="25"/>
      <c r="G819" s="65"/>
      <c r="H819" s="25"/>
      <c r="I819" s="25"/>
      <c r="J819" s="26"/>
      <c r="K819" s="27"/>
      <c r="L819" s="28"/>
      <c r="M819" s="28"/>
      <c r="N819" s="25"/>
      <c r="O819" s="29"/>
      <c r="P819" s="29"/>
      <c r="Q819" s="25"/>
      <c r="R819" s="25"/>
      <c r="S819" s="26"/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si="577"/>
        <v>0</v>
      </c>
      <c r="AF819" s="32">
        <f t="shared" si="578"/>
        <v>0</v>
      </c>
      <c r="AG819" s="30"/>
      <c r="AH819" s="33"/>
      <c r="AI819" s="34">
        <f t="shared" si="579"/>
        <v>0</v>
      </c>
      <c r="AJ819" s="35"/>
      <c r="AK819" s="30"/>
      <c r="AL819" s="36">
        <f t="shared" si="580"/>
        <v>0</v>
      </c>
      <c r="AM819" s="35"/>
      <c r="AN819" s="30"/>
      <c r="AO819" s="36">
        <f t="shared" si="581"/>
        <v>0</v>
      </c>
      <c r="AP819" s="35"/>
      <c r="AQ819" s="30"/>
      <c r="AR819" s="36">
        <f t="shared" si="582"/>
        <v>0</v>
      </c>
      <c r="AS819" s="27"/>
      <c r="AT819" s="37"/>
      <c r="AU819" s="30"/>
      <c r="AV819" s="36">
        <f t="shared" si="583"/>
        <v>0</v>
      </c>
      <c r="AW819" s="35"/>
      <c r="AX819" s="30"/>
      <c r="AY819" s="32">
        <f t="shared" si="584"/>
        <v>0</v>
      </c>
      <c r="AZ819" s="30"/>
      <c r="BA819" s="63"/>
      <c r="BB819" s="71"/>
      <c r="BC819" s="71"/>
      <c r="BD819" s="71"/>
    </row>
    <row r="820" spans="1:56" x14ac:dyDescent="0.25">
      <c r="A820" s="24" t="str">
        <f>IF(B820="","",SUBTOTAL(3,$B$4:B820))</f>
        <v/>
      </c>
      <c r="B820" s="25"/>
      <c r="C820" s="25" t="str">
        <f t="shared" si="576"/>
        <v xml:space="preserve"> </v>
      </c>
      <c r="D820" s="25"/>
      <c r="E820" s="25"/>
      <c r="F820" s="25"/>
      <c r="G820" s="65"/>
      <c r="H820" s="25"/>
      <c r="I820" s="25"/>
      <c r="J820" s="26"/>
      <c r="K820" s="27"/>
      <c r="L820" s="28"/>
      <c r="M820" s="28"/>
      <c r="N820" s="25"/>
      <c r="O820" s="29"/>
      <c r="P820" s="29"/>
      <c r="Q820" s="25"/>
      <c r="R820" s="25"/>
      <c r="S820" s="26"/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577"/>
        <v>0</v>
      </c>
      <c r="AF820" s="32">
        <f t="shared" si="578"/>
        <v>0</v>
      </c>
      <c r="AG820" s="30"/>
      <c r="AH820" s="33"/>
      <c r="AI820" s="34">
        <f t="shared" si="579"/>
        <v>0</v>
      </c>
      <c r="AJ820" s="35"/>
      <c r="AK820" s="30"/>
      <c r="AL820" s="36">
        <f t="shared" si="580"/>
        <v>0</v>
      </c>
      <c r="AM820" s="35"/>
      <c r="AN820" s="30"/>
      <c r="AO820" s="36">
        <f t="shared" si="581"/>
        <v>0</v>
      </c>
      <c r="AP820" s="35"/>
      <c r="AQ820" s="30"/>
      <c r="AR820" s="36">
        <f t="shared" si="582"/>
        <v>0</v>
      </c>
      <c r="AS820" s="27"/>
      <c r="AT820" s="37"/>
      <c r="AU820" s="30"/>
      <c r="AV820" s="36">
        <f t="shared" si="583"/>
        <v>0</v>
      </c>
      <c r="AW820" s="35"/>
      <c r="AX820" s="30"/>
      <c r="AY820" s="32">
        <f t="shared" si="584"/>
        <v>0</v>
      </c>
      <c r="AZ820" s="30"/>
      <c r="BA820" s="63"/>
      <c r="BB820" s="71"/>
      <c r="BC820" s="71"/>
      <c r="BD820" s="71"/>
    </row>
    <row r="821" spans="1:56" x14ac:dyDescent="0.25">
      <c r="A821" s="24" t="str">
        <f>IF(B821="","",SUBTOTAL(3,$B$4:B821))</f>
        <v/>
      </c>
      <c r="B821" s="25"/>
      <c r="C821" s="25" t="str">
        <f t="shared" si="576"/>
        <v xml:space="preserve"> </v>
      </c>
      <c r="D821" s="25"/>
      <c r="E821" s="25"/>
      <c r="F821" s="25"/>
      <c r="G821" s="65"/>
      <c r="H821" s="25"/>
      <c r="I821" s="25"/>
      <c r="J821" s="26"/>
      <c r="K821" s="27"/>
      <c r="L821" s="28"/>
      <c r="M821" s="28"/>
      <c r="N821" s="25"/>
      <c r="O821" s="29"/>
      <c r="P821" s="29"/>
      <c r="Q821" s="25"/>
      <c r="R821" s="25"/>
      <c r="S821" s="26"/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577"/>
        <v>0</v>
      </c>
      <c r="AF821" s="32">
        <f t="shared" si="578"/>
        <v>0</v>
      </c>
      <c r="AG821" s="30"/>
      <c r="AH821" s="33"/>
      <c r="AI821" s="34">
        <f t="shared" si="579"/>
        <v>0</v>
      </c>
      <c r="AJ821" s="35"/>
      <c r="AK821" s="30"/>
      <c r="AL821" s="36">
        <f t="shared" si="580"/>
        <v>0</v>
      </c>
      <c r="AM821" s="35"/>
      <c r="AN821" s="30"/>
      <c r="AO821" s="36">
        <f t="shared" si="581"/>
        <v>0</v>
      </c>
      <c r="AP821" s="35"/>
      <c r="AQ821" s="30"/>
      <c r="AR821" s="36">
        <f t="shared" si="582"/>
        <v>0</v>
      </c>
      <c r="AS821" s="27"/>
      <c r="AT821" s="37"/>
      <c r="AU821" s="30"/>
      <c r="AV821" s="36">
        <f t="shared" si="583"/>
        <v>0</v>
      </c>
      <c r="AW821" s="35"/>
      <c r="AX821" s="30"/>
      <c r="AY821" s="32">
        <f t="shared" si="584"/>
        <v>0</v>
      </c>
      <c r="AZ821" s="30"/>
      <c r="BA821" s="63"/>
      <c r="BB821" s="71"/>
      <c r="BC821" s="71"/>
      <c r="BD821" s="71"/>
    </row>
    <row r="822" spans="1:56" x14ac:dyDescent="0.25">
      <c r="A822" s="24" t="str">
        <f>IF(B822="","",SUBTOTAL(3,$B$4:B822))</f>
        <v/>
      </c>
      <c r="B822" s="25"/>
      <c r="C822" s="25" t="str">
        <f t="shared" si="576"/>
        <v xml:space="preserve"> </v>
      </c>
      <c r="D822" s="25"/>
      <c r="E822" s="25"/>
      <c r="F822" s="25"/>
      <c r="G822" s="65"/>
      <c r="H822" s="25"/>
      <c r="I822" s="25"/>
      <c r="J822" s="26"/>
      <c r="K822" s="27"/>
      <c r="L822" s="28"/>
      <c r="M822" s="28"/>
      <c r="N822" s="25"/>
      <c r="O822" s="29"/>
      <c r="P822" s="29"/>
      <c r="Q822" s="25"/>
      <c r="R822" s="25"/>
      <c r="S822" s="26"/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577"/>
        <v>0</v>
      </c>
      <c r="AF822" s="32">
        <f t="shared" si="578"/>
        <v>0</v>
      </c>
      <c r="AG822" s="30"/>
      <c r="AH822" s="33"/>
      <c r="AI822" s="34">
        <f t="shared" si="579"/>
        <v>0</v>
      </c>
      <c r="AJ822" s="35"/>
      <c r="AK822" s="30"/>
      <c r="AL822" s="36">
        <f t="shared" si="580"/>
        <v>0</v>
      </c>
      <c r="AM822" s="35"/>
      <c r="AN822" s="30"/>
      <c r="AO822" s="36">
        <f t="shared" si="581"/>
        <v>0</v>
      </c>
      <c r="AP822" s="35"/>
      <c r="AQ822" s="30"/>
      <c r="AR822" s="36">
        <f t="shared" si="582"/>
        <v>0</v>
      </c>
      <c r="AS822" s="27"/>
      <c r="AT822" s="37"/>
      <c r="AU822" s="30"/>
      <c r="AV822" s="36">
        <f t="shared" si="583"/>
        <v>0</v>
      </c>
      <c r="AW822" s="35"/>
      <c r="AX822" s="30"/>
      <c r="AY822" s="32">
        <f t="shared" si="584"/>
        <v>0</v>
      </c>
      <c r="AZ822" s="30"/>
      <c r="BA822" s="63"/>
      <c r="BB822" s="71"/>
      <c r="BC822" s="71"/>
      <c r="BD822" s="71"/>
    </row>
    <row r="823" spans="1:56" x14ac:dyDescent="0.25">
      <c r="A823" s="24" t="str">
        <f>IF(B823="","",SUBTOTAL(3,$B$4:B823))</f>
        <v/>
      </c>
      <c r="B823" s="25"/>
      <c r="C823" s="25" t="str">
        <f t="shared" si="576"/>
        <v xml:space="preserve"> </v>
      </c>
      <c r="D823" s="25"/>
      <c r="E823" s="25"/>
      <c r="F823" s="25"/>
      <c r="G823" s="65"/>
      <c r="H823" s="25"/>
      <c r="I823" s="25"/>
      <c r="J823" s="26"/>
      <c r="K823" s="27"/>
      <c r="L823" s="28"/>
      <c r="M823" s="28"/>
      <c r="N823" s="25"/>
      <c r="O823" s="29"/>
      <c r="P823" s="29"/>
      <c r="Q823" s="25"/>
      <c r="R823" s="25"/>
      <c r="S823" s="26"/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577"/>
        <v>0</v>
      </c>
      <c r="AF823" s="32">
        <f t="shared" si="578"/>
        <v>0</v>
      </c>
      <c r="AG823" s="30"/>
      <c r="AH823" s="33"/>
      <c r="AI823" s="34">
        <f t="shared" si="579"/>
        <v>0</v>
      </c>
      <c r="AJ823" s="35"/>
      <c r="AK823" s="30"/>
      <c r="AL823" s="36">
        <f t="shared" si="580"/>
        <v>0</v>
      </c>
      <c r="AM823" s="35"/>
      <c r="AN823" s="30"/>
      <c r="AO823" s="36">
        <f t="shared" si="581"/>
        <v>0</v>
      </c>
      <c r="AP823" s="35"/>
      <c r="AQ823" s="30"/>
      <c r="AR823" s="36">
        <f t="shared" si="582"/>
        <v>0</v>
      </c>
      <c r="AS823" s="27"/>
      <c r="AT823" s="37"/>
      <c r="AU823" s="30"/>
      <c r="AV823" s="36">
        <f t="shared" si="583"/>
        <v>0</v>
      </c>
      <c r="AW823" s="35"/>
      <c r="AX823" s="30"/>
      <c r="AY823" s="32">
        <f t="shared" si="584"/>
        <v>0</v>
      </c>
      <c r="AZ823" s="30"/>
      <c r="BA823" s="63"/>
      <c r="BB823" s="71"/>
      <c r="BC823" s="71"/>
      <c r="BD823" s="71"/>
    </row>
    <row r="824" spans="1:56" x14ac:dyDescent="0.25">
      <c r="A824" s="24" t="str">
        <f>IF(B824="","",SUBTOTAL(3,$B$4:B824))</f>
        <v/>
      </c>
      <c r="B824" s="25"/>
      <c r="C824" s="25" t="str">
        <f t="shared" si="576"/>
        <v xml:space="preserve"> </v>
      </c>
      <c r="D824" s="25"/>
      <c r="E824" s="25"/>
      <c r="F824" s="25"/>
      <c r="G824" s="65"/>
      <c r="H824" s="25"/>
      <c r="I824" s="25"/>
      <c r="J824" s="26"/>
      <c r="K824" s="27"/>
      <c r="L824" s="28"/>
      <c r="M824" s="28"/>
      <c r="N824" s="25"/>
      <c r="O824" s="29"/>
      <c r="P824" s="29"/>
      <c r="Q824" s="25"/>
      <c r="R824" s="25"/>
      <c r="S824" s="26"/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577"/>
        <v>0</v>
      </c>
      <c r="AF824" s="32">
        <f t="shared" si="578"/>
        <v>0</v>
      </c>
      <c r="AG824" s="30"/>
      <c r="AH824" s="33"/>
      <c r="AI824" s="34">
        <f t="shared" si="579"/>
        <v>0</v>
      </c>
      <c r="AJ824" s="35"/>
      <c r="AK824" s="30"/>
      <c r="AL824" s="36">
        <f t="shared" si="580"/>
        <v>0</v>
      </c>
      <c r="AM824" s="35"/>
      <c r="AN824" s="30"/>
      <c r="AO824" s="36">
        <f t="shared" si="581"/>
        <v>0</v>
      </c>
      <c r="AP824" s="35"/>
      <c r="AQ824" s="30"/>
      <c r="AR824" s="36">
        <f t="shared" si="582"/>
        <v>0</v>
      </c>
      <c r="AS824" s="27"/>
      <c r="AT824" s="37"/>
      <c r="AU824" s="30"/>
      <c r="AV824" s="36">
        <f t="shared" si="583"/>
        <v>0</v>
      </c>
      <c r="AW824" s="35"/>
      <c r="AX824" s="30"/>
      <c r="AY824" s="32">
        <f t="shared" si="584"/>
        <v>0</v>
      </c>
      <c r="AZ824" s="30"/>
      <c r="BA824" s="63"/>
      <c r="BB824" s="71"/>
      <c r="BC824" s="71"/>
      <c r="BD824" s="71"/>
    </row>
    <row r="825" spans="1:56" x14ac:dyDescent="0.25">
      <c r="A825" s="24" t="str">
        <f>IF(B825="","",SUBTOTAL(3,$B$4:B825))</f>
        <v/>
      </c>
      <c r="B825" s="25"/>
      <c r="C825" s="25" t="str">
        <f t="shared" si="576"/>
        <v xml:space="preserve"> </v>
      </c>
      <c r="D825" s="25"/>
      <c r="E825" s="25"/>
      <c r="F825" s="25"/>
      <c r="G825" s="65"/>
      <c r="H825" s="25"/>
      <c r="I825" s="25"/>
      <c r="J825" s="26"/>
      <c r="K825" s="27"/>
      <c r="L825" s="28"/>
      <c r="M825" s="28"/>
      <c r="N825" s="25"/>
      <c r="O825" s="29"/>
      <c r="P825" s="29"/>
      <c r="Q825" s="25"/>
      <c r="R825" s="25"/>
      <c r="S825" s="26"/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si="577"/>
        <v>0</v>
      </c>
      <c r="AF825" s="32">
        <f t="shared" si="578"/>
        <v>0</v>
      </c>
      <c r="AG825" s="30"/>
      <c r="AH825" s="33"/>
      <c r="AI825" s="34">
        <f t="shared" si="579"/>
        <v>0</v>
      </c>
      <c r="AJ825" s="35"/>
      <c r="AK825" s="30"/>
      <c r="AL825" s="36">
        <f t="shared" si="580"/>
        <v>0</v>
      </c>
      <c r="AM825" s="35"/>
      <c r="AN825" s="30"/>
      <c r="AO825" s="36">
        <f t="shared" si="581"/>
        <v>0</v>
      </c>
      <c r="AP825" s="35"/>
      <c r="AQ825" s="30"/>
      <c r="AR825" s="36">
        <f t="shared" si="582"/>
        <v>0</v>
      </c>
      <c r="AS825" s="27"/>
      <c r="AT825" s="37"/>
      <c r="AU825" s="30"/>
      <c r="AV825" s="36">
        <f t="shared" si="583"/>
        <v>0</v>
      </c>
      <c r="AW825" s="35"/>
      <c r="AX825" s="30"/>
      <c r="AY825" s="32">
        <f t="shared" si="584"/>
        <v>0</v>
      </c>
      <c r="AZ825" s="30"/>
      <c r="BA825" s="63"/>
      <c r="BB825" s="71"/>
      <c r="BC825" s="71"/>
      <c r="BD825" s="71"/>
    </row>
    <row r="826" spans="1:56" x14ac:dyDescent="0.25">
      <c r="A826" s="24" t="str">
        <f>IF(B826="","",SUBTOTAL(3,$B$4:B826))</f>
        <v/>
      </c>
      <c r="B826" s="25"/>
      <c r="C826" s="25" t="str">
        <f t="shared" si="576"/>
        <v xml:space="preserve"> </v>
      </c>
      <c r="D826" s="25"/>
      <c r="E826" s="25"/>
      <c r="F826" s="25"/>
      <c r="G826" s="65"/>
      <c r="H826" s="25"/>
      <c r="I826" s="25"/>
      <c r="J826" s="26"/>
      <c r="K826" s="27"/>
      <c r="L826" s="28"/>
      <c r="M826" s="28"/>
      <c r="N826" s="25"/>
      <c r="O826" s="29"/>
      <c r="P826" s="29"/>
      <c r="Q826" s="25"/>
      <c r="R826" s="25"/>
      <c r="S826" s="26"/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577"/>
        <v>0</v>
      </c>
      <c r="AF826" s="32">
        <f t="shared" si="578"/>
        <v>0</v>
      </c>
      <c r="AG826" s="30"/>
      <c r="AH826" s="33"/>
      <c r="AI826" s="34">
        <f t="shared" si="579"/>
        <v>0</v>
      </c>
      <c r="AJ826" s="35"/>
      <c r="AK826" s="30"/>
      <c r="AL826" s="36">
        <f t="shared" si="580"/>
        <v>0</v>
      </c>
      <c r="AM826" s="35"/>
      <c r="AN826" s="30"/>
      <c r="AO826" s="36">
        <f t="shared" si="581"/>
        <v>0</v>
      </c>
      <c r="AP826" s="35"/>
      <c r="AQ826" s="30"/>
      <c r="AR826" s="36">
        <f t="shared" si="582"/>
        <v>0</v>
      </c>
      <c r="AS826" s="27"/>
      <c r="AT826" s="37"/>
      <c r="AU826" s="30"/>
      <c r="AV826" s="36">
        <f t="shared" si="583"/>
        <v>0</v>
      </c>
      <c r="AW826" s="35"/>
      <c r="AX826" s="30"/>
      <c r="AY826" s="32">
        <f t="shared" si="584"/>
        <v>0</v>
      </c>
      <c r="AZ826" s="30"/>
      <c r="BA826" s="63"/>
      <c r="BB826" s="71"/>
      <c r="BC826" s="71"/>
      <c r="BD826" s="71"/>
    </row>
    <row r="827" spans="1:56" x14ac:dyDescent="0.25">
      <c r="A827" s="24" t="str">
        <f>IF(B827="","",SUBTOTAL(3,$B$4:B827))</f>
        <v/>
      </c>
      <c r="B827" s="25"/>
      <c r="C827" s="25" t="str">
        <f t="shared" si="576"/>
        <v xml:space="preserve"> </v>
      </c>
      <c r="D827" s="25"/>
      <c r="E827" s="25"/>
      <c r="F827" s="25"/>
      <c r="G827" s="65"/>
      <c r="H827" s="25"/>
      <c r="I827" s="25"/>
      <c r="J827" s="26"/>
      <c r="K827" s="27"/>
      <c r="L827" s="28"/>
      <c r="M827" s="28"/>
      <c r="N827" s="25"/>
      <c r="O827" s="29"/>
      <c r="P827" s="29"/>
      <c r="Q827" s="25"/>
      <c r="R827" s="25"/>
      <c r="S827" s="26"/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577"/>
        <v>0</v>
      </c>
      <c r="AF827" s="32">
        <f t="shared" si="578"/>
        <v>0</v>
      </c>
      <c r="AG827" s="30"/>
      <c r="AH827" s="33"/>
      <c r="AI827" s="34">
        <f t="shared" si="579"/>
        <v>0</v>
      </c>
      <c r="AJ827" s="35"/>
      <c r="AK827" s="30"/>
      <c r="AL827" s="36">
        <f t="shared" si="580"/>
        <v>0</v>
      </c>
      <c r="AM827" s="35"/>
      <c r="AN827" s="30"/>
      <c r="AO827" s="36">
        <f t="shared" si="581"/>
        <v>0</v>
      </c>
      <c r="AP827" s="35"/>
      <c r="AQ827" s="30"/>
      <c r="AR827" s="36">
        <f t="shared" si="582"/>
        <v>0</v>
      </c>
      <c r="AS827" s="27"/>
      <c r="AT827" s="37"/>
      <c r="AU827" s="30"/>
      <c r="AV827" s="36">
        <f t="shared" si="583"/>
        <v>0</v>
      </c>
      <c r="AW827" s="35"/>
      <c r="AX827" s="30"/>
      <c r="AY827" s="32">
        <f t="shared" si="584"/>
        <v>0</v>
      </c>
      <c r="AZ827" s="30"/>
      <c r="BA827" s="63"/>
      <c r="BB827" s="71"/>
      <c r="BC827" s="71"/>
      <c r="BD827" s="71"/>
    </row>
    <row r="828" spans="1:56" x14ac:dyDescent="0.25">
      <c r="A828" s="24" t="str">
        <f>IF(B828="","",SUBTOTAL(3,$B$4:B828))</f>
        <v/>
      </c>
      <c r="B828" s="25"/>
      <c r="C828" s="25" t="str">
        <f t="shared" si="576"/>
        <v xml:space="preserve"> </v>
      </c>
      <c r="D828" s="25"/>
      <c r="E828" s="25"/>
      <c r="F828" s="25"/>
      <c r="G828" s="65"/>
      <c r="H828" s="25"/>
      <c r="I828" s="25"/>
      <c r="J828" s="26"/>
      <c r="K828" s="27"/>
      <c r="L828" s="28"/>
      <c r="M828" s="28"/>
      <c r="N828" s="25"/>
      <c r="O828" s="29"/>
      <c r="P828" s="29"/>
      <c r="Q828" s="25"/>
      <c r="R828" s="25"/>
      <c r="S828" s="26"/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577"/>
        <v>0</v>
      </c>
      <c r="AF828" s="32">
        <f t="shared" si="578"/>
        <v>0</v>
      </c>
      <c r="AG828" s="30"/>
      <c r="AH828" s="33"/>
      <c r="AI828" s="34">
        <f t="shared" si="579"/>
        <v>0</v>
      </c>
      <c r="AJ828" s="35"/>
      <c r="AK828" s="30"/>
      <c r="AL828" s="36">
        <f t="shared" si="580"/>
        <v>0</v>
      </c>
      <c r="AM828" s="35"/>
      <c r="AN828" s="30"/>
      <c r="AO828" s="36">
        <f t="shared" si="581"/>
        <v>0</v>
      </c>
      <c r="AP828" s="35"/>
      <c r="AQ828" s="30"/>
      <c r="AR828" s="36">
        <f t="shared" si="582"/>
        <v>0</v>
      </c>
      <c r="AS828" s="27"/>
      <c r="AT828" s="37"/>
      <c r="AU828" s="30"/>
      <c r="AV828" s="36">
        <f t="shared" si="583"/>
        <v>0</v>
      </c>
      <c r="AW828" s="35"/>
      <c r="AX828" s="30"/>
      <c r="AY828" s="32">
        <f t="shared" si="584"/>
        <v>0</v>
      </c>
      <c r="AZ828" s="30"/>
      <c r="BA828" s="63"/>
      <c r="BB828" s="71"/>
      <c r="BC828" s="71"/>
      <c r="BD828" s="71"/>
    </row>
    <row r="829" spans="1:56" x14ac:dyDescent="0.25">
      <c r="A829" s="24" t="str">
        <f>IF(B829="","",SUBTOTAL(3,$B$4:B829))</f>
        <v/>
      </c>
      <c r="B829" s="25"/>
      <c r="C829" s="25" t="str">
        <f t="shared" si="576"/>
        <v xml:space="preserve"> </v>
      </c>
      <c r="D829" s="25"/>
      <c r="E829" s="25"/>
      <c r="F829" s="25"/>
      <c r="G829" s="65"/>
      <c r="H829" s="25"/>
      <c r="I829" s="25"/>
      <c r="J829" s="26"/>
      <c r="K829" s="27"/>
      <c r="L829" s="28"/>
      <c r="M829" s="28"/>
      <c r="N829" s="25"/>
      <c r="O829" s="29"/>
      <c r="P829" s="29"/>
      <c r="Q829" s="25"/>
      <c r="R829" s="25"/>
      <c r="S829" s="26"/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577"/>
        <v>0</v>
      </c>
      <c r="AF829" s="32">
        <f t="shared" si="578"/>
        <v>0</v>
      </c>
      <c r="AG829" s="30"/>
      <c r="AH829" s="33"/>
      <c r="AI829" s="34">
        <f t="shared" si="579"/>
        <v>0</v>
      </c>
      <c r="AJ829" s="35"/>
      <c r="AK829" s="30"/>
      <c r="AL829" s="36">
        <f t="shared" si="580"/>
        <v>0</v>
      </c>
      <c r="AM829" s="35"/>
      <c r="AN829" s="30"/>
      <c r="AO829" s="36">
        <f t="shared" si="581"/>
        <v>0</v>
      </c>
      <c r="AP829" s="35"/>
      <c r="AQ829" s="30"/>
      <c r="AR829" s="36">
        <f t="shared" si="582"/>
        <v>0</v>
      </c>
      <c r="AS829" s="27"/>
      <c r="AT829" s="37"/>
      <c r="AU829" s="30"/>
      <c r="AV829" s="36">
        <f t="shared" si="583"/>
        <v>0</v>
      </c>
      <c r="AW829" s="35"/>
      <c r="AX829" s="30"/>
      <c r="AY829" s="32">
        <f t="shared" si="584"/>
        <v>0</v>
      </c>
      <c r="AZ829" s="30"/>
      <c r="BA829" s="63"/>
      <c r="BB829" s="71"/>
      <c r="BC829" s="71"/>
      <c r="BD829" s="71"/>
    </row>
    <row r="830" spans="1:56" x14ac:dyDescent="0.25">
      <c r="A830" s="24" t="str">
        <f>IF(B830="","",SUBTOTAL(3,$B$4:B830))</f>
        <v/>
      </c>
      <c r="B830" s="25"/>
      <c r="C830" s="25" t="str">
        <f t="shared" si="576"/>
        <v xml:space="preserve"> </v>
      </c>
      <c r="D830" s="25"/>
      <c r="E830" s="25"/>
      <c r="F830" s="25"/>
      <c r="G830" s="65"/>
      <c r="H830" s="25"/>
      <c r="I830" s="25"/>
      <c r="J830" s="26"/>
      <c r="K830" s="27"/>
      <c r="L830" s="28"/>
      <c r="M830" s="28"/>
      <c r="N830" s="25"/>
      <c r="O830" s="29"/>
      <c r="P830" s="29"/>
      <c r="Q830" s="25"/>
      <c r="R830" s="25"/>
      <c r="S830" s="26"/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577"/>
        <v>0</v>
      </c>
      <c r="AF830" s="32">
        <f t="shared" si="578"/>
        <v>0</v>
      </c>
      <c r="AG830" s="30"/>
      <c r="AH830" s="33"/>
      <c r="AI830" s="34">
        <f t="shared" si="579"/>
        <v>0</v>
      </c>
      <c r="AJ830" s="35"/>
      <c r="AK830" s="30"/>
      <c r="AL830" s="36">
        <f t="shared" si="580"/>
        <v>0</v>
      </c>
      <c r="AM830" s="35"/>
      <c r="AN830" s="30"/>
      <c r="AO830" s="36">
        <f t="shared" si="581"/>
        <v>0</v>
      </c>
      <c r="AP830" s="35"/>
      <c r="AQ830" s="30"/>
      <c r="AR830" s="36">
        <f t="shared" si="582"/>
        <v>0</v>
      </c>
      <c r="AS830" s="27"/>
      <c r="AT830" s="37"/>
      <c r="AU830" s="30"/>
      <c r="AV830" s="36">
        <f t="shared" si="583"/>
        <v>0</v>
      </c>
      <c r="AW830" s="35"/>
      <c r="AX830" s="30"/>
      <c r="AY830" s="32">
        <f t="shared" si="584"/>
        <v>0</v>
      </c>
      <c r="AZ830" s="30"/>
      <c r="BA830" s="63"/>
      <c r="BB830" s="71"/>
      <c r="BC830" s="71"/>
      <c r="BD830" s="71"/>
    </row>
    <row r="831" spans="1:56" x14ac:dyDescent="0.25">
      <c r="A831" s="24" t="str">
        <f>IF(B831="","",SUBTOTAL(3,$B$4:B831))</f>
        <v/>
      </c>
      <c r="B831" s="25"/>
      <c r="C831" s="25" t="str">
        <f t="shared" si="576"/>
        <v xml:space="preserve"> </v>
      </c>
      <c r="D831" s="25"/>
      <c r="E831" s="25"/>
      <c r="F831" s="25"/>
      <c r="G831" s="65"/>
      <c r="H831" s="25"/>
      <c r="I831" s="25"/>
      <c r="J831" s="26"/>
      <c r="K831" s="27"/>
      <c r="L831" s="28"/>
      <c r="M831" s="28"/>
      <c r="N831" s="25"/>
      <c r="O831" s="29"/>
      <c r="P831" s="29"/>
      <c r="Q831" s="25"/>
      <c r="R831" s="25"/>
      <c r="S831" s="26"/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577"/>
        <v>0</v>
      </c>
      <c r="AF831" s="32">
        <f t="shared" si="578"/>
        <v>0</v>
      </c>
      <c r="AG831" s="30"/>
      <c r="AH831" s="33"/>
      <c r="AI831" s="34">
        <f t="shared" si="579"/>
        <v>0</v>
      </c>
      <c r="AJ831" s="35"/>
      <c r="AK831" s="30"/>
      <c r="AL831" s="36">
        <f t="shared" si="580"/>
        <v>0</v>
      </c>
      <c r="AM831" s="35"/>
      <c r="AN831" s="30"/>
      <c r="AO831" s="36">
        <f t="shared" si="581"/>
        <v>0</v>
      </c>
      <c r="AP831" s="35"/>
      <c r="AQ831" s="30"/>
      <c r="AR831" s="36">
        <f t="shared" si="582"/>
        <v>0</v>
      </c>
      <c r="AS831" s="27"/>
      <c r="AT831" s="37"/>
      <c r="AU831" s="30"/>
      <c r="AV831" s="36">
        <f t="shared" si="583"/>
        <v>0</v>
      </c>
      <c r="AW831" s="35"/>
      <c r="AX831" s="30"/>
      <c r="AY831" s="32">
        <f t="shared" si="584"/>
        <v>0</v>
      </c>
      <c r="AZ831" s="30"/>
      <c r="BA831" s="63"/>
      <c r="BB831" s="71"/>
      <c r="BC831" s="71"/>
      <c r="BD831" s="71"/>
    </row>
    <row r="832" spans="1:56" x14ac:dyDescent="0.25">
      <c r="A832" s="24" t="str">
        <f>IF(B832="","",SUBTOTAL(3,$B$4:B832))</f>
        <v/>
      </c>
      <c r="B832" s="25"/>
      <c r="C832" s="25" t="str">
        <f t="shared" si="576"/>
        <v xml:space="preserve"> </v>
      </c>
      <c r="D832" s="25"/>
      <c r="E832" s="25"/>
      <c r="F832" s="25"/>
      <c r="G832" s="65"/>
      <c r="H832" s="25"/>
      <c r="I832" s="25"/>
      <c r="J832" s="26"/>
      <c r="K832" s="27"/>
      <c r="L832" s="28"/>
      <c r="M832" s="28"/>
      <c r="N832" s="25"/>
      <c r="O832" s="29"/>
      <c r="P832" s="29"/>
      <c r="Q832" s="25"/>
      <c r="R832" s="25"/>
      <c r="S832" s="26"/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577"/>
        <v>0</v>
      </c>
      <c r="AF832" s="32">
        <f t="shared" si="578"/>
        <v>0</v>
      </c>
      <c r="AG832" s="30"/>
      <c r="AH832" s="33"/>
      <c r="AI832" s="34">
        <f t="shared" si="579"/>
        <v>0</v>
      </c>
      <c r="AJ832" s="35"/>
      <c r="AK832" s="30"/>
      <c r="AL832" s="36">
        <f t="shared" si="580"/>
        <v>0</v>
      </c>
      <c r="AM832" s="35"/>
      <c r="AN832" s="30"/>
      <c r="AO832" s="36">
        <f t="shared" si="581"/>
        <v>0</v>
      </c>
      <c r="AP832" s="35"/>
      <c r="AQ832" s="30"/>
      <c r="AR832" s="36">
        <f t="shared" si="582"/>
        <v>0</v>
      </c>
      <c r="AS832" s="27"/>
      <c r="AT832" s="37"/>
      <c r="AU832" s="30"/>
      <c r="AV832" s="36">
        <f t="shared" si="583"/>
        <v>0</v>
      </c>
      <c r="AW832" s="35"/>
      <c r="AX832" s="30"/>
      <c r="AY832" s="32">
        <f t="shared" si="584"/>
        <v>0</v>
      </c>
      <c r="AZ832" s="30"/>
      <c r="BA832" s="63"/>
      <c r="BB832" s="71"/>
      <c r="BC832" s="71"/>
      <c r="BD832" s="71"/>
    </row>
    <row r="833" spans="1:56" x14ac:dyDescent="0.25">
      <c r="A833" s="24" t="str">
        <f>IF(B833="","",SUBTOTAL(3,$B$4:B833))</f>
        <v/>
      </c>
      <c r="B833" s="25"/>
      <c r="C833" s="25" t="str">
        <f t="shared" si="576"/>
        <v xml:space="preserve"> </v>
      </c>
      <c r="D833" s="25"/>
      <c r="E833" s="25"/>
      <c r="F833" s="25"/>
      <c r="G833" s="65"/>
      <c r="H833" s="25"/>
      <c r="I833" s="25"/>
      <c r="J833" s="26"/>
      <c r="K833" s="27"/>
      <c r="L833" s="28"/>
      <c r="M833" s="28"/>
      <c r="N833" s="25"/>
      <c r="O833" s="29"/>
      <c r="P833" s="29"/>
      <c r="Q833" s="25"/>
      <c r="R833" s="25"/>
      <c r="S833" s="26"/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577"/>
        <v>0</v>
      </c>
      <c r="AF833" s="32">
        <f t="shared" si="578"/>
        <v>0</v>
      </c>
      <c r="AG833" s="30"/>
      <c r="AH833" s="33"/>
      <c r="AI833" s="34">
        <f t="shared" si="579"/>
        <v>0</v>
      </c>
      <c r="AJ833" s="35"/>
      <c r="AK833" s="30"/>
      <c r="AL833" s="36">
        <f t="shared" si="580"/>
        <v>0</v>
      </c>
      <c r="AM833" s="35"/>
      <c r="AN833" s="30"/>
      <c r="AO833" s="36">
        <f t="shared" si="581"/>
        <v>0</v>
      </c>
      <c r="AP833" s="35"/>
      <c r="AQ833" s="30"/>
      <c r="AR833" s="36">
        <f t="shared" si="582"/>
        <v>0</v>
      </c>
      <c r="AS833" s="27"/>
      <c r="AT833" s="37"/>
      <c r="AU833" s="30"/>
      <c r="AV833" s="36">
        <f t="shared" si="583"/>
        <v>0</v>
      </c>
      <c r="AW833" s="35"/>
      <c r="AX833" s="30"/>
      <c r="AY833" s="32">
        <f t="shared" si="584"/>
        <v>0</v>
      </c>
      <c r="AZ833" s="30"/>
      <c r="BA833" s="63"/>
      <c r="BB833" s="71"/>
      <c r="BC833" s="71"/>
      <c r="BD833" s="71"/>
    </row>
    <row r="834" spans="1:56" x14ac:dyDescent="0.25">
      <c r="A834" s="24" t="str">
        <f>IF(B834="","",SUBTOTAL(3,$B$4:B834))</f>
        <v/>
      </c>
      <c r="B834" s="25"/>
      <c r="C834" s="25" t="str">
        <f t="shared" si="576"/>
        <v xml:space="preserve"> </v>
      </c>
      <c r="D834" s="25"/>
      <c r="E834" s="25"/>
      <c r="F834" s="25"/>
      <c r="G834" s="65"/>
      <c r="H834" s="25"/>
      <c r="I834" s="25"/>
      <c r="J834" s="26"/>
      <c r="K834" s="27"/>
      <c r="L834" s="28"/>
      <c r="M834" s="28"/>
      <c r="N834" s="25"/>
      <c r="O834" s="29"/>
      <c r="P834" s="29"/>
      <c r="Q834" s="25"/>
      <c r="R834" s="25"/>
      <c r="S834" s="26"/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577"/>
        <v>0</v>
      </c>
      <c r="AF834" s="32">
        <f t="shared" si="578"/>
        <v>0</v>
      </c>
      <c r="AG834" s="30"/>
      <c r="AH834" s="33"/>
      <c r="AI834" s="34">
        <f t="shared" si="579"/>
        <v>0</v>
      </c>
      <c r="AJ834" s="35"/>
      <c r="AK834" s="30"/>
      <c r="AL834" s="36">
        <f t="shared" si="580"/>
        <v>0</v>
      </c>
      <c r="AM834" s="35"/>
      <c r="AN834" s="30"/>
      <c r="AO834" s="36">
        <f t="shared" si="581"/>
        <v>0</v>
      </c>
      <c r="AP834" s="35"/>
      <c r="AQ834" s="30"/>
      <c r="AR834" s="36">
        <f t="shared" si="582"/>
        <v>0</v>
      </c>
      <c r="AS834" s="27"/>
      <c r="AT834" s="37"/>
      <c r="AU834" s="30"/>
      <c r="AV834" s="36">
        <f t="shared" si="583"/>
        <v>0</v>
      </c>
      <c r="AW834" s="35"/>
      <c r="AX834" s="30"/>
      <c r="AY834" s="32">
        <f t="shared" si="584"/>
        <v>0</v>
      </c>
      <c r="AZ834" s="30"/>
      <c r="BA834" s="63"/>
      <c r="BB834" s="71"/>
      <c r="BC834" s="71"/>
      <c r="BD834" s="71"/>
    </row>
    <row r="835" spans="1:56" x14ac:dyDescent="0.25">
      <c r="A835" s="24" t="str">
        <f>IF(B835="","",SUBTOTAL(3,$B$4:B835))</f>
        <v/>
      </c>
      <c r="B835" s="25"/>
      <c r="C835" s="25" t="str">
        <f t="shared" si="576"/>
        <v xml:space="preserve"> </v>
      </c>
      <c r="D835" s="25"/>
      <c r="E835" s="25"/>
      <c r="F835" s="25"/>
      <c r="G835" s="65"/>
      <c r="H835" s="25"/>
      <c r="I835" s="25"/>
      <c r="J835" s="26"/>
      <c r="K835" s="27"/>
      <c r="L835" s="28"/>
      <c r="M835" s="28"/>
      <c r="N835" s="25"/>
      <c r="O835" s="29"/>
      <c r="P835" s="29"/>
      <c r="Q835" s="25"/>
      <c r="R835" s="25"/>
      <c r="S835" s="26"/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577"/>
        <v>0</v>
      </c>
      <c r="AF835" s="32">
        <f t="shared" si="578"/>
        <v>0</v>
      </c>
      <c r="AG835" s="30"/>
      <c r="AH835" s="33"/>
      <c r="AI835" s="34">
        <f t="shared" si="579"/>
        <v>0</v>
      </c>
      <c r="AJ835" s="35"/>
      <c r="AK835" s="30"/>
      <c r="AL835" s="36">
        <f t="shared" si="580"/>
        <v>0</v>
      </c>
      <c r="AM835" s="35"/>
      <c r="AN835" s="30"/>
      <c r="AO835" s="36">
        <f t="shared" si="581"/>
        <v>0</v>
      </c>
      <c r="AP835" s="35"/>
      <c r="AQ835" s="30"/>
      <c r="AR835" s="36">
        <f t="shared" si="582"/>
        <v>0</v>
      </c>
      <c r="AS835" s="27"/>
      <c r="AT835" s="37"/>
      <c r="AU835" s="30"/>
      <c r="AV835" s="36">
        <f t="shared" si="583"/>
        <v>0</v>
      </c>
      <c r="AW835" s="35"/>
      <c r="AX835" s="30"/>
      <c r="AY835" s="32">
        <f t="shared" si="584"/>
        <v>0</v>
      </c>
      <c r="AZ835" s="30"/>
      <c r="BA835" s="63"/>
      <c r="BB835" s="71"/>
      <c r="BC835" s="71"/>
      <c r="BD835" s="71"/>
    </row>
    <row r="836" spans="1:56" x14ac:dyDescent="0.25">
      <c r="A836" s="24" t="str">
        <f>IF(B836="","",SUBTOTAL(3,$B$4:B836))</f>
        <v/>
      </c>
      <c r="B836" s="25"/>
      <c r="C836" s="25" t="str">
        <f t="shared" si="576"/>
        <v xml:space="preserve"> </v>
      </c>
      <c r="D836" s="25"/>
      <c r="E836" s="25"/>
      <c r="F836" s="25"/>
      <c r="G836" s="65"/>
      <c r="H836" s="25"/>
      <c r="I836" s="25"/>
      <c r="J836" s="26"/>
      <c r="K836" s="27"/>
      <c r="L836" s="28"/>
      <c r="M836" s="28"/>
      <c r="N836" s="25"/>
      <c r="O836" s="29"/>
      <c r="P836" s="29"/>
      <c r="Q836" s="25"/>
      <c r="R836" s="25"/>
      <c r="S836" s="26"/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577"/>
        <v>0</v>
      </c>
      <c r="AF836" s="32">
        <f t="shared" si="578"/>
        <v>0</v>
      </c>
      <c r="AG836" s="30"/>
      <c r="AH836" s="33"/>
      <c r="AI836" s="34">
        <f t="shared" si="579"/>
        <v>0</v>
      </c>
      <c r="AJ836" s="35"/>
      <c r="AK836" s="30"/>
      <c r="AL836" s="36">
        <f t="shared" si="580"/>
        <v>0</v>
      </c>
      <c r="AM836" s="35"/>
      <c r="AN836" s="30"/>
      <c r="AO836" s="36">
        <f t="shared" si="581"/>
        <v>0</v>
      </c>
      <c r="AP836" s="35"/>
      <c r="AQ836" s="30"/>
      <c r="AR836" s="36">
        <f t="shared" si="582"/>
        <v>0</v>
      </c>
      <c r="AS836" s="27"/>
      <c r="AT836" s="37"/>
      <c r="AU836" s="30"/>
      <c r="AV836" s="36">
        <f t="shared" si="583"/>
        <v>0</v>
      </c>
      <c r="AW836" s="35"/>
      <c r="AX836" s="30"/>
      <c r="AY836" s="32">
        <f t="shared" si="584"/>
        <v>0</v>
      </c>
      <c r="AZ836" s="30"/>
      <c r="BA836" s="63"/>
      <c r="BB836" s="71"/>
      <c r="BC836" s="71"/>
      <c r="BD836" s="71"/>
    </row>
    <row r="837" spans="1:56" x14ac:dyDescent="0.25">
      <c r="A837" s="24" t="str">
        <f>IF(B837="","",SUBTOTAL(3,$B$4:B837))</f>
        <v/>
      </c>
      <c r="B837" s="25"/>
      <c r="C837" s="25" t="str">
        <f t="shared" si="576"/>
        <v xml:space="preserve"> </v>
      </c>
      <c r="D837" s="25"/>
      <c r="E837" s="25"/>
      <c r="F837" s="25"/>
      <c r="G837" s="65"/>
      <c r="H837" s="25"/>
      <c r="I837" s="25"/>
      <c r="J837" s="26"/>
      <c r="K837" s="27"/>
      <c r="L837" s="28"/>
      <c r="M837" s="28"/>
      <c r="N837" s="25"/>
      <c r="O837" s="29"/>
      <c r="P837" s="29"/>
      <c r="Q837" s="25"/>
      <c r="R837" s="25"/>
      <c r="S837" s="26"/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577"/>
        <v>0</v>
      </c>
      <c r="AF837" s="32">
        <f t="shared" si="578"/>
        <v>0</v>
      </c>
      <c r="AG837" s="30"/>
      <c r="AH837" s="33"/>
      <c r="AI837" s="34">
        <f t="shared" si="579"/>
        <v>0</v>
      </c>
      <c r="AJ837" s="35"/>
      <c r="AK837" s="30"/>
      <c r="AL837" s="36">
        <f t="shared" si="580"/>
        <v>0</v>
      </c>
      <c r="AM837" s="35"/>
      <c r="AN837" s="30"/>
      <c r="AO837" s="36">
        <f t="shared" si="581"/>
        <v>0</v>
      </c>
      <c r="AP837" s="35"/>
      <c r="AQ837" s="30"/>
      <c r="AR837" s="36">
        <f t="shared" si="582"/>
        <v>0</v>
      </c>
      <c r="AS837" s="27"/>
      <c r="AT837" s="37"/>
      <c r="AU837" s="30"/>
      <c r="AV837" s="36">
        <f t="shared" si="583"/>
        <v>0</v>
      </c>
      <c r="AW837" s="35"/>
      <c r="AX837" s="30"/>
      <c r="AY837" s="32">
        <f t="shared" si="584"/>
        <v>0</v>
      </c>
      <c r="AZ837" s="30"/>
      <c r="BA837" s="63"/>
      <c r="BB837" s="71"/>
      <c r="BC837" s="71"/>
      <c r="BD837" s="71"/>
    </row>
    <row r="838" spans="1:56" x14ac:dyDescent="0.25">
      <c r="A838" s="24" t="str">
        <f>IF(B838="","",SUBTOTAL(3,$B$4:B838))</f>
        <v/>
      </c>
      <c r="B838" s="25"/>
      <c r="C838" s="25" t="str">
        <f t="shared" si="576"/>
        <v xml:space="preserve"> </v>
      </c>
      <c r="D838" s="25"/>
      <c r="E838" s="25"/>
      <c r="F838" s="25"/>
      <c r="G838" s="65"/>
      <c r="H838" s="25"/>
      <c r="I838" s="25"/>
      <c r="J838" s="26"/>
      <c r="K838" s="27"/>
      <c r="L838" s="28"/>
      <c r="M838" s="28"/>
      <c r="N838" s="25"/>
      <c r="O838" s="29"/>
      <c r="P838" s="29"/>
      <c r="Q838" s="25"/>
      <c r="R838" s="25"/>
      <c r="S838" s="26"/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577"/>
        <v>0</v>
      </c>
      <c r="AF838" s="32">
        <f t="shared" si="578"/>
        <v>0</v>
      </c>
      <c r="AG838" s="30"/>
      <c r="AH838" s="33"/>
      <c r="AI838" s="34">
        <f t="shared" si="579"/>
        <v>0</v>
      </c>
      <c r="AJ838" s="35"/>
      <c r="AK838" s="30"/>
      <c r="AL838" s="36">
        <f t="shared" si="580"/>
        <v>0</v>
      </c>
      <c r="AM838" s="35"/>
      <c r="AN838" s="30"/>
      <c r="AO838" s="36">
        <f t="shared" si="581"/>
        <v>0</v>
      </c>
      <c r="AP838" s="35"/>
      <c r="AQ838" s="30"/>
      <c r="AR838" s="36">
        <f t="shared" si="582"/>
        <v>0</v>
      </c>
      <c r="AS838" s="27"/>
      <c r="AT838" s="37"/>
      <c r="AU838" s="30"/>
      <c r="AV838" s="36">
        <f t="shared" si="583"/>
        <v>0</v>
      </c>
      <c r="AW838" s="35"/>
      <c r="AX838" s="30"/>
      <c r="AY838" s="32">
        <f t="shared" si="584"/>
        <v>0</v>
      </c>
      <c r="AZ838" s="30"/>
      <c r="BA838" s="63"/>
      <c r="BB838" s="71"/>
      <c r="BC838" s="71"/>
      <c r="BD838" s="71"/>
    </row>
    <row r="839" spans="1:56" x14ac:dyDescent="0.25">
      <c r="A839" s="24" t="str">
        <f>IF(B839="","",SUBTOTAL(3,$B$4:B839))</f>
        <v/>
      </c>
      <c r="B839" s="25"/>
      <c r="C839" s="25" t="str">
        <f t="shared" si="576"/>
        <v xml:space="preserve"> </v>
      </c>
      <c r="D839" s="25"/>
      <c r="E839" s="25"/>
      <c r="F839" s="25"/>
      <c r="G839" s="65"/>
      <c r="H839" s="25"/>
      <c r="I839" s="25"/>
      <c r="J839" s="26"/>
      <c r="K839" s="27"/>
      <c r="L839" s="28"/>
      <c r="M839" s="28"/>
      <c r="N839" s="25"/>
      <c r="O839" s="29"/>
      <c r="P839" s="29"/>
      <c r="Q839" s="25"/>
      <c r="R839" s="25"/>
      <c r="S839" s="26"/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577"/>
        <v>0</v>
      </c>
      <c r="AF839" s="32">
        <f t="shared" si="578"/>
        <v>0</v>
      </c>
      <c r="AG839" s="30"/>
      <c r="AH839" s="33"/>
      <c r="AI839" s="34">
        <f t="shared" si="579"/>
        <v>0</v>
      </c>
      <c r="AJ839" s="35"/>
      <c r="AK839" s="30"/>
      <c r="AL839" s="36">
        <f t="shared" si="580"/>
        <v>0</v>
      </c>
      <c r="AM839" s="35"/>
      <c r="AN839" s="30"/>
      <c r="AO839" s="36">
        <f t="shared" si="581"/>
        <v>0</v>
      </c>
      <c r="AP839" s="35"/>
      <c r="AQ839" s="30"/>
      <c r="AR839" s="36">
        <f t="shared" si="582"/>
        <v>0</v>
      </c>
      <c r="AS839" s="27"/>
      <c r="AT839" s="37"/>
      <c r="AU839" s="30"/>
      <c r="AV839" s="36">
        <f t="shared" si="583"/>
        <v>0</v>
      </c>
      <c r="AW839" s="35"/>
      <c r="AX839" s="30"/>
      <c r="AY839" s="32">
        <f t="shared" si="584"/>
        <v>0</v>
      </c>
      <c r="AZ839" s="30"/>
      <c r="BA839" s="63"/>
      <c r="BB839" s="71"/>
      <c r="BC839" s="71"/>
      <c r="BD839" s="71"/>
    </row>
    <row r="840" spans="1:56" x14ac:dyDescent="0.25">
      <c r="A840" s="24" t="str">
        <f>IF(B840="","",SUBTOTAL(3,$B$4:B840))</f>
        <v/>
      </c>
      <c r="B840" s="25"/>
      <c r="C840" s="25" t="str">
        <f t="shared" si="576"/>
        <v xml:space="preserve"> </v>
      </c>
      <c r="D840" s="25"/>
      <c r="E840" s="25"/>
      <c r="F840" s="25"/>
      <c r="G840" s="65"/>
      <c r="H840" s="25"/>
      <c r="I840" s="25"/>
      <c r="J840" s="26"/>
      <c r="K840" s="27"/>
      <c r="L840" s="28"/>
      <c r="M840" s="28"/>
      <c r="N840" s="25"/>
      <c r="O840" s="29"/>
      <c r="P840" s="29"/>
      <c r="Q840" s="25"/>
      <c r="R840" s="25"/>
      <c r="S840" s="26"/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577"/>
        <v>0</v>
      </c>
      <c r="AF840" s="32">
        <f t="shared" si="578"/>
        <v>0</v>
      </c>
      <c r="AG840" s="30"/>
      <c r="AH840" s="33"/>
      <c r="AI840" s="34">
        <f t="shared" si="579"/>
        <v>0</v>
      </c>
      <c r="AJ840" s="35"/>
      <c r="AK840" s="30"/>
      <c r="AL840" s="36">
        <f t="shared" si="580"/>
        <v>0</v>
      </c>
      <c r="AM840" s="35"/>
      <c r="AN840" s="30"/>
      <c r="AO840" s="36">
        <f t="shared" si="581"/>
        <v>0</v>
      </c>
      <c r="AP840" s="35"/>
      <c r="AQ840" s="30"/>
      <c r="AR840" s="36">
        <f t="shared" si="582"/>
        <v>0</v>
      </c>
      <c r="AS840" s="27"/>
      <c r="AT840" s="37"/>
      <c r="AU840" s="30"/>
      <c r="AV840" s="36">
        <f t="shared" si="583"/>
        <v>0</v>
      </c>
      <c r="AW840" s="35"/>
      <c r="AX840" s="30"/>
      <c r="AY840" s="32">
        <f t="shared" si="584"/>
        <v>0</v>
      </c>
      <c r="AZ840" s="30"/>
      <c r="BA840" s="63"/>
      <c r="BB840" s="71"/>
      <c r="BC840" s="71"/>
      <c r="BD840" s="71"/>
    </row>
    <row r="841" spans="1:56" x14ac:dyDescent="0.25">
      <c r="A841" s="24" t="str">
        <f>IF(B841="","",SUBTOTAL(3,$B$4:B841))</f>
        <v/>
      </c>
      <c r="B841" s="25"/>
      <c r="C841" s="25" t="str">
        <f t="shared" si="576"/>
        <v xml:space="preserve"> </v>
      </c>
      <c r="D841" s="25"/>
      <c r="E841" s="25"/>
      <c r="F841" s="25"/>
      <c r="G841" s="65"/>
      <c r="H841" s="25"/>
      <c r="I841" s="25"/>
      <c r="J841" s="26"/>
      <c r="K841" s="27"/>
      <c r="L841" s="28"/>
      <c r="M841" s="28"/>
      <c r="N841" s="25"/>
      <c r="O841" s="29"/>
      <c r="P841" s="29"/>
      <c r="Q841" s="25"/>
      <c r="R841" s="25"/>
      <c r="S841" s="26"/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577"/>
        <v>0</v>
      </c>
      <c r="AF841" s="32">
        <f t="shared" si="578"/>
        <v>0</v>
      </c>
      <c r="AG841" s="30"/>
      <c r="AH841" s="33"/>
      <c r="AI841" s="34">
        <f t="shared" si="579"/>
        <v>0</v>
      </c>
      <c r="AJ841" s="35"/>
      <c r="AK841" s="30"/>
      <c r="AL841" s="36">
        <f t="shared" si="580"/>
        <v>0</v>
      </c>
      <c r="AM841" s="35"/>
      <c r="AN841" s="30"/>
      <c r="AO841" s="36">
        <f t="shared" si="581"/>
        <v>0</v>
      </c>
      <c r="AP841" s="35"/>
      <c r="AQ841" s="30"/>
      <c r="AR841" s="36">
        <f t="shared" si="582"/>
        <v>0</v>
      </c>
      <c r="AS841" s="27"/>
      <c r="AT841" s="37"/>
      <c r="AU841" s="30"/>
      <c r="AV841" s="36">
        <f t="shared" si="583"/>
        <v>0</v>
      </c>
      <c r="AW841" s="35"/>
      <c r="AX841" s="30"/>
      <c r="AY841" s="32">
        <f t="shared" si="584"/>
        <v>0</v>
      </c>
      <c r="AZ841" s="30"/>
      <c r="BA841" s="63"/>
      <c r="BB841" s="71"/>
      <c r="BC841" s="71"/>
      <c r="BD841" s="71"/>
    </row>
    <row r="842" spans="1:56" x14ac:dyDescent="0.25">
      <c r="A842" s="24" t="str">
        <f>IF(B842="","",SUBTOTAL(3,$B$4:B842))</f>
        <v/>
      </c>
      <c r="B842" s="25"/>
      <c r="C842" s="25" t="str">
        <f t="shared" si="576"/>
        <v xml:space="preserve"> </v>
      </c>
      <c r="D842" s="25"/>
      <c r="E842" s="25"/>
      <c r="F842" s="25"/>
      <c r="G842" s="65"/>
      <c r="H842" s="25"/>
      <c r="I842" s="25"/>
      <c r="J842" s="26"/>
      <c r="K842" s="27"/>
      <c r="L842" s="28"/>
      <c r="M842" s="28"/>
      <c r="N842" s="25"/>
      <c r="O842" s="29"/>
      <c r="P842" s="29"/>
      <c r="Q842" s="25"/>
      <c r="R842" s="25"/>
      <c r="S842" s="26"/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577"/>
        <v>0</v>
      </c>
      <c r="AF842" s="32">
        <f t="shared" si="578"/>
        <v>0</v>
      </c>
      <c r="AG842" s="30"/>
      <c r="AH842" s="33"/>
      <c r="AI842" s="34">
        <f t="shared" si="579"/>
        <v>0</v>
      </c>
      <c r="AJ842" s="35"/>
      <c r="AK842" s="30"/>
      <c r="AL842" s="36">
        <f t="shared" si="580"/>
        <v>0</v>
      </c>
      <c r="AM842" s="35"/>
      <c r="AN842" s="30"/>
      <c r="AO842" s="36">
        <f t="shared" si="581"/>
        <v>0</v>
      </c>
      <c r="AP842" s="35"/>
      <c r="AQ842" s="30"/>
      <c r="AR842" s="36">
        <f t="shared" si="582"/>
        <v>0</v>
      </c>
      <c r="AS842" s="27"/>
      <c r="AT842" s="37"/>
      <c r="AU842" s="30"/>
      <c r="AV842" s="36">
        <f t="shared" si="583"/>
        <v>0</v>
      </c>
      <c r="AW842" s="35"/>
      <c r="AX842" s="30"/>
      <c r="AY842" s="32">
        <f t="shared" si="584"/>
        <v>0</v>
      </c>
      <c r="AZ842" s="30"/>
      <c r="BA842" s="63"/>
      <c r="BB842" s="71"/>
      <c r="BC842" s="71"/>
      <c r="BD842" s="71"/>
    </row>
    <row r="843" spans="1:56" x14ac:dyDescent="0.25">
      <c r="A843" s="24" t="str">
        <f>IF(B843="","",SUBTOTAL(3,$B$4:B843))</f>
        <v/>
      </c>
      <c r="B843" s="25"/>
      <c r="C843" s="25" t="str">
        <f t="shared" si="576"/>
        <v xml:space="preserve"> </v>
      </c>
      <c r="D843" s="25"/>
      <c r="E843" s="25"/>
      <c r="F843" s="25"/>
      <c r="G843" s="65"/>
      <c r="H843" s="25"/>
      <c r="I843" s="25"/>
      <c r="J843" s="26"/>
      <c r="K843" s="27"/>
      <c r="L843" s="28"/>
      <c r="M843" s="28"/>
      <c r="N843" s="25"/>
      <c r="O843" s="29"/>
      <c r="P843" s="29"/>
      <c r="Q843" s="25"/>
      <c r="R843" s="25"/>
      <c r="S843" s="26"/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577"/>
        <v>0</v>
      </c>
      <c r="AF843" s="32">
        <f t="shared" si="578"/>
        <v>0</v>
      </c>
      <c r="AG843" s="30"/>
      <c r="AH843" s="33"/>
      <c r="AI843" s="34">
        <f t="shared" si="579"/>
        <v>0</v>
      </c>
      <c r="AJ843" s="35"/>
      <c r="AK843" s="30"/>
      <c r="AL843" s="36">
        <f t="shared" si="580"/>
        <v>0</v>
      </c>
      <c r="AM843" s="35"/>
      <c r="AN843" s="30"/>
      <c r="AO843" s="36">
        <f t="shared" si="581"/>
        <v>0</v>
      </c>
      <c r="AP843" s="35"/>
      <c r="AQ843" s="30"/>
      <c r="AR843" s="36">
        <f t="shared" si="582"/>
        <v>0</v>
      </c>
      <c r="AS843" s="27"/>
      <c r="AT843" s="37"/>
      <c r="AU843" s="30"/>
      <c r="AV843" s="36">
        <f t="shared" si="583"/>
        <v>0</v>
      </c>
      <c r="AW843" s="35"/>
      <c r="AX843" s="30"/>
      <c r="AY843" s="32">
        <f t="shared" si="584"/>
        <v>0</v>
      </c>
      <c r="AZ843" s="30"/>
      <c r="BA843" s="63"/>
      <c r="BB843" s="71"/>
      <c r="BC843" s="71"/>
      <c r="BD843" s="71"/>
    </row>
    <row r="844" spans="1:56" x14ac:dyDescent="0.25">
      <c r="A844" s="24" t="str">
        <f>IF(B844="","",SUBTOTAL(3,$B$4:B844))</f>
        <v/>
      </c>
      <c r="B844" s="25"/>
      <c r="C844" s="25" t="str">
        <f t="shared" si="576"/>
        <v xml:space="preserve"> </v>
      </c>
      <c r="D844" s="25"/>
      <c r="E844" s="25"/>
      <c r="F844" s="25"/>
      <c r="G844" s="65"/>
      <c r="H844" s="25"/>
      <c r="I844" s="25"/>
      <c r="J844" s="26"/>
      <c r="K844" s="27"/>
      <c r="L844" s="28"/>
      <c r="M844" s="28"/>
      <c r="N844" s="25"/>
      <c r="O844" s="29"/>
      <c r="P844" s="29"/>
      <c r="Q844" s="25"/>
      <c r="R844" s="25"/>
      <c r="S844" s="26"/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577"/>
        <v>0</v>
      </c>
      <c r="AF844" s="32">
        <f t="shared" si="578"/>
        <v>0</v>
      </c>
      <c r="AG844" s="30"/>
      <c r="AH844" s="33"/>
      <c r="AI844" s="34">
        <f t="shared" si="579"/>
        <v>0</v>
      </c>
      <c r="AJ844" s="35"/>
      <c r="AK844" s="30"/>
      <c r="AL844" s="36">
        <f t="shared" si="580"/>
        <v>0</v>
      </c>
      <c r="AM844" s="35"/>
      <c r="AN844" s="30"/>
      <c r="AO844" s="36">
        <f t="shared" si="581"/>
        <v>0</v>
      </c>
      <c r="AP844" s="35"/>
      <c r="AQ844" s="30"/>
      <c r="AR844" s="36">
        <f t="shared" si="582"/>
        <v>0</v>
      </c>
      <c r="AS844" s="27"/>
      <c r="AT844" s="37"/>
      <c r="AU844" s="30"/>
      <c r="AV844" s="36">
        <f t="shared" si="583"/>
        <v>0</v>
      </c>
      <c r="AW844" s="35"/>
      <c r="AX844" s="30"/>
      <c r="AY844" s="32">
        <f t="shared" si="584"/>
        <v>0</v>
      </c>
      <c r="AZ844" s="30"/>
      <c r="BA844" s="63"/>
      <c r="BB844" s="71"/>
      <c r="BC844" s="71"/>
      <c r="BD844" s="71"/>
    </row>
    <row r="845" spans="1:56" x14ac:dyDescent="0.25">
      <c r="A845" s="24" t="str">
        <f>IF(B845="","",SUBTOTAL(3,$B$4:B845))</f>
        <v/>
      </c>
      <c r="B845" s="25"/>
      <c r="C845" s="25" t="str">
        <f t="shared" si="576"/>
        <v xml:space="preserve"> </v>
      </c>
      <c r="D845" s="25"/>
      <c r="E845" s="25"/>
      <c r="F845" s="25"/>
      <c r="G845" s="65"/>
      <c r="H845" s="25"/>
      <c r="I845" s="25"/>
      <c r="J845" s="26"/>
      <c r="K845" s="27"/>
      <c r="L845" s="28"/>
      <c r="M845" s="28"/>
      <c r="N845" s="25"/>
      <c r="O845" s="29"/>
      <c r="P845" s="29"/>
      <c r="Q845" s="25"/>
      <c r="R845" s="25"/>
      <c r="S845" s="26"/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577"/>
        <v>0</v>
      </c>
      <c r="AF845" s="32">
        <f t="shared" si="578"/>
        <v>0</v>
      </c>
      <c r="AG845" s="30"/>
      <c r="AH845" s="33"/>
      <c r="AI845" s="34">
        <f t="shared" si="579"/>
        <v>0</v>
      </c>
      <c r="AJ845" s="35"/>
      <c r="AK845" s="30"/>
      <c r="AL845" s="36">
        <f t="shared" si="580"/>
        <v>0</v>
      </c>
      <c r="AM845" s="35"/>
      <c r="AN845" s="30"/>
      <c r="AO845" s="36">
        <f t="shared" si="581"/>
        <v>0</v>
      </c>
      <c r="AP845" s="35"/>
      <c r="AQ845" s="30"/>
      <c r="AR845" s="36">
        <f t="shared" si="582"/>
        <v>0</v>
      </c>
      <c r="AS845" s="27"/>
      <c r="AT845" s="37"/>
      <c r="AU845" s="30"/>
      <c r="AV845" s="36">
        <f t="shared" si="583"/>
        <v>0</v>
      </c>
      <c r="AW845" s="35"/>
      <c r="AX845" s="30"/>
      <c r="AY845" s="32">
        <f t="shared" si="584"/>
        <v>0</v>
      </c>
      <c r="AZ845" s="30"/>
      <c r="BA845" s="63"/>
      <c r="BB845" s="71"/>
      <c r="BC845" s="71"/>
      <c r="BD845" s="71"/>
    </row>
    <row r="846" spans="1:56" x14ac:dyDescent="0.25">
      <c r="A846" s="24" t="str">
        <f>IF(B846="","",SUBTOTAL(3,$B$4:B846))</f>
        <v/>
      </c>
      <c r="B846" s="25"/>
      <c r="C846" s="25" t="str">
        <f t="shared" si="576"/>
        <v xml:space="preserve"> </v>
      </c>
      <c r="D846" s="25"/>
      <c r="E846" s="25"/>
      <c r="F846" s="25"/>
      <c r="G846" s="65"/>
      <c r="H846" s="25"/>
      <c r="I846" s="25"/>
      <c r="J846" s="26"/>
      <c r="K846" s="27"/>
      <c r="L846" s="28"/>
      <c r="M846" s="28"/>
      <c r="N846" s="25"/>
      <c r="O846" s="29"/>
      <c r="P846" s="29"/>
      <c r="Q846" s="25"/>
      <c r="R846" s="25"/>
      <c r="S846" s="26"/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577"/>
        <v>0</v>
      </c>
      <c r="AF846" s="32">
        <f t="shared" si="578"/>
        <v>0</v>
      </c>
      <c r="AG846" s="30"/>
      <c r="AH846" s="33"/>
      <c r="AI846" s="34">
        <f t="shared" si="579"/>
        <v>0</v>
      </c>
      <c r="AJ846" s="35"/>
      <c r="AK846" s="30"/>
      <c r="AL846" s="36">
        <f t="shared" si="580"/>
        <v>0</v>
      </c>
      <c r="AM846" s="35"/>
      <c r="AN846" s="30"/>
      <c r="AO846" s="36">
        <f t="shared" si="581"/>
        <v>0</v>
      </c>
      <c r="AP846" s="35"/>
      <c r="AQ846" s="30"/>
      <c r="AR846" s="36">
        <f t="shared" si="582"/>
        <v>0</v>
      </c>
      <c r="AS846" s="27"/>
      <c r="AT846" s="37"/>
      <c r="AU846" s="30"/>
      <c r="AV846" s="36">
        <f t="shared" si="583"/>
        <v>0</v>
      </c>
      <c r="AW846" s="35"/>
      <c r="AX846" s="30"/>
      <c r="AY846" s="32">
        <f t="shared" si="584"/>
        <v>0</v>
      </c>
      <c r="AZ846" s="30"/>
      <c r="BA846" s="63"/>
      <c r="BB846" s="71"/>
      <c r="BC846" s="71"/>
      <c r="BD846" s="71"/>
    </row>
    <row r="847" spans="1:56" x14ac:dyDescent="0.25">
      <c r="A847" s="24" t="str">
        <f>IF(B847="","",SUBTOTAL(3,$B$4:B847))</f>
        <v/>
      </c>
      <c r="B847" s="25"/>
      <c r="C847" s="25" t="str">
        <f t="shared" ref="C847:C902" si="585">D847&amp;" "&amp;E847</f>
        <v xml:space="preserve"> </v>
      </c>
      <c r="D847" s="25"/>
      <c r="E847" s="25"/>
      <c r="F847" s="25"/>
      <c r="G847" s="65"/>
      <c r="H847" s="25"/>
      <c r="I847" s="25"/>
      <c r="J847" s="26"/>
      <c r="K847" s="27"/>
      <c r="L847" s="28"/>
      <c r="M847" s="28"/>
      <c r="N847" s="25"/>
      <c r="O847" s="29"/>
      <c r="P847" s="29"/>
      <c r="Q847" s="25"/>
      <c r="R847" s="25"/>
      <c r="S847" s="26"/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ref="AE847:AE902" si="586">+AL847*0.5+AO847*0.4+AV847*0.1</f>
        <v>0</v>
      </c>
      <c r="AF847" s="32">
        <f t="shared" ref="AF847:AF902" si="587">+P847-AE847</f>
        <v>0</v>
      </c>
      <c r="AG847" s="30"/>
      <c r="AH847" s="33"/>
      <c r="AI847" s="34">
        <f t="shared" ref="AI847:AI902" si="588">+AH847*P847</f>
        <v>0</v>
      </c>
      <c r="AJ847" s="35"/>
      <c r="AK847" s="30"/>
      <c r="AL847" s="36">
        <f t="shared" ref="AL847:AL902" si="589">IFERROR(AK847*$P847/$N847,0)</f>
        <v>0</v>
      </c>
      <c r="AM847" s="35"/>
      <c r="AN847" s="30"/>
      <c r="AO847" s="36">
        <f t="shared" ref="AO847:AO902" si="590">IFERROR(AN847*$P847/$N847,0)</f>
        <v>0</v>
      </c>
      <c r="AP847" s="35"/>
      <c r="AQ847" s="30"/>
      <c r="AR847" s="36">
        <f t="shared" ref="AR847:AR902" si="591">IFERROR(AQ847*$P847/$N847,0)</f>
        <v>0</v>
      </c>
      <c r="AS847" s="27"/>
      <c r="AT847" s="37"/>
      <c r="AU847" s="30"/>
      <c r="AV847" s="36">
        <f t="shared" ref="AV847:AV902" si="592">IFERROR(AU847*$P847/$N847,0)</f>
        <v>0</v>
      </c>
      <c r="AW847" s="35"/>
      <c r="AX847" s="30"/>
      <c r="AY847" s="32">
        <f t="shared" ref="AY847:AY902" si="593">IFERROR(AX847*$P847/$N847,0)</f>
        <v>0</v>
      </c>
      <c r="AZ847" s="30"/>
      <c r="BA847" s="63"/>
      <c r="BB847" s="71"/>
      <c r="BC847" s="71"/>
      <c r="BD847" s="71"/>
    </row>
    <row r="848" spans="1:56" x14ac:dyDescent="0.25">
      <c r="A848" s="24" t="str">
        <f>IF(B848="","",SUBTOTAL(3,$B$4:B848))</f>
        <v/>
      </c>
      <c r="B848" s="25"/>
      <c r="C848" s="25" t="str">
        <f t="shared" si="585"/>
        <v xml:space="preserve"> </v>
      </c>
      <c r="D848" s="25"/>
      <c r="E848" s="25"/>
      <c r="F848" s="25"/>
      <c r="G848" s="65"/>
      <c r="H848" s="25"/>
      <c r="I848" s="25"/>
      <c r="J848" s="26"/>
      <c r="K848" s="27"/>
      <c r="L848" s="28"/>
      <c r="M848" s="28"/>
      <c r="N848" s="25"/>
      <c r="O848" s="29"/>
      <c r="P848" s="29"/>
      <c r="Q848" s="25"/>
      <c r="R848" s="25"/>
      <c r="S848" s="26"/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586"/>
        <v>0</v>
      </c>
      <c r="AF848" s="32">
        <f t="shared" si="587"/>
        <v>0</v>
      </c>
      <c r="AG848" s="30"/>
      <c r="AH848" s="33"/>
      <c r="AI848" s="34">
        <f t="shared" si="588"/>
        <v>0</v>
      </c>
      <c r="AJ848" s="35"/>
      <c r="AK848" s="30"/>
      <c r="AL848" s="36">
        <f t="shared" si="589"/>
        <v>0</v>
      </c>
      <c r="AM848" s="35"/>
      <c r="AN848" s="30"/>
      <c r="AO848" s="36">
        <f t="shared" si="590"/>
        <v>0</v>
      </c>
      <c r="AP848" s="35"/>
      <c r="AQ848" s="30"/>
      <c r="AR848" s="36">
        <f t="shared" si="591"/>
        <v>0</v>
      </c>
      <c r="AS848" s="27"/>
      <c r="AT848" s="37"/>
      <c r="AU848" s="30"/>
      <c r="AV848" s="36">
        <f t="shared" si="592"/>
        <v>0</v>
      </c>
      <c r="AW848" s="35"/>
      <c r="AX848" s="30"/>
      <c r="AY848" s="32">
        <f t="shared" si="593"/>
        <v>0</v>
      </c>
      <c r="AZ848" s="30"/>
      <c r="BA848" s="63"/>
      <c r="BB848" s="71"/>
      <c r="BC848" s="71"/>
      <c r="BD848" s="71"/>
    </row>
    <row r="849" spans="1:56" x14ac:dyDescent="0.25">
      <c r="A849" s="24" t="str">
        <f>IF(B849="","",SUBTOTAL(3,$B$4:B849))</f>
        <v/>
      </c>
      <c r="B849" s="25"/>
      <c r="C849" s="25" t="str">
        <f t="shared" si="585"/>
        <v xml:space="preserve"> </v>
      </c>
      <c r="D849" s="25"/>
      <c r="E849" s="25"/>
      <c r="F849" s="25"/>
      <c r="G849" s="65"/>
      <c r="H849" s="25"/>
      <c r="I849" s="25"/>
      <c r="J849" s="26"/>
      <c r="K849" s="27"/>
      <c r="L849" s="28"/>
      <c r="M849" s="28"/>
      <c r="N849" s="25"/>
      <c r="O849" s="29"/>
      <c r="P849" s="29"/>
      <c r="Q849" s="25"/>
      <c r="R849" s="25"/>
      <c r="S849" s="26"/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si="586"/>
        <v>0</v>
      </c>
      <c r="AF849" s="32">
        <f t="shared" si="587"/>
        <v>0</v>
      </c>
      <c r="AG849" s="30"/>
      <c r="AH849" s="33"/>
      <c r="AI849" s="34">
        <f t="shared" si="588"/>
        <v>0</v>
      </c>
      <c r="AJ849" s="35"/>
      <c r="AK849" s="30"/>
      <c r="AL849" s="36">
        <f t="shared" si="589"/>
        <v>0</v>
      </c>
      <c r="AM849" s="35"/>
      <c r="AN849" s="30"/>
      <c r="AO849" s="36">
        <f t="shared" si="590"/>
        <v>0</v>
      </c>
      <c r="AP849" s="35"/>
      <c r="AQ849" s="30"/>
      <c r="AR849" s="36">
        <f t="shared" si="591"/>
        <v>0</v>
      </c>
      <c r="AS849" s="27"/>
      <c r="AT849" s="37"/>
      <c r="AU849" s="30"/>
      <c r="AV849" s="36">
        <f t="shared" si="592"/>
        <v>0</v>
      </c>
      <c r="AW849" s="35"/>
      <c r="AX849" s="30"/>
      <c r="AY849" s="32">
        <f t="shared" si="593"/>
        <v>0</v>
      </c>
      <c r="AZ849" s="30"/>
      <c r="BA849" s="63"/>
      <c r="BB849" s="71"/>
      <c r="BC849" s="71"/>
      <c r="BD849" s="71"/>
    </row>
    <row r="850" spans="1:56" x14ac:dyDescent="0.25">
      <c r="A850" s="24" t="str">
        <f>IF(B850="","",SUBTOTAL(3,$B$4:B850))</f>
        <v/>
      </c>
      <c r="B850" s="25"/>
      <c r="C850" s="25" t="str">
        <f t="shared" si="585"/>
        <v xml:space="preserve"> </v>
      </c>
      <c r="D850" s="25"/>
      <c r="E850" s="25"/>
      <c r="F850" s="25"/>
      <c r="G850" s="65"/>
      <c r="H850" s="25"/>
      <c r="I850" s="25"/>
      <c r="J850" s="26"/>
      <c r="K850" s="27"/>
      <c r="L850" s="28"/>
      <c r="M850" s="28"/>
      <c r="N850" s="25"/>
      <c r="O850" s="29"/>
      <c r="P850" s="29"/>
      <c r="Q850" s="25"/>
      <c r="R850" s="25"/>
      <c r="S850" s="26"/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586"/>
        <v>0</v>
      </c>
      <c r="AF850" s="32">
        <f t="shared" si="587"/>
        <v>0</v>
      </c>
      <c r="AG850" s="30"/>
      <c r="AH850" s="33"/>
      <c r="AI850" s="34">
        <f t="shared" si="588"/>
        <v>0</v>
      </c>
      <c r="AJ850" s="35"/>
      <c r="AK850" s="30"/>
      <c r="AL850" s="36">
        <f t="shared" si="589"/>
        <v>0</v>
      </c>
      <c r="AM850" s="35"/>
      <c r="AN850" s="30"/>
      <c r="AO850" s="36">
        <f t="shared" si="590"/>
        <v>0</v>
      </c>
      <c r="AP850" s="35"/>
      <c r="AQ850" s="30"/>
      <c r="AR850" s="36">
        <f t="shared" si="591"/>
        <v>0</v>
      </c>
      <c r="AS850" s="27"/>
      <c r="AT850" s="37"/>
      <c r="AU850" s="30"/>
      <c r="AV850" s="36">
        <f t="shared" si="592"/>
        <v>0</v>
      </c>
      <c r="AW850" s="35"/>
      <c r="AX850" s="30"/>
      <c r="AY850" s="32">
        <f t="shared" si="593"/>
        <v>0</v>
      </c>
      <c r="AZ850" s="30"/>
      <c r="BA850" s="63"/>
      <c r="BB850" s="71"/>
      <c r="BC850" s="71"/>
      <c r="BD850" s="71"/>
    </row>
    <row r="851" spans="1:56" x14ac:dyDescent="0.25">
      <c r="A851" s="24" t="str">
        <f>IF(B851="","",SUBTOTAL(3,$B$4:B851))</f>
        <v/>
      </c>
      <c r="B851" s="25"/>
      <c r="C851" s="25" t="str">
        <f t="shared" si="585"/>
        <v xml:space="preserve"> </v>
      </c>
      <c r="D851" s="25"/>
      <c r="E851" s="25"/>
      <c r="F851" s="25"/>
      <c r="G851" s="65"/>
      <c r="H851" s="25"/>
      <c r="I851" s="25"/>
      <c r="J851" s="26"/>
      <c r="K851" s="27"/>
      <c r="L851" s="28"/>
      <c r="M851" s="28"/>
      <c r="N851" s="25"/>
      <c r="O851" s="29"/>
      <c r="P851" s="29"/>
      <c r="Q851" s="25"/>
      <c r="R851" s="25"/>
      <c r="S851" s="26"/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586"/>
        <v>0</v>
      </c>
      <c r="AF851" s="32">
        <f t="shared" si="587"/>
        <v>0</v>
      </c>
      <c r="AG851" s="30"/>
      <c r="AH851" s="33"/>
      <c r="AI851" s="34">
        <f t="shared" si="588"/>
        <v>0</v>
      </c>
      <c r="AJ851" s="35"/>
      <c r="AK851" s="30"/>
      <c r="AL851" s="36">
        <f t="shared" si="589"/>
        <v>0</v>
      </c>
      <c r="AM851" s="35"/>
      <c r="AN851" s="30"/>
      <c r="AO851" s="36">
        <f t="shared" si="590"/>
        <v>0</v>
      </c>
      <c r="AP851" s="35"/>
      <c r="AQ851" s="30"/>
      <c r="AR851" s="36">
        <f t="shared" si="591"/>
        <v>0</v>
      </c>
      <c r="AS851" s="27"/>
      <c r="AT851" s="37"/>
      <c r="AU851" s="30"/>
      <c r="AV851" s="36">
        <f t="shared" si="592"/>
        <v>0</v>
      </c>
      <c r="AW851" s="35"/>
      <c r="AX851" s="30"/>
      <c r="AY851" s="32">
        <f t="shared" si="593"/>
        <v>0</v>
      </c>
      <c r="AZ851" s="30"/>
      <c r="BA851" s="63"/>
      <c r="BB851" s="71"/>
      <c r="BC851" s="71"/>
      <c r="BD851" s="71"/>
    </row>
    <row r="852" spans="1:56" x14ac:dyDescent="0.25">
      <c r="A852" s="24" t="str">
        <f>IF(B852="","",SUBTOTAL(3,$B$4:B852))</f>
        <v/>
      </c>
      <c r="B852" s="25"/>
      <c r="C852" s="25" t="str">
        <f t="shared" si="585"/>
        <v xml:space="preserve"> </v>
      </c>
      <c r="D852" s="25"/>
      <c r="E852" s="25"/>
      <c r="F852" s="25"/>
      <c r="G852" s="65"/>
      <c r="H852" s="25"/>
      <c r="I852" s="25"/>
      <c r="J852" s="26"/>
      <c r="K852" s="27"/>
      <c r="L852" s="28"/>
      <c r="M852" s="28"/>
      <c r="N852" s="25"/>
      <c r="O852" s="29"/>
      <c r="P852" s="29"/>
      <c r="Q852" s="25"/>
      <c r="R852" s="25"/>
      <c r="S852" s="26"/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586"/>
        <v>0</v>
      </c>
      <c r="AF852" s="32">
        <f t="shared" si="587"/>
        <v>0</v>
      </c>
      <c r="AG852" s="30"/>
      <c r="AH852" s="33"/>
      <c r="AI852" s="34">
        <f t="shared" si="588"/>
        <v>0</v>
      </c>
      <c r="AJ852" s="35"/>
      <c r="AK852" s="30"/>
      <c r="AL852" s="36">
        <f t="shared" si="589"/>
        <v>0</v>
      </c>
      <c r="AM852" s="35"/>
      <c r="AN852" s="30"/>
      <c r="AO852" s="36">
        <f t="shared" si="590"/>
        <v>0</v>
      </c>
      <c r="AP852" s="35"/>
      <c r="AQ852" s="30"/>
      <c r="AR852" s="36">
        <f t="shared" si="591"/>
        <v>0</v>
      </c>
      <c r="AS852" s="27"/>
      <c r="AT852" s="37"/>
      <c r="AU852" s="30"/>
      <c r="AV852" s="36">
        <f t="shared" si="592"/>
        <v>0</v>
      </c>
      <c r="AW852" s="35"/>
      <c r="AX852" s="30"/>
      <c r="AY852" s="32">
        <f t="shared" si="593"/>
        <v>0</v>
      </c>
      <c r="AZ852" s="30"/>
      <c r="BA852" s="63"/>
      <c r="BB852" s="71"/>
      <c r="BC852" s="71"/>
      <c r="BD852" s="71"/>
    </row>
    <row r="853" spans="1:56" x14ac:dyDescent="0.25">
      <c r="A853" s="24" t="str">
        <f>IF(B853="","",SUBTOTAL(3,$B$4:B853))</f>
        <v/>
      </c>
      <c r="B853" s="25"/>
      <c r="C853" s="25" t="str">
        <f t="shared" si="585"/>
        <v xml:space="preserve"> </v>
      </c>
      <c r="D853" s="25"/>
      <c r="E853" s="25"/>
      <c r="F853" s="25"/>
      <c r="G853" s="65"/>
      <c r="H853" s="25"/>
      <c r="I853" s="25"/>
      <c r="J853" s="26"/>
      <c r="K853" s="27"/>
      <c r="L853" s="28"/>
      <c r="M853" s="28"/>
      <c r="N853" s="25"/>
      <c r="O853" s="29"/>
      <c r="P853" s="29"/>
      <c r="Q853" s="25"/>
      <c r="R853" s="25"/>
      <c r="S853" s="26"/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586"/>
        <v>0</v>
      </c>
      <c r="AF853" s="32">
        <f t="shared" si="587"/>
        <v>0</v>
      </c>
      <c r="AG853" s="30"/>
      <c r="AH853" s="33"/>
      <c r="AI853" s="34">
        <f t="shared" si="588"/>
        <v>0</v>
      </c>
      <c r="AJ853" s="35"/>
      <c r="AK853" s="30"/>
      <c r="AL853" s="36">
        <f t="shared" si="589"/>
        <v>0</v>
      </c>
      <c r="AM853" s="35"/>
      <c r="AN853" s="30"/>
      <c r="AO853" s="36">
        <f t="shared" si="590"/>
        <v>0</v>
      </c>
      <c r="AP853" s="35"/>
      <c r="AQ853" s="30"/>
      <c r="AR853" s="36">
        <f t="shared" si="591"/>
        <v>0</v>
      </c>
      <c r="AS853" s="27"/>
      <c r="AT853" s="37"/>
      <c r="AU853" s="30"/>
      <c r="AV853" s="36">
        <f t="shared" si="592"/>
        <v>0</v>
      </c>
      <c r="AW853" s="35"/>
      <c r="AX853" s="30"/>
      <c r="AY853" s="32">
        <f t="shared" si="593"/>
        <v>0</v>
      </c>
      <c r="AZ853" s="30"/>
      <c r="BA853" s="63"/>
      <c r="BB853" s="71"/>
      <c r="BC853" s="71"/>
      <c r="BD853" s="71"/>
    </row>
    <row r="854" spans="1:56" x14ac:dyDescent="0.25">
      <c r="A854" s="24" t="str">
        <f>IF(B854="","",SUBTOTAL(3,$B$4:B854))</f>
        <v/>
      </c>
      <c r="B854" s="25"/>
      <c r="C854" s="25" t="str">
        <f t="shared" si="585"/>
        <v xml:space="preserve"> </v>
      </c>
      <c r="D854" s="25"/>
      <c r="E854" s="25"/>
      <c r="F854" s="25"/>
      <c r="G854" s="65"/>
      <c r="H854" s="25"/>
      <c r="I854" s="25"/>
      <c r="J854" s="26"/>
      <c r="K854" s="27"/>
      <c r="L854" s="28"/>
      <c r="M854" s="28"/>
      <c r="N854" s="25"/>
      <c r="O854" s="29"/>
      <c r="P854" s="29"/>
      <c r="Q854" s="25"/>
      <c r="R854" s="25"/>
      <c r="S854" s="26"/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586"/>
        <v>0</v>
      </c>
      <c r="AF854" s="32">
        <f t="shared" si="587"/>
        <v>0</v>
      </c>
      <c r="AG854" s="30"/>
      <c r="AH854" s="33"/>
      <c r="AI854" s="34">
        <f t="shared" si="588"/>
        <v>0</v>
      </c>
      <c r="AJ854" s="35"/>
      <c r="AK854" s="30"/>
      <c r="AL854" s="36">
        <f t="shared" si="589"/>
        <v>0</v>
      </c>
      <c r="AM854" s="35"/>
      <c r="AN854" s="30"/>
      <c r="AO854" s="36">
        <f t="shared" si="590"/>
        <v>0</v>
      </c>
      <c r="AP854" s="35"/>
      <c r="AQ854" s="30"/>
      <c r="AR854" s="36">
        <f t="shared" si="591"/>
        <v>0</v>
      </c>
      <c r="AS854" s="27"/>
      <c r="AT854" s="37"/>
      <c r="AU854" s="30"/>
      <c r="AV854" s="36">
        <f t="shared" si="592"/>
        <v>0</v>
      </c>
      <c r="AW854" s="35"/>
      <c r="AX854" s="30"/>
      <c r="AY854" s="32">
        <f t="shared" si="593"/>
        <v>0</v>
      </c>
      <c r="AZ854" s="30"/>
      <c r="BA854" s="63"/>
      <c r="BB854" s="71"/>
      <c r="BC854" s="71"/>
      <c r="BD854" s="71"/>
    </row>
    <row r="855" spans="1:56" x14ac:dyDescent="0.25">
      <c r="A855" s="24" t="str">
        <f>IF(B855="","",SUBTOTAL(3,$B$4:B855))</f>
        <v/>
      </c>
      <c r="B855" s="25"/>
      <c r="C855" s="25" t="str">
        <f t="shared" si="585"/>
        <v xml:space="preserve"> </v>
      </c>
      <c r="D855" s="25"/>
      <c r="E855" s="25"/>
      <c r="F855" s="25"/>
      <c r="G855" s="65"/>
      <c r="H855" s="25"/>
      <c r="I855" s="25"/>
      <c r="J855" s="26"/>
      <c r="K855" s="27"/>
      <c r="L855" s="28"/>
      <c r="M855" s="28"/>
      <c r="N855" s="25"/>
      <c r="O855" s="29"/>
      <c r="P855" s="29"/>
      <c r="Q855" s="25"/>
      <c r="R855" s="25"/>
      <c r="S855" s="26"/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586"/>
        <v>0</v>
      </c>
      <c r="AF855" s="32">
        <f t="shared" si="587"/>
        <v>0</v>
      </c>
      <c r="AG855" s="30"/>
      <c r="AH855" s="33"/>
      <c r="AI855" s="34">
        <f t="shared" si="588"/>
        <v>0</v>
      </c>
      <c r="AJ855" s="35"/>
      <c r="AK855" s="30"/>
      <c r="AL855" s="36">
        <f t="shared" si="589"/>
        <v>0</v>
      </c>
      <c r="AM855" s="35"/>
      <c r="AN855" s="30"/>
      <c r="AO855" s="36">
        <f t="shared" si="590"/>
        <v>0</v>
      </c>
      <c r="AP855" s="35"/>
      <c r="AQ855" s="30"/>
      <c r="AR855" s="36">
        <f t="shared" si="591"/>
        <v>0</v>
      </c>
      <c r="AS855" s="27"/>
      <c r="AT855" s="37"/>
      <c r="AU855" s="30"/>
      <c r="AV855" s="36">
        <f t="shared" si="592"/>
        <v>0</v>
      </c>
      <c r="AW855" s="35"/>
      <c r="AX855" s="30"/>
      <c r="AY855" s="32">
        <f t="shared" si="593"/>
        <v>0</v>
      </c>
      <c r="AZ855" s="30"/>
      <c r="BA855" s="63"/>
      <c r="BB855" s="71"/>
      <c r="BC855" s="71"/>
      <c r="BD855" s="71"/>
    </row>
    <row r="856" spans="1:56" x14ac:dyDescent="0.25">
      <c r="A856" s="24" t="str">
        <f>IF(B856="","",SUBTOTAL(3,$B$4:B856))</f>
        <v/>
      </c>
      <c r="B856" s="25"/>
      <c r="C856" s="25" t="str">
        <f t="shared" si="585"/>
        <v xml:space="preserve"> </v>
      </c>
      <c r="D856" s="25"/>
      <c r="E856" s="25"/>
      <c r="F856" s="25"/>
      <c r="G856" s="65"/>
      <c r="H856" s="25"/>
      <c r="I856" s="25"/>
      <c r="J856" s="26"/>
      <c r="K856" s="27"/>
      <c r="L856" s="28"/>
      <c r="M856" s="28"/>
      <c r="N856" s="25"/>
      <c r="O856" s="29"/>
      <c r="P856" s="29"/>
      <c r="Q856" s="25"/>
      <c r="R856" s="25"/>
      <c r="S856" s="26"/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586"/>
        <v>0</v>
      </c>
      <c r="AF856" s="32">
        <f t="shared" si="587"/>
        <v>0</v>
      </c>
      <c r="AG856" s="30"/>
      <c r="AH856" s="33"/>
      <c r="AI856" s="34">
        <f t="shared" si="588"/>
        <v>0</v>
      </c>
      <c r="AJ856" s="35"/>
      <c r="AK856" s="30"/>
      <c r="AL856" s="36">
        <f t="shared" si="589"/>
        <v>0</v>
      </c>
      <c r="AM856" s="35"/>
      <c r="AN856" s="30"/>
      <c r="AO856" s="36">
        <f t="shared" si="590"/>
        <v>0</v>
      </c>
      <c r="AP856" s="35"/>
      <c r="AQ856" s="30"/>
      <c r="AR856" s="36">
        <f t="shared" si="591"/>
        <v>0</v>
      </c>
      <c r="AS856" s="27"/>
      <c r="AT856" s="37"/>
      <c r="AU856" s="30"/>
      <c r="AV856" s="36">
        <f t="shared" si="592"/>
        <v>0</v>
      </c>
      <c r="AW856" s="35"/>
      <c r="AX856" s="30"/>
      <c r="AY856" s="32">
        <f t="shared" si="593"/>
        <v>0</v>
      </c>
      <c r="AZ856" s="30"/>
      <c r="BA856" s="63"/>
      <c r="BB856" s="71"/>
      <c r="BC856" s="71"/>
      <c r="BD856" s="71"/>
    </row>
    <row r="857" spans="1:56" x14ac:dyDescent="0.25">
      <c r="A857" s="24" t="str">
        <f>IF(B857="","",SUBTOTAL(3,$B$4:B857))</f>
        <v/>
      </c>
      <c r="B857" s="25"/>
      <c r="C857" s="25" t="str">
        <f t="shared" si="585"/>
        <v xml:space="preserve"> </v>
      </c>
      <c r="D857" s="25"/>
      <c r="E857" s="25"/>
      <c r="F857" s="25"/>
      <c r="G857" s="65"/>
      <c r="H857" s="25"/>
      <c r="I857" s="25"/>
      <c r="J857" s="26"/>
      <c r="K857" s="27"/>
      <c r="L857" s="28"/>
      <c r="M857" s="28"/>
      <c r="N857" s="25"/>
      <c r="O857" s="29"/>
      <c r="P857" s="29"/>
      <c r="Q857" s="25"/>
      <c r="R857" s="25"/>
      <c r="S857" s="26"/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586"/>
        <v>0</v>
      </c>
      <c r="AF857" s="32">
        <f t="shared" si="587"/>
        <v>0</v>
      </c>
      <c r="AG857" s="30"/>
      <c r="AH857" s="33"/>
      <c r="AI857" s="34">
        <f t="shared" si="588"/>
        <v>0</v>
      </c>
      <c r="AJ857" s="35"/>
      <c r="AK857" s="30"/>
      <c r="AL857" s="36">
        <f t="shared" si="589"/>
        <v>0</v>
      </c>
      <c r="AM857" s="35"/>
      <c r="AN857" s="30"/>
      <c r="AO857" s="36">
        <f t="shared" si="590"/>
        <v>0</v>
      </c>
      <c r="AP857" s="35"/>
      <c r="AQ857" s="30"/>
      <c r="AR857" s="36">
        <f t="shared" si="591"/>
        <v>0</v>
      </c>
      <c r="AS857" s="27"/>
      <c r="AT857" s="37"/>
      <c r="AU857" s="30"/>
      <c r="AV857" s="36">
        <f t="shared" si="592"/>
        <v>0</v>
      </c>
      <c r="AW857" s="35"/>
      <c r="AX857" s="30"/>
      <c r="AY857" s="32">
        <f t="shared" si="593"/>
        <v>0</v>
      </c>
      <c r="AZ857" s="30"/>
      <c r="BA857" s="63"/>
      <c r="BB857" s="71"/>
      <c r="BC857" s="71"/>
      <c r="BD857" s="71"/>
    </row>
    <row r="858" spans="1:56" x14ac:dyDescent="0.25">
      <c r="A858" s="24" t="str">
        <f>IF(B858="","",SUBTOTAL(3,$B$4:B858))</f>
        <v/>
      </c>
      <c r="B858" s="25"/>
      <c r="C858" s="25" t="str">
        <f t="shared" si="585"/>
        <v xml:space="preserve"> </v>
      </c>
      <c r="D858" s="25"/>
      <c r="E858" s="25"/>
      <c r="F858" s="25"/>
      <c r="G858" s="65"/>
      <c r="H858" s="25"/>
      <c r="I858" s="25"/>
      <c r="J858" s="26"/>
      <c r="K858" s="27"/>
      <c r="L858" s="28"/>
      <c r="M858" s="28"/>
      <c r="N858" s="25"/>
      <c r="O858" s="29"/>
      <c r="P858" s="29"/>
      <c r="Q858" s="25"/>
      <c r="R858" s="25"/>
      <c r="S858" s="26"/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586"/>
        <v>0</v>
      </c>
      <c r="AF858" s="32">
        <f t="shared" si="587"/>
        <v>0</v>
      </c>
      <c r="AG858" s="30"/>
      <c r="AH858" s="33"/>
      <c r="AI858" s="34">
        <f t="shared" si="588"/>
        <v>0</v>
      </c>
      <c r="AJ858" s="35"/>
      <c r="AK858" s="30"/>
      <c r="AL858" s="36">
        <f t="shared" si="589"/>
        <v>0</v>
      </c>
      <c r="AM858" s="35"/>
      <c r="AN858" s="30"/>
      <c r="AO858" s="36">
        <f t="shared" si="590"/>
        <v>0</v>
      </c>
      <c r="AP858" s="35"/>
      <c r="AQ858" s="30"/>
      <c r="AR858" s="36">
        <f t="shared" si="591"/>
        <v>0</v>
      </c>
      <c r="AS858" s="27"/>
      <c r="AT858" s="37"/>
      <c r="AU858" s="30"/>
      <c r="AV858" s="36">
        <f t="shared" si="592"/>
        <v>0</v>
      </c>
      <c r="AW858" s="35"/>
      <c r="AX858" s="30"/>
      <c r="AY858" s="32">
        <f t="shared" si="593"/>
        <v>0</v>
      </c>
      <c r="AZ858" s="30"/>
      <c r="BA858" s="63"/>
      <c r="BB858" s="71"/>
      <c r="BC858" s="71"/>
      <c r="BD858" s="71"/>
    </row>
    <row r="859" spans="1:56" x14ac:dyDescent="0.25">
      <c r="A859" s="24" t="str">
        <f>IF(B859="","",SUBTOTAL(3,$B$4:B859))</f>
        <v/>
      </c>
      <c r="B859" s="25"/>
      <c r="C859" s="25" t="str">
        <f t="shared" si="585"/>
        <v xml:space="preserve"> </v>
      </c>
      <c r="D859" s="25"/>
      <c r="E859" s="25"/>
      <c r="F859" s="25"/>
      <c r="G859" s="65"/>
      <c r="H859" s="25"/>
      <c r="I859" s="25"/>
      <c r="J859" s="26"/>
      <c r="K859" s="27"/>
      <c r="L859" s="28"/>
      <c r="M859" s="28"/>
      <c r="N859" s="25"/>
      <c r="O859" s="29"/>
      <c r="P859" s="29"/>
      <c r="Q859" s="25"/>
      <c r="R859" s="25"/>
      <c r="S859" s="26"/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586"/>
        <v>0</v>
      </c>
      <c r="AF859" s="32">
        <f t="shared" si="587"/>
        <v>0</v>
      </c>
      <c r="AG859" s="30"/>
      <c r="AH859" s="33"/>
      <c r="AI859" s="34">
        <f t="shared" si="588"/>
        <v>0</v>
      </c>
      <c r="AJ859" s="35"/>
      <c r="AK859" s="30"/>
      <c r="AL859" s="36">
        <f t="shared" si="589"/>
        <v>0</v>
      </c>
      <c r="AM859" s="35"/>
      <c r="AN859" s="30"/>
      <c r="AO859" s="36">
        <f t="shared" si="590"/>
        <v>0</v>
      </c>
      <c r="AP859" s="35"/>
      <c r="AQ859" s="30"/>
      <c r="AR859" s="36">
        <f t="shared" si="591"/>
        <v>0</v>
      </c>
      <c r="AS859" s="27"/>
      <c r="AT859" s="37"/>
      <c r="AU859" s="30"/>
      <c r="AV859" s="36">
        <f t="shared" si="592"/>
        <v>0</v>
      </c>
      <c r="AW859" s="35"/>
      <c r="AX859" s="30"/>
      <c r="AY859" s="32">
        <f t="shared" si="593"/>
        <v>0</v>
      </c>
      <c r="AZ859" s="30"/>
      <c r="BA859" s="63"/>
      <c r="BB859" s="71"/>
      <c r="BC859" s="71"/>
      <c r="BD859" s="71"/>
    </row>
    <row r="860" spans="1:56" x14ac:dyDescent="0.25">
      <c r="A860" s="24" t="str">
        <f>IF(B860="","",SUBTOTAL(3,$B$4:B860))</f>
        <v/>
      </c>
      <c r="B860" s="25"/>
      <c r="C860" s="25" t="str">
        <f t="shared" si="585"/>
        <v xml:space="preserve"> </v>
      </c>
      <c r="D860" s="25"/>
      <c r="E860" s="25"/>
      <c r="F860" s="25"/>
      <c r="G860" s="65"/>
      <c r="H860" s="25"/>
      <c r="I860" s="25"/>
      <c r="J860" s="26"/>
      <c r="K860" s="27"/>
      <c r="L860" s="28"/>
      <c r="M860" s="28"/>
      <c r="N860" s="25"/>
      <c r="O860" s="29"/>
      <c r="P860" s="29"/>
      <c r="Q860" s="25"/>
      <c r="R860" s="25"/>
      <c r="S860" s="26"/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586"/>
        <v>0</v>
      </c>
      <c r="AF860" s="32">
        <f t="shared" si="587"/>
        <v>0</v>
      </c>
      <c r="AG860" s="30"/>
      <c r="AH860" s="33"/>
      <c r="AI860" s="34">
        <f t="shared" si="588"/>
        <v>0</v>
      </c>
      <c r="AJ860" s="35"/>
      <c r="AK860" s="30"/>
      <c r="AL860" s="36">
        <f t="shared" si="589"/>
        <v>0</v>
      </c>
      <c r="AM860" s="35"/>
      <c r="AN860" s="30"/>
      <c r="AO860" s="36">
        <f t="shared" si="590"/>
        <v>0</v>
      </c>
      <c r="AP860" s="35"/>
      <c r="AQ860" s="30"/>
      <c r="AR860" s="36">
        <f t="shared" si="591"/>
        <v>0</v>
      </c>
      <c r="AS860" s="27"/>
      <c r="AT860" s="37"/>
      <c r="AU860" s="30"/>
      <c r="AV860" s="36">
        <f t="shared" si="592"/>
        <v>0</v>
      </c>
      <c r="AW860" s="35"/>
      <c r="AX860" s="30"/>
      <c r="AY860" s="32">
        <f t="shared" si="593"/>
        <v>0</v>
      </c>
      <c r="AZ860" s="30"/>
      <c r="BA860" s="63"/>
      <c r="BB860" s="71"/>
      <c r="BC860" s="71"/>
      <c r="BD860" s="71"/>
    </row>
    <row r="861" spans="1:56" x14ac:dyDescent="0.25">
      <c r="A861" s="24" t="str">
        <f>IF(B861="","",SUBTOTAL(3,$B$4:B861))</f>
        <v/>
      </c>
      <c r="B861" s="25"/>
      <c r="C861" s="25" t="str">
        <f t="shared" si="585"/>
        <v xml:space="preserve"> </v>
      </c>
      <c r="D861" s="25"/>
      <c r="E861" s="25"/>
      <c r="F861" s="25"/>
      <c r="G861" s="65"/>
      <c r="H861" s="25"/>
      <c r="I861" s="25"/>
      <c r="J861" s="26"/>
      <c r="K861" s="27"/>
      <c r="L861" s="28"/>
      <c r="M861" s="28"/>
      <c r="N861" s="25"/>
      <c r="O861" s="29"/>
      <c r="P861" s="29"/>
      <c r="Q861" s="25"/>
      <c r="R861" s="25"/>
      <c r="S861" s="26"/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586"/>
        <v>0</v>
      </c>
      <c r="AF861" s="32">
        <f t="shared" si="587"/>
        <v>0</v>
      </c>
      <c r="AG861" s="30"/>
      <c r="AH861" s="33"/>
      <c r="AI861" s="34">
        <f t="shared" si="588"/>
        <v>0</v>
      </c>
      <c r="AJ861" s="35"/>
      <c r="AK861" s="30"/>
      <c r="AL861" s="36">
        <f t="shared" si="589"/>
        <v>0</v>
      </c>
      <c r="AM861" s="35"/>
      <c r="AN861" s="30"/>
      <c r="AO861" s="36">
        <f t="shared" si="590"/>
        <v>0</v>
      </c>
      <c r="AP861" s="35"/>
      <c r="AQ861" s="30"/>
      <c r="AR861" s="36">
        <f t="shared" si="591"/>
        <v>0</v>
      </c>
      <c r="AS861" s="27"/>
      <c r="AT861" s="37"/>
      <c r="AU861" s="30"/>
      <c r="AV861" s="36">
        <f t="shared" si="592"/>
        <v>0</v>
      </c>
      <c r="AW861" s="35"/>
      <c r="AX861" s="30"/>
      <c r="AY861" s="32">
        <f t="shared" si="593"/>
        <v>0</v>
      </c>
      <c r="AZ861" s="30"/>
      <c r="BA861" s="63"/>
      <c r="BB861" s="71"/>
      <c r="BC861" s="71"/>
      <c r="BD861" s="71"/>
    </row>
    <row r="862" spans="1:56" x14ac:dyDescent="0.25">
      <c r="A862" s="24" t="str">
        <f>IF(B862="","",SUBTOTAL(3,$B$4:B862))</f>
        <v/>
      </c>
      <c r="B862" s="25"/>
      <c r="C862" s="25" t="str">
        <f t="shared" si="585"/>
        <v xml:space="preserve"> </v>
      </c>
      <c r="D862" s="25"/>
      <c r="E862" s="25"/>
      <c r="F862" s="25"/>
      <c r="G862" s="65"/>
      <c r="H862" s="25"/>
      <c r="I862" s="25"/>
      <c r="J862" s="26"/>
      <c r="K862" s="27"/>
      <c r="L862" s="28"/>
      <c r="M862" s="28"/>
      <c r="N862" s="25"/>
      <c r="O862" s="29"/>
      <c r="P862" s="29"/>
      <c r="Q862" s="25"/>
      <c r="R862" s="25"/>
      <c r="S862" s="26"/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586"/>
        <v>0</v>
      </c>
      <c r="AF862" s="32">
        <f t="shared" si="587"/>
        <v>0</v>
      </c>
      <c r="AG862" s="30"/>
      <c r="AH862" s="33"/>
      <c r="AI862" s="34">
        <f t="shared" si="588"/>
        <v>0</v>
      </c>
      <c r="AJ862" s="35"/>
      <c r="AK862" s="30"/>
      <c r="AL862" s="36">
        <f t="shared" si="589"/>
        <v>0</v>
      </c>
      <c r="AM862" s="35"/>
      <c r="AN862" s="30"/>
      <c r="AO862" s="36">
        <f t="shared" si="590"/>
        <v>0</v>
      </c>
      <c r="AP862" s="35"/>
      <c r="AQ862" s="30"/>
      <c r="AR862" s="36">
        <f t="shared" si="591"/>
        <v>0</v>
      </c>
      <c r="AS862" s="27"/>
      <c r="AT862" s="37"/>
      <c r="AU862" s="30"/>
      <c r="AV862" s="36">
        <f t="shared" si="592"/>
        <v>0</v>
      </c>
      <c r="AW862" s="35"/>
      <c r="AX862" s="30"/>
      <c r="AY862" s="32">
        <f t="shared" si="593"/>
        <v>0</v>
      </c>
      <c r="AZ862" s="30"/>
      <c r="BA862" s="63"/>
      <c r="BB862" s="71"/>
      <c r="BC862" s="71"/>
      <c r="BD862" s="71"/>
    </row>
    <row r="863" spans="1:56" x14ac:dyDescent="0.25">
      <c r="A863" s="24" t="str">
        <f>IF(B863="","",SUBTOTAL(3,$B$4:B863))</f>
        <v/>
      </c>
      <c r="B863" s="25"/>
      <c r="C863" s="25" t="str">
        <f t="shared" si="585"/>
        <v xml:space="preserve"> </v>
      </c>
      <c r="D863" s="25"/>
      <c r="E863" s="25"/>
      <c r="F863" s="25"/>
      <c r="G863" s="65"/>
      <c r="H863" s="25"/>
      <c r="I863" s="25"/>
      <c r="J863" s="26"/>
      <c r="K863" s="27"/>
      <c r="L863" s="28"/>
      <c r="M863" s="28"/>
      <c r="N863" s="25"/>
      <c r="O863" s="29"/>
      <c r="P863" s="29"/>
      <c r="Q863" s="25"/>
      <c r="R863" s="25"/>
      <c r="S863" s="26"/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si="586"/>
        <v>0</v>
      </c>
      <c r="AF863" s="32">
        <f t="shared" si="587"/>
        <v>0</v>
      </c>
      <c r="AG863" s="30"/>
      <c r="AH863" s="33"/>
      <c r="AI863" s="34">
        <f t="shared" si="588"/>
        <v>0</v>
      </c>
      <c r="AJ863" s="35"/>
      <c r="AK863" s="30"/>
      <c r="AL863" s="36">
        <f t="shared" si="589"/>
        <v>0</v>
      </c>
      <c r="AM863" s="35"/>
      <c r="AN863" s="30"/>
      <c r="AO863" s="36">
        <f t="shared" si="590"/>
        <v>0</v>
      </c>
      <c r="AP863" s="35"/>
      <c r="AQ863" s="30"/>
      <c r="AR863" s="36">
        <f t="shared" si="591"/>
        <v>0</v>
      </c>
      <c r="AS863" s="27"/>
      <c r="AT863" s="37"/>
      <c r="AU863" s="30"/>
      <c r="AV863" s="36">
        <f t="shared" si="592"/>
        <v>0</v>
      </c>
      <c r="AW863" s="35"/>
      <c r="AX863" s="30"/>
      <c r="AY863" s="32">
        <f t="shared" si="593"/>
        <v>0</v>
      </c>
      <c r="AZ863" s="30"/>
      <c r="BA863" s="63"/>
      <c r="BB863" s="71"/>
      <c r="BC863" s="71"/>
      <c r="BD863" s="71"/>
    </row>
    <row r="864" spans="1:56" x14ac:dyDescent="0.25">
      <c r="A864" s="24" t="str">
        <f>IF(B864="","",SUBTOTAL(3,$B$4:B864))</f>
        <v/>
      </c>
      <c r="B864" s="25"/>
      <c r="C864" s="25" t="str">
        <f t="shared" si="585"/>
        <v xml:space="preserve"> </v>
      </c>
      <c r="D864" s="25"/>
      <c r="E864" s="25"/>
      <c r="F864" s="25"/>
      <c r="G864" s="65"/>
      <c r="H864" s="25"/>
      <c r="I864" s="25"/>
      <c r="J864" s="26"/>
      <c r="K864" s="27"/>
      <c r="L864" s="28"/>
      <c r="M864" s="28"/>
      <c r="N864" s="25"/>
      <c r="O864" s="29"/>
      <c r="P864" s="29"/>
      <c r="Q864" s="25"/>
      <c r="R864" s="25"/>
      <c r="S864" s="26"/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586"/>
        <v>0</v>
      </c>
      <c r="AF864" s="32">
        <f t="shared" si="587"/>
        <v>0</v>
      </c>
      <c r="AG864" s="30"/>
      <c r="AH864" s="33"/>
      <c r="AI864" s="34">
        <f t="shared" si="588"/>
        <v>0</v>
      </c>
      <c r="AJ864" s="35"/>
      <c r="AK864" s="30"/>
      <c r="AL864" s="36">
        <f t="shared" si="589"/>
        <v>0</v>
      </c>
      <c r="AM864" s="35"/>
      <c r="AN864" s="30"/>
      <c r="AO864" s="36">
        <f t="shared" si="590"/>
        <v>0</v>
      </c>
      <c r="AP864" s="35"/>
      <c r="AQ864" s="30"/>
      <c r="AR864" s="36">
        <f t="shared" si="591"/>
        <v>0</v>
      </c>
      <c r="AS864" s="27"/>
      <c r="AT864" s="37"/>
      <c r="AU864" s="30"/>
      <c r="AV864" s="36">
        <f t="shared" si="592"/>
        <v>0</v>
      </c>
      <c r="AW864" s="35"/>
      <c r="AX864" s="30"/>
      <c r="AY864" s="32">
        <f t="shared" si="593"/>
        <v>0</v>
      </c>
      <c r="AZ864" s="30"/>
      <c r="BA864" s="63"/>
      <c r="BB864" s="71"/>
      <c r="BC864" s="71"/>
      <c r="BD864" s="71"/>
    </row>
    <row r="865" spans="1:56" x14ac:dyDescent="0.25">
      <c r="A865" s="24" t="str">
        <f>IF(B865="","",SUBTOTAL(3,$B$4:B865))</f>
        <v/>
      </c>
      <c r="B865" s="25"/>
      <c r="C865" s="25" t="str">
        <f t="shared" si="585"/>
        <v xml:space="preserve"> </v>
      </c>
      <c r="D865" s="25"/>
      <c r="E865" s="25"/>
      <c r="F865" s="25"/>
      <c r="G865" s="65"/>
      <c r="H865" s="25"/>
      <c r="I865" s="25"/>
      <c r="J865" s="26"/>
      <c r="K865" s="27"/>
      <c r="L865" s="28"/>
      <c r="M865" s="28"/>
      <c r="N865" s="25"/>
      <c r="O865" s="29"/>
      <c r="P865" s="29"/>
      <c r="Q865" s="25"/>
      <c r="R865" s="25"/>
      <c r="S865" s="26"/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586"/>
        <v>0</v>
      </c>
      <c r="AF865" s="32">
        <f t="shared" si="587"/>
        <v>0</v>
      </c>
      <c r="AG865" s="30"/>
      <c r="AH865" s="33"/>
      <c r="AI865" s="34">
        <f t="shared" si="588"/>
        <v>0</v>
      </c>
      <c r="AJ865" s="35"/>
      <c r="AK865" s="30"/>
      <c r="AL865" s="36">
        <f t="shared" si="589"/>
        <v>0</v>
      </c>
      <c r="AM865" s="35"/>
      <c r="AN865" s="30"/>
      <c r="AO865" s="36">
        <f t="shared" si="590"/>
        <v>0</v>
      </c>
      <c r="AP865" s="35"/>
      <c r="AQ865" s="30"/>
      <c r="AR865" s="36">
        <f t="shared" si="591"/>
        <v>0</v>
      </c>
      <c r="AS865" s="27"/>
      <c r="AT865" s="37"/>
      <c r="AU865" s="30"/>
      <c r="AV865" s="36">
        <f t="shared" si="592"/>
        <v>0</v>
      </c>
      <c r="AW865" s="35"/>
      <c r="AX865" s="30"/>
      <c r="AY865" s="32">
        <f t="shared" si="593"/>
        <v>0</v>
      </c>
      <c r="AZ865" s="30"/>
      <c r="BA865" s="63"/>
      <c r="BB865" s="71"/>
      <c r="BC865" s="71"/>
      <c r="BD865" s="71"/>
    </row>
    <row r="866" spans="1:56" x14ac:dyDescent="0.25">
      <c r="A866" s="24" t="str">
        <f>IF(B866="","",SUBTOTAL(3,$B$4:B866))</f>
        <v/>
      </c>
      <c r="B866" s="25"/>
      <c r="C866" s="25" t="str">
        <f t="shared" si="585"/>
        <v xml:space="preserve"> </v>
      </c>
      <c r="D866" s="25"/>
      <c r="E866" s="25"/>
      <c r="F866" s="25"/>
      <c r="G866" s="65"/>
      <c r="H866" s="25"/>
      <c r="I866" s="25"/>
      <c r="J866" s="26"/>
      <c r="K866" s="27"/>
      <c r="L866" s="28"/>
      <c r="M866" s="28"/>
      <c r="N866" s="25"/>
      <c r="O866" s="29"/>
      <c r="P866" s="29"/>
      <c r="Q866" s="25"/>
      <c r="R866" s="25"/>
      <c r="S866" s="26"/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586"/>
        <v>0</v>
      </c>
      <c r="AF866" s="32">
        <f t="shared" si="587"/>
        <v>0</v>
      </c>
      <c r="AG866" s="30"/>
      <c r="AH866" s="33"/>
      <c r="AI866" s="34">
        <f t="shared" si="588"/>
        <v>0</v>
      </c>
      <c r="AJ866" s="35"/>
      <c r="AK866" s="30"/>
      <c r="AL866" s="36">
        <f t="shared" si="589"/>
        <v>0</v>
      </c>
      <c r="AM866" s="35"/>
      <c r="AN866" s="30"/>
      <c r="AO866" s="36">
        <f t="shared" si="590"/>
        <v>0</v>
      </c>
      <c r="AP866" s="35"/>
      <c r="AQ866" s="30"/>
      <c r="AR866" s="36">
        <f t="shared" si="591"/>
        <v>0</v>
      </c>
      <c r="AS866" s="27"/>
      <c r="AT866" s="37"/>
      <c r="AU866" s="30"/>
      <c r="AV866" s="36">
        <f t="shared" si="592"/>
        <v>0</v>
      </c>
      <c r="AW866" s="35"/>
      <c r="AX866" s="30"/>
      <c r="AY866" s="32">
        <f t="shared" si="593"/>
        <v>0</v>
      </c>
      <c r="AZ866" s="30"/>
      <c r="BA866" s="63"/>
      <c r="BB866" s="71"/>
      <c r="BC866" s="71"/>
      <c r="BD866" s="71"/>
    </row>
    <row r="867" spans="1:56" x14ac:dyDescent="0.25">
      <c r="A867" s="24" t="str">
        <f>IF(B867="","",SUBTOTAL(3,$B$4:B867))</f>
        <v/>
      </c>
      <c r="B867" s="25"/>
      <c r="C867" s="25" t="str">
        <f t="shared" si="585"/>
        <v xml:space="preserve"> </v>
      </c>
      <c r="D867" s="25"/>
      <c r="E867" s="25"/>
      <c r="F867" s="25"/>
      <c r="G867" s="65"/>
      <c r="H867" s="25"/>
      <c r="I867" s="25"/>
      <c r="J867" s="26"/>
      <c r="K867" s="27"/>
      <c r="L867" s="28"/>
      <c r="M867" s="28"/>
      <c r="N867" s="25"/>
      <c r="O867" s="29"/>
      <c r="P867" s="29"/>
      <c r="Q867" s="25"/>
      <c r="R867" s="25"/>
      <c r="S867" s="26"/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si="586"/>
        <v>0</v>
      </c>
      <c r="AF867" s="32">
        <f t="shared" si="587"/>
        <v>0</v>
      </c>
      <c r="AG867" s="30"/>
      <c r="AH867" s="33"/>
      <c r="AI867" s="34">
        <f t="shared" si="588"/>
        <v>0</v>
      </c>
      <c r="AJ867" s="35"/>
      <c r="AK867" s="30"/>
      <c r="AL867" s="36">
        <f t="shared" si="589"/>
        <v>0</v>
      </c>
      <c r="AM867" s="35"/>
      <c r="AN867" s="30"/>
      <c r="AO867" s="36">
        <f t="shared" si="590"/>
        <v>0</v>
      </c>
      <c r="AP867" s="35"/>
      <c r="AQ867" s="30"/>
      <c r="AR867" s="36">
        <f t="shared" si="591"/>
        <v>0</v>
      </c>
      <c r="AS867" s="27"/>
      <c r="AT867" s="37"/>
      <c r="AU867" s="30"/>
      <c r="AV867" s="36">
        <f t="shared" si="592"/>
        <v>0</v>
      </c>
      <c r="AW867" s="35"/>
      <c r="AX867" s="30"/>
      <c r="AY867" s="32">
        <f t="shared" si="593"/>
        <v>0</v>
      </c>
      <c r="AZ867" s="30"/>
      <c r="BA867" s="63"/>
      <c r="BB867" s="71"/>
      <c r="BC867" s="71"/>
      <c r="BD867" s="71"/>
    </row>
    <row r="868" spans="1:56" x14ac:dyDescent="0.25">
      <c r="A868" s="24" t="str">
        <f>IF(B868="","",SUBTOTAL(3,$B$4:B868))</f>
        <v/>
      </c>
      <c r="B868" s="25"/>
      <c r="C868" s="25" t="str">
        <f t="shared" si="585"/>
        <v xml:space="preserve"> </v>
      </c>
      <c r="D868" s="25"/>
      <c r="E868" s="25"/>
      <c r="F868" s="25"/>
      <c r="G868" s="65"/>
      <c r="H868" s="25"/>
      <c r="I868" s="25"/>
      <c r="J868" s="26"/>
      <c r="K868" s="27"/>
      <c r="L868" s="28"/>
      <c r="M868" s="28"/>
      <c r="N868" s="25"/>
      <c r="O868" s="29"/>
      <c r="P868" s="29"/>
      <c r="Q868" s="25"/>
      <c r="R868" s="25"/>
      <c r="S868" s="26"/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586"/>
        <v>0</v>
      </c>
      <c r="AF868" s="32">
        <f t="shared" si="587"/>
        <v>0</v>
      </c>
      <c r="AG868" s="30"/>
      <c r="AH868" s="33"/>
      <c r="AI868" s="34">
        <f t="shared" si="588"/>
        <v>0</v>
      </c>
      <c r="AJ868" s="35"/>
      <c r="AK868" s="30"/>
      <c r="AL868" s="36">
        <f t="shared" si="589"/>
        <v>0</v>
      </c>
      <c r="AM868" s="35"/>
      <c r="AN868" s="30"/>
      <c r="AO868" s="36">
        <f t="shared" si="590"/>
        <v>0</v>
      </c>
      <c r="AP868" s="35"/>
      <c r="AQ868" s="30"/>
      <c r="AR868" s="36">
        <f t="shared" si="591"/>
        <v>0</v>
      </c>
      <c r="AS868" s="27"/>
      <c r="AT868" s="37"/>
      <c r="AU868" s="30"/>
      <c r="AV868" s="36">
        <f t="shared" si="592"/>
        <v>0</v>
      </c>
      <c r="AW868" s="35"/>
      <c r="AX868" s="30"/>
      <c r="AY868" s="32">
        <f t="shared" si="593"/>
        <v>0</v>
      </c>
      <c r="AZ868" s="30"/>
      <c r="BA868" s="63"/>
      <c r="BB868" s="71"/>
      <c r="BC868" s="71"/>
      <c r="BD868" s="71"/>
    </row>
    <row r="869" spans="1:56" x14ac:dyDescent="0.25">
      <c r="A869" s="24" t="str">
        <f>IF(B869="","",SUBTOTAL(3,$B$4:B869))</f>
        <v/>
      </c>
      <c r="B869" s="25"/>
      <c r="C869" s="25" t="str">
        <f t="shared" si="585"/>
        <v xml:space="preserve"> </v>
      </c>
      <c r="D869" s="25"/>
      <c r="E869" s="25"/>
      <c r="F869" s="25"/>
      <c r="G869" s="65"/>
      <c r="H869" s="25"/>
      <c r="I869" s="25"/>
      <c r="J869" s="26"/>
      <c r="K869" s="27"/>
      <c r="L869" s="28"/>
      <c r="M869" s="28"/>
      <c r="N869" s="25"/>
      <c r="O869" s="29"/>
      <c r="P869" s="29"/>
      <c r="Q869" s="25"/>
      <c r="R869" s="25"/>
      <c r="S869" s="26"/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586"/>
        <v>0</v>
      </c>
      <c r="AF869" s="32">
        <f t="shared" si="587"/>
        <v>0</v>
      </c>
      <c r="AG869" s="30"/>
      <c r="AH869" s="33"/>
      <c r="AI869" s="34">
        <f t="shared" si="588"/>
        <v>0</v>
      </c>
      <c r="AJ869" s="35"/>
      <c r="AK869" s="30"/>
      <c r="AL869" s="36">
        <f t="shared" si="589"/>
        <v>0</v>
      </c>
      <c r="AM869" s="35"/>
      <c r="AN869" s="30"/>
      <c r="AO869" s="36">
        <f t="shared" si="590"/>
        <v>0</v>
      </c>
      <c r="AP869" s="35"/>
      <c r="AQ869" s="30"/>
      <c r="AR869" s="36">
        <f t="shared" si="591"/>
        <v>0</v>
      </c>
      <c r="AS869" s="27"/>
      <c r="AT869" s="37"/>
      <c r="AU869" s="30"/>
      <c r="AV869" s="36">
        <f t="shared" si="592"/>
        <v>0</v>
      </c>
      <c r="AW869" s="35"/>
      <c r="AX869" s="30"/>
      <c r="AY869" s="32">
        <f t="shared" si="593"/>
        <v>0</v>
      </c>
      <c r="AZ869" s="30"/>
      <c r="BA869" s="63"/>
      <c r="BB869" s="71"/>
      <c r="BC869" s="71"/>
      <c r="BD869" s="71"/>
    </row>
    <row r="870" spans="1:56" x14ac:dyDescent="0.25">
      <c r="A870" s="24" t="str">
        <f>IF(B870="","",SUBTOTAL(3,$B$4:B870))</f>
        <v/>
      </c>
      <c r="B870" s="25"/>
      <c r="C870" s="25" t="str">
        <f t="shared" si="585"/>
        <v xml:space="preserve"> </v>
      </c>
      <c r="D870" s="25"/>
      <c r="E870" s="25"/>
      <c r="F870" s="25"/>
      <c r="G870" s="65"/>
      <c r="H870" s="25"/>
      <c r="I870" s="25"/>
      <c r="J870" s="26"/>
      <c r="K870" s="27"/>
      <c r="L870" s="28"/>
      <c r="M870" s="28"/>
      <c r="N870" s="25"/>
      <c r="O870" s="29"/>
      <c r="P870" s="29"/>
      <c r="Q870" s="25"/>
      <c r="R870" s="25"/>
      <c r="S870" s="26"/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586"/>
        <v>0</v>
      </c>
      <c r="AF870" s="32">
        <f t="shared" si="587"/>
        <v>0</v>
      </c>
      <c r="AG870" s="30"/>
      <c r="AH870" s="33"/>
      <c r="AI870" s="34">
        <f t="shared" si="588"/>
        <v>0</v>
      </c>
      <c r="AJ870" s="35"/>
      <c r="AK870" s="30"/>
      <c r="AL870" s="36">
        <f t="shared" si="589"/>
        <v>0</v>
      </c>
      <c r="AM870" s="35"/>
      <c r="AN870" s="30"/>
      <c r="AO870" s="36">
        <f t="shared" si="590"/>
        <v>0</v>
      </c>
      <c r="AP870" s="35"/>
      <c r="AQ870" s="30"/>
      <c r="AR870" s="36">
        <f t="shared" si="591"/>
        <v>0</v>
      </c>
      <c r="AS870" s="27"/>
      <c r="AT870" s="37"/>
      <c r="AU870" s="30"/>
      <c r="AV870" s="36">
        <f t="shared" si="592"/>
        <v>0</v>
      </c>
      <c r="AW870" s="35"/>
      <c r="AX870" s="30"/>
      <c r="AY870" s="32">
        <f t="shared" si="593"/>
        <v>0</v>
      </c>
      <c r="AZ870" s="30"/>
      <c r="BA870" s="63"/>
      <c r="BB870" s="71"/>
      <c r="BC870" s="71"/>
      <c r="BD870" s="71"/>
    </row>
    <row r="871" spans="1:56" x14ac:dyDescent="0.25">
      <c r="A871" s="24" t="str">
        <f>IF(B871="","",SUBTOTAL(3,$B$4:B871))</f>
        <v/>
      </c>
      <c r="B871" s="25"/>
      <c r="C871" s="25" t="str">
        <f t="shared" si="585"/>
        <v xml:space="preserve"> </v>
      </c>
      <c r="D871" s="25"/>
      <c r="E871" s="25"/>
      <c r="F871" s="25"/>
      <c r="G871" s="65"/>
      <c r="H871" s="25"/>
      <c r="I871" s="25"/>
      <c r="J871" s="26"/>
      <c r="K871" s="27"/>
      <c r="L871" s="28"/>
      <c r="M871" s="28"/>
      <c r="N871" s="25"/>
      <c r="O871" s="29"/>
      <c r="P871" s="29"/>
      <c r="Q871" s="25"/>
      <c r="R871" s="25"/>
      <c r="S871" s="26"/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586"/>
        <v>0</v>
      </c>
      <c r="AF871" s="32">
        <f t="shared" si="587"/>
        <v>0</v>
      </c>
      <c r="AG871" s="30"/>
      <c r="AH871" s="33"/>
      <c r="AI871" s="34">
        <f t="shared" si="588"/>
        <v>0</v>
      </c>
      <c r="AJ871" s="35"/>
      <c r="AK871" s="30"/>
      <c r="AL871" s="36">
        <f t="shared" si="589"/>
        <v>0</v>
      </c>
      <c r="AM871" s="35"/>
      <c r="AN871" s="30"/>
      <c r="AO871" s="36">
        <f t="shared" si="590"/>
        <v>0</v>
      </c>
      <c r="AP871" s="35"/>
      <c r="AQ871" s="30"/>
      <c r="AR871" s="36">
        <f t="shared" si="591"/>
        <v>0</v>
      </c>
      <c r="AS871" s="27"/>
      <c r="AT871" s="37"/>
      <c r="AU871" s="30"/>
      <c r="AV871" s="36">
        <f t="shared" si="592"/>
        <v>0</v>
      </c>
      <c r="AW871" s="35"/>
      <c r="AX871" s="30"/>
      <c r="AY871" s="32">
        <f t="shared" si="593"/>
        <v>0</v>
      </c>
      <c r="AZ871" s="30"/>
      <c r="BA871" s="63"/>
      <c r="BB871" s="71"/>
      <c r="BC871" s="71"/>
      <c r="BD871" s="71"/>
    </row>
    <row r="872" spans="1:56" x14ac:dyDescent="0.25">
      <c r="A872" s="24" t="str">
        <f>IF(B872="","",SUBTOTAL(3,$B$4:B872))</f>
        <v/>
      </c>
      <c r="B872" s="25"/>
      <c r="C872" s="25" t="str">
        <f t="shared" si="585"/>
        <v xml:space="preserve"> </v>
      </c>
      <c r="D872" s="25"/>
      <c r="E872" s="25"/>
      <c r="F872" s="25"/>
      <c r="G872" s="65"/>
      <c r="H872" s="25"/>
      <c r="I872" s="25"/>
      <c r="J872" s="26"/>
      <c r="K872" s="27"/>
      <c r="L872" s="28"/>
      <c r="M872" s="28"/>
      <c r="N872" s="25"/>
      <c r="O872" s="29"/>
      <c r="P872" s="29"/>
      <c r="Q872" s="25"/>
      <c r="R872" s="25"/>
      <c r="S872" s="26"/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586"/>
        <v>0</v>
      </c>
      <c r="AF872" s="32">
        <f t="shared" si="587"/>
        <v>0</v>
      </c>
      <c r="AG872" s="30"/>
      <c r="AH872" s="33"/>
      <c r="AI872" s="34">
        <f t="shared" si="588"/>
        <v>0</v>
      </c>
      <c r="AJ872" s="35"/>
      <c r="AK872" s="30"/>
      <c r="AL872" s="36">
        <f t="shared" si="589"/>
        <v>0</v>
      </c>
      <c r="AM872" s="35"/>
      <c r="AN872" s="30"/>
      <c r="AO872" s="36">
        <f t="shared" si="590"/>
        <v>0</v>
      </c>
      <c r="AP872" s="35"/>
      <c r="AQ872" s="30"/>
      <c r="AR872" s="36">
        <f t="shared" si="591"/>
        <v>0</v>
      </c>
      <c r="AS872" s="27"/>
      <c r="AT872" s="37"/>
      <c r="AU872" s="30"/>
      <c r="AV872" s="36">
        <f t="shared" si="592"/>
        <v>0</v>
      </c>
      <c r="AW872" s="35"/>
      <c r="AX872" s="30"/>
      <c r="AY872" s="32">
        <f t="shared" si="593"/>
        <v>0</v>
      </c>
      <c r="AZ872" s="30"/>
      <c r="BA872" s="63"/>
      <c r="BB872" s="71"/>
      <c r="BC872" s="71"/>
      <c r="BD872" s="71"/>
    </row>
    <row r="873" spans="1:56" x14ac:dyDescent="0.25">
      <c r="A873" s="24" t="str">
        <f>IF(B873="","",SUBTOTAL(3,$B$4:B873))</f>
        <v/>
      </c>
      <c r="B873" s="25"/>
      <c r="C873" s="25" t="str">
        <f t="shared" si="585"/>
        <v xml:space="preserve"> </v>
      </c>
      <c r="D873" s="25"/>
      <c r="E873" s="25"/>
      <c r="F873" s="25"/>
      <c r="G873" s="65"/>
      <c r="H873" s="25"/>
      <c r="I873" s="25"/>
      <c r="J873" s="26"/>
      <c r="K873" s="27"/>
      <c r="L873" s="28"/>
      <c r="M873" s="28"/>
      <c r="N873" s="25"/>
      <c r="O873" s="29"/>
      <c r="P873" s="29"/>
      <c r="Q873" s="25"/>
      <c r="R873" s="25"/>
      <c r="S873" s="26"/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586"/>
        <v>0</v>
      </c>
      <c r="AF873" s="32">
        <f t="shared" si="587"/>
        <v>0</v>
      </c>
      <c r="AG873" s="30"/>
      <c r="AH873" s="33"/>
      <c r="AI873" s="34">
        <f t="shared" si="588"/>
        <v>0</v>
      </c>
      <c r="AJ873" s="35"/>
      <c r="AK873" s="30"/>
      <c r="AL873" s="36">
        <f t="shared" si="589"/>
        <v>0</v>
      </c>
      <c r="AM873" s="35"/>
      <c r="AN873" s="30"/>
      <c r="AO873" s="36">
        <f t="shared" si="590"/>
        <v>0</v>
      </c>
      <c r="AP873" s="35"/>
      <c r="AQ873" s="30"/>
      <c r="AR873" s="36">
        <f t="shared" si="591"/>
        <v>0</v>
      </c>
      <c r="AS873" s="27"/>
      <c r="AT873" s="37"/>
      <c r="AU873" s="30"/>
      <c r="AV873" s="36">
        <f t="shared" si="592"/>
        <v>0</v>
      </c>
      <c r="AW873" s="35"/>
      <c r="AX873" s="30"/>
      <c r="AY873" s="32">
        <f t="shared" si="593"/>
        <v>0</v>
      </c>
      <c r="AZ873" s="30"/>
      <c r="BA873" s="63"/>
      <c r="BB873" s="71"/>
      <c r="BC873" s="71"/>
      <c r="BD873" s="71"/>
    </row>
    <row r="874" spans="1:56" x14ac:dyDescent="0.25">
      <c r="A874" s="24" t="str">
        <f>IF(B874="","",SUBTOTAL(3,$B$4:B874))</f>
        <v/>
      </c>
      <c r="B874" s="25"/>
      <c r="C874" s="25" t="str">
        <f t="shared" si="585"/>
        <v xml:space="preserve"> </v>
      </c>
      <c r="D874" s="25"/>
      <c r="E874" s="25"/>
      <c r="F874" s="25"/>
      <c r="G874" s="65"/>
      <c r="H874" s="25"/>
      <c r="I874" s="25"/>
      <c r="J874" s="26"/>
      <c r="K874" s="27"/>
      <c r="L874" s="28"/>
      <c r="M874" s="28"/>
      <c r="N874" s="25"/>
      <c r="O874" s="29"/>
      <c r="P874" s="29"/>
      <c r="Q874" s="25"/>
      <c r="R874" s="25"/>
      <c r="S874" s="26"/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586"/>
        <v>0</v>
      </c>
      <c r="AF874" s="32">
        <f t="shared" si="587"/>
        <v>0</v>
      </c>
      <c r="AG874" s="30"/>
      <c r="AH874" s="33"/>
      <c r="AI874" s="34">
        <f t="shared" si="588"/>
        <v>0</v>
      </c>
      <c r="AJ874" s="35"/>
      <c r="AK874" s="30"/>
      <c r="AL874" s="36">
        <f t="shared" si="589"/>
        <v>0</v>
      </c>
      <c r="AM874" s="35"/>
      <c r="AN874" s="30"/>
      <c r="AO874" s="36">
        <f t="shared" si="590"/>
        <v>0</v>
      </c>
      <c r="AP874" s="35"/>
      <c r="AQ874" s="30"/>
      <c r="AR874" s="36">
        <f t="shared" si="591"/>
        <v>0</v>
      </c>
      <c r="AS874" s="27"/>
      <c r="AT874" s="37"/>
      <c r="AU874" s="30"/>
      <c r="AV874" s="36">
        <f t="shared" si="592"/>
        <v>0</v>
      </c>
      <c r="AW874" s="35"/>
      <c r="AX874" s="30"/>
      <c r="AY874" s="32">
        <f t="shared" si="593"/>
        <v>0</v>
      </c>
      <c r="AZ874" s="30"/>
      <c r="BA874" s="63"/>
      <c r="BB874" s="71"/>
      <c r="BC874" s="71"/>
      <c r="BD874" s="71"/>
    </row>
    <row r="875" spans="1:56" x14ac:dyDescent="0.25">
      <c r="A875" s="24" t="str">
        <f>IF(B875="","",SUBTOTAL(3,$B$4:B875))</f>
        <v/>
      </c>
      <c r="B875" s="25"/>
      <c r="C875" s="25" t="str">
        <f t="shared" si="585"/>
        <v xml:space="preserve"> </v>
      </c>
      <c r="D875" s="25"/>
      <c r="E875" s="25"/>
      <c r="F875" s="25"/>
      <c r="G875" s="65"/>
      <c r="H875" s="25"/>
      <c r="I875" s="25"/>
      <c r="J875" s="26"/>
      <c r="K875" s="27"/>
      <c r="L875" s="28"/>
      <c r="M875" s="28"/>
      <c r="N875" s="25"/>
      <c r="O875" s="29"/>
      <c r="P875" s="29"/>
      <c r="Q875" s="25"/>
      <c r="R875" s="25"/>
      <c r="S875" s="26"/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586"/>
        <v>0</v>
      </c>
      <c r="AF875" s="32">
        <f t="shared" si="587"/>
        <v>0</v>
      </c>
      <c r="AG875" s="30"/>
      <c r="AH875" s="33"/>
      <c r="AI875" s="34">
        <f t="shared" si="588"/>
        <v>0</v>
      </c>
      <c r="AJ875" s="35"/>
      <c r="AK875" s="30"/>
      <c r="AL875" s="36">
        <f t="shared" si="589"/>
        <v>0</v>
      </c>
      <c r="AM875" s="35"/>
      <c r="AN875" s="30"/>
      <c r="AO875" s="36">
        <f t="shared" si="590"/>
        <v>0</v>
      </c>
      <c r="AP875" s="35"/>
      <c r="AQ875" s="30"/>
      <c r="AR875" s="36">
        <f t="shared" si="591"/>
        <v>0</v>
      </c>
      <c r="AS875" s="27"/>
      <c r="AT875" s="37"/>
      <c r="AU875" s="30"/>
      <c r="AV875" s="36">
        <f t="shared" si="592"/>
        <v>0</v>
      </c>
      <c r="AW875" s="35"/>
      <c r="AX875" s="30"/>
      <c r="AY875" s="32">
        <f t="shared" si="593"/>
        <v>0</v>
      </c>
      <c r="AZ875" s="30"/>
      <c r="BA875" s="63"/>
      <c r="BB875" s="71"/>
      <c r="BC875" s="71"/>
      <c r="BD875" s="71"/>
    </row>
    <row r="876" spans="1:56" x14ac:dyDescent="0.25">
      <c r="A876" s="24" t="str">
        <f>IF(B876="","",SUBTOTAL(3,$B$4:B876))</f>
        <v/>
      </c>
      <c r="B876" s="25"/>
      <c r="C876" s="25" t="str">
        <f t="shared" si="585"/>
        <v xml:space="preserve"> </v>
      </c>
      <c r="D876" s="25"/>
      <c r="E876" s="25"/>
      <c r="F876" s="25"/>
      <c r="G876" s="65"/>
      <c r="H876" s="25"/>
      <c r="I876" s="25"/>
      <c r="J876" s="26"/>
      <c r="K876" s="27"/>
      <c r="L876" s="28"/>
      <c r="M876" s="28"/>
      <c r="N876" s="25"/>
      <c r="O876" s="29"/>
      <c r="P876" s="29"/>
      <c r="Q876" s="25"/>
      <c r="R876" s="25"/>
      <c r="S876" s="26"/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586"/>
        <v>0</v>
      </c>
      <c r="AF876" s="32">
        <f t="shared" si="587"/>
        <v>0</v>
      </c>
      <c r="AG876" s="30"/>
      <c r="AH876" s="33"/>
      <c r="AI876" s="34">
        <f t="shared" si="588"/>
        <v>0</v>
      </c>
      <c r="AJ876" s="35"/>
      <c r="AK876" s="30"/>
      <c r="AL876" s="36">
        <f t="shared" si="589"/>
        <v>0</v>
      </c>
      <c r="AM876" s="35"/>
      <c r="AN876" s="30"/>
      <c r="AO876" s="36">
        <f t="shared" si="590"/>
        <v>0</v>
      </c>
      <c r="AP876" s="35"/>
      <c r="AQ876" s="30"/>
      <c r="AR876" s="36">
        <f t="shared" si="591"/>
        <v>0</v>
      </c>
      <c r="AS876" s="27"/>
      <c r="AT876" s="37"/>
      <c r="AU876" s="30"/>
      <c r="AV876" s="36">
        <f t="shared" si="592"/>
        <v>0</v>
      </c>
      <c r="AW876" s="35"/>
      <c r="AX876" s="30"/>
      <c r="AY876" s="32">
        <f t="shared" si="593"/>
        <v>0</v>
      </c>
      <c r="AZ876" s="30"/>
      <c r="BA876" s="63"/>
      <c r="BB876" s="71"/>
      <c r="BC876" s="71"/>
      <c r="BD876" s="71"/>
    </row>
    <row r="877" spans="1:56" x14ac:dyDescent="0.25">
      <c r="A877" s="24" t="str">
        <f>IF(B877="","",SUBTOTAL(3,$B$4:B877))</f>
        <v/>
      </c>
      <c r="B877" s="25"/>
      <c r="C877" s="25" t="str">
        <f t="shared" si="585"/>
        <v xml:space="preserve"> </v>
      </c>
      <c r="D877" s="25"/>
      <c r="E877" s="25"/>
      <c r="F877" s="25"/>
      <c r="G877" s="65"/>
      <c r="H877" s="25"/>
      <c r="I877" s="25"/>
      <c r="J877" s="26"/>
      <c r="K877" s="27"/>
      <c r="L877" s="28"/>
      <c r="M877" s="28"/>
      <c r="N877" s="25"/>
      <c r="O877" s="29"/>
      <c r="P877" s="29"/>
      <c r="Q877" s="25"/>
      <c r="R877" s="25"/>
      <c r="S877" s="26"/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586"/>
        <v>0</v>
      </c>
      <c r="AF877" s="32">
        <f t="shared" si="587"/>
        <v>0</v>
      </c>
      <c r="AG877" s="30"/>
      <c r="AH877" s="33"/>
      <c r="AI877" s="34">
        <f t="shared" si="588"/>
        <v>0</v>
      </c>
      <c r="AJ877" s="35"/>
      <c r="AK877" s="30"/>
      <c r="AL877" s="36">
        <f t="shared" si="589"/>
        <v>0</v>
      </c>
      <c r="AM877" s="35"/>
      <c r="AN877" s="30"/>
      <c r="AO877" s="36">
        <f t="shared" si="590"/>
        <v>0</v>
      </c>
      <c r="AP877" s="35"/>
      <c r="AQ877" s="30"/>
      <c r="AR877" s="36">
        <f t="shared" si="591"/>
        <v>0</v>
      </c>
      <c r="AS877" s="27"/>
      <c r="AT877" s="37"/>
      <c r="AU877" s="30"/>
      <c r="AV877" s="36">
        <f t="shared" si="592"/>
        <v>0</v>
      </c>
      <c r="AW877" s="35"/>
      <c r="AX877" s="30"/>
      <c r="AY877" s="32">
        <f t="shared" si="593"/>
        <v>0</v>
      </c>
      <c r="AZ877" s="30"/>
      <c r="BA877" s="63"/>
      <c r="BB877" s="71"/>
      <c r="BC877" s="71"/>
      <c r="BD877" s="71"/>
    </row>
    <row r="878" spans="1:56" x14ac:dyDescent="0.25">
      <c r="A878" s="24" t="str">
        <f>IF(B878="","",SUBTOTAL(3,$B$4:B878))</f>
        <v/>
      </c>
      <c r="B878" s="25"/>
      <c r="C878" s="25" t="str">
        <f t="shared" si="585"/>
        <v xml:space="preserve"> </v>
      </c>
      <c r="D878" s="25"/>
      <c r="E878" s="25"/>
      <c r="F878" s="25"/>
      <c r="G878" s="65"/>
      <c r="H878" s="25"/>
      <c r="I878" s="25"/>
      <c r="J878" s="26"/>
      <c r="K878" s="27"/>
      <c r="L878" s="28"/>
      <c r="M878" s="28"/>
      <c r="N878" s="25"/>
      <c r="O878" s="29"/>
      <c r="P878" s="29"/>
      <c r="Q878" s="25"/>
      <c r="R878" s="25"/>
      <c r="S878" s="26"/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586"/>
        <v>0</v>
      </c>
      <c r="AF878" s="32">
        <f t="shared" si="587"/>
        <v>0</v>
      </c>
      <c r="AG878" s="30"/>
      <c r="AH878" s="33"/>
      <c r="AI878" s="34">
        <f t="shared" si="588"/>
        <v>0</v>
      </c>
      <c r="AJ878" s="35"/>
      <c r="AK878" s="30"/>
      <c r="AL878" s="36">
        <f t="shared" si="589"/>
        <v>0</v>
      </c>
      <c r="AM878" s="35"/>
      <c r="AN878" s="30"/>
      <c r="AO878" s="36">
        <f t="shared" si="590"/>
        <v>0</v>
      </c>
      <c r="AP878" s="35"/>
      <c r="AQ878" s="30"/>
      <c r="AR878" s="36">
        <f t="shared" si="591"/>
        <v>0</v>
      </c>
      <c r="AS878" s="27"/>
      <c r="AT878" s="37"/>
      <c r="AU878" s="30"/>
      <c r="AV878" s="36">
        <f t="shared" si="592"/>
        <v>0</v>
      </c>
      <c r="AW878" s="35"/>
      <c r="AX878" s="30"/>
      <c r="AY878" s="32">
        <f t="shared" si="593"/>
        <v>0</v>
      </c>
      <c r="AZ878" s="30"/>
      <c r="BA878" s="63"/>
      <c r="BB878" s="71"/>
      <c r="BC878" s="71"/>
      <c r="BD878" s="71"/>
    </row>
    <row r="879" spans="1:56" x14ac:dyDescent="0.25">
      <c r="A879" s="24" t="str">
        <f>IF(B879="","",SUBTOTAL(3,$B$4:B879))</f>
        <v/>
      </c>
      <c r="B879" s="25"/>
      <c r="C879" s="25" t="str">
        <f t="shared" si="585"/>
        <v xml:space="preserve"> </v>
      </c>
      <c r="D879" s="25"/>
      <c r="E879" s="25"/>
      <c r="F879" s="25"/>
      <c r="G879" s="65"/>
      <c r="H879" s="25"/>
      <c r="I879" s="25"/>
      <c r="J879" s="26"/>
      <c r="K879" s="27"/>
      <c r="L879" s="28"/>
      <c r="M879" s="28"/>
      <c r="N879" s="25"/>
      <c r="O879" s="29"/>
      <c r="P879" s="29"/>
      <c r="Q879" s="25"/>
      <c r="R879" s="25"/>
      <c r="S879" s="26"/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586"/>
        <v>0</v>
      </c>
      <c r="AF879" s="32">
        <f t="shared" si="587"/>
        <v>0</v>
      </c>
      <c r="AG879" s="30"/>
      <c r="AH879" s="33"/>
      <c r="AI879" s="34">
        <f t="shared" si="588"/>
        <v>0</v>
      </c>
      <c r="AJ879" s="35"/>
      <c r="AK879" s="30"/>
      <c r="AL879" s="36">
        <f t="shared" si="589"/>
        <v>0</v>
      </c>
      <c r="AM879" s="35"/>
      <c r="AN879" s="30"/>
      <c r="AO879" s="36">
        <f t="shared" si="590"/>
        <v>0</v>
      </c>
      <c r="AP879" s="35"/>
      <c r="AQ879" s="30"/>
      <c r="AR879" s="36">
        <f t="shared" si="591"/>
        <v>0</v>
      </c>
      <c r="AS879" s="27"/>
      <c r="AT879" s="37"/>
      <c r="AU879" s="30"/>
      <c r="AV879" s="36">
        <f t="shared" si="592"/>
        <v>0</v>
      </c>
      <c r="AW879" s="35"/>
      <c r="AX879" s="30"/>
      <c r="AY879" s="32">
        <f t="shared" si="593"/>
        <v>0</v>
      </c>
      <c r="AZ879" s="30"/>
      <c r="BA879" s="63"/>
      <c r="BB879" s="71"/>
      <c r="BC879" s="71"/>
      <c r="BD879" s="71"/>
    </row>
    <row r="880" spans="1:56" x14ac:dyDescent="0.25">
      <c r="A880" s="24" t="str">
        <f>IF(B880="","",SUBTOTAL(3,$B$4:B880))</f>
        <v/>
      </c>
      <c r="B880" s="25"/>
      <c r="C880" s="25" t="str">
        <f t="shared" si="585"/>
        <v xml:space="preserve"> </v>
      </c>
      <c r="D880" s="25"/>
      <c r="E880" s="25"/>
      <c r="F880" s="25"/>
      <c r="G880" s="65"/>
      <c r="H880" s="25"/>
      <c r="I880" s="25"/>
      <c r="J880" s="26"/>
      <c r="K880" s="27"/>
      <c r="L880" s="28"/>
      <c r="M880" s="28"/>
      <c r="N880" s="25"/>
      <c r="O880" s="29"/>
      <c r="P880" s="29"/>
      <c r="Q880" s="25"/>
      <c r="R880" s="25"/>
      <c r="S880" s="26"/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si="586"/>
        <v>0</v>
      </c>
      <c r="AF880" s="32">
        <f t="shared" si="587"/>
        <v>0</v>
      </c>
      <c r="AG880" s="30"/>
      <c r="AH880" s="33"/>
      <c r="AI880" s="34">
        <f t="shared" si="588"/>
        <v>0</v>
      </c>
      <c r="AJ880" s="35"/>
      <c r="AK880" s="30"/>
      <c r="AL880" s="36">
        <f t="shared" si="589"/>
        <v>0</v>
      </c>
      <c r="AM880" s="35"/>
      <c r="AN880" s="30"/>
      <c r="AO880" s="36">
        <f t="shared" si="590"/>
        <v>0</v>
      </c>
      <c r="AP880" s="35"/>
      <c r="AQ880" s="30"/>
      <c r="AR880" s="36">
        <f t="shared" si="591"/>
        <v>0</v>
      </c>
      <c r="AS880" s="27"/>
      <c r="AT880" s="37"/>
      <c r="AU880" s="30"/>
      <c r="AV880" s="36">
        <f t="shared" si="592"/>
        <v>0</v>
      </c>
      <c r="AW880" s="35"/>
      <c r="AX880" s="30"/>
      <c r="AY880" s="32">
        <f t="shared" si="593"/>
        <v>0</v>
      </c>
      <c r="AZ880" s="30"/>
      <c r="BA880" s="63"/>
      <c r="BB880" s="71"/>
      <c r="BC880" s="71"/>
      <c r="BD880" s="71"/>
    </row>
    <row r="881" spans="1:56" x14ac:dyDescent="0.25">
      <c r="A881" s="24" t="str">
        <f>IF(B881="","",SUBTOTAL(3,$B$4:B881))</f>
        <v/>
      </c>
      <c r="B881" s="25"/>
      <c r="C881" s="25" t="str">
        <f t="shared" si="585"/>
        <v xml:space="preserve"> </v>
      </c>
      <c r="D881" s="25"/>
      <c r="E881" s="25"/>
      <c r="F881" s="25"/>
      <c r="G881" s="65"/>
      <c r="H881" s="25"/>
      <c r="I881" s="25"/>
      <c r="J881" s="26"/>
      <c r="K881" s="27"/>
      <c r="L881" s="28"/>
      <c r="M881" s="28"/>
      <c r="N881" s="25"/>
      <c r="O881" s="29"/>
      <c r="P881" s="29"/>
      <c r="Q881" s="25"/>
      <c r="R881" s="25"/>
      <c r="S881" s="26"/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586"/>
        <v>0</v>
      </c>
      <c r="AF881" s="32">
        <f t="shared" si="587"/>
        <v>0</v>
      </c>
      <c r="AG881" s="30"/>
      <c r="AH881" s="33"/>
      <c r="AI881" s="34">
        <f t="shared" si="588"/>
        <v>0</v>
      </c>
      <c r="AJ881" s="35"/>
      <c r="AK881" s="30"/>
      <c r="AL881" s="36">
        <f t="shared" si="589"/>
        <v>0</v>
      </c>
      <c r="AM881" s="35"/>
      <c r="AN881" s="30"/>
      <c r="AO881" s="36">
        <f t="shared" si="590"/>
        <v>0</v>
      </c>
      <c r="AP881" s="35"/>
      <c r="AQ881" s="30"/>
      <c r="AR881" s="36">
        <f t="shared" si="591"/>
        <v>0</v>
      </c>
      <c r="AS881" s="27"/>
      <c r="AT881" s="37"/>
      <c r="AU881" s="30"/>
      <c r="AV881" s="36">
        <f t="shared" si="592"/>
        <v>0</v>
      </c>
      <c r="AW881" s="35"/>
      <c r="AX881" s="30"/>
      <c r="AY881" s="32">
        <f t="shared" si="593"/>
        <v>0</v>
      </c>
      <c r="AZ881" s="30"/>
      <c r="BA881" s="63"/>
      <c r="BB881" s="71"/>
      <c r="BC881" s="71"/>
      <c r="BD881" s="71"/>
    </row>
    <row r="882" spans="1:56" x14ac:dyDescent="0.25">
      <c r="A882" s="24" t="str">
        <f>IF(B882="","",SUBTOTAL(3,$B$4:B882))</f>
        <v/>
      </c>
      <c r="B882" s="25"/>
      <c r="C882" s="25" t="str">
        <f t="shared" si="585"/>
        <v xml:space="preserve"> </v>
      </c>
      <c r="D882" s="25"/>
      <c r="E882" s="25"/>
      <c r="F882" s="25"/>
      <c r="G882" s="65"/>
      <c r="H882" s="25"/>
      <c r="I882" s="25"/>
      <c r="J882" s="26"/>
      <c r="K882" s="27"/>
      <c r="L882" s="28"/>
      <c r="M882" s="28"/>
      <c r="N882" s="25"/>
      <c r="O882" s="29"/>
      <c r="P882" s="29"/>
      <c r="Q882" s="25"/>
      <c r="R882" s="25"/>
      <c r="S882" s="26"/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586"/>
        <v>0</v>
      </c>
      <c r="AF882" s="32">
        <f t="shared" si="587"/>
        <v>0</v>
      </c>
      <c r="AG882" s="30"/>
      <c r="AH882" s="33"/>
      <c r="AI882" s="34">
        <f t="shared" si="588"/>
        <v>0</v>
      </c>
      <c r="AJ882" s="35"/>
      <c r="AK882" s="30"/>
      <c r="AL882" s="36">
        <f t="shared" si="589"/>
        <v>0</v>
      </c>
      <c r="AM882" s="35"/>
      <c r="AN882" s="30"/>
      <c r="AO882" s="36">
        <f t="shared" si="590"/>
        <v>0</v>
      </c>
      <c r="AP882" s="35"/>
      <c r="AQ882" s="30"/>
      <c r="AR882" s="36">
        <f t="shared" si="591"/>
        <v>0</v>
      </c>
      <c r="AS882" s="27"/>
      <c r="AT882" s="37"/>
      <c r="AU882" s="30"/>
      <c r="AV882" s="36">
        <f t="shared" si="592"/>
        <v>0</v>
      </c>
      <c r="AW882" s="35"/>
      <c r="AX882" s="30"/>
      <c r="AY882" s="32">
        <f t="shared" si="593"/>
        <v>0</v>
      </c>
      <c r="AZ882" s="30"/>
      <c r="BA882" s="63"/>
      <c r="BB882" s="71"/>
      <c r="BC882" s="71"/>
      <c r="BD882" s="71"/>
    </row>
    <row r="883" spans="1:56" x14ac:dyDescent="0.25">
      <c r="A883" s="24" t="str">
        <f>IF(B883="","",SUBTOTAL(3,$B$4:B883))</f>
        <v/>
      </c>
      <c r="B883" s="25"/>
      <c r="C883" s="25" t="str">
        <f t="shared" si="585"/>
        <v xml:space="preserve"> </v>
      </c>
      <c r="D883" s="25"/>
      <c r="E883" s="25"/>
      <c r="F883" s="25"/>
      <c r="G883" s="65"/>
      <c r="H883" s="25"/>
      <c r="I883" s="25"/>
      <c r="J883" s="26"/>
      <c r="K883" s="27"/>
      <c r="L883" s="28"/>
      <c r="M883" s="28"/>
      <c r="N883" s="25"/>
      <c r="O883" s="29"/>
      <c r="P883" s="29"/>
      <c r="Q883" s="25"/>
      <c r="R883" s="25"/>
      <c r="S883" s="26"/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586"/>
        <v>0</v>
      </c>
      <c r="AF883" s="32">
        <f t="shared" si="587"/>
        <v>0</v>
      </c>
      <c r="AG883" s="30"/>
      <c r="AH883" s="33"/>
      <c r="AI883" s="34">
        <f t="shared" si="588"/>
        <v>0</v>
      </c>
      <c r="AJ883" s="35"/>
      <c r="AK883" s="30"/>
      <c r="AL883" s="36">
        <f t="shared" si="589"/>
        <v>0</v>
      </c>
      <c r="AM883" s="35"/>
      <c r="AN883" s="30"/>
      <c r="AO883" s="36">
        <f t="shared" si="590"/>
        <v>0</v>
      </c>
      <c r="AP883" s="35"/>
      <c r="AQ883" s="30"/>
      <c r="AR883" s="36">
        <f t="shared" si="591"/>
        <v>0</v>
      </c>
      <c r="AS883" s="27"/>
      <c r="AT883" s="37"/>
      <c r="AU883" s="30"/>
      <c r="AV883" s="36">
        <f t="shared" si="592"/>
        <v>0</v>
      </c>
      <c r="AW883" s="35"/>
      <c r="AX883" s="30"/>
      <c r="AY883" s="32">
        <f t="shared" si="593"/>
        <v>0</v>
      </c>
      <c r="AZ883" s="30"/>
      <c r="BA883" s="63"/>
      <c r="BB883" s="71"/>
      <c r="BC883" s="71"/>
      <c r="BD883" s="71"/>
    </row>
    <row r="884" spans="1:56" x14ac:dyDescent="0.25">
      <c r="A884" s="24" t="str">
        <f>IF(B884="","",SUBTOTAL(3,$B$4:B884))</f>
        <v/>
      </c>
      <c r="B884" s="25"/>
      <c r="C884" s="25" t="str">
        <f t="shared" si="585"/>
        <v xml:space="preserve"> </v>
      </c>
      <c r="D884" s="25"/>
      <c r="E884" s="25"/>
      <c r="F884" s="25"/>
      <c r="G884" s="65"/>
      <c r="H884" s="25"/>
      <c r="I884" s="25"/>
      <c r="J884" s="26"/>
      <c r="K884" s="27"/>
      <c r="L884" s="28"/>
      <c r="M884" s="28"/>
      <c r="N884" s="25"/>
      <c r="O884" s="29"/>
      <c r="P884" s="29"/>
      <c r="Q884" s="25"/>
      <c r="R884" s="25"/>
      <c r="S884" s="26"/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si="586"/>
        <v>0</v>
      </c>
      <c r="AF884" s="32">
        <f t="shared" si="587"/>
        <v>0</v>
      </c>
      <c r="AG884" s="30"/>
      <c r="AH884" s="33"/>
      <c r="AI884" s="34">
        <f t="shared" si="588"/>
        <v>0</v>
      </c>
      <c r="AJ884" s="35"/>
      <c r="AK884" s="30"/>
      <c r="AL884" s="36">
        <f t="shared" si="589"/>
        <v>0</v>
      </c>
      <c r="AM884" s="35"/>
      <c r="AN884" s="30"/>
      <c r="AO884" s="36">
        <f t="shared" si="590"/>
        <v>0</v>
      </c>
      <c r="AP884" s="35"/>
      <c r="AQ884" s="30"/>
      <c r="AR884" s="36">
        <f t="shared" si="591"/>
        <v>0</v>
      </c>
      <c r="AS884" s="27"/>
      <c r="AT884" s="37"/>
      <c r="AU884" s="30"/>
      <c r="AV884" s="36">
        <f t="shared" si="592"/>
        <v>0</v>
      </c>
      <c r="AW884" s="35"/>
      <c r="AX884" s="30"/>
      <c r="AY884" s="32">
        <f t="shared" si="593"/>
        <v>0</v>
      </c>
      <c r="AZ884" s="30"/>
      <c r="BA884" s="63"/>
      <c r="BB884" s="71"/>
      <c r="BC884" s="71"/>
      <c r="BD884" s="71"/>
    </row>
    <row r="885" spans="1:56" x14ac:dyDescent="0.25">
      <c r="A885" s="24" t="str">
        <f>IF(B885="","",SUBTOTAL(3,$B$4:B885))</f>
        <v/>
      </c>
      <c r="B885" s="25"/>
      <c r="C885" s="25" t="str">
        <f t="shared" si="585"/>
        <v xml:space="preserve"> </v>
      </c>
      <c r="D885" s="25"/>
      <c r="E885" s="25"/>
      <c r="F885" s="25"/>
      <c r="G885" s="65"/>
      <c r="H885" s="25"/>
      <c r="I885" s="25"/>
      <c r="J885" s="26"/>
      <c r="K885" s="27"/>
      <c r="L885" s="28"/>
      <c r="M885" s="28"/>
      <c r="N885" s="25"/>
      <c r="O885" s="29"/>
      <c r="P885" s="29"/>
      <c r="Q885" s="25"/>
      <c r="R885" s="25"/>
      <c r="S885" s="26"/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586"/>
        <v>0</v>
      </c>
      <c r="AF885" s="32">
        <f t="shared" si="587"/>
        <v>0</v>
      </c>
      <c r="AG885" s="30"/>
      <c r="AH885" s="33"/>
      <c r="AI885" s="34">
        <f t="shared" si="588"/>
        <v>0</v>
      </c>
      <c r="AJ885" s="35"/>
      <c r="AK885" s="30"/>
      <c r="AL885" s="36">
        <f t="shared" si="589"/>
        <v>0</v>
      </c>
      <c r="AM885" s="35"/>
      <c r="AN885" s="30"/>
      <c r="AO885" s="36">
        <f t="shared" si="590"/>
        <v>0</v>
      </c>
      <c r="AP885" s="35"/>
      <c r="AQ885" s="30"/>
      <c r="AR885" s="36">
        <f t="shared" si="591"/>
        <v>0</v>
      </c>
      <c r="AS885" s="27"/>
      <c r="AT885" s="37"/>
      <c r="AU885" s="30"/>
      <c r="AV885" s="36">
        <f t="shared" si="592"/>
        <v>0</v>
      </c>
      <c r="AW885" s="35"/>
      <c r="AX885" s="30"/>
      <c r="AY885" s="32">
        <f t="shared" si="593"/>
        <v>0</v>
      </c>
      <c r="AZ885" s="30"/>
      <c r="BA885" s="63"/>
      <c r="BB885" s="71"/>
      <c r="BC885" s="71"/>
      <c r="BD885" s="71"/>
    </row>
    <row r="886" spans="1:56" x14ac:dyDescent="0.25">
      <c r="A886" s="24" t="str">
        <f>IF(B886="","",SUBTOTAL(3,$B$4:B886))</f>
        <v/>
      </c>
      <c r="B886" s="25"/>
      <c r="C886" s="25" t="str">
        <f t="shared" si="585"/>
        <v xml:space="preserve"> </v>
      </c>
      <c r="D886" s="25"/>
      <c r="E886" s="25"/>
      <c r="F886" s="25"/>
      <c r="G886" s="65"/>
      <c r="H886" s="25"/>
      <c r="I886" s="25"/>
      <c r="J886" s="26"/>
      <c r="K886" s="27"/>
      <c r="L886" s="28"/>
      <c r="M886" s="28"/>
      <c r="N886" s="25"/>
      <c r="O886" s="29"/>
      <c r="P886" s="29"/>
      <c r="Q886" s="25"/>
      <c r="R886" s="25"/>
      <c r="S886" s="26"/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586"/>
        <v>0</v>
      </c>
      <c r="AF886" s="32">
        <f t="shared" si="587"/>
        <v>0</v>
      </c>
      <c r="AG886" s="30"/>
      <c r="AH886" s="33"/>
      <c r="AI886" s="34">
        <f t="shared" si="588"/>
        <v>0</v>
      </c>
      <c r="AJ886" s="35"/>
      <c r="AK886" s="30"/>
      <c r="AL886" s="36">
        <f t="shared" si="589"/>
        <v>0</v>
      </c>
      <c r="AM886" s="35"/>
      <c r="AN886" s="30"/>
      <c r="AO886" s="36">
        <f t="shared" si="590"/>
        <v>0</v>
      </c>
      <c r="AP886" s="35"/>
      <c r="AQ886" s="30"/>
      <c r="AR886" s="36">
        <f t="shared" si="591"/>
        <v>0</v>
      </c>
      <c r="AS886" s="27"/>
      <c r="AT886" s="37"/>
      <c r="AU886" s="30"/>
      <c r="AV886" s="36">
        <f t="shared" si="592"/>
        <v>0</v>
      </c>
      <c r="AW886" s="35"/>
      <c r="AX886" s="30"/>
      <c r="AY886" s="32">
        <f t="shared" si="593"/>
        <v>0</v>
      </c>
      <c r="AZ886" s="30"/>
      <c r="BA886" s="63"/>
      <c r="BB886" s="71"/>
      <c r="BC886" s="71"/>
      <c r="BD886" s="71"/>
    </row>
    <row r="887" spans="1:56" x14ac:dyDescent="0.25">
      <c r="A887" s="24" t="str">
        <f>IF(B887="","",SUBTOTAL(3,$B$4:B887))</f>
        <v/>
      </c>
      <c r="B887" s="25"/>
      <c r="C887" s="25" t="str">
        <f t="shared" si="585"/>
        <v xml:space="preserve"> </v>
      </c>
      <c r="D887" s="25"/>
      <c r="E887" s="25"/>
      <c r="F887" s="25"/>
      <c r="G887" s="65"/>
      <c r="H887" s="25"/>
      <c r="I887" s="25"/>
      <c r="J887" s="26"/>
      <c r="K887" s="27"/>
      <c r="L887" s="28"/>
      <c r="M887" s="28"/>
      <c r="N887" s="25"/>
      <c r="O887" s="29"/>
      <c r="P887" s="29"/>
      <c r="Q887" s="25"/>
      <c r="R887" s="25"/>
      <c r="S887" s="26"/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586"/>
        <v>0</v>
      </c>
      <c r="AF887" s="32">
        <f t="shared" si="587"/>
        <v>0</v>
      </c>
      <c r="AG887" s="30"/>
      <c r="AH887" s="33"/>
      <c r="AI887" s="34">
        <f t="shared" si="588"/>
        <v>0</v>
      </c>
      <c r="AJ887" s="35"/>
      <c r="AK887" s="30"/>
      <c r="AL887" s="36">
        <f t="shared" si="589"/>
        <v>0</v>
      </c>
      <c r="AM887" s="35"/>
      <c r="AN887" s="30"/>
      <c r="AO887" s="36">
        <f t="shared" si="590"/>
        <v>0</v>
      </c>
      <c r="AP887" s="35"/>
      <c r="AQ887" s="30"/>
      <c r="AR887" s="36">
        <f t="shared" si="591"/>
        <v>0</v>
      </c>
      <c r="AS887" s="27"/>
      <c r="AT887" s="37"/>
      <c r="AU887" s="30"/>
      <c r="AV887" s="36">
        <f t="shared" si="592"/>
        <v>0</v>
      </c>
      <c r="AW887" s="35"/>
      <c r="AX887" s="30"/>
      <c r="AY887" s="32">
        <f t="shared" si="593"/>
        <v>0</v>
      </c>
      <c r="AZ887" s="30"/>
      <c r="BA887" s="63"/>
      <c r="BB887" s="71"/>
      <c r="BC887" s="71"/>
      <c r="BD887" s="71"/>
    </row>
    <row r="888" spans="1:56" x14ac:dyDescent="0.25">
      <c r="A888" s="24" t="str">
        <f>IF(B888="","",SUBTOTAL(3,$B$4:B888))</f>
        <v/>
      </c>
      <c r="B888" s="25"/>
      <c r="C888" s="25" t="str">
        <f t="shared" si="585"/>
        <v xml:space="preserve"> </v>
      </c>
      <c r="D888" s="25"/>
      <c r="E888" s="25"/>
      <c r="F888" s="25"/>
      <c r="G888" s="65"/>
      <c r="H888" s="25"/>
      <c r="I888" s="25"/>
      <c r="J888" s="26"/>
      <c r="K888" s="27"/>
      <c r="L888" s="28"/>
      <c r="M888" s="28"/>
      <c r="N888" s="25"/>
      <c r="O888" s="29"/>
      <c r="P888" s="29"/>
      <c r="Q888" s="25"/>
      <c r="R888" s="25"/>
      <c r="S888" s="26"/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586"/>
        <v>0</v>
      </c>
      <c r="AF888" s="32">
        <f t="shared" si="587"/>
        <v>0</v>
      </c>
      <c r="AG888" s="30"/>
      <c r="AH888" s="33"/>
      <c r="AI888" s="34">
        <f t="shared" si="588"/>
        <v>0</v>
      </c>
      <c r="AJ888" s="35"/>
      <c r="AK888" s="30"/>
      <c r="AL888" s="36">
        <f t="shared" si="589"/>
        <v>0</v>
      </c>
      <c r="AM888" s="35"/>
      <c r="AN888" s="30"/>
      <c r="AO888" s="36">
        <f t="shared" si="590"/>
        <v>0</v>
      </c>
      <c r="AP888" s="35"/>
      <c r="AQ888" s="30"/>
      <c r="AR888" s="36">
        <f t="shared" si="591"/>
        <v>0</v>
      </c>
      <c r="AS888" s="27"/>
      <c r="AT888" s="37"/>
      <c r="AU888" s="30"/>
      <c r="AV888" s="36">
        <f t="shared" si="592"/>
        <v>0</v>
      </c>
      <c r="AW888" s="35"/>
      <c r="AX888" s="30"/>
      <c r="AY888" s="32">
        <f t="shared" si="593"/>
        <v>0</v>
      </c>
      <c r="AZ888" s="30"/>
      <c r="BA888" s="63"/>
      <c r="BB888" s="71"/>
      <c r="BC888" s="71"/>
      <c r="BD888" s="71"/>
    </row>
    <row r="889" spans="1:56" x14ac:dyDescent="0.25">
      <c r="A889" s="24" t="str">
        <f>IF(B889="","",SUBTOTAL(3,$B$4:B889))</f>
        <v/>
      </c>
      <c r="B889" s="25"/>
      <c r="C889" s="25" t="str">
        <f t="shared" si="585"/>
        <v xml:space="preserve"> </v>
      </c>
      <c r="D889" s="25"/>
      <c r="E889" s="25"/>
      <c r="F889" s="25"/>
      <c r="G889" s="65"/>
      <c r="H889" s="25"/>
      <c r="I889" s="25"/>
      <c r="J889" s="26"/>
      <c r="K889" s="27"/>
      <c r="L889" s="28"/>
      <c r="M889" s="28"/>
      <c r="N889" s="25"/>
      <c r="O889" s="29"/>
      <c r="P889" s="29"/>
      <c r="Q889" s="25"/>
      <c r="R889" s="25"/>
      <c r="S889" s="26"/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586"/>
        <v>0</v>
      </c>
      <c r="AF889" s="32">
        <f t="shared" si="587"/>
        <v>0</v>
      </c>
      <c r="AG889" s="30"/>
      <c r="AH889" s="33"/>
      <c r="AI889" s="34">
        <f t="shared" si="588"/>
        <v>0</v>
      </c>
      <c r="AJ889" s="35"/>
      <c r="AK889" s="30"/>
      <c r="AL889" s="36">
        <f t="shared" si="589"/>
        <v>0</v>
      </c>
      <c r="AM889" s="35"/>
      <c r="AN889" s="30"/>
      <c r="AO889" s="36">
        <f t="shared" si="590"/>
        <v>0</v>
      </c>
      <c r="AP889" s="35"/>
      <c r="AQ889" s="30"/>
      <c r="AR889" s="36">
        <f t="shared" si="591"/>
        <v>0</v>
      </c>
      <c r="AS889" s="27"/>
      <c r="AT889" s="37"/>
      <c r="AU889" s="30"/>
      <c r="AV889" s="36">
        <f t="shared" si="592"/>
        <v>0</v>
      </c>
      <c r="AW889" s="35"/>
      <c r="AX889" s="30"/>
      <c r="AY889" s="32">
        <f t="shared" si="593"/>
        <v>0</v>
      </c>
      <c r="AZ889" s="30"/>
      <c r="BA889" s="63"/>
      <c r="BB889" s="71"/>
      <c r="BC889" s="71"/>
      <c r="BD889" s="71"/>
    </row>
    <row r="890" spans="1:56" x14ac:dyDescent="0.25">
      <c r="A890" s="24" t="str">
        <f>IF(B890="","",SUBTOTAL(3,$B$4:B890))</f>
        <v/>
      </c>
      <c r="B890" s="25"/>
      <c r="C890" s="25" t="str">
        <f t="shared" si="585"/>
        <v xml:space="preserve"> </v>
      </c>
      <c r="D890" s="25"/>
      <c r="E890" s="25"/>
      <c r="F890" s="25"/>
      <c r="G890" s="65"/>
      <c r="H890" s="25"/>
      <c r="I890" s="25"/>
      <c r="J890" s="26"/>
      <c r="K890" s="27"/>
      <c r="L890" s="28"/>
      <c r="M890" s="28"/>
      <c r="N890" s="25"/>
      <c r="O890" s="29"/>
      <c r="P890" s="29"/>
      <c r="Q890" s="25"/>
      <c r="R890" s="25"/>
      <c r="S890" s="26"/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586"/>
        <v>0</v>
      </c>
      <c r="AF890" s="32">
        <f t="shared" si="587"/>
        <v>0</v>
      </c>
      <c r="AG890" s="30"/>
      <c r="AH890" s="33"/>
      <c r="AI890" s="34">
        <f t="shared" si="588"/>
        <v>0</v>
      </c>
      <c r="AJ890" s="35"/>
      <c r="AK890" s="30"/>
      <c r="AL890" s="36">
        <f t="shared" si="589"/>
        <v>0</v>
      </c>
      <c r="AM890" s="35"/>
      <c r="AN890" s="30"/>
      <c r="AO890" s="36">
        <f t="shared" si="590"/>
        <v>0</v>
      </c>
      <c r="AP890" s="35"/>
      <c r="AQ890" s="30"/>
      <c r="AR890" s="36">
        <f t="shared" si="591"/>
        <v>0</v>
      </c>
      <c r="AS890" s="27"/>
      <c r="AT890" s="37"/>
      <c r="AU890" s="30"/>
      <c r="AV890" s="36">
        <f t="shared" si="592"/>
        <v>0</v>
      </c>
      <c r="AW890" s="35"/>
      <c r="AX890" s="30"/>
      <c r="AY890" s="32">
        <f t="shared" si="593"/>
        <v>0</v>
      </c>
      <c r="AZ890" s="30"/>
      <c r="BA890" s="63"/>
      <c r="BB890" s="71"/>
      <c r="BC890" s="71"/>
      <c r="BD890" s="71"/>
    </row>
    <row r="891" spans="1:56" x14ac:dyDescent="0.25">
      <c r="A891" s="24" t="str">
        <f>IF(B891="","",SUBTOTAL(3,$B$4:B891))</f>
        <v/>
      </c>
      <c r="B891" s="25"/>
      <c r="C891" s="25" t="str">
        <f t="shared" si="585"/>
        <v xml:space="preserve"> </v>
      </c>
      <c r="D891" s="25"/>
      <c r="E891" s="25"/>
      <c r="F891" s="25"/>
      <c r="G891" s="65"/>
      <c r="H891" s="25"/>
      <c r="I891" s="25"/>
      <c r="J891" s="26"/>
      <c r="K891" s="27"/>
      <c r="L891" s="28"/>
      <c r="M891" s="28"/>
      <c r="N891" s="25"/>
      <c r="O891" s="29"/>
      <c r="P891" s="29"/>
      <c r="Q891" s="25"/>
      <c r="R891" s="25"/>
      <c r="S891" s="26"/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586"/>
        <v>0</v>
      </c>
      <c r="AF891" s="32">
        <f t="shared" si="587"/>
        <v>0</v>
      </c>
      <c r="AG891" s="30"/>
      <c r="AH891" s="33"/>
      <c r="AI891" s="34">
        <f t="shared" si="588"/>
        <v>0</v>
      </c>
      <c r="AJ891" s="35"/>
      <c r="AK891" s="30"/>
      <c r="AL891" s="36">
        <f t="shared" si="589"/>
        <v>0</v>
      </c>
      <c r="AM891" s="35"/>
      <c r="AN891" s="30"/>
      <c r="AO891" s="36">
        <f t="shared" si="590"/>
        <v>0</v>
      </c>
      <c r="AP891" s="35"/>
      <c r="AQ891" s="30"/>
      <c r="AR891" s="36">
        <f t="shared" si="591"/>
        <v>0</v>
      </c>
      <c r="AS891" s="27"/>
      <c r="AT891" s="37"/>
      <c r="AU891" s="30"/>
      <c r="AV891" s="36">
        <f t="shared" si="592"/>
        <v>0</v>
      </c>
      <c r="AW891" s="35"/>
      <c r="AX891" s="30"/>
      <c r="AY891" s="32">
        <f t="shared" si="593"/>
        <v>0</v>
      </c>
      <c r="AZ891" s="30"/>
      <c r="BA891" s="63"/>
      <c r="BB891" s="71"/>
      <c r="BC891" s="71"/>
      <c r="BD891" s="71"/>
    </row>
    <row r="892" spans="1:56" x14ac:dyDescent="0.25">
      <c r="A892" s="24" t="str">
        <f>IF(B892="","",SUBTOTAL(3,$B$4:B892))</f>
        <v/>
      </c>
      <c r="B892" s="25"/>
      <c r="C892" s="25" t="str">
        <f t="shared" si="585"/>
        <v xml:space="preserve"> </v>
      </c>
      <c r="D892" s="25"/>
      <c r="E892" s="25"/>
      <c r="F892" s="25"/>
      <c r="G892" s="65"/>
      <c r="H892" s="25"/>
      <c r="I892" s="25"/>
      <c r="J892" s="26"/>
      <c r="K892" s="27"/>
      <c r="L892" s="28"/>
      <c r="M892" s="28"/>
      <c r="N892" s="25"/>
      <c r="O892" s="29"/>
      <c r="P892" s="29"/>
      <c r="Q892" s="25"/>
      <c r="R892" s="25"/>
      <c r="S892" s="26"/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si="586"/>
        <v>0</v>
      </c>
      <c r="AF892" s="32">
        <f t="shared" si="587"/>
        <v>0</v>
      </c>
      <c r="AG892" s="30"/>
      <c r="AH892" s="33"/>
      <c r="AI892" s="34">
        <f t="shared" si="588"/>
        <v>0</v>
      </c>
      <c r="AJ892" s="35"/>
      <c r="AK892" s="30"/>
      <c r="AL892" s="36">
        <f t="shared" si="589"/>
        <v>0</v>
      </c>
      <c r="AM892" s="35"/>
      <c r="AN892" s="30"/>
      <c r="AO892" s="36">
        <f t="shared" si="590"/>
        <v>0</v>
      </c>
      <c r="AP892" s="35"/>
      <c r="AQ892" s="30"/>
      <c r="AR892" s="36">
        <f t="shared" si="591"/>
        <v>0</v>
      </c>
      <c r="AS892" s="27"/>
      <c r="AT892" s="37"/>
      <c r="AU892" s="30"/>
      <c r="AV892" s="36">
        <f t="shared" si="592"/>
        <v>0</v>
      </c>
      <c r="AW892" s="35"/>
      <c r="AX892" s="30"/>
      <c r="AY892" s="32">
        <f t="shared" si="593"/>
        <v>0</v>
      </c>
      <c r="AZ892" s="30"/>
      <c r="BA892" s="63"/>
      <c r="BB892" s="71"/>
      <c r="BC892" s="71"/>
      <c r="BD892" s="71"/>
    </row>
    <row r="893" spans="1:56" x14ac:dyDescent="0.25">
      <c r="A893" s="24" t="str">
        <f>IF(B893="","",SUBTOTAL(3,$B$4:B893))</f>
        <v/>
      </c>
      <c r="B893" s="25"/>
      <c r="C893" s="25" t="str">
        <f t="shared" si="585"/>
        <v xml:space="preserve"> </v>
      </c>
      <c r="D893" s="25"/>
      <c r="E893" s="25"/>
      <c r="F893" s="25"/>
      <c r="G893" s="65"/>
      <c r="H893" s="25"/>
      <c r="I893" s="25"/>
      <c r="J893" s="26"/>
      <c r="K893" s="27"/>
      <c r="L893" s="28"/>
      <c r="M893" s="28"/>
      <c r="N893" s="25"/>
      <c r="O893" s="29"/>
      <c r="P893" s="29"/>
      <c r="Q893" s="25"/>
      <c r="R893" s="25"/>
      <c r="S893" s="26"/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586"/>
        <v>0</v>
      </c>
      <c r="AF893" s="32">
        <f t="shared" si="587"/>
        <v>0</v>
      </c>
      <c r="AG893" s="30"/>
      <c r="AH893" s="33"/>
      <c r="AI893" s="34">
        <f t="shared" si="588"/>
        <v>0</v>
      </c>
      <c r="AJ893" s="35"/>
      <c r="AK893" s="30"/>
      <c r="AL893" s="36">
        <f t="shared" si="589"/>
        <v>0</v>
      </c>
      <c r="AM893" s="35"/>
      <c r="AN893" s="30"/>
      <c r="AO893" s="36">
        <f t="shared" si="590"/>
        <v>0</v>
      </c>
      <c r="AP893" s="35"/>
      <c r="AQ893" s="30"/>
      <c r="AR893" s="36">
        <f t="shared" si="591"/>
        <v>0</v>
      </c>
      <c r="AS893" s="27"/>
      <c r="AT893" s="37"/>
      <c r="AU893" s="30"/>
      <c r="AV893" s="36">
        <f t="shared" si="592"/>
        <v>0</v>
      </c>
      <c r="AW893" s="35"/>
      <c r="AX893" s="30"/>
      <c r="AY893" s="32">
        <f t="shared" si="593"/>
        <v>0</v>
      </c>
      <c r="AZ893" s="30"/>
      <c r="BA893" s="63"/>
      <c r="BB893" s="71"/>
      <c r="BC893" s="71"/>
      <c r="BD893" s="71"/>
    </row>
    <row r="894" spans="1:56" x14ac:dyDescent="0.25">
      <c r="A894" s="24" t="str">
        <f>IF(B894="","",SUBTOTAL(3,$B$4:B894))</f>
        <v/>
      </c>
      <c r="B894" s="25"/>
      <c r="C894" s="25" t="str">
        <f t="shared" si="585"/>
        <v xml:space="preserve"> </v>
      </c>
      <c r="D894" s="25"/>
      <c r="E894" s="25"/>
      <c r="F894" s="25"/>
      <c r="G894" s="65"/>
      <c r="H894" s="25"/>
      <c r="I894" s="25"/>
      <c r="J894" s="26"/>
      <c r="K894" s="27"/>
      <c r="L894" s="28"/>
      <c r="M894" s="28"/>
      <c r="N894" s="25"/>
      <c r="O894" s="29"/>
      <c r="P894" s="29"/>
      <c r="Q894" s="25"/>
      <c r="R894" s="25"/>
      <c r="S894" s="26"/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586"/>
        <v>0</v>
      </c>
      <c r="AF894" s="32">
        <f t="shared" si="587"/>
        <v>0</v>
      </c>
      <c r="AG894" s="30"/>
      <c r="AH894" s="33"/>
      <c r="AI894" s="34">
        <f t="shared" si="588"/>
        <v>0</v>
      </c>
      <c r="AJ894" s="35"/>
      <c r="AK894" s="30"/>
      <c r="AL894" s="36">
        <f t="shared" si="589"/>
        <v>0</v>
      </c>
      <c r="AM894" s="35"/>
      <c r="AN894" s="30"/>
      <c r="AO894" s="36">
        <f t="shared" si="590"/>
        <v>0</v>
      </c>
      <c r="AP894" s="35"/>
      <c r="AQ894" s="30"/>
      <c r="AR894" s="36">
        <f t="shared" si="591"/>
        <v>0</v>
      </c>
      <c r="AS894" s="27"/>
      <c r="AT894" s="37"/>
      <c r="AU894" s="30"/>
      <c r="AV894" s="36">
        <f t="shared" si="592"/>
        <v>0</v>
      </c>
      <c r="AW894" s="35"/>
      <c r="AX894" s="30"/>
      <c r="AY894" s="32">
        <f t="shared" si="593"/>
        <v>0</v>
      </c>
      <c r="AZ894" s="30"/>
      <c r="BA894" s="63"/>
      <c r="BB894" s="71"/>
      <c r="BC894" s="71"/>
      <c r="BD894" s="71"/>
    </row>
    <row r="895" spans="1:56" x14ac:dyDescent="0.25">
      <c r="A895" s="24" t="str">
        <f>IF(B895="","",SUBTOTAL(3,$B$4:B895))</f>
        <v/>
      </c>
      <c r="B895" s="25"/>
      <c r="C895" s="25" t="str">
        <f t="shared" si="585"/>
        <v xml:space="preserve"> </v>
      </c>
      <c r="D895" s="25"/>
      <c r="E895" s="25"/>
      <c r="F895" s="25"/>
      <c r="G895" s="65"/>
      <c r="H895" s="25"/>
      <c r="I895" s="25"/>
      <c r="J895" s="26"/>
      <c r="K895" s="27"/>
      <c r="L895" s="28"/>
      <c r="M895" s="28"/>
      <c r="N895" s="25"/>
      <c r="O895" s="29"/>
      <c r="P895" s="29"/>
      <c r="Q895" s="25"/>
      <c r="R895" s="25"/>
      <c r="S895" s="26"/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586"/>
        <v>0</v>
      </c>
      <c r="AF895" s="32">
        <f t="shared" si="587"/>
        <v>0</v>
      </c>
      <c r="AG895" s="30"/>
      <c r="AH895" s="33"/>
      <c r="AI895" s="34">
        <f t="shared" si="588"/>
        <v>0</v>
      </c>
      <c r="AJ895" s="35"/>
      <c r="AK895" s="30"/>
      <c r="AL895" s="36">
        <f t="shared" si="589"/>
        <v>0</v>
      </c>
      <c r="AM895" s="35"/>
      <c r="AN895" s="30"/>
      <c r="AO895" s="36">
        <f t="shared" si="590"/>
        <v>0</v>
      </c>
      <c r="AP895" s="35"/>
      <c r="AQ895" s="30"/>
      <c r="AR895" s="36">
        <f t="shared" si="591"/>
        <v>0</v>
      </c>
      <c r="AS895" s="27"/>
      <c r="AT895" s="37"/>
      <c r="AU895" s="30"/>
      <c r="AV895" s="36">
        <f t="shared" si="592"/>
        <v>0</v>
      </c>
      <c r="AW895" s="35"/>
      <c r="AX895" s="30"/>
      <c r="AY895" s="32">
        <f t="shared" si="593"/>
        <v>0</v>
      </c>
      <c r="AZ895" s="30"/>
      <c r="BA895" s="63"/>
      <c r="BB895" s="71"/>
      <c r="BC895" s="71"/>
      <c r="BD895" s="71"/>
    </row>
    <row r="896" spans="1:56" x14ac:dyDescent="0.25">
      <c r="A896" s="24" t="str">
        <f>IF(B896="","",SUBTOTAL(3,$B$4:B896))</f>
        <v/>
      </c>
      <c r="B896" s="25"/>
      <c r="C896" s="25" t="str">
        <f t="shared" si="585"/>
        <v xml:space="preserve"> </v>
      </c>
      <c r="D896" s="25"/>
      <c r="E896" s="25"/>
      <c r="F896" s="25"/>
      <c r="G896" s="65"/>
      <c r="H896" s="25"/>
      <c r="I896" s="25"/>
      <c r="J896" s="26"/>
      <c r="K896" s="27"/>
      <c r="L896" s="28"/>
      <c r="M896" s="28"/>
      <c r="N896" s="25"/>
      <c r="O896" s="29"/>
      <c r="P896" s="29"/>
      <c r="Q896" s="25"/>
      <c r="R896" s="25"/>
      <c r="S896" s="26"/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586"/>
        <v>0</v>
      </c>
      <c r="AF896" s="32">
        <f t="shared" si="587"/>
        <v>0</v>
      </c>
      <c r="AG896" s="30"/>
      <c r="AH896" s="33"/>
      <c r="AI896" s="34">
        <f t="shared" si="588"/>
        <v>0</v>
      </c>
      <c r="AJ896" s="35"/>
      <c r="AK896" s="30"/>
      <c r="AL896" s="36">
        <f t="shared" si="589"/>
        <v>0</v>
      </c>
      <c r="AM896" s="35"/>
      <c r="AN896" s="30"/>
      <c r="AO896" s="36">
        <f t="shared" si="590"/>
        <v>0</v>
      </c>
      <c r="AP896" s="35"/>
      <c r="AQ896" s="30"/>
      <c r="AR896" s="36">
        <f t="shared" si="591"/>
        <v>0</v>
      </c>
      <c r="AS896" s="27"/>
      <c r="AT896" s="37"/>
      <c r="AU896" s="30"/>
      <c r="AV896" s="36">
        <f t="shared" si="592"/>
        <v>0</v>
      </c>
      <c r="AW896" s="35"/>
      <c r="AX896" s="30"/>
      <c r="AY896" s="32">
        <f t="shared" si="593"/>
        <v>0</v>
      </c>
      <c r="AZ896" s="30"/>
      <c r="BA896" s="63"/>
      <c r="BB896" s="71"/>
      <c r="BC896" s="71"/>
      <c r="BD896" s="71"/>
    </row>
    <row r="897" spans="1:56" x14ac:dyDescent="0.25">
      <c r="A897" s="24" t="str">
        <f>IF(B897="","",SUBTOTAL(3,$B$4:B897))</f>
        <v/>
      </c>
      <c r="B897" s="25"/>
      <c r="C897" s="25" t="str">
        <f t="shared" si="585"/>
        <v xml:space="preserve"> </v>
      </c>
      <c r="D897" s="25"/>
      <c r="E897" s="25"/>
      <c r="F897" s="25"/>
      <c r="G897" s="65"/>
      <c r="H897" s="25"/>
      <c r="I897" s="25"/>
      <c r="J897" s="26"/>
      <c r="K897" s="27"/>
      <c r="L897" s="28"/>
      <c r="M897" s="28"/>
      <c r="N897" s="25"/>
      <c r="O897" s="29"/>
      <c r="P897" s="29"/>
      <c r="Q897" s="25"/>
      <c r="R897" s="25"/>
      <c r="S897" s="26"/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586"/>
        <v>0</v>
      </c>
      <c r="AF897" s="32">
        <f t="shared" si="587"/>
        <v>0</v>
      </c>
      <c r="AG897" s="30"/>
      <c r="AH897" s="33"/>
      <c r="AI897" s="34">
        <f t="shared" si="588"/>
        <v>0</v>
      </c>
      <c r="AJ897" s="35"/>
      <c r="AK897" s="30"/>
      <c r="AL897" s="36">
        <f t="shared" si="589"/>
        <v>0</v>
      </c>
      <c r="AM897" s="35"/>
      <c r="AN897" s="30"/>
      <c r="AO897" s="36">
        <f t="shared" si="590"/>
        <v>0</v>
      </c>
      <c r="AP897" s="35"/>
      <c r="AQ897" s="30"/>
      <c r="AR897" s="36">
        <f t="shared" si="591"/>
        <v>0</v>
      </c>
      <c r="AS897" s="27"/>
      <c r="AT897" s="37"/>
      <c r="AU897" s="30"/>
      <c r="AV897" s="36">
        <f t="shared" si="592"/>
        <v>0</v>
      </c>
      <c r="AW897" s="35"/>
      <c r="AX897" s="30"/>
      <c r="AY897" s="32">
        <f t="shared" si="593"/>
        <v>0</v>
      </c>
      <c r="AZ897" s="30"/>
      <c r="BA897" s="63"/>
      <c r="BB897" s="71"/>
      <c r="BC897" s="71"/>
      <c r="BD897" s="71"/>
    </row>
    <row r="898" spans="1:56" x14ac:dyDescent="0.25">
      <c r="A898" s="24" t="str">
        <f>IF(B898="","",SUBTOTAL(3,$B$4:B898))</f>
        <v/>
      </c>
      <c r="B898" s="25"/>
      <c r="C898" s="25" t="str">
        <f t="shared" si="585"/>
        <v xml:space="preserve"> </v>
      </c>
      <c r="D898" s="25"/>
      <c r="E898" s="25"/>
      <c r="F898" s="25"/>
      <c r="G898" s="65"/>
      <c r="H898" s="25"/>
      <c r="I898" s="25"/>
      <c r="J898" s="26"/>
      <c r="K898" s="27"/>
      <c r="L898" s="28"/>
      <c r="M898" s="28"/>
      <c r="N898" s="25"/>
      <c r="O898" s="29"/>
      <c r="P898" s="29"/>
      <c r="Q898" s="25"/>
      <c r="R898" s="25"/>
      <c r="S898" s="26"/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586"/>
        <v>0</v>
      </c>
      <c r="AF898" s="32">
        <f t="shared" si="587"/>
        <v>0</v>
      </c>
      <c r="AG898" s="30"/>
      <c r="AH898" s="33"/>
      <c r="AI898" s="34">
        <f t="shared" si="588"/>
        <v>0</v>
      </c>
      <c r="AJ898" s="35"/>
      <c r="AK898" s="30"/>
      <c r="AL898" s="36">
        <f t="shared" si="589"/>
        <v>0</v>
      </c>
      <c r="AM898" s="35"/>
      <c r="AN898" s="30"/>
      <c r="AO898" s="36">
        <f t="shared" si="590"/>
        <v>0</v>
      </c>
      <c r="AP898" s="35"/>
      <c r="AQ898" s="30"/>
      <c r="AR898" s="36">
        <f t="shared" si="591"/>
        <v>0</v>
      </c>
      <c r="AS898" s="27"/>
      <c r="AT898" s="37"/>
      <c r="AU898" s="30"/>
      <c r="AV898" s="36">
        <f t="shared" si="592"/>
        <v>0</v>
      </c>
      <c r="AW898" s="35"/>
      <c r="AX898" s="30"/>
      <c r="AY898" s="32">
        <f t="shared" si="593"/>
        <v>0</v>
      </c>
      <c r="AZ898" s="30"/>
      <c r="BA898" s="63"/>
      <c r="BB898" s="71"/>
      <c r="BC898" s="71"/>
      <c r="BD898" s="71"/>
    </row>
    <row r="899" spans="1:56" x14ac:dyDescent="0.25">
      <c r="A899" s="24" t="str">
        <f>IF(B899="","",SUBTOTAL(3,$B$4:B899))</f>
        <v/>
      </c>
      <c r="B899" s="25"/>
      <c r="C899" s="25" t="str">
        <f t="shared" si="585"/>
        <v xml:space="preserve"> </v>
      </c>
      <c r="D899" s="25"/>
      <c r="E899" s="25"/>
      <c r="F899" s="25"/>
      <c r="G899" s="65"/>
      <c r="H899" s="25"/>
      <c r="I899" s="25"/>
      <c r="J899" s="26"/>
      <c r="K899" s="27"/>
      <c r="L899" s="28"/>
      <c r="M899" s="28"/>
      <c r="N899" s="25"/>
      <c r="O899" s="29"/>
      <c r="P899" s="29"/>
      <c r="Q899" s="25"/>
      <c r="R899" s="25"/>
      <c r="S899" s="26"/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586"/>
        <v>0</v>
      </c>
      <c r="AF899" s="32">
        <f t="shared" si="587"/>
        <v>0</v>
      </c>
      <c r="AG899" s="30"/>
      <c r="AH899" s="33"/>
      <c r="AI899" s="34">
        <f t="shared" si="588"/>
        <v>0</v>
      </c>
      <c r="AJ899" s="35"/>
      <c r="AK899" s="30"/>
      <c r="AL899" s="36">
        <f t="shared" si="589"/>
        <v>0</v>
      </c>
      <c r="AM899" s="35"/>
      <c r="AN899" s="30"/>
      <c r="AO899" s="36">
        <f t="shared" si="590"/>
        <v>0</v>
      </c>
      <c r="AP899" s="35"/>
      <c r="AQ899" s="30"/>
      <c r="AR899" s="36">
        <f t="shared" si="591"/>
        <v>0</v>
      </c>
      <c r="AS899" s="27"/>
      <c r="AT899" s="37"/>
      <c r="AU899" s="30"/>
      <c r="AV899" s="36">
        <f t="shared" si="592"/>
        <v>0</v>
      </c>
      <c r="AW899" s="35"/>
      <c r="AX899" s="30"/>
      <c r="AY899" s="32">
        <f t="shared" si="593"/>
        <v>0</v>
      </c>
      <c r="AZ899" s="30"/>
      <c r="BA899" s="63"/>
      <c r="BB899" s="71"/>
      <c r="BC899" s="71"/>
      <c r="BD899" s="71"/>
    </row>
    <row r="900" spans="1:56" x14ac:dyDescent="0.25">
      <c r="A900" s="24" t="str">
        <f>IF(B900="","",SUBTOTAL(3,$B$4:B900))</f>
        <v/>
      </c>
      <c r="B900" s="25"/>
      <c r="C900" s="25" t="str">
        <f t="shared" si="585"/>
        <v xml:space="preserve"> </v>
      </c>
      <c r="D900" s="25"/>
      <c r="E900" s="25"/>
      <c r="F900" s="25"/>
      <c r="G900" s="65"/>
      <c r="H900" s="25"/>
      <c r="I900" s="25"/>
      <c r="J900" s="26"/>
      <c r="K900" s="27"/>
      <c r="L900" s="28"/>
      <c r="M900" s="28"/>
      <c r="N900" s="25"/>
      <c r="O900" s="29"/>
      <c r="P900" s="29"/>
      <c r="Q900" s="25"/>
      <c r="R900" s="25"/>
      <c r="S900" s="26"/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586"/>
        <v>0</v>
      </c>
      <c r="AF900" s="32">
        <f t="shared" si="587"/>
        <v>0</v>
      </c>
      <c r="AG900" s="30"/>
      <c r="AH900" s="33"/>
      <c r="AI900" s="34">
        <f t="shared" si="588"/>
        <v>0</v>
      </c>
      <c r="AJ900" s="35"/>
      <c r="AK900" s="30"/>
      <c r="AL900" s="36">
        <f t="shared" si="589"/>
        <v>0</v>
      </c>
      <c r="AM900" s="35"/>
      <c r="AN900" s="30"/>
      <c r="AO900" s="36">
        <f t="shared" si="590"/>
        <v>0</v>
      </c>
      <c r="AP900" s="35"/>
      <c r="AQ900" s="30"/>
      <c r="AR900" s="36">
        <f t="shared" si="591"/>
        <v>0</v>
      </c>
      <c r="AS900" s="27"/>
      <c r="AT900" s="37"/>
      <c r="AU900" s="30"/>
      <c r="AV900" s="36">
        <f t="shared" si="592"/>
        <v>0</v>
      </c>
      <c r="AW900" s="35"/>
      <c r="AX900" s="30"/>
      <c r="AY900" s="32">
        <f t="shared" si="593"/>
        <v>0</v>
      </c>
      <c r="AZ900" s="30"/>
      <c r="BA900" s="63"/>
      <c r="BB900" s="71"/>
      <c r="BC900" s="71"/>
      <c r="BD900" s="71"/>
    </row>
    <row r="901" spans="1:56" x14ac:dyDescent="0.25">
      <c r="A901" s="24" t="str">
        <f>IF(B901="","",SUBTOTAL(3,$B$4:B901))</f>
        <v/>
      </c>
      <c r="B901" s="25"/>
      <c r="C901" s="25" t="str">
        <f t="shared" si="585"/>
        <v xml:space="preserve"> </v>
      </c>
      <c r="D901" s="25"/>
      <c r="E901" s="25"/>
      <c r="F901" s="25"/>
      <c r="G901" s="65"/>
      <c r="H901" s="25"/>
      <c r="I901" s="25"/>
      <c r="J901" s="26"/>
      <c r="K901" s="27"/>
      <c r="L901" s="28"/>
      <c r="M901" s="28"/>
      <c r="N901" s="25"/>
      <c r="O901" s="29"/>
      <c r="P901" s="29"/>
      <c r="Q901" s="25"/>
      <c r="R901" s="25"/>
      <c r="S901" s="26"/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586"/>
        <v>0</v>
      </c>
      <c r="AF901" s="32">
        <f t="shared" si="587"/>
        <v>0</v>
      </c>
      <c r="AG901" s="30"/>
      <c r="AH901" s="33"/>
      <c r="AI901" s="34">
        <f t="shared" si="588"/>
        <v>0</v>
      </c>
      <c r="AJ901" s="35"/>
      <c r="AK901" s="30"/>
      <c r="AL901" s="36">
        <f t="shared" si="589"/>
        <v>0</v>
      </c>
      <c r="AM901" s="35"/>
      <c r="AN901" s="30"/>
      <c r="AO901" s="36">
        <f t="shared" si="590"/>
        <v>0</v>
      </c>
      <c r="AP901" s="35"/>
      <c r="AQ901" s="30"/>
      <c r="AR901" s="36">
        <f t="shared" si="591"/>
        <v>0</v>
      </c>
      <c r="AS901" s="27"/>
      <c r="AT901" s="37"/>
      <c r="AU901" s="30"/>
      <c r="AV901" s="36">
        <f t="shared" si="592"/>
        <v>0</v>
      </c>
      <c r="AW901" s="35"/>
      <c r="AX901" s="30"/>
      <c r="AY901" s="32">
        <f t="shared" si="593"/>
        <v>0</v>
      </c>
      <c r="AZ901" s="30"/>
      <c r="BA901" s="63"/>
      <c r="BB901" s="71"/>
      <c r="BC901" s="71"/>
      <c r="BD901" s="71"/>
    </row>
    <row r="902" spans="1:56" x14ac:dyDescent="0.25">
      <c r="A902" s="24" t="str">
        <f>IF(B902="","",SUBTOTAL(3,$B$4:B902))</f>
        <v/>
      </c>
      <c r="B902" s="25"/>
      <c r="C902" s="25" t="str">
        <f t="shared" si="585"/>
        <v xml:space="preserve"> </v>
      </c>
      <c r="D902" s="25"/>
      <c r="E902" s="25"/>
      <c r="F902" s="25"/>
      <c r="G902" s="65"/>
      <c r="H902" s="25"/>
      <c r="I902" s="25"/>
      <c r="J902" s="26"/>
      <c r="K902" s="27"/>
      <c r="L902" s="28"/>
      <c r="M902" s="28"/>
      <c r="N902" s="25"/>
      <c r="O902" s="29"/>
      <c r="P902" s="29"/>
      <c r="Q902" s="25"/>
      <c r="R902" s="25"/>
      <c r="S902" s="26"/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586"/>
        <v>0</v>
      </c>
      <c r="AF902" s="32">
        <f t="shared" si="587"/>
        <v>0</v>
      </c>
      <c r="AG902" s="30"/>
      <c r="AH902" s="33"/>
      <c r="AI902" s="34">
        <f t="shared" si="588"/>
        <v>0</v>
      </c>
      <c r="AJ902" s="35"/>
      <c r="AK902" s="30"/>
      <c r="AL902" s="36">
        <f t="shared" si="589"/>
        <v>0</v>
      </c>
      <c r="AM902" s="35"/>
      <c r="AN902" s="30"/>
      <c r="AO902" s="36">
        <f t="shared" si="590"/>
        <v>0</v>
      </c>
      <c r="AP902" s="35"/>
      <c r="AQ902" s="30"/>
      <c r="AR902" s="36">
        <f t="shared" si="591"/>
        <v>0</v>
      </c>
      <c r="AS902" s="27"/>
      <c r="AT902" s="37"/>
      <c r="AU902" s="30"/>
      <c r="AV902" s="36">
        <f t="shared" si="592"/>
        <v>0</v>
      </c>
      <c r="AW902" s="35"/>
      <c r="AX902" s="30"/>
      <c r="AY902" s="32">
        <f t="shared" si="593"/>
        <v>0</v>
      </c>
      <c r="AZ902" s="30"/>
      <c r="BA902" s="63"/>
      <c r="BB902" s="71"/>
      <c r="BC902" s="71"/>
      <c r="BD902" s="71"/>
    </row>
    <row r="903" spans="1:56" x14ac:dyDescent="0.25">
      <c r="A903" s="24" t="str">
        <f>IF(B903="","",SUBTOTAL(3,$B$4:B903))</f>
        <v/>
      </c>
      <c r="B903" s="25"/>
      <c r="C903" s="25" t="str">
        <f t="shared" ref="C903:C906" si="594">D903&amp;" "&amp;E903</f>
        <v xml:space="preserve"> </v>
      </c>
      <c r="D903" s="25"/>
      <c r="E903" s="25"/>
      <c r="F903" s="25"/>
      <c r="G903" s="65"/>
      <c r="H903" s="25"/>
      <c r="I903" s="25"/>
      <c r="J903" s="26"/>
      <c r="K903" s="27"/>
      <c r="L903" s="28"/>
      <c r="M903" s="28"/>
      <c r="N903" s="25"/>
      <c r="O903" s="29"/>
      <c r="P903" s="29"/>
      <c r="Q903" s="25"/>
      <c r="R903" s="25"/>
      <c r="S903" s="26"/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ref="AE903:AE906" si="595">+AL903*0.5+AO903*0.4+AV903*0.1</f>
        <v>0</v>
      </c>
      <c r="AF903" s="32">
        <f t="shared" ref="AF903:AF906" si="596">+P903-AE903</f>
        <v>0</v>
      </c>
      <c r="AG903" s="30"/>
      <c r="AH903" s="33"/>
      <c r="AI903" s="34">
        <f t="shared" ref="AI903:AI906" si="597">+AH903*P903</f>
        <v>0</v>
      </c>
      <c r="AJ903" s="35"/>
      <c r="AK903" s="30"/>
      <c r="AL903" s="36">
        <f t="shared" ref="AL903:AL906" si="598">IFERROR(AK903*$P903/$N903,0)</f>
        <v>0</v>
      </c>
      <c r="AM903" s="35"/>
      <c r="AN903" s="30"/>
      <c r="AO903" s="36">
        <f t="shared" ref="AO903:AO906" si="599">IFERROR(AN903*$P903/$N903,0)</f>
        <v>0</v>
      </c>
      <c r="AP903" s="35"/>
      <c r="AQ903" s="30"/>
      <c r="AR903" s="36">
        <f t="shared" ref="AR903:AR906" si="600">IFERROR(AQ903*$P903/$N903,0)</f>
        <v>0</v>
      </c>
      <c r="AS903" s="27"/>
      <c r="AT903" s="37"/>
      <c r="AU903" s="30"/>
      <c r="AV903" s="36">
        <f t="shared" ref="AV903:AV906" si="601">IFERROR(AU903*$P903/$N903,0)</f>
        <v>0</v>
      </c>
      <c r="AW903" s="35"/>
      <c r="AX903" s="30"/>
      <c r="AY903" s="32">
        <f t="shared" ref="AY903:AY906" si="602">IFERROR(AX903*$P903/$N903,0)</f>
        <v>0</v>
      </c>
      <c r="AZ903" s="30"/>
      <c r="BA903" s="63"/>
      <c r="BB903" s="71"/>
      <c r="BC903" s="71"/>
      <c r="BD903" s="71"/>
    </row>
    <row r="904" spans="1:56" x14ac:dyDescent="0.25">
      <c r="A904" s="24" t="str">
        <f>IF(B904="","",SUBTOTAL(3,$B$4:B904))</f>
        <v/>
      </c>
      <c r="B904" s="25"/>
      <c r="C904" s="25" t="str">
        <f t="shared" si="594"/>
        <v xml:space="preserve"> </v>
      </c>
      <c r="D904" s="25"/>
      <c r="E904" s="25"/>
      <c r="F904" s="25"/>
      <c r="G904" s="65"/>
      <c r="H904" s="25"/>
      <c r="I904" s="25"/>
      <c r="J904" s="26"/>
      <c r="K904" s="27"/>
      <c r="L904" s="28"/>
      <c r="M904" s="28"/>
      <c r="N904" s="25"/>
      <c r="O904" s="29"/>
      <c r="P904" s="29"/>
      <c r="Q904" s="25"/>
      <c r="R904" s="25"/>
      <c r="S904" s="26"/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595"/>
        <v>0</v>
      </c>
      <c r="AF904" s="32">
        <f t="shared" si="596"/>
        <v>0</v>
      </c>
      <c r="AG904" s="30"/>
      <c r="AH904" s="33"/>
      <c r="AI904" s="34">
        <f t="shared" si="597"/>
        <v>0</v>
      </c>
      <c r="AJ904" s="35"/>
      <c r="AK904" s="30"/>
      <c r="AL904" s="36">
        <f t="shared" si="598"/>
        <v>0</v>
      </c>
      <c r="AM904" s="35"/>
      <c r="AN904" s="30"/>
      <c r="AO904" s="36">
        <f t="shared" si="599"/>
        <v>0</v>
      </c>
      <c r="AP904" s="35"/>
      <c r="AQ904" s="30"/>
      <c r="AR904" s="36">
        <f t="shared" si="600"/>
        <v>0</v>
      </c>
      <c r="AS904" s="27"/>
      <c r="AT904" s="37"/>
      <c r="AU904" s="30"/>
      <c r="AV904" s="36">
        <f t="shared" si="601"/>
        <v>0</v>
      </c>
      <c r="AW904" s="35"/>
      <c r="AX904" s="30"/>
      <c r="AY904" s="32">
        <f t="shared" si="602"/>
        <v>0</v>
      </c>
      <c r="AZ904" s="30"/>
      <c r="BA904" s="63"/>
      <c r="BB904" s="71"/>
      <c r="BC904" s="71"/>
      <c r="BD904" s="71"/>
    </row>
    <row r="905" spans="1:56" x14ac:dyDescent="0.25">
      <c r="A905" s="24" t="str">
        <f>IF(B905="","",SUBTOTAL(3,$B$4:B905))</f>
        <v/>
      </c>
      <c r="B905" s="25"/>
      <c r="C905" s="25" t="str">
        <f t="shared" si="594"/>
        <v xml:space="preserve"> </v>
      </c>
      <c r="D905" s="25"/>
      <c r="E905" s="25"/>
      <c r="F905" s="25"/>
      <c r="G905" s="65"/>
      <c r="H905" s="25"/>
      <c r="I905" s="25"/>
      <c r="J905" s="26"/>
      <c r="K905" s="27"/>
      <c r="L905" s="28"/>
      <c r="M905" s="28"/>
      <c r="N905" s="25"/>
      <c r="O905" s="29"/>
      <c r="P905" s="29"/>
      <c r="Q905" s="25"/>
      <c r="R905" s="25"/>
      <c r="S905" s="26"/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595"/>
        <v>0</v>
      </c>
      <c r="AF905" s="32">
        <f t="shared" si="596"/>
        <v>0</v>
      </c>
      <c r="AG905" s="30"/>
      <c r="AH905" s="33"/>
      <c r="AI905" s="34">
        <f t="shared" si="597"/>
        <v>0</v>
      </c>
      <c r="AJ905" s="35"/>
      <c r="AK905" s="30"/>
      <c r="AL905" s="36">
        <f t="shared" si="598"/>
        <v>0</v>
      </c>
      <c r="AM905" s="35"/>
      <c r="AN905" s="30"/>
      <c r="AO905" s="36">
        <f t="shared" si="599"/>
        <v>0</v>
      </c>
      <c r="AP905" s="35"/>
      <c r="AQ905" s="30"/>
      <c r="AR905" s="36">
        <f t="shared" si="600"/>
        <v>0</v>
      </c>
      <c r="AS905" s="27"/>
      <c r="AT905" s="37"/>
      <c r="AU905" s="30"/>
      <c r="AV905" s="36">
        <f t="shared" si="601"/>
        <v>0</v>
      </c>
      <c r="AW905" s="35"/>
      <c r="AX905" s="30"/>
      <c r="AY905" s="32">
        <f t="shared" si="602"/>
        <v>0</v>
      </c>
      <c r="AZ905" s="30"/>
      <c r="BA905" s="63"/>
      <c r="BB905" s="71"/>
      <c r="BC905" s="71"/>
      <c r="BD905" s="71"/>
    </row>
    <row r="906" spans="1:56" x14ac:dyDescent="0.25">
      <c r="A906" s="24" t="str">
        <f>IF(B906="","",SUBTOTAL(3,$B$4:B906))</f>
        <v/>
      </c>
      <c r="B906" s="25"/>
      <c r="C906" s="25" t="str">
        <f t="shared" si="594"/>
        <v xml:space="preserve"> </v>
      </c>
      <c r="D906" s="25"/>
      <c r="E906" s="25"/>
      <c r="F906" s="25"/>
      <c r="G906" s="65"/>
      <c r="H906" s="25"/>
      <c r="I906" s="25"/>
      <c r="J906" s="26"/>
      <c r="K906" s="27"/>
      <c r="L906" s="28"/>
      <c r="M906" s="28"/>
      <c r="N906" s="25"/>
      <c r="O906" s="29"/>
      <c r="P906" s="29"/>
      <c r="Q906" s="25"/>
      <c r="R906" s="25"/>
      <c r="S906" s="26"/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595"/>
        <v>0</v>
      </c>
      <c r="AF906" s="32">
        <f t="shared" si="596"/>
        <v>0</v>
      </c>
      <c r="AG906" s="30"/>
      <c r="AH906" s="33"/>
      <c r="AI906" s="34">
        <f t="shared" si="597"/>
        <v>0</v>
      </c>
      <c r="AJ906" s="35"/>
      <c r="AK906" s="30"/>
      <c r="AL906" s="36">
        <f t="shared" si="598"/>
        <v>0</v>
      </c>
      <c r="AM906" s="35"/>
      <c r="AN906" s="30"/>
      <c r="AO906" s="36">
        <f t="shared" si="599"/>
        <v>0</v>
      </c>
      <c r="AP906" s="35"/>
      <c r="AQ906" s="30"/>
      <c r="AR906" s="36">
        <f t="shared" si="600"/>
        <v>0</v>
      </c>
      <c r="AS906" s="27"/>
      <c r="AT906" s="37"/>
      <c r="AU906" s="30"/>
      <c r="AV906" s="36">
        <f t="shared" si="601"/>
        <v>0</v>
      </c>
      <c r="AW906" s="35"/>
      <c r="AX906" s="30"/>
      <c r="AY906" s="32">
        <f t="shared" si="602"/>
        <v>0</v>
      </c>
      <c r="AZ906" s="30"/>
      <c r="BA906" s="63"/>
      <c r="BB906" s="71"/>
      <c r="BC906" s="71"/>
      <c r="BD906" s="71"/>
    </row>
    <row r="907" spans="1:56" x14ac:dyDescent="0.25">
      <c r="A907" s="24" t="str">
        <f>IF(B907="","",SUBTOTAL(3,$B$4:B907))</f>
        <v/>
      </c>
      <c r="B907" s="25"/>
      <c r="C907" s="25" t="str">
        <f t="shared" ref="C907:C914" si="603">D907&amp;" "&amp;E907</f>
        <v xml:space="preserve"> </v>
      </c>
      <c r="D907" s="25"/>
      <c r="E907" s="25"/>
      <c r="F907" s="25"/>
      <c r="G907" s="65"/>
      <c r="H907" s="25"/>
      <c r="I907" s="25"/>
      <c r="J907" s="26"/>
      <c r="K907" s="24"/>
      <c r="L907" s="25"/>
      <c r="M907" s="28"/>
      <c r="N907" s="25"/>
      <c r="O907" s="29"/>
      <c r="P907" s="29"/>
      <c r="Q907" s="25"/>
      <c r="R907" s="25"/>
      <c r="S907" s="26"/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1"/>
        <v>0</v>
      </c>
      <c r="AF907" s="32">
        <f t="shared" si="2"/>
        <v>0</v>
      </c>
      <c r="AG907" s="30"/>
      <c r="AH907" s="33"/>
      <c r="AI907" s="34">
        <f t="shared" si="3"/>
        <v>0</v>
      </c>
      <c r="AJ907" s="35"/>
      <c r="AK907" s="30"/>
      <c r="AL907" s="36">
        <f t="shared" si="4"/>
        <v>0</v>
      </c>
      <c r="AM907" s="35"/>
      <c r="AN907" s="30"/>
      <c r="AO907" s="36">
        <f t="shared" si="5"/>
        <v>0</v>
      </c>
      <c r="AP907" s="35"/>
      <c r="AQ907" s="30"/>
      <c r="AR907" s="36">
        <f t="shared" si="6"/>
        <v>0</v>
      </c>
      <c r="AS907" s="27"/>
      <c r="AT907" s="37"/>
      <c r="AU907" s="30"/>
      <c r="AV907" s="36">
        <f t="shared" si="7"/>
        <v>0</v>
      </c>
      <c r="AW907" s="35"/>
      <c r="AX907" s="30"/>
      <c r="AY907" s="32">
        <f t="shared" si="8"/>
        <v>0</v>
      </c>
      <c r="AZ907" s="30"/>
      <c r="BA907" s="63"/>
      <c r="BB907" s="71"/>
      <c r="BC907" s="71"/>
      <c r="BD907" s="71"/>
    </row>
    <row r="908" spans="1:56" x14ac:dyDescent="0.25">
      <c r="A908" s="24" t="str">
        <f>IF(B908="","",SUBTOTAL(3,$B$4:B908))</f>
        <v/>
      </c>
      <c r="B908" s="25"/>
      <c r="C908" s="25" t="str">
        <f t="shared" si="603"/>
        <v xml:space="preserve"> </v>
      </c>
      <c r="D908" s="25"/>
      <c r="E908" s="25"/>
      <c r="F908" s="25"/>
      <c r="G908" s="65"/>
      <c r="H908" s="25"/>
      <c r="I908" s="25"/>
      <c r="J908" s="26"/>
      <c r="K908" s="24"/>
      <c r="L908" s="25"/>
      <c r="M908" s="28"/>
      <c r="N908" s="25"/>
      <c r="O908" s="29"/>
      <c r="P908" s="29"/>
      <c r="Q908" s="25"/>
      <c r="R908" s="25"/>
      <c r="S908" s="26"/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1"/>
        <v>0</v>
      </c>
      <c r="AF908" s="32">
        <f t="shared" si="2"/>
        <v>0</v>
      </c>
      <c r="AG908" s="30"/>
      <c r="AH908" s="33"/>
      <c r="AI908" s="34">
        <f t="shared" si="3"/>
        <v>0</v>
      </c>
      <c r="AJ908" s="35"/>
      <c r="AK908" s="30"/>
      <c r="AL908" s="36">
        <f t="shared" si="4"/>
        <v>0</v>
      </c>
      <c r="AM908" s="35"/>
      <c r="AN908" s="30"/>
      <c r="AO908" s="36">
        <f t="shared" si="5"/>
        <v>0</v>
      </c>
      <c r="AP908" s="35"/>
      <c r="AQ908" s="30"/>
      <c r="AR908" s="36">
        <f t="shared" si="6"/>
        <v>0</v>
      </c>
      <c r="AS908" s="27"/>
      <c r="AT908" s="37"/>
      <c r="AU908" s="30"/>
      <c r="AV908" s="36">
        <f t="shared" si="7"/>
        <v>0</v>
      </c>
      <c r="AW908" s="35"/>
      <c r="AX908" s="30"/>
      <c r="AY908" s="32">
        <f t="shared" si="8"/>
        <v>0</v>
      </c>
      <c r="AZ908" s="30"/>
      <c r="BA908" s="63"/>
      <c r="BB908" s="71"/>
      <c r="BC908" s="71"/>
      <c r="BD908" s="71"/>
    </row>
    <row r="909" spans="1:56" x14ac:dyDescent="0.25">
      <c r="A909" s="24" t="str">
        <f>IF(B909="","",SUBTOTAL(3,$B$4:B909))</f>
        <v/>
      </c>
      <c r="B909" s="25"/>
      <c r="C909" s="25" t="str">
        <f t="shared" si="603"/>
        <v xml:space="preserve"> </v>
      </c>
      <c r="D909" s="25"/>
      <c r="E909" s="25"/>
      <c r="F909" s="25"/>
      <c r="G909" s="65"/>
      <c r="H909" s="25"/>
      <c r="I909" s="25"/>
      <c r="J909" s="26"/>
      <c r="K909" s="24"/>
      <c r="L909" s="25"/>
      <c r="M909" s="28"/>
      <c r="N909" s="25"/>
      <c r="O909" s="29"/>
      <c r="P909" s="29"/>
      <c r="Q909" s="25"/>
      <c r="R909" s="25"/>
      <c r="S909" s="26"/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1"/>
        <v>0</v>
      </c>
      <c r="AF909" s="32">
        <f t="shared" si="2"/>
        <v>0</v>
      </c>
      <c r="AG909" s="30"/>
      <c r="AH909" s="33"/>
      <c r="AI909" s="34">
        <f t="shared" si="3"/>
        <v>0</v>
      </c>
      <c r="AJ909" s="35"/>
      <c r="AK909" s="30"/>
      <c r="AL909" s="36">
        <f t="shared" si="4"/>
        <v>0</v>
      </c>
      <c r="AM909" s="35"/>
      <c r="AN909" s="30"/>
      <c r="AO909" s="36">
        <f t="shared" si="5"/>
        <v>0</v>
      </c>
      <c r="AP909" s="35"/>
      <c r="AQ909" s="30"/>
      <c r="AR909" s="36">
        <f t="shared" si="6"/>
        <v>0</v>
      </c>
      <c r="AS909" s="27"/>
      <c r="AT909" s="37"/>
      <c r="AU909" s="30"/>
      <c r="AV909" s="36">
        <f t="shared" si="7"/>
        <v>0</v>
      </c>
      <c r="AW909" s="35"/>
      <c r="AX909" s="30"/>
      <c r="AY909" s="32">
        <f t="shared" si="8"/>
        <v>0</v>
      </c>
      <c r="AZ909" s="30"/>
      <c r="BA909" s="63"/>
      <c r="BB909" s="71"/>
      <c r="BC909" s="71"/>
      <c r="BD909" s="71"/>
    </row>
    <row r="910" spans="1:56" x14ac:dyDescent="0.25">
      <c r="A910" s="24" t="str">
        <f>IF(B910="","",SUBTOTAL(3,$B$4:B910))</f>
        <v/>
      </c>
      <c r="B910" s="25"/>
      <c r="C910" s="25" t="str">
        <f t="shared" si="603"/>
        <v xml:space="preserve"> </v>
      </c>
      <c r="D910" s="25"/>
      <c r="E910" s="25"/>
      <c r="F910" s="25"/>
      <c r="G910" s="65"/>
      <c r="H910" s="25"/>
      <c r="I910" s="25"/>
      <c r="J910" s="26"/>
      <c r="K910" s="24"/>
      <c r="L910" s="25"/>
      <c r="M910" s="28"/>
      <c r="N910" s="25"/>
      <c r="O910" s="29"/>
      <c r="P910" s="29"/>
      <c r="Q910" s="25"/>
      <c r="R910" s="25"/>
      <c r="S910" s="26"/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1"/>
        <v>0</v>
      </c>
      <c r="AF910" s="32">
        <f t="shared" si="2"/>
        <v>0</v>
      </c>
      <c r="AG910" s="30"/>
      <c r="AH910" s="33"/>
      <c r="AI910" s="34">
        <f t="shared" si="3"/>
        <v>0</v>
      </c>
      <c r="AJ910" s="35"/>
      <c r="AK910" s="30"/>
      <c r="AL910" s="36">
        <f t="shared" si="4"/>
        <v>0</v>
      </c>
      <c r="AM910" s="35"/>
      <c r="AN910" s="30"/>
      <c r="AO910" s="36">
        <f t="shared" si="5"/>
        <v>0</v>
      </c>
      <c r="AP910" s="35"/>
      <c r="AQ910" s="30"/>
      <c r="AR910" s="36">
        <f t="shared" si="6"/>
        <v>0</v>
      </c>
      <c r="AS910" s="27"/>
      <c r="AT910" s="37"/>
      <c r="AU910" s="30"/>
      <c r="AV910" s="36">
        <f t="shared" si="7"/>
        <v>0</v>
      </c>
      <c r="AW910" s="35"/>
      <c r="AX910" s="30"/>
      <c r="AY910" s="32">
        <f t="shared" si="8"/>
        <v>0</v>
      </c>
      <c r="AZ910" s="30"/>
      <c r="BA910" s="63"/>
      <c r="BB910" s="71"/>
      <c r="BC910" s="71"/>
      <c r="BD910" s="71"/>
    </row>
    <row r="911" spans="1:56" x14ac:dyDescent="0.25">
      <c r="A911" s="24" t="str">
        <f>IF(B911="","",SUBTOTAL(3,$B$4:B911))</f>
        <v/>
      </c>
      <c r="B911" s="25"/>
      <c r="C911" s="25" t="str">
        <f t="shared" si="603"/>
        <v xml:space="preserve"> </v>
      </c>
      <c r="D911" s="25"/>
      <c r="E911" s="25"/>
      <c r="F911" s="25"/>
      <c r="G911" s="65"/>
      <c r="H911" s="25"/>
      <c r="I911" s="25"/>
      <c r="J911" s="26"/>
      <c r="K911" s="24"/>
      <c r="L911" s="25"/>
      <c r="M911" s="28"/>
      <c r="N911" s="25"/>
      <c r="O911" s="29"/>
      <c r="P911" s="29"/>
      <c r="Q911" s="25"/>
      <c r="R911" s="25"/>
      <c r="S911" s="26"/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1"/>
        <v>0</v>
      </c>
      <c r="AF911" s="32">
        <f t="shared" si="2"/>
        <v>0</v>
      </c>
      <c r="AG911" s="30"/>
      <c r="AH911" s="33"/>
      <c r="AI911" s="34">
        <f t="shared" si="3"/>
        <v>0</v>
      </c>
      <c r="AJ911" s="35"/>
      <c r="AK911" s="30"/>
      <c r="AL911" s="36">
        <f t="shared" si="4"/>
        <v>0</v>
      </c>
      <c r="AM911" s="35"/>
      <c r="AN911" s="30"/>
      <c r="AO911" s="36">
        <f t="shared" si="5"/>
        <v>0</v>
      </c>
      <c r="AP911" s="35"/>
      <c r="AQ911" s="30"/>
      <c r="AR911" s="36">
        <f t="shared" si="6"/>
        <v>0</v>
      </c>
      <c r="AS911" s="27"/>
      <c r="AT911" s="37"/>
      <c r="AU911" s="30"/>
      <c r="AV911" s="36">
        <f t="shared" si="7"/>
        <v>0</v>
      </c>
      <c r="AW911" s="35"/>
      <c r="AX911" s="30"/>
      <c r="AY911" s="32">
        <f t="shared" si="8"/>
        <v>0</v>
      </c>
      <c r="AZ911" s="30"/>
      <c r="BA911" s="63"/>
      <c r="BB911" s="71"/>
      <c r="BC911" s="71"/>
      <c r="BD911" s="71"/>
    </row>
    <row r="912" spans="1:56" x14ac:dyDescent="0.25">
      <c r="A912" s="24" t="str">
        <f>IF(B912="","",SUBTOTAL(3,$B$4:B912))</f>
        <v/>
      </c>
      <c r="B912" s="25"/>
      <c r="C912" s="25" t="str">
        <f t="shared" si="603"/>
        <v xml:space="preserve"> </v>
      </c>
      <c r="D912" s="25"/>
      <c r="E912" s="25"/>
      <c r="F912" s="25"/>
      <c r="G912" s="65"/>
      <c r="H912" s="25"/>
      <c r="I912" s="25"/>
      <c r="J912" s="26"/>
      <c r="K912" s="24"/>
      <c r="L912" s="25"/>
      <c r="M912" s="28"/>
      <c r="N912" s="25"/>
      <c r="O912" s="29"/>
      <c r="P912" s="29"/>
      <c r="Q912" s="25"/>
      <c r="R912" s="25"/>
      <c r="S912" s="26"/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1"/>
        <v>0</v>
      </c>
      <c r="AF912" s="32">
        <f t="shared" si="2"/>
        <v>0</v>
      </c>
      <c r="AG912" s="30"/>
      <c r="AH912" s="33"/>
      <c r="AI912" s="34">
        <f t="shared" si="3"/>
        <v>0</v>
      </c>
      <c r="AJ912" s="35"/>
      <c r="AK912" s="30"/>
      <c r="AL912" s="36">
        <f t="shared" si="4"/>
        <v>0</v>
      </c>
      <c r="AM912" s="35"/>
      <c r="AN912" s="30"/>
      <c r="AO912" s="36">
        <f t="shared" si="5"/>
        <v>0</v>
      </c>
      <c r="AP912" s="35"/>
      <c r="AQ912" s="30"/>
      <c r="AR912" s="36">
        <f t="shared" si="6"/>
        <v>0</v>
      </c>
      <c r="AS912" s="27"/>
      <c r="AT912" s="37"/>
      <c r="AU912" s="30"/>
      <c r="AV912" s="36">
        <f t="shared" si="7"/>
        <v>0</v>
      </c>
      <c r="AW912" s="35"/>
      <c r="AX912" s="30"/>
      <c r="AY912" s="32">
        <f t="shared" si="8"/>
        <v>0</v>
      </c>
      <c r="AZ912" s="30"/>
      <c r="BA912" s="63"/>
      <c r="BB912" s="71"/>
      <c r="BC912" s="71"/>
      <c r="BD912" s="71"/>
    </row>
    <row r="913" spans="1:56" x14ac:dyDescent="0.25">
      <c r="A913" s="24" t="str">
        <f>IF(B913="","",SUBTOTAL(3,$B$4:B913))</f>
        <v/>
      </c>
      <c r="B913" s="25"/>
      <c r="C913" s="25" t="str">
        <f t="shared" si="603"/>
        <v xml:space="preserve"> </v>
      </c>
      <c r="D913" s="25"/>
      <c r="E913" s="25"/>
      <c r="F913" s="25"/>
      <c r="G913" s="65"/>
      <c r="H913" s="25"/>
      <c r="I913" s="25"/>
      <c r="J913" s="26"/>
      <c r="K913" s="24"/>
      <c r="L913" s="25"/>
      <c r="M913" s="28"/>
      <c r="N913" s="25"/>
      <c r="O913" s="29"/>
      <c r="P913" s="29"/>
      <c r="Q913" s="25"/>
      <c r="R913" s="25"/>
      <c r="S913" s="26"/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si="1"/>
        <v>0</v>
      </c>
      <c r="AF913" s="32">
        <f t="shared" si="2"/>
        <v>0</v>
      </c>
      <c r="AG913" s="30"/>
      <c r="AH913" s="33"/>
      <c r="AI913" s="34">
        <f t="shared" si="3"/>
        <v>0</v>
      </c>
      <c r="AJ913" s="35"/>
      <c r="AK913" s="30"/>
      <c r="AL913" s="36">
        <f t="shared" si="4"/>
        <v>0</v>
      </c>
      <c r="AM913" s="35"/>
      <c r="AN913" s="30"/>
      <c r="AO913" s="36">
        <f t="shared" si="5"/>
        <v>0</v>
      </c>
      <c r="AP913" s="35"/>
      <c r="AQ913" s="30"/>
      <c r="AR913" s="36">
        <f t="shared" si="6"/>
        <v>0</v>
      </c>
      <c r="AS913" s="27"/>
      <c r="AT913" s="37"/>
      <c r="AU913" s="30"/>
      <c r="AV913" s="36">
        <f t="shared" si="7"/>
        <v>0</v>
      </c>
      <c r="AW913" s="35"/>
      <c r="AX913" s="30"/>
      <c r="AY913" s="32">
        <f t="shared" si="8"/>
        <v>0</v>
      </c>
      <c r="AZ913" s="30"/>
      <c r="BA913" s="63"/>
      <c r="BB913" s="71"/>
      <c r="BC913" s="71"/>
      <c r="BD913" s="71"/>
    </row>
    <row r="914" spans="1:56" ht="16.5" thickBot="1" x14ac:dyDescent="0.3">
      <c r="A914" s="38" t="str">
        <f>IF(B914="","",SUBTOTAL(3,$B$4:B914))</f>
        <v/>
      </c>
      <c r="B914" s="39"/>
      <c r="C914" s="39" t="str">
        <f t="shared" si="603"/>
        <v xml:space="preserve"> </v>
      </c>
      <c r="D914" s="39"/>
      <c r="E914" s="39"/>
      <c r="F914" s="39"/>
      <c r="G914" s="66"/>
      <c r="H914" s="39"/>
      <c r="I914" s="39"/>
      <c r="J914" s="40"/>
      <c r="K914" s="38"/>
      <c r="L914" s="39"/>
      <c r="M914" s="42"/>
      <c r="N914" s="39"/>
      <c r="O914" s="43"/>
      <c r="P914" s="43"/>
      <c r="Q914" s="39"/>
      <c r="R914" s="39"/>
      <c r="S914" s="40"/>
      <c r="T914" s="38"/>
      <c r="U914" s="41"/>
      <c r="V914" s="41"/>
      <c r="W914" s="41"/>
      <c r="X914" s="66"/>
      <c r="Y914" s="46"/>
      <c r="Z914" s="41"/>
      <c r="AA914" s="46"/>
      <c r="AB914" s="41"/>
      <c r="AC914" s="41"/>
      <c r="AD914" s="69"/>
      <c r="AE914" s="55">
        <f t="shared" si="1"/>
        <v>0</v>
      </c>
      <c r="AF914" s="47">
        <f t="shared" si="2"/>
        <v>0</v>
      </c>
      <c r="AG914" s="41"/>
      <c r="AH914" s="56"/>
      <c r="AI914" s="57">
        <f t="shared" si="3"/>
        <v>0</v>
      </c>
      <c r="AJ914" s="44"/>
      <c r="AK914" s="41"/>
      <c r="AL914" s="45">
        <f t="shared" si="4"/>
        <v>0</v>
      </c>
      <c r="AM914" s="44"/>
      <c r="AN914" s="41"/>
      <c r="AO914" s="45">
        <f t="shared" si="5"/>
        <v>0</v>
      </c>
      <c r="AP914" s="44"/>
      <c r="AQ914" s="41"/>
      <c r="AR914" s="45">
        <f t="shared" si="6"/>
        <v>0</v>
      </c>
      <c r="AS914" s="62"/>
      <c r="AT914" s="46"/>
      <c r="AU914" s="41"/>
      <c r="AV914" s="45">
        <f t="shared" si="7"/>
        <v>0</v>
      </c>
      <c r="AW914" s="44"/>
      <c r="AX914" s="41"/>
      <c r="AY914" s="47">
        <f t="shared" si="8"/>
        <v>0</v>
      </c>
      <c r="AZ914" s="41"/>
      <c r="BA914" s="64"/>
      <c r="BB914" s="71"/>
      <c r="BC914" s="71"/>
      <c r="BD914" s="71"/>
    </row>
    <row r="915" spans="1:56" ht="16.5" thickTop="1" x14ac:dyDescent="0.25"/>
  </sheetData>
  <autoFilter ref="A3:BD914" xr:uid="{334E9545-4D7F-4FF2-AE79-B0165FA68616}"/>
  <conditionalFormatting sqref="A4:AG914 AJ4:AL914">
    <cfRule type="expression" dxfId="5" priority="2">
      <formula>$AK4=$N4</formula>
    </cfRule>
  </conditionalFormatting>
  <conditionalFormatting sqref="AH4:AI914">
    <cfRule type="expression" dxfId="4" priority="1">
      <formula>$AH4=1</formula>
    </cfRule>
  </conditionalFormatting>
  <conditionalFormatting sqref="AM4:AO914">
    <cfRule type="expression" dxfId="3" priority="3">
      <formula>$AN4=$N4</formula>
    </cfRule>
  </conditionalFormatting>
  <conditionalFormatting sqref="AP4:AR914">
    <cfRule type="expression" dxfId="2" priority="4">
      <formula>$AQ4=$N4</formula>
    </cfRule>
  </conditionalFormatting>
  <conditionalFormatting sqref="AS4:AV914">
    <cfRule type="expression" dxfId="1" priority="5">
      <formula>$AU4=$N4</formula>
    </cfRule>
  </conditionalFormatting>
  <conditionalFormatting sqref="AW4:BA914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2026-10-19T01:46:30Z</dcterms:modified>
</cp:coreProperties>
</file>