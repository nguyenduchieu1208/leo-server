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B4C68014-4A95-4618-B2EF-79765A8EC3D3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Progress!$A$3:$BD$583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28" i="1" l="1"/>
  <c r="BB526" i="1"/>
  <c r="BB525" i="1"/>
  <c r="BB521" i="1"/>
  <c r="BB520" i="1"/>
  <c r="BB519" i="1"/>
  <c r="BB510" i="1"/>
  <c r="BB509" i="1"/>
  <c r="BB505" i="1"/>
  <c r="BB504" i="1"/>
  <c r="BB503" i="1"/>
  <c r="BB498" i="1"/>
  <c r="BB490" i="1"/>
  <c r="BB489" i="1"/>
  <c r="BB488" i="1"/>
  <c r="BB487" i="1"/>
  <c r="BB486" i="1"/>
  <c r="BB485" i="1"/>
  <c r="BB484" i="1"/>
  <c r="BB483" i="1"/>
  <c r="BB482" i="1"/>
  <c r="BB481" i="1"/>
  <c r="BB480" i="1"/>
  <c r="BB460" i="1"/>
  <c r="BB459" i="1"/>
  <c r="BB448" i="1"/>
  <c r="BB447" i="1"/>
  <c r="BB446" i="1"/>
  <c r="BB445" i="1"/>
  <c r="BB444" i="1"/>
  <c r="BB443" i="1"/>
  <c r="BB442" i="1"/>
  <c r="BB441" i="1"/>
  <c r="BB440" i="1"/>
  <c r="BB439" i="1"/>
  <c r="BB438" i="1"/>
  <c r="BB437" i="1"/>
  <c r="BB436" i="1"/>
  <c r="BB435" i="1"/>
  <c r="BB434" i="1"/>
  <c r="BB433" i="1"/>
  <c r="BB432" i="1"/>
  <c r="BB431" i="1"/>
  <c r="BB430" i="1"/>
  <c r="BB429" i="1"/>
  <c r="BB428" i="1"/>
  <c r="BB427" i="1"/>
  <c r="BB422" i="1"/>
  <c r="BB421" i="1"/>
  <c r="BB420" i="1"/>
  <c r="BB405" i="1"/>
  <c r="BB404" i="1"/>
  <c r="BB403" i="1"/>
  <c r="BB399" i="1"/>
  <c r="BB398" i="1"/>
  <c r="BB397" i="1"/>
  <c r="BB396" i="1"/>
  <c r="BB395" i="1"/>
  <c r="BB394" i="1"/>
  <c r="BB386" i="1"/>
  <c r="BB378" i="1"/>
  <c r="BB249" i="1"/>
  <c r="BB248" i="1"/>
  <c r="BB247" i="1"/>
  <c r="BB246" i="1"/>
  <c r="BB245" i="1"/>
  <c r="BB244" i="1"/>
  <c r="BB190" i="1"/>
  <c r="BB189" i="1"/>
  <c r="BB188" i="1"/>
  <c r="BB184" i="1"/>
  <c r="BB182" i="1"/>
  <c r="BB181" i="1"/>
  <c r="BB145" i="1"/>
  <c r="AO534" i="1"/>
  <c r="AL534" i="1"/>
  <c r="AO533" i="1"/>
  <c r="AL533" i="1"/>
  <c r="AO532" i="1"/>
  <c r="AL532" i="1"/>
  <c r="AO531" i="1"/>
  <c r="AL531" i="1"/>
  <c r="AO530" i="1"/>
  <c r="AL530" i="1"/>
  <c r="AO529" i="1"/>
  <c r="AL529" i="1"/>
  <c r="AO523" i="1"/>
  <c r="AL523" i="1"/>
  <c r="AO518" i="1"/>
  <c r="AL518" i="1"/>
  <c r="AO517" i="1"/>
  <c r="AL517" i="1"/>
  <c r="AO516" i="1"/>
  <c r="AL516" i="1"/>
  <c r="AO515" i="1"/>
  <c r="AL515" i="1"/>
  <c r="AO514" i="1"/>
  <c r="AL514" i="1"/>
  <c r="AO513" i="1"/>
  <c r="AL513" i="1"/>
  <c r="AO512" i="1"/>
  <c r="AL512" i="1"/>
  <c r="AO511" i="1"/>
  <c r="AL511" i="1"/>
  <c r="AO508" i="1"/>
  <c r="AL508" i="1"/>
  <c r="AO507" i="1"/>
  <c r="AL507" i="1"/>
  <c r="AO506" i="1"/>
  <c r="AL506" i="1"/>
  <c r="AO502" i="1"/>
  <c r="AL502" i="1"/>
  <c r="AO501" i="1"/>
  <c r="AL501" i="1"/>
  <c r="AO500" i="1"/>
  <c r="AL500" i="1"/>
  <c r="AO499" i="1"/>
  <c r="AL499" i="1"/>
  <c r="AO479" i="1"/>
  <c r="AL479" i="1"/>
  <c r="AO478" i="1"/>
  <c r="AL478" i="1"/>
  <c r="AO477" i="1"/>
  <c r="AL477" i="1"/>
  <c r="AO476" i="1"/>
  <c r="AL476" i="1"/>
  <c r="AO475" i="1"/>
  <c r="AL475" i="1"/>
  <c r="AO474" i="1"/>
  <c r="AL474" i="1"/>
  <c r="AO473" i="1"/>
  <c r="AL473" i="1"/>
  <c r="AO472" i="1"/>
  <c r="AL472" i="1"/>
  <c r="AO471" i="1"/>
  <c r="AL471" i="1"/>
  <c r="AO470" i="1"/>
  <c r="AL470" i="1"/>
  <c r="AO469" i="1"/>
  <c r="AL469" i="1"/>
  <c r="AO468" i="1"/>
  <c r="AL468" i="1"/>
  <c r="AO467" i="1"/>
  <c r="AL467" i="1"/>
  <c r="AO466" i="1"/>
  <c r="AL466" i="1"/>
  <c r="AO465" i="1"/>
  <c r="AL465" i="1"/>
  <c r="AO464" i="1"/>
  <c r="AL464" i="1"/>
  <c r="AO463" i="1"/>
  <c r="AL463" i="1"/>
  <c r="AO462" i="1"/>
  <c r="AL462" i="1"/>
  <c r="AO461" i="1"/>
  <c r="AL461" i="1"/>
  <c r="AO458" i="1"/>
  <c r="AL458" i="1"/>
  <c r="AO457" i="1"/>
  <c r="AL457" i="1"/>
  <c r="AO456" i="1"/>
  <c r="AL456" i="1"/>
  <c r="AO455" i="1"/>
  <c r="AL455" i="1"/>
  <c r="AO454" i="1"/>
  <c r="AL454" i="1"/>
  <c r="AO453" i="1"/>
  <c r="AL453" i="1"/>
  <c r="AO452" i="1"/>
  <c r="AL452" i="1"/>
  <c r="AO451" i="1"/>
  <c r="AL451" i="1"/>
  <c r="AO450" i="1"/>
  <c r="AL450" i="1"/>
  <c r="AO449" i="1"/>
  <c r="AL449" i="1"/>
  <c r="AO426" i="1"/>
  <c r="AL426" i="1"/>
  <c r="AO425" i="1"/>
  <c r="AL425" i="1"/>
  <c r="AO424" i="1"/>
  <c r="AL424" i="1"/>
  <c r="AO423" i="1"/>
  <c r="AL423" i="1"/>
  <c r="AO419" i="1"/>
  <c r="AL419" i="1"/>
  <c r="AO418" i="1"/>
  <c r="AL418" i="1"/>
  <c r="AO417" i="1"/>
  <c r="AL417" i="1"/>
  <c r="AO416" i="1"/>
  <c r="AL416" i="1"/>
  <c r="AO415" i="1"/>
  <c r="AL415" i="1"/>
  <c r="AO414" i="1"/>
  <c r="AL414" i="1"/>
  <c r="AO413" i="1"/>
  <c r="AL413" i="1"/>
  <c r="AO412" i="1"/>
  <c r="AL412" i="1"/>
  <c r="AO411" i="1"/>
  <c r="AL411" i="1"/>
  <c r="AO410" i="1"/>
  <c r="AL410" i="1"/>
  <c r="AO409" i="1"/>
  <c r="AL409" i="1"/>
  <c r="AO408" i="1"/>
  <c r="AL408" i="1"/>
  <c r="AO407" i="1"/>
  <c r="AL407" i="1"/>
  <c r="AO406" i="1"/>
  <c r="AL406" i="1"/>
  <c r="AO402" i="1"/>
  <c r="AL402" i="1"/>
  <c r="AO401" i="1"/>
  <c r="AL401" i="1"/>
  <c r="AY548" i="1"/>
  <c r="AY549" i="1"/>
  <c r="AY550" i="1"/>
  <c r="AY551" i="1"/>
  <c r="AY552" i="1"/>
  <c r="AY553" i="1"/>
  <c r="AY554" i="1"/>
  <c r="AY196" i="1"/>
  <c r="AY197" i="1"/>
  <c r="AY198" i="1"/>
  <c r="AY199" i="1"/>
  <c r="AY200" i="1"/>
  <c r="AY201" i="1"/>
  <c r="AY202" i="1"/>
  <c r="AY203" i="1"/>
  <c r="AY204" i="1"/>
  <c r="AY527" i="1"/>
  <c r="AY524" i="1"/>
  <c r="AY522" i="1"/>
  <c r="AY497" i="1"/>
  <c r="AY496" i="1"/>
  <c r="AY495" i="1"/>
  <c r="AY494" i="1"/>
  <c r="AY493" i="1"/>
  <c r="AY492" i="1"/>
  <c r="AY491" i="1"/>
  <c r="AY393" i="1"/>
  <c r="AY385" i="1"/>
  <c r="AL527" i="1"/>
  <c r="AL524" i="1"/>
  <c r="AL522" i="1"/>
  <c r="AL497" i="1"/>
  <c r="AL496" i="1"/>
  <c r="AL495" i="1"/>
  <c r="AL494" i="1"/>
  <c r="AL493" i="1"/>
  <c r="AL492" i="1"/>
  <c r="BB554" i="1"/>
  <c r="BB553" i="1"/>
  <c r="BB552" i="1"/>
  <c r="BB551" i="1"/>
  <c r="BB550" i="1"/>
  <c r="BB549" i="1"/>
  <c r="BB548" i="1"/>
  <c r="BB547" i="1"/>
  <c r="AO204" i="1"/>
  <c r="AO203" i="1"/>
  <c r="AO202" i="1"/>
  <c r="AO201" i="1"/>
  <c r="AO200" i="1"/>
  <c r="AO199" i="1"/>
  <c r="AO198" i="1"/>
  <c r="AO197" i="1"/>
  <c r="AO196" i="1"/>
  <c r="AY195" i="1"/>
  <c r="AV195" i="1"/>
  <c r="AV196" i="1"/>
  <c r="AV197" i="1"/>
  <c r="AV198" i="1"/>
  <c r="AV199" i="1"/>
  <c r="AV200" i="1"/>
  <c r="AV201" i="1"/>
  <c r="AV202" i="1"/>
  <c r="AV203" i="1"/>
  <c r="AV204" i="1"/>
  <c r="AV205" i="1"/>
  <c r="AR195" i="1"/>
  <c r="AR196" i="1"/>
  <c r="AR197" i="1"/>
  <c r="AR198" i="1"/>
  <c r="AR199" i="1"/>
  <c r="AR200" i="1"/>
  <c r="AR201" i="1"/>
  <c r="AR202" i="1"/>
  <c r="AR203" i="1"/>
  <c r="AR204" i="1"/>
  <c r="AO195" i="1"/>
  <c r="AL195" i="1"/>
  <c r="AL196" i="1"/>
  <c r="AL197" i="1"/>
  <c r="AL198" i="1"/>
  <c r="AL199" i="1"/>
  <c r="AL200" i="1"/>
  <c r="AL201" i="1"/>
  <c r="AL202" i="1"/>
  <c r="AL203" i="1"/>
  <c r="AL204" i="1"/>
  <c r="AI195" i="1"/>
  <c r="AI196" i="1"/>
  <c r="AI197" i="1"/>
  <c r="AI198" i="1"/>
  <c r="AI199" i="1"/>
  <c r="AI200" i="1"/>
  <c r="AI201" i="1"/>
  <c r="AI202" i="1"/>
  <c r="AI203" i="1"/>
  <c r="AI204" i="1"/>
  <c r="A195" i="1"/>
  <c r="C195" i="1"/>
  <c r="A196" i="1"/>
  <c r="C196" i="1"/>
  <c r="A197" i="1"/>
  <c r="C197" i="1"/>
  <c r="A198" i="1"/>
  <c r="C198" i="1"/>
  <c r="A199" i="1"/>
  <c r="C199" i="1"/>
  <c r="A200" i="1"/>
  <c r="C200" i="1"/>
  <c r="A201" i="1"/>
  <c r="C201" i="1"/>
  <c r="A202" i="1"/>
  <c r="C202" i="1"/>
  <c r="A203" i="1"/>
  <c r="C203" i="1"/>
  <c r="A204" i="1"/>
  <c r="C204" i="1"/>
  <c r="AE199" i="1" l="1"/>
  <c r="AF199" i="1" s="1"/>
  <c r="AE198" i="1"/>
  <c r="AF198" i="1" s="1"/>
  <c r="AE195" i="1"/>
  <c r="AF195" i="1" s="1"/>
  <c r="AE203" i="1"/>
  <c r="AF203" i="1" s="1"/>
  <c r="AE196" i="1"/>
  <c r="AF196" i="1" s="1"/>
  <c r="AE202" i="1"/>
  <c r="AF202" i="1" s="1"/>
  <c r="AE204" i="1"/>
  <c r="AF204" i="1" s="1"/>
  <c r="AE201" i="1"/>
  <c r="AF201" i="1" s="1"/>
  <c r="AE200" i="1"/>
  <c r="AF200" i="1" s="1"/>
  <c r="AE197" i="1"/>
  <c r="AF197" i="1" s="1"/>
  <c r="AY392" i="1" l="1"/>
  <c r="AY391" i="1"/>
  <c r="AY390" i="1"/>
  <c r="AY389" i="1"/>
  <c r="AY388" i="1"/>
  <c r="AY387" i="1"/>
  <c r="AY383" i="1"/>
  <c r="AY382" i="1"/>
  <c r="AY381" i="1"/>
  <c r="AY380" i="1"/>
  <c r="AY183" i="1"/>
  <c r="AY172" i="1"/>
  <c r="AY171" i="1"/>
  <c r="AY170" i="1"/>
  <c r="AY169" i="1"/>
  <c r="AY168" i="1"/>
  <c r="AY167" i="1"/>
  <c r="AY166" i="1"/>
  <c r="AY165" i="1"/>
  <c r="AY156" i="1"/>
  <c r="AY155" i="1"/>
  <c r="AY15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194" i="1" l="1"/>
  <c r="AY193" i="1"/>
  <c r="AY192" i="1"/>
  <c r="AY191" i="1"/>
  <c r="AY180" i="1"/>
  <c r="AY179" i="1"/>
  <c r="AY178" i="1"/>
  <c r="AY177" i="1"/>
  <c r="AY176" i="1"/>
  <c r="AY175" i="1"/>
  <c r="AY174" i="1"/>
  <c r="AY173" i="1"/>
  <c r="AY164" i="1"/>
  <c r="AY163" i="1"/>
  <c r="AY162" i="1"/>
  <c r="AY161" i="1"/>
  <c r="AY160" i="1"/>
  <c r="AY159" i="1"/>
  <c r="AY158" i="1"/>
  <c r="AY157" i="1"/>
  <c r="AY144" i="1"/>
  <c r="AY143" i="1"/>
  <c r="AY142" i="1"/>
  <c r="AY141" i="1"/>
  <c r="AY65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153" i="1"/>
  <c r="AY152" i="1"/>
  <c r="AY151" i="1"/>
  <c r="AY150" i="1"/>
  <c r="AY149" i="1"/>
  <c r="AY148" i="1"/>
  <c r="AY147" i="1"/>
  <c r="AY146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19" i="1"/>
  <c r="AY118" i="1"/>
  <c r="AY117" i="1"/>
  <c r="AY116" i="1"/>
  <c r="AY115" i="1"/>
  <c r="AY114" i="1"/>
  <c r="AY109" i="1"/>
  <c r="AY102" i="1"/>
  <c r="AY101" i="1"/>
  <c r="AY100" i="1"/>
  <c r="AY99" i="1"/>
  <c r="AY98" i="1"/>
  <c r="AY97" i="1"/>
  <c r="AY96" i="1"/>
  <c r="AY95" i="1"/>
  <c r="AY187" i="1"/>
  <c r="AY186" i="1"/>
  <c r="AY185" i="1"/>
  <c r="AY124" i="1"/>
  <c r="AY123" i="1"/>
  <c r="AY122" i="1"/>
  <c r="AY121" i="1"/>
  <c r="AY120" i="1"/>
  <c r="AY113" i="1"/>
  <c r="AY112" i="1"/>
  <c r="AY111" i="1"/>
  <c r="AY110" i="1"/>
  <c r="AY108" i="1"/>
  <c r="AY107" i="1"/>
  <c r="AY106" i="1"/>
  <c r="AY105" i="1"/>
  <c r="AY104" i="1"/>
  <c r="AY75" i="1"/>
  <c r="AY74" i="1"/>
  <c r="AY72" i="1"/>
  <c r="AY71" i="1"/>
  <c r="AY70" i="1"/>
  <c r="AY69" i="1"/>
  <c r="AY68" i="1"/>
  <c r="AY73" i="1"/>
  <c r="AY66" i="1"/>
  <c r="AY63" i="1"/>
  <c r="AY62" i="1"/>
  <c r="AY49" i="1"/>
  <c r="AY48" i="1"/>
  <c r="AY47" i="1"/>
  <c r="A555" i="1"/>
  <c r="C555" i="1"/>
  <c r="AY45" i="1"/>
  <c r="AY44" i="1"/>
  <c r="AY41" i="1"/>
  <c r="AY22" i="1"/>
  <c r="AY21" i="1"/>
  <c r="AY20" i="1"/>
  <c r="AY19" i="1"/>
  <c r="AY18" i="1"/>
  <c r="AY17" i="1"/>
  <c r="AY15" i="1"/>
  <c r="AY12" i="1"/>
  <c r="AY9" i="1"/>
  <c r="AY60" i="1"/>
  <c r="AY59" i="1"/>
  <c r="AY58" i="1"/>
  <c r="AY359" i="1"/>
  <c r="AY358" i="1"/>
  <c r="AY346" i="1"/>
  <c r="AY340" i="1"/>
  <c r="AY339" i="1"/>
  <c r="AY334" i="1"/>
  <c r="AY316" i="1"/>
  <c r="AY309" i="1"/>
  <c r="AY298" i="1"/>
  <c r="AY292" i="1"/>
  <c r="AY283" i="1"/>
  <c r="AY281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57" i="1"/>
  <c r="AY43" i="1" l="1"/>
  <c r="AY42" i="1"/>
  <c r="AY40" i="1"/>
  <c r="AY16" i="1"/>
  <c r="AY14" i="1"/>
  <c r="AY13" i="1"/>
  <c r="AY11" i="1"/>
  <c r="AY61" i="1"/>
  <c r="AY57" i="1"/>
  <c r="AY55" i="1"/>
  <c r="AY54" i="1"/>
  <c r="AY53" i="1"/>
  <c r="AY52" i="1"/>
  <c r="AY51" i="1"/>
  <c r="AL77" i="1"/>
  <c r="AO77" i="1"/>
  <c r="AL78" i="1"/>
  <c r="AO78" i="1"/>
  <c r="AL79" i="1"/>
  <c r="AO79" i="1"/>
  <c r="AL80" i="1"/>
  <c r="AO80" i="1"/>
  <c r="AL81" i="1"/>
  <c r="AO81" i="1"/>
  <c r="AL82" i="1"/>
  <c r="AO82" i="1"/>
  <c r="AL83" i="1"/>
  <c r="AO83" i="1"/>
  <c r="AL84" i="1"/>
  <c r="AO84" i="1"/>
  <c r="AL85" i="1"/>
  <c r="AO85" i="1"/>
  <c r="AL86" i="1"/>
  <c r="AO86" i="1"/>
  <c r="AL87" i="1"/>
  <c r="AO87" i="1"/>
  <c r="AL88" i="1"/>
  <c r="AO88" i="1"/>
  <c r="AL89" i="1"/>
  <c r="AO89" i="1"/>
  <c r="AL90" i="1"/>
  <c r="AO90" i="1"/>
  <c r="AL91" i="1"/>
  <c r="AO91" i="1"/>
  <c r="AL92" i="1"/>
  <c r="AO92" i="1"/>
  <c r="AL93" i="1"/>
  <c r="AO93" i="1"/>
  <c r="AL166" i="1"/>
  <c r="AO166" i="1"/>
  <c r="AL167" i="1"/>
  <c r="AO167" i="1"/>
  <c r="AL168" i="1"/>
  <c r="AO168" i="1"/>
  <c r="AL169" i="1"/>
  <c r="AO169" i="1"/>
  <c r="AL170" i="1"/>
  <c r="AO170" i="1"/>
  <c r="AL171" i="1"/>
  <c r="AO171" i="1"/>
  <c r="AL172" i="1"/>
  <c r="AO172" i="1"/>
  <c r="AL173" i="1"/>
  <c r="AO173" i="1"/>
  <c r="AL174" i="1"/>
  <c r="AO174" i="1"/>
  <c r="AL175" i="1"/>
  <c r="AO175" i="1"/>
  <c r="AL176" i="1"/>
  <c r="AO176" i="1"/>
  <c r="AL177" i="1"/>
  <c r="AO177" i="1"/>
  <c r="AL178" i="1"/>
  <c r="AO178" i="1"/>
  <c r="AL179" i="1"/>
  <c r="AO179" i="1"/>
  <c r="AL180" i="1"/>
  <c r="AO180" i="1"/>
  <c r="AL181" i="1"/>
  <c r="AO181" i="1"/>
  <c r="AL182" i="1"/>
  <c r="AO182" i="1"/>
  <c r="AL183" i="1"/>
  <c r="AO183" i="1"/>
  <c r="AL184" i="1"/>
  <c r="AO184" i="1"/>
  <c r="AL155" i="1"/>
  <c r="AL156" i="1"/>
  <c r="BB377" i="1" l="1"/>
  <c r="BB376" i="1"/>
  <c r="BB375" i="1"/>
  <c r="BB374" i="1"/>
  <c r="BB373" i="1"/>
  <c r="BB372" i="1"/>
  <c r="AY536" i="1"/>
  <c r="AY537" i="1"/>
  <c r="AY538" i="1"/>
  <c r="AY539" i="1"/>
  <c r="AY540" i="1"/>
  <c r="AY541" i="1"/>
  <c r="AY542" i="1"/>
  <c r="AY543" i="1"/>
  <c r="AY544" i="1"/>
  <c r="AY545" i="1"/>
  <c r="AY546" i="1"/>
  <c r="AY355" i="1"/>
  <c r="AY349" i="1"/>
  <c r="AY337" i="1"/>
  <c r="AY333" i="1"/>
  <c r="AY325" i="1"/>
  <c r="AY285" i="1"/>
  <c r="AY284" i="1"/>
  <c r="AY280" i="1"/>
  <c r="AY264" i="1"/>
  <c r="AY255" i="1"/>
  <c r="AY254" i="1"/>
  <c r="AY253" i="1"/>
  <c r="AY252" i="1"/>
  <c r="AY251" i="1"/>
  <c r="AY366" i="1"/>
  <c r="AY365" i="1"/>
  <c r="AY364" i="1"/>
  <c r="AY363" i="1"/>
  <c r="AY361" i="1"/>
  <c r="AY360" i="1"/>
  <c r="AY357" i="1"/>
  <c r="AY356" i="1"/>
  <c r="AY354" i="1"/>
  <c r="AY353" i="1"/>
  <c r="AY352" i="1"/>
  <c r="AY351" i="1"/>
  <c r="AY350" i="1"/>
  <c r="AY348" i="1"/>
  <c r="AY347" i="1"/>
  <c r="AY345" i="1"/>
  <c r="AY344" i="1"/>
  <c r="AY343" i="1"/>
  <c r="AY342" i="1"/>
  <c r="AY341" i="1"/>
  <c r="AY338" i="1"/>
  <c r="AY336" i="1"/>
  <c r="AY335" i="1"/>
  <c r="AY332" i="1"/>
  <c r="AY331" i="1"/>
  <c r="AY330" i="1"/>
  <c r="AY329" i="1"/>
  <c r="AY328" i="1"/>
  <c r="AY327" i="1"/>
  <c r="AY326" i="1"/>
  <c r="AY324" i="1"/>
  <c r="AY323" i="1"/>
  <c r="AY322" i="1"/>
  <c r="AY321" i="1"/>
  <c r="AY320" i="1"/>
  <c r="AY319" i="1"/>
  <c r="AY318" i="1"/>
  <c r="AY317" i="1"/>
  <c r="AY315" i="1"/>
  <c r="AY314" i="1"/>
  <c r="AY313" i="1"/>
  <c r="AY312" i="1"/>
  <c r="AY311" i="1"/>
  <c r="AY310" i="1"/>
  <c r="AY308" i="1"/>
  <c r="AY307" i="1"/>
  <c r="AY306" i="1"/>
  <c r="AY305" i="1"/>
  <c r="AY304" i="1"/>
  <c r="AY303" i="1"/>
  <c r="AY302" i="1"/>
  <c r="AY301" i="1"/>
  <c r="AY300" i="1"/>
  <c r="AY299" i="1"/>
  <c r="AY297" i="1"/>
  <c r="AY296" i="1"/>
  <c r="AY295" i="1"/>
  <c r="AY294" i="1"/>
  <c r="AY293" i="1"/>
  <c r="AY291" i="1"/>
  <c r="AY290" i="1"/>
  <c r="AY289" i="1"/>
  <c r="AY288" i="1"/>
  <c r="AY287" i="1"/>
  <c r="AY286" i="1"/>
  <c r="AY282" i="1"/>
  <c r="AY279" i="1"/>
  <c r="AY278" i="1"/>
  <c r="AY263" i="1"/>
  <c r="AY262" i="1"/>
  <c r="AY261" i="1"/>
  <c r="AY260" i="1"/>
  <c r="AY259" i="1"/>
  <c r="AY258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L364" i="1"/>
  <c r="AL365" i="1"/>
  <c r="AL366" i="1"/>
  <c r="AY368" i="1"/>
  <c r="AY369" i="1"/>
  <c r="AY370" i="1"/>
  <c r="AY371" i="1"/>
  <c r="AL548" i="1"/>
  <c r="AL549" i="1"/>
  <c r="AL550" i="1"/>
  <c r="AL551" i="1"/>
  <c r="AL552" i="1"/>
  <c r="AL553" i="1"/>
  <c r="AL554" i="1"/>
  <c r="AY373" i="1"/>
  <c r="AY374" i="1"/>
  <c r="AY375" i="1"/>
  <c r="AY377" i="1"/>
  <c r="AL369" i="1"/>
  <c r="AL370" i="1"/>
  <c r="AL371" i="1"/>
  <c r="AY534" i="1"/>
  <c r="AV534" i="1"/>
  <c r="AY533" i="1"/>
  <c r="AV533" i="1"/>
  <c r="AY532" i="1"/>
  <c r="AV532" i="1"/>
  <c r="AY531" i="1"/>
  <c r="AV531" i="1"/>
  <c r="AY530" i="1"/>
  <c r="AV530" i="1"/>
  <c r="AY529" i="1"/>
  <c r="AV529" i="1"/>
  <c r="AY528" i="1"/>
  <c r="AV528" i="1"/>
  <c r="AV527" i="1"/>
  <c r="AI534" i="1"/>
  <c r="AI533" i="1"/>
  <c r="AI532" i="1"/>
  <c r="AI531" i="1"/>
  <c r="AI530" i="1"/>
  <c r="AI529" i="1"/>
  <c r="AO528" i="1"/>
  <c r="AL528" i="1"/>
  <c r="AI528" i="1"/>
  <c r="AO527" i="1"/>
  <c r="AI527" i="1"/>
  <c r="AY526" i="1"/>
  <c r="AV526" i="1"/>
  <c r="AO526" i="1"/>
  <c r="AL526" i="1"/>
  <c r="C535" i="1"/>
  <c r="A535" i="1"/>
  <c r="C534" i="1"/>
  <c r="A534" i="1"/>
  <c r="C533" i="1"/>
  <c r="A533" i="1"/>
  <c r="C532" i="1"/>
  <c r="A532" i="1"/>
  <c r="C531" i="1"/>
  <c r="A531" i="1"/>
  <c r="C530" i="1"/>
  <c r="A530" i="1"/>
  <c r="C529" i="1"/>
  <c r="A529" i="1"/>
  <c r="C528" i="1"/>
  <c r="A528" i="1"/>
  <c r="C527" i="1"/>
  <c r="A527" i="1"/>
  <c r="C6" i="1"/>
  <c r="AE534" i="1" l="1"/>
  <c r="AF534" i="1" s="1"/>
  <c r="AE531" i="1"/>
  <c r="AF531" i="1" s="1"/>
  <c r="AE533" i="1"/>
  <c r="AF533" i="1" s="1"/>
  <c r="AE527" i="1"/>
  <c r="AF527" i="1" s="1"/>
  <c r="AE528" i="1"/>
  <c r="AF528" i="1" s="1"/>
  <c r="AE529" i="1"/>
  <c r="AF529" i="1" s="1"/>
  <c r="AE530" i="1"/>
  <c r="AF530" i="1" s="1"/>
  <c r="AE532" i="1"/>
  <c r="AF532" i="1" s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379" i="1"/>
  <c r="C373" i="1"/>
  <c r="C374" i="1"/>
  <c r="C375" i="1"/>
  <c r="C376" i="1"/>
  <c r="C377" i="1"/>
  <c r="C378" i="1"/>
  <c r="C372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9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A17" i="1"/>
  <c r="AI17" i="1"/>
  <c r="AL17" i="1"/>
  <c r="AO17" i="1"/>
  <c r="AR17" i="1"/>
  <c r="AV17" i="1"/>
  <c r="A18" i="1"/>
  <c r="AI18" i="1"/>
  <c r="AL18" i="1"/>
  <c r="AO18" i="1"/>
  <c r="AR18" i="1"/>
  <c r="AV18" i="1"/>
  <c r="A19" i="1"/>
  <c r="AI19" i="1"/>
  <c r="AL19" i="1"/>
  <c r="AO19" i="1"/>
  <c r="AR19" i="1"/>
  <c r="AV19" i="1"/>
  <c r="A20" i="1"/>
  <c r="AI20" i="1"/>
  <c r="AL20" i="1"/>
  <c r="AO20" i="1"/>
  <c r="AR20" i="1"/>
  <c r="AV20" i="1"/>
  <c r="A21" i="1"/>
  <c r="AI21" i="1"/>
  <c r="AL21" i="1"/>
  <c r="AO21" i="1"/>
  <c r="AR21" i="1"/>
  <c r="AV21" i="1"/>
  <c r="A22" i="1"/>
  <c r="AI22" i="1"/>
  <c r="AL22" i="1"/>
  <c r="AO22" i="1"/>
  <c r="AR22" i="1"/>
  <c r="AV22" i="1"/>
  <c r="A23" i="1"/>
  <c r="AI23" i="1"/>
  <c r="AL23" i="1"/>
  <c r="AO23" i="1"/>
  <c r="AR23" i="1"/>
  <c r="AV23" i="1"/>
  <c r="AY23" i="1"/>
  <c r="A24" i="1"/>
  <c r="AI24" i="1"/>
  <c r="AL24" i="1"/>
  <c r="AO24" i="1"/>
  <c r="AR24" i="1"/>
  <c r="AV24" i="1"/>
  <c r="A25" i="1"/>
  <c r="AI25" i="1"/>
  <c r="AL25" i="1"/>
  <c r="AO25" i="1"/>
  <c r="AR25" i="1"/>
  <c r="AV25" i="1"/>
  <c r="A26" i="1"/>
  <c r="AI26" i="1"/>
  <c r="AL26" i="1"/>
  <c r="AO26" i="1"/>
  <c r="AR26" i="1"/>
  <c r="AV26" i="1"/>
  <c r="A27" i="1"/>
  <c r="AI27" i="1"/>
  <c r="AL27" i="1"/>
  <c r="AO27" i="1"/>
  <c r="AR27" i="1"/>
  <c r="AV27" i="1"/>
  <c r="A28" i="1"/>
  <c r="AI28" i="1"/>
  <c r="AL28" i="1"/>
  <c r="AO28" i="1"/>
  <c r="AR28" i="1"/>
  <c r="AV28" i="1"/>
  <c r="A29" i="1"/>
  <c r="AI29" i="1"/>
  <c r="AL29" i="1"/>
  <c r="AO29" i="1"/>
  <c r="AR29" i="1"/>
  <c r="AV29" i="1"/>
  <c r="A30" i="1"/>
  <c r="AI30" i="1"/>
  <c r="AL30" i="1"/>
  <c r="AO30" i="1"/>
  <c r="AR30" i="1"/>
  <c r="AV30" i="1"/>
  <c r="A31" i="1"/>
  <c r="AI31" i="1"/>
  <c r="AL31" i="1"/>
  <c r="AO31" i="1"/>
  <c r="AR31" i="1"/>
  <c r="AV31" i="1"/>
  <c r="A32" i="1"/>
  <c r="AI32" i="1"/>
  <c r="AL32" i="1"/>
  <c r="AO32" i="1"/>
  <c r="AR32" i="1"/>
  <c r="AV32" i="1"/>
  <c r="A33" i="1"/>
  <c r="AI33" i="1"/>
  <c r="AL33" i="1"/>
  <c r="AO33" i="1"/>
  <c r="AR33" i="1"/>
  <c r="AV33" i="1"/>
  <c r="A34" i="1"/>
  <c r="AI34" i="1"/>
  <c r="AL34" i="1"/>
  <c r="AO34" i="1"/>
  <c r="AR34" i="1"/>
  <c r="AV34" i="1"/>
  <c r="A35" i="1"/>
  <c r="AI35" i="1"/>
  <c r="AL35" i="1"/>
  <c r="AO35" i="1"/>
  <c r="AR35" i="1"/>
  <c r="AV35" i="1"/>
  <c r="A36" i="1"/>
  <c r="AI36" i="1"/>
  <c r="AL36" i="1"/>
  <c r="AO36" i="1"/>
  <c r="AR36" i="1"/>
  <c r="AV36" i="1"/>
  <c r="A37" i="1"/>
  <c r="AI37" i="1"/>
  <c r="AL37" i="1"/>
  <c r="AO37" i="1"/>
  <c r="AR37" i="1"/>
  <c r="AV37" i="1"/>
  <c r="A38" i="1"/>
  <c r="AI38" i="1"/>
  <c r="AL38" i="1"/>
  <c r="AO38" i="1"/>
  <c r="AR38" i="1"/>
  <c r="AV38" i="1"/>
  <c r="A39" i="1"/>
  <c r="AI39" i="1"/>
  <c r="AL39" i="1"/>
  <c r="AO39" i="1"/>
  <c r="AR39" i="1"/>
  <c r="AV39" i="1"/>
  <c r="A40" i="1"/>
  <c r="AI40" i="1"/>
  <c r="AL40" i="1"/>
  <c r="AO40" i="1"/>
  <c r="AR40" i="1"/>
  <c r="AV40" i="1"/>
  <c r="A41" i="1"/>
  <c r="AI41" i="1"/>
  <c r="AL41" i="1"/>
  <c r="AO41" i="1"/>
  <c r="AR41" i="1"/>
  <c r="AV41" i="1"/>
  <c r="A42" i="1"/>
  <c r="AI42" i="1"/>
  <c r="AL42" i="1"/>
  <c r="AO42" i="1"/>
  <c r="AR42" i="1"/>
  <c r="AV42" i="1"/>
  <c r="A43" i="1"/>
  <c r="AI43" i="1"/>
  <c r="AL43" i="1"/>
  <c r="AO43" i="1"/>
  <c r="AR43" i="1"/>
  <c r="AV43" i="1"/>
  <c r="A44" i="1"/>
  <c r="AI44" i="1"/>
  <c r="AL44" i="1"/>
  <c r="AO44" i="1"/>
  <c r="AR44" i="1"/>
  <c r="AV44" i="1"/>
  <c r="A45" i="1"/>
  <c r="AI45" i="1"/>
  <c r="AL45" i="1"/>
  <c r="AO45" i="1"/>
  <c r="AR45" i="1"/>
  <c r="AV45" i="1"/>
  <c r="A46" i="1"/>
  <c r="AI46" i="1"/>
  <c r="AL46" i="1"/>
  <c r="AO46" i="1"/>
  <c r="AR46" i="1"/>
  <c r="AV46" i="1"/>
  <c r="AY46" i="1"/>
  <c r="A47" i="1"/>
  <c r="AI47" i="1"/>
  <c r="AL47" i="1"/>
  <c r="AO47" i="1"/>
  <c r="AR47" i="1"/>
  <c r="AV47" i="1"/>
  <c r="A48" i="1"/>
  <c r="AI48" i="1"/>
  <c r="AL48" i="1"/>
  <c r="AO48" i="1"/>
  <c r="AR48" i="1"/>
  <c r="AV48" i="1"/>
  <c r="A49" i="1"/>
  <c r="AI49" i="1"/>
  <c r="AL49" i="1"/>
  <c r="AO49" i="1"/>
  <c r="AR49" i="1"/>
  <c r="AV49" i="1"/>
  <c r="A50" i="1"/>
  <c r="AI50" i="1"/>
  <c r="AL50" i="1"/>
  <c r="AO50" i="1"/>
  <c r="AR50" i="1"/>
  <c r="AV50" i="1"/>
  <c r="AY50" i="1"/>
  <c r="A51" i="1"/>
  <c r="AI51" i="1"/>
  <c r="AL51" i="1"/>
  <c r="AO51" i="1"/>
  <c r="AR51" i="1"/>
  <c r="AV51" i="1"/>
  <c r="A52" i="1"/>
  <c r="AI52" i="1"/>
  <c r="AL52" i="1"/>
  <c r="AO52" i="1"/>
  <c r="AR52" i="1"/>
  <c r="AV52" i="1"/>
  <c r="A53" i="1"/>
  <c r="AI53" i="1"/>
  <c r="AL53" i="1"/>
  <c r="AO53" i="1"/>
  <c r="AR53" i="1"/>
  <c r="AV53" i="1"/>
  <c r="A54" i="1"/>
  <c r="AI54" i="1"/>
  <c r="AL54" i="1"/>
  <c r="AO54" i="1"/>
  <c r="AR54" i="1"/>
  <c r="AV54" i="1"/>
  <c r="A55" i="1"/>
  <c r="AI55" i="1"/>
  <c r="AL55" i="1"/>
  <c r="AO55" i="1"/>
  <c r="AR55" i="1"/>
  <c r="AV55" i="1"/>
  <c r="A56" i="1"/>
  <c r="AI56" i="1"/>
  <c r="AL56" i="1"/>
  <c r="AO56" i="1"/>
  <c r="AR56" i="1"/>
  <c r="AV56" i="1"/>
  <c r="AY56" i="1"/>
  <c r="A57" i="1"/>
  <c r="AI57" i="1"/>
  <c r="AL57" i="1"/>
  <c r="AO57" i="1"/>
  <c r="AR57" i="1"/>
  <c r="AV57" i="1"/>
  <c r="A58" i="1"/>
  <c r="AI58" i="1"/>
  <c r="AL58" i="1"/>
  <c r="AO58" i="1"/>
  <c r="AR58" i="1"/>
  <c r="AV58" i="1"/>
  <c r="A59" i="1"/>
  <c r="AI59" i="1"/>
  <c r="AL59" i="1"/>
  <c r="AO59" i="1"/>
  <c r="AR59" i="1"/>
  <c r="AV59" i="1"/>
  <c r="A60" i="1"/>
  <c r="AI60" i="1"/>
  <c r="AL60" i="1"/>
  <c r="AO60" i="1"/>
  <c r="AR60" i="1"/>
  <c r="AV60" i="1"/>
  <c r="A61" i="1"/>
  <c r="AI61" i="1"/>
  <c r="AL61" i="1"/>
  <c r="AO61" i="1"/>
  <c r="AR61" i="1"/>
  <c r="AV61" i="1"/>
  <c r="A62" i="1"/>
  <c r="AI62" i="1"/>
  <c r="AL62" i="1"/>
  <c r="AO62" i="1"/>
  <c r="AR62" i="1"/>
  <c r="AV62" i="1"/>
  <c r="A63" i="1"/>
  <c r="AI63" i="1"/>
  <c r="AL63" i="1"/>
  <c r="AO63" i="1"/>
  <c r="AR63" i="1"/>
  <c r="AV63" i="1"/>
  <c r="A64" i="1"/>
  <c r="AI64" i="1"/>
  <c r="AL64" i="1"/>
  <c r="AO64" i="1"/>
  <c r="AR64" i="1"/>
  <c r="AV64" i="1"/>
  <c r="AY64" i="1"/>
  <c r="A65" i="1"/>
  <c r="AI65" i="1"/>
  <c r="AL65" i="1"/>
  <c r="AO65" i="1"/>
  <c r="AR65" i="1"/>
  <c r="AV65" i="1"/>
  <c r="A66" i="1"/>
  <c r="AI66" i="1"/>
  <c r="AL66" i="1"/>
  <c r="AO66" i="1"/>
  <c r="AR66" i="1"/>
  <c r="AV66" i="1"/>
  <c r="A67" i="1"/>
  <c r="AI67" i="1"/>
  <c r="AL67" i="1"/>
  <c r="AO67" i="1"/>
  <c r="AR67" i="1"/>
  <c r="AV67" i="1"/>
  <c r="AY67" i="1"/>
  <c r="A68" i="1"/>
  <c r="AI68" i="1"/>
  <c r="AL68" i="1"/>
  <c r="AO68" i="1"/>
  <c r="AR68" i="1"/>
  <c r="AV68" i="1"/>
  <c r="A69" i="1"/>
  <c r="AI69" i="1"/>
  <c r="AL69" i="1"/>
  <c r="AO69" i="1"/>
  <c r="AR69" i="1"/>
  <c r="AV69" i="1"/>
  <c r="A70" i="1"/>
  <c r="AI70" i="1"/>
  <c r="AL70" i="1"/>
  <c r="AO70" i="1"/>
  <c r="AR70" i="1"/>
  <c r="AV70" i="1"/>
  <c r="A71" i="1"/>
  <c r="AI71" i="1"/>
  <c r="AL71" i="1"/>
  <c r="AO71" i="1"/>
  <c r="AR71" i="1"/>
  <c r="AV71" i="1"/>
  <c r="A72" i="1"/>
  <c r="AI72" i="1"/>
  <c r="AL72" i="1"/>
  <c r="AO72" i="1"/>
  <c r="AR72" i="1"/>
  <c r="AV72" i="1"/>
  <c r="A73" i="1"/>
  <c r="AI73" i="1"/>
  <c r="AL73" i="1"/>
  <c r="AO73" i="1"/>
  <c r="AR73" i="1"/>
  <c r="AV73" i="1"/>
  <c r="A74" i="1"/>
  <c r="AI74" i="1"/>
  <c r="AL74" i="1"/>
  <c r="AO74" i="1"/>
  <c r="AR74" i="1"/>
  <c r="AV74" i="1"/>
  <c r="A75" i="1"/>
  <c r="AI75" i="1"/>
  <c r="AL75" i="1"/>
  <c r="AO75" i="1"/>
  <c r="AR75" i="1"/>
  <c r="AV75" i="1"/>
  <c r="A76" i="1"/>
  <c r="AI76" i="1"/>
  <c r="AL76" i="1"/>
  <c r="AO76" i="1"/>
  <c r="AR76" i="1"/>
  <c r="AV76" i="1"/>
  <c r="AY76" i="1"/>
  <c r="A77" i="1"/>
  <c r="AI77" i="1"/>
  <c r="AR77" i="1"/>
  <c r="AV77" i="1"/>
  <c r="A78" i="1"/>
  <c r="AI78" i="1"/>
  <c r="AR78" i="1"/>
  <c r="AV78" i="1"/>
  <c r="A79" i="1"/>
  <c r="AI79" i="1"/>
  <c r="AR79" i="1"/>
  <c r="AV79" i="1"/>
  <c r="A80" i="1"/>
  <c r="AI80" i="1"/>
  <c r="AR80" i="1"/>
  <c r="AV80" i="1"/>
  <c r="A81" i="1"/>
  <c r="AI81" i="1"/>
  <c r="AR81" i="1"/>
  <c r="AV81" i="1"/>
  <c r="A82" i="1"/>
  <c r="AI82" i="1"/>
  <c r="AR82" i="1"/>
  <c r="AV82" i="1"/>
  <c r="A83" i="1"/>
  <c r="AI83" i="1"/>
  <c r="AR83" i="1"/>
  <c r="AV83" i="1"/>
  <c r="A84" i="1"/>
  <c r="AI84" i="1"/>
  <c r="AR84" i="1"/>
  <c r="AV84" i="1"/>
  <c r="A85" i="1"/>
  <c r="AI85" i="1"/>
  <c r="AR85" i="1"/>
  <c r="AV85" i="1"/>
  <c r="A86" i="1"/>
  <c r="AI86" i="1"/>
  <c r="AR86" i="1"/>
  <c r="AV86" i="1"/>
  <c r="A87" i="1"/>
  <c r="AI87" i="1"/>
  <c r="AR87" i="1"/>
  <c r="AV87" i="1"/>
  <c r="A88" i="1"/>
  <c r="AI88" i="1"/>
  <c r="AR88" i="1"/>
  <c r="AV88" i="1"/>
  <c r="A89" i="1"/>
  <c r="AI89" i="1"/>
  <c r="AR89" i="1"/>
  <c r="AV89" i="1"/>
  <c r="A90" i="1"/>
  <c r="AI90" i="1"/>
  <c r="AR90" i="1"/>
  <c r="AV90" i="1"/>
  <c r="A91" i="1"/>
  <c r="AI91" i="1"/>
  <c r="AR91" i="1"/>
  <c r="AV91" i="1"/>
  <c r="A92" i="1"/>
  <c r="AI92" i="1"/>
  <c r="AR92" i="1"/>
  <c r="AV92" i="1"/>
  <c r="A93" i="1"/>
  <c r="AI93" i="1"/>
  <c r="AR93" i="1"/>
  <c r="AV93" i="1"/>
  <c r="A94" i="1"/>
  <c r="AI94" i="1"/>
  <c r="AL94" i="1"/>
  <c r="AO94" i="1"/>
  <c r="AR94" i="1"/>
  <c r="AV94" i="1"/>
  <c r="AY94" i="1"/>
  <c r="A95" i="1"/>
  <c r="AI95" i="1"/>
  <c r="AL95" i="1"/>
  <c r="AO95" i="1"/>
  <c r="AR95" i="1"/>
  <c r="AV95" i="1"/>
  <c r="A96" i="1"/>
  <c r="AI96" i="1"/>
  <c r="AL96" i="1"/>
  <c r="AO96" i="1"/>
  <c r="AR96" i="1"/>
  <c r="AV96" i="1"/>
  <c r="A97" i="1"/>
  <c r="AI97" i="1"/>
  <c r="AL97" i="1"/>
  <c r="AO97" i="1"/>
  <c r="AR97" i="1"/>
  <c r="AV97" i="1"/>
  <c r="A98" i="1"/>
  <c r="AI98" i="1"/>
  <c r="AL98" i="1"/>
  <c r="AO98" i="1"/>
  <c r="AR98" i="1"/>
  <c r="AV98" i="1"/>
  <c r="A99" i="1"/>
  <c r="AI99" i="1"/>
  <c r="AL99" i="1"/>
  <c r="AO99" i="1"/>
  <c r="AR99" i="1"/>
  <c r="AV99" i="1"/>
  <c r="A100" i="1"/>
  <c r="AI100" i="1"/>
  <c r="AL100" i="1"/>
  <c r="AO100" i="1"/>
  <c r="AR100" i="1"/>
  <c r="AV100" i="1"/>
  <c r="A101" i="1"/>
  <c r="AI101" i="1"/>
  <c r="AL101" i="1"/>
  <c r="AO101" i="1"/>
  <c r="AR101" i="1"/>
  <c r="AV101" i="1"/>
  <c r="A102" i="1"/>
  <c r="AI102" i="1"/>
  <c r="AL102" i="1"/>
  <c r="AO102" i="1"/>
  <c r="AR102" i="1"/>
  <c r="AV102" i="1"/>
  <c r="A103" i="1"/>
  <c r="AI103" i="1"/>
  <c r="AL103" i="1"/>
  <c r="AO103" i="1"/>
  <c r="AR103" i="1"/>
  <c r="AV103" i="1"/>
  <c r="AY103" i="1"/>
  <c r="A104" i="1"/>
  <c r="AI104" i="1"/>
  <c r="AL104" i="1"/>
  <c r="AO104" i="1"/>
  <c r="AR104" i="1"/>
  <c r="AV104" i="1"/>
  <c r="A105" i="1"/>
  <c r="AI105" i="1"/>
  <c r="AL105" i="1"/>
  <c r="AO105" i="1"/>
  <c r="AR105" i="1"/>
  <c r="AV105" i="1"/>
  <c r="A106" i="1"/>
  <c r="AI106" i="1"/>
  <c r="AL106" i="1"/>
  <c r="AO106" i="1"/>
  <c r="AR106" i="1"/>
  <c r="AV106" i="1"/>
  <c r="A107" i="1"/>
  <c r="AI107" i="1"/>
  <c r="AL107" i="1"/>
  <c r="AO107" i="1"/>
  <c r="AR107" i="1"/>
  <c r="AV107" i="1"/>
  <c r="A108" i="1"/>
  <c r="AI108" i="1"/>
  <c r="AL108" i="1"/>
  <c r="AO108" i="1"/>
  <c r="AR108" i="1"/>
  <c r="AV108" i="1"/>
  <c r="A109" i="1"/>
  <c r="AI109" i="1"/>
  <c r="AL109" i="1"/>
  <c r="AO109" i="1"/>
  <c r="AR109" i="1"/>
  <c r="AV109" i="1"/>
  <c r="A110" i="1"/>
  <c r="AI110" i="1"/>
  <c r="AL110" i="1"/>
  <c r="AO110" i="1"/>
  <c r="AR110" i="1"/>
  <c r="AV110" i="1"/>
  <c r="A111" i="1"/>
  <c r="AI111" i="1"/>
  <c r="AL111" i="1"/>
  <c r="AO111" i="1"/>
  <c r="AR111" i="1"/>
  <c r="AV111" i="1"/>
  <c r="A112" i="1"/>
  <c r="AI112" i="1"/>
  <c r="AL112" i="1"/>
  <c r="AO112" i="1"/>
  <c r="AR112" i="1"/>
  <c r="AV112" i="1"/>
  <c r="A113" i="1"/>
  <c r="AI113" i="1"/>
  <c r="AL113" i="1"/>
  <c r="AO113" i="1"/>
  <c r="AR113" i="1"/>
  <c r="AV113" i="1"/>
  <c r="A114" i="1"/>
  <c r="AI114" i="1"/>
  <c r="AL114" i="1"/>
  <c r="AO114" i="1"/>
  <c r="AR114" i="1"/>
  <c r="AV114" i="1"/>
  <c r="A115" i="1"/>
  <c r="AI115" i="1"/>
  <c r="AL115" i="1"/>
  <c r="AO115" i="1"/>
  <c r="AR115" i="1"/>
  <c r="AV115" i="1"/>
  <c r="A116" i="1"/>
  <c r="AI116" i="1"/>
  <c r="AL116" i="1"/>
  <c r="AO116" i="1"/>
  <c r="AR116" i="1"/>
  <c r="AV116" i="1"/>
  <c r="A117" i="1"/>
  <c r="AI117" i="1"/>
  <c r="AL117" i="1"/>
  <c r="AO117" i="1"/>
  <c r="AR117" i="1"/>
  <c r="AV117" i="1"/>
  <c r="A118" i="1"/>
  <c r="AI118" i="1"/>
  <c r="AL118" i="1"/>
  <c r="AO118" i="1"/>
  <c r="AR118" i="1"/>
  <c r="AV118" i="1"/>
  <c r="A119" i="1"/>
  <c r="AI119" i="1"/>
  <c r="AL119" i="1"/>
  <c r="AO119" i="1"/>
  <c r="AR119" i="1"/>
  <c r="AV119" i="1"/>
  <c r="A120" i="1"/>
  <c r="AI120" i="1"/>
  <c r="AL120" i="1"/>
  <c r="AO120" i="1"/>
  <c r="AR120" i="1"/>
  <c r="AV120" i="1"/>
  <c r="A121" i="1"/>
  <c r="AI121" i="1"/>
  <c r="AL121" i="1"/>
  <c r="AO121" i="1"/>
  <c r="AR121" i="1"/>
  <c r="AV121" i="1"/>
  <c r="A122" i="1"/>
  <c r="AI122" i="1"/>
  <c r="AL122" i="1"/>
  <c r="AO122" i="1"/>
  <c r="AR122" i="1"/>
  <c r="AV122" i="1"/>
  <c r="A123" i="1"/>
  <c r="AI123" i="1"/>
  <c r="AL123" i="1"/>
  <c r="AO123" i="1"/>
  <c r="AR123" i="1"/>
  <c r="AV123" i="1"/>
  <c r="A124" i="1"/>
  <c r="AI124" i="1"/>
  <c r="AL124" i="1"/>
  <c r="AO124" i="1"/>
  <c r="AR124" i="1"/>
  <c r="AV124" i="1"/>
  <c r="A125" i="1"/>
  <c r="AI125" i="1"/>
  <c r="AL125" i="1"/>
  <c r="AO125" i="1"/>
  <c r="AR125" i="1"/>
  <c r="AV125" i="1"/>
  <c r="A126" i="1"/>
  <c r="AI126" i="1"/>
  <c r="AL126" i="1"/>
  <c r="AO126" i="1"/>
  <c r="AR126" i="1"/>
  <c r="AV126" i="1"/>
  <c r="A127" i="1"/>
  <c r="AI127" i="1"/>
  <c r="AL127" i="1"/>
  <c r="AO127" i="1"/>
  <c r="AR127" i="1"/>
  <c r="AV127" i="1"/>
  <c r="A128" i="1"/>
  <c r="AI128" i="1"/>
  <c r="AL128" i="1"/>
  <c r="AO128" i="1"/>
  <c r="AR128" i="1"/>
  <c r="AV128" i="1"/>
  <c r="A129" i="1"/>
  <c r="AI129" i="1"/>
  <c r="AL129" i="1"/>
  <c r="AO129" i="1"/>
  <c r="AR129" i="1"/>
  <c r="AV129" i="1"/>
  <c r="A130" i="1"/>
  <c r="AI130" i="1"/>
  <c r="AL130" i="1"/>
  <c r="AO130" i="1"/>
  <c r="AR130" i="1"/>
  <c r="AV130" i="1"/>
  <c r="A131" i="1"/>
  <c r="AI131" i="1"/>
  <c r="AL131" i="1"/>
  <c r="AO131" i="1"/>
  <c r="AR131" i="1"/>
  <c r="AV131" i="1"/>
  <c r="A132" i="1"/>
  <c r="AI132" i="1"/>
  <c r="AL132" i="1"/>
  <c r="AO132" i="1"/>
  <c r="AR132" i="1"/>
  <c r="AV132" i="1"/>
  <c r="A133" i="1"/>
  <c r="AI133" i="1"/>
  <c r="AL133" i="1"/>
  <c r="AO133" i="1"/>
  <c r="AR133" i="1"/>
  <c r="AV133" i="1"/>
  <c r="A134" i="1"/>
  <c r="AI134" i="1"/>
  <c r="AL134" i="1"/>
  <c r="AO134" i="1"/>
  <c r="AR134" i="1"/>
  <c r="AV134" i="1"/>
  <c r="A135" i="1"/>
  <c r="AI135" i="1"/>
  <c r="AL135" i="1"/>
  <c r="AO135" i="1"/>
  <c r="AR135" i="1"/>
  <c r="AV135" i="1"/>
  <c r="A136" i="1"/>
  <c r="AI136" i="1"/>
  <c r="AL136" i="1"/>
  <c r="AO136" i="1"/>
  <c r="AR136" i="1"/>
  <c r="AV136" i="1"/>
  <c r="A137" i="1"/>
  <c r="AI137" i="1"/>
  <c r="AL137" i="1"/>
  <c r="AO137" i="1"/>
  <c r="AR137" i="1"/>
  <c r="AV137" i="1"/>
  <c r="A138" i="1"/>
  <c r="AI138" i="1"/>
  <c r="AL138" i="1"/>
  <c r="AO138" i="1"/>
  <c r="AR138" i="1"/>
  <c r="AV138" i="1"/>
  <c r="A139" i="1"/>
  <c r="AI139" i="1"/>
  <c r="AL139" i="1"/>
  <c r="AO139" i="1"/>
  <c r="AR139" i="1"/>
  <c r="AV139" i="1"/>
  <c r="A140" i="1"/>
  <c r="AI140" i="1"/>
  <c r="AL140" i="1"/>
  <c r="AO140" i="1"/>
  <c r="AR140" i="1"/>
  <c r="AV140" i="1"/>
  <c r="A141" i="1"/>
  <c r="AI141" i="1"/>
  <c r="AL141" i="1"/>
  <c r="AO141" i="1"/>
  <c r="AR141" i="1"/>
  <c r="AV141" i="1"/>
  <c r="A142" i="1"/>
  <c r="AI142" i="1"/>
  <c r="AL142" i="1"/>
  <c r="AO142" i="1"/>
  <c r="AR142" i="1"/>
  <c r="AV142" i="1"/>
  <c r="A143" i="1"/>
  <c r="AI143" i="1"/>
  <c r="AL143" i="1"/>
  <c r="AO143" i="1"/>
  <c r="AR143" i="1"/>
  <c r="AV143" i="1"/>
  <c r="A144" i="1"/>
  <c r="AI144" i="1"/>
  <c r="AL144" i="1"/>
  <c r="AO144" i="1"/>
  <c r="AR144" i="1"/>
  <c r="AV144" i="1"/>
  <c r="A145" i="1"/>
  <c r="AI145" i="1"/>
  <c r="AL145" i="1"/>
  <c r="AO145" i="1"/>
  <c r="AR145" i="1"/>
  <c r="AV145" i="1"/>
  <c r="AY145" i="1"/>
  <c r="A146" i="1"/>
  <c r="AI146" i="1"/>
  <c r="AL146" i="1"/>
  <c r="AO146" i="1"/>
  <c r="AR146" i="1"/>
  <c r="AV146" i="1"/>
  <c r="A147" i="1"/>
  <c r="AI147" i="1"/>
  <c r="AL147" i="1"/>
  <c r="AO147" i="1"/>
  <c r="AR147" i="1"/>
  <c r="AV147" i="1"/>
  <c r="A148" i="1"/>
  <c r="AI148" i="1"/>
  <c r="AL148" i="1"/>
  <c r="AO148" i="1"/>
  <c r="AR148" i="1"/>
  <c r="AV148" i="1"/>
  <c r="A149" i="1"/>
  <c r="AI149" i="1"/>
  <c r="AL149" i="1"/>
  <c r="AO149" i="1"/>
  <c r="AR149" i="1"/>
  <c r="AV149" i="1"/>
  <c r="A150" i="1"/>
  <c r="AI150" i="1"/>
  <c r="AL150" i="1"/>
  <c r="AO150" i="1"/>
  <c r="AR150" i="1"/>
  <c r="AV150" i="1"/>
  <c r="A151" i="1"/>
  <c r="AI151" i="1"/>
  <c r="AL151" i="1"/>
  <c r="AO151" i="1"/>
  <c r="AR151" i="1"/>
  <c r="AV151" i="1"/>
  <c r="A152" i="1"/>
  <c r="AI152" i="1"/>
  <c r="AL152" i="1"/>
  <c r="AO152" i="1"/>
  <c r="AR152" i="1"/>
  <c r="AV152" i="1"/>
  <c r="A153" i="1"/>
  <c r="AI153" i="1"/>
  <c r="AL153" i="1"/>
  <c r="AO153" i="1"/>
  <c r="AR153" i="1"/>
  <c r="AV153" i="1"/>
  <c r="A154" i="1"/>
  <c r="AI154" i="1"/>
  <c r="AL154" i="1"/>
  <c r="AO154" i="1"/>
  <c r="AR154" i="1"/>
  <c r="AV154" i="1"/>
  <c r="A155" i="1"/>
  <c r="AI155" i="1"/>
  <c r="AO155" i="1"/>
  <c r="AR155" i="1"/>
  <c r="AV155" i="1"/>
  <c r="A156" i="1"/>
  <c r="AI156" i="1"/>
  <c r="AO156" i="1"/>
  <c r="AR156" i="1"/>
  <c r="AV156" i="1"/>
  <c r="A157" i="1"/>
  <c r="AI157" i="1"/>
  <c r="AL157" i="1"/>
  <c r="AO157" i="1"/>
  <c r="AR157" i="1"/>
  <c r="AV157" i="1"/>
  <c r="A158" i="1"/>
  <c r="AI158" i="1"/>
  <c r="AL158" i="1"/>
  <c r="AO158" i="1"/>
  <c r="AR158" i="1"/>
  <c r="AV158" i="1"/>
  <c r="A159" i="1"/>
  <c r="AI159" i="1"/>
  <c r="AL159" i="1"/>
  <c r="AO159" i="1"/>
  <c r="AR159" i="1"/>
  <c r="AV159" i="1"/>
  <c r="A160" i="1"/>
  <c r="AI160" i="1"/>
  <c r="AL160" i="1"/>
  <c r="AO160" i="1"/>
  <c r="AR160" i="1"/>
  <c r="AV160" i="1"/>
  <c r="A161" i="1"/>
  <c r="AI161" i="1"/>
  <c r="AL161" i="1"/>
  <c r="AO161" i="1"/>
  <c r="AR161" i="1"/>
  <c r="AV161" i="1"/>
  <c r="A162" i="1"/>
  <c r="AI162" i="1"/>
  <c r="AL162" i="1"/>
  <c r="AO162" i="1"/>
  <c r="AR162" i="1"/>
  <c r="AV162" i="1"/>
  <c r="A163" i="1"/>
  <c r="AI163" i="1"/>
  <c r="AL163" i="1"/>
  <c r="AO163" i="1"/>
  <c r="AR163" i="1"/>
  <c r="AV163" i="1"/>
  <c r="A164" i="1"/>
  <c r="AI164" i="1"/>
  <c r="AL164" i="1"/>
  <c r="AO164" i="1"/>
  <c r="AR164" i="1"/>
  <c r="AV164" i="1"/>
  <c r="A165" i="1"/>
  <c r="AI165" i="1"/>
  <c r="AL165" i="1"/>
  <c r="AO165" i="1"/>
  <c r="AR165" i="1"/>
  <c r="AV165" i="1"/>
  <c r="A166" i="1"/>
  <c r="AI166" i="1"/>
  <c r="AR166" i="1"/>
  <c r="AV166" i="1"/>
  <c r="A167" i="1"/>
  <c r="AI167" i="1"/>
  <c r="AR167" i="1"/>
  <c r="AV167" i="1"/>
  <c r="A168" i="1"/>
  <c r="AI168" i="1"/>
  <c r="AR168" i="1"/>
  <c r="AV168" i="1"/>
  <c r="A169" i="1"/>
  <c r="AI169" i="1"/>
  <c r="AR169" i="1"/>
  <c r="AV169" i="1"/>
  <c r="A170" i="1"/>
  <c r="AI170" i="1"/>
  <c r="AR170" i="1"/>
  <c r="AV170" i="1"/>
  <c r="A171" i="1"/>
  <c r="AI171" i="1"/>
  <c r="AR171" i="1"/>
  <c r="AV171" i="1"/>
  <c r="A172" i="1"/>
  <c r="AI172" i="1"/>
  <c r="AR172" i="1"/>
  <c r="AV172" i="1"/>
  <c r="A173" i="1"/>
  <c r="AI173" i="1"/>
  <c r="AR173" i="1"/>
  <c r="AV173" i="1"/>
  <c r="A174" i="1"/>
  <c r="AI174" i="1"/>
  <c r="AR174" i="1"/>
  <c r="AV174" i="1"/>
  <c r="A175" i="1"/>
  <c r="AI175" i="1"/>
  <c r="AR175" i="1"/>
  <c r="AV175" i="1"/>
  <c r="A176" i="1"/>
  <c r="AI176" i="1"/>
  <c r="AR176" i="1"/>
  <c r="AV176" i="1"/>
  <c r="A177" i="1"/>
  <c r="AI177" i="1"/>
  <c r="AR177" i="1"/>
  <c r="AV177" i="1"/>
  <c r="A178" i="1"/>
  <c r="AI178" i="1"/>
  <c r="AR178" i="1"/>
  <c r="AV178" i="1"/>
  <c r="A179" i="1"/>
  <c r="AI179" i="1"/>
  <c r="AR179" i="1"/>
  <c r="AV179" i="1"/>
  <c r="A180" i="1"/>
  <c r="AI180" i="1"/>
  <c r="AR180" i="1"/>
  <c r="AV180" i="1"/>
  <c r="A181" i="1"/>
  <c r="AI181" i="1"/>
  <c r="AR181" i="1"/>
  <c r="AV181" i="1"/>
  <c r="AY181" i="1"/>
  <c r="A182" i="1"/>
  <c r="AI182" i="1"/>
  <c r="AR182" i="1"/>
  <c r="AV182" i="1"/>
  <c r="AY182" i="1"/>
  <c r="A183" i="1"/>
  <c r="AI183" i="1"/>
  <c r="AR183" i="1"/>
  <c r="AV183" i="1"/>
  <c r="A184" i="1"/>
  <c r="AI184" i="1"/>
  <c r="AR184" i="1"/>
  <c r="AV184" i="1"/>
  <c r="AY184" i="1"/>
  <c r="A185" i="1"/>
  <c r="AI185" i="1"/>
  <c r="AL185" i="1"/>
  <c r="AO185" i="1"/>
  <c r="AR185" i="1"/>
  <c r="AV185" i="1"/>
  <c r="A186" i="1"/>
  <c r="AI186" i="1"/>
  <c r="AL186" i="1"/>
  <c r="AO186" i="1"/>
  <c r="AR186" i="1"/>
  <c r="AV186" i="1"/>
  <c r="A187" i="1"/>
  <c r="AI187" i="1"/>
  <c r="AL187" i="1"/>
  <c r="AO187" i="1"/>
  <c r="AR187" i="1"/>
  <c r="AV187" i="1"/>
  <c r="A188" i="1"/>
  <c r="AI188" i="1"/>
  <c r="AL188" i="1"/>
  <c r="AO188" i="1"/>
  <c r="AR188" i="1"/>
  <c r="AV188" i="1"/>
  <c r="AY188" i="1"/>
  <c r="A189" i="1"/>
  <c r="AI189" i="1"/>
  <c r="AL189" i="1"/>
  <c r="AO189" i="1"/>
  <c r="AR189" i="1"/>
  <c r="AV189" i="1"/>
  <c r="AY189" i="1"/>
  <c r="A190" i="1"/>
  <c r="AI190" i="1"/>
  <c r="AL190" i="1"/>
  <c r="AO190" i="1"/>
  <c r="AR190" i="1"/>
  <c r="AV190" i="1"/>
  <c r="AY190" i="1"/>
  <c r="A191" i="1"/>
  <c r="AI191" i="1"/>
  <c r="AL191" i="1"/>
  <c r="AO191" i="1"/>
  <c r="AR191" i="1"/>
  <c r="AV191" i="1"/>
  <c r="A192" i="1"/>
  <c r="AI192" i="1"/>
  <c r="AL192" i="1"/>
  <c r="AO192" i="1"/>
  <c r="AR192" i="1"/>
  <c r="AV192" i="1"/>
  <c r="A193" i="1"/>
  <c r="AI193" i="1"/>
  <c r="AL193" i="1"/>
  <c r="AO193" i="1"/>
  <c r="AR193" i="1"/>
  <c r="AV193" i="1"/>
  <c r="A194" i="1"/>
  <c r="AI194" i="1"/>
  <c r="AL194" i="1"/>
  <c r="AO194" i="1"/>
  <c r="AR194" i="1"/>
  <c r="AV194" i="1"/>
  <c r="A205" i="1"/>
  <c r="C205" i="1"/>
  <c r="AI205" i="1"/>
  <c r="AL205" i="1"/>
  <c r="AO205" i="1"/>
  <c r="AR205" i="1"/>
  <c r="AY205" i="1"/>
  <c r="A206" i="1"/>
  <c r="AI206" i="1"/>
  <c r="AL206" i="1"/>
  <c r="AO206" i="1"/>
  <c r="AR206" i="1"/>
  <c r="AV206" i="1"/>
  <c r="A207" i="1"/>
  <c r="AI207" i="1"/>
  <c r="AL207" i="1"/>
  <c r="AO207" i="1"/>
  <c r="AR207" i="1"/>
  <c r="AV207" i="1"/>
  <c r="A208" i="1"/>
  <c r="AI208" i="1"/>
  <c r="AL208" i="1"/>
  <c r="AO208" i="1"/>
  <c r="AR208" i="1"/>
  <c r="AV208" i="1"/>
  <c r="A209" i="1"/>
  <c r="AI209" i="1"/>
  <c r="AL209" i="1"/>
  <c r="AO209" i="1"/>
  <c r="AR209" i="1"/>
  <c r="AV209" i="1"/>
  <c r="A210" i="1"/>
  <c r="AI210" i="1"/>
  <c r="AL210" i="1"/>
  <c r="AO210" i="1"/>
  <c r="AR210" i="1"/>
  <c r="AV210" i="1"/>
  <c r="A211" i="1"/>
  <c r="AI211" i="1"/>
  <c r="AL211" i="1"/>
  <c r="AO211" i="1"/>
  <c r="AR211" i="1"/>
  <c r="AV211" i="1"/>
  <c r="A212" i="1"/>
  <c r="AI212" i="1"/>
  <c r="AL212" i="1"/>
  <c r="AO212" i="1"/>
  <c r="AR212" i="1"/>
  <c r="AV212" i="1"/>
  <c r="A213" i="1"/>
  <c r="AI213" i="1"/>
  <c r="AL213" i="1"/>
  <c r="AO213" i="1"/>
  <c r="AR213" i="1"/>
  <c r="AV213" i="1"/>
  <c r="A214" i="1"/>
  <c r="AI214" i="1"/>
  <c r="AL214" i="1"/>
  <c r="AO214" i="1"/>
  <c r="AR214" i="1"/>
  <c r="AV214" i="1"/>
  <c r="A215" i="1"/>
  <c r="AI215" i="1"/>
  <c r="AL215" i="1"/>
  <c r="AO215" i="1"/>
  <c r="AR215" i="1"/>
  <c r="AV215" i="1"/>
  <c r="A216" i="1"/>
  <c r="AI216" i="1"/>
  <c r="AL216" i="1"/>
  <c r="AO216" i="1"/>
  <c r="AR216" i="1"/>
  <c r="AV216" i="1"/>
  <c r="A217" i="1"/>
  <c r="AI217" i="1"/>
  <c r="AL217" i="1"/>
  <c r="AO217" i="1"/>
  <c r="AR217" i="1"/>
  <c r="AV217" i="1"/>
  <c r="A218" i="1"/>
  <c r="AI218" i="1"/>
  <c r="AL218" i="1"/>
  <c r="AO218" i="1"/>
  <c r="AR218" i="1"/>
  <c r="AV218" i="1"/>
  <c r="A219" i="1"/>
  <c r="AI219" i="1"/>
  <c r="AL219" i="1"/>
  <c r="AO219" i="1"/>
  <c r="AR219" i="1"/>
  <c r="AV219" i="1"/>
  <c r="A220" i="1"/>
  <c r="AI220" i="1"/>
  <c r="AL220" i="1"/>
  <c r="AO220" i="1"/>
  <c r="AR220" i="1"/>
  <c r="AV220" i="1"/>
  <c r="A221" i="1"/>
  <c r="AI221" i="1"/>
  <c r="AL221" i="1"/>
  <c r="AO221" i="1"/>
  <c r="AR221" i="1"/>
  <c r="AV221" i="1"/>
  <c r="A222" i="1"/>
  <c r="AI222" i="1"/>
  <c r="AL222" i="1"/>
  <c r="AO222" i="1"/>
  <c r="AR222" i="1"/>
  <c r="AV222" i="1"/>
  <c r="A223" i="1"/>
  <c r="AI223" i="1"/>
  <c r="AL223" i="1"/>
  <c r="AO223" i="1"/>
  <c r="AR223" i="1"/>
  <c r="AV223" i="1"/>
  <c r="A224" i="1"/>
  <c r="AI224" i="1"/>
  <c r="AL224" i="1"/>
  <c r="AO224" i="1"/>
  <c r="AR224" i="1"/>
  <c r="AV224" i="1"/>
  <c r="A225" i="1"/>
  <c r="AI225" i="1"/>
  <c r="AL225" i="1"/>
  <c r="AO225" i="1"/>
  <c r="AR225" i="1"/>
  <c r="AV225" i="1"/>
  <c r="A226" i="1"/>
  <c r="AI226" i="1"/>
  <c r="AL226" i="1"/>
  <c r="AO226" i="1"/>
  <c r="AR226" i="1"/>
  <c r="AV226" i="1"/>
  <c r="A227" i="1"/>
  <c r="AI227" i="1"/>
  <c r="AL227" i="1"/>
  <c r="AO227" i="1"/>
  <c r="AR227" i="1"/>
  <c r="AV227" i="1"/>
  <c r="A228" i="1"/>
  <c r="AI228" i="1"/>
  <c r="AL228" i="1"/>
  <c r="AO228" i="1"/>
  <c r="AR228" i="1"/>
  <c r="AV228" i="1"/>
  <c r="A229" i="1"/>
  <c r="AI229" i="1"/>
  <c r="AL229" i="1"/>
  <c r="AO229" i="1"/>
  <c r="AR229" i="1"/>
  <c r="AV229" i="1"/>
  <c r="A230" i="1"/>
  <c r="AI230" i="1"/>
  <c r="AL230" i="1"/>
  <c r="AO230" i="1"/>
  <c r="AR230" i="1"/>
  <c r="AV230" i="1"/>
  <c r="A231" i="1"/>
  <c r="AI231" i="1"/>
  <c r="AL231" i="1"/>
  <c r="AO231" i="1"/>
  <c r="AR231" i="1"/>
  <c r="AV231" i="1"/>
  <c r="A232" i="1"/>
  <c r="AI232" i="1"/>
  <c r="AL232" i="1"/>
  <c r="AO232" i="1"/>
  <c r="AR232" i="1"/>
  <c r="AV232" i="1"/>
  <c r="A233" i="1"/>
  <c r="AI233" i="1"/>
  <c r="AL233" i="1"/>
  <c r="AO233" i="1"/>
  <c r="AR233" i="1"/>
  <c r="AV233" i="1"/>
  <c r="A234" i="1"/>
  <c r="AI234" i="1"/>
  <c r="AL234" i="1"/>
  <c r="AO234" i="1"/>
  <c r="AR234" i="1"/>
  <c r="AV234" i="1"/>
  <c r="A235" i="1"/>
  <c r="AI235" i="1"/>
  <c r="AL235" i="1"/>
  <c r="AO235" i="1"/>
  <c r="AR235" i="1"/>
  <c r="AV235" i="1"/>
  <c r="A236" i="1"/>
  <c r="AI236" i="1"/>
  <c r="AL236" i="1"/>
  <c r="AO236" i="1"/>
  <c r="AR236" i="1"/>
  <c r="AV236" i="1"/>
  <c r="A237" i="1"/>
  <c r="AI237" i="1"/>
  <c r="AL237" i="1"/>
  <c r="AO237" i="1"/>
  <c r="AR237" i="1"/>
  <c r="AV237" i="1"/>
  <c r="A238" i="1"/>
  <c r="AI238" i="1"/>
  <c r="AL238" i="1"/>
  <c r="AO238" i="1"/>
  <c r="AR238" i="1"/>
  <c r="AV238" i="1"/>
  <c r="A239" i="1"/>
  <c r="AI239" i="1"/>
  <c r="AL239" i="1"/>
  <c r="AO239" i="1"/>
  <c r="AR239" i="1"/>
  <c r="AV239" i="1"/>
  <c r="A240" i="1"/>
  <c r="AI240" i="1"/>
  <c r="AL240" i="1"/>
  <c r="AO240" i="1"/>
  <c r="AR240" i="1"/>
  <c r="AV240" i="1"/>
  <c r="A241" i="1"/>
  <c r="AI241" i="1"/>
  <c r="AL241" i="1"/>
  <c r="AO241" i="1"/>
  <c r="AR241" i="1"/>
  <c r="AV241" i="1"/>
  <c r="AY241" i="1"/>
  <c r="A242" i="1"/>
  <c r="AI242" i="1"/>
  <c r="AL242" i="1"/>
  <c r="AO242" i="1"/>
  <c r="AR242" i="1"/>
  <c r="AV242" i="1"/>
  <c r="AY242" i="1"/>
  <c r="A243" i="1"/>
  <c r="AI243" i="1"/>
  <c r="AL243" i="1"/>
  <c r="AO243" i="1"/>
  <c r="AR243" i="1"/>
  <c r="AV243" i="1"/>
  <c r="AY243" i="1"/>
  <c r="A244" i="1"/>
  <c r="AI244" i="1"/>
  <c r="AL244" i="1"/>
  <c r="AO244" i="1"/>
  <c r="AR244" i="1"/>
  <c r="AV244" i="1"/>
  <c r="AY244" i="1"/>
  <c r="A245" i="1"/>
  <c r="AI245" i="1"/>
  <c r="AL245" i="1"/>
  <c r="AO245" i="1"/>
  <c r="AR245" i="1"/>
  <c r="AV245" i="1"/>
  <c r="AY245" i="1"/>
  <c r="A246" i="1"/>
  <c r="AI246" i="1"/>
  <c r="AL246" i="1"/>
  <c r="AO246" i="1"/>
  <c r="AR246" i="1"/>
  <c r="AV246" i="1"/>
  <c r="AY246" i="1"/>
  <c r="A247" i="1"/>
  <c r="AI247" i="1"/>
  <c r="AL247" i="1"/>
  <c r="AO247" i="1"/>
  <c r="AR247" i="1"/>
  <c r="AV247" i="1"/>
  <c r="AY247" i="1"/>
  <c r="A248" i="1"/>
  <c r="AI248" i="1"/>
  <c r="AL248" i="1"/>
  <c r="AO248" i="1"/>
  <c r="AR248" i="1"/>
  <c r="AV248" i="1"/>
  <c r="AY248" i="1"/>
  <c r="A249" i="1"/>
  <c r="AI249" i="1"/>
  <c r="AL249" i="1"/>
  <c r="AO249" i="1"/>
  <c r="AR249" i="1"/>
  <c r="AV249" i="1"/>
  <c r="AY249" i="1"/>
  <c r="A250" i="1"/>
  <c r="AI250" i="1"/>
  <c r="AL250" i="1"/>
  <c r="AO250" i="1"/>
  <c r="AR250" i="1"/>
  <c r="AV250" i="1"/>
  <c r="AY250" i="1"/>
  <c r="A251" i="1"/>
  <c r="AI251" i="1"/>
  <c r="AL251" i="1"/>
  <c r="AO251" i="1"/>
  <c r="AR251" i="1"/>
  <c r="AV251" i="1"/>
  <c r="A252" i="1"/>
  <c r="AI252" i="1"/>
  <c r="AL252" i="1"/>
  <c r="AO252" i="1"/>
  <c r="AR252" i="1"/>
  <c r="AV252" i="1"/>
  <c r="A253" i="1"/>
  <c r="AI253" i="1"/>
  <c r="AL253" i="1"/>
  <c r="AO253" i="1"/>
  <c r="AR253" i="1"/>
  <c r="AV253" i="1"/>
  <c r="A254" i="1"/>
  <c r="AI254" i="1"/>
  <c r="AL254" i="1"/>
  <c r="AO254" i="1"/>
  <c r="AR254" i="1"/>
  <c r="AV254" i="1"/>
  <c r="A255" i="1"/>
  <c r="AI255" i="1"/>
  <c r="AL255" i="1"/>
  <c r="AO255" i="1"/>
  <c r="AR255" i="1"/>
  <c r="AV255" i="1"/>
  <c r="A256" i="1"/>
  <c r="AI256" i="1"/>
  <c r="AL256" i="1"/>
  <c r="AO256" i="1"/>
  <c r="AR256" i="1"/>
  <c r="AV256" i="1"/>
  <c r="AY256" i="1"/>
  <c r="A257" i="1"/>
  <c r="AI257" i="1"/>
  <c r="AL257" i="1"/>
  <c r="AO257" i="1"/>
  <c r="AR257" i="1"/>
  <c r="AV257" i="1"/>
  <c r="A258" i="1"/>
  <c r="AI258" i="1"/>
  <c r="AL258" i="1"/>
  <c r="AO258" i="1"/>
  <c r="AR258" i="1"/>
  <c r="AV258" i="1"/>
  <c r="A259" i="1"/>
  <c r="AI259" i="1"/>
  <c r="AL259" i="1"/>
  <c r="AO259" i="1"/>
  <c r="AR259" i="1"/>
  <c r="AV259" i="1"/>
  <c r="A260" i="1"/>
  <c r="AI260" i="1"/>
  <c r="AL260" i="1"/>
  <c r="AO260" i="1"/>
  <c r="AR260" i="1"/>
  <c r="AV260" i="1"/>
  <c r="A261" i="1"/>
  <c r="AI261" i="1"/>
  <c r="AL261" i="1"/>
  <c r="AO261" i="1"/>
  <c r="AR261" i="1"/>
  <c r="AV261" i="1"/>
  <c r="A262" i="1"/>
  <c r="AI262" i="1"/>
  <c r="AL262" i="1"/>
  <c r="AO262" i="1"/>
  <c r="AR262" i="1"/>
  <c r="AV262" i="1"/>
  <c r="A263" i="1"/>
  <c r="AI263" i="1"/>
  <c r="AL263" i="1"/>
  <c r="AO263" i="1"/>
  <c r="AR263" i="1"/>
  <c r="AV263" i="1"/>
  <c r="A264" i="1"/>
  <c r="AI264" i="1"/>
  <c r="AL264" i="1"/>
  <c r="AO264" i="1"/>
  <c r="AR264" i="1"/>
  <c r="AV264" i="1"/>
  <c r="A265" i="1"/>
  <c r="AI265" i="1"/>
  <c r="AL265" i="1"/>
  <c r="AO265" i="1"/>
  <c r="AR265" i="1"/>
  <c r="AV265" i="1"/>
  <c r="A266" i="1"/>
  <c r="AI266" i="1"/>
  <c r="AL266" i="1"/>
  <c r="AO266" i="1"/>
  <c r="AR266" i="1"/>
  <c r="AV266" i="1"/>
  <c r="A267" i="1"/>
  <c r="AI267" i="1"/>
  <c r="AL267" i="1"/>
  <c r="AO267" i="1"/>
  <c r="AR267" i="1"/>
  <c r="AV267" i="1"/>
  <c r="A268" i="1"/>
  <c r="AI268" i="1"/>
  <c r="AL268" i="1"/>
  <c r="AO268" i="1"/>
  <c r="AR268" i="1"/>
  <c r="AV268" i="1"/>
  <c r="A269" i="1"/>
  <c r="AI269" i="1"/>
  <c r="AL269" i="1"/>
  <c r="AO269" i="1"/>
  <c r="AR269" i="1"/>
  <c r="AV269" i="1"/>
  <c r="A270" i="1"/>
  <c r="AI270" i="1"/>
  <c r="AL270" i="1"/>
  <c r="AO270" i="1"/>
  <c r="AR270" i="1"/>
  <c r="AV270" i="1"/>
  <c r="A271" i="1"/>
  <c r="AI271" i="1"/>
  <c r="AL271" i="1"/>
  <c r="AO271" i="1"/>
  <c r="AR271" i="1"/>
  <c r="AV271" i="1"/>
  <c r="A272" i="1"/>
  <c r="AI272" i="1"/>
  <c r="AL272" i="1"/>
  <c r="AO272" i="1"/>
  <c r="AR272" i="1"/>
  <c r="AV272" i="1"/>
  <c r="A273" i="1"/>
  <c r="AI273" i="1"/>
  <c r="AL273" i="1"/>
  <c r="AO273" i="1"/>
  <c r="AR273" i="1"/>
  <c r="AV273" i="1"/>
  <c r="A274" i="1"/>
  <c r="AI274" i="1"/>
  <c r="AL274" i="1"/>
  <c r="AO274" i="1"/>
  <c r="AR274" i="1"/>
  <c r="AV274" i="1"/>
  <c r="A275" i="1"/>
  <c r="AI275" i="1"/>
  <c r="AL275" i="1"/>
  <c r="AO275" i="1"/>
  <c r="AR275" i="1"/>
  <c r="AV275" i="1"/>
  <c r="A276" i="1"/>
  <c r="AI276" i="1"/>
  <c r="AL276" i="1"/>
  <c r="AO276" i="1"/>
  <c r="AR276" i="1"/>
  <c r="AV276" i="1"/>
  <c r="A277" i="1"/>
  <c r="AI277" i="1"/>
  <c r="AL277" i="1"/>
  <c r="AO277" i="1"/>
  <c r="AR277" i="1"/>
  <c r="AV277" i="1"/>
  <c r="A278" i="1"/>
  <c r="AI278" i="1"/>
  <c r="AL278" i="1"/>
  <c r="AO278" i="1"/>
  <c r="AR278" i="1"/>
  <c r="AV278" i="1"/>
  <c r="A279" i="1"/>
  <c r="AI279" i="1"/>
  <c r="AL279" i="1"/>
  <c r="AO279" i="1"/>
  <c r="AR279" i="1"/>
  <c r="AV279" i="1"/>
  <c r="A280" i="1"/>
  <c r="AI280" i="1"/>
  <c r="AL280" i="1"/>
  <c r="AO280" i="1"/>
  <c r="AR280" i="1"/>
  <c r="AV280" i="1"/>
  <c r="A281" i="1"/>
  <c r="AI281" i="1"/>
  <c r="AL281" i="1"/>
  <c r="AO281" i="1"/>
  <c r="AR281" i="1"/>
  <c r="AV281" i="1"/>
  <c r="A282" i="1"/>
  <c r="AI282" i="1"/>
  <c r="AL282" i="1"/>
  <c r="AO282" i="1"/>
  <c r="AR282" i="1"/>
  <c r="AV282" i="1"/>
  <c r="A283" i="1"/>
  <c r="AI283" i="1"/>
  <c r="AL283" i="1"/>
  <c r="AO283" i="1"/>
  <c r="AR283" i="1"/>
  <c r="AV283" i="1"/>
  <c r="A284" i="1"/>
  <c r="AI284" i="1"/>
  <c r="AL284" i="1"/>
  <c r="AO284" i="1"/>
  <c r="AR284" i="1"/>
  <c r="AV284" i="1"/>
  <c r="A285" i="1"/>
  <c r="AI285" i="1"/>
  <c r="AL285" i="1"/>
  <c r="AO285" i="1"/>
  <c r="AR285" i="1"/>
  <c r="AV285" i="1"/>
  <c r="A286" i="1"/>
  <c r="AI286" i="1"/>
  <c r="AL286" i="1"/>
  <c r="AO286" i="1"/>
  <c r="AR286" i="1"/>
  <c r="AV286" i="1"/>
  <c r="A287" i="1"/>
  <c r="AI287" i="1"/>
  <c r="AL287" i="1"/>
  <c r="AO287" i="1"/>
  <c r="AR287" i="1"/>
  <c r="AV287" i="1"/>
  <c r="A288" i="1"/>
  <c r="AI288" i="1"/>
  <c r="AL288" i="1"/>
  <c r="AO288" i="1"/>
  <c r="AR288" i="1"/>
  <c r="AV288" i="1"/>
  <c r="A289" i="1"/>
  <c r="AI289" i="1"/>
  <c r="AL289" i="1"/>
  <c r="AO289" i="1"/>
  <c r="AR289" i="1"/>
  <c r="AV289" i="1"/>
  <c r="A290" i="1"/>
  <c r="AI290" i="1"/>
  <c r="AL290" i="1"/>
  <c r="AO290" i="1"/>
  <c r="AR290" i="1"/>
  <c r="AV290" i="1"/>
  <c r="A291" i="1"/>
  <c r="AI291" i="1"/>
  <c r="AL291" i="1"/>
  <c r="AO291" i="1"/>
  <c r="AR291" i="1"/>
  <c r="AV291" i="1"/>
  <c r="A292" i="1"/>
  <c r="AI292" i="1"/>
  <c r="AL292" i="1"/>
  <c r="AO292" i="1"/>
  <c r="AR292" i="1"/>
  <c r="AV292" i="1"/>
  <c r="A293" i="1"/>
  <c r="AI293" i="1"/>
  <c r="AL293" i="1"/>
  <c r="AO293" i="1"/>
  <c r="AR293" i="1"/>
  <c r="AV293" i="1"/>
  <c r="A294" i="1"/>
  <c r="AI294" i="1"/>
  <c r="AL294" i="1"/>
  <c r="AO294" i="1"/>
  <c r="AR294" i="1"/>
  <c r="AV294" i="1"/>
  <c r="A295" i="1"/>
  <c r="AI295" i="1"/>
  <c r="AL295" i="1"/>
  <c r="AO295" i="1"/>
  <c r="AR295" i="1"/>
  <c r="AV295" i="1"/>
  <c r="A296" i="1"/>
  <c r="AI296" i="1"/>
  <c r="AL296" i="1"/>
  <c r="AO296" i="1"/>
  <c r="AR296" i="1"/>
  <c r="AV296" i="1"/>
  <c r="A297" i="1"/>
  <c r="AI297" i="1"/>
  <c r="AL297" i="1"/>
  <c r="AO297" i="1"/>
  <c r="AR297" i="1"/>
  <c r="AV297" i="1"/>
  <c r="A298" i="1"/>
  <c r="AI298" i="1"/>
  <c r="AL298" i="1"/>
  <c r="AO298" i="1"/>
  <c r="AR298" i="1"/>
  <c r="AV298" i="1"/>
  <c r="A299" i="1"/>
  <c r="AI299" i="1"/>
  <c r="AL299" i="1"/>
  <c r="AO299" i="1"/>
  <c r="AR299" i="1"/>
  <c r="AV299" i="1"/>
  <c r="A300" i="1"/>
  <c r="AI300" i="1"/>
  <c r="AL300" i="1"/>
  <c r="AO300" i="1"/>
  <c r="AR300" i="1"/>
  <c r="AV300" i="1"/>
  <c r="A301" i="1"/>
  <c r="AI301" i="1"/>
  <c r="AL301" i="1"/>
  <c r="AO301" i="1"/>
  <c r="AR301" i="1"/>
  <c r="AV301" i="1"/>
  <c r="A302" i="1"/>
  <c r="AI302" i="1"/>
  <c r="AL302" i="1"/>
  <c r="AO302" i="1"/>
  <c r="AR302" i="1"/>
  <c r="AV302" i="1"/>
  <c r="A303" i="1"/>
  <c r="AI303" i="1"/>
  <c r="AL303" i="1"/>
  <c r="AO303" i="1"/>
  <c r="AR303" i="1"/>
  <c r="AV303" i="1"/>
  <c r="A304" i="1"/>
  <c r="AI304" i="1"/>
  <c r="AL304" i="1"/>
  <c r="AO304" i="1"/>
  <c r="AR304" i="1"/>
  <c r="AV304" i="1"/>
  <c r="A305" i="1"/>
  <c r="AI305" i="1"/>
  <c r="AL305" i="1"/>
  <c r="AO305" i="1"/>
  <c r="AR305" i="1"/>
  <c r="AV305" i="1"/>
  <c r="A306" i="1"/>
  <c r="AI306" i="1"/>
  <c r="AL306" i="1"/>
  <c r="AO306" i="1"/>
  <c r="AR306" i="1"/>
  <c r="AV306" i="1"/>
  <c r="A307" i="1"/>
  <c r="AI307" i="1"/>
  <c r="AL307" i="1"/>
  <c r="AO307" i="1"/>
  <c r="AR307" i="1"/>
  <c r="AV307" i="1"/>
  <c r="A308" i="1"/>
  <c r="AI308" i="1"/>
  <c r="AL308" i="1"/>
  <c r="AO308" i="1"/>
  <c r="AR308" i="1"/>
  <c r="AV308" i="1"/>
  <c r="A309" i="1"/>
  <c r="AI309" i="1"/>
  <c r="AL309" i="1"/>
  <c r="AO309" i="1"/>
  <c r="AR309" i="1"/>
  <c r="AV309" i="1"/>
  <c r="A310" i="1"/>
  <c r="AI310" i="1"/>
  <c r="AL310" i="1"/>
  <c r="AO310" i="1"/>
  <c r="AR310" i="1"/>
  <c r="AV310" i="1"/>
  <c r="A311" i="1"/>
  <c r="AI311" i="1"/>
  <c r="AL311" i="1"/>
  <c r="AO311" i="1"/>
  <c r="AR311" i="1"/>
  <c r="AV311" i="1"/>
  <c r="A312" i="1"/>
  <c r="AI312" i="1"/>
  <c r="AL312" i="1"/>
  <c r="AO312" i="1"/>
  <c r="AR312" i="1"/>
  <c r="AV312" i="1"/>
  <c r="A313" i="1"/>
  <c r="AI313" i="1"/>
  <c r="AL313" i="1"/>
  <c r="AO313" i="1"/>
  <c r="AR313" i="1"/>
  <c r="AV313" i="1"/>
  <c r="A314" i="1"/>
  <c r="AI314" i="1"/>
  <c r="AL314" i="1"/>
  <c r="AO314" i="1"/>
  <c r="AR314" i="1"/>
  <c r="AV314" i="1"/>
  <c r="A315" i="1"/>
  <c r="AI315" i="1"/>
  <c r="AL315" i="1"/>
  <c r="AO315" i="1"/>
  <c r="AR315" i="1"/>
  <c r="AV315" i="1"/>
  <c r="A316" i="1"/>
  <c r="AI316" i="1"/>
  <c r="AL316" i="1"/>
  <c r="AO316" i="1"/>
  <c r="AR316" i="1"/>
  <c r="AV316" i="1"/>
  <c r="A317" i="1"/>
  <c r="AI317" i="1"/>
  <c r="AL317" i="1"/>
  <c r="AO317" i="1"/>
  <c r="AR317" i="1"/>
  <c r="AV317" i="1"/>
  <c r="A318" i="1"/>
  <c r="AI318" i="1"/>
  <c r="AL318" i="1"/>
  <c r="AO318" i="1"/>
  <c r="AR318" i="1"/>
  <c r="AV318" i="1"/>
  <c r="A319" i="1"/>
  <c r="AI319" i="1"/>
  <c r="AL319" i="1"/>
  <c r="AO319" i="1"/>
  <c r="AR319" i="1"/>
  <c r="AV319" i="1"/>
  <c r="A320" i="1"/>
  <c r="AI320" i="1"/>
  <c r="AL320" i="1"/>
  <c r="AO320" i="1"/>
  <c r="AR320" i="1"/>
  <c r="AV320" i="1"/>
  <c r="A321" i="1"/>
  <c r="AI321" i="1"/>
  <c r="AL321" i="1"/>
  <c r="AO321" i="1"/>
  <c r="AR321" i="1"/>
  <c r="AV321" i="1"/>
  <c r="A322" i="1"/>
  <c r="AI322" i="1"/>
  <c r="AL322" i="1"/>
  <c r="AO322" i="1"/>
  <c r="AR322" i="1"/>
  <c r="AV322" i="1"/>
  <c r="A323" i="1"/>
  <c r="AI323" i="1"/>
  <c r="AL323" i="1"/>
  <c r="AO323" i="1"/>
  <c r="AR323" i="1"/>
  <c r="AV323" i="1"/>
  <c r="A324" i="1"/>
  <c r="AI324" i="1"/>
  <c r="AL324" i="1"/>
  <c r="AO324" i="1"/>
  <c r="AR324" i="1"/>
  <c r="AV324" i="1"/>
  <c r="A325" i="1"/>
  <c r="AI325" i="1"/>
  <c r="AL325" i="1"/>
  <c r="AO325" i="1"/>
  <c r="AR325" i="1"/>
  <c r="AV325" i="1"/>
  <c r="A326" i="1"/>
  <c r="AI326" i="1"/>
  <c r="AL326" i="1"/>
  <c r="AO326" i="1"/>
  <c r="AR326" i="1"/>
  <c r="AV326" i="1"/>
  <c r="A327" i="1"/>
  <c r="AI327" i="1"/>
  <c r="AL327" i="1"/>
  <c r="AO327" i="1"/>
  <c r="AR327" i="1"/>
  <c r="AV327" i="1"/>
  <c r="A328" i="1"/>
  <c r="AI328" i="1"/>
  <c r="AL328" i="1"/>
  <c r="AO328" i="1"/>
  <c r="AR328" i="1"/>
  <c r="AV328" i="1"/>
  <c r="A329" i="1"/>
  <c r="AI329" i="1"/>
  <c r="AL329" i="1"/>
  <c r="AO329" i="1"/>
  <c r="AR329" i="1"/>
  <c r="AV329" i="1"/>
  <c r="A330" i="1"/>
  <c r="AI330" i="1"/>
  <c r="AL330" i="1"/>
  <c r="AO330" i="1"/>
  <c r="AR330" i="1"/>
  <c r="AV330" i="1"/>
  <c r="A331" i="1"/>
  <c r="AI331" i="1"/>
  <c r="AL331" i="1"/>
  <c r="AO331" i="1"/>
  <c r="AR331" i="1"/>
  <c r="AV331" i="1"/>
  <c r="A332" i="1"/>
  <c r="AI332" i="1"/>
  <c r="AL332" i="1"/>
  <c r="AO332" i="1"/>
  <c r="AR332" i="1"/>
  <c r="AV332" i="1"/>
  <c r="A333" i="1"/>
  <c r="AI333" i="1"/>
  <c r="AL333" i="1"/>
  <c r="AO333" i="1"/>
  <c r="AR333" i="1"/>
  <c r="AV333" i="1"/>
  <c r="A334" i="1"/>
  <c r="AI334" i="1"/>
  <c r="AL334" i="1"/>
  <c r="AO334" i="1"/>
  <c r="AR334" i="1"/>
  <c r="AV334" i="1"/>
  <c r="A335" i="1"/>
  <c r="AI335" i="1"/>
  <c r="AL335" i="1"/>
  <c r="AO335" i="1"/>
  <c r="AR335" i="1"/>
  <c r="AV335" i="1"/>
  <c r="A336" i="1"/>
  <c r="AI336" i="1"/>
  <c r="AL336" i="1"/>
  <c r="AO336" i="1"/>
  <c r="AR336" i="1"/>
  <c r="AV336" i="1"/>
  <c r="A337" i="1"/>
  <c r="AI337" i="1"/>
  <c r="AL337" i="1"/>
  <c r="AO337" i="1"/>
  <c r="AR337" i="1"/>
  <c r="AV337" i="1"/>
  <c r="A338" i="1"/>
  <c r="AI338" i="1"/>
  <c r="AL338" i="1"/>
  <c r="AO338" i="1"/>
  <c r="AR338" i="1"/>
  <c r="AV338" i="1"/>
  <c r="A339" i="1"/>
  <c r="AI339" i="1"/>
  <c r="AL339" i="1"/>
  <c r="AO339" i="1"/>
  <c r="AR339" i="1"/>
  <c r="AV339" i="1"/>
  <c r="A340" i="1"/>
  <c r="AI340" i="1"/>
  <c r="AL340" i="1"/>
  <c r="AO340" i="1"/>
  <c r="AR340" i="1"/>
  <c r="AV340" i="1"/>
  <c r="A341" i="1"/>
  <c r="AI341" i="1"/>
  <c r="AL341" i="1"/>
  <c r="AO341" i="1"/>
  <c r="AR341" i="1"/>
  <c r="AV341" i="1"/>
  <c r="A342" i="1"/>
  <c r="AI342" i="1"/>
  <c r="AL342" i="1"/>
  <c r="AO342" i="1"/>
  <c r="AR342" i="1"/>
  <c r="AV342" i="1"/>
  <c r="A343" i="1"/>
  <c r="AI343" i="1"/>
  <c r="AL343" i="1"/>
  <c r="AO343" i="1"/>
  <c r="AR343" i="1"/>
  <c r="AV343" i="1"/>
  <c r="A344" i="1"/>
  <c r="AI344" i="1"/>
  <c r="AL344" i="1"/>
  <c r="AO344" i="1"/>
  <c r="AR344" i="1"/>
  <c r="AV344" i="1"/>
  <c r="A345" i="1"/>
  <c r="AI345" i="1"/>
  <c r="AL345" i="1"/>
  <c r="AO345" i="1"/>
  <c r="AR345" i="1"/>
  <c r="AV345" i="1"/>
  <c r="A346" i="1"/>
  <c r="AI346" i="1"/>
  <c r="AL346" i="1"/>
  <c r="AO346" i="1"/>
  <c r="AR346" i="1"/>
  <c r="AV346" i="1"/>
  <c r="A347" i="1"/>
  <c r="AI347" i="1"/>
  <c r="AL347" i="1"/>
  <c r="AO347" i="1"/>
  <c r="AR347" i="1"/>
  <c r="AV347" i="1"/>
  <c r="A348" i="1"/>
  <c r="AI348" i="1"/>
  <c r="AL348" i="1"/>
  <c r="AO348" i="1"/>
  <c r="AR348" i="1"/>
  <c r="AV348" i="1"/>
  <c r="A349" i="1"/>
  <c r="AI349" i="1"/>
  <c r="AL349" i="1"/>
  <c r="AO349" i="1"/>
  <c r="AR349" i="1"/>
  <c r="AV349" i="1"/>
  <c r="A350" i="1"/>
  <c r="AI350" i="1"/>
  <c r="AL350" i="1"/>
  <c r="AO350" i="1"/>
  <c r="AR350" i="1"/>
  <c r="AV350" i="1"/>
  <c r="A351" i="1"/>
  <c r="AI351" i="1"/>
  <c r="AL351" i="1"/>
  <c r="AO351" i="1"/>
  <c r="AR351" i="1"/>
  <c r="AV351" i="1"/>
  <c r="A352" i="1"/>
  <c r="AI352" i="1"/>
  <c r="AL352" i="1"/>
  <c r="AO352" i="1"/>
  <c r="AR352" i="1"/>
  <c r="AV352" i="1"/>
  <c r="A353" i="1"/>
  <c r="AI353" i="1"/>
  <c r="AL353" i="1"/>
  <c r="AO353" i="1"/>
  <c r="AR353" i="1"/>
  <c r="AV353" i="1"/>
  <c r="A354" i="1"/>
  <c r="AI354" i="1"/>
  <c r="AL354" i="1"/>
  <c r="AO354" i="1"/>
  <c r="AR354" i="1"/>
  <c r="AV354" i="1"/>
  <c r="A355" i="1"/>
  <c r="AI355" i="1"/>
  <c r="AL355" i="1"/>
  <c r="AO355" i="1"/>
  <c r="AR355" i="1"/>
  <c r="AV355" i="1"/>
  <c r="A356" i="1"/>
  <c r="AI356" i="1"/>
  <c r="AL356" i="1"/>
  <c r="AO356" i="1"/>
  <c r="AR356" i="1"/>
  <c r="AV356" i="1"/>
  <c r="A357" i="1"/>
  <c r="AI357" i="1"/>
  <c r="AL357" i="1"/>
  <c r="AO357" i="1"/>
  <c r="AR357" i="1"/>
  <c r="AV357" i="1"/>
  <c r="A358" i="1"/>
  <c r="AI358" i="1"/>
  <c r="AL358" i="1"/>
  <c r="AO358" i="1"/>
  <c r="AR358" i="1"/>
  <c r="AV358" i="1"/>
  <c r="A359" i="1"/>
  <c r="AI359" i="1"/>
  <c r="AL359" i="1"/>
  <c r="AO359" i="1"/>
  <c r="AR359" i="1"/>
  <c r="AV359" i="1"/>
  <c r="A360" i="1"/>
  <c r="AI360" i="1"/>
  <c r="AL360" i="1"/>
  <c r="AO360" i="1"/>
  <c r="AR360" i="1"/>
  <c r="AV360" i="1"/>
  <c r="A361" i="1"/>
  <c r="AI361" i="1"/>
  <c r="AL361" i="1"/>
  <c r="AO361" i="1"/>
  <c r="AR361" i="1"/>
  <c r="AV361" i="1"/>
  <c r="A362" i="1"/>
  <c r="AI362" i="1"/>
  <c r="AL362" i="1"/>
  <c r="AO362" i="1"/>
  <c r="AR362" i="1"/>
  <c r="AV362" i="1"/>
  <c r="AY362" i="1"/>
  <c r="A363" i="1"/>
  <c r="AI363" i="1"/>
  <c r="AL363" i="1"/>
  <c r="AO363" i="1"/>
  <c r="AR363" i="1"/>
  <c r="AV363" i="1"/>
  <c r="A364" i="1"/>
  <c r="AI364" i="1"/>
  <c r="AO364" i="1"/>
  <c r="AR364" i="1"/>
  <c r="AV364" i="1"/>
  <c r="A365" i="1"/>
  <c r="AI365" i="1"/>
  <c r="AO365" i="1"/>
  <c r="AR365" i="1"/>
  <c r="AV365" i="1"/>
  <c r="A366" i="1"/>
  <c r="AI366" i="1"/>
  <c r="AO366" i="1"/>
  <c r="AR366" i="1"/>
  <c r="AV366" i="1"/>
  <c r="A367" i="1"/>
  <c r="AI367" i="1"/>
  <c r="AL367" i="1"/>
  <c r="AO367" i="1"/>
  <c r="AR367" i="1"/>
  <c r="AV367" i="1"/>
  <c r="AY367" i="1"/>
  <c r="A368" i="1"/>
  <c r="AI368" i="1"/>
  <c r="AL368" i="1"/>
  <c r="AO368" i="1"/>
  <c r="AR368" i="1"/>
  <c r="AV368" i="1"/>
  <c r="A369" i="1"/>
  <c r="AI369" i="1"/>
  <c r="AO369" i="1"/>
  <c r="AR369" i="1"/>
  <c r="AV369" i="1"/>
  <c r="A370" i="1"/>
  <c r="AI370" i="1"/>
  <c r="AO370" i="1"/>
  <c r="AR370" i="1"/>
  <c r="AV370" i="1"/>
  <c r="A371" i="1"/>
  <c r="AI371" i="1"/>
  <c r="AO371" i="1"/>
  <c r="AR371" i="1"/>
  <c r="AV371" i="1"/>
  <c r="A372" i="1"/>
  <c r="AI372" i="1"/>
  <c r="AL372" i="1"/>
  <c r="AO372" i="1"/>
  <c r="AR372" i="1"/>
  <c r="AV372" i="1"/>
  <c r="AY372" i="1"/>
  <c r="A373" i="1"/>
  <c r="AI373" i="1"/>
  <c r="AL373" i="1"/>
  <c r="AO373" i="1"/>
  <c r="AR373" i="1"/>
  <c r="AV373" i="1"/>
  <c r="A374" i="1"/>
  <c r="AI374" i="1"/>
  <c r="AL374" i="1"/>
  <c r="AO374" i="1"/>
  <c r="AR374" i="1"/>
  <c r="AV374" i="1"/>
  <c r="A375" i="1"/>
  <c r="AI375" i="1"/>
  <c r="AL375" i="1"/>
  <c r="AO375" i="1"/>
  <c r="AR375" i="1"/>
  <c r="AV375" i="1"/>
  <c r="A376" i="1"/>
  <c r="AI376" i="1"/>
  <c r="AL376" i="1"/>
  <c r="AO376" i="1"/>
  <c r="AR376" i="1"/>
  <c r="AV376" i="1"/>
  <c r="AY376" i="1"/>
  <c r="A377" i="1"/>
  <c r="AI377" i="1"/>
  <c r="AL377" i="1"/>
  <c r="AO377" i="1"/>
  <c r="AR377" i="1"/>
  <c r="AV377" i="1"/>
  <c r="A378" i="1"/>
  <c r="AI378" i="1"/>
  <c r="AL378" i="1"/>
  <c r="AO378" i="1"/>
  <c r="AR378" i="1"/>
  <c r="AV378" i="1"/>
  <c r="AY378" i="1"/>
  <c r="A379" i="1"/>
  <c r="AI379" i="1"/>
  <c r="AL379" i="1"/>
  <c r="AO379" i="1"/>
  <c r="AR379" i="1"/>
  <c r="AV379" i="1"/>
  <c r="AY379" i="1"/>
  <c r="A380" i="1"/>
  <c r="AI380" i="1"/>
  <c r="AL380" i="1"/>
  <c r="AO380" i="1"/>
  <c r="AR380" i="1"/>
  <c r="AV380" i="1"/>
  <c r="A381" i="1"/>
  <c r="AI381" i="1"/>
  <c r="AL381" i="1"/>
  <c r="AO381" i="1"/>
  <c r="AR381" i="1"/>
  <c r="AV381" i="1"/>
  <c r="A382" i="1"/>
  <c r="AI382" i="1"/>
  <c r="AL382" i="1"/>
  <c r="AO382" i="1"/>
  <c r="AR382" i="1"/>
  <c r="AV382" i="1"/>
  <c r="A383" i="1"/>
  <c r="AI383" i="1"/>
  <c r="AL383" i="1"/>
  <c r="AO383" i="1"/>
  <c r="AR383" i="1"/>
  <c r="AV383" i="1"/>
  <c r="A384" i="1"/>
  <c r="AI384" i="1"/>
  <c r="AL384" i="1"/>
  <c r="AO384" i="1"/>
  <c r="AR384" i="1"/>
  <c r="AV384" i="1"/>
  <c r="AY384" i="1"/>
  <c r="A385" i="1"/>
  <c r="AI385" i="1"/>
  <c r="AL385" i="1"/>
  <c r="AO385" i="1"/>
  <c r="AR385" i="1"/>
  <c r="AV385" i="1"/>
  <c r="A386" i="1"/>
  <c r="AI386" i="1"/>
  <c r="AL386" i="1"/>
  <c r="AO386" i="1"/>
  <c r="AR386" i="1"/>
  <c r="AV386" i="1"/>
  <c r="AY386" i="1"/>
  <c r="A387" i="1"/>
  <c r="AI387" i="1"/>
  <c r="AL387" i="1"/>
  <c r="AO387" i="1"/>
  <c r="AR387" i="1"/>
  <c r="AV387" i="1"/>
  <c r="A388" i="1"/>
  <c r="AI388" i="1"/>
  <c r="AL388" i="1"/>
  <c r="AO388" i="1"/>
  <c r="AR388" i="1"/>
  <c r="AV388" i="1"/>
  <c r="A389" i="1"/>
  <c r="AI389" i="1"/>
  <c r="AL389" i="1"/>
  <c r="AO389" i="1"/>
  <c r="AR389" i="1"/>
  <c r="AV389" i="1"/>
  <c r="A390" i="1"/>
  <c r="AI390" i="1"/>
  <c r="AL390" i="1"/>
  <c r="AO390" i="1"/>
  <c r="AR390" i="1"/>
  <c r="AV390" i="1"/>
  <c r="A391" i="1"/>
  <c r="AI391" i="1"/>
  <c r="AL391" i="1"/>
  <c r="AO391" i="1"/>
  <c r="AR391" i="1"/>
  <c r="AV391" i="1"/>
  <c r="A392" i="1"/>
  <c r="AI392" i="1"/>
  <c r="AL392" i="1"/>
  <c r="AO392" i="1"/>
  <c r="AR392" i="1"/>
  <c r="AV392" i="1"/>
  <c r="A393" i="1"/>
  <c r="AI393" i="1"/>
  <c r="AL393" i="1"/>
  <c r="AO393" i="1"/>
  <c r="AR393" i="1"/>
  <c r="AV393" i="1"/>
  <c r="A394" i="1"/>
  <c r="AI394" i="1"/>
  <c r="AL394" i="1"/>
  <c r="AO394" i="1"/>
  <c r="AR394" i="1"/>
  <c r="AV394" i="1"/>
  <c r="AY394" i="1"/>
  <c r="A395" i="1"/>
  <c r="AI395" i="1"/>
  <c r="AL395" i="1"/>
  <c r="AO395" i="1"/>
  <c r="AR395" i="1"/>
  <c r="AV395" i="1"/>
  <c r="AY395" i="1"/>
  <c r="A396" i="1"/>
  <c r="AI396" i="1"/>
  <c r="AL396" i="1"/>
  <c r="AO396" i="1"/>
  <c r="AR396" i="1"/>
  <c r="AV396" i="1"/>
  <c r="AY396" i="1"/>
  <c r="A397" i="1"/>
  <c r="AI397" i="1"/>
  <c r="AL397" i="1"/>
  <c r="AO397" i="1"/>
  <c r="AR397" i="1"/>
  <c r="AV397" i="1"/>
  <c r="AY397" i="1"/>
  <c r="A398" i="1"/>
  <c r="AI398" i="1"/>
  <c r="AL398" i="1"/>
  <c r="AO398" i="1"/>
  <c r="AR398" i="1"/>
  <c r="AV398" i="1"/>
  <c r="AY398" i="1"/>
  <c r="A399" i="1"/>
  <c r="AI399" i="1"/>
  <c r="AL399" i="1"/>
  <c r="AO399" i="1"/>
  <c r="AR399" i="1"/>
  <c r="AV399" i="1"/>
  <c r="AY399" i="1"/>
  <c r="A400" i="1"/>
  <c r="AI400" i="1"/>
  <c r="AL400" i="1"/>
  <c r="AO400" i="1"/>
  <c r="AR400" i="1"/>
  <c r="AV400" i="1"/>
  <c r="AY400" i="1"/>
  <c r="A401" i="1"/>
  <c r="AI401" i="1"/>
  <c r="AR401" i="1"/>
  <c r="AV401" i="1"/>
  <c r="AY401" i="1"/>
  <c r="A402" i="1"/>
  <c r="AI402" i="1"/>
  <c r="AR402" i="1"/>
  <c r="AV402" i="1"/>
  <c r="AY402" i="1"/>
  <c r="A403" i="1"/>
  <c r="AI403" i="1"/>
  <c r="AL403" i="1"/>
  <c r="AO403" i="1"/>
  <c r="AR403" i="1"/>
  <c r="AV403" i="1"/>
  <c r="AY403" i="1"/>
  <c r="A404" i="1"/>
  <c r="AI404" i="1"/>
  <c r="AL404" i="1"/>
  <c r="AO404" i="1"/>
  <c r="AR404" i="1"/>
  <c r="AV404" i="1"/>
  <c r="AY404" i="1"/>
  <c r="A405" i="1"/>
  <c r="AI405" i="1"/>
  <c r="AL405" i="1"/>
  <c r="AO405" i="1"/>
  <c r="AR405" i="1"/>
  <c r="AV405" i="1"/>
  <c r="AY405" i="1"/>
  <c r="A406" i="1"/>
  <c r="AI406" i="1"/>
  <c r="AR406" i="1"/>
  <c r="AV406" i="1"/>
  <c r="AY406" i="1"/>
  <c r="A407" i="1"/>
  <c r="AI407" i="1"/>
  <c r="AR407" i="1"/>
  <c r="AV407" i="1"/>
  <c r="AY407" i="1"/>
  <c r="A408" i="1"/>
  <c r="AI408" i="1"/>
  <c r="AR408" i="1"/>
  <c r="AV408" i="1"/>
  <c r="AY408" i="1"/>
  <c r="A409" i="1"/>
  <c r="AI409" i="1"/>
  <c r="AR409" i="1"/>
  <c r="AV409" i="1"/>
  <c r="AY409" i="1"/>
  <c r="A410" i="1"/>
  <c r="AI410" i="1"/>
  <c r="AR410" i="1"/>
  <c r="AV410" i="1"/>
  <c r="AY410" i="1"/>
  <c r="A411" i="1"/>
  <c r="AI411" i="1"/>
  <c r="AR411" i="1"/>
  <c r="AV411" i="1"/>
  <c r="AY411" i="1"/>
  <c r="A412" i="1"/>
  <c r="AI412" i="1"/>
  <c r="AR412" i="1"/>
  <c r="AV412" i="1"/>
  <c r="AY412" i="1"/>
  <c r="A413" i="1"/>
  <c r="AI413" i="1"/>
  <c r="AR413" i="1"/>
  <c r="AV413" i="1"/>
  <c r="AY413" i="1"/>
  <c r="A414" i="1"/>
  <c r="AI414" i="1"/>
  <c r="AR414" i="1"/>
  <c r="AV414" i="1"/>
  <c r="AY414" i="1"/>
  <c r="A415" i="1"/>
  <c r="AI415" i="1"/>
  <c r="AR415" i="1"/>
  <c r="AV415" i="1"/>
  <c r="AY415" i="1"/>
  <c r="A416" i="1"/>
  <c r="AI416" i="1"/>
  <c r="AR416" i="1"/>
  <c r="AV416" i="1"/>
  <c r="AY416" i="1"/>
  <c r="A417" i="1"/>
  <c r="AI417" i="1"/>
  <c r="AR417" i="1"/>
  <c r="AV417" i="1"/>
  <c r="AY417" i="1"/>
  <c r="A418" i="1"/>
  <c r="AI418" i="1"/>
  <c r="AR418" i="1"/>
  <c r="AV418" i="1"/>
  <c r="AY418" i="1"/>
  <c r="A419" i="1"/>
  <c r="AI419" i="1"/>
  <c r="AR419" i="1"/>
  <c r="AV419" i="1"/>
  <c r="AY419" i="1"/>
  <c r="A420" i="1"/>
  <c r="AI420" i="1"/>
  <c r="AL420" i="1"/>
  <c r="AO420" i="1"/>
  <c r="AR420" i="1"/>
  <c r="AV420" i="1"/>
  <c r="AY420" i="1"/>
  <c r="A421" i="1"/>
  <c r="AI421" i="1"/>
  <c r="AL421" i="1"/>
  <c r="AO421" i="1"/>
  <c r="AR421" i="1"/>
  <c r="AV421" i="1"/>
  <c r="AY421" i="1"/>
  <c r="A422" i="1"/>
  <c r="AI422" i="1"/>
  <c r="AL422" i="1"/>
  <c r="AO422" i="1"/>
  <c r="AR422" i="1"/>
  <c r="AV422" i="1"/>
  <c r="AY422" i="1"/>
  <c r="A423" i="1"/>
  <c r="AI423" i="1"/>
  <c r="AR423" i="1"/>
  <c r="AV423" i="1"/>
  <c r="AY423" i="1"/>
  <c r="A424" i="1"/>
  <c r="AI424" i="1"/>
  <c r="AR424" i="1"/>
  <c r="AV424" i="1"/>
  <c r="AY424" i="1"/>
  <c r="A425" i="1"/>
  <c r="AI425" i="1"/>
  <c r="AR425" i="1"/>
  <c r="AV425" i="1"/>
  <c r="AY425" i="1"/>
  <c r="A426" i="1"/>
  <c r="AI426" i="1"/>
  <c r="AR426" i="1"/>
  <c r="AV426" i="1"/>
  <c r="AY426" i="1"/>
  <c r="A427" i="1"/>
  <c r="AI427" i="1"/>
  <c r="AL427" i="1"/>
  <c r="AO427" i="1"/>
  <c r="AR427" i="1"/>
  <c r="AV427" i="1"/>
  <c r="AY427" i="1"/>
  <c r="A428" i="1"/>
  <c r="AI428" i="1"/>
  <c r="AL428" i="1"/>
  <c r="AO428" i="1"/>
  <c r="AR428" i="1"/>
  <c r="AV428" i="1"/>
  <c r="AY428" i="1"/>
  <c r="A429" i="1"/>
  <c r="AI429" i="1"/>
  <c r="AL429" i="1"/>
  <c r="AO429" i="1"/>
  <c r="AR429" i="1"/>
  <c r="AV429" i="1"/>
  <c r="AY429" i="1"/>
  <c r="A430" i="1"/>
  <c r="AI430" i="1"/>
  <c r="AL430" i="1"/>
  <c r="AO430" i="1"/>
  <c r="AR430" i="1"/>
  <c r="AV430" i="1"/>
  <c r="AY430" i="1"/>
  <c r="A431" i="1"/>
  <c r="AI431" i="1"/>
  <c r="AL431" i="1"/>
  <c r="AO431" i="1"/>
  <c r="AR431" i="1"/>
  <c r="AV431" i="1"/>
  <c r="AY431" i="1"/>
  <c r="A432" i="1"/>
  <c r="AI432" i="1"/>
  <c r="AL432" i="1"/>
  <c r="AO432" i="1"/>
  <c r="AR432" i="1"/>
  <c r="AV432" i="1"/>
  <c r="AY432" i="1"/>
  <c r="A433" i="1"/>
  <c r="AI433" i="1"/>
  <c r="AL433" i="1"/>
  <c r="AO433" i="1"/>
  <c r="AR433" i="1"/>
  <c r="AV433" i="1"/>
  <c r="AY433" i="1"/>
  <c r="A434" i="1"/>
  <c r="AI434" i="1"/>
  <c r="AL434" i="1"/>
  <c r="AO434" i="1"/>
  <c r="AR434" i="1"/>
  <c r="AV434" i="1"/>
  <c r="AY434" i="1"/>
  <c r="A435" i="1"/>
  <c r="AI435" i="1"/>
  <c r="AL435" i="1"/>
  <c r="AO435" i="1"/>
  <c r="AR435" i="1"/>
  <c r="AV435" i="1"/>
  <c r="AY435" i="1"/>
  <c r="A436" i="1"/>
  <c r="AI436" i="1"/>
  <c r="AL436" i="1"/>
  <c r="AO436" i="1"/>
  <c r="AR436" i="1"/>
  <c r="AV436" i="1"/>
  <c r="AY436" i="1"/>
  <c r="A437" i="1"/>
  <c r="AI437" i="1"/>
  <c r="AL437" i="1"/>
  <c r="AO437" i="1"/>
  <c r="AR437" i="1"/>
  <c r="AV437" i="1"/>
  <c r="AY437" i="1"/>
  <c r="A438" i="1"/>
  <c r="AI438" i="1"/>
  <c r="AL438" i="1"/>
  <c r="AO438" i="1"/>
  <c r="AR438" i="1"/>
  <c r="AV438" i="1"/>
  <c r="AY438" i="1"/>
  <c r="A439" i="1"/>
  <c r="AI439" i="1"/>
  <c r="AL439" i="1"/>
  <c r="AO439" i="1"/>
  <c r="AR439" i="1"/>
  <c r="AV439" i="1"/>
  <c r="AY439" i="1"/>
  <c r="A440" i="1"/>
  <c r="AI440" i="1"/>
  <c r="AL440" i="1"/>
  <c r="AO440" i="1"/>
  <c r="AR440" i="1"/>
  <c r="AV440" i="1"/>
  <c r="AY440" i="1"/>
  <c r="A441" i="1"/>
  <c r="AI441" i="1"/>
  <c r="AL441" i="1"/>
  <c r="AO441" i="1"/>
  <c r="AR441" i="1"/>
  <c r="AV441" i="1"/>
  <c r="AY441" i="1"/>
  <c r="A442" i="1"/>
  <c r="AI442" i="1"/>
  <c r="AL442" i="1"/>
  <c r="AO442" i="1"/>
  <c r="AR442" i="1"/>
  <c r="AV442" i="1"/>
  <c r="AY442" i="1"/>
  <c r="A443" i="1"/>
  <c r="AI443" i="1"/>
  <c r="AL443" i="1"/>
  <c r="AO443" i="1"/>
  <c r="AR443" i="1"/>
  <c r="AV443" i="1"/>
  <c r="AY443" i="1"/>
  <c r="A444" i="1"/>
  <c r="AI444" i="1"/>
  <c r="AL444" i="1"/>
  <c r="AO444" i="1"/>
  <c r="AR444" i="1"/>
  <c r="AV444" i="1"/>
  <c r="AY444" i="1"/>
  <c r="A445" i="1"/>
  <c r="AI445" i="1"/>
  <c r="AL445" i="1"/>
  <c r="AO445" i="1"/>
  <c r="AR445" i="1"/>
  <c r="AV445" i="1"/>
  <c r="AY445" i="1"/>
  <c r="A446" i="1"/>
  <c r="AI446" i="1"/>
  <c r="AL446" i="1"/>
  <c r="AO446" i="1"/>
  <c r="AR446" i="1"/>
  <c r="AV446" i="1"/>
  <c r="AY446" i="1"/>
  <c r="A447" i="1"/>
  <c r="AI447" i="1"/>
  <c r="AL447" i="1"/>
  <c r="AO447" i="1"/>
  <c r="AR447" i="1"/>
  <c r="AV447" i="1"/>
  <c r="AY447" i="1"/>
  <c r="A448" i="1"/>
  <c r="AI448" i="1"/>
  <c r="AL448" i="1"/>
  <c r="AO448" i="1"/>
  <c r="AR448" i="1"/>
  <c r="AV448" i="1"/>
  <c r="AY448" i="1"/>
  <c r="A449" i="1"/>
  <c r="AI449" i="1"/>
  <c r="AR449" i="1"/>
  <c r="AV449" i="1"/>
  <c r="AY449" i="1"/>
  <c r="A450" i="1"/>
  <c r="AI450" i="1"/>
  <c r="AR450" i="1"/>
  <c r="AV450" i="1"/>
  <c r="AY450" i="1"/>
  <c r="A451" i="1"/>
  <c r="AI451" i="1"/>
  <c r="AR451" i="1"/>
  <c r="AV451" i="1"/>
  <c r="AY451" i="1"/>
  <c r="A452" i="1"/>
  <c r="AI452" i="1"/>
  <c r="AR452" i="1"/>
  <c r="AV452" i="1"/>
  <c r="AY452" i="1"/>
  <c r="A453" i="1"/>
  <c r="AI453" i="1"/>
  <c r="AR453" i="1"/>
  <c r="AV453" i="1"/>
  <c r="AY453" i="1"/>
  <c r="A454" i="1"/>
  <c r="AI454" i="1"/>
  <c r="AR454" i="1"/>
  <c r="AV454" i="1"/>
  <c r="AY454" i="1"/>
  <c r="A455" i="1"/>
  <c r="AI455" i="1"/>
  <c r="AR455" i="1"/>
  <c r="AV455" i="1"/>
  <c r="AY455" i="1"/>
  <c r="A456" i="1"/>
  <c r="AI456" i="1"/>
  <c r="AR456" i="1"/>
  <c r="AV456" i="1"/>
  <c r="AY456" i="1"/>
  <c r="A457" i="1"/>
  <c r="AI457" i="1"/>
  <c r="AR457" i="1"/>
  <c r="AV457" i="1"/>
  <c r="AY457" i="1"/>
  <c r="A458" i="1"/>
  <c r="AI458" i="1"/>
  <c r="AR458" i="1"/>
  <c r="AV458" i="1"/>
  <c r="AY458" i="1"/>
  <c r="A459" i="1"/>
  <c r="AI459" i="1"/>
  <c r="AL459" i="1"/>
  <c r="AO459" i="1"/>
  <c r="AR459" i="1"/>
  <c r="AV459" i="1"/>
  <c r="AY459" i="1"/>
  <c r="A460" i="1"/>
  <c r="AI460" i="1"/>
  <c r="AL460" i="1"/>
  <c r="AO460" i="1"/>
  <c r="AR460" i="1"/>
  <c r="AV460" i="1"/>
  <c r="AY460" i="1"/>
  <c r="A461" i="1"/>
  <c r="AI461" i="1"/>
  <c r="AR461" i="1"/>
  <c r="AV461" i="1"/>
  <c r="AY461" i="1"/>
  <c r="A462" i="1"/>
  <c r="AI462" i="1"/>
  <c r="AR462" i="1"/>
  <c r="AV462" i="1"/>
  <c r="AY462" i="1"/>
  <c r="A463" i="1"/>
  <c r="AI463" i="1"/>
  <c r="AR463" i="1"/>
  <c r="AV463" i="1"/>
  <c r="AY463" i="1"/>
  <c r="A464" i="1"/>
  <c r="AI464" i="1"/>
  <c r="AR464" i="1"/>
  <c r="AV464" i="1"/>
  <c r="AY464" i="1"/>
  <c r="A465" i="1"/>
  <c r="AI465" i="1"/>
  <c r="AR465" i="1"/>
  <c r="AV465" i="1"/>
  <c r="AY465" i="1"/>
  <c r="A466" i="1"/>
  <c r="AI466" i="1"/>
  <c r="AR466" i="1"/>
  <c r="AV466" i="1"/>
  <c r="AY466" i="1"/>
  <c r="A467" i="1"/>
  <c r="AI467" i="1"/>
  <c r="AR467" i="1"/>
  <c r="AV467" i="1"/>
  <c r="AY467" i="1"/>
  <c r="A468" i="1"/>
  <c r="AI468" i="1"/>
  <c r="AR468" i="1"/>
  <c r="AV468" i="1"/>
  <c r="AY468" i="1"/>
  <c r="A469" i="1"/>
  <c r="AI469" i="1"/>
  <c r="AR469" i="1"/>
  <c r="AV469" i="1"/>
  <c r="AY469" i="1"/>
  <c r="A470" i="1"/>
  <c r="AI470" i="1"/>
  <c r="AR470" i="1"/>
  <c r="AV470" i="1"/>
  <c r="AY470" i="1"/>
  <c r="A471" i="1"/>
  <c r="AI471" i="1"/>
  <c r="AR471" i="1"/>
  <c r="AV471" i="1"/>
  <c r="AY471" i="1"/>
  <c r="A472" i="1"/>
  <c r="AI472" i="1"/>
  <c r="AR472" i="1"/>
  <c r="AV472" i="1"/>
  <c r="AY472" i="1"/>
  <c r="A473" i="1"/>
  <c r="AI473" i="1"/>
  <c r="AR473" i="1"/>
  <c r="AV473" i="1"/>
  <c r="AY473" i="1"/>
  <c r="A474" i="1"/>
  <c r="AI474" i="1"/>
  <c r="AR474" i="1"/>
  <c r="AV474" i="1"/>
  <c r="AY474" i="1"/>
  <c r="A475" i="1"/>
  <c r="AI475" i="1"/>
  <c r="AR475" i="1"/>
  <c r="AV475" i="1"/>
  <c r="AY475" i="1"/>
  <c r="A476" i="1"/>
  <c r="AI476" i="1"/>
  <c r="AR476" i="1"/>
  <c r="AV476" i="1"/>
  <c r="AY476" i="1"/>
  <c r="A477" i="1"/>
  <c r="AI477" i="1"/>
  <c r="AR477" i="1"/>
  <c r="AV477" i="1"/>
  <c r="AY477" i="1"/>
  <c r="A478" i="1"/>
  <c r="AI478" i="1"/>
  <c r="AR478" i="1"/>
  <c r="AV478" i="1"/>
  <c r="AY478" i="1"/>
  <c r="A479" i="1"/>
  <c r="AI479" i="1"/>
  <c r="AR479" i="1"/>
  <c r="AV479" i="1"/>
  <c r="AY479" i="1"/>
  <c r="A480" i="1"/>
  <c r="AI480" i="1"/>
  <c r="AL480" i="1"/>
  <c r="AO480" i="1"/>
  <c r="AR480" i="1"/>
  <c r="AV480" i="1"/>
  <c r="AY480" i="1"/>
  <c r="A481" i="1"/>
  <c r="AI481" i="1"/>
  <c r="AL481" i="1"/>
  <c r="AO481" i="1"/>
  <c r="AR481" i="1"/>
  <c r="AV481" i="1"/>
  <c r="AY481" i="1"/>
  <c r="A482" i="1"/>
  <c r="AI482" i="1"/>
  <c r="AL482" i="1"/>
  <c r="AO482" i="1"/>
  <c r="AR482" i="1"/>
  <c r="AV482" i="1"/>
  <c r="AY482" i="1"/>
  <c r="A483" i="1"/>
  <c r="AI483" i="1"/>
  <c r="AL483" i="1"/>
  <c r="AO483" i="1"/>
  <c r="AR483" i="1"/>
  <c r="AV483" i="1"/>
  <c r="AY483" i="1"/>
  <c r="A484" i="1"/>
  <c r="AI484" i="1"/>
  <c r="AL484" i="1"/>
  <c r="AO484" i="1"/>
  <c r="AR484" i="1"/>
  <c r="AV484" i="1"/>
  <c r="AY484" i="1"/>
  <c r="A485" i="1"/>
  <c r="AI485" i="1"/>
  <c r="AL485" i="1"/>
  <c r="AO485" i="1"/>
  <c r="AR485" i="1"/>
  <c r="AV485" i="1"/>
  <c r="AY485" i="1"/>
  <c r="A486" i="1"/>
  <c r="AI486" i="1"/>
  <c r="AL486" i="1"/>
  <c r="AO486" i="1"/>
  <c r="AR486" i="1"/>
  <c r="AV486" i="1"/>
  <c r="AY486" i="1"/>
  <c r="A487" i="1"/>
  <c r="AI487" i="1"/>
  <c r="AL487" i="1"/>
  <c r="AO487" i="1"/>
  <c r="AR487" i="1"/>
  <c r="AV487" i="1"/>
  <c r="AY487" i="1"/>
  <c r="A488" i="1"/>
  <c r="AI488" i="1"/>
  <c r="AL488" i="1"/>
  <c r="AO488" i="1"/>
  <c r="AR488" i="1"/>
  <c r="AV488" i="1"/>
  <c r="AY488" i="1"/>
  <c r="A489" i="1"/>
  <c r="AI489" i="1"/>
  <c r="AL489" i="1"/>
  <c r="AO489" i="1"/>
  <c r="AR489" i="1"/>
  <c r="AV489" i="1"/>
  <c r="AY489" i="1"/>
  <c r="A490" i="1"/>
  <c r="AI490" i="1"/>
  <c r="AL490" i="1"/>
  <c r="AO490" i="1"/>
  <c r="AR490" i="1"/>
  <c r="AV490" i="1"/>
  <c r="AY490" i="1"/>
  <c r="A491" i="1"/>
  <c r="AI491" i="1"/>
  <c r="AL491" i="1"/>
  <c r="AO491" i="1"/>
  <c r="AR491" i="1"/>
  <c r="AV491" i="1"/>
  <c r="A492" i="1"/>
  <c r="AI492" i="1"/>
  <c r="AO492" i="1"/>
  <c r="AR492" i="1"/>
  <c r="AV492" i="1"/>
  <c r="A493" i="1"/>
  <c r="AI493" i="1"/>
  <c r="AO493" i="1"/>
  <c r="AR493" i="1"/>
  <c r="AV493" i="1"/>
  <c r="A494" i="1"/>
  <c r="AI494" i="1"/>
  <c r="AO494" i="1"/>
  <c r="AR494" i="1"/>
  <c r="AV494" i="1"/>
  <c r="A495" i="1"/>
  <c r="AI495" i="1"/>
  <c r="AO495" i="1"/>
  <c r="AR495" i="1"/>
  <c r="AV495" i="1"/>
  <c r="A496" i="1"/>
  <c r="AI496" i="1"/>
  <c r="AO496" i="1"/>
  <c r="AR496" i="1"/>
  <c r="AV496" i="1"/>
  <c r="A497" i="1"/>
  <c r="AI497" i="1"/>
  <c r="AO497" i="1"/>
  <c r="AR497" i="1"/>
  <c r="AV497" i="1"/>
  <c r="A498" i="1"/>
  <c r="AI498" i="1"/>
  <c r="AL498" i="1"/>
  <c r="AO498" i="1"/>
  <c r="AR498" i="1"/>
  <c r="AV498" i="1"/>
  <c r="AY498" i="1"/>
  <c r="A499" i="1"/>
  <c r="AI499" i="1"/>
  <c r="AR499" i="1"/>
  <c r="AV499" i="1"/>
  <c r="AY499" i="1"/>
  <c r="A500" i="1"/>
  <c r="AI500" i="1"/>
  <c r="AR500" i="1"/>
  <c r="AV500" i="1"/>
  <c r="AY500" i="1"/>
  <c r="A501" i="1"/>
  <c r="AI501" i="1"/>
  <c r="AR501" i="1"/>
  <c r="AV501" i="1"/>
  <c r="AY501" i="1"/>
  <c r="A502" i="1"/>
  <c r="AI502" i="1"/>
  <c r="AR502" i="1"/>
  <c r="AV502" i="1"/>
  <c r="AY502" i="1"/>
  <c r="A503" i="1"/>
  <c r="AI503" i="1"/>
  <c r="AL503" i="1"/>
  <c r="AO503" i="1"/>
  <c r="AR503" i="1"/>
  <c r="AV503" i="1"/>
  <c r="AY503" i="1"/>
  <c r="A504" i="1"/>
  <c r="AI504" i="1"/>
  <c r="AL504" i="1"/>
  <c r="AO504" i="1"/>
  <c r="AR504" i="1"/>
  <c r="AV504" i="1"/>
  <c r="AY504" i="1"/>
  <c r="A505" i="1"/>
  <c r="AI505" i="1"/>
  <c r="AL505" i="1"/>
  <c r="AO505" i="1"/>
  <c r="AR505" i="1"/>
  <c r="AV505" i="1"/>
  <c r="AY505" i="1"/>
  <c r="A506" i="1"/>
  <c r="AI506" i="1"/>
  <c r="AR506" i="1"/>
  <c r="AV506" i="1"/>
  <c r="AY506" i="1"/>
  <c r="A507" i="1"/>
  <c r="AI507" i="1"/>
  <c r="AR507" i="1"/>
  <c r="AV507" i="1"/>
  <c r="AY507" i="1"/>
  <c r="A508" i="1"/>
  <c r="AI508" i="1"/>
  <c r="AR508" i="1"/>
  <c r="AV508" i="1"/>
  <c r="AY508" i="1"/>
  <c r="A509" i="1"/>
  <c r="AI509" i="1"/>
  <c r="AL509" i="1"/>
  <c r="AO509" i="1"/>
  <c r="AR509" i="1"/>
  <c r="AV509" i="1"/>
  <c r="AY509" i="1"/>
  <c r="A510" i="1"/>
  <c r="AI510" i="1"/>
  <c r="AL510" i="1"/>
  <c r="AO510" i="1"/>
  <c r="AR510" i="1"/>
  <c r="AV510" i="1"/>
  <c r="AY510" i="1"/>
  <c r="A511" i="1"/>
  <c r="AI511" i="1"/>
  <c r="AR511" i="1"/>
  <c r="AV511" i="1"/>
  <c r="AY511" i="1"/>
  <c r="A512" i="1"/>
  <c r="AI512" i="1"/>
  <c r="AR512" i="1"/>
  <c r="AV512" i="1"/>
  <c r="AY512" i="1"/>
  <c r="A513" i="1"/>
  <c r="AI513" i="1"/>
  <c r="AR513" i="1"/>
  <c r="AV513" i="1"/>
  <c r="AY513" i="1"/>
  <c r="A514" i="1"/>
  <c r="AI514" i="1"/>
  <c r="AR514" i="1"/>
  <c r="AV514" i="1"/>
  <c r="AY514" i="1"/>
  <c r="A515" i="1"/>
  <c r="AI515" i="1"/>
  <c r="AR515" i="1"/>
  <c r="AV515" i="1"/>
  <c r="AY515" i="1"/>
  <c r="A516" i="1"/>
  <c r="AI516" i="1"/>
  <c r="AR516" i="1"/>
  <c r="AV516" i="1"/>
  <c r="AY516" i="1"/>
  <c r="A517" i="1"/>
  <c r="AI517" i="1"/>
  <c r="AR517" i="1"/>
  <c r="AV517" i="1"/>
  <c r="AY517" i="1"/>
  <c r="A518" i="1"/>
  <c r="AI518" i="1"/>
  <c r="AR518" i="1"/>
  <c r="AV518" i="1"/>
  <c r="AY518" i="1"/>
  <c r="A519" i="1"/>
  <c r="AI519" i="1"/>
  <c r="AL519" i="1"/>
  <c r="AO519" i="1"/>
  <c r="AR519" i="1"/>
  <c r="AV519" i="1"/>
  <c r="AY519" i="1"/>
  <c r="A520" i="1"/>
  <c r="AI520" i="1"/>
  <c r="AL520" i="1"/>
  <c r="AO520" i="1"/>
  <c r="AR520" i="1"/>
  <c r="AV520" i="1"/>
  <c r="AY520" i="1"/>
  <c r="A521" i="1"/>
  <c r="AI521" i="1"/>
  <c r="AL521" i="1"/>
  <c r="AO521" i="1"/>
  <c r="AR521" i="1"/>
  <c r="AV521" i="1"/>
  <c r="AY521" i="1"/>
  <c r="A522" i="1"/>
  <c r="AI522" i="1"/>
  <c r="AO522" i="1"/>
  <c r="AR522" i="1"/>
  <c r="AV522" i="1"/>
  <c r="A523" i="1"/>
  <c r="AI523" i="1"/>
  <c r="AR523" i="1"/>
  <c r="AV523" i="1"/>
  <c r="AY523" i="1"/>
  <c r="A524" i="1"/>
  <c r="AI524" i="1"/>
  <c r="AO524" i="1"/>
  <c r="AR524" i="1"/>
  <c r="AV524" i="1"/>
  <c r="A525" i="1"/>
  <c r="AI525" i="1"/>
  <c r="AL525" i="1"/>
  <c r="AO525" i="1"/>
  <c r="AR525" i="1"/>
  <c r="AV525" i="1"/>
  <c r="AY525" i="1"/>
  <c r="A526" i="1"/>
  <c r="AI526" i="1"/>
  <c r="AR526" i="1"/>
  <c r="AR528" i="1"/>
  <c r="AR529" i="1"/>
  <c r="AR530" i="1"/>
  <c r="AR531" i="1"/>
  <c r="AR532" i="1"/>
  <c r="AI535" i="1"/>
  <c r="AL535" i="1"/>
  <c r="AO535" i="1"/>
  <c r="AR535" i="1"/>
  <c r="AV535" i="1"/>
  <c r="AY535" i="1"/>
  <c r="A536" i="1"/>
  <c r="AI536" i="1"/>
  <c r="AL536" i="1"/>
  <c r="AO536" i="1"/>
  <c r="AR536" i="1"/>
  <c r="AV536" i="1"/>
  <c r="A537" i="1"/>
  <c r="AI537" i="1"/>
  <c r="AL537" i="1"/>
  <c r="AO537" i="1"/>
  <c r="AR537" i="1"/>
  <c r="AV537" i="1"/>
  <c r="A538" i="1"/>
  <c r="AI538" i="1"/>
  <c r="AL538" i="1"/>
  <c r="AO538" i="1"/>
  <c r="AR538" i="1"/>
  <c r="AV538" i="1"/>
  <c r="A539" i="1"/>
  <c r="AI539" i="1"/>
  <c r="AL539" i="1"/>
  <c r="AO539" i="1"/>
  <c r="AR539" i="1"/>
  <c r="AV539" i="1"/>
  <c r="A540" i="1"/>
  <c r="AI540" i="1"/>
  <c r="AL540" i="1"/>
  <c r="AO540" i="1"/>
  <c r="AR540" i="1"/>
  <c r="AV540" i="1"/>
  <c r="A541" i="1"/>
  <c r="AI541" i="1"/>
  <c r="AL541" i="1"/>
  <c r="AO541" i="1"/>
  <c r="AR541" i="1"/>
  <c r="AV541" i="1"/>
  <c r="A542" i="1"/>
  <c r="AI542" i="1"/>
  <c r="AL542" i="1"/>
  <c r="AO542" i="1"/>
  <c r="AR542" i="1"/>
  <c r="AV542" i="1"/>
  <c r="A543" i="1"/>
  <c r="AI543" i="1"/>
  <c r="AL543" i="1"/>
  <c r="AO543" i="1"/>
  <c r="AR543" i="1"/>
  <c r="AV543" i="1"/>
  <c r="A544" i="1"/>
  <c r="AI544" i="1"/>
  <c r="AL544" i="1"/>
  <c r="AO544" i="1"/>
  <c r="AR544" i="1"/>
  <c r="AV544" i="1"/>
  <c r="A545" i="1"/>
  <c r="AI545" i="1"/>
  <c r="AL545" i="1"/>
  <c r="AO545" i="1"/>
  <c r="AR545" i="1"/>
  <c r="AV545" i="1"/>
  <c r="A546" i="1"/>
  <c r="AI546" i="1"/>
  <c r="AL546" i="1"/>
  <c r="AO546" i="1"/>
  <c r="AR546" i="1"/>
  <c r="AV546" i="1"/>
  <c r="A547" i="1"/>
  <c r="AI547" i="1"/>
  <c r="AL547" i="1"/>
  <c r="AO547" i="1"/>
  <c r="AR547" i="1"/>
  <c r="AV547" i="1"/>
  <c r="AY547" i="1"/>
  <c r="A548" i="1"/>
  <c r="AI548" i="1"/>
  <c r="AO548" i="1"/>
  <c r="AR548" i="1"/>
  <c r="AV548" i="1"/>
  <c r="A549" i="1"/>
  <c r="AI549" i="1"/>
  <c r="AO549" i="1"/>
  <c r="AR549" i="1"/>
  <c r="AV549" i="1"/>
  <c r="A550" i="1"/>
  <c r="AI550" i="1"/>
  <c r="AO550" i="1"/>
  <c r="AR550" i="1"/>
  <c r="AV550" i="1"/>
  <c r="A551" i="1"/>
  <c r="AI551" i="1"/>
  <c r="AO551" i="1"/>
  <c r="AR551" i="1"/>
  <c r="AV551" i="1"/>
  <c r="A552" i="1"/>
  <c r="AI552" i="1"/>
  <c r="AO552" i="1"/>
  <c r="AR552" i="1"/>
  <c r="AV552" i="1"/>
  <c r="A553" i="1"/>
  <c r="AI553" i="1"/>
  <c r="AO553" i="1"/>
  <c r="AR553" i="1"/>
  <c r="AV553" i="1"/>
  <c r="A554" i="1"/>
  <c r="AI554" i="1"/>
  <c r="AO554" i="1"/>
  <c r="AR554" i="1"/>
  <c r="AV554" i="1"/>
  <c r="AI555" i="1"/>
  <c r="AL555" i="1"/>
  <c r="AO555" i="1"/>
  <c r="AR555" i="1"/>
  <c r="AV555" i="1"/>
  <c r="AY555" i="1"/>
  <c r="A556" i="1"/>
  <c r="C556" i="1"/>
  <c r="AI556" i="1"/>
  <c r="AL556" i="1"/>
  <c r="AO556" i="1"/>
  <c r="AR556" i="1"/>
  <c r="AV556" i="1"/>
  <c r="AY556" i="1"/>
  <c r="A557" i="1"/>
  <c r="C557" i="1"/>
  <c r="AI557" i="1"/>
  <c r="AL557" i="1"/>
  <c r="AO557" i="1"/>
  <c r="AR557" i="1"/>
  <c r="AV557" i="1"/>
  <c r="AY557" i="1"/>
  <c r="A558" i="1"/>
  <c r="C558" i="1"/>
  <c r="AI558" i="1"/>
  <c r="AL558" i="1"/>
  <c r="AO558" i="1"/>
  <c r="AR558" i="1"/>
  <c r="AV558" i="1"/>
  <c r="AY558" i="1"/>
  <c r="A559" i="1"/>
  <c r="C559" i="1"/>
  <c r="AI559" i="1"/>
  <c r="AL559" i="1"/>
  <c r="AO559" i="1"/>
  <c r="AR559" i="1"/>
  <c r="AV559" i="1"/>
  <c r="AY559" i="1"/>
  <c r="A560" i="1"/>
  <c r="C560" i="1"/>
  <c r="AI560" i="1"/>
  <c r="AL560" i="1"/>
  <c r="AO560" i="1"/>
  <c r="AR560" i="1"/>
  <c r="AV560" i="1"/>
  <c r="AY560" i="1"/>
  <c r="A561" i="1"/>
  <c r="C561" i="1"/>
  <c r="AI561" i="1"/>
  <c r="AL561" i="1"/>
  <c r="AO561" i="1"/>
  <c r="AR561" i="1"/>
  <c r="AV561" i="1"/>
  <c r="AY561" i="1"/>
  <c r="A562" i="1"/>
  <c r="C562" i="1"/>
  <c r="AI562" i="1"/>
  <c r="AL562" i="1"/>
  <c r="AO562" i="1"/>
  <c r="AR562" i="1"/>
  <c r="AV562" i="1"/>
  <c r="AY562" i="1"/>
  <c r="A563" i="1"/>
  <c r="C563" i="1"/>
  <c r="AI563" i="1"/>
  <c r="AL563" i="1"/>
  <c r="AO563" i="1"/>
  <c r="AR563" i="1"/>
  <c r="AV563" i="1"/>
  <c r="AY563" i="1"/>
  <c r="A564" i="1"/>
  <c r="C564" i="1"/>
  <c r="AI564" i="1"/>
  <c r="AL564" i="1"/>
  <c r="AO564" i="1"/>
  <c r="AR564" i="1"/>
  <c r="AV564" i="1"/>
  <c r="AY564" i="1"/>
  <c r="A565" i="1"/>
  <c r="C565" i="1"/>
  <c r="AI565" i="1"/>
  <c r="AL565" i="1"/>
  <c r="AO565" i="1"/>
  <c r="AR565" i="1"/>
  <c r="AV565" i="1"/>
  <c r="AY565" i="1"/>
  <c r="A566" i="1"/>
  <c r="C566" i="1"/>
  <c r="AI566" i="1"/>
  <c r="AL566" i="1"/>
  <c r="AO566" i="1"/>
  <c r="AR566" i="1"/>
  <c r="AV566" i="1"/>
  <c r="AY566" i="1"/>
  <c r="A567" i="1"/>
  <c r="C567" i="1"/>
  <c r="AI567" i="1"/>
  <c r="AL567" i="1"/>
  <c r="AO567" i="1"/>
  <c r="AR567" i="1"/>
  <c r="AV567" i="1"/>
  <c r="AY567" i="1"/>
  <c r="A568" i="1"/>
  <c r="C568" i="1"/>
  <c r="AI568" i="1"/>
  <c r="AL568" i="1"/>
  <c r="AO568" i="1"/>
  <c r="AR568" i="1"/>
  <c r="AV568" i="1"/>
  <c r="AY568" i="1"/>
  <c r="A569" i="1"/>
  <c r="C569" i="1"/>
  <c r="AI569" i="1"/>
  <c r="AL569" i="1"/>
  <c r="AO569" i="1"/>
  <c r="AR569" i="1"/>
  <c r="AV569" i="1"/>
  <c r="AY569" i="1"/>
  <c r="A570" i="1"/>
  <c r="C570" i="1"/>
  <c r="AI570" i="1"/>
  <c r="AL570" i="1"/>
  <c r="AO570" i="1"/>
  <c r="AR570" i="1"/>
  <c r="AV570" i="1"/>
  <c r="AY570" i="1"/>
  <c r="A571" i="1"/>
  <c r="C571" i="1"/>
  <c r="AI571" i="1"/>
  <c r="AL571" i="1"/>
  <c r="AO571" i="1"/>
  <c r="AR571" i="1"/>
  <c r="AV571" i="1"/>
  <c r="AY571" i="1"/>
  <c r="A572" i="1"/>
  <c r="C572" i="1"/>
  <c r="AI572" i="1"/>
  <c r="AL572" i="1"/>
  <c r="AO572" i="1"/>
  <c r="AR572" i="1"/>
  <c r="AV572" i="1"/>
  <c r="AY572" i="1"/>
  <c r="A573" i="1"/>
  <c r="C573" i="1"/>
  <c r="AI573" i="1"/>
  <c r="AL573" i="1"/>
  <c r="AO573" i="1"/>
  <c r="AR573" i="1"/>
  <c r="AV573" i="1"/>
  <c r="AY573" i="1"/>
  <c r="A574" i="1"/>
  <c r="C574" i="1"/>
  <c r="AI574" i="1"/>
  <c r="AL574" i="1"/>
  <c r="AO574" i="1"/>
  <c r="AR574" i="1"/>
  <c r="AV574" i="1"/>
  <c r="AY574" i="1"/>
  <c r="A575" i="1"/>
  <c r="C575" i="1"/>
  <c r="AI575" i="1"/>
  <c r="AL575" i="1"/>
  <c r="AO575" i="1"/>
  <c r="AR575" i="1"/>
  <c r="AV575" i="1"/>
  <c r="AY575" i="1"/>
  <c r="A576" i="1"/>
  <c r="C576" i="1"/>
  <c r="AI576" i="1"/>
  <c r="AL576" i="1"/>
  <c r="AO576" i="1"/>
  <c r="AR576" i="1"/>
  <c r="AV576" i="1"/>
  <c r="AY576" i="1"/>
  <c r="C8" i="1"/>
  <c r="A11" i="1"/>
  <c r="AI11" i="1"/>
  <c r="AL11" i="1"/>
  <c r="AO11" i="1"/>
  <c r="AR11" i="1"/>
  <c r="AV11" i="1"/>
  <c r="A12" i="1"/>
  <c r="AI12" i="1"/>
  <c r="AL12" i="1"/>
  <c r="AO12" i="1"/>
  <c r="AR12" i="1"/>
  <c r="AV12" i="1"/>
  <c r="A13" i="1"/>
  <c r="AI13" i="1"/>
  <c r="AL13" i="1"/>
  <c r="AO13" i="1"/>
  <c r="AR13" i="1"/>
  <c r="AV13" i="1"/>
  <c r="A14" i="1"/>
  <c r="AI14" i="1"/>
  <c r="AL14" i="1"/>
  <c r="AO14" i="1"/>
  <c r="AR14" i="1"/>
  <c r="AV14" i="1"/>
  <c r="A15" i="1"/>
  <c r="AI15" i="1"/>
  <c r="AL15" i="1"/>
  <c r="AO15" i="1"/>
  <c r="AR15" i="1"/>
  <c r="AV15" i="1"/>
  <c r="A16" i="1"/>
  <c r="AI16" i="1"/>
  <c r="AL16" i="1"/>
  <c r="AO16" i="1"/>
  <c r="AR16" i="1"/>
  <c r="AV16" i="1"/>
  <c r="A577" i="1"/>
  <c r="C577" i="1"/>
  <c r="AI577" i="1"/>
  <c r="AL577" i="1"/>
  <c r="AO577" i="1"/>
  <c r="AR577" i="1"/>
  <c r="AV577" i="1"/>
  <c r="AY577" i="1"/>
  <c r="A578" i="1"/>
  <c r="C578" i="1"/>
  <c r="AI578" i="1"/>
  <c r="AL578" i="1"/>
  <c r="AO578" i="1"/>
  <c r="AR578" i="1"/>
  <c r="AV578" i="1"/>
  <c r="AY578" i="1"/>
  <c r="A579" i="1"/>
  <c r="C579" i="1"/>
  <c r="AI579" i="1"/>
  <c r="AL579" i="1"/>
  <c r="AO579" i="1"/>
  <c r="AR579" i="1"/>
  <c r="AV579" i="1"/>
  <c r="AY579" i="1"/>
  <c r="A580" i="1"/>
  <c r="C580" i="1"/>
  <c r="AI580" i="1"/>
  <c r="AL580" i="1"/>
  <c r="AO580" i="1"/>
  <c r="AR580" i="1"/>
  <c r="AV580" i="1"/>
  <c r="AY580" i="1"/>
  <c r="A581" i="1"/>
  <c r="C581" i="1"/>
  <c r="AI581" i="1"/>
  <c r="AL581" i="1"/>
  <c r="AO581" i="1"/>
  <c r="AR581" i="1"/>
  <c r="AV581" i="1"/>
  <c r="AY581" i="1"/>
  <c r="A582" i="1"/>
  <c r="C582" i="1"/>
  <c r="AI582" i="1"/>
  <c r="AL582" i="1"/>
  <c r="AO582" i="1"/>
  <c r="AR582" i="1"/>
  <c r="AV582" i="1"/>
  <c r="AY582" i="1"/>
  <c r="AE393" i="1" l="1"/>
  <c r="AF393" i="1" s="1"/>
  <c r="AE394" i="1"/>
  <c r="AF394" i="1" s="1"/>
  <c r="AE281" i="1"/>
  <c r="AF281" i="1" s="1"/>
  <c r="AE385" i="1"/>
  <c r="AF385" i="1" s="1"/>
  <c r="AE575" i="1"/>
  <c r="AF575" i="1" s="1"/>
  <c r="AE411" i="1"/>
  <c r="AF411" i="1" s="1"/>
  <c r="AE445" i="1"/>
  <c r="AF445" i="1" s="1"/>
  <c r="AE388" i="1"/>
  <c r="AF388" i="1" s="1"/>
  <c r="AE380" i="1"/>
  <c r="AF380" i="1" s="1"/>
  <c r="AE372" i="1"/>
  <c r="AF372" i="1" s="1"/>
  <c r="AE334" i="1"/>
  <c r="AF334" i="1" s="1"/>
  <c r="AE571" i="1"/>
  <c r="AF571" i="1" s="1"/>
  <c r="AE403" i="1"/>
  <c r="AF403" i="1" s="1"/>
  <c r="AE275" i="1"/>
  <c r="AF275" i="1" s="1"/>
  <c r="AE428" i="1"/>
  <c r="AF428" i="1" s="1"/>
  <c r="AE420" i="1"/>
  <c r="AF420" i="1" s="1"/>
  <c r="AE322" i="1"/>
  <c r="AF322" i="1" s="1"/>
  <c r="AE314" i="1"/>
  <c r="AF314" i="1" s="1"/>
  <c r="AE290" i="1"/>
  <c r="AF290" i="1" s="1"/>
  <c r="AE175" i="1"/>
  <c r="AF175" i="1" s="1"/>
  <c r="AE135" i="1"/>
  <c r="AF135" i="1" s="1"/>
  <c r="AE119" i="1"/>
  <c r="AF119" i="1" s="1"/>
  <c r="AE111" i="1"/>
  <c r="AF111" i="1" s="1"/>
  <c r="AE553" i="1"/>
  <c r="AF553" i="1" s="1"/>
  <c r="AE569" i="1"/>
  <c r="AF569" i="1" s="1"/>
  <c r="AE568" i="1"/>
  <c r="AF568" i="1" s="1"/>
  <c r="AE567" i="1"/>
  <c r="AF567" i="1" s="1"/>
  <c r="AE563" i="1"/>
  <c r="AF563" i="1" s="1"/>
  <c r="AE562" i="1"/>
  <c r="AF562" i="1" s="1"/>
  <c r="AE561" i="1"/>
  <c r="AF561" i="1" s="1"/>
  <c r="AE560" i="1"/>
  <c r="AF560" i="1" s="1"/>
  <c r="AE559" i="1"/>
  <c r="AF559" i="1" s="1"/>
  <c r="AE556" i="1"/>
  <c r="AF556" i="1" s="1"/>
  <c r="AE342" i="1"/>
  <c r="AF342" i="1" s="1"/>
  <c r="AE301" i="1"/>
  <c r="AF301" i="1" s="1"/>
  <c r="AE213" i="1"/>
  <c r="AF213" i="1" s="1"/>
  <c r="AE292" i="1"/>
  <c r="AF292" i="1" s="1"/>
  <c r="AE547" i="1"/>
  <c r="AF547" i="1" s="1"/>
  <c r="AE539" i="1"/>
  <c r="AF539" i="1" s="1"/>
  <c r="AE472" i="1"/>
  <c r="AF472" i="1" s="1"/>
  <c r="AE433" i="1"/>
  <c r="AF433" i="1" s="1"/>
  <c r="AE425" i="1"/>
  <c r="AF425" i="1" s="1"/>
  <c r="AE359" i="1"/>
  <c r="AF359" i="1" s="1"/>
  <c r="AE343" i="1"/>
  <c r="AF343" i="1" s="1"/>
  <c r="AE335" i="1"/>
  <c r="AF335" i="1" s="1"/>
  <c r="AE246" i="1"/>
  <c r="AF246" i="1" s="1"/>
  <c r="AE230" i="1"/>
  <c r="AF230" i="1" s="1"/>
  <c r="AE222" i="1"/>
  <c r="AF222" i="1" s="1"/>
  <c r="AE75" i="1"/>
  <c r="AF75" i="1" s="1"/>
  <c r="AE67" i="1"/>
  <c r="AF67" i="1" s="1"/>
  <c r="AE27" i="1"/>
  <c r="AF27" i="1" s="1"/>
  <c r="AE535" i="1"/>
  <c r="AF535" i="1" s="1"/>
  <c r="AE500" i="1"/>
  <c r="AF500" i="1" s="1"/>
  <c r="AE509" i="1"/>
  <c r="AF509" i="1" s="1"/>
  <c r="AE505" i="1"/>
  <c r="AF505" i="1" s="1"/>
  <c r="AE481" i="1"/>
  <c r="AF481" i="1" s="1"/>
  <c r="AE401" i="1"/>
  <c r="AF401" i="1" s="1"/>
  <c r="AE360" i="1"/>
  <c r="AF360" i="1" s="1"/>
  <c r="AE295" i="1"/>
  <c r="AF295" i="1" s="1"/>
  <c r="AE124" i="1"/>
  <c r="AF124" i="1" s="1"/>
  <c r="AE84" i="1"/>
  <c r="AF84" i="1" s="1"/>
  <c r="AE28" i="1"/>
  <c r="AF28" i="1" s="1"/>
  <c r="AE20" i="1"/>
  <c r="AF20" i="1" s="1"/>
  <c r="AE477" i="1"/>
  <c r="AF477" i="1" s="1"/>
  <c r="AE453" i="1"/>
  <c r="AF453" i="1" s="1"/>
  <c r="AE466" i="1"/>
  <c r="AF466" i="1" s="1"/>
  <c r="AE377" i="1"/>
  <c r="AF377" i="1" s="1"/>
  <c r="AE369" i="1"/>
  <c r="AF369" i="1" s="1"/>
  <c r="AE312" i="1"/>
  <c r="AF312" i="1" s="1"/>
  <c r="AE141" i="1"/>
  <c r="AF141" i="1" s="1"/>
  <c r="AE133" i="1"/>
  <c r="AF133" i="1" s="1"/>
  <c r="AE77" i="1"/>
  <c r="AF77" i="1" s="1"/>
  <c r="AE69" i="1"/>
  <c r="AF69" i="1" s="1"/>
  <c r="AE61" i="1"/>
  <c r="AF61" i="1" s="1"/>
  <c r="AE291" i="1"/>
  <c r="AF291" i="1" s="1"/>
  <c r="AE274" i="1"/>
  <c r="AF274" i="1" s="1"/>
  <c r="AE21" i="1"/>
  <c r="AF21" i="1" s="1"/>
  <c r="AE480" i="1"/>
  <c r="AF480" i="1" s="1"/>
  <c r="AE455" i="1"/>
  <c r="AF455" i="1" s="1"/>
  <c r="AE324" i="1"/>
  <c r="AF324" i="1" s="1"/>
  <c r="AE308" i="1"/>
  <c r="AF308" i="1" s="1"/>
  <c r="AE270" i="1"/>
  <c r="AF270" i="1" s="1"/>
  <c r="AE259" i="1"/>
  <c r="AF259" i="1" s="1"/>
  <c r="AE126" i="1"/>
  <c r="AF126" i="1" s="1"/>
  <c r="AE86" i="1"/>
  <c r="AF86" i="1" s="1"/>
  <c r="AE78" i="1"/>
  <c r="AF78" i="1" s="1"/>
  <c r="AE70" i="1"/>
  <c r="AF70" i="1" s="1"/>
  <c r="AE62" i="1"/>
  <c r="AF62" i="1" s="1"/>
  <c r="AE159" i="1"/>
  <c r="AF159" i="1" s="1"/>
  <c r="AE498" i="1"/>
  <c r="AF498" i="1" s="1"/>
  <c r="AE457" i="1"/>
  <c r="AF457" i="1" s="1"/>
  <c r="AE448" i="1"/>
  <c r="AF448" i="1" s="1"/>
  <c r="AE440" i="1"/>
  <c r="AF440" i="1" s="1"/>
  <c r="AE326" i="1"/>
  <c r="AF326" i="1" s="1"/>
  <c r="AE318" i="1"/>
  <c r="AF318" i="1" s="1"/>
  <c r="AE310" i="1"/>
  <c r="AF310" i="1" s="1"/>
  <c r="AE294" i="1"/>
  <c r="AF294" i="1" s="1"/>
  <c r="AE285" i="1"/>
  <c r="AF285" i="1" s="1"/>
  <c r="AE244" i="1"/>
  <c r="AF244" i="1" s="1"/>
  <c r="AE160" i="1"/>
  <c r="AF160" i="1" s="1"/>
  <c r="AE136" i="1"/>
  <c r="AF136" i="1" s="1"/>
  <c r="AE32" i="1"/>
  <c r="AF32" i="1" s="1"/>
  <c r="AE344" i="1"/>
  <c r="AF344" i="1" s="1"/>
  <c r="AE336" i="1"/>
  <c r="AF336" i="1" s="1"/>
  <c r="AE327" i="1"/>
  <c r="AF327" i="1" s="1"/>
  <c r="AE570" i="1"/>
  <c r="AF570" i="1" s="1"/>
  <c r="AE552" i="1"/>
  <c r="AF552" i="1" s="1"/>
  <c r="AE544" i="1"/>
  <c r="AF544" i="1" s="1"/>
  <c r="AE536" i="1"/>
  <c r="AF536" i="1" s="1"/>
  <c r="AE525" i="1"/>
  <c r="AF525" i="1" s="1"/>
  <c r="AE524" i="1"/>
  <c r="AF524" i="1" s="1"/>
  <c r="AE485" i="1"/>
  <c r="AF485" i="1" s="1"/>
  <c r="AE320" i="1"/>
  <c r="AF320" i="1" s="1"/>
  <c r="AE263" i="1"/>
  <c r="AF263" i="1" s="1"/>
  <c r="AE250" i="1"/>
  <c r="AF250" i="1" s="1"/>
  <c r="AE214" i="1"/>
  <c r="AF214" i="1" s="1"/>
  <c r="AE395" i="1"/>
  <c r="AF395" i="1" s="1"/>
  <c r="AE346" i="1"/>
  <c r="AF346" i="1" s="1"/>
  <c r="AE338" i="1"/>
  <c r="AF338" i="1" s="1"/>
  <c r="AE329" i="1"/>
  <c r="AF329" i="1" s="1"/>
  <c r="AE264" i="1"/>
  <c r="AF264" i="1" s="1"/>
  <c r="AE248" i="1"/>
  <c r="AF248" i="1" s="1"/>
  <c r="AE231" i="1"/>
  <c r="AF231" i="1" s="1"/>
  <c r="AE223" i="1"/>
  <c r="AF223" i="1" s="1"/>
  <c r="AE59" i="1"/>
  <c r="AF59" i="1" s="1"/>
  <c r="AE555" i="1"/>
  <c r="AF555" i="1" s="1"/>
  <c r="AE518" i="1"/>
  <c r="AF518" i="1" s="1"/>
  <c r="AE413" i="1"/>
  <c r="AF413" i="1" s="1"/>
  <c r="AE412" i="1"/>
  <c r="AF412" i="1" s="1"/>
  <c r="AE405" i="1"/>
  <c r="AF405" i="1" s="1"/>
  <c r="AE404" i="1"/>
  <c r="AF404" i="1" s="1"/>
  <c r="AE265" i="1"/>
  <c r="AF265" i="1" s="1"/>
  <c r="AE578" i="1"/>
  <c r="AF578" i="1" s="1"/>
  <c r="AE566" i="1"/>
  <c r="AF566" i="1" s="1"/>
  <c r="AE565" i="1"/>
  <c r="AF565" i="1" s="1"/>
  <c r="AE564" i="1"/>
  <c r="AF564" i="1" s="1"/>
  <c r="AE554" i="1"/>
  <c r="AF554" i="1" s="1"/>
  <c r="AE517" i="1"/>
  <c r="AF517" i="1" s="1"/>
  <c r="AE473" i="1"/>
  <c r="AF473" i="1" s="1"/>
  <c r="AE465" i="1"/>
  <c r="AF465" i="1" s="1"/>
  <c r="AE421" i="1"/>
  <c r="AF421" i="1" s="1"/>
  <c r="AE396" i="1"/>
  <c r="AF396" i="1" s="1"/>
  <c r="AE379" i="1"/>
  <c r="AF379" i="1" s="1"/>
  <c r="AE374" i="1"/>
  <c r="AF374" i="1" s="1"/>
  <c r="AE371" i="1"/>
  <c r="AF371" i="1" s="1"/>
  <c r="AE345" i="1"/>
  <c r="AF345" i="1" s="1"/>
  <c r="AE331" i="1"/>
  <c r="AF331" i="1" s="1"/>
  <c r="AE328" i="1"/>
  <c r="AF328" i="1" s="1"/>
  <c r="AE319" i="1"/>
  <c r="AF319" i="1" s="1"/>
  <c r="AE303" i="1"/>
  <c r="AF303" i="1" s="1"/>
  <c r="AE302" i="1"/>
  <c r="AF302" i="1" s="1"/>
  <c r="AE276" i="1"/>
  <c r="AF276" i="1" s="1"/>
  <c r="AE266" i="1"/>
  <c r="AF266" i="1" s="1"/>
  <c r="AE258" i="1"/>
  <c r="AF258" i="1" s="1"/>
  <c r="AE249" i="1"/>
  <c r="AF249" i="1" s="1"/>
  <c r="AE232" i="1"/>
  <c r="AF232" i="1" s="1"/>
  <c r="AE224" i="1"/>
  <c r="AF224" i="1" s="1"/>
  <c r="AE215" i="1"/>
  <c r="AF215" i="1" s="1"/>
  <c r="AE187" i="1"/>
  <c r="AF187" i="1" s="1"/>
  <c r="AE161" i="1"/>
  <c r="AF161" i="1" s="1"/>
  <c r="AE137" i="1"/>
  <c r="AF137" i="1" s="1"/>
  <c r="AE120" i="1"/>
  <c r="AF120" i="1" s="1"/>
  <c r="AE112" i="1"/>
  <c r="AF112" i="1" s="1"/>
  <c r="AE71" i="1"/>
  <c r="AF71" i="1" s="1"/>
  <c r="AE55" i="1"/>
  <c r="AF55" i="1" s="1"/>
  <c r="AE22" i="1"/>
  <c r="AF22" i="1" s="1"/>
  <c r="AE548" i="1"/>
  <c r="AF548" i="1" s="1"/>
  <c r="AE540" i="1"/>
  <c r="AF540" i="1" s="1"/>
  <c r="AE493" i="1"/>
  <c r="AF493" i="1" s="1"/>
  <c r="AE492" i="1"/>
  <c r="AF492" i="1" s="1"/>
  <c r="AE449" i="1"/>
  <c r="AF449" i="1" s="1"/>
  <c r="AE441" i="1"/>
  <c r="AF441" i="1" s="1"/>
  <c r="AE373" i="1"/>
  <c r="AF373" i="1" s="1"/>
  <c r="AE216" i="1"/>
  <c r="AF216" i="1" s="1"/>
  <c r="AE188" i="1"/>
  <c r="AF188" i="1" s="1"/>
  <c r="AE162" i="1"/>
  <c r="AF162" i="1" s="1"/>
  <c r="AE138" i="1"/>
  <c r="AF138" i="1" s="1"/>
  <c r="AE121" i="1"/>
  <c r="AF121" i="1" s="1"/>
  <c r="AE113" i="1"/>
  <c r="AF113" i="1" s="1"/>
  <c r="AE72" i="1"/>
  <c r="AF72" i="1" s="1"/>
  <c r="AE56" i="1"/>
  <c r="AF56" i="1" s="1"/>
  <c r="AE24" i="1"/>
  <c r="AF24" i="1" s="1"/>
  <c r="AE23" i="1"/>
  <c r="AF23" i="1" s="1"/>
  <c r="AE582" i="1"/>
  <c r="AF582" i="1" s="1"/>
  <c r="AE558" i="1"/>
  <c r="AF558" i="1" s="1"/>
  <c r="AE519" i="1"/>
  <c r="AF519" i="1" s="1"/>
  <c r="AE501" i="1"/>
  <c r="AF501" i="1" s="1"/>
  <c r="AE389" i="1"/>
  <c r="AF389" i="1" s="1"/>
  <c r="AE381" i="1"/>
  <c r="AF381" i="1" s="1"/>
  <c r="AE339" i="1"/>
  <c r="AF339" i="1" s="1"/>
  <c r="AE330" i="1"/>
  <c r="AF330" i="1" s="1"/>
  <c r="AE313" i="1"/>
  <c r="AF313" i="1" s="1"/>
  <c r="AE296" i="1"/>
  <c r="AF296" i="1" s="1"/>
  <c r="AE286" i="1"/>
  <c r="AF286" i="1" s="1"/>
  <c r="AE278" i="1"/>
  <c r="AF278" i="1" s="1"/>
  <c r="AE269" i="1"/>
  <c r="AF269" i="1" s="1"/>
  <c r="AE260" i="1"/>
  <c r="AF260" i="1" s="1"/>
  <c r="AE242" i="1"/>
  <c r="AF242" i="1" s="1"/>
  <c r="AE189" i="1"/>
  <c r="AF189" i="1" s="1"/>
  <c r="AE139" i="1"/>
  <c r="AF139" i="1" s="1"/>
  <c r="AE131" i="1"/>
  <c r="AF131" i="1" s="1"/>
  <c r="AE122" i="1"/>
  <c r="AF122" i="1" s="1"/>
  <c r="AE114" i="1"/>
  <c r="AF114" i="1" s="1"/>
  <c r="AE73" i="1"/>
  <c r="AF73" i="1" s="1"/>
  <c r="AE57" i="1"/>
  <c r="AF57" i="1" s="1"/>
  <c r="AE36" i="1"/>
  <c r="AF36" i="1" s="1"/>
  <c r="AE33" i="1"/>
  <c r="AF33" i="1" s="1"/>
  <c r="AE579" i="1"/>
  <c r="AF579" i="1" s="1"/>
  <c r="AE513" i="1"/>
  <c r="AF513" i="1" s="1"/>
  <c r="AE512" i="1"/>
  <c r="AF512" i="1" s="1"/>
  <c r="AE468" i="1"/>
  <c r="AF468" i="1" s="1"/>
  <c r="AE461" i="1"/>
  <c r="AF461" i="1" s="1"/>
  <c r="AE460" i="1"/>
  <c r="AF460" i="1" s="1"/>
  <c r="AE434" i="1"/>
  <c r="AF434" i="1" s="1"/>
  <c r="AE357" i="1"/>
  <c r="AF357" i="1" s="1"/>
  <c r="AE340" i="1"/>
  <c r="AF340" i="1" s="1"/>
  <c r="AE317" i="1"/>
  <c r="AF317" i="1" s="1"/>
  <c r="AE298" i="1"/>
  <c r="AF298" i="1" s="1"/>
  <c r="AE297" i="1"/>
  <c r="AF297" i="1" s="1"/>
  <c r="AE279" i="1"/>
  <c r="AF279" i="1" s="1"/>
  <c r="AE254" i="1"/>
  <c r="AF254" i="1" s="1"/>
  <c r="AE253" i="1"/>
  <c r="AF253" i="1" s="1"/>
  <c r="AE243" i="1"/>
  <c r="AF243" i="1" s="1"/>
  <c r="AE190" i="1"/>
  <c r="AF190" i="1" s="1"/>
  <c r="AE140" i="1"/>
  <c r="AF140" i="1" s="1"/>
  <c r="AE132" i="1"/>
  <c r="AF132" i="1" s="1"/>
  <c r="AE123" i="1"/>
  <c r="AF123" i="1" s="1"/>
  <c r="AE83" i="1"/>
  <c r="AF83" i="1" s="1"/>
  <c r="AE74" i="1"/>
  <c r="AF74" i="1" s="1"/>
  <c r="AE58" i="1"/>
  <c r="AF58" i="1" s="1"/>
  <c r="AE34" i="1"/>
  <c r="AF34" i="1" s="1"/>
  <c r="AE580" i="1"/>
  <c r="AF580" i="1" s="1"/>
  <c r="AE576" i="1"/>
  <c r="AF576" i="1" s="1"/>
  <c r="AE521" i="1"/>
  <c r="AF521" i="1" s="1"/>
  <c r="AE504" i="1"/>
  <c r="AF504" i="1" s="1"/>
  <c r="AE487" i="1"/>
  <c r="AF487" i="1" s="1"/>
  <c r="AE469" i="1"/>
  <c r="AF469" i="1" s="1"/>
  <c r="AE426" i="1"/>
  <c r="AF426" i="1" s="1"/>
  <c r="AE417" i="1"/>
  <c r="AF417" i="1" s="1"/>
  <c r="AE409" i="1"/>
  <c r="AF409" i="1" s="1"/>
  <c r="AE358" i="1"/>
  <c r="AF358" i="1" s="1"/>
  <c r="AE323" i="1"/>
  <c r="AF323" i="1" s="1"/>
  <c r="AE306" i="1"/>
  <c r="AF306" i="1" s="1"/>
  <c r="AE280" i="1"/>
  <c r="AF280" i="1" s="1"/>
  <c r="AE262" i="1"/>
  <c r="AF262" i="1" s="1"/>
  <c r="AE35" i="1"/>
  <c r="AF35" i="1" s="1"/>
  <c r="AE581" i="1"/>
  <c r="AF581" i="1" s="1"/>
  <c r="AE574" i="1"/>
  <c r="AF574" i="1" s="1"/>
  <c r="AE573" i="1"/>
  <c r="AF573" i="1" s="1"/>
  <c r="AE572" i="1"/>
  <c r="AF572" i="1" s="1"/>
  <c r="AE437" i="1"/>
  <c r="AF437" i="1" s="1"/>
  <c r="AE436" i="1"/>
  <c r="AF436" i="1" s="1"/>
  <c r="AE427" i="1"/>
  <c r="AF427" i="1" s="1"/>
  <c r="AE410" i="1"/>
  <c r="AF410" i="1" s="1"/>
  <c r="AE402" i="1"/>
  <c r="AF402" i="1" s="1"/>
  <c r="AE229" i="1"/>
  <c r="AF229" i="1" s="1"/>
  <c r="AE221" i="1"/>
  <c r="AF221" i="1" s="1"/>
  <c r="AE142" i="1"/>
  <c r="AF142" i="1" s="1"/>
  <c r="AE134" i="1"/>
  <c r="AF134" i="1" s="1"/>
  <c r="AE125" i="1"/>
  <c r="AF125" i="1" s="1"/>
  <c r="AE85" i="1"/>
  <c r="AF85" i="1" s="1"/>
  <c r="AE76" i="1"/>
  <c r="AF76" i="1" s="1"/>
  <c r="AE68" i="1"/>
  <c r="AF68" i="1" s="1"/>
  <c r="AE60" i="1"/>
  <c r="AF60" i="1" s="1"/>
  <c r="AE577" i="1"/>
  <c r="AF577" i="1" s="1"/>
  <c r="AE497" i="1"/>
  <c r="AF497" i="1" s="1"/>
  <c r="AE489" i="1"/>
  <c r="AF489" i="1" s="1"/>
  <c r="AE429" i="1"/>
  <c r="AF429" i="1" s="1"/>
  <c r="AE397" i="1"/>
  <c r="AF397" i="1" s="1"/>
  <c r="AE282" i="1"/>
  <c r="AF282" i="1" s="1"/>
  <c r="AE551" i="1"/>
  <c r="AF551" i="1" s="1"/>
  <c r="AE549" i="1"/>
  <c r="AF549" i="1" s="1"/>
  <c r="AE520" i="1"/>
  <c r="AF520" i="1" s="1"/>
  <c r="AE496" i="1"/>
  <c r="AF496" i="1" s="1"/>
  <c r="AE471" i="1"/>
  <c r="AF471" i="1" s="1"/>
  <c r="AE444" i="1"/>
  <c r="AF444" i="1" s="1"/>
  <c r="AE416" i="1"/>
  <c r="AF416" i="1" s="1"/>
  <c r="AE415" i="1"/>
  <c r="AF415" i="1" s="1"/>
  <c r="AE384" i="1"/>
  <c r="AF384" i="1" s="1"/>
  <c r="AE383" i="1"/>
  <c r="AF383" i="1" s="1"/>
  <c r="AE370" i="1"/>
  <c r="AF370" i="1" s="1"/>
  <c r="AE341" i="1"/>
  <c r="AF341" i="1" s="1"/>
  <c r="AE321" i="1"/>
  <c r="AF321" i="1" s="1"/>
  <c r="AE305" i="1"/>
  <c r="AF305" i="1" s="1"/>
  <c r="AE304" i="1"/>
  <c r="AF304" i="1" s="1"/>
  <c r="AE284" i="1"/>
  <c r="AF284" i="1" s="1"/>
  <c r="AE283" i="1"/>
  <c r="AF283" i="1" s="1"/>
  <c r="AE261" i="1"/>
  <c r="AF261" i="1" s="1"/>
  <c r="AE241" i="1"/>
  <c r="AF241" i="1" s="1"/>
  <c r="AE240" i="1"/>
  <c r="AF240" i="1" s="1"/>
  <c r="AE239" i="1"/>
  <c r="AF239" i="1" s="1"/>
  <c r="AE238" i="1"/>
  <c r="AF238" i="1" s="1"/>
  <c r="AE237" i="1"/>
  <c r="AF237" i="1" s="1"/>
  <c r="AE236" i="1"/>
  <c r="AF236" i="1" s="1"/>
  <c r="AE235" i="1"/>
  <c r="AF235" i="1" s="1"/>
  <c r="AE234" i="1"/>
  <c r="AF234" i="1" s="1"/>
  <c r="AE233" i="1"/>
  <c r="AF233" i="1" s="1"/>
  <c r="AE225" i="1"/>
  <c r="AF225" i="1" s="1"/>
  <c r="AE543" i="1"/>
  <c r="AF543" i="1" s="1"/>
  <c r="AE516" i="1"/>
  <c r="AF516" i="1" s="1"/>
  <c r="AE514" i="1"/>
  <c r="AF514" i="1" s="1"/>
  <c r="AE488" i="1"/>
  <c r="AF488" i="1" s="1"/>
  <c r="AE464" i="1"/>
  <c r="AF464" i="1" s="1"/>
  <c r="AE439" i="1"/>
  <c r="AF439" i="1" s="1"/>
  <c r="AE408" i="1"/>
  <c r="AF408" i="1" s="1"/>
  <c r="AE406" i="1"/>
  <c r="AF406" i="1" s="1"/>
  <c r="AE376" i="1"/>
  <c r="AF376" i="1" s="1"/>
  <c r="AE337" i="1"/>
  <c r="AF337" i="1" s="1"/>
  <c r="AE311" i="1"/>
  <c r="AF311" i="1" s="1"/>
  <c r="AE300" i="1"/>
  <c r="AF300" i="1" s="1"/>
  <c r="AE299" i="1"/>
  <c r="AF299" i="1" s="1"/>
  <c r="AE277" i="1"/>
  <c r="AF277" i="1" s="1"/>
  <c r="AE257" i="1"/>
  <c r="AF257" i="1" s="1"/>
  <c r="AE256" i="1"/>
  <c r="AF256" i="1" s="1"/>
  <c r="AE255" i="1"/>
  <c r="AF255" i="1" s="1"/>
  <c r="AE247" i="1"/>
  <c r="AF247" i="1" s="1"/>
  <c r="AE228" i="1"/>
  <c r="AF228" i="1" s="1"/>
  <c r="AE227" i="1"/>
  <c r="AF227" i="1" s="1"/>
  <c r="AE226" i="1"/>
  <c r="AF226" i="1" s="1"/>
  <c r="AE354" i="1"/>
  <c r="AF354" i="1" s="1"/>
  <c r="AE538" i="1"/>
  <c r="AF538" i="1" s="1"/>
  <c r="AE537" i="1"/>
  <c r="AF537" i="1" s="1"/>
  <c r="AE508" i="1"/>
  <c r="AF508" i="1" s="1"/>
  <c r="AE484" i="1"/>
  <c r="AF484" i="1" s="1"/>
  <c r="AE482" i="1"/>
  <c r="AF482" i="1" s="1"/>
  <c r="AE456" i="1"/>
  <c r="AF456" i="1" s="1"/>
  <c r="AE432" i="1"/>
  <c r="AF432" i="1" s="1"/>
  <c r="AE400" i="1"/>
  <c r="AF400" i="1" s="1"/>
  <c r="AE368" i="1"/>
  <c r="AF368" i="1" s="1"/>
  <c r="AE363" i="1"/>
  <c r="AF363" i="1" s="1"/>
  <c r="AE362" i="1"/>
  <c r="AF362" i="1" s="1"/>
  <c r="AE361" i="1"/>
  <c r="AF361" i="1" s="1"/>
  <c r="AE333" i="1"/>
  <c r="AF333" i="1" s="1"/>
  <c r="AE332" i="1"/>
  <c r="AF332" i="1" s="1"/>
  <c r="AE316" i="1"/>
  <c r="AF316" i="1" s="1"/>
  <c r="AE315" i="1"/>
  <c r="AF315" i="1" s="1"/>
  <c r="AE307" i="1"/>
  <c r="AF307" i="1" s="1"/>
  <c r="AE293" i="1"/>
  <c r="AF293" i="1" s="1"/>
  <c r="AE273" i="1"/>
  <c r="AF273" i="1" s="1"/>
  <c r="AE272" i="1"/>
  <c r="AF272" i="1" s="1"/>
  <c r="AE271" i="1"/>
  <c r="AF271" i="1" s="1"/>
  <c r="AE252" i="1"/>
  <c r="AF252" i="1" s="1"/>
  <c r="AE251" i="1"/>
  <c r="AF251" i="1" s="1"/>
  <c r="AE220" i="1"/>
  <c r="AF220" i="1" s="1"/>
  <c r="AE219" i="1"/>
  <c r="AF219" i="1" s="1"/>
  <c r="AE218" i="1"/>
  <c r="AF218" i="1" s="1"/>
  <c r="AE217" i="1"/>
  <c r="AF217" i="1" s="1"/>
  <c r="AE382" i="1"/>
  <c r="AF382" i="1" s="1"/>
  <c r="AE503" i="1"/>
  <c r="AF503" i="1" s="1"/>
  <c r="AE502" i="1"/>
  <c r="AF502" i="1" s="1"/>
  <c r="AE476" i="1"/>
  <c r="AF476" i="1" s="1"/>
  <c r="AE452" i="1"/>
  <c r="AF452" i="1" s="1"/>
  <c r="AE450" i="1"/>
  <c r="AF450" i="1" s="1"/>
  <c r="AE424" i="1"/>
  <c r="AF424" i="1" s="1"/>
  <c r="AE392" i="1"/>
  <c r="AF392" i="1" s="1"/>
  <c r="AE378" i="1"/>
  <c r="AF378" i="1" s="1"/>
  <c r="AE356" i="1"/>
  <c r="AF356" i="1" s="1"/>
  <c r="AE355" i="1"/>
  <c r="AF355" i="1" s="1"/>
  <c r="AE353" i="1"/>
  <c r="AF353" i="1" s="1"/>
  <c r="AE352" i="1"/>
  <c r="AF352" i="1" s="1"/>
  <c r="AE351" i="1"/>
  <c r="AF351" i="1" s="1"/>
  <c r="AE350" i="1"/>
  <c r="AF350" i="1" s="1"/>
  <c r="AE349" i="1"/>
  <c r="AF349" i="1" s="1"/>
  <c r="AE348" i="1"/>
  <c r="AF348" i="1" s="1"/>
  <c r="AE347" i="1"/>
  <c r="AF347" i="1" s="1"/>
  <c r="AE325" i="1"/>
  <c r="AF325" i="1" s="1"/>
  <c r="AE309" i="1"/>
  <c r="AF309" i="1" s="1"/>
  <c r="AE289" i="1"/>
  <c r="AF289" i="1" s="1"/>
  <c r="AE288" i="1"/>
  <c r="AF288" i="1" s="1"/>
  <c r="AE287" i="1"/>
  <c r="AF287" i="1" s="1"/>
  <c r="AE268" i="1"/>
  <c r="AF268" i="1" s="1"/>
  <c r="AE267" i="1"/>
  <c r="AF267" i="1" s="1"/>
  <c r="AE245" i="1"/>
  <c r="AF245" i="1" s="1"/>
  <c r="AE212" i="1"/>
  <c r="AF212" i="1" s="1"/>
  <c r="AE211" i="1"/>
  <c r="AF211" i="1" s="1"/>
  <c r="AE210" i="1"/>
  <c r="AF210" i="1" s="1"/>
  <c r="AE209" i="1"/>
  <c r="AF209" i="1" s="1"/>
  <c r="AE208" i="1"/>
  <c r="AF208" i="1" s="1"/>
  <c r="AE207" i="1"/>
  <c r="AF207" i="1" s="1"/>
  <c r="AE206" i="1"/>
  <c r="AF206" i="1" s="1"/>
  <c r="AE205" i="1"/>
  <c r="AF205" i="1" s="1"/>
  <c r="AE174" i="1"/>
  <c r="AF174" i="1" s="1"/>
  <c r="AE173" i="1"/>
  <c r="AF173" i="1" s="1"/>
  <c r="AE172" i="1"/>
  <c r="AF172" i="1" s="1"/>
  <c r="AE171" i="1"/>
  <c r="AF171" i="1" s="1"/>
  <c r="AE170" i="1"/>
  <c r="AF170" i="1" s="1"/>
  <c r="AE169" i="1"/>
  <c r="AF169" i="1" s="1"/>
  <c r="AE168" i="1"/>
  <c r="AF168" i="1" s="1"/>
  <c r="AE167" i="1"/>
  <c r="AF167" i="1" s="1"/>
  <c r="AE166" i="1"/>
  <c r="AF166" i="1" s="1"/>
  <c r="AE165" i="1"/>
  <c r="AF165" i="1" s="1"/>
  <c r="AE164" i="1"/>
  <c r="AF164" i="1" s="1"/>
  <c r="AE163" i="1"/>
  <c r="AF163" i="1" s="1"/>
  <c r="AE118" i="1"/>
  <c r="AF118" i="1" s="1"/>
  <c r="AE117" i="1"/>
  <c r="AF117" i="1" s="1"/>
  <c r="AE116" i="1"/>
  <c r="AF116" i="1" s="1"/>
  <c r="AE115" i="1"/>
  <c r="AF115" i="1" s="1"/>
  <c r="AE66" i="1"/>
  <c r="AF66" i="1" s="1"/>
  <c r="AE65" i="1"/>
  <c r="AF65" i="1" s="1"/>
  <c r="AE64" i="1"/>
  <c r="AF64" i="1" s="1"/>
  <c r="AE63" i="1"/>
  <c r="AF63" i="1" s="1"/>
  <c r="AE26" i="1"/>
  <c r="AF26" i="1" s="1"/>
  <c r="AE25" i="1"/>
  <c r="AF25" i="1" s="1"/>
  <c r="AE158" i="1"/>
  <c r="AF158" i="1" s="1"/>
  <c r="AE157" i="1"/>
  <c r="AF157" i="1" s="1"/>
  <c r="AE156" i="1"/>
  <c r="AF156" i="1" s="1"/>
  <c r="AE155" i="1"/>
  <c r="AF155" i="1" s="1"/>
  <c r="AE154" i="1"/>
  <c r="AF154" i="1" s="1"/>
  <c r="AE153" i="1"/>
  <c r="AF153" i="1" s="1"/>
  <c r="AE152" i="1"/>
  <c r="AF152" i="1" s="1"/>
  <c r="AE151" i="1"/>
  <c r="AF151" i="1" s="1"/>
  <c r="AE110" i="1"/>
  <c r="AF110" i="1" s="1"/>
  <c r="AE109" i="1"/>
  <c r="AF109" i="1" s="1"/>
  <c r="AE108" i="1"/>
  <c r="AF108" i="1" s="1"/>
  <c r="AE107" i="1"/>
  <c r="AF107" i="1" s="1"/>
  <c r="AE106" i="1"/>
  <c r="AF106" i="1" s="1"/>
  <c r="AE105" i="1"/>
  <c r="AF105" i="1" s="1"/>
  <c r="AE104" i="1"/>
  <c r="AF104" i="1" s="1"/>
  <c r="AE103" i="1"/>
  <c r="AF103" i="1" s="1"/>
  <c r="AE102" i="1"/>
  <c r="AF102" i="1" s="1"/>
  <c r="AE101" i="1"/>
  <c r="AF101" i="1" s="1"/>
  <c r="AE100" i="1"/>
  <c r="AF100" i="1" s="1"/>
  <c r="AE99" i="1"/>
  <c r="AF99" i="1" s="1"/>
  <c r="AE54" i="1"/>
  <c r="AF54" i="1" s="1"/>
  <c r="AE53" i="1"/>
  <c r="AF53" i="1" s="1"/>
  <c r="AE52" i="1"/>
  <c r="AF52" i="1" s="1"/>
  <c r="AE51" i="1"/>
  <c r="AF51" i="1" s="1"/>
  <c r="AE19" i="1"/>
  <c r="AF19" i="1" s="1"/>
  <c r="AE150" i="1"/>
  <c r="AF150" i="1" s="1"/>
  <c r="AE149" i="1"/>
  <c r="AF149" i="1" s="1"/>
  <c r="AE148" i="1"/>
  <c r="AF148" i="1" s="1"/>
  <c r="AE147" i="1"/>
  <c r="AF147" i="1" s="1"/>
  <c r="AE98" i="1"/>
  <c r="AF98" i="1" s="1"/>
  <c r="AE97" i="1"/>
  <c r="AF97" i="1" s="1"/>
  <c r="AE96" i="1"/>
  <c r="AF96" i="1" s="1"/>
  <c r="AE95" i="1"/>
  <c r="AF95" i="1" s="1"/>
  <c r="AE50" i="1"/>
  <c r="AF50" i="1" s="1"/>
  <c r="AE49" i="1"/>
  <c r="AF49" i="1" s="1"/>
  <c r="AE48" i="1"/>
  <c r="AF48" i="1" s="1"/>
  <c r="AE47" i="1"/>
  <c r="AF47" i="1" s="1"/>
  <c r="AE40" i="1"/>
  <c r="AF40" i="1" s="1"/>
  <c r="AE18" i="1"/>
  <c r="AF18" i="1" s="1"/>
  <c r="AE17" i="1"/>
  <c r="AF17" i="1" s="1"/>
  <c r="AE194" i="1"/>
  <c r="AF194" i="1" s="1"/>
  <c r="AE193" i="1"/>
  <c r="AF193" i="1" s="1"/>
  <c r="AE192" i="1"/>
  <c r="AF192" i="1" s="1"/>
  <c r="AE191" i="1"/>
  <c r="AF191" i="1" s="1"/>
  <c r="AE146" i="1"/>
  <c r="AF146" i="1" s="1"/>
  <c r="AE145" i="1"/>
  <c r="AF145" i="1" s="1"/>
  <c r="AE144" i="1"/>
  <c r="AF144" i="1" s="1"/>
  <c r="AE143" i="1"/>
  <c r="AF143" i="1" s="1"/>
  <c r="AE94" i="1"/>
  <c r="AF94" i="1" s="1"/>
  <c r="AE93" i="1"/>
  <c r="AF93" i="1" s="1"/>
  <c r="AE92" i="1"/>
  <c r="AF92" i="1" s="1"/>
  <c r="AE91" i="1"/>
  <c r="AF91" i="1" s="1"/>
  <c r="AE90" i="1"/>
  <c r="AF90" i="1" s="1"/>
  <c r="AE89" i="1"/>
  <c r="AF89" i="1" s="1"/>
  <c r="AE88" i="1"/>
  <c r="AF88" i="1" s="1"/>
  <c r="AE87" i="1"/>
  <c r="AF8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39" i="1"/>
  <c r="AF39" i="1" s="1"/>
  <c r="AE38" i="1"/>
  <c r="AF38" i="1" s="1"/>
  <c r="AE37" i="1"/>
  <c r="AF37" i="1" s="1"/>
  <c r="AE186" i="1"/>
  <c r="AF186" i="1" s="1"/>
  <c r="AE185" i="1"/>
  <c r="AF185" i="1" s="1"/>
  <c r="AE184" i="1"/>
  <c r="AF184" i="1" s="1"/>
  <c r="AE183" i="1"/>
  <c r="AF183" i="1" s="1"/>
  <c r="AE182" i="1"/>
  <c r="AF182" i="1" s="1"/>
  <c r="AE181" i="1"/>
  <c r="AF181" i="1" s="1"/>
  <c r="AE180" i="1"/>
  <c r="AF180" i="1" s="1"/>
  <c r="AE179" i="1"/>
  <c r="AF179" i="1" s="1"/>
  <c r="AE178" i="1"/>
  <c r="AF178" i="1" s="1"/>
  <c r="AE177" i="1"/>
  <c r="AF177" i="1" s="1"/>
  <c r="AE176" i="1"/>
  <c r="AF176" i="1" s="1"/>
  <c r="AE130" i="1"/>
  <c r="AF130" i="1" s="1"/>
  <c r="AE129" i="1"/>
  <c r="AF129" i="1" s="1"/>
  <c r="AE128" i="1"/>
  <c r="AF128" i="1" s="1"/>
  <c r="AE127" i="1"/>
  <c r="AF127" i="1" s="1"/>
  <c r="AE82" i="1"/>
  <c r="AF82" i="1" s="1"/>
  <c r="AE81" i="1"/>
  <c r="AF81" i="1" s="1"/>
  <c r="AE80" i="1"/>
  <c r="AF80" i="1" s="1"/>
  <c r="AE79" i="1"/>
  <c r="AF79" i="1" s="1"/>
  <c r="AE31" i="1"/>
  <c r="AF31" i="1" s="1"/>
  <c r="AE30" i="1"/>
  <c r="AF30" i="1" s="1"/>
  <c r="AE29" i="1"/>
  <c r="AF29" i="1" s="1"/>
  <c r="AE550" i="1"/>
  <c r="AF550" i="1" s="1"/>
  <c r="AE515" i="1"/>
  <c r="AF515" i="1" s="1"/>
  <c r="AE499" i="1"/>
  <c r="AF499" i="1" s="1"/>
  <c r="AE483" i="1"/>
  <c r="AF483" i="1" s="1"/>
  <c r="AE467" i="1"/>
  <c r="AF467" i="1" s="1"/>
  <c r="AE451" i="1"/>
  <c r="AF451" i="1" s="1"/>
  <c r="AE435" i="1"/>
  <c r="AF435" i="1" s="1"/>
  <c r="AE407" i="1"/>
  <c r="AF407" i="1" s="1"/>
  <c r="AE375" i="1"/>
  <c r="AF375" i="1" s="1"/>
  <c r="AE546" i="1"/>
  <c r="AF546" i="1" s="1"/>
  <c r="AE545" i="1"/>
  <c r="AF545" i="1" s="1"/>
  <c r="AE526" i="1"/>
  <c r="AF526" i="1" s="1"/>
  <c r="AE511" i="1"/>
  <c r="AF511" i="1" s="1"/>
  <c r="AE510" i="1"/>
  <c r="AF510" i="1" s="1"/>
  <c r="AE495" i="1"/>
  <c r="AF495" i="1" s="1"/>
  <c r="AE494" i="1"/>
  <c r="AF494" i="1" s="1"/>
  <c r="AE479" i="1"/>
  <c r="AF479" i="1" s="1"/>
  <c r="AE478" i="1"/>
  <c r="AF478" i="1" s="1"/>
  <c r="AE463" i="1"/>
  <c r="AF463" i="1" s="1"/>
  <c r="AE462" i="1"/>
  <c r="AF462" i="1" s="1"/>
  <c r="AE447" i="1"/>
  <c r="AF447" i="1" s="1"/>
  <c r="AE446" i="1"/>
  <c r="AF446" i="1" s="1"/>
  <c r="AE431" i="1"/>
  <c r="AF431" i="1" s="1"/>
  <c r="AE430" i="1"/>
  <c r="AF430" i="1" s="1"/>
  <c r="AE399" i="1"/>
  <c r="AF399" i="1" s="1"/>
  <c r="AE398" i="1"/>
  <c r="AF398" i="1" s="1"/>
  <c r="AE367" i="1"/>
  <c r="AF367" i="1" s="1"/>
  <c r="AE366" i="1"/>
  <c r="AF366" i="1" s="1"/>
  <c r="AE557" i="1"/>
  <c r="AF557" i="1" s="1"/>
  <c r="AE542" i="1"/>
  <c r="AF542" i="1" s="1"/>
  <c r="AE541" i="1"/>
  <c r="AF541" i="1" s="1"/>
  <c r="AE523" i="1"/>
  <c r="AF523" i="1" s="1"/>
  <c r="AE522" i="1"/>
  <c r="AF522" i="1" s="1"/>
  <c r="AE507" i="1"/>
  <c r="AF507" i="1" s="1"/>
  <c r="AE506" i="1"/>
  <c r="AF506" i="1" s="1"/>
  <c r="AE491" i="1"/>
  <c r="AF491" i="1" s="1"/>
  <c r="AE490" i="1"/>
  <c r="AF490" i="1" s="1"/>
  <c r="AE475" i="1"/>
  <c r="AF475" i="1" s="1"/>
  <c r="AE474" i="1"/>
  <c r="AF474" i="1" s="1"/>
  <c r="AE459" i="1"/>
  <c r="AF459" i="1" s="1"/>
  <c r="AE458" i="1"/>
  <c r="AF458" i="1" s="1"/>
  <c r="AE443" i="1"/>
  <c r="AF443" i="1" s="1"/>
  <c r="AE442" i="1"/>
  <c r="AF442" i="1" s="1"/>
  <c r="AE423" i="1"/>
  <c r="AF423" i="1" s="1"/>
  <c r="AE422" i="1"/>
  <c r="AF422" i="1" s="1"/>
  <c r="AE391" i="1"/>
  <c r="AF391" i="1" s="1"/>
  <c r="AE390" i="1"/>
  <c r="AF390" i="1" s="1"/>
  <c r="AE419" i="1"/>
  <c r="AF419" i="1" s="1"/>
  <c r="AE418" i="1"/>
  <c r="AF418" i="1" s="1"/>
  <c r="AE387" i="1"/>
  <c r="AF387" i="1" s="1"/>
  <c r="AE386" i="1"/>
  <c r="AF386" i="1" s="1"/>
  <c r="AE486" i="1"/>
  <c r="AF486" i="1" s="1"/>
  <c r="AE470" i="1"/>
  <c r="AF470" i="1" s="1"/>
  <c r="AE454" i="1"/>
  <c r="AF454" i="1" s="1"/>
  <c r="AE438" i="1"/>
  <c r="AF438" i="1" s="1"/>
  <c r="AE414" i="1"/>
  <c r="AF414" i="1" s="1"/>
  <c r="AE365" i="1"/>
  <c r="AF365" i="1" s="1"/>
  <c r="AE364" i="1"/>
  <c r="AF364" i="1" s="1"/>
  <c r="AE16" i="1"/>
  <c r="AF16" i="1" s="1"/>
  <c r="AE13" i="1"/>
  <c r="AF13" i="1" s="1"/>
  <c r="AE14" i="1"/>
  <c r="AF14" i="1" s="1"/>
  <c r="AE12" i="1"/>
  <c r="AF12" i="1" s="1"/>
  <c r="AE15" i="1"/>
  <c r="AF15" i="1" s="1"/>
  <c r="AE11" i="1"/>
  <c r="AF11" i="1" s="1"/>
  <c r="AY5" i="1" l="1"/>
  <c r="AY6" i="1"/>
  <c r="C583" i="1"/>
  <c r="C5" i="1"/>
  <c r="C4" i="1"/>
  <c r="A1" i="1"/>
  <c r="BA2" i="1" s="1"/>
  <c r="AY583" i="1" l="1"/>
  <c r="AV583" i="1"/>
  <c r="AR583" i="1"/>
  <c r="AO583" i="1"/>
  <c r="AL583" i="1"/>
  <c r="AI583" i="1"/>
  <c r="A583" i="1"/>
  <c r="AY10" i="1"/>
  <c r="AV10" i="1"/>
  <c r="AR10" i="1"/>
  <c r="AO10" i="1"/>
  <c r="AL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R2" i="1"/>
  <c r="AE583" i="1"/>
  <c r="AF583" i="1" s="1"/>
  <c r="AV2" i="1"/>
  <c r="AY2" i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4" i="1"/>
  <c r="AF4" i="1" s="1"/>
</calcChain>
</file>

<file path=xl/sharedStrings.xml><?xml version="1.0" encoding="utf-8"?>
<sst xmlns="http://schemas.openxmlformats.org/spreadsheetml/2006/main" count="7227" uniqueCount="1401">
  <si>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</si>
  <si>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</si>
  <si>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</si>
  <si>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</si>
  <si>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</si>
  <si>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</si>
  <si>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</si>
  <si>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</si>
  <si>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</si>
  <si>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</si>
  <si>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</si>
  <si>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</si>
  <si>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</si>
  <si>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</si>
  <si>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</si>
  <si>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</si>
  <si>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</si>
  <si>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</si>
  <si>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</si>
  <si>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</si>
  <si>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</si>
  <si>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</si>
  <si>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</si>
  <si>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</si>
  <si>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</si>
  <si>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</si>
  <si>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</si>
  <si>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</si>
  <si>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</si>
  <si>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</si>
  <si>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</si>
  <si>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</si>
  <si>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</si>
  <si>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</si>
  <si>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</si>
  <si>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</si>
  <si>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</si>
  <si>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</si>
  <si>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</si>
  <si>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</si>
  <si>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</si>
  <si>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</si>
  <si>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</si>
  <si>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</si>
  <si>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</si>
  <si>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</si>
  <si>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</si>
  <si>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</si>
  <si>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</si>
  <si>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</si>
  <si>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</si>
  <si>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</si>
  <si>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</si>
  <si>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</si>
  <si>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</si>
  <si>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</si>
  <si>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</si>
  <si>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</si>
  <si>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</si>
  <si>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</si>
  <si>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</si>
  <si>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</si>
  <si>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</si>
  <si>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</si>
  <si>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</si>
  <si>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</si>
  <si>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</si>
  <si>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</si>
  <si>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</si>
  <si>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B272-400-AS-390-TP-001</t>
  </si>
  <si>
    <t>390-TP-001</t>
  </si>
  <si>
    <t>TEMPLATE</t>
  </si>
  <si>
    <t>B272-400-AS-390-TP-002</t>
  </si>
  <si>
    <t>390-TP-002</t>
  </si>
  <si>
    <t>B272-400-AS-390-TP-003</t>
  </si>
  <si>
    <t>390-TP-003</t>
  </si>
  <si>
    <t>Shipment 1</t>
  </si>
  <si>
    <t>B272</t>
  </si>
  <si>
    <t>B272-400</t>
  </si>
  <si>
    <t>B272-400-ADCL-001</t>
  </si>
  <si>
    <t>A</t>
  </si>
  <si>
    <t>B272-400-APL-001</t>
  </si>
  <si>
    <t>400 Template</t>
  </si>
  <si>
    <t>B272-</t>
  </si>
  <si>
    <t>B272-Template-001</t>
  </si>
  <si>
    <t>PAC</t>
  </si>
  <si>
    <t>B272-001</t>
  </si>
  <si>
    <t>B272-400-AS-390-TP-004</t>
  </si>
  <si>
    <t>TEM PLATE</t>
  </si>
  <si>
    <t>390-TP-004</t>
  </si>
  <si>
    <t>B272-400-AS-010-RF-001</t>
  </si>
  <si>
    <t>010-RF-001</t>
  </si>
  <si>
    <t>RADIANT FLOOR</t>
  </si>
  <si>
    <t>B272-400-AS-010-RF-002</t>
  </si>
  <si>
    <t>010-RF-002</t>
  </si>
  <si>
    <t>B272-400-AS-010-RF-003</t>
  </si>
  <si>
    <t>010-RF-003</t>
  </si>
  <si>
    <t>B272-400-AS-010-RF-004</t>
  </si>
  <si>
    <t>010-RF-004</t>
  </si>
  <si>
    <t>B272-400-AS-010-RF-005</t>
  </si>
  <si>
    <t>010-RF-005</t>
  </si>
  <si>
    <t>B272-400-AS-010-RF-006</t>
  </si>
  <si>
    <t>010-RF-006</t>
  </si>
  <si>
    <t>B272-400-AS-010-RF-007</t>
  </si>
  <si>
    <t>010-RF-007</t>
  </si>
  <si>
    <t>B272-400-AS-010-RF-008</t>
  </si>
  <si>
    <t>010-RF-008</t>
  </si>
  <si>
    <t>B272-400-AS-010-RF-009</t>
  </si>
  <si>
    <t>010-RF-009</t>
  </si>
  <si>
    <t>B272-400-AS-010-RF-010</t>
  </si>
  <si>
    <t>010-RF-010</t>
  </si>
  <si>
    <t>B272-400-AS-010-RF-011</t>
  </si>
  <si>
    <t>010-RF-011</t>
  </si>
  <si>
    <t>B272-400-AS-010-RF-012</t>
  </si>
  <si>
    <t>010-RF-012</t>
  </si>
  <si>
    <t>B272-400-AS-010-RF-013</t>
  </si>
  <si>
    <t>010-RF-013</t>
  </si>
  <si>
    <t>B272-400-AS-010-RF-014</t>
  </si>
  <si>
    <t>010-RF-014</t>
  </si>
  <si>
    <t>B272-400-AS-010-RF-015</t>
  </si>
  <si>
    <t>010-RF-015</t>
  </si>
  <si>
    <t>B272-400-AS-010-RF-016</t>
  </si>
  <si>
    <t>010-RF-016(1/2)</t>
  </si>
  <si>
    <t>010-RF-016(2/2)</t>
  </si>
  <si>
    <t>B272-400-AS-010-RF-017</t>
  </si>
  <si>
    <t>010-RF-017(1/2)</t>
  </si>
  <si>
    <t>010-RF-017(2/2)</t>
  </si>
  <si>
    <t>B272-400-AS-010-RF-018</t>
  </si>
  <si>
    <t>010-RF-018</t>
  </si>
  <si>
    <t>B272-400-AS-010-RF-019</t>
  </si>
  <si>
    <t>010-RF-019(1/8)</t>
  </si>
  <si>
    <t>010-RF-019(2/8)</t>
  </si>
  <si>
    <t>010-RF-019(3/8)</t>
  </si>
  <si>
    <t>010-RF-019(4/8)</t>
  </si>
  <si>
    <t>010-RF-019(5/8)</t>
  </si>
  <si>
    <t>010-RF-019(6/8)</t>
  </si>
  <si>
    <t>010-RF-019(7/8)</t>
  </si>
  <si>
    <t>010-RF-019(8/8)</t>
  </si>
  <si>
    <t>B272-400-AS-010-RF-020</t>
  </si>
  <si>
    <t>010-RF-020(1/2)</t>
  </si>
  <si>
    <t>010-RF-020(2/2)</t>
  </si>
  <si>
    <t>B272-400-AS-010-RF-021</t>
  </si>
  <si>
    <t>010-RF-021(1/2)</t>
  </si>
  <si>
    <t>010-RF-021(2/2)</t>
  </si>
  <si>
    <t>B272-400-AS-010-RF-022</t>
  </si>
  <si>
    <t>010-RF-022</t>
  </si>
  <si>
    <t>B272-400-AS-010-RF-023</t>
  </si>
  <si>
    <t>010-RF-023</t>
  </si>
  <si>
    <t>B272-400-AS-010-RF-024</t>
  </si>
  <si>
    <t>010-RF-024</t>
  </si>
  <si>
    <t>B272-400-AS-010-RF-025</t>
  </si>
  <si>
    <t>010-RF-025</t>
  </si>
  <si>
    <t>B272-400-AS-010-RF-026</t>
  </si>
  <si>
    <t>010-RF-026</t>
  </si>
  <si>
    <t>B272-400-AS-010-RF-027</t>
  </si>
  <si>
    <t>010-RF-027</t>
  </si>
  <si>
    <t>B272-400-AS-020-RA-001</t>
  </si>
  <si>
    <t>020-RA-001</t>
  </si>
  <si>
    <t>RADIANT ARCH</t>
  </si>
  <si>
    <t>B272-400-AS-020-RA-002</t>
  </si>
  <si>
    <t>020-RA-002</t>
  </si>
  <si>
    <t>B272-400-AS-020-RA-003</t>
  </si>
  <si>
    <t>020-RA-003</t>
  </si>
  <si>
    <t>B272-400-AS-020-RA-004</t>
  </si>
  <si>
    <t>020-RA-004</t>
  </si>
  <si>
    <t>B272-400-AS-030-RW-001</t>
  </si>
  <si>
    <t>030-RW-001</t>
  </si>
  <si>
    <t>RADIANT WALL</t>
  </si>
  <si>
    <t>B272-400-AS-030-RW-002</t>
  </si>
  <si>
    <t>030-RW-002</t>
  </si>
  <si>
    <t>B272-400-AS-030-RW-003</t>
  </si>
  <si>
    <t>030-RW-003</t>
  </si>
  <si>
    <t>B272-400-AS-030-RW-004</t>
  </si>
  <si>
    <t>030-RW-004</t>
  </si>
  <si>
    <t>B272-400-AS-030-RW-005</t>
  </si>
  <si>
    <t>030-RW-005</t>
  </si>
  <si>
    <t>B272-400-AS-030-RW-006</t>
  </si>
  <si>
    <t>030-RW-006</t>
  </si>
  <si>
    <t>B272-400-AS-030-RW-007</t>
  </si>
  <si>
    <t>030-RW-007</t>
  </si>
  <si>
    <t>B272-400-AS-030-RW-008</t>
  </si>
  <si>
    <t>030-RW-008</t>
  </si>
  <si>
    <t>B272-400-AS-030-RW-009</t>
  </si>
  <si>
    <t>030-RW-009</t>
  </si>
  <si>
    <t>B272-400-AS-030-RW-010</t>
  </si>
  <si>
    <t>030-RW-010</t>
  </si>
  <si>
    <t>B272-400-AS-030-RW-011</t>
  </si>
  <si>
    <t>030-RW-011</t>
  </si>
  <si>
    <t>B272-400-AS-030-RW-012</t>
  </si>
  <si>
    <t>030-RW-012</t>
  </si>
  <si>
    <t>B272-400-AS-030-RW-013</t>
  </si>
  <si>
    <t>030-RW-013</t>
  </si>
  <si>
    <t>B272-400-AS-030-RW-014</t>
  </si>
  <si>
    <t>030-RW-014</t>
  </si>
  <si>
    <t>B272-400-AS-030-RW-015</t>
  </si>
  <si>
    <t>030-RW-015</t>
  </si>
  <si>
    <t>B272-400-AS-030-RW-016</t>
  </si>
  <si>
    <t>030-RW-016</t>
  </si>
  <si>
    <t>B272-400-AS-030-RW-017</t>
  </si>
  <si>
    <t>030-RW-017</t>
  </si>
  <si>
    <t>B272-400-AS-030-RW-018</t>
  </si>
  <si>
    <t>030-RW-018</t>
  </si>
  <si>
    <t>B272-400-AS-030-RW-019</t>
  </si>
  <si>
    <t>030-RW-019</t>
  </si>
  <si>
    <t>B272-400-AS-030-RW-020</t>
  </si>
  <si>
    <t>030-RW-020</t>
  </si>
  <si>
    <t>B272-400-AS-030-RW-021</t>
  </si>
  <si>
    <t>030-RW-021</t>
  </si>
  <si>
    <t>B272-400-AS-030-RW-022</t>
  </si>
  <si>
    <t>030-RW-022</t>
  </si>
  <si>
    <t>B272-400-AS-030-RW-023</t>
  </si>
  <si>
    <t>030-RW-023</t>
  </si>
  <si>
    <t>B272-400-AS-030-RW-024</t>
  </si>
  <si>
    <t>030-RW-024</t>
  </si>
  <si>
    <t>B272-400-AS-030-RW-025</t>
  </si>
  <si>
    <t>030-RW-025</t>
  </si>
  <si>
    <t>B272-400-AS-030-RW-026</t>
  </si>
  <si>
    <t>030-RW-026</t>
  </si>
  <si>
    <t>B272-400-AS-030-RW-027</t>
  </si>
  <si>
    <t>030-RW-027(1/6)</t>
  </si>
  <si>
    <t>030-RW-027(2/6)</t>
  </si>
  <si>
    <t>030-RW-027(3/6)</t>
  </si>
  <si>
    <t>030-RW-027(4/6)</t>
  </si>
  <si>
    <t>030-RW-027(5/6)</t>
  </si>
  <si>
    <t>030-RW-027(6/6)</t>
  </si>
  <si>
    <t>B272-400-AS-030-RW-028</t>
  </si>
  <si>
    <t>030-RW-028</t>
  </si>
  <si>
    <t>B272-400-AS-030-RW-029</t>
  </si>
  <si>
    <t>030-RW-029</t>
  </si>
  <si>
    <t>B272-400-AS-030-RW-030</t>
  </si>
  <si>
    <t>030-RW-030</t>
  </si>
  <si>
    <t>B272-400-AS-030-RW-031</t>
  </si>
  <si>
    <t>030-RW-031</t>
  </si>
  <si>
    <t>B272-400-AS-030-RW-032</t>
  </si>
  <si>
    <t>030-RW-032</t>
  </si>
  <si>
    <t>B272-400-AS-030-RW-033</t>
  </si>
  <si>
    <t>030-RW-033(1/6)</t>
  </si>
  <si>
    <t>030-RW-033(2/6)</t>
  </si>
  <si>
    <t>030-RW-033(3/6)</t>
  </si>
  <si>
    <t>030-RW-033(4/6)</t>
  </si>
  <si>
    <t>030-RW-033(5/6)</t>
  </si>
  <si>
    <t>030-RW-033(6/6)</t>
  </si>
  <si>
    <t>B272-400-AS-030-RW-034</t>
  </si>
  <si>
    <t>030-RW-034</t>
  </si>
  <si>
    <t>B272-400-AS-040-HB-001</t>
  </si>
  <si>
    <t>040-HB-001</t>
  </si>
  <si>
    <t>RADIANT HEADER BOX (1/2)</t>
  </si>
  <si>
    <t>B272-400-AS-040-HB-002</t>
  </si>
  <si>
    <t>040-HB-002</t>
  </si>
  <si>
    <t>RADIANT HEADER BOX (1/3)</t>
  </si>
  <si>
    <t>B272-400-AS-040-HB-003</t>
  </si>
  <si>
    <t>040-HB-003</t>
  </si>
  <si>
    <t>B272-400-AS-040-HB-004</t>
  </si>
  <si>
    <t>040-HB-004</t>
  </si>
  <si>
    <t>B272-400-AS-040-HB-005</t>
  </si>
  <si>
    <t>040-HB-005</t>
  </si>
  <si>
    <t>B272-400-AS-040-HB-006</t>
  </si>
  <si>
    <t>040-HB-006</t>
  </si>
  <si>
    <t>B272-400-AS-040-HB-007</t>
  </si>
  <si>
    <t>040-HB-007</t>
  </si>
  <si>
    <t>B272-400-AS-040-HB-008</t>
  </si>
  <si>
    <t>040-HB-008</t>
  </si>
  <si>
    <t>B272-400-AS-040-HB-009</t>
  </si>
  <si>
    <t>040-HB-009</t>
  </si>
  <si>
    <t>B272-400-AS-040-HB-010</t>
  </si>
  <si>
    <t>040-HB-010</t>
  </si>
  <si>
    <t>RADIANT HEADER BOX</t>
  </si>
  <si>
    <t>B272-400-AS-040-HB-011</t>
  </si>
  <si>
    <t>040-HB-011</t>
  </si>
  <si>
    <t>B272-400-AS-040-HB-012</t>
  </si>
  <si>
    <t>040-HB-012</t>
  </si>
  <si>
    <t>B272-400-AS-040-HB-013</t>
  </si>
  <si>
    <t>040-HB-013</t>
  </si>
  <si>
    <t>B272-400-AS-040-HB-014</t>
  </si>
  <si>
    <t>040-HB-014</t>
  </si>
  <si>
    <t>B272-400-AS-040-HB-015</t>
  </si>
  <si>
    <t>040-HB-015</t>
  </si>
  <si>
    <t>B272-400-AS-040-HB-016</t>
  </si>
  <si>
    <t>040-HB-016</t>
  </si>
  <si>
    <t>B272-400-AS-040-HB-017</t>
  </si>
  <si>
    <t>040-HB-017</t>
  </si>
  <si>
    <t>B272-400-AS-040-HB-018</t>
  </si>
  <si>
    <t>040-HB-018</t>
  </si>
  <si>
    <t>B272-400-AS-040-HB-019</t>
  </si>
  <si>
    <t>040-HB-019</t>
  </si>
  <si>
    <t>B272-400-AS-040-HB-020</t>
  </si>
  <si>
    <t>040-HB-020</t>
  </si>
  <si>
    <t>B272-400-AS-040-HB-021</t>
  </si>
  <si>
    <t>040-HB-021(1/2)</t>
  </si>
  <si>
    <t>040-HB-021(2/2)</t>
  </si>
  <si>
    <t>B272-400-AS-040-HB-022</t>
  </si>
  <si>
    <t>040-HB-022(1/2)</t>
  </si>
  <si>
    <t>040-HB-022(2/2)</t>
  </si>
  <si>
    <t>B272-400-AS-040-HB-023</t>
  </si>
  <si>
    <t>040-HB-023(1/2)</t>
  </si>
  <si>
    <t>040-HB-023(2/2)</t>
  </si>
  <si>
    <t>B272-400-AS-040-HB-024</t>
  </si>
  <si>
    <t>040-HB-024</t>
  </si>
  <si>
    <t>B272-400-AS-040-HB-025</t>
  </si>
  <si>
    <t>040-HB-025</t>
  </si>
  <si>
    <t>B272-400-AS-040-HB-026</t>
  </si>
  <si>
    <t>040-HB-026</t>
  </si>
  <si>
    <t>B272-400-AS-040-HB-027</t>
  </si>
  <si>
    <t>040-HB-027</t>
  </si>
  <si>
    <t>B272-400-AS-040-HB-028</t>
  </si>
  <si>
    <t>040-HB-028</t>
  </si>
  <si>
    <t>B272-400-AS-040-HB-029</t>
  </si>
  <si>
    <t>040-HB-029</t>
  </si>
  <si>
    <t>B272-400-AS-040-HB-030</t>
  </si>
  <si>
    <t>040-HB-030</t>
  </si>
  <si>
    <t>B272-400-AS-040-HB-031</t>
  </si>
  <si>
    <t>040-HB-031</t>
  </si>
  <si>
    <t>B272-400-AS-040-HB-032</t>
  </si>
  <si>
    <t>040-HB-032</t>
  </si>
  <si>
    <t>B272-400-AS-040-HB-033</t>
  </si>
  <si>
    <t>040-HB-033</t>
  </si>
  <si>
    <t>B272-400-AS-040-HB-034</t>
  </si>
  <si>
    <t>040-HB-034</t>
  </si>
  <si>
    <t>B272-400-AS-040-HB-035</t>
  </si>
  <si>
    <t>040-HB-035</t>
  </si>
  <si>
    <t>B272-400-AS-040-HB-036</t>
  </si>
  <si>
    <t>040-HB-036</t>
  </si>
  <si>
    <t>B272-400-AS-040-HB-037</t>
  </si>
  <si>
    <t>040-HB-037</t>
  </si>
  <si>
    <t>B272-400-AS-040-HB-038</t>
  </si>
  <si>
    <t>040-HB-038</t>
  </si>
  <si>
    <t>B272-400-AS-040-HB-039</t>
  </si>
  <si>
    <t>040-HB-039</t>
  </si>
  <si>
    <t>B272-400-AS-040-HB-040</t>
  </si>
  <si>
    <t>040-HB-040</t>
  </si>
  <si>
    <t>B272-400-AS-040-HB-041</t>
  </si>
  <si>
    <t>040-HB-041</t>
  </si>
  <si>
    <t>B272-400-AS-040-HB-042</t>
  </si>
  <si>
    <t>040-HB-042</t>
  </si>
  <si>
    <t>B272-400-AS-040-HB-043</t>
  </si>
  <si>
    <t>040-HB-043</t>
  </si>
  <si>
    <t>B272-400-AS-040-HB-044</t>
  </si>
  <si>
    <t>040-HB-044</t>
  </si>
  <si>
    <t>B272-400-AS-040-HB-045</t>
  </si>
  <si>
    <t>040-HB-045(1/2)</t>
  </si>
  <si>
    <t>040-HB-045(2/2)</t>
  </si>
  <si>
    <t>B272-400-AS-040-HB-046</t>
  </si>
  <si>
    <t>040-HB-046(1/2)</t>
  </si>
  <si>
    <t>040-HB-046(2/2)</t>
  </si>
  <si>
    <t>B272-400-AS-040-HB-047</t>
  </si>
  <si>
    <t>040-HB-047</t>
  </si>
  <si>
    <t>B272-400-AS-040-HB-048</t>
  </si>
  <si>
    <t>040-HB-048(1/2)</t>
  </si>
  <si>
    <t>040-HB-048(2/2)</t>
  </si>
  <si>
    <t>B272-400-AS-040-HB-049</t>
  </si>
  <si>
    <t>040-HB-049(1/2)</t>
  </si>
  <si>
    <t>040-HB-049(2/2)</t>
  </si>
  <si>
    <t>B272-400-AS-040-HB-050</t>
  </si>
  <si>
    <t>040-HB-050(1/2)</t>
  </si>
  <si>
    <t>040-HB-050(2/2)</t>
  </si>
  <si>
    <t>B272-400-AS-040-HB-051</t>
  </si>
  <si>
    <t>040-HB-051(1/2)</t>
  </si>
  <si>
    <t>040-HB-051(2/2)</t>
  </si>
  <si>
    <t>B272-400-AS-040-HB-052</t>
  </si>
  <si>
    <t>040-HB-052</t>
  </si>
  <si>
    <t>B272-400-AS-040-HB-053</t>
  </si>
  <si>
    <t>040-HB-053</t>
  </si>
  <si>
    <t>B272-400-AS-040-HB-054</t>
  </si>
  <si>
    <t>040-HB-054</t>
  </si>
  <si>
    <t>B272-400-AS-040-HB-055</t>
  </si>
  <si>
    <t>040-HB-055(1/2)</t>
  </si>
  <si>
    <t>040-HB-055(2/2)</t>
  </si>
  <si>
    <t>B272-400-AS-040-HB-056</t>
  </si>
  <si>
    <t>040-HB-056(1/2)</t>
  </si>
  <si>
    <t>040-HB-056(2/2)</t>
  </si>
  <si>
    <t>B272-400-AS-040-HB-057</t>
  </si>
  <si>
    <t>040-HB-057(1/2)</t>
  </si>
  <si>
    <t>040-HB-057(2/2)</t>
  </si>
  <si>
    <t>B272-400-AS-040-HB-058</t>
  </si>
  <si>
    <t>040-HB-058(1/2)</t>
  </si>
  <si>
    <t>040-HB-058(2/2)</t>
  </si>
  <si>
    <t>B272-400-AS-040-HB-059</t>
  </si>
  <si>
    <t>040-HB-059(1/4)</t>
  </si>
  <si>
    <t>040-HB-059(2/4)</t>
  </si>
  <si>
    <t>040-HB-059(3/4)</t>
  </si>
  <si>
    <t>040-HB-059(4/4)</t>
  </si>
  <si>
    <t>B272-400-AS-040-HB-060</t>
  </si>
  <si>
    <t>040-HB-060(1/4)</t>
  </si>
  <si>
    <t>040-HB-060(2/4)</t>
  </si>
  <si>
    <t>040-HB-060(3/4)</t>
  </si>
  <si>
    <t>040-HB-060(4/4)</t>
  </si>
  <si>
    <t>B272-400-AS-040-HB-061</t>
  </si>
  <si>
    <t>040-HB-061(1/8)</t>
  </si>
  <si>
    <t>040-HB-061(2/8)</t>
  </si>
  <si>
    <t>040-HB-061(3/8)</t>
  </si>
  <si>
    <t>040-HB-061(4/8)</t>
  </si>
  <si>
    <t>040-HB-061(5/8)</t>
  </si>
  <si>
    <t>040-HB-061(6/8)</t>
  </si>
  <si>
    <t>040-HB-061(7/8)</t>
  </si>
  <si>
    <t>040-HB-061(8/8)</t>
  </si>
  <si>
    <t>B272-400-AS-040-HB-062</t>
  </si>
  <si>
    <t>040-HB-062(1/2)</t>
  </si>
  <si>
    <t>040-HB-062(2/2)</t>
  </si>
  <si>
    <t>B272-400-AS-040-HB-063</t>
  </si>
  <si>
    <t>040-HB-063</t>
  </si>
  <si>
    <t>B272-400-AS-040-HB-064</t>
  </si>
  <si>
    <t>040-HB-064</t>
  </si>
  <si>
    <t>B272-400-AS-040-HB-065</t>
  </si>
  <si>
    <t>040-HB-065</t>
  </si>
  <si>
    <t>B272-400-AS-040-HB-066</t>
  </si>
  <si>
    <t>040-HB-066</t>
  </si>
  <si>
    <t>B272-400-AS-040-HB-067</t>
  </si>
  <si>
    <t>040-HB-067</t>
  </si>
  <si>
    <t>B272-400-AS-040-HB-068</t>
  </si>
  <si>
    <t>040-HB-068(1/2)</t>
  </si>
  <si>
    <t>040-HB-068(2/2)</t>
  </si>
  <si>
    <t>B272-400-AS-040-HB-069</t>
  </si>
  <si>
    <t>040-HB-069</t>
  </si>
  <si>
    <t>B272-400-AS-040-HB-070</t>
  </si>
  <si>
    <t>040-HB-070(1/2)</t>
  </si>
  <si>
    <t>040-HB-070(2/2)</t>
  </si>
  <si>
    <t>B272-400-AS-040-HB-071</t>
  </si>
  <si>
    <t>040-HB-071(1/2)</t>
  </si>
  <si>
    <t>040-HB-071(2/2)</t>
  </si>
  <si>
    <t>(3230x1350x486)</t>
  </si>
  <si>
    <t>(3230x360x980)</t>
  </si>
  <si>
    <t>(3380x480x310)</t>
  </si>
  <si>
    <t>(3610x580x360)</t>
  </si>
  <si>
    <t>(486x3610x979)</t>
  </si>
  <si>
    <t>(3610x480x310)</t>
  </si>
  <si>
    <t>(3610x979x360)</t>
  </si>
  <si>
    <t>(3610x210x1542)</t>
  </si>
  <si>
    <t>(3230x210x1542)</t>
  </si>
  <si>
    <t>(3230x1350x360)</t>
  </si>
  <si>
    <t>(980x3230x486)</t>
  </si>
  <si>
    <t>(220x75x1075)</t>
  </si>
  <si>
    <t>(220x75x888)</t>
  </si>
  <si>
    <t>(220x75x938)</t>
  </si>
  <si>
    <t>(220x75x734)</t>
  </si>
  <si>
    <t>(3230x580x360)</t>
  </si>
  <si>
    <t>(3230x950x360)</t>
  </si>
  <si>
    <t>(10350x2491x506)</t>
  </si>
  <si>
    <t>(2491x10350x446)</t>
  </si>
  <si>
    <t>(1640x575x306)</t>
  </si>
  <si>
    <t>(12610x2290x965)</t>
  </si>
  <si>
    <t>(12364x1320x798)</t>
  </si>
  <si>
    <t>(12364x1805x780)</t>
  </si>
  <si>
    <t>(12364x1805x745)</t>
  </si>
  <si>
    <t>(12610x2220x805)</t>
  </si>
  <si>
    <t>(12364x1320x780)</t>
  </si>
  <si>
    <t>(12364x1320x745)</t>
  </si>
  <si>
    <t>(5980x1900x531)</t>
  </si>
  <si>
    <t>(5930x163x200)</t>
  </si>
  <si>
    <t>(5980x414x1900)</t>
  </si>
  <si>
    <t>(5980x280x1900)</t>
  </si>
  <si>
    <t>(5980x414x1800)</t>
  </si>
  <si>
    <t>(5980x386x1900)</t>
  </si>
  <si>
    <t>(5980x166x1900)</t>
  </si>
  <si>
    <t>(5980x349x864)</t>
  </si>
  <si>
    <t>(5980x355x864)</t>
  </si>
  <si>
    <t>(5980x386x2000)</t>
  </si>
  <si>
    <t>(90x15x90)</t>
  </si>
  <si>
    <t>(81x146x6)</t>
  </si>
  <si>
    <t>(170x6x6)</t>
  </si>
  <si>
    <t>(61x6x6)</t>
  </si>
  <si>
    <t>(299x6x6)</t>
  </si>
  <si>
    <t>(1245x650x697)</t>
  </si>
  <si>
    <t>(1355x845x697)</t>
  </si>
  <si>
    <t>(645x1245x502)</t>
  </si>
  <si>
    <t>(1695x645x1105)</t>
  </si>
  <si>
    <t>(1695x650x1105)</t>
  </si>
  <si>
    <t>(2580x178x1336)</t>
  </si>
  <si>
    <t>(2580x179x1336)</t>
  </si>
  <si>
    <t>(2960x178x1336)</t>
  </si>
  <si>
    <t>(2580x1245x490)</t>
  </si>
  <si>
    <t>(2960x1245x490)</t>
  </si>
  <si>
    <t>(650x502x1245)</t>
  </si>
  <si>
    <t>(650x1245x502)</t>
  </si>
  <si>
    <t>(705x1245x502)</t>
  </si>
  <si>
    <t>(1355x805x697)</t>
  </si>
  <si>
    <t>(645x502x1245)</t>
  </si>
  <si>
    <t>(705x502x1245)</t>
  </si>
  <si>
    <t>(1695x705x1105)</t>
  </si>
  <si>
    <t>(668x115x1423)</t>
  </si>
  <si>
    <t>(1423x668x115)</t>
  </si>
  <si>
    <t>(660x305x63)</t>
  </si>
  <si>
    <t>(660x205x63)</t>
  </si>
  <si>
    <t>(123x35x30)</t>
  </si>
  <si>
    <t>(1245x115x200)</t>
  </si>
  <si>
    <t>(160x50x130)</t>
  </si>
  <si>
    <t>(160x20x80)</t>
  </si>
  <si>
    <t>(160x8x80)</t>
  </si>
  <si>
    <t>(824x824x250)</t>
  </si>
  <si>
    <t>(843x843x250)</t>
  </si>
  <si>
    <t>(954x846x1448)</t>
  </si>
  <si>
    <t>(1448x684x846)</t>
  </si>
  <si>
    <t>(75x5x200)</t>
  </si>
  <si>
    <t>(949x949x60)</t>
  </si>
  <si>
    <t>(988x988x13)</t>
  </si>
  <si>
    <t>(50x10x50)</t>
  </si>
  <si>
    <t>(3x37x37)</t>
  </si>
  <si>
    <t>(29x11x10)</t>
  </si>
  <si>
    <t>(843x843x350)</t>
  </si>
  <si>
    <t>(824x824x350)</t>
  </si>
  <si>
    <t>B272-400-AS-120-CV-001</t>
  </si>
  <si>
    <t>120-CV-001(1/16)</t>
  </si>
  <si>
    <t>CONVECTION PANNELS</t>
  </si>
  <si>
    <t>120-CV-001(2/16)</t>
  </si>
  <si>
    <t>120-CV-001(3/16)</t>
  </si>
  <si>
    <t>120-CV-001(4/16)</t>
  </si>
  <si>
    <t>120-CV-001(5/16)</t>
  </si>
  <si>
    <t>120-CV-001(6/16)</t>
  </si>
  <si>
    <t>120-CV-001(7/16)</t>
  </si>
  <si>
    <t>120-CV-001(8/16)</t>
  </si>
  <si>
    <t>120-CV-001(9/16)</t>
  </si>
  <si>
    <t>120-CV-001(10/16)</t>
  </si>
  <si>
    <t>120-CV-001(11/16)</t>
  </si>
  <si>
    <t>120-CV-001(12/16)</t>
  </si>
  <si>
    <t>120-CV-001(13/16)</t>
  </si>
  <si>
    <t>120-CV-001(14/16)</t>
  </si>
  <si>
    <t>120-CV-001(15/16)</t>
  </si>
  <si>
    <t>120-CV-001(16/16)</t>
  </si>
  <si>
    <t>B272-400-AS-120-CV-002</t>
  </si>
  <si>
    <t>120-CV-002(1/12)</t>
  </si>
  <si>
    <t>120-CV-002(2/12)</t>
  </si>
  <si>
    <t>120-CV-002(3/12)</t>
  </si>
  <si>
    <t>120-CV-002(4/12)</t>
  </si>
  <si>
    <t>120-CV-002(5/12)</t>
  </si>
  <si>
    <t>120-CV-002(6/12)</t>
  </si>
  <si>
    <t>120-CV-002(7/12)</t>
  </si>
  <si>
    <t>120-CV-002(8/12)</t>
  </si>
  <si>
    <t>120-CV-002(9/12)</t>
  </si>
  <si>
    <t>120-CV-002(10/12)</t>
  </si>
  <si>
    <t>120-CV-002(11/12)</t>
  </si>
  <si>
    <t>120-CV-002(12/12)</t>
  </si>
  <si>
    <t>B272-400-AS-120-CV-003</t>
  </si>
  <si>
    <t>120-CV-003</t>
  </si>
  <si>
    <t>B272-400-AS-120-CV-004</t>
  </si>
  <si>
    <t>120-CV-004</t>
  </si>
  <si>
    <t>B272-400-AS-120-CV-005</t>
  </si>
  <si>
    <t>120-CV-005</t>
  </si>
  <si>
    <t>B272-400-AS-120-CV-006</t>
  </si>
  <si>
    <t>120-CV-006</t>
  </si>
  <si>
    <t>B272-400-AS-120-CV-007</t>
  </si>
  <si>
    <t>120-CV-007(1/2)</t>
  </si>
  <si>
    <t>120-CV-007(2/2)</t>
  </si>
  <si>
    <t>B272-400-AS-120-CV-008</t>
  </si>
  <si>
    <t>120-CV-008</t>
  </si>
  <si>
    <t>B272-400-AS-120-CV-009</t>
  </si>
  <si>
    <t>120-CV-009</t>
  </si>
  <si>
    <t>B272-400-AS-120-CV-010</t>
  </si>
  <si>
    <t>120-CV-010</t>
  </si>
  <si>
    <t>CONVECTION PANNELS (1/8)</t>
  </si>
  <si>
    <t>B272-400-AS-120-CV-011</t>
  </si>
  <si>
    <t>120-CV-011</t>
  </si>
  <si>
    <t>CONVECTION PANNELS (1/7)</t>
  </si>
  <si>
    <t>B272-400-AS-120-CV-012</t>
  </si>
  <si>
    <t>120-CV-012</t>
  </si>
  <si>
    <t>CONVECTION PANNELS (1/9)</t>
  </si>
  <si>
    <t>B272-400-AS-130-ET-001</t>
  </si>
  <si>
    <t>130-ET-001(1/6)</t>
  </si>
  <si>
    <t>END TUBE SHEETS</t>
  </si>
  <si>
    <t>130-ET-001(2/6)</t>
  </si>
  <si>
    <t>130-ET-001(3/6)</t>
  </si>
  <si>
    <t>130-ET-001(4/6)</t>
  </si>
  <si>
    <t>130-ET-001(5/6)</t>
  </si>
  <si>
    <t>130-ET-001(6/6)</t>
  </si>
  <si>
    <t>B272-400-AS-130-ET-002</t>
  </si>
  <si>
    <t>130-ET-002</t>
  </si>
  <si>
    <t>B272-400-AS-130-ET-003</t>
  </si>
  <si>
    <t>130-ET-003</t>
  </si>
  <si>
    <t>B272-400-AS-130-ET-004</t>
  </si>
  <si>
    <t>130-ET-004</t>
  </si>
  <si>
    <t>B272-400-AS-130-ET-005</t>
  </si>
  <si>
    <t>130-ET-005</t>
  </si>
  <si>
    <t>B272-400-AS-130-ET-006</t>
  </si>
  <si>
    <t>130-ET-006</t>
  </si>
  <si>
    <t>B272-400-AS-130-ET-007</t>
  </si>
  <si>
    <t>130-ET-007</t>
  </si>
  <si>
    <t>B272-400-AS-130-ET-008</t>
  </si>
  <si>
    <t>130-ET-008</t>
  </si>
  <si>
    <t>B272-400-AS-130-ET-009</t>
  </si>
  <si>
    <t>130-ET-009</t>
  </si>
  <si>
    <t>B272-400-AS-130-ET-010</t>
  </si>
  <si>
    <t>130-ET-010(1/6)</t>
  </si>
  <si>
    <t>130-ET-010(2/6)</t>
  </si>
  <si>
    <t>130-ET-010(3/6)</t>
  </si>
  <si>
    <t>130-ET-010(4/6)</t>
  </si>
  <si>
    <t>130-ET-010(5/6)</t>
  </si>
  <si>
    <t>130-ET-010(6/6)</t>
  </si>
  <si>
    <t>B272-400-AS-140-HB-001</t>
  </si>
  <si>
    <t>140-HB-001</t>
  </si>
  <si>
    <t>HEADER BOX</t>
  </si>
  <si>
    <t>B272-400-AS-140-HB-002</t>
  </si>
  <si>
    <t>140-HB-002</t>
  </si>
  <si>
    <t>B272-400-AS-140-HB-003</t>
  </si>
  <si>
    <t>140-HB-003</t>
  </si>
  <si>
    <t>B272-400-AS-140-HB-004</t>
  </si>
  <si>
    <t>140-HB-004(1/4)</t>
  </si>
  <si>
    <t>140-HB-004(2/4)</t>
  </si>
  <si>
    <t>140-HB-004(3/4)</t>
  </si>
  <si>
    <t>140-HB-004(4/4)</t>
  </si>
  <si>
    <t>B272-400-AS-140-HB-005</t>
  </si>
  <si>
    <t>140-HB-005</t>
  </si>
  <si>
    <t>B272-400-AS-140-HB-006</t>
  </si>
  <si>
    <t>140-HB-006(1/4)</t>
  </si>
  <si>
    <t>140-HB-006(2/4)</t>
  </si>
  <si>
    <t>140-HB-006(3/4)</t>
  </si>
  <si>
    <t>140-HB-006(4/4)</t>
  </si>
  <si>
    <t>B272-400-AS-140-HB-007</t>
  </si>
  <si>
    <t>140-HB-007</t>
  </si>
  <si>
    <t>B272-400-AS-140-HB-008</t>
  </si>
  <si>
    <t>140-HB-008</t>
  </si>
  <si>
    <t>B272-400-AS-140-HB-009</t>
  </si>
  <si>
    <t>140-HB-009</t>
  </si>
  <si>
    <t>B272-400-AS-140-HB-010</t>
  </si>
  <si>
    <t>140-HB-010</t>
  </si>
  <si>
    <t>B272-400-AS-140-HB-011</t>
  </si>
  <si>
    <t>140-HB-011</t>
  </si>
  <si>
    <t>B272-400-AS-140-HB-012</t>
  </si>
  <si>
    <t>140-HB-012</t>
  </si>
  <si>
    <t>B272-400-AS-140-HB-013</t>
  </si>
  <si>
    <t>140-HB-013</t>
  </si>
  <si>
    <t>B272-400-AS-140-HB-014</t>
  </si>
  <si>
    <t>140-HB-014</t>
  </si>
  <si>
    <t>B272-400-AS-140-HB-015</t>
  </si>
  <si>
    <t>140-HB-015(1/2)</t>
  </si>
  <si>
    <t>140-HB-015(2/2)</t>
  </si>
  <si>
    <t>B272-400-AS-140-HB-016</t>
  </si>
  <si>
    <t>140-HB-016(1/2)</t>
  </si>
  <si>
    <t>140-HB-016(2/2)</t>
  </si>
  <si>
    <t>B272-400-AS-140-HB-017</t>
  </si>
  <si>
    <t>140-HB-017(1/2)</t>
  </si>
  <si>
    <t>140-HB-017(2/2)</t>
  </si>
  <si>
    <t>B272-400-AS-140-HB-018</t>
  </si>
  <si>
    <t>140-HB-018</t>
  </si>
  <si>
    <t>B272-400-AS-140-HB-019</t>
  </si>
  <si>
    <t>140-HB-019</t>
  </si>
  <si>
    <t>B272-400-AS-140-HB-020</t>
  </si>
  <si>
    <t>140-HB-020</t>
  </si>
  <si>
    <t>B272-400-AS-140-HB-021</t>
  </si>
  <si>
    <t>140-HB-021</t>
  </si>
  <si>
    <t>B272-400-AS-140-HB-022</t>
  </si>
  <si>
    <t>140-HB-022</t>
  </si>
  <si>
    <t>B272-400-AS-140-HB-023</t>
  </si>
  <si>
    <t>140-HB-023</t>
  </si>
  <si>
    <t>B272-400-AS-140-HB-024</t>
  </si>
  <si>
    <t>140-HB-024</t>
  </si>
  <si>
    <t>B272-400-AS-140-HB-025</t>
  </si>
  <si>
    <t>140-HB-025</t>
  </si>
  <si>
    <t>B272-400-AS-140-HB-026</t>
  </si>
  <si>
    <t>140-HB-026</t>
  </si>
  <si>
    <t>B272-400-AS-140-HB-027</t>
  </si>
  <si>
    <t>140-HB-027(1/2)</t>
  </si>
  <si>
    <t>140-HB-027(2/2)</t>
  </si>
  <si>
    <t>B272-400-AS-140-HB-028</t>
  </si>
  <si>
    <t>140-HB-028(1/2)</t>
  </si>
  <si>
    <t>140-HB-028(2/2)</t>
  </si>
  <si>
    <t>B272-400-AS-140-HB-029</t>
  </si>
  <si>
    <t>140-HB-029</t>
  </si>
  <si>
    <t>B272-400-AS-140-HB-030</t>
  </si>
  <si>
    <t>140-HB-030</t>
  </si>
  <si>
    <t>B272-400-AS-140-HB-031</t>
  </si>
  <si>
    <t>140-HB-031</t>
  </si>
  <si>
    <t>B272-400-AS-140-HB-032</t>
  </si>
  <si>
    <t>140-HB-032</t>
  </si>
  <si>
    <t>B272-400-AS-140-HB-033</t>
  </si>
  <si>
    <t>140-HB-033</t>
  </si>
  <si>
    <t>B272-400-AS-140-HB-034</t>
  </si>
  <si>
    <t>140-HB-034</t>
  </si>
  <si>
    <t>B272-400-AS-140-HB-035</t>
  </si>
  <si>
    <t>140-HB-035</t>
  </si>
  <si>
    <t>B272-400-AS-140-HB-036</t>
  </si>
  <si>
    <t>140-HB-036(1/4)</t>
  </si>
  <si>
    <t>140-HB-036(2/4)</t>
  </si>
  <si>
    <t>140-HB-036(3/4)</t>
  </si>
  <si>
    <t>140-HB-036(4/4)</t>
  </si>
  <si>
    <t>B272-400-AS-140-HB-037</t>
  </si>
  <si>
    <t>140-HB-037</t>
  </si>
  <si>
    <t>B272-400-AS-140-HB-038</t>
  </si>
  <si>
    <t>140-HB-038</t>
  </si>
  <si>
    <t>B272-400-AS-140-HB-039</t>
  </si>
  <si>
    <t>140-HB-039</t>
  </si>
  <si>
    <t>B272-400-AS-140-HB-040</t>
  </si>
  <si>
    <t>140-HB-040</t>
  </si>
  <si>
    <t>B272-400-AS-140-HB-041</t>
  </si>
  <si>
    <t>140-HB-041</t>
  </si>
  <si>
    <t>B272-400-AS-140-HB-042</t>
  </si>
  <si>
    <t>140-HB-042</t>
  </si>
  <si>
    <t>B272-400-AS-140-HB-043</t>
  </si>
  <si>
    <t>140-HB-043</t>
  </si>
  <si>
    <t>B272-400-AS-140-HB-044</t>
  </si>
  <si>
    <t>140-HB-044</t>
  </si>
  <si>
    <t>B272-400-AS-140-HB-045</t>
  </si>
  <si>
    <t>140-HB-045</t>
  </si>
  <si>
    <t>B272-400-AS-140-HB-046</t>
  </si>
  <si>
    <t>140-HB-046</t>
  </si>
  <si>
    <t>B272-400-AS-140-HB-047</t>
  </si>
  <si>
    <t>140-HB-047</t>
  </si>
  <si>
    <t>B272-400-AS-140-HB-048</t>
  </si>
  <si>
    <t>140-HB-048</t>
  </si>
  <si>
    <t>B272-400-AS-140-HB-049</t>
  </si>
  <si>
    <t>140-HB-049</t>
  </si>
  <si>
    <t>B272-400-AS-140-HB-050</t>
  </si>
  <si>
    <t>140-HB-050(1/2)</t>
  </si>
  <si>
    <t>140-HB-050(2/2)</t>
  </si>
  <si>
    <t>B272-400-AS-140-HB-051</t>
  </si>
  <si>
    <t>140-HB-051</t>
  </si>
  <si>
    <t>B272-400-AS-140-HB-052</t>
  </si>
  <si>
    <t>140-HB-052</t>
  </si>
  <si>
    <t>B272-400-AS-140-HB-053</t>
  </si>
  <si>
    <t>140-HB-053</t>
  </si>
  <si>
    <t>B272-400-AS-140-HB-054</t>
  </si>
  <si>
    <t>140-HB-054</t>
  </si>
  <si>
    <t>B272-400-AS-140-HB-055</t>
  </si>
  <si>
    <t>140-HB-055(1/2)</t>
  </si>
  <si>
    <t>140-HB-055(2/2)</t>
  </si>
  <si>
    <t>B272-400-AS-140-HB-056</t>
  </si>
  <si>
    <t>140-HB-056</t>
  </si>
  <si>
    <t>B272-400-AS-140-HB-057</t>
  </si>
  <si>
    <t>140-HB-057</t>
  </si>
  <si>
    <t>B272-400-AS-140-HB-058</t>
  </si>
  <si>
    <t>140-HB-058</t>
  </si>
  <si>
    <t>B272-400-AS-140-HB-059</t>
  </si>
  <si>
    <t>140-HB-059</t>
  </si>
  <si>
    <t>B272-400-AS-140-HB-060</t>
  </si>
  <si>
    <t>140-HB-060(1/2)</t>
  </si>
  <si>
    <t>140-HB-060(2/2)</t>
  </si>
  <si>
    <t>B272-400-AS-140-HB-061</t>
  </si>
  <si>
    <t>140-HB-061(1/2)</t>
  </si>
  <si>
    <t>140-HB-061(2/2)</t>
  </si>
  <si>
    <t>B272-400-AS-140-HB-062</t>
  </si>
  <si>
    <t>140-HB-062</t>
  </si>
  <si>
    <t>B272-400-AS-140-HB-063</t>
  </si>
  <si>
    <t>140-HB-063</t>
  </si>
  <si>
    <t>B272-400-AS-140-HB-064</t>
  </si>
  <si>
    <t>140-HB-064</t>
  </si>
  <si>
    <t>B272-400-AS-140-HB-065</t>
  </si>
  <si>
    <t>140-HB-065</t>
  </si>
  <si>
    <t>B272-400-AS-140-HB-066</t>
  </si>
  <si>
    <t>140-HB-066</t>
  </si>
  <si>
    <t>B272-400-AS-140-HB-067</t>
  </si>
  <si>
    <t>140-HB-067</t>
  </si>
  <si>
    <t>B272-400-AS-140-HB-068</t>
  </si>
  <si>
    <t>140-HB-068</t>
  </si>
  <si>
    <t>B272-400-AS-140-HB-069</t>
  </si>
  <si>
    <t>140-HB-069</t>
  </si>
  <si>
    <t>B272-400-AS-140-HB-070</t>
  </si>
  <si>
    <t>140-HB-070</t>
  </si>
  <si>
    <t>B272-400-AS-140-HB-071</t>
  </si>
  <si>
    <t>140-HB-071</t>
  </si>
  <si>
    <t>B272-400-AS-140-HB-072</t>
  </si>
  <si>
    <t>140-HB-072</t>
  </si>
  <si>
    <t>B272-400-AS-140-HB-073</t>
  </si>
  <si>
    <t>140-HB-073</t>
  </si>
  <si>
    <t>B272-400-AS-140-HB-074</t>
  </si>
  <si>
    <t>140-HB-074</t>
  </si>
  <si>
    <t>B272-400-AS-140-HB-075</t>
  </si>
  <si>
    <t>140-HB-075</t>
  </si>
  <si>
    <t>B272-400-AS-140-HB-076</t>
  </si>
  <si>
    <t>140-HB-076</t>
  </si>
  <si>
    <t>B272-400-AS-140-HB-077</t>
  </si>
  <si>
    <t>140-HB-077</t>
  </si>
  <si>
    <t>B272-400-AS-140-HB-078</t>
  </si>
  <si>
    <t>140-HB-078</t>
  </si>
  <si>
    <t>B272-400-AS-140-HB-079</t>
  </si>
  <si>
    <t>140-HB-079</t>
  </si>
  <si>
    <t>B272-400-AS-140-HB-080</t>
  </si>
  <si>
    <t>140-HB-080</t>
  </si>
  <si>
    <t>B272-400-AS-190-BR-001</t>
  </si>
  <si>
    <t>190-BR-001</t>
  </si>
  <si>
    <t>BREECHING (1/4)</t>
  </si>
  <si>
    <t>B272-400-AS-190-BR-002</t>
  </si>
  <si>
    <t>190-BR-002(1/4)</t>
  </si>
  <si>
    <t>BREECHING</t>
  </si>
  <si>
    <t>190-BR-002(2/4)</t>
  </si>
  <si>
    <t>190-BR-002(3/4)</t>
  </si>
  <si>
    <t>190-BR-002(4/4)</t>
  </si>
  <si>
    <t>B272-400-AS-190-BR-003</t>
  </si>
  <si>
    <t>190-BR-003</t>
  </si>
  <si>
    <t>BREECHING (1/3)</t>
  </si>
  <si>
    <t>B272-400-AS-190-BR-004</t>
  </si>
  <si>
    <t>190-BR-004</t>
  </si>
  <si>
    <t>B272-400-AS-190-BR-005</t>
  </si>
  <si>
    <t>190-BR-005</t>
  </si>
  <si>
    <t>B272-400-AS-190-BR-006</t>
  </si>
  <si>
    <t>190-BR-006</t>
  </si>
  <si>
    <t>B272-400-AS-190-BR-007</t>
  </si>
  <si>
    <t>190-BR-007</t>
  </si>
  <si>
    <t>B272-400-AS-210-SK-001</t>
  </si>
  <si>
    <t>210-SK-001</t>
  </si>
  <si>
    <t>STACK MODULE(1/3)</t>
  </si>
  <si>
    <t>B272-400-AS-210-SK-002</t>
  </si>
  <si>
    <t>210-SK-002</t>
  </si>
  <si>
    <t>B272-400-AS-210-SK-003</t>
  </si>
  <si>
    <t>210-SK-003</t>
  </si>
  <si>
    <t>STACK MODULE(1/5)</t>
  </si>
  <si>
    <t>B272-400-AS-210-SK-004</t>
  </si>
  <si>
    <t>210-SK-004</t>
  </si>
  <si>
    <t>STACK MODULE(1/4)</t>
  </si>
  <si>
    <t>B272-400-AS-210-SK-005</t>
  </si>
  <si>
    <t>210-SK-005</t>
  </si>
  <si>
    <t>B272-400-AS-210-SK-006</t>
  </si>
  <si>
    <t>210-SK-006</t>
  </si>
  <si>
    <t>B272-400-AS-210-SK-014</t>
  </si>
  <si>
    <t>210-SK-014</t>
  </si>
  <si>
    <t>STUD BOLT</t>
  </si>
  <si>
    <t>B272-400-AS-200-LS-001</t>
  </si>
  <si>
    <t>200-LS-001</t>
  </si>
  <si>
    <t>LOOSE STRUCTURE</t>
  </si>
  <si>
    <t>B272-400-AS-200-LS-002</t>
  </si>
  <si>
    <t>200-LS-002(1/3)</t>
  </si>
  <si>
    <t>200-LS-002(2/3)</t>
  </si>
  <si>
    <t>200-LS-002(3/3)</t>
  </si>
  <si>
    <t>B272-400-AS-200-LS-003</t>
  </si>
  <si>
    <t>200-LS-003</t>
  </si>
  <si>
    <t>B272-400-AS-200-LS-004</t>
  </si>
  <si>
    <t>200-LS-004</t>
  </si>
  <si>
    <t>B272-400-AS-200-LS-005</t>
  </si>
  <si>
    <t>200-LS-005</t>
  </si>
  <si>
    <t>B272-400-AS-200-LS-006</t>
  </si>
  <si>
    <t>200-LS-006</t>
  </si>
  <si>
    <t>B272-400-AS-200-LS-007</t>
  </si>
  <si>
    <t>200-LS-007</t>
  </si>
  <si>
    <t>B272-400-AS-200-LS-008</t>
  </si>
  <si>
    <t>200-LS-008</t>
  </si>
  <si>
    <t>B272-400-AS-200-LS-009</t>
  </si>
  <si>
    <t>200-LS-009</t>
  </si>
  <si>
    <t>B272-400-AS-200-LS-010</t>
  </si>
  <si>
    <t>200-LS-010</t>
  </si>
  <si>
    <t>B272-400-AS-200-LS-011</t>
  </si>
  <si>
    <t>200-LS-011</t>
  </si>
  <si>
    <t>B272-400-AS-200-LS-012</t>
  </si>
  <si>
    <t>200-LS-012</t>
  </si>
  <si>
    <t>B272-400-AS-200-LS-013</t>
  </si>
  <si>
    <t>200-LS-013</t>
  </si>
  <si>
    <t>B272-400-AS-280-PP-001</t>
  </si>
  <si>
    <t>280-PP-001(1/4)</t>
  </si>
  <si>
    <t>PERSONAL PROTECTION</t>
  </si>
  <si>
    <t>280-PP-001(2/4)</t>
  </si>
  <si>
    <t>280-PP-001(3/4)</t>
  </si>
  <si>
    <t>B272-400-AS-280-PP-002</t>
  </si>
  <si>
    <t>280-PP-002</t>
  </si>
  <si>
    <t>B272-400-AS-280-PP-003</t>
  </si>
  <si>
    <t>280-PP-003</t>
  </si>
  <si>
    <t>B272-400-AS-280-PP-004</t>
  </si>
  <si>
    <t>280-PP-004</t>
  </si>
  <si>
    <t>B272-400-AS-280-PP-005</t>
  </si>
  <si>
    <t>280-PP-005</t>
  </si>
  <si>
    <t>B272-400-AS-280-PP-006</t>
  </si>
  <si>
    <t>280-PP-006</t>
  </si>
  <si>
    <t>B272-400-AS-280-PP-007</t>
  </si>
  <si>
    <t>280-PP-007</t>
  </si>
  <si>
    <t>B272-400-AS-280-PP-008</t>
  </si>
  <si>
    <t>280-PP-008</t>
  </si>
  <si>
    <t>B272-400-AS-280-PP-009</t>
  </si>
  <si>
    <t>280-PP-009</t>
  </si>
  <si>
    <t>B272-400-AS-280-PP-010</t>
  </si>
  <si>
    <t>280-PP-010</t>
  </si>
  <si>
    <t>B272-400-AS-280-PP-011</t>
  </si>
  <si>
    <t>280-PP-011</t>
  </si>
  <si>
    <t>B272-400-AS-280-PP-012</t>
  </si>
  <si>
    <t>280-PP-012</t>
  </si>
  <si>
    <t>B272-400-AS-280-PP-013</t>
  </si>
  <si>
    <t>280-PP-013</t>
  </si>
  <si>
    <t>B272-400-AS-280-PP-014</t>
  </si>
  <si>
    <t>280-PP-014(1/2)</t>
  </si>
  <si>
    <t>280-PP-014(2/2)</t>
  </si>
  <si>
    <t>B272-400-AS-280-PP-015</t>
  </si>
  <si>
    <t>280-PP-015</t>
  </si>
  <si>
    <t>B272-400-AS-280-PP-016</t>
  </si>
  <si>
    <t>280-PP-016</t>
  </si>
  <si>
    <t>B272-400-AS-280-PP-017</t>
  </si>
  <si>
    <t>280-PP-017</t>
  </si>
  <si>
    <t>B272-400-AS-280-PP-018</t>
  </si>
  <si>
    <t>280-PP-018</t>
  </si>
  <si>
    <t>B272-400-AS-280-PP-019</t>
  </si>
  <si>
    <t>280-PP-019</t>
  </si>
  <si>
    <t>B272-400-AS-280-PP-020</t>
  </si>
  <si>
    <t>280-PP-020</t>
  </si>
  <si>
    <t>B272-400-AS-280-PP-021</t>
  </si>
  <si>
    <t>280-PP-021</t>
  </si>
  <si>
    <t>B272-400-AS-280-PP-022</t>
  </si>
  <si>
    <t>280-PP-022</t>
  </si>
  <si>
    <t>B272-400-AS-280-PP-023</t>
  </si>
  <si>
    <t>280-PP-023</t>
  </si>
  <si>
    <t>B272-400-AS-280-PP-024</t>
  </si>
  <si>
    <t>280-PP-024</t>
  </si>
  <si>
    <t>B272-400-AS-280-PP-025</t>
  </si>
  <si>
    <t>280-PP-025</t>
  </si>
  <si>
    <t>B272-400-AS-280-PP-026</t>
  </si>
  <si>
    <t>280-PP-026</t>
  </si>
  <si>
    <t>B272-400-AS-280-PP-027</t>
  </si>
  <si>
    <t>280-PP-027</t>
  </si>
  <si>
    <t>B272-400-AS-280-PP-028</t>
  </si>
  <si>
    <t>280-PP-028</t>
  </si>
  <si>
    <t>B272-400-AS-280-PP-029</t>
  </si>
  <si>
    <t>280-PP-029</t>
  </si>
  <si>
    <t>B272-400-AS-280-PP-030</t>
  </si>
  <si>
    <t>280-PP-030</t>
  </si>
  <si>
    <t>B272-400-AS-280-PP-031</t>
  </si>
  <si>
    <t>280-PP-031</t>
  </si>
  <si>
    <t>B272-400-AS-280-PP-032</t>
  </si>
  <si>
    <t>280-PP-032</t>
  </si>
  <si>
    <t>B272-400-AS-280-PP-033</t>
  </si>
  <si>
    <t>280-PP-033</t>
  </si>
  <si>
    <t>B272-400-AS-280-PP-034</t>
  </si>
  <si>
    <t>280-PP-034</t>
  </si>
  <si>
    <t>B272-400-AS-280-PP-035</t>
  </si>
  <si>
    <t>280-PP-035</t>
  </si>
  <si>
    <t>B272-400-AS-280-PP-036</t>
  </si>
  <si>
    <t>280-PP-036</t>
  </si>
  <si>
    <t>B272-400-AS-280-PP-037</t>
  </si>
  <si>
    <t>280-PP-037</t>
  </si>
  <si>
    <t>B272-400-AS-280-PP-038</t>
  </si>
  <si>
    <t>280-PP-038(1/4)</t>
  </si>
  <si>
    <t>280-PP-038(2/4)</t>
  </si>
  <si>
    <t>280-PP-038(3/4)</t>
  </si>
  <si>
    <t>280-PP-038(4/4)</t>
  </si>
  <si>
    <t>B272-400-AS-280-PP-039</t>
  </si>
  <si>
    <t>280-PP-039</t>
  </si>
  <si>
    <t>B272-400-AS-280-PP-040</t>
  </si>
  <si>
    <t>280-PP-040</t>
  </si>
  <si>
    <t>B272-400-AS-280-PP-041</t>
  </si>
  <si>
    <t>280-PP-041</t>
  </si>
  <si>
    <t>B272-400-AS-280-PP-042</t>
  </si>
  <si>
    <t>280-PP-042</t>
  </si>
  <si>
    <t>B272-400-AS-280-PP-043</t>
  </si>
  <si>
    <t>280-PP-043</t>
  </si>
  <si>
    <t>B272-400-AS-280-PP-044</t>
  </si>
  <si>
    <t>280-PP-044</t>
  </si>
  <si>
    <t>B272-400-AS-280-PP-045</t>
  </si>
  <si>
    <t>280-PP-045</t>
  </si>
  <si>
    <t>B272-400-AS-280-PP-046</t>
  </si>
  <si>
    <t>280-PP-046</t>
  </si>
  <si>
    <t>B272-400-AS-280-PP-047</t>
  </si>
  <si>
    <t>280-PP-047</t>
  </si>
  <si>
    <t>B272-400-AS-280-PP-048</t>
  </si>
  <si>
    <t>280-PP-048</t>
  </si>
  <si>
    <t>B272-400-AS-280-PP-049</t>
  </si>
  <si>
    <t>280-PP-049(1/5)</t>
  </si>
  <si>
    <t>280-PP-049(2/5)</t>
  </si>
  <si>
    <t>280-PP-049(3/5)</t>
  </si>
  <si>
    <t>280-PP-049(4/5)</t>
  </si>
  <si>
    <t>280-PP-049(5/5)</t>
  </si>
  <si>
    <t>B272-400-AS-280-PP-050</t>
  </si>
  <si>
    <t>280-PP-050</t>
  </si>
  <si>
    <t>B272-400-AS-280-PP-051</t>
  </si>
  <si>
    <t>280-PP-051</t>
  </si>
  <si>
    <t>B272-400-AS-280-PP-052</t>
  </si>
  <si>
    <t>280-PP-052(1/2)</t>
  </si>
  <si>
    <t>280-PP-052(2/2)</t>
  </si>
  <si>
    <t>B272-400-AS-280-PP-053</t>
  </si>
  <si>
    <t>280-PP-053</t>
  </si>
  <si>
    <t>B272-400-AS-280-PP-054</t>
  </si>
  <si>
    <t>280-PP-054</t>
  </si>
  <si>
    <t>B272-400-AS-280-PP-055</t>
  </si>
  <si>
    <t>280-PP-055</t>
  </si>
  <si>
    <t>B272-400-AS-280-PP-056</t>
  </si>
  <si>
    <t>280-PP-056(1/2)</t>
  </si>
  <si>
    <t>280-PP-056(2/2)</t>
  </si>
  <si>
    <t>B272-400-AS-280-PP-057</t>
  </si>
  <si>
    <t>280-PP-057(1/2)</t>
  </si>
  <si>
    <t>280-PP-057(2/2)</t>
  </si>
  <si>
    <t>B272-400-AS-280-PP-058</t>
  </si>
  <si>
    <t>280-PP-058</t>
  </si>
  <si>
    <t>B272-400-AS-280-PP-059</t>
  </si>
  <si>
    <t>280-PP-059</t>
  </si>
  <si>
    <t>B272-400-AS-280-PP-060</t>
  </si>
  <si>
    <t>280-PP-060</t>
  </si>
  <si>
    <t>B272-400-AS-280-PP-061</t>
  </si>
  <si>
    <t>280-PP-061</t>
  </si>
  <si>
    <t>B272-400-AS-280-PP-062</t>
  </si>
  <si>
    <t>280-PP-062</t>
  </si>
  <si>
    <t>B272-400-AS-280-PP-063</t>
  </si>
  <si>
    <t>280-PP-063</t>
  </si>
  <si>
    <t>B272-400-AS-280-PP-064</t>
  </si>
  <si>
    <t>280-PP-064</t>
  </si>
  <si>
    <t>B272-400-AS-280-PP-065</t>
  </si>
  <si>
    <t>280-PP-065</t>
  </si>
  <si>
    <t>B272-400-AS-280-PP-066</t>
  </si>
  <si>
    <t>280-PP-066</t>
  </si>
  <si>
    <t>B272-400-AS-280-PP-067</t>
  </si>
  <si>
    <t>280-PP-067</t>
  </si>
  <si>
    <t>B272-400-AS-280-PP-068</t>
  </si>
  <si>
    <t>280-PP-068</t>
  </si>
  <si>
    <t>B272-400-AS-280-PP-069</t>
  </si>
  <si>
    <t>280-PP-069</t>
  </si>
  <si>
    <t>B272-400-AS-280-PP-070</t>
  </si>
  <si>
    <t>280-PP-070</t>
  </si>
  <si>
    <t>B272-400-AS-280-PP-071</t>
  </si>
  <si>
    <t>280-PP-071</t>
  </si>
  <si>
    <t>B272-400-AS-280-PP-072</t>
  </si>
  <si>
    <t>280-PP-072</t>
  </si>
  <si>
    <t>B272-400-AS-280-PP-073</t>
  </si>
  <si>
    <t>280-PP-073</t>
  </si>
  <si>
    <t>B272-400-AS-280-PP-074</t>
  </si>
  <si>
    <t>280-PP-074</t>
  </si>
  <si>
    <t>B272-400-AS-280-PP-075</t>
  </si>
  <si>
    <t>280-PP-075</t>
  </si>
  <si>
    <t>B272-400-AS-280-PP-076</t>
  </si>
  <si>
    <t>280-PP-076</t>
  </si>
  <si>
    <t>B272-400-AS-280-PP-077</t>
  </si>
  <si>
    <t>280-PP-077</t>
  </si>
  <si>
    <t>B272-400-AS-280-PP-078</t>
  </si>
  <si>
    <t>280-PP-078</t>
  </si>
  <si>
    <t>B272-400-AS-280-PP-079</t>
  </si>
  <si>
    <t>280-PP-079</t>
  </si>
  <si>
    <t>B272-400-AS-280-PP-080</t>
  </si>
  <si>
    <t>280-PP-080</t>
  </si>
  <si>
    <t>B272-400-AS-280-PP-081</t>
  </si>
  <si>
    <t>280-PP-081</t>
  </si>
  <si>
    <t>B272-400-AS-280-PP-082</t>
  </si>
  <si>
    <t>280-PP-082</t>
  </si>
  <si>
    <t>B272-400-AS-280-PP-083</t>
  </si>
  <si>
    <t>280-PP-083</t>
  </si>
  <si>
    <t>B272-400-AS-280-PP-084</t>
  </si>
  <si>
    <t>280-PP-084(1/7)</t>
  </si>
  <si>
    <t>280-PP-084(2/7)</t>
  </si>
  <si>
    <t>280-PP-084(3/7)</t>
  </si>
  <si>
    <t>280-PP-084(4/7)</t>
  </si>
  <si>
    <t>280-PP-084(5/7)</t>
  </si>
  <si>
    <t>280-PP-084(6/7)</t>
  </si>
  <si>
    <t>280-PP-084(7/7)</t>
  </si>
  <si>
    <t>B272-400-AS-280-PP-085</t>
  </si>
  <si>
    <t>280-PP-085</t>
  </si>
  <si>
    <t>B272-400-AS-280-PP-086</t>
  </si>
  <si>
    <t>280-PP-086(1/4)</t>
  </si>
  <si>
    <t>280-PP-086(2/4)</t>
  </si>
  <si>
    <t>280-PP-086(3/4)</t>
  </si>
  <si>
    <t>280-PP-086(4/4)</t>
  </si>
  <si>
    <t>B272-400-AS-280-PP-087</t>
  </si>
  <si>
    <t>280-PP-087</t>
  </si>
  <si>
    <t>B272-400-AS-280-PP-088</t>
  </si>
  <si>
    <t>280-PP-088</t>
  </si>
  <si>
    <t>B272-400-AS-280-PP-089</t>
  </si>
  <si>
    <t>280-PP-089</t>
  </si>
  <si>
    <t>B272-400-AS-280-PP-090</t>
  </si>
  <si>
    <t>280-PP-090</t>
  </si>
  <si>
    <t>B272-400-AS-280-PP-091</t>
  </si>
  <si>
    <t>280-PP-091</t>
  </si>
  <si>
    <t>B272-400-AS-280-PP-092</t>
  </si>
  <si>
    <t>280-PP-092</t>
  </si>
  <si>
    <t>B272-400-AS-280-PP-093</t>
  </si>
  <si>
    <t>280-PP-093</t>
  </si>
  <si>
    <t>B272-400-AS-280-PP-094</t>
  </si>
  <si>
    <t>280-PP-094</t>
  </si>
  <si>
    <t>B272-400-AS-280-PP-095</t>
  </si>
  <si>
    <t>280-PP-095</t>
  </si>
  <si>
    <t>B272-400-AS-280-PP-096</t>
  </si>
  <si>
    <t>280-PP-096</t>
  </si>
  <si>
    <t>B272-400-AS-280-PP-097</t>
  </si>
  <si>
    <t>280-PP-097</t>
  </si>
  <si>
    <t>B272-400-AS-280-PP-098</t>
  </si>
  <si>
    <t>280-PP-098</t>
  </si>
  <si>
    <t>B272-400-AS-280-PP-099</t>
  </si>
  <si>
    <t>280-PP-099</t>
  </si>
  <si>
    <t>B272-400-AS-280-PP-100</t>
  </si>
  <si>
    <t>280-PP-100</t>
  </si>
  <si>
    <t>B272-400-AS-280-PP-101</t>
  </si>
  <si>
    <t>280-PP-101</t>
  </si>
  <si>
    <t>B272-400-AS-280-PP-102</t>
  </si>
  <si>
    <t>280-PP-102</t>
  </si>
  <si>
    <t>B272-400-AS-280-PP-103</t>
  </si>
  <si>
    <t>280-PP-103</t>
  </si>
  <si>
    <t>B272-400-AS-280-PP-104</t>
  </si>
  <si>
    <t>280-PP-104</t>
  </si>
  <si>
    <t>B272-400-AS-280-PP-105</t>
  </si>
  <si>
    <t>280-PP-105</t>
  </si>
  <si>
    <t>B272-400-AS-280-PP-106</t>
  </si>
  <si>
    <t>280-PP-106</t>
  </si>
  <si>
    <t>B272-400-AS-280-PP-107</t>
  </si>
  <si>
    <t>280-PP-107</t>
  </si>
  <si>
    <t>B272-400-AS-280-PP-108</t>
  </si>
  <si>
    <t>280-PP-108</t>
  </si>
  <si>
    <t>B272-400-AS-280-PP-109</t>
  </si>
  <si>
    <t>280-PP-109</t>
  </si>
  <si>
    <t>B272-400-AS-280-PP-110</t>
  </si>
  <si>
    <t>280-PP-110</t>
  </si>
  <si>
    <t>B272-400-AS-280-PP-114</t>
  </si>
  <si>
    <t>280-PP-114</t>
  </si>
  <si>
    <t>B272-400-AS-280-PP-115</t>
  </si>
  <si>
    <t>280-PP-115</t>
  </si>
  <si>
    <t>B272-400-AS-280-PP-116</t>
  </si>
  <si>
    <t>280-PP-116</t>
  </si>
  <si>
    <t>B272-400-AS-280-PP-117</t>
  </si>
  <si>
    <t>280-PP-117</t>
  </si>
  <si>
    <t>B272-400-AS-280-PP-118</t>
  </si>
  <si>
    <t>280-PP-118</t>
  </si>
  <si>
    <t>B272-400-AS-290-AD-001</t>
  </si>
  <si>
    <t>290-AD-001(1/6)</t>
  </si>
  <si>
    <t>ACCESS DOOR</t>
  </si>
  <si>
    <t>290-AD-001(2/6)</t>
  </si>
  <si>
    <t>290-AD-001(3/6)</t>
  </si>
  <si>
    <t>290-AD-001(4/6)</t>
  </si>
  <si>
    <t>290-AD-001(5/6)</t>
  </si>
  <si>
    <t>290-AD-001(6/6)</t>
  </si>
  <si>
    <t>B272-400-AS-290-AD-002</t>
  </si>
  <si>
    <t>290-AD-002(1/6)</t>
  </si>
  <si>
    <t>290-AD-002(2/6)</t>
  </si>
  <si>
    <t>290-AD-002(3/6)</t>
  </si>
  <si>
    <t>290-AD-002(4/6)</t>
  </si>
  <si>
    <t>290-AD-002(5/6)</t>
  </si>
  <si>
    <t>290-AD-002(6/6)</t>
  </si>
  <si>
    <t>B272-400-AS-370-SD-001</t>
  </si>
  <si>
    <t>370-SD-001(1/2)</t>
  </si>
  <si>
    <t>SADDLE FOR RADIANT COIL</t>
  </si>
  <si>
    <t>370-SD-001(2/2)</t>
  </si>
  <si>
    <t>B272-400-AS-370-SD-002</t>
  </si>
  <si>
    <t>370-SD-002(1/6)</t>
  </si>
  <si>
    <t>370-SD-002(2/6)</t>
  </si>
  <si>
    <t>370-SD-002(3/6)</t>
  </si>
  <si>
    <t>370-SD-002(4/6)</t>
  </si>
  <si>
    <t>370-SD-002(5/6)</t>
  </si>
  <si>
    <t>370-SD-002(6/6)</t>
  </si>
  <si>
    <t>(140x100x100)</t>
  </si>
  <si>
    <t>(440x100x100)</t>
  </si>
  <si>
    <t>(9600x1630x2460)</t>
  </si>
  <si>
    <t>(9600x1450x2460)</t>
  </si>
  <si>
    <t>(9600x1920x2460)</t>
  </si>
  <si>
    <t>(67x42x36)</t>
  </si>
  <si>
    <t>(1330x195x1590)</t>
  </si>
  <si>
    <t>(1225x204x1590)</t>
  </si>
  <si>
    <t>(1430x204x1590)</t>
  </si>
  <si>
    <t>(1324x129x389)</t>
  </si>
  <si>
    <t>(50x6x50)</t>
  </si>
  <si>
    <t>(1634x134x399)</t>
  </si>
  <si>
    <t>(2040x302x852)</t>
  </si>
  <si>
    <t>(2040x363x602)</t>
  </si>
  <si>
    <t>(1840x50x752)</t>
  </si>
  <si>
    <t>(1840x50x502)</t>
  </si>
  <si>
    <t>(419x88x649)</t>
  </si>
  <si>
    <t>(642x88x649)</t>
  </si>
  <si>
    <t>(1634x134x649)</t>
  </si>
  <si>
    <t>(1750x88x457)</t>
  </si>
  <si>
    <t>(594x123x584)</t>
  </si>
  <si>
    <t>(504x123x584)</t>
  </si>
  <si>
    <t>(504x123x577)</t>
  </si>
  <si>
    <t>(528x123x584)</t>
  </si>
  <si>
    <t>(287x140x577)</t>
  </si>
  <si>
    <t>(528x123x577)</t>
  </si>
  <si>
    <t>(634x123x584)</t>
  </si>
  <si>
    <t>(642x123x584)</t>
  </si>
  <si>
    <t>(642x123x577)</t>
  </si>
  <si>
    <t>(504x88x399)</t>
  </si>
  <si>
    <t>(528x88x399)</t>
  </si>
  <si>
    <t>(642x88x399)</t>
  </si>
  <si>
    <t>(495x123x584)</t>
  </si>
  <si>
    <t>(496x140x577)</t>
  </si>
  <si>
    <t>(496x140x584)</t>
  </si>
  <si>
    <t>(240x117x80)</t>
  </si>
  <si>
    <t>(226x140x684)</t>
  </si>
  <si>
    <t>(577x226x140)</t>
  </si>
  <si>
    <t>(564x123x484)</t>
  </si>
  <si>
    <t>(634x88x649)</t>
  </si>
  <si>
    <t>(634x123x577)</t>
  </si>
  <si>
    <t>(669x88x649)</t>
  </si>
  <si>
    <t>(594x88x649)</t>
  </si>
  <si>
    <t>(564x88x649)</t>
  </si>
  <si>
    <t>(336x88x649)</t>
  </si>
  <si>
    <t>(594x123x577)</t>
  </si>
  <si>
    <t>(669x123x577)</t>
  </si>
  <si>
    <t>(419x123x584)</t>
  </si>
  <si>
    <t>(287x123x584)</t>
  </si>
  <si>
    <t>(669x123x584)</t>
  </si>
  <si>
    <t>(419x123x577)</t>
  </si>
  <si>
    <t>(287x140x584)</t>
  </si>
  <si>
    <t>(226x88x649)</t>
  </si>
  <si>
    <t>(336x140x577)</t>
  </si>
  <si>
    <t>(336x140x684)</t>
  </si>
  <si>
    <t>(634x88x399)</t>
  </si>
  <si>
    <t>(496x88x399)</t>
  </si>
  <si>
    <t>(594x88x399)</t>
  </si>
  <si>
    <t>(287x88x399)</t>
  </si>
  <si>
    <t>(1750x88x707)</t>
  </si>
  <si>
    <t>(9350x2460x2170)</t>
  </si>
  <si>
    <t>(1740x50x50)</t>
  </si>
  <si>
    <t>(2910x2970x718)</t>
  </si>
  <si>
    <t>(4732x500x520)</t>
  </si>
  <si>
    <t>(2910x835x240)</t>
  </si>
  <si>
    <t>(10000x2881x2805)</t>
  </si>
  <si>
    <t>(6610x2700x2656)</t>
  </si>
  <si>
    <t>(2704x2850x2649)</t>
  </si>
  <si>
    <t>(7000x2525x2579)</t>
  </si>
  <si>
    <t>(7300x2089x2053)</t>
  </si>
  <si>
    <t>(8000x2089x2162)</t>
  </si>
  <si>
    <t>(500x50x50)</t>
  </si>
  <si>
    <t>(7332x240x436)</t>
  </si>
  <si>
    <t>(500x120x160)</t>
  </si>
  <si>
    <t>(1090x2075x400)</t>
  </si>
  <si>
    <t>(890x267x360)</t>
  </si>
  <si>
    <t>(3340x120x160)</t>
  </si>
  <si>
    <t>(1159x80x80)</t>
  </si>
  <si>
    <t>(933x80x80)</t>
  </si>
  <si>
    <t>(1930x90x459)</t>
  </si>
  <si>
    <t>(834x80x80)</t>
  </si>
  <si>
    <t>(1719x80x80)</t>
  </si>
  <si>
    <t>(1170x80x80)</t>
  </si>
  <si>
    <t>(1005x264x370)</t>
  </si>
  <si>
    <t>(1254x288x480)</t>
  </si>
  <si>
    <t>(2100x50x959)</t>
  </si>
  <si>
    <t>(2100x50x998)</t>
  </si>
  <si>
    <t>(2100x50x832)</t>
  </si>
  <si>
    <t>(2100x50x1081)</t>
  </si>
  <si>
    <t>(998x50x1975)</t>
  </si>
  <si>
    <t>(1975x50x998)</t>
  </si>
  <si>
    <t>(2100x50x1154)</t>
  </si>
  <si>
    <t>(998x50x2100)</t>
  </si>
  <si>
    <t>(957x211x1940)</t>
  </si>
  <si>
    <t>(1238x302x1940)</t>
  </si>
  <si>
    <t>(1238x303x1940)</t>
  </si>
  <si>
    <t>(982x251x1940)</t>
  </si>
  <si>
    <t>(821x187x1940)</t>
  </si>
  <si>
    <t>(985x322x1940)</t>
  </si>
  <si>
    <t>(986x316x1940)</t>
  </si>
  <si>
    <t>(2100x50x1248)</t>
  </si>
  <si>
    <t>(1271x193x1000)</t>
  </si>
  <si>
    <t>(1215x408x1000)</t>
  </si>
  <si>
    <t>(2100x50x1082)</t>
  </si>
  <si>
    <t>(2100x50x1083)</t>
  </si>
  <si>
    <t>(1205x50x1082)</t>
  </si>
  <si>
    <t>(2100x50x767)</t>
  </si>
  <si>
    <t>(2100x50x812)</t>
  </si>
  <si>
    <t>(919x50x1611)</t>
  </si>
  <si>
    <t>(1169x50x998)</t>
  </si>
  <si>
    <t>(640x50x998)</t>
  </si>
  <si>
    <t>(2100x50x792)</t>
  </si>
  <si>
    <t>(936x211x1940)</t>
  </si>
  <si>
    <t>(948x199x1940)</t>
  </si>
  <si>
    <t>(975x231x1940)</t>
  </si>
  <si>
    <t>(960x251x1940)</t>
  </si>
  <si>
    <t>(812x173x1940)</t>
  </si>
  <si>
    <t>(799x186x1940)</t>
  </si>
  <si>
    <t>(1254x287x860)</t>
  </si>
  <si>
    <t>(2100x50x1217)</t>
  </si>
  <si>
    <t>(2100x50x1216)</t>
  </si>
  <si>
    <t>(50x5x50)</t>
  </si>
  <si>
    <t>(880x50x999)</t>
  </si>
  <si>
    <t>(640x50x959)</t>
  </si>
  <si>
    <t>(580x50x999)</t>
  </si>
  <si>
    <t>(580x50x1216)</t>
  </si>
  <si>
    <t>(1800x50x812)</t>
  </si>
  <si>
    <t>(1169x50x812)</t>
  </si>
  <si>
    <t>(1205x50x514)</t>
  </si>
  <si>
    <t>(514x50x1205)</t>
  </si>
  <si>
    <t>(290x50x959)</t>
  </si>
  <si>
    <t>(269x50x812)</t>
  </si>
  <si>
    <t>(290x50x979)</t>
  </si>
  <si>
    <t>(514x50x325)</t>
  </si>
  <si>
    <t>(1010x50x325)</t>
  </si>
  <si>
    <t>(2100x10x950)</t>
  </si>
  <si>
    <t>(1205x50x1010)</t>
  </si>
  <si>
    <t>(2100x10x1100)</t>
  </si>
  <si>
    <t>(720x367x1010)</t>
  </si>
  <si>
    <t>(420x367x720)</t>
  </si>
  <si>
    <t>(380x390x710)</t>
  </si>
  <si>
    <t>(684x380x287)</t>
  </si>
  <si>
    <t>Shipment 2</t>
  </si>
  <si>
    <t>HTR02</t>
  </si>
  <si>
    <t>HTR03</t>
  </si>
  <si>
    <t>HTR04</t>
  </si>
  <si>
    <t>HTR06</t>
  </si>
  <si>
    <t>HEATER</t>
  </si>
  <si>
    <t>280-PP-111</t>
  </si>
  <si>
    <t>B272-400-AS-280-PP-111</t>
  </si>
  <si>
    <t>Bỏ</t>
  </si>
  <si>
    <t>280-PP-113</t>
  </si>
  <si>
    <t>280-PP-119</t>
  </si>
  <si>
    <t>280-PP-120</t>
  </si>
  <si>
    <t>B272-400-AS-280-PP-113</t>
  </si>
  <si>
    <t>B272-400-AS-280-PP-119</t>
  </si>
  <si>
    <t>B272-400-AS-280-PP-120</t>
  </si>
  <si>
    <t>(652x50x148)</t>
  </si>
  <si>
    <t>(723x10x217)</t>
  </si>
  <si>
    <t>B272-003</t>
  </si>
  <si>
    <t>B272-002</t>
  </si>
  <si>
    <t>B272-004</t>
  </si>
  <si>
    <t>B272-005</t>
  </si>
  <si>
    <t>B272-006</t>
  </si>
  <si>
    <t>B272-007</t>
  </si>
  <si>
    <t>B272-008</t>
  </si>
  <si>
    <t>B272-009</t>
  </si>
  <si>
    <t>B272-010</t>
  </si>
  <si>
    <t>B272-011</t>
  </si>
  <si>
    <t>B272-012</t>
  </si>
  <si>
    <t>B272-010-1</t>
  </si>
  <si>
    <t>B272-013</t>
  </si>
  <si>
    <t>B272-014</t>
  </si>
  <si>
    <t>B272-015</t>
  </si>
  <si>
    <t>B272-016</t>
  </si>
  <si>
    <t>B272-017</t>
  </si>
  <si>
    <t>B272-018</t>
  </si>
  <si>
    <t>B272-400-AS-340-SB-001</t>
  </si>
  <si>
    <t>340-SB-001</t>
  </si>
  <si>
    <t>(10492x640x273)</t>
  </si>
  <si>
    <t>Đòn gánh</t>
  </si>
  <si>
    <t>Spreader Beam</t>
  </si>
  <si>
    <t>B272-019</t>
  </si>
  <si>
    <t>B272-020</t>
  </si>
  <si>
    <t>B272-021</t>
  </si>
  <si>
    <t>B272-023</t>
  </si>
  <si>
    <t>B272-026</t>
  </si>
  <si>
    <t>B272-022</t>
  </si>
  <si>
    <t>B272-027</t>
  </si>
  <si>
    <t>B272-024</t>
  </si>
  <si>
    <t>S2</t>
  </si>
  <si>
    <t>S3</t>
  </si>
  <si>
    <t>S4</t>
  </si>
  <si>
    <t>B272-028</t>
  </si>
  <si>
    <t>Bolt</t>
  </si>
  <si>
    <t>CLAMPS</t>
  </si>
  <si>
    <t>Washer</t>
  </si>
  <si>
    <t>SLOTTED HEX HEAD</t>
  </si>
  <si>
    <t>B272-029</t>
  </si>
  <si>
    <t>GMC</t>
  </si>
  <si>
    <t>B272-025</t>
  </si>
  <si>
    <t>010-RF-016</t>
  </si>
  <si>
    <t>010-RF-017</t>
  </si>
  <si>
    <t>010-RF-019</t>
  </si>
  <si>
    <t>010-RF-020</t>
  </si>
  <si>
    <t>010-RF-021</t>
  </si>
  <si>
    <t>030-RW-027</t>
  </si>
  <si>
    <t>030-RW-033</t>
  </si>
  <si>
    <t>040-HB-021</t>
  </si>
  <si>
    <t>040-HB-022</t>
  </si>
  <si>
    <t>040-HB-023</t>
  </si>
  <si>
    <t>040-HB-045</t>
  </si>
  <si>
    <t>040-HB-046</t>
  </si>
  <si>
    <t>040-HB-048</t>
  </si>
  <si>
    <t>040-HB-049</t>
  </si>
  <si>
    <t>040-HB-050</t>
  </si>
  <si>
    <t>040-HB-051</t>
  </si>
  <si>
    <t>040-HB-055</t>
  </si>
  <si>
    <t>040-HB-056</t>
  </si>
  <si>
    <t>040-HB-057</t>
  </si>
  <si>
    <t>040-HB-058</t>
  </si>
  <si>
    <t>040-HB-059</t>
  </si>
  <si>
    <t>040-HB-060</t>
  </si>
  <si>
    <t>040-HB-061</t>
  </si>
  <si>
    <t>040-HB-062</t>
  </si>
  <si>
    <t>040-HB-068</t>
  </si>
  <si>
    <t>040-HB-070</t>
  </si>
  <si>
    <t>040-HB-071</t>
  </si>
  <si>
    <t>120-CV-001</t>
  </si>
  <si>
    <t>120-CV-002</t>
  </si>
  <si>
    <t>120-CV-007</t>
  </si>
  <si>
    <t>130-ET-001</t>
  </si>
  <si>
    <t>130-ET-010</t>
  </si>
  <si>
    <t>140-HB-004</t>
  </si>
  <si>
    <t>140-HB-006</t>
  </si>
  <si>
    <t>140-HB-015</t>
  </si>
  <si>
    <t>140-HB-016</t>
  </si>
  <si>
    <t>140-HB-017</t>
  </si>
  <si>
    <t>140-HB-027</t>
  </si>
  <si>
    <t>140-HB-028</t>
  </si>
  <si>
    <t>140-HB-036</t>
  </si>
  <si>
    <t>140-HB-050</t>
  </si>
  <si>
    <t>140-HB-055</t>
  </si>
  <si>
    <t>140-HB-060</t>
  </si>
  <si>
    <t>140-HB-061</t>
  </si>
  <si>
    <t>190-BR-002</t>
  </si>
  <si>
    <t>200-LS-002</t>
  </si>
  <si>
    <t>280-PP-001</t>
  </si>
  <si>
    <t>280-PP-014</t>
  </si>
  <si>
    <t>280-PP-038</t>
  </si>
  <si>
    <t>280-PP-049</t>
  </si>
  <si>
    <t>280-PP-052</t>
  </si>
  <si>
    <t>280-PP-056</t>
  </si>
  <si>
    <t>280-PP-057</t>
  </si>
  <si>
    <t>280-PP-084</t>
  </si>
  <si>
    <t>280-PP-086</t>
  </si>
  <si>
    <t>290-AD-001</t>
  </si>
  <si>
    <t>290-AD-002</t>
  </si>
  <si>
    <t>370-SD-001</t>
  </si>
  <si>
    <t>370-SD-002</t>
  </si>
  <si>
    <t>B272-030</t>
  </si>
  <si>
    <t>B272-400-AS-020-LL-001</t>
  </si>
  <si>
    <t>020-LL-001</t>
  </si>
  <si>
    <t>B272-400-AS-020-LL-002</t>
  </si>
  <si>
    <t>020-LL-002</t>
  </si>
  <si>
    <t>B272-400-AS-030-LL-001</t>
  </si>
  <si>
    <t>030-LL-001</t>
  </si>
  <si>
    <t>B272-400-AS-030-LL-002</t>
  </si>
  <si>
    <t>030-LL-002</t>
  </si>
  <si>
    <t>B272-400-AS-030-LL-003</t>
  </si>
  <si>
    <t>030-LL-003</t>
  </si>
  <si>
    <t>B272-400-AS-030-LL-004</t>
  </si>
  <si>
    <t>030-LL-004</t>
  </si>
  <si>
    <t>B272-400-AS-030-LL-005</t>
  </si>
  <si>
    <t>030-LL-005</t>
  </si>
  <si>
    <t>B272-400-AS-030-LL-006</t>
  </si>
  <si>
    <t>030-LL-006</t>
  </si>
  <si>
    <t>B272-400-AS-030-LL-007</t>
  </si>
  <si>
    <t>030-LL-007</t>
  </si>
  <si>
    <t>B272-400-AS-030-LL-008</t>
  </si>
  <si>
    <t>030-LL-008</t>
  </si>
  <si>
    <t>(240x217x220)</t>
  </si>
  <si>
    <t>(300x217x220)</t>
  </si>
  <si>
    <t>(240x20x394)</t>
  </si>
  <si>
    <t>(320x217x220)</t>
  </si>
  <si>
    <t>(390x217x220)</t>
  </si>
  <si>
    <t>(180x217x400)</t>
  </si>
  <si>
    <t>Lifting lug</t>
  </si>
  <si>
    <t>B272-031</t>
  </si>
  <si>
    <t>B272-031-1</t>
  </si>
  <si>
    <t>B272-032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</si>
</sst>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B272-400-AM2-FN-031(28.09-Visual%20Dimension).xlsx" TargetMode="External"/><Relationship Id="rId1" Type="http://schemas.openxmlformats.org/officeDocument/2006/relationships/externalLinkPath" Target="file:///C:\Users\DELL\AppData\Local\Temp\Zalo%20Temp\TempDownloads\RQ-B272-400-AM2-FN-031(28.09-Visual%20Dimension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.D&#7921;%20&#225;n/01.D&#7921;%20&#225;n%20&#273;ang%20tri&#7875;n%20khai/B272%20Algeria%20Project/05.Fabrication/05.Scope%20Unit/B272-400-APL-003_Rev_8A%20-%20Assembly%20Part%20List%20(SM2).ph&#226;n%20chia%20l&#7841;i%20ph&#7847;n%20l&#432;&#7899;i.xlsx" TargetMode="External"/><Relationship Id="rId2" Type="http://schemas.openxmlformats.org/officeDocument/2006/relationships/externalLinkPath" Target="file:///D:\AMECC%20JSC\Amecc%202\02.D&#7921;%20&#225;n\01.D&#7921;%20&#225;n%20&#273;ang%20tri&#7875;n%20khai\B272%20Algeria%20Project\05.Fabrication\05.Scope%20Unit\B272-400-APL-003_Rev_8A%20-%20Assembly%20Part%20List%20(SM2).ph&#226;n%20chia%20l&#7841;i%20ph&#7847;n%20l&#432;&#7899;i.xlsx" TargetMode="External"/><Relationship Id="rId1" Type="http://schemas.openxmlformats.org/officeDocument/2006/relationships/externalLinkPath" Target="/AMECC%20JSC/Amecc%202/02.D&#7921;%20&#225;n/01.D&#7921;%20&#225;n%20&#273;ang%20tri&#7875;n%20khai/B272%20Algeria%20Project/05.Fabrication/05.Scope%20Unit/B272-400-APL-003_Rev_8A%20-%20Assembly%20Part%20List%20(SM2).ph&#226;n%20chia%20l&#7841;i%20ph&#7847;n%20l&#432;&#7899;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B272-400-AM2-FN-031.xlsx" TargetMode="External"/><Relationship Id="rId1" Type="http://schemas.openxmlformats.org/officeDocument/2006/relationships/externalLinkPath" Target="file:///C:\Users\DELL\AppData\Local\Temp\Zalo%20Temp\TempDownloads\B272-400-AM2-FN-0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F9">
            <v>1</v>
          </cell>
          <cell r="K9" t="str">
            <v>280-PP-007</v>
          </cell>
        </row>
        <row r="10">
          <cell r="F10">
            <v>1</v>
          </cell>
          <cell r="K10" t="str">
            <v>280-PP-008</v>
          </cell>
        </row>
        <row r="11">
          <cell r="F11">
            <v>1</v>
          </cell>
          <cell r="K11" t="str">
            <v>280-PP-009</v>
          </cell>
        </row>
        <row r="12">
          <cell r="F12">
            <v>1</v>
          </cell>
          <cell r="K12" t="str">
            <v>280-PP-023</v>
          </cell>
        </row>
        <row r="13">
          <cell r="F13">
            <v>1</v>
          </cell>
          <cell r="K13" t="str">
            <v>280-PP-024</v>
          </cell>
        </row>
        <row r="14">
          <cell r="F14">
            <v>1</v>
          </cell>
          <cell r="K14" t="str">
            <v>280-PP-025</v>
          </cell>
        </row>
        <row r="15">
          <cell r="F15">
            <v>1</v>
          </cell>
          <cell r="K15" t="str">
            <v>280-PP-039</v>
          </cell>
        </row>
        <row r="16">
          <cell r="F16">
            <v>1</v>
          </cell>
          <cell r="K16" t="str">
            <v>280-PP-044</v>
          </cell>
        </row>
        <row r="17">
          <cell r="F17">
            <v>1</v>
          </cell>
          <cell r="K17" t="str">
            <v>280-PP-045</v>
          </cell>
        </row>
        <row r="18">
          <cell r="F18">
            <v>1</v>
          </cell>
          <cell r="K18" t="str">
            <v>280-PP-046</v>
          </cell>
        </row>
        <row r="19">
          <cell r="F19">
            <v>1</v>
          </cell>
          <cell r="K19" t="str">
            <v>280-PP-047</v>
          </cell>
        </row>
        <row r="20">
          <cell r="F20">
            <v>1</v>
          </cell>
          <cell r="K20" t="str">
            <v>280-PP-048</v>
          </cell>
        </row>
        <row r="21">
          <cell r="F21">
            <v>1</v>
          </cell>
          <cell r="K21" t="str">
            <v>280-PP-054</v>
          </cell>
        </row>
        <row r="22">
          <cell r="F22">
            <v>1</v>
          </cell>
          <cell r="K22" t="str">
            <v>280-PP-055</v>
          </cell>
        </row>
        <row r="23">
          <cell r="F23">
            <v>1</v>
          </cell>
          <cell r="K23" t="str">
            <v>280-PP-082</v>
          </cell>
        </row>
        <row r="24">
          <cell r="F24">
            <v>1</v>
          </cell>
          <cell r="K24" t="str">
            <v>280-PP-083</v>
          </cell>
        </row>
        <row r="25">
          <cell r="F25">
            <v>1</v>
          </cell>
          <cell r="K25" t="str">
            <v>280-PP-085</v>
          </cell>
        </row>
        <row r="26">
          <cell r="F26">
            <v>1</v>
          </cell>
          <cell r="K26" t="str">
            <v>280-PP-087</v>
          </cell>
        </row>
        <row r="27">
          <cell r="F27">
            <v>1</v>
          </cell>
          <cell r="K27" t="str">
            <v>280-PP-088</v>
          </cell>
        </row>
        <row r="28">
          <cell r="F28">
            <v>1</v>
          </cell>
          <cell r="K28" t="str">
            <v>280-PP-089</v>
          </cell>
        </row>
        <row r="29">
          <cell r="F29">
            <v>1</v>
          </cell>
          <cell r="K29" t="str">
            <v>280-PP-093</v>
          </cell>
        </row>
        <row r="30">
          <cell r="F30">
            <v>1</v>
          </cell>
          <cell r="K30" t="str">
            <v>280-PP-094</v>
          </cell>
        </row>
        <row r="31">
          <cell r="F31">
            <v>1</v>
          </cell>
          <cell r="K31" t="str">
            <v>280-PP-103</v>
          </cell>
        </row>
        <row r="32">
          <cell r="F32">
            <v>1</v>
          </cell>
          <cell r="K32" t="str">
            <v>280-PP-104</v>
          </cell>
        </row>
        <row r="33">
          <cell r="F33">
            <v>1</v>
          </cell>
          <cell r="K33" t="str">
            <v>280-PP-105</v>
          </cell>
        </row>
        <row r="34">
          <cell r="F34">
            <v>1</v>
          </cell>
          <cell r="K34" t="str">
            <v>280-PP-114</v>
          </cell>
        </row>
        <row r="35">
          <cell r="F35">
            <v>1</v>
          </cell>
          <cell r="K35" t="str">
            <v>280-PP-001(1/4)</v>
          </cell>
        </row>
        <row r="36">
          <cell r="F36">
            <v>1</v>
          </cell>
          <cell r="K36" t="str">
            <v>280-PP-001(2/4)</v>
          </cell>
        </row>
        <row r="37">
          <cell r="F37">
            <v>1</v>
          </cell>
          <cell r="K37" t="str">
            <v>280-PP-001(3/4)</v>
          </cell>
        </row>
        <row r="38">
          <cell r="F38">
            <v>1</v>
          </cell>
          <cell r="K38" t="str">
            <v>280-PP-111</v>
          </cell>
        </row>
        <row r="39">
          <cell r="F39">
            <v>1</v>
          </cell>
          <cell r="K39" t="str">
            <v>280-PP-002</v>
          </cell>
        </row>
        <row r="40">
          <cell r="F40">
            <v>1</v>
          </cell>
          <cell r="K40" t="str">
            <v>280-PP-003</v>
          </cell>
        </row>
        <row r="41">
          <cell r="F41">
            <v>1</v>
          </cell>
          <cell r="K41" t="str">
            <v>280-PP-030</v>
          </cell>
        </row>
        <row r="42">
          <cell r="F42">
            <v>1</v>
          </cell>
          <cell r="K42" t="str">
            <v>280-PP-031</v>
          </cell>
        </row>
        <row r="43">
          <cell r="F43">
            <v>1</v>
          </cell>
          <cell r="K43" t="str">
            <v>280-PP-032</v>
          </cell>
        </row>
        <row r="44">
          <cell r="F44">
            <v>1</v>
          </cell>
          <cell r="K44" t="str">
            <v>280-PP-033</v>
          </cell>
        </row>
        <row r="45">
          <cell r="F45">
            <v>1</v>
          </cell>
          <cell r="K45" t="str">
            <v>280-PP-034</v>
          </cell>
        </row>
        <row r="46">
          <cell r="F46">
            <v>1</v>
          </cell>
          <cell r="K46" t="str">
            <v>280-PP-035</v>
          </cell>
        </row>
        <row r="47">
          <cell r="F47">
            <v>1</v>
          </cell>
          <cell r="K47" t="str">
            <v>280-PP-036</v>
          </cell>
        </row>
        <row r="48">
          <cell r="F48">
            <v>1</v>
          </cell>
          <cell r="K48" t="str">
            <v>280-PP-037</v>
          </cell>
        </row>
        <row r="49">
          <cell r="F49">
            <v>1</v>
          </cell>
          <cell r="K49" t="str">
            <v>280-PP-038(1/4)</v>
          </cell>
        </row>
        <row r="50">
          <cell r="F50">
            <v>1</v>
          </cell>
          <cell r="K50" t="str">
            <v>280-PP-038(2/4)</v>
          </cell>
        </row>
        <row r="51">
          <cell r="F51">
            <v>1</v>
          </cell>
          <cell r="K51" t="str">
            <v>280-PP-038(3/4)</v>
          </cell>
        </row>
        <row r="52">
          <cell r="F52">
            <v>1</v>
          </cell>
          <cell r="K52" t="str">
            <v>280-PP-038(4/4)</v>
          </cell>
        </row>
        <row r="53">
          <cell r="F53">
            <v>1</v>
          </cell>
          <cell r="K53" t="str">
            <v>280-PP-040</v>
          </cell>
        </row>
        <row r="54">
          <cell r="F54">
            <v>1</v>
          </cell>
          <cell r="K54" t="str">
            <v>280-PP-041</v>
          </cell>
        </row>
        <row r="55">
          <cell r="F55">
            <v>1</v>
          </cell>
          <cell r="K55" t="str">
            <v>280-PP-042</v>
          </cell>
        </row>
        <row r="56">
          <cell r="F56">
            <v>1</v>
          </cell>
          <cell r="K56" t="str">
            <v>280-PP-043</v>
          </cell>
        </row>
        <row r="57">
          <cell r="F57">
            <v>1</v>
          </cell>
          <cell r="K57" t="str">
            <v>280-PP-073</v>
          </cell>
        </row>
        <row r="58">
          <cell r="F58">
            <v>1</v>
          </cell>
          <cell r="K58" t="str">
            <v>280-PP-074</v>
          </cell>
        </row>
        <row r="59">
          <cell r="F59">
            <v>1</v>
          </cell>
          <cell r="K59" t="str">
            <v>280-PP-075</v>
          </cell>
        </row>
        <row r="60">
          <cell r="F60">
            <v>1</v>
          </cell>
          <cell r="K60" t="str">
            <v>280-PP-076</v>
          </cell>
        </row>
        <row r="61">
          <cell r="F61">
            <v>1</v>
          </cell>
          <cell r="K61" t="str">
            <v>280-PP-077</v>
          </cell>
        </row>
        <row r="62">
          <cell r="F62">
            <v>1</v>
          </cell>
          <cell r="K62" t="str">
            <v>280-PP-078</v>
          </cell>
        </row>
        <row r="63">
          <cell r="F63">
            <v>1</v>
          </cell>
          <cell r="K63" t="str">
            <v>280-PP-079</v>
          </cell>
        </row>
        <row r="64">
          <cell r="F64">
            <v>1</v>
          </cell>
          <cell r="K64" t="str">
            <v>280-PP-080</v>
          </cell>
        </row>
        <row r="65">
          <cell r="F65">
            <v>1</v>
          </cell>
          <cell r="K65" t="str">
            <v>280-PP-081</v>
          </cell>
        </row>
        <row r="66">
          <cell r="F66">
            <v>1</v>
          </cell>
          <cell r="K66" t="str">
            <v>280-PP-109</v>
          </cell>
        </row>
        <row r="67">
          <cell r="F67">
            <v>1</v>
          </cell>
          <cell r="K67" t="str">
            <v>280-PP-110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v1"/>
      <sheetName val="Rev2"/>
      <sheetName val="Chia CT Rev01"/>
      <sheetName val="Chia CT Rev2"/>
      <sheetName val="Rev3"/>
      <sheetName val="Rev4"/>
      <sheetName val="Chia CT Rev3"/>
      <sheetName val="Chia CT Rev5"/>
      <sheetName val="Rev6"/>
      <sheetName val="Rev7A"/>
      <sheetName val="Rev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E6" t="str">
            <v>Phân loại</v>
          </cell>
        </row>
        <row r="7">
          <cell r="B7" t="str">
            <v>DCC</v>
          </cell>
          <cell r="E7" t="str">
            <v>DCC</v>
          </cell>
        </row>
        <row r="8">
          <cell r="B8" t="str">
            <v>Drawing Number</v>
          </cell>
          <cell r="E8" t="str">
            <v>Part No.</v>
          </cell>
        </row>
        <row r="9">
          <cell r="B9" t="str">
            <v>2</v>
          </cell>
          <cell r="E9" t="str">
            <v>5A
(Marking as Dwg.)</v>
          </cell>
        </row>
        <row r="10">
          <cell r="B10" t="str">
            <v>B272-400-AS-120-CV-001</v>
          </cell>
        </row>
        <row r="11">
          <cell r="B11" t="str">
            <v>B272-400-AS-120-CV-001</v>
          </cell>
          <cell r="E11" t="str">
            <v>A-14</v>
          </cell>
        </row>
        <row r="12">
          <cell r="B12" t="str">
            <v>B272-400-AS-120-CV-001</v>
          </cell>
          <cell r="E12" t="str">
            <v>P-473</v>
          </cell>
        </row>
        <row r="13">
          <cell r="B13" t="str">
            <v>B272-400-AS-120-CV-001</v>
          </cell>
          <cell r="E13" t="str">
            <v>B2055</v>
          </cell>
        </row>
        <row r="14">
          <cell r="B14" t="str">
            <v>B272-400-AS-120-CV-001</v>
          </cell>
          <cell r="E14" t="str">
            <v>B2065</v>
          </cell>
        </row>
        <row r="15">
          <cell r="B15" t="str">
            <v>B272-400-AS-120-CV-001</v>
          </cell>
        </row>
        <row r="16">
          <cell r="B16" t="str">
            <v>B272-400-AS-120-CV-001</v>
          </cell>
          <cell r="E16" t="str">
            <v>A-14</v>
          </cell>
        </row>
        <row r="17">
          <cell r="B17" t="str">
            <v>B272-400-AS-120-CV-001</v>
          </cell>
          <cell r="E17" t="str">
            <v>P-473</v>
          </cell>
        </row>
        <row r="18">
          <cell r="B18" t="str">
            <v>B272-400-AS-120-CV-001</v>
          </cell>
          <cell r="E18" t="str">
            <v>B2055</v>
          </cell>
        </row>
        <row r="19">
          <cell r="B19" t="str">
            <v>B272-400-AS-120-CV-001</v>
          </cell>
          <cell r="E19" t="str">
            <v>B2065</v>
          </cell>
        </row>
        <row r="20">
          <cell r="B20" t="str">
            <v>B272-400-AS-120-CV-001</v>
          </cell>
        </row>
        <row r="21">
          <cell r="B21" t="str">
            <v>B272-400-AS-120-CV-001</v>
          </cell>
          <cell r="E21" t="str">
            <v>A-14</v>
          </cell>
        </row>
        <row r="22">
          <cell r="B22" t="str">
            <v>B272-400-AS-120-CV-001</v>
          </cell>
          <cell r="E22" t="str">
            <v>P-473</v>
          </cell>
        </row>
        <row r="23">
          <cell r="B23" t="str">
            <v>B272-400-AS-120-CV-001</v>
          </cell>
          <cell r="E23" t="str">
            <v>B2055</v>
          </cell>
        </row>
        <row r="24">
          <cell r="B24" t="str">
            <v>B272-400-AS-120-CV-001</v>
          </cell>
          <cell r="E24" t="str">
            <v>B2065</v>
          </cell>
        </row>
        <row r="25">
          <cell r="B25" t="str">
            <v>B272-400-AS-120-CV-001</v>
          </cell>
        </row>
        <row r="26">
          <cell r="B26" t="str">
            <v>B272-400-AS-120-CV-001</v>
          </cell>
          <cell r="E26" t="str">
            <v>A-14</v>
          </cell>
        </row>
        <row r="27">
          <cell r="B27" t="str">
            <v>B272-400-AS-120-CV-001</v>
          </cell>
          <cell r="E27" t="str">
            <v>P-473</v>
          </cell>
        </row>
        <row r="28">
          <cell r="B28" t="str">
            <v>B272-400-AS-120-CV-001</v>
          </cell>
          <cell r="E28" t="str">
            <v>B2055</v>
          </cell>
        </row>
        <row r="29">
          <cell r="B29" t="str">
            <v>B272-400-AS-120-CV-001</v>
          </cell>
          <cell r="E29" t="str">
            <v>B2065</v>
          </cell>
        </row>
        <row r="30">
          <cell r="B30" t="str">
            <v>B272-400-AS-120-CV-001</v>
          </cell>
        </row>
        <row r="31">
          <cell r="B31" t="str">
            <v>B272-400-AS-120-CV-001</v>
          </cell>
          <cell r="E31" t="str">
            <v>A-14</v>
          </cell>
        </row>
        <row r="32">
          <cell r="B32" t="str">
            <v>B272-400-AS-120-CV-001</v>
          </cell>
          <cell r="E32" t="str">
            <v>P-473</v>
          </cell>
        </row>
        <row r="33">
          <cell r="B33" t="str">
            <v>B272-400-AS-120-CV-001</v>
          </cell>
          <cell r="E33" t="str">
            <v>B2055</v>
          </cell>
        </row>
        <row r="34">
          <cell r="B34" t="str">
            <v>B272-400-AS-120-CV-001</v>
          </cell>
          <cell r="E34" t="str">
            <v>B2065</v>
          </cell>
        </row>
        <row r="35">
          <cell r="B35" t="str">
            <v>B272-400-AS-120-CV-001</v>
          </cell>
        </row>
        <row r="36">
          <cell r="B36" t="str">
            <v>B272-400-AS-120-CV-001</v>
          </cell>
          <cell r="E36" t="str">
            <v>A-14</v>
          </cell>
        </row>
        <row r="37">
          <cell r="B37" t="str">
            <v>B272-400-AS-120-CV-001</v>
          </cell>
          <cell r="E37" t="str">
            <v>P-473</v>
          </cell>
        </row>
        <row r="38">
          <cell r="B38" t="str">
            <v>B272-400-AS-120-CV-001</v>
          </cell>
          <cell r="E38" t="str">
            <v>B2055</v>
          </cell>
        </row>
        <row r="39">
          <cell r="B39" t="str">
            <v>B272-400-AS-120-CV-001</v>
          </cell>
          <cell r="E39" t="str">
            <v>B2065</v>
          </cell>
        </row>
        <row r="40">
          <cell r="B40" t="str">
            <v>B272-400-AS-120-CV-001</v>
          </cell>
        </row>
        <row r="41">
          <cell r="B41" t="str">
            <v>B272-400-AS-120-CV-001</v>
          </cell>
          <cell r="E41" t="str">
            <v>A-14</v>
          </cell>
        </row>
        <row r="42">
          <cell r="B42" t="str">
            <v>B272-400-AS-120-CV-001</v>
          </cell>
          <cell r="E42" t="str">
            <v>P-473</v>
          </cell>
        </row>
        <row r="43">
          <cell r="B43" t="str">
            <v>B272-400-AS-120-CV-001</v>
          </cell>
          <cell r="E43" t="str">
            <v>B2055</v>
          </cell>
        </row>
        <row r="44">
          <cell r="B44" t="str">
            <v>B272-400-AS-120-CV-001</v>
          </cell>
          <cell r="E44" t="str">
            <v>B2065</v>
          </cell>
        </row>
        <row r="45">
          <cell r="B45" t="str">
            <v>B272-400-AS-120-CV-001</v>
          </cell>
        </row>
        <row r="46">
          <cell r="B46" t="str">
            <v>B272-400-AS-120-CV-001</v>
          </cell>
          <cell r="E46" t="str">
            <v>A-14</v>
          </cell>
        </row>
        <row r="47">
          <cell r="B47" t="str">
            <v>B272-400-AS-120-CV-001</v>
          </cell>
          <cell r="E47" t="str">
            <v>P-473</v>
          </cell>
        </row>
        <row r="48">
          <cell r="B48" t="str">
            <v>B272-400-AS-120-CV-001</v>
          </cell>
          <cell r="E48" t="str">
            <v>B2055</v>
          </cell>
        </row>
        <row r="49">
          <cell r="B49" t="str">
            <v>B272-400-AS-120-CV-001</v>
          </cell>
          <cell r="E49" t="str">
            <v>B2065</v>
          </cell>
        </row>
        <row r="50">
          <cell r="B50" t="str">
            <v>B272-400-AS-120-CV-001</v>
          </cell>
        </row>
        <row r="51">
          <cell r="B51" t="str">
            <v>B272-400-AS-120-CV-001</v>
          </cell>
          <cell r="E51" t="str">
            <v>A-14</v>
          </cell>
        </row>
        <row r="52">
          <cell r="B52" t="str">
            <v>B272-400-AS-120-CV-001</v>
          </cell>
          <cell r="E52" t="str">
            <v>P-473</v>
          </cell>
        </row>
        <row r="53">
          <cell r="B53" t="str">
            <v>B272-400-AS-120-CV-001</v>
          </cell>
          <cell r="E53" t="str">
            <v>B2055</v>
          </cell>
        </row>
        <row r="54">
          <cell r="B54" t="str">
            <v>B272-400-AS-120-CV-001</v>
          </cell>
          <cell r="E54" t="str">
            <v>B2065</v>
          </cell>
        </row>
        <row r="55">
          <cell r="B55" t="str">
            <v>B272-400-AS-120-CV-001</v>
          </cell>
        </row>
        <row r="56">
          <cell r="B56" t="str">
            <v>B272-400-AS-120-CV-001</v>
          </cell>
          <cell r="E56" t="str">
            <v>A-14</v>
          </cell>
        </row>
        <row r="57">
          <cell r="B57" t="str">
            <v>B272-400-AS-120-CV-001</v>
          </cell>
          <cell r="E57" t="str">
            <v>P-473</v>
          </cell>
        </row>
        <row r="58">
          <cell r="B58" t="str">
            <v>B272-400-AS-120-CV-001</v>
          </cell>
          <cell r="E58" t="str">
            <v>B2055</v>
          </cell>
        </row>
        <row r="59">
          <cell r="B59" t="str">
            <v>B272-400-AS-120-CV-001</v>
          </cell>
          <cell r="E59" t="str">
            <v>B2065</v>
          </cell>
        </row>
        <row r="60">
          <cell r="B60" t="str">
            <v>B272-400-AS-120-CV-001</v>
          </cell>
        </row>
        <row r="61">
          <cell r="B61" t="str">
            <v>B272-400-AS-120-CV-001</v>
          </cell>
          <cell r="E61" t="str">
            <v>A-14</v>
          </cell>
        </row>
        <row r="62">
          <cell r="B62" t="str">
            <v>B272-400-AS-120-CV-001</v>
          </cell>
          <cell r="E62" t="str">
            <v>P-473</v>
          </cell>
        </row>
        <row r="63">
          <cell r="B63" t="str">
            <v>B272-400-AS-120-CV-001</v>
          </cell>
          <cell r="E63" t="str">
            <v>B2055</v>
          </cell>
        </row>
        <row r="64">
          <cell r="B64" t="str">
            <v>B272-400-AS-120-CV-001</v>
          </cell>
          <cell r="E64" t="str">
            <v>B2065</v>
          </cell>
        </row>
        <row r="65">
          <cell r="B65" t="str">
            <v>B272-400-AS-120-CV-001</v>
          </cell>
        </row>
        <row r="66">
          <cell r="B66" t="str">
            <v>B272-400-AS-120-CV-001</v>
          </cell>
          <cell r="E66" t="str">
            <v>A-14</v>
          </cell>
        </row>
        <row r="67">
          <cell r="B67" t="str">
            <v>B272-400-AS-120-CV-001</v>
          </cell>
          <cell r="E67" t="str">
            <v>P-473</v>
          </cell>
        </row>
        <row r="68">
          <cell r="B68" t="str">
            <v>B272-400-AS-120-CV-001</v>
          </cell>
          <cell r="E68" t="str">
            <v>B2055</v>
          </cell>
        </row>
        <row r="69">
          <cell r="B69" t="str">
            <v>B272-400-AS-120-CV-001</v>
          </cell>
          <cell r="E69" t="str">
            <v>B2065</v>
          </cell>
        </row>
        <row r="70">
          <cell r="B70" t="str">
            <v>B272-400-AS-120-CV-001</v>
          </cell>
        </row>
        <row r="71">
          <cell r="B71" t="str">
            <v>B272-400-AS-120-CV-001</v>
          </cell>
          <cell r="E71" t="str">
            <v>A-14</v>
          </cell>
        </row>
        <row r="72">
          <cell r="B72" t="str">
            <v>B272-400-AS-120-CV-001</v>
          </cell>
          <cell r="E72" t="str">
            <v>P-473</v>
          </cell>
        </row>
        <row r="73">
          <cell r="B73" t="str">
            <v>B272-400-AS-120-CV-001</v>
          </cell>
          <cell r="E73" t="str">
            <v>B2055</v>
          </cell>
        </row>
        <row r="74">
          <cell r="B74" t="str">
            <v>B272-400-AS-120-CV-001</v>
          </cell>
          <cell r="E74" t="str">
            <v>B2065</v>
          </cell>
        </row>
        <row r="75">
          <cell r="B75" t="str">
            <v>B272-400-AS-120-CV-001</v>
          </cell>
        </row>
        <row r="76">
          <cell r="B76" t="str">
            <v>B272-400-AS-120-CV-001</v>
          </cell>
          <cell r="E76" t="str">
            <v>A-14</v>
          </cell>
        </row>
        <row r="77">
          <cell r="B77" t="str">
            <v>B272-400-AS-120-CV-001</v>
          </cell>
          <cell r="E77" t="str">
            <v>P-473</v>
          </cell>
        </row>
        <row r="78">
          <cell r="B78" t="str">
            <v>B272-400-AS-120-CV-001</v>
          </cell>
          <cell r="E78" t="str">
            <v>B2055</v>
          </cell>
        </row>
        <row r="79">
          <cell r="B79" t="str">
            <v>B272-400-AS-120-CV-001</v>
          </cell>
          <cell r="E79" t="str">
            <v>B2065</v>
          </cell>
        </row>
        <row r="80">
          <cell r="B80" t="str">
            <v>B272-400-AS-120-CV-001</v>
          </cell>
        </row>
        <row r="81">
          <cell r="B81" t="str">
            <v>B272-400-AS-120-CV-001</v>
          </cell>
          <cell r="E81" t="str">
            <v>A-14</v>
          </cell>
        </row>
        <row r="82">
          <cell r="B82" t="str">
            <v>B272-400-AS-120-CV-001</v>
          </cell>
          <cell r="E82" t="str">
            <v>P-473</v>
          </cell>
        </row>
        <row r="83">
          <cell r="B83" t="str">
            <v>B272-400-AS-120-CV-001</v>
          </cell>
          <cell r="E83" t="str">
            <v>B2055</v>
          </cell>
        </row>
        <row r="84">
          <cell r="B84" t="str">
            <v>B272-400-AS-120-CV-001</v>
          </cell>
          <cell r="E84" t="str">
            <v>B2065</v>
          </cell>
        </row>
        <row r="85">
          <cell r="B85" t="str">
            <v>B272-400-AS-120-CV-001</v>
          </cell>
        </row>
        <row r="86">
          <cell r="B86" t="str">
            <v>B272-400-AS-120-CV-001</v>
          </cell>
          <cell r="E86" t="str">
            <v>A-14</v>
          </cell>
        </row>
        <row r="87">
          <cell r="B87" t="str">
            <v>B272-400-AS-120-CV-001</v>
          </cell>
          <cell r="E87" t="str">
            <v>P-473</v>
          </cell>
        </row>
        <row r="88">
          <cell r="B88" t="str">
            <v>B272-400-AS-120-CV-001</v>
          </cell>
          <cell r="E88" t="str">
            <v>B2055</v>
          </cell>
        </row>
        <row r="89">
          <cell r="B89" t="str">
            <v>B272-400-AS-120-CV-001</v>
          </cell>
          <cell r="E89" t="str">
            <v>B2065</v>
          </cell>
        </row>
        <row r="90">
          <cell r="B90" t="str">
            <v>B272-400-AS-120-CV-002</v>
          </cell>
        </row>
        <row r="91">
          <cell r="B91" t="str">
            <v>B272-400-AS-120-CV-002</v>
          </cell>
          <cell r="E91" t="str">
            <v>A-15</v>
          </cell>
        </row>
        <row r="92">
          <cell r="B92" t="str">
            <v>B272-400-AS-120-CV-002</v>
          </cell>
          <cell r="E92" t="str">
            <v>P-473(1/2)</v>
          </cell>
        </row>
        <row r="93">
          <cell r="B93" t="str">
            <v>B272-400-AS-120-CV-002</v>
          </cell>
          <cell r="E93" t="str">
            <v>P-473(2/2)</v>
          </cell>
        </row>
        <row r="94">
          <cell r="B94" t="str">
            <v>B272-400-AS-120-CV-002</v>
          </cell>
          <cell r="E94" t="str">
            <v>B2065</v>
          </cell>
        </row>
        <row r="95">
          <cell r="B95" t="str">
            <v>B272-400-AS-120-CV-002</v>
          </cell>
        </row>
        <row r="96">
          <cell r="B96" t="str">
            <v>B272-400-AS-120-CV-002</v>
          </cell>
          <cell r="E96" t="str">
            <v>A-15</v>
          </cell>
        </row>
        <row r="97">
          <cell r="B97" t="str">
            <v>B272-400-AS-120-CV-002</v>
          </cell>
          <cell r="E97" t="str">
            <v>P-473(1/2)</v>
          </cell>
        </row>
        <row r="98">
          <cell r="B98" t="str">
            <v>B272-400-AS-120-CV-002</v>
          </cell>
          <cell r="E98" t="str">
            <v>P-473(2/2)</v>
          </cell>
        </row>
        <row r="99">
          <cell r="B99" t="str">
            <v>B272-400-AS-120-CV-002</v>
          </cell>
          <cell r="E99" t="str">
            <v>B2065</v>
          </cell>
        </row>
        <row r="100">
          <cell r="B100" t="str">
            <v>B272-400-AS-120-CV-002</v>
          </cell>
        </row>
        <row r="101">
          <cell r="B101" t="str">
            <v>B272-400-AS-120-CV-002</v>
          </cell>
          <cell r="E101" t="str">
            <v>A-15</v>
          </cell>
        </row>
        <row r="102">
          <cell r="B102" t="str">
            <v>B272-400-AS-120-CV-002</v>
          </cell>
          <cell r="E102" t="str">
            <v>P-473(1/2)</v>
          </cell>
        </row>
        <row r="103">
          <cell r="B103" t="str">
            <v>B272-400-AS-120-CV-002</v>
          </cell>
          <cell r="E103" t="str">
            <v>P-473(2/2)</v>
          </cell>
        </row>
        <row r="104">
          <cell r="B104" t="str">
            <v>B272-400-AS-120-CV-002</v>
          </cell>
          <cell r="E104" t="str">
            <v>B2065</v>
          </cell>
        </row>
        <row r="105">
          <cell r="B105" t="str">
            <v>B272-400-AS-120-CV-002</v>
          </cell>
        </row>
        <row r="106">
          <cell r="B106" t="str">
            <v>B272-400-AS-120-CV-002</v>
          </cell>
          <cell r="E106" t="str">
            <v>A-15</v>
          </cell>
        </row>
        <row r="107">
          <cell r="B107" t="str">
            <v>B272-400-AS-120-CV-002</v>
          </cell>
          <cell r="E107" t="str">
            <v>P-473(1/2)</v>
          </cell>
        </row>
        <row r="108">
          <cell r="B108" t="str">
            <v>B272-400-AS-120-CV-002</v>
          </cell>
          <cell r="E108" t="str">
            <v>P-473(2/2)</v>
          </cell>
        </row>
        <row r="109">
          <cell r="B109" t="str">
            <v>B272-400-AS-120-CV-002</v>
          </cell>
          <cell r="E109" t="str">
            <v>B2065</v>
          </cell>
        </row>
        <row r="110">
          <cell r="B110" t="str">
            <v>B272-400-AS-120-CV-002</v>
          </cell>
        </row>
        <row r="111">
          <cell r="B111" t="str">
            <v>B272-400-AS-120-CV-002</v>
          </cell>
          <cell r="E111" t="str">
            <v>A-15</v>
          </cell>
        </row>
        <row r="112">
          <cell r="B112" t="str">
            <v>B272-400-AS-120-CV-002</v>
          </cell>
          <cell r="E112" t="str">
            <v>P-473(1/2)</v>
          </cell>
        </row>
        <row r="113">
          <cell r="B113" t="str">
            <v>B272-400-AS-120-CV-002</v>
          </cell>
          <cell r="E113" t="str">
            <v>P-473(2/2)</v>
          </cell>
        </row>
        <row r="114">
          <cell r="B114" t="str">
            <v>B272-400-AS-120-CV-002</v>
          </cell>
          <cell r="E114" t="str">
            <v>B2065</v>
          </cell>
        </row>
        <row r="115">
          <cell r="B115" t="str">
            <v>B272-400-AS-120-CV-002</v>
          </cell>
        </row>
        <row r="116">
          <cell r="B116" t="str">
            <v>B272-400-AS-120-CV-002</v>
          </cell>
          <cell r="E116" t="str">
            <v>A-15</v>
          </cell>
        </row>
        <row r="117">
          <cell r="B117" t="str">
            <v>B272-400-AS-120-CV-002</v>
          </cell>
          <cell r="E117" t="str">
            <v>P-473(1/2)</v>
          </cell>
        </row>
        <row r="118">
          <cell r="B118" t="str">
            <v>B272-400-AS-120-CV-002</v>
          </cell>
          <cell r="E118" t="str">
            <v>P-473(2/2)</v>
          </cell>
        </row>
        <row r="119">
          <cell r="B119" t="str">
            <v>B272-400-AS-120-CV-002</v>
          </cell>
          <cell r="E119" t="str">
            <v>B2065</v>
          </cell>
        </row>
        <row r="120">
          <cell r="B120" t="str">
            <v>B272-400-AS-120-CV-002</v>
          </cell>
        </row>
        <row r="121">
          <cell r="B121" t="str">
            <v>B272-400-AS-120-CV-002</v>
          </cell>
          <cell r="E121" t="str">
            <v>A-15</v>
          </cell>
        </row>
        <row r="122">
          <cell r="B122" t="str">
            <v>B272-400-AS-120-CV-002</v>
          </cell>
          <cell r="E122" t="str">
            <v>P-473(1/2)</v>
          </cell>
        </row>
        <row r="123">
          <cell r="B123" t="str">
            <v>B272-400-AS-120-CV-002</v>
          </cell>
          <cell r="E123" t="str">
            <v>P-473(2/2)</v>
          </cell>
        </row>
        <row r="124">
          <cell r="B124" t="str">
            <v>B272-400-AS-120-CV-002</v>
          </cell>
          <cell r="E124" t="str">
            <v>B2065</v>
          </cell>
        </row>
        <row r="125">
          <cell r="B125" t="str">
            <v>B272-400-AS-120-CV-002</v>
          </cell>
        </row>
        <row r="126">
          <cell r="B126" t="str">
            <v>B272-400-AS-120-CV-002</v>
          </cell>
          <cell r="E126" t="str">
            <v>A-15</v>
          </cell>
        </row>
        <row r="127">
          <cell r="B127" t="str">
            <v>B272-400-AS-120-CV-002</v>
          </cell>
          <cell r="E127" t="str">
            <v>P-473(1/2)</v>
          </cell>
        </row>
        <row r="128">
          <cell r="B128" t="str">
            <v>B272-400-AS-120-CV-002</v>
          </cell>
          <cell r="E128" t="str">
            <v>P-473(2/2)</v>
          </cell>
        </row>
        <row r="129">
          <cell r="B129" t="str">
            <v>B272-400-AS-120-CV-002</v>
          </cell>
          <cell r="E129" t="str">
            <v>B2065</v>
          </cell>
        </row>
        <row r="130">
          <cell r="B130" t="str">
            <v>B272-400-AS-120-CV-002</v>
          </cell>
        </row>
        <row r="131">
          <cell r="B131" t="str">
            <v>B272-400-AS-120-CV-002</v>
          </cell>
          <cell r="E131" t="str">
            <v>A-15</v>
          </cell>
        </row>
        <row r="132">
          <cell r="B132" t="str">
            <v>B272-400-AS-120-CV-002</v>
          </cell>
          <cell r="E132" t="str">
            <v>P-473(1/2)</v>
          </cell>
        </row>
        <row r="133">
          <cell r="B133" t="str">
            <v>B272-400-AS-120-CV-002</v>
          </cell>
          <cell r="E133" t="str">
            <v>P-473(2/2)</v>
          </cell>
        </row>
        <row r="134">
          <cell r="B134" t="str">
            <v>B272-400-AS-120-CV-002</v>
          </cell>
          <cell r="E134" t="str">
            <v>B2065</v>
          </cell>
        </row>
        <row r="135">
          <cell r="B135" t="str">
            <v>B272-400-AS-120-CV-002</v>
          </cell>
        </row>
        <row r="136">
          <cell r="B136" t="str">
            <v>B272-400-AS-120-CV-002</v>
          </cell>
          <cell r="E136" t="str">
            <v>A-15</v>
          </cell>
        </row>
        <row r="137">
          <cell r="B137" t="str">
            <v>B272-400-AS-120-CV-002</v>
          </cell>
          <cell r="E137" t="str">
            <v>P-473(1/2)</v>
          </cell>
        </row>
        <row r="138">
          <cell r="B138" t="str">
            <v>B272-400-AS-120-CV-002</v>
          </cell>
          <cell r="E138" t="str">
            <v>P-473(2/2)</v>
          </cell>
        </row>
        <row r="139">
          <cell r="B139" t="str">
            <v>B272-400-AS-120-CV-002</v>
          </cell>
          <cell r="E139" t="str">
            <v>B2065</v>
          </cell>
        </row>
        <row r="140">
          <cell r="B140" t="str">
            <v>B272-400-AS-120-CV-002</v>
          </cell>
        </row>
        <row r="141">
          <cell r="B141" t="str">
            <v>B272-400-AS-120-CV-002</v>
          </cell>
          <cell r="E141" t="str">
            <v>A-15</v>
          </cell>
        </row>
        <row r="142">
          <cell r="B142" t="str">
            <v>B272-400-AS-120-CV-002</v>
          </cell>
          <cell r="E142" t="str">
            <v>P-473(1/2)</v>
          </cell>
        </row>
        <row r="143">
          <cell r="B143" t="str">
            <v>B272-400-AS-120-CV-002</v>
          </cell>
          <cell r="E143" t="str">
            <v>P-473(2/2)</v>
          </cell>
        </row>
        <row r="144">
          <cell r="B144" t="str">
            <v>B272-400-AS-120-CV-002</v>
          </cell>
          <cell r="E144" t="str">
            <v>B2065</v>
          </cell>
        </row>
        <row r="145">
          <cell r="B145" t="str">
            <v>B272-400-AS-120-CV-002</v>
          </cell>
        </row>
        <row r="146">
          <cell r="B146" t="str">
            <v>B272-400-AS-120-CV-002</v>
          </cell>
          <cell r="E146" t="str">
            <v>A-15</v>
          </cell>
        </row>
        <row r="147">
          <cell r="B147" t="str">
            <v>B272-400-AS-120-CV-002</v>
          </cell>
          <cell r="E147" t="str">
            <v>P-473(1/2)</v>
          </cell>
        </row>
        <row r="148">
          <cell r="B148" t="str">
            <v>B272-400-AS-120-CV-002</v>
          </cell>
          <cell r="E148" t="str">
            <v>P-473(2/2)</v>
          </cell>
        </row>
        <row r="149">
          <cell r="B149" t="str">
            <v>B272-400-AS-120-CV-002</v>
          </cell>
          <cell r="E149" t="str">
            <v>B2065</v>
          </cell>
        </row>
        <row r="150">
          <cell r="B150" t="str">
            <v>B272-400-AS-120-CV-003</v>
          </cell>
        </row>
        <row r="151">
          <cell r="B151" t="str">
            <v>B272-400-AS-120-CV-003</v>
          </cell>
          <cell r="E151" t="str">
            <v>A-35</v>
          </cell>
        </row>
        <row r="152">
          <cell r="B152" t="str">
            <v>B272-400-AS-120-CV-003</v>
          </cell>
          <cell r="E152" t="str">
            <v>P-473(1/2)</v>
          </cell>
        </row>
        <row r="153">
          <cell r="B153" t="str">
            <v>B272-400-AS-120-CV-003</v>
          </cell>
          <cell r="E153" t="str">
            <v>P-473(2/2)</v>
          </cell>
        </row>
        <row r="154">
          <cell r="B154" t="str">
            <v>B272-400-AS-120-CV-003</v>
          </cell>
          <cell r="E154" t="str">
            <v>B2065</v>
          </cell>
        </row>
        <row r="155">
          <cell r="B155" t="str">
            <v>B272-400-AS-120-CV-004</v>
          </cell>
        </row>
        <row r="156">
          <cell r="B156" t="str">
            <v>B272-400-AS-120-CV-004</v>
          </cell>
          <cell r="E156" t="str">
            <v>A-36</v>
          </cell>
        </row>
        <row r="157">
          <cell r="B157" t="str">
            <v>B272-400-AS-120-CV-004</v>
          </cell>
          <cell r="E157" t="str">
            <v>P-473(1/2)</v>
          </cell>
        </row>
        <row r="158">
          <cell r="B158" t="str">
            <v>B272-400-AS-120-CV-004</v>
          </cell>
          <cell r="E158" t="str">
            <v>P-473(2/2)</v>
          </cell>
        </row>
        <row r="159">
          <cell r="B159" t="str">
            <v>B272-400-AS-120-CV-004</v>
          </cell>
          <cell r="E159" t="str">
            <v>B2065</v>
          </cell>
        </row>
        <row r="160">
          <cell r="B160" t="str">
            <v>B272-400-AS-120-CV-005</v>
          </cell>
        </row>
        <row r="161">
          <cell r="B161" t="str">
            <v>B272-400-AS-120-CV-005</v>
          </cell>
          <cell r="E161" t="str">
            <v>A-110</v>
          </cell>
        </row>
        <row r="162">
          <cell r="B162" t="str">
            <v>B272-400-AS-120-CV-005</v>
          </cell>
          <cell r="E162" t="str">
            <v>P-186</v>
          </cell>
        </row>
        <row r="163">
          <cell r="B163" t="str">
            <v>B272-400-AS-120-CV-005</v>
          </cell>
          <cell r="E163" t="str">
            <v>P-473</v>
          </cell>
        </row>
        <row r="164">
          <cell r="B164" t="str">
            <v>B272-400-AS-120-CV-005</v>
          </cell>
          <cell r="E164" t="str">
            <v>B2065</v>
          </cell>
        </row>
        <row r="165">
          <cell r="B165" t="str">
            <v>B272-400-AS-120-CV-006</v>
          </cell>
        </row>
        <row r="166">
          <cell r="B166" t="str">
            <v>B272-400-AS-120-CV-006</v>
          </cell>
          <cell r="E166" t="str">
            <v>A-110</v>
          </cell>
        </row>
        <row r="167">
          <cell r="B167" t="str">
            <v>B272-400-AS-120-CV-006</v>
          </cell>
          <cell r="E167" t="str">
            <v>P-473(1/2)</v>
          </cell>
        </row>
        <row r="168">
          <cell r="B168" t="str">
            <v>B272-400-AS-120-CV-006</v>
          </cell>
          <cell r="E168" t="str">
            <v>P-473(2/2)</v>
          </cell>
        </row>
        <row r="169">
          <cell r="B169" t="str">
            <v>B272-400-AS-120-CV-006</v>
          </cell>
          <cell r="E169" t="str">
            <v>B2065</v>
          </cell>
        </row>
        <row r="170">
          <cell r="B170" t="str">
            <v>B272-400-AS-120-CV-007</v>
          </cell>
        </row>
        <row r="171">
          <cell r="B171" t="str">
            <v>B272-400-AS-120-CV-007</v>
          </cell>
          <cell r="E171" t="str">
            <v>A-111</v>
          </cell>
        </row>
        <row r="172">
          <cell r="B172" t="str">
            <v>B272-400-AS-120-CV-007</v>
          </cell>
          <cell r="E172" t="str">
            <v>P-473(1/2)</v>
          </cell>
        </row>
        <row r="173">
          <cell r="B173" t="str">
            <v>B272-400-AS-120-CV-007</v>
          </cell>
          <cell r="E173" t="str">
            <v>P-473(2/2)</v>
          </cell>
        </row>
        <row r="174">
          <cell r="B174" t="str">
            <v>B272-400-AS-120-CV-007</v>
          </cell>
          <cell r="E174" t="str">
            <v>B2065</v>
          </cell>
        </row>
        <row r="175">
          <cell r="B175" t="str">
            <v>B272-400-AS-120-CV-007</v>
          </cell>
        </row>
        <row r="176">
          <cell r="B176" t="str">
            <v>B272-400-AS-120-CV-007</v>
          </cell>
          <cell r="E176" t="str">
            <v>A-111</v>
          </cell>
        </row>
        <row r="177">
          <cell r="B177" t="str">
            <v>B272-400-AS-120-CV-007</v>
          </cell>
          <cell r="E177" t="str">
            <v>P-473(1/2)</v>
          </cell>
        </row>
        <row r="178">
          <cell r="B178" t="str">
            <v>B272-400-AS-120-CV-007</v>
          </cell>
          <cell r="E178" t="str">
            <v>P-473(2/2)</v>
          </cell>
        </row>
        <row r="179">
          <cell r="B179" t="str">
            <v>B272-400-AS-120-CV-007</v>
          </cell>
          <cell r="E179" t="str">
            <v>B2065</v>
          </cell>
        </row>
        <row r="180">
          <cell r="B180" t="str">
            <v>B272-400-AS-120-CV-008</v>
          </cell>
        </row>
        <row r="181">
          <cell r="B181" t="str">
            <v>B272-400-AS-120-CV-008</v>
          </cell>
          <cell r="E181" t="str">
            <v>A-112</v>
          </cell>
        </row>
        <row r="182">
          <cell r="B182" t="str">
            <v>B272-400-AS-120-CV-008</v>
          </cell>
          <cell r="E182" t="str">
            <v>P-473(1/2)</v>
          </cell>
        </row>
        <row r="183">
          <cell r="B183" t="str">
            <v>B272-400-AS-120-CV-008</v>
          </cell>
          <cell r="E183" t="str">
            <v>P-473(2/2)</v>
          </cell>
        </row>
        <row r="184">
          <cell r="B184" t="str">
            <v>B272-400-AS-120-CV-008</v>
          </cell>
          <cell r="E184" t="str">
            <v>B2065</v>
          </cell>
        </row>
        <row r="185">
          <cell r="B185" t="str">
            <v>B272-400-AS-120-CV-009</v>
          </cell>
        </row>
        <row r="186">
          <cell r="B186" t="str">
            <v>B272-400-AS-120-CV-009</v>
          </cell>
          <cell r="E186" t="str">
            <v>A-113</v>
          </cell>
        </row>
        <row r="187">
          <cell r="B187" t="str">
            <v>B272-400-AS-120-CV-009</v>
          </cell>
          <cell r="E187" t="str">
            <v>P-473(1/2)</v>
          </cell>
        </row>
        <row r="188">
          <cell r="B188" t="str">
            <v>B272-400-AS-120-CV-009</v>
          </cell>
          <cell r="E188" t="str">
            <v>P-473(2/2)</v>
          </cell>
        </row>
        <row r="189">
          <cell r="B189" t="str">
            <v>B272-400-AS-120-CV-009</v>
          </cell>
          <cell r="E189" t="str">
            <v>B2065</v>
          </cell>
        </row>
        <row r="190">
          <cell r="B190" t="str">
            <v>B272-400-AS-120-CV-010</v>
          </cell>
        </row>
        <row r="191">
          <cell r="B191" t="str">
            <v>B272-400-AS-120-CV-010</v>
          </cell>
          <cell r="E191" t="str">
            <v>A-32</v>
          </cell>
        </row>
        <row r="192">
          <cell r="B192" t="str">
            <v>B272-400-AS-120-CV-010</v>
          </cell>
          <cell r="E192" t="str">
            <v>A-33(1/2)</v>
          </cell>
        </row>
        <row r="193">
          <cell r="B193" t="str">
            <v>B272-400-AS-120-CV-010</v>
          </cell>
          <cell r="E193" t="str">
            <v>A-33(2/2)</v>
          </cell>
        </row>
        <row r="194">
          <cell r="B194" t="str">
            <v>B272-400-AS-120-CV-010</v>
          </cell>
          <cell r="E194" t="str">
            <v>A-118(1/2)</v>
          </cell>
        </row>
        <row r="195">
          <cell r="B195" t="str">
            <v>B272-400-AS-120-CV-010</v>
          </cell>
          <cell r="E195" t="str">
            <v>A-118(2/2)</v>
          </cell>
        </row>
        <row r="196">
          <cell r="B196" t="str">
            <v>B272-400-AS-120-CV-010</v>
          </cell>
          <cell r="E196" t="str">
            <v>A-122(1/2)</v>
          </cell>
        </row>
        <row r="197">
          <cell r="B197" t="str">
            <v>B272-400-AS-120-CV-010</v>
          </cell>
          <cell r="E197" t="str">
            <v>A-122(2/2)</v>
          </cell>
        </row>
        <row r="198">
          <cell r="B198" t="str">
            <v>B272-400-AS-120-CV-010</v>
          </cell>
          <cell r="E198" t="str">
            <v>A-129</v>
          </cell>
        </row>
        <row r="199">
          <cell r="B199" t="str">
            <v>B272-400-AS-120-CV-010</v>
          </cell>
          <cell r="E199" t="str">
            <v>AX-1(1/2)</v>
          </cell>
        </row>
        <row r="200">
          <cell r="B200" t="str">
            <v>B272-400-AS-120-CV-010</v>
          </cell>
          <cell r="E200" t="str">
            <v>AX-1(2/2)</v>
          </cell>
        </row>
        <row r="201">
          <cell r="B201" t="str">
            <v>B272-400-AS-120-CV-010</v>
          </cell>
          <cell r="E201" t="str">
            <v>C-13(1/2)</v>
          </cell>
        </row>
        <row r="202">
          <cell r="B202" t="str">
            <v>B272-400-AS-120-CV-010</v>
          </cell>
          <cell r="E202" t="str">
            <v>C-13(2/2)</v>
          </cell>
        </row>
        <row r="203">
          <cell r="B203" t="str">
            <v>B272-400-AS-120-CV-010</v>
          </cell>
          <cell r="E203" t="str">
            <v>C-35</v>
          </cell>
        </row>
        <row r="204">
          <cell r="B204" t="str">
            <v>B272-400-AS-120-CV-010</v>
          </cell>
          <cell r="E204" t="str">
            <v>C-63</v>
          </cell>
        </row>
        <row r="205">
          <cell r="B205" t="str">
            <v>B272-400-AS-120-CV-010</v>
          </cell>
          <cell r="E205" t="str">
            <v>C-64</v>
          </cell>
        </row>
        <row r="206">
          <cell r="B206" t="str">
            <v>B272-400-AS-120-CV-010</v>
          </cell>
          <cell r="E206" t="str">
            <v>C-67</v>
          </cell>
        </row>
        <row r="207">
          <cell r="B207" t="str">
            <v>B272-400-AS-120-CV-010</v>
          </cell>
          <cell r="E207" t="str">
            <v>C-68</v>
          </cell>
        </row>
        <row r="208">
          <cell r="B208" t="str">
            <v>B272-400-AS-120-CV-010</v>
          </cell>
          <cell r="E208" t="str">
            <v>C-69(1/2)</v>
          </cell>
        </row>
        <row r="209">
          <cell r="B209" t="str">
            <v>B272-400-AS-120-CV-010</v>
          </cell>
          <cell r="E209" t="str">
            <v>C-69(2/2)</v>
          </cell>
        </row>
        <row r="210">
          <cell r="B210" t="str">
            <v>B272-400-AS-120-CV-010</v>
          </cell>
          <cell r="E210" t="str">
            <v>C-70</v>
          </cell>
        </row>
        <row r="211">
          <cell r="B211" t="str">
            <v>B272-400-AS-120-CV-010</v>
          </cell>
          <cell r="E211" t="str">
            <v>C-72(1/6)</v>
          </cell>
        </row>
        <row r="212">
          <cell r="B212" t="str">
            <v>B272-400-AS-120-CV-010</v>
          </cell>
          <cell r="E212" t="str">
            <v>C-72(2/6)</v>
          </cell>
        </row>
        <row r="213">
          <cell r="B213" t="str">
            <v>B272-400-AS-120-CV-010</v>
          </cell>
          <cell r="E213" t="str">
            <v>C-72(3/6)</v>
          </cell>
        </row>
        <row r="214">
          <cell r="B214" t="str">
            <v>B272-400-AS-120-CV-010</v>
          </cell>
          <cell r="E214" t="str">
            <v>C-72(4/6)</v>
          </cell>
        </row>
        <row r="215">
          <cell r="B215" t="str">
            <v>B272-400-AS-120-CV-010</v>
          </cell>
          <cell r="E215" t="str">
            <v>C-72(5/6)</v>
          </cell>
        </row>
        <row r="216">
          <cell r="B216" t="str">
            <v>B272-400-AS-120-CV-010</v>
          </cell>
          <cell r="E216" t="str">
            <v>C-72(6/6)</v>
          </cell>
        </row>
        <row r="217">
          <cell r="B217" t="str">
            <v>B272-400-AS-120-CV-010</v>
          </cell>
          <cell r="E217" t="str">
            <v>C-75(1/3)</v>
          </cell>
        </row>
        <row r="218">
          <cell r="B218" t="str">
            <v>B272-400-AS-120-CV-010</v>
          </cell>
          <cell r="E218" t="str">
            <v>C-75(2/3)</v>
          </cell>
        </row>
        <row r="219">
          <cell r="B219" t="str">
            <v>B272-400-AS-120-CV-010</v>
          </cell>
          <cell r="E219" t="str">
            <v>C-75(3/3)</v>
          </cell>
        </row>
        <row r="220">
          <cell r="B220" t="str">
            <v>B272-400-AS-120-CV-010</v>
          </cell>
          <cell r="E220" t="str">
            <v>C-79(1/3)</v>
          </cell>
        </row>
        <row r="221">
          <cell r="B221" t="str">
            <v>B272-400-AS-120-CV-010</v>
          </cell>
          <cell r="E221" t="str">
            <v>C-79(2/3)</v>
          </cell>
        </row>
        <row r="222">
          <cell r="B222" t="str">
            <v>B272-400-AS-120-CV-010</v>
          </cell>
          <cell r="E222" t="str">
            <v>C-79(3/3)</v>
          </cell>
        </row>
        <row r="223">
          <cell r="B223" t="str">
            <v>B272-400-AS-120-CV-010</v>
          </cell>
          <cell r="E223" t="str">
            <v>C-81(1/3)</v>
          </cell>
        </row>
        <row r="224">
          <cell r="B224" t="str">
            <v>B272-400-AS-120-CV-010</v>
          </cell>
          <cell r="E224" t="str">
            <v>C-81(2/3)</v>
          </cell>
        </row>
        <row r="225">
          <cell r="B225" t="str">
            <v>B272-400-AS-120-CV-010</v>
          </cell>
          <cell r="E225" t="str">
            <v>C-81(3/3)</v>
          </cell>
        </row>
        <row r="226">
          <cell r="B226" t="str">
            <v>B272-400-AS-120-CV-010</v>
          </cell>
          <cell r="E226" t="str">
            <v>C-198</v>
          </cell>
        </row>
        <row r="227">
          <cell r="B227" t="str">
            <v>B272-400-AS-120-CV-010</v>
          </cell>
          <cell r="E227" t="str">
            <v>C-199</v>
          </cell>
        </row>
        <row r="228">
          <cell r="B228" t="str">
            <v>B272-400-AS-120-CV-010</v>
          </cell>
          <cell r="E228" t="str">
            <v>C-200</v>
          </cell>
        </row>
        <row r="229">
          <cell r="B229" t="str">
            <v>B272-400-AS-120-CV-010</v>
          </cell>
          <cell r="E229" t="str">
            <v>C-225(1/3)</v>
          </cell>
        </row>
        <row r="230">
          <cell r="B230" t="str">
            <v>B272-400-AS-120-CV-010</v>
          </cell>
          <cell r="E230" t="str">
            <v>C-225(2/3)</v>
          </cell>
        </row>
        <row r="231">
          <cell r="B231" t="str">
            <v>B272-400-AS-120-CV-010</v>
          </cell>
          <cell r="E231" t="str">
            <v>C-225(3/3)</v>
          </cell>
        </row>
        <row r="232">
          <cell r="B232" t="str">
            <v>B272-400-AS-120-CV-010</v>
          </cell>
          <cell r="E232" t="str">
            <v>CY-42(1/3)</v>
          </cell>
        </row>
        <row r="233">
          <cell r="B233" t="str">
            <v>B272-400-AS-120-CV-010</v>
          </cell>
          <cell r="E233" t="str">
            <v>CY-42(2/3)</v>
          </cell>
        </row>
        <row r="234">
          <cell r="B234" t="str">
            <v>B272-400-AS-120-CV-010</v>
          </cell>
          <cell r="E234" t="str">
            <v>CY-42(3/3)</v>
          </cell>
        </row>
        <row r="235">
          <cell r="B235" t="str">
            <v>B272-400-AS-120-CV-010</v>
          </cell>
          <cell r="E235" t="str">
            <v>CY-43</v>
          </cell>
        </row>
        <row r="236">
          <cell r="B236" t="str">
            <v>B272-400-AS-120-CV-010</v>
          </cell>
          <cell r="E236" t="str">
            <v>CY-44</v>
          </cell>
        </row>
        <row r="237">
          <cell r="B237" t="str">
            <v>B272-400-AS-120-CV-010</v>
          </cell>
          <cell r="E237" t="str">
            <v>CY-45</v>
          </cell>
        </row>
        <row r="238">
          <cell r="B238" t="str">
            <v>B272-400-AS-120-CV-010</v>
          </cell>
          <cell r="E238" t="str">
            <v>CY-52</v>
          </cell>
        </row>
        <row r="239">
          <cell r="B239" t="str">
            <v>B272-400-AS-120-CV-010</v>
          </cell>
          <cell r="E239" t="str">
            <v>CY-55</v>
          </cell>
        </row>
        <row r="240">
          <cell r="B240" t="str">
            <v>B272-400-AS-120-CV-010</v>
          </cell>
          <cell r="E240" t="str">
            <v>CY-67</v>
          </cell>
        </row>
        <row r="241">
          <cell r="B241" t="str">
            <v>B272-400-AS-120-CV-010</v>
          </cell>
          <cell r="E241" t="str">
            <v>CY-73</v>
          </cell>
        </row>
        <row r="242">
          <cell r="B242" t="str">
            <v>B272-400-AS-120-CV-010</v>
          </cell>
          <cell r="E242" t="str">
            <v>CY-74</v>
          </cell>
        </row>
        <row r="243">
          <cell r="B243" t="str">
            <v>B272-400-AS-120-CV-010</v>
          </cell>
          <cell r="E243" t="str">
            <v>CY-75</v>
          </cell>
        </row>
        <row r="244">
          <cell r="B244" t="str">
            <v>B272-400-AS-120-CV-010</v>
          </cell>
          <cell r="E244" t="str">
            <v>CY-79</v>
          </cell>
        </row>
        <row r="245">
          <cell r="B245" t="str">
            <v>B272-400-AS-120-CV-010</v>
          </cell>
          <cell r="E245" t="str">
            <v>CY-81</v>
          </cell>
        </row>
        <row r="246">
          <cell r="B246" t="str">
            <v>B272-400-AS-120-CV-010</v>
          </cell>
          <cell r="E246" t="str">
            <v>CY-101</v>
          </cell>
        </row>
        <row r="247">
          <cell r="B247" t="str">
            <v>B272-400-AS-120-CV-010</v>
          </cell>
          <cell r="E247" t="str">
            <v>CY-102</v>
          </cell>
        </row>
        <row r="248">
          <cell r="B248" t="str">
            <v>B272-400-AS-120-CV-010</v>
          </cell>
          <cell r="E248" t="str">
            <v>D-69(1/4)</v>
          </cell>
        </row>
        <row r="249">
          <cell r="B249" t="str">
            <v>B272-400-AS-120-CV-010</v>
          </cell>
          <cell r="E249" t="str">
            <v>D-69(2/4)</v>
          </cell>
        </row>
        <row r="250">
          <cell r="B250" t="str">
            <v>B272-400-AS-120-CV-010</v>
          </cell>
          <cell r="E250" t="str">
            <v>D-69(3/4)</v>
          </cell>
        </row>
        <row r="251">
          <cell r="B251" t="str">
            <v>B272-400-AS-120-CV-010</v>
          </cell>
          <cell r="E251" t="str">
            <v>D-69(4/4)</v>
          </cell>
        </row>
        <row r="252">
          <cell r="B252" t="str">
            <v>B272-400-AS-120-CV-010</v>
          </cell>
          <cell r="E252" t="str">
            <v>D-70(1/4)</v>
          </cell>
        </row>
        <row r="253">
          <cell r="B253" t="str">
            <v>B272-400-AS-120-CV-010</v>
          </cell>
          <cell r="E253" t="str">
            <v>D-70(2/4)</v>
          </cell>
        </row>
        <row r="254">
          <cell r="B254" t="str">
            <v>B272-400-AS-120-CV-010</v>
          </cell>
          <cell r="E254" t="str">
            <v>D-70(3/4)</v>
          </cell>
        </row>
        <row r="255">
          <cell r="B255" t="str">
            <v>B272-400-AS-120-CV-010</v>
          </cell>
          <cell r="E255" t="str">
            <v>D-70(4/4)</v>
          </cell>
        </row>
        <row r="256">
          <cell r="B256" t="str">
            <v>B272-400-AS-120-CV-010</v>
          </cell>
          <cell r="E256" t="str">
            <v>D-82(1/4)</v>
          </cell>
        </row>
        <row r="257">
          <cell r="B257" t="str">
            <v>B272-400-AS-120-CV-010</v>
          </cell>
          <cell r="E257" t="str">
            <v>D-82(2/4)</v>
          </cell>
        </row>
        <row r="258">
          <cell r="B258" t="str">
            <v>B272-400-AS-120-CV-010</v>
          </cell>
          <cell r="E258" t="str">
            <v>D-82(3/4)</v>
          </cell>
        </row>
        <row r="259">
          <cell r="B259" t="str">
            <v>B272-400-AS-120-CV-010</v>
          </cell>
          <cell r="E259" t="str">
            <v>D-82(4/4)</v>
          </cell>
        </row>
        <row r="260">
          <cell r="B260" t="str">
            <v>B272-400-AS-120-CV-010</v>
          </cell>
          <cell r="E260" t="str">
            <v>F-1</v>
          </cell>
        </row>
        <row r="261">
          <cell r="B261" t="str">
            <v>B272-400-AS-120-CV-010</v>
          </cell>
          <cell r="E261" t="str">
            <v>F-2</v>
          </cell>
        </row>
        <row r="262">
          <cell r="B262" t="str">
            <v>B272-400-AS-120-CV-010</v>
          </cell>
          <cell r="E262" t="str">
            <v>F-4</v>
          </cell>
        </row>
        <row r="263">
          <cell r="B263" t="str">
            <v>B272-400-AS-120-CV-010</v>
          </cell>
          <cell r="E263" t="str">
            <v>F-5</v>
          </cell>
        </row>
        <row r="264">
          <cell r="B264" t="str">
            <v>B272-400-AS-120-CV-010</v>
          </cell>
          <cell r="E264" t="str">
            <v>G-7(1/12)</v>
          </cell>
        </row>
        <row r="265">
          <cell r="B265" t="str">
            <v>B272-400-AS-120-CV-010</v>
          </cell>
          <cell r="E265" t="str">
            <v>G-7(2/12)</v>
          </cell>
        </row>
        <row r="266">
          <cell r="B266" t="str">
            <v>B272-400-AS-120-CV-010</v>
          </cell>
          <cell r="E266" t="str">
            <v>G-7(3/12)</v>
          </cell>
        </row>
        <row r="267">
          <cell r="B267" t="str">
            <v>B272-400-AS-120-CV-010</v>
          </cell>
          <cell r="E267" t="str">
            <v>G-7(4/12)</v>
          </cell>
        </row>
        <row r="268">
          <cell r="B268" t="str">
            <v>B272-400-AS-120-CV-010</v>
          </cell>
          <cell r="E268" t="str">
            <v>G-7(5/12)</v>
          </cell>
        </row>
        <row r="269">
          <cell r="B269" t="str">
            <v>B272-400-AS-120-CV-010</v>
          </cell>
          <cell r="E269" t="str">
            <v>G-7(6/12)</v>
          </cell>
        </row>
        <row r="270">
          <cell r="B270" t="str">
            <v>B272-400-AS-120-CV-010</v>
          </cell>
          <cell r="E270" t="str">
            <v>G-7(7/12)</v>
          </cell>
        </row>
        <row r="271">
          <cell r="B271" t="str">
            <v>B272-400-AS-120-CV-010</v>
          </cell>
          <cell r="E271" t="str">
            <v>G-7(8/12)</v>
          </cell>
        </row>
        <row r="272">
          <cell r="B272" t="str">
            <v>B272-400-AS-120-CV-010</v>
          </cell>
          <cell r="E272" t="str">
            <v>G-7(9/12)</v>
          </cell>
        </row>
        <row r="273">
          <cell r="B273" t="str">
            <v>B272-400-AS-120-CV-010</v>
          </cell>
          <cell r="E273" t="str">
            <v>G-7(10/12)</v>
          </cell>
        </row>
        <row r="274">
          <cell r="B274" t="str">
            <v>B272-400-AS-120-CV-010</v>
          </cell>
          <cell r="E274" t="str">
            <v>G-7(11/12)</v>
          </cell>
        </row>
        <row r="275">
          <cell r="B275" t="str">
            <v>B272-400-AS-120-CV-010</v>
          </cell>
          <cell r="E275" t="str">
            <v>G-7(12/12)</v>
          </cell>
        </row>
        <row r="276">
          <cell r="B276" t="str">
            <v>B272-400-AS-120-CV-010</v>
          </cell>
          <cell r="E276" t="str">
            <v>G-16(1/4)</v>
          </cell>
        </row>
        <row r="277">
          <cell r="B277" t="str">
            <v>B272-400-AS-120-CV-010</v>
          </cell>
          <cell r="E277" t="str">
            <v>G-16(2/4)</v>
          </cell>
        </row>
        <row r="278">
          <cell r="B278" t="str">
            <v>B272-400-AS-120-CV-010</v>
          </cell>
          <cell r="E278" t="str">
            <v>G-16(3/4)</v>
          </cell>
        </row>
        <row r="279">
          <cell r="B279" t="str">
            <v>B272-400-AS-120-CV-010</v>
          </cell>
          <cell r="E279" t="str">
            <v>G-16(4/4)</v>
          </cell>
        </row>
        <row r="280">
          <cell r="B280" t="str">
            <v>B272-400-AS-120-CV-010</v>
          </cell>
          <cell r="E280" t="str">
            <v>GC-1</v>
          </cell>
        </row>
        <row r="281">
          <cell r="B281" t="str">
            <v>B272-400-AS-120-CV-010</v>
          </cell>
          <cell r="E281" t="str">
            <v>HY-4</v>
          </cell>
        </row>
        <row r="282">
          <cell r="B282" t="str">
            <v>B272-400-AS-120-CV-010</v>
          </cell>
          <cell r="E282" t="str">
            <v>HY-13</v>
          </cell>
        </row>
        <row r="283">
          <cell r="B283" t="str">
            <v>B272-400-AS-120-CV-010</v>
          </cell>
          <cell r="E283" t="str">
            <v>HY-14</v>
          </cell>
        </row>
        <row r="284">
          <cell r="B284" t="str">
            <v>B272-400-AS-120-CV-010</v>
          </cell>
          <cell r="E284" t="str">
            <v>HY-15</v>
          </cell>
        </row>
        <row r="285">
          <cell r="B285" t="str">
            <v>B272-400-AS-120-CV-010</v>
          </cell>
          <cell r="E285" t="str">
            <v>HY-21</v>
          </cell>
        </row>
        <row r="286">
          <cell r="B286" t="str">
            <v>B272-400-AS-120-CV-010</v>
          </cell>
          <cell r="E286" t="str">
            <v>HY-23</v>
          </cell>
        </row>
        <row r="287">
          <cell r="B287" t="str">
            <v>B272-400-AS-120-CV-010</v>
          </cell>
          <cell r="E287" t="str">
            <v>HY-28</v>
          </cell>
        </row>
        <row r="288">
          <cell r="B288" t="str">
            <v>B272-400-AS-120-CV-010</v>
          </cell>
          <cell r="E288" t="str">
            <v>HY-29</v>
          </cell>
        </row>
        <row r="289">
          <cell r="B289" t="str">
            <v>B272-400-AS-120-CV-010</v>
          </cell>
          <cell r="E289" t="str">
            <v>HY-58</v>
          </cell>
        </row>
        <row r="290">
          <cell r="B290" t="str">
            <v>B272-400-AS-120-CV-010</v>
          </cell>
          <cell r="E290" t="str">
            <v>N-5</v>
          </cell>
        </row>
        <row r="291">
          <cell r="B291" t="str">
            <v>B272-400-AS-120-CV-010</v>
          </cell>
          <cell r="E291" t="str">
            <v>N-6</v>
          </cell>
        </row>
        <row r="292">
          <cell r="B292" t="str">
            <v>B272-400-AS-120-CV-010</v>
          </cell>
          <cell r="E292" t="str">
            <v>P-27</v>
          </cell>
        </row>
        <row r="293">
          <cell r="B293" t="str">
            <v>B272-400-AS-120-CV-010</v>
          </cell>
          <cell r="E293" t="str">
            <v>P-35</v>
          </cell>
        </row>
        <row r="294">
          <cell r="B294" t="str">
            <v>B272-400-AS-120-CV-010</v>
          </cell>
          <cell r="E294" t="str">
            <v>P-39</v>
          </cell>
        </row>
        <row r="295">
          <cell r="B295" t="str">
            <v>B272-400-AS-120-CV-010</v>
          </cell>
          <cell r="E295" t="str">
            <v>P-40</v>
          </cell>
        </row>
        <row r="296">
          <cell r="B296" t="str">
            <v>B272-400-AS-120-CV-010</v>
          </cell>
          <cell r="E296" t="str">
            <v>P-41</v>
          </cell>
        </row>
        <row r="297">
          <cell r="B297" t="str">
            <v>B272-400-AS-120-CV-010</v>
          </cell>
          <cell r="E297" t="str">
            <v>P-53(1/6)</v>
          </cell>
        </row>
        <row r="298">
          <cell r="B298" t="str">
            <v>B272-400-AS-120-CV-010</v>
          </cell>
          <cell r="E298" t="str">
            <v>P-53(2/6)</v>
          </cell>
        </row>
        <row r="299">
          <cell r="B299" t="str">
            <v>B272-400-AS-120-CV-010</v>
          </cell>
          <cell r="E299" t="str">
            <v>P-53(3/6)</v>
          </cell>
        </row>
        <row r="300">
          <cell r="B300" t="str">
            <v>B272-400-AS-120-CV-010</v>
          </cell>
          <cell r="E300" t="str">
            <v>P-53(4/6)</v>
          </cell>
        </row>
        <row r="301">
          <cell r="B301" t="str">
            <v>B272-400-AS-120-CV-010</v>
          </cell>
          <cell r="E301" t="str">
            <v>P-53(5/6)</v>
          </cell>
        </row>
        <row r="302">
          <cell r="B302" t="str">
            <v>B272-400-AS-120-CV-010</v>
          </cell>
          <cell r="E302" t="str">
            <v>P-53(6/6)</v>
          </cell>
        </row>
        <row r="303">
          <cell r="B303" t="str">
            <v>B272-400-AS-120-CV-010</v>
          </cell>
          <cell r="E303" t="str">
            <v>P-54(1/3)</v>
          </cell>
        </row>
        <row r="304">
          <cell r="B304" t="str">
            <v>B272-400-AS-120-CV-010</v>
          </cell>
          <cell r="E304" t="str">
            <v>P-54(2/3)</v>
          </cell>
        </row>
        <row r="305">
          <cell r="B305" t="str">
            <v>B272-400-AS-120-CV-010</v>
          </cell>
          <cell r="E305" t="str">
            <v>P-54(3/3)</v>
          </cell>
        </row>
        <row r="306">
          <cell r="B306" t="str">
            <v>B272-400-AS-120-CV-010</v>
          </cell>
          <cell r="E306" t="str">
            <v>P-183(1/6)</v>
          </cell>
        </row>
        <row r="307">
          <cell r="B307" t="str">
            <v>B272-400-AS-120-CV-010</v>
          </cell>
          <cell r="E307" t="str">
            <v>P-183(2/6)</v>
          </cell>
        </row>
        <row r="308">
          <cell r="B308" t="str">
            <v>B272-400-AS-120-CV-010</v>
          </cell>
          <cell r="E308" t="str">
            <v>P-183(3/6)</v>
          </cell>
        </row>
        <row r="309">
          <cell r="B309" t="str">
            <v>B272-400-AS-120-CV-010</v>
          </cell>
          <cell r="E309" t="str">
            <v>P-183(4/6)</v>
          </cell>
        </row>
        <row r="310">
          <cell r="B310" t="str">
            <v>B272-400-AS-120-CV-010</v>
          </cell>
          <cell r="E310" t="str">
            <v>P-183(5/6)</v>
          </cell>
        </row>
        <row r="311">
          <cell r="B311" t="str">
            <v>B272-400-AS-120-CV-010</v>
          </cell>
          <cell r="E311" t="str">
            <v>P-183(6/6)</v>
          </cell>
        </row>
        <row r="312">
          <cell r="B312" t="str">
            <v>B272-400-AS-120-CV-010</v>
          </cell>
          <cell r="E312" t="str">
            <v>P-193(1/5)</v>
          </cell>
        </row>
        <row r="313">
          <cell r="B313" t="str">
            <v>B272-400-AS-120-CV-010</v>
          </cell>
          <cell r="E313" t="str">
            <v>P-193(2/5)</v>
          </cell>
        </row>
        <row r="314">
          <cell r="B314" t="str">
            <v>B272-400-AS-120-CV-010</v>
          </cell>
          <cell r="E314" t="str">
            <v>P-193(3/5)</v>
          </cell>
        </row>
        <row r="315">
          <cell r="B315" t="str">
            <v>B272-400-AS-120-CV-010</v>
          </cell>
          <cell r="E315" t="str">
            <v>P-193(4/5)</v>
          </cell>
        </row>
        <row r="316">
          <cell r="B316" t="str">
            <v>B272-400-AS-120-CV-010</v>
          </cell>
          <cell r="E316" t="str">
            <v>P-193(5/5)</v>
          </cell>
        </row>
        <row r="317">
          <cell r="B317" t="str">
            <v>B272-400-AS-120-CV-010</v>
          </cell>
          <cell r="E317" t="str">
            <v>P-242</v>
          </cell>
        </row>
        <row r="318">
          <cell r="B318" t="str">
            <v>B272-400-AS-120-CV-010</v>
          </cell>
          <cell r="E318" t="str">
            <v>P-294(1/4)</v>
          </cell>
        </row>
        <row r="319">
          <cell r="B319" t="str">
            <v>B272-400-AS-120-CV-010</v>
          </cell>
          <cell r="E319" t="str">
            <v>P-294(2/4)</v>
          </cell>
        </row>
        <row r="320">
          <cell r="B320" t="str">
            <v>B272-400-AS-120-CV-010</v>
          </cell>
          <cell r="E320" t="str">
            <v>P-294(3/4)</v>
          </cell>
        </row>
        <row r="321">
          <cell r="B321" t="str">
            <v>B272-400-AS-120-CV-010</v>
          </cell>
          <cell r="E321" t="str">
            <v>P-294(4/4)</v>
          </cell>
        </row>
        <row r="322">
          <cell r="B322" t="str">
            <v>B272-400-AS-120-CV-010</v>
          </cell>
          <cell r="E322" t="str">
            <v>P-314(1/2)</v>
          </cell>
        </row>
        <row r="323">
          <cell r="B323" t="str">
            <v>B272-400-AS-120-CV-010</v>
          </cell>
          <cell r="E323" t="str">
            <v>P-314(2/2)</v>
          </cell>
        </row>
        <row r="324">
          <cell r="B324" t="str">
            <v>B272-400-AS-120-CV-010</v>
          </cell>
          <cell r="E324" t="str">
            <v>P-316(1/2)</v>
          </cell>
        </row>
        <row r="325">
          <cell r="B325" t="str">
            <v>B272-400-AS-120-CV-010</v>
          </cell>
          <cell r="E325" t="str">
            <v>P-316(2/2)</v>
          </cell>
        </row>
        <row r="326">
          <cell r="B326" t="str">
            <v>B272-400-AS-120-CV-010</v>
          </cell>
          <cell r="E326" t="str">
            <v>P-319(1/4)</v>
          </cell>
        </row>
        <row r="327">
          <cell r="B327" t="str">
            <v>B272-400-AS-120-CV-010</v>
          </cell>
          <cell r="E327" t="str">
            <v>P-319(2/4)</v>
          </cell>
        </row>
        <row r="328">
          <cell r="B328" t="str">
            <v>B272-400-AS-120-CV-010</v>
          </cell>
          <cell r="E328" t="str">
            <v>P-319(3/4)</v>
          </cell>
        </row>
        <row r="329">
          <cell r="B329" t="str">
            <v>B272-400-AS-120-CV-010</v>
          </cell>
          <cell r="E329" t="str">
            <v>P-319(4/4)</v>
          </cell>
        </row>
        <row r="330">
          <cell r="B330" t="str">
            <v>B272-400-AS-120-CV-010</v>
          </cell>
          <cell r="E330" t="str">
            <v>P-386</v>
          </cell>
        </row>
        <row r="331">
          <cell r="B331" t="str">
            <v>B272-400-AS-120-CV-010</v>
          </cell>
          <cell r="E331" t="str">
            <v>P-387</v>
          </cell>
        </row>
        <row r="332">
          <cell r="B332" t="str">
            <v>B272-400-AS-120-CV-010</v>
          </cell>
          <cell r="E332" t="str">
            <v>P-388</v>
          </cell>
        </row>
        <row r="333">
          <cell r="B333" t="str">
            <v>B272-400-AS-120-CV-010</v>
          </cell>
          <cell r="E333" t="str">
            <v>P-389</v>
          </cell>
        </row>
        <row r="334">
          <cell r="B334" t="str">
            <v>B272-400-AS-120-CV-010</v>
          </cell>
          <cell r="E334" t="str">
            <v>P-410(1/2)</v>
          </cell>
        </row>
        <row r="335">
          <cell r="B335" t="str">
            <v>B272-400-AS-120-CV-010</v>
          </cell>
          <cell r="E335" t="str">
            <v>P-410(2/2)</v>
          </cell>
        </row>
        <row r="336">
          <cell r="B336" t="str">
            <v>B272-400-AS-120-CV-010</v>
          </cell>
          <cell r="E336" t="str">
            <v>P-431(1/2)</v>
          </cell>
        </row>
        <row r="337">
          <cell r="B337" t="str">
            <v>B272-400-AS-120-CV-010</v>
          </cell>
          <cell r="E337" t="str">
            <v>P-431(2/2)</v>
          </cell>
        </row>
        <row r="338">
          <cell r="B338" t="str">
            <v>B272-400-AS-120-CV-010</v>
          </cell>
          <cell r="E338" t="str">
            <v>P-462(1/16)</v>
          </cell>
        </row>
        <row r="339">
          <cell r="B339" t="str">
            <v>B272-400-AS-120-CV-010</v>
          </cell>
          <cell r="E339" t="str">
            <v>P-462(2/16)</v>
          </cell>
        </row>
        <row r="340">
          <cell r="B340" t="str">
            <v>B272-400-AS-120-CV-010</v>
          </cell>
          <cell r="E340" t="str">
            <v>P-462(3/16)</v>
          </cell>
        </row>
        <row r="341">
          <cell r="B341" t="str">
            <v>B272-400-AS-120-CV-010</v>
          </cell>
          <cell r="E341" t="str">
            <v>P-462(4/16)</v>
          </cell>
        </row>
        <row r="342">
          <cell r="B342" t="str">
            <v>B272-400-AS-120-CV-010</v>
          </cell>
          <cell r="E342" t="str">
            <v>P-462(5/16)</v>
          </cell>
        </row>
        <row r="343">
          <cell r="B343" t="str">
            <v>B272-400-AS-120-CV-010</v>
          </cell>
          <cell r="E343" t="str">
            <v>P-462(6/16)</v>
          </cell>
        </row>
        <row r="344">
          <cell r="B344" t="str">
            <v>B272-400-AS-120-CV-010</v>
          </cell>
          <cell r="E344" t="str">
            <v>P-462(7/16)</v>
          </cell>
        </row>
        <row r="345">
          <cell r="B345" t="str">
            <v>B272-400-AS-120-CV-010</v>
          </cell>
          <cell r="E345" t="str">
            <v>P-462(8/16)</v>
          </cell>
        </row>
        <row r="346">
          <cell r="B346" t="str">
            <v>B272-400-AS-120-CV-010</v>
          </cell>
          <cell r="E346" t="str">
            <v>P-462(9/16)</v>
          </cell>
        </row>
        <row r="347">
          <cell r="B347" t="str">
            <v>B272-400-AS-120-CV-010</v>
          </cell>
          <cell r="E347" t="str">
            <v>P-462(10/16)</v>
          </cell>
        </row>
        <row r="348">
          <cell r="B348" t="str">
            <v>B272-400-AS-120-CV-010</v>
          </cell>
          <cell r="E348" t="str">
            <v>P-462(11/16)</v>
          </cell>
        </row>
        <row r="349">
          <cell r="B349" t="str">
            <v>B272-400-AS-120-CV-010</v>
          </cell>
          <cell r="E349" t="str">
            <v>P-462(12/16)</v>
          </cell>
        </row>
        <row r="350">
          <cell r="B350" t="str">
            <v>B272-400-AS-120-CV-010</v>
          </cell>
          <cell r="E350" t="str">
            <v>P-462(13/16)</v>
          </cell>
        </row>
        <row r="351">
          <cell r="B351" t="str">
            <v>B272-400-AS-120-CV-010</v>
          </cell>
          <cell r="E351" t="str">
            <v>P-462(14/16)</v>
          </cell>
        </row>
        <row r="352">
          <cell r="B352" t="str">
            <v>B272-400-AS-120-CV-010</v>
          </cell>
          <cell r="E352" t="str">
            <v>P-462(15/16)</v>
          </cell>
        </row>
        <row r="353">
          <cell r="B353" t="str">
            <v>B272-400-AS-120-CV-010</v>
          </cell>
          <cell r="E353" t="str">
            <v>P-462(16/16)</v>
          </cell>
        </row>
        <row r="354">
          <cell r="B354" t="str">
            <v>B272-400-AS-120-CV-010</v>
          </cell>
          <cell r="E354" t="str">
            <v>P-569(1/8)</v>
          </cell>
        </row>
        <row r="355">
          <cell r="B355" t="str">
            <v>B272-400-AS-120-CV-010</v>
          </cell>
          <cell r="E355" t="str">
            <v>P-569(2/8)</v>
          </cell>
        </row>
        <row r="356">
          <cell r="B356" t="str">
            <v>B272-400-AS-120-CV-010</v>
          </cell>
          <cell r="E356" t="str">
            <v>P-569(3/8)</v>
          </cell>
        </row>
        <row r="357">
          <cell r="B357" t="str">
            <v>B272-400-AS-120-CV-010</v>
          </cell>
          <cell r="E357" t="str">
            <v>P-569(4/8)</v>
          </cell>
        </row>
        <row r="358">
          <cell r="B358" t="str">
            <v>B272-400-AS-120-CV-010</v>
          </cell>
          <cell r="E358" t="str">
            <v>P-569(5/8)</v>
          </cell>
        </row>
        <row r="359">
          <cell r="B359" t="str">
            <v>B272-400-AS-120-CV-010</v>
          </cell>
          <cell r="E359" t="str">
            <v>P-569(6/8)</v>
          </cell>
        </row>
        <row r="360">
          <cell r="B360" t="str">
            <v>B272-400-AS-120-CV-010</v>
          </cell>
          <cell r="E360" t="str">
            <v>P-569(7/8)</v>
          </cell>
        </row>
        <row r="361">
          <cell r="B361" t="str">
            <v>B272-400-AS-120-CV-010</v>
          </cell>
          <cell r="E361" t="str">
            <v>P-569(8/8)</v>
          </cell>
        </row>
        <row r="362">
          <cell r="B362" t="str">
            <v>B272-400-AS-120-CV-010</v>
          </cell>
          <cell r="E362" t="str">
            <v>P-765(1/4)</v>
          </cell>
        </row>
        <row r="363">
          <cell r="B363" t="str">
            <v>B272-400-AS-120-CV-010</v>
          </cell>
          <cell r="E363" t="str">
            <v>P-765(2/4)</v>
          </cell>
        </row>
        <row r="364">
          <cell r="B364" t="str">
            <v>B272-400-AS-120-CV-010</v>
          </cell>
          <cell r="E364" t="str">
            <v>P-765(3/4)</v>
          </cell>
        </row>
        <row r="365">
          <cell r="B365" t="str">
            <v>B272-400-AS-120-CV-010</v>
          </cell>
          <cell r="E365" t="str">
            <v>P-765(4/4)</v>
          </cell>
        </row>
        <row r="366">
          <cell r="B366" t="str">
            <v>B272-400-AS-120-CV-010</v>
          </cell>
          <cell r="E366" t="str">
            <v>P-766(1/4)</v>
          </cell>
        </row>
        <row r="367">
          <cell r="B367" t="str">
            <v>B272-400-AS-120-CV-010</v>
          </cell>
          <cell r="E367" t="str">
            <v>P-766(2/4)</v>
          </cell>
        </row>
        <row r="368">
          <cell r="B368" t="str">
            <v>B272-400-AS-120-CV-010</v>
          </cell>
          <cell r="E368" t="str">
            <v>P-766(3/4)</v>
          </cell>
        </row>
        <row r="369">
          <cell r="B369" t="str">
            <v>B272-400-AS-120-CV-010</v>
          </cell>
          <cell r="E369" t="str">
            <v>P-766(4/4)</v>
          </cell>
        </row>
        <row r="370">
          <cell r="B370" t="str">
            <v>B272-400-AS-120-CV-010</v>
          </cell>
          <cell r="E370" t="str">
            <v>P-768(1/16)</v>
          </cell>
        </row>
        <row r="371">
          <cell r="B371" t="str">
            <v>B272-400-AS-120-CV-010</v>
          </cell>
          <cell r="E371" t="str">
            <v>P-768(2/16)</v>
          </cell>
        </row>
        <row r="372">
          <cell r="B372" t="str">
            <v>B272-400-AS-120-CV-010</v>
          </cell>
          <cell r="E372" t="str">
            <v>P-768(3/16)</v>
          </cell>
        </row>
        <row r="373">
          <cell r="B373" t="str">
            <v>B272-400-AS-120-CV-010</v>
          </cell>
          <cell r="E373" t="str">
            <v>P-768(4/16)</v>
          </cell>
        </row>
        <row r="374">
          <cell r="B374" t="str">
            <v>B272-400-AS-120-CV-010</v>
          </cell>
          <cell r="E374" t="str">
            <v>P-768(5/16)</v>
          </cell>
        </row>
        <row r="375">
          <cell r="B375" t="str">
            <v>B272-400-AS-120-CV-010</v>
          </cell>
          <cell r="E375" t="str">
            <v>P-768(6/16)</v>
          </cell>
        </row>
        <row r="376">
          <cell r="B376" t="str">
            <v>B272-400-AS-120-CV-010</v>
          </cell>
          <cell r="E376" t="str">
            <v>P-768(7/16)</v>
          </cell>
        </row>
        <row r="377">
          <cell r="B377" t="str">
            <v>B272-400-AS-120-CV-010</v>
          </cell>
          <cell r="E377" t="str">
            <v>P-768(8/16)</v>
          </cell>
        </row>
        <row r="378">
          <cell r="B378" t="str">
            <v>B272-400-AS-120-CV-010</v>
          </cell>
          <cell r="E378" t="str">
            <v>P-768(9/16)</v>
          </cell>
        </row>
        <row r="379">
          <cell r="B379" t="str">
            <v>B272-400-AS-120-CV-010</v>
          </cell>
          <cell r="E379" t="str">
            <v>P-768(10/16)</v>
          </cell>
        </row>
        <row r="380">
          <cell r="B380" t="str">
            <v>B272-400-AS-120-CV-010</v>
          </cell>
          <cell r="E380" t="str">
            <v>P-768(11/16)</v>
          </cell>
        </row>
        <row r="381">
          <cell r="B381" t="str">
            <v>B272-400-AS-120-CV-010</v>
          </cell>
          <cell r="E381" t="str">
            <v>P-768(12/16)</v>
          </cell>
        </row>
        <row r="382">
          <cell r="B382" t="str">
            <v>B272-400-AS-120-CV-010</v>
          </cell>
          <cell r="E382" t="str">
            <v>P-768(13/16)</v>
          </cell>
        </row>
        <row r="383">
          <cell r="B383" t="str">
            <v>B272-400-AS-120-CV-010</v>
          </cell>
          <cell r="E383" t="str">
            <v>P-768(14/16)</v>
          </cell>
        </row>
        <row r="384">
          <cell r="B384" t="str">
            <v>B272-400-AS-120-CV-010</v>
          </cell>
          <cell r="E384" t="str">
            <v>P-768(15/16)</v>
          </cell>
        </row>
        <row r="385">
          <cell r="B385" t="str">
            <v>B272-400-AS-120-CV-010</v>
          </cell>
          <cell r="E385" t="str">
            <v>P-768(16/16)</v>
          </cell>
        </row>
        <row r="386">
          <cell r="B386" t="str">
            <v>B272-400-AS-120-CV-010</v>
          </cell>
          <cell r="E386" t="str">
            <v>P-875(1/61)</v>
          </cell>
        </row>
        <row r="387">
          <cell r="B387" t="str">
            <v>B272-400-AS-120-CV-010</v>
          </cell>
          <cell r="E387" t="str">
            <v>P-875(2/61)</v>
          </cell>
        </row>
        <row r="388">
          <cell r="B388" t="str">
            <v>B272-400-AS-120-CV-010</v>
          </cell>
          <cell r="E388" t="str">
            <v>P-875(3/61)</v>
          </cell>
        </row>
        <row r="389">
          <cell r="B389" t="str">
            <v>B272-400-AS-120-CV-010</v>
          </cell>
          <cell r="E389" t="str">
            <v>P-875(4/61)</v>
          </cell>
        </row>
        <row r="390">
          <cell r="B390" t="str">
            <v>B272-400-AS-120-CV-010</v>
          </cell>
          <cell r="E390" t="str">
            <v>P-875(5/61)</v>
          </cell>
        </row>
        <row r="391">
          <cell r="B391" t="str">
            <v>B272-400-AS-120-CV-010</v>
          </cell>
          <cell r="E391" t="str">
            <v>P-875(6/61)</v>
          </cell>
        </row>
        <row r="392">
          <cell r="B392" t="str">
            <v>B272-400-AS-120-CV-010</v>
          </cell>
          <cell r="E392" t="str">
            <v>P-875(7/61)</v>
          </cell>
        </row>
        <row r="393">
          <cell r="B393" t="str">
            <v>B272-400-AS-120-CV-010</v>
          </cell>
          <cell r="E393" t="str">
            <v>P-875(8/61)</v>
          </cell>
        </row>
        <row r="394">
          <cell r="B394" t="str">
            <v>B272-400-AS-120-CV-010</v>
          </cell>
          <cell r="E394" t="str">
            <v>P-875(9/61)</v>
          </cell>
        </row>
        <row r="395">
          <cell r="B395" t="str">
            <v>B272-400-AS-120-CV-010</v>
          </cell>
          <cell r="E395" t="str">
            <v>P-875(10/61)</v>
          </cell>
        </row>
        <row r="396">
          <cell r="B396" t="str">
            <v>B272-400-AS-120-CV-010</v>
          </cell>
          <cell r="E396" t="str">
            <v>P-875(11/61)</v>
          </cell>
        </row>
        <row r="397">
          <cell r="B397" t="str">
            <v>B272-400-AS-120-CV-010</v>
          </cell>
          <cell r="E397" t="str">
            <v>P-875(12/61)</v>
          </cell>
        </row>
        <row r="398">
          <cell r="B398" t="str">
            <v>B272-400-AS-120-CV-010</v>
          </cell>
          <cell r="E398" t="str">
            <v>P-875(13/61)</v>
          </cell>
        </row>
        <row r="399">
          <cell r="B399" t="str">
            <v>B272-400-AS-120-CV-010</v>
          </cell>
          <cell r="E399" t="str">
            <v>P-875(14/61)</v>
          </cell>
        </row>
        <row r="400">
          <cell r="B400" t="str">
            <v>B272-400-AS-120-CV-010</v>
          </cell>
          <cell r="E400" t="str">
            <v>P-875(15/61)</v>
          </cell>
        </row>
        <row r="401">
          <cell r="B401" t="str">
            <v>B272-400-AS-120-CV-010</v>
          </cell>
          <cell r="E401" t="str">
            <v>P-875(16/61)</v>
          </cell>
        </row>
        <row r="402">
          <cell r="B402" t="str">
            <v>B272-400-AS-120-CV-010</v>
          </cell>
          <cell r="E402" t="str">
            <v>P-875(17/61)</v>
          </cell>
        </row>
        <row r="403">
          <cell r="B403" t="str">
            <v>B272-400-AS-120-CV-010</v>
          </cell>
          <cell r="E403" t="str">
            <v>P-875(18/61)</v>
          </cell>
        </row>
        <row r="404">
          <cell r="B404" t="str">
            <v>B272-400-AS-120-CV-010</v>
          </cell>
          <cell r="E404" t="str">
            <v>P-875(19/61)</v>
          </cell>
        </row>
        <row r="405">
          <cell r="B405" t="str">
            <v>B272-400-AS-120-CV-010</v>
          </cell>
          <cell r="E405" t="str">
            <v>P-875(20/61)</v>
          </cell>
        </row>
        <row r="406">
          <cell r="B406" t="str">
            <v>B272-400-AS-120-CV-010</v>
          </cell>
          <cell r="E406" t="str">
            <v>P-875(21/61)</v>
          </cell>
        </row>
        <row r="407">
          <cell r="B407" t="str">
            <v>B272-400-AS-120-CV-010</v>
          </cell>
          <cell r="E407" t="str">
            <v>P-875(22/61)</v>
          </cell>
        </row>
        <row r="408">
          <cell r="B408" t="str">
            <v>B272-400-AS-120-CV-010</v>
          </cell>
          <cell r="E408" t="str">
            <v>P-875(23/61)</v>
          </cell>
        </row>
        <row r="409">
          <cell r="B409" t="str">
            <v>B272-400-AS-120-CV-010</v>
          </cell>
          <cell r="E409" t="str">
            <v>P-875(24/61)</v>
          </cell>
        </row>
        <row r="410">
          <cell r="B410" t="str">
            <v>B272-400-AS-120-CV-010</v>
          </cell>
          <cell r="E410" t="str">
            <v>P-875(25/61)</v>
          </cell>
        </row>
        <row r="411">
          <cell r="B411" t="str">
            <v>B272-400-AS-120-CV-010</v>
          </cell>
          <cell r="E411" t="str">
            <v>P-875(26/61)</v>
          </cell>
        </row>
        <row r="412">
          <cell r="B412" t="str">
            <v>B272-400-AS-120-CV-010</v>
          </cell>
          <cell r="E412" t="str">
            <v>P-875(27/61)</v>
          </cell>
        </row>
        <row r="413">
          <cell r="B413" t="str">
            <v>B272-400-AS-120-CV-010</v>
          </cell>
          <cell r="E413" t="str">
            <v>P-875(28/61)</v>
          </cell>
        </row>
        <row r="414">
          <cell r="B414" t="str">
            <v>B272-400-AS-120-CV-010</v>
          </cell>
          <cell r="E414" t="str">
            <v>P-875(29/61)</v>
          </cell>
        </row>
        <row r="415">
          <cell r="B415" t="str">
            <v>B272-400-AS-120-CV-010</v>
          </cell>
          <cell r="E415" t="str">
            <v>P-875(30/61)</v>
          </cell>
        </row>
        <row r="416">
          <cell r="B416" t="str">
            <v>B272-400-AS-120-CV-010</v>
          </cell>
          <cell r="E416" t="str">
            <v>P-875(31/61)</v>
          </cell>
        </row>
        <row r="417">
          <cell r="B417" t="str">
            <v>B272-400-AS-120-CV-010</v>
          </cell>
          <cell r="E417" t="str">
            <v>P-875(32/61)</v>
          </cell>
        </row>
        <row r="418">
          <cell r="B418" t="str">
            <v>B272-400-AS-120-CV-010</v>
          </cell>
          <cell r="E418" t="str">
            <v>P-875(33/61)</v>
          </cell>
        </row>
        <row r="419">
          <cell r="B419" t="str">
            <v>B272-400-AS-120-CV-010</v>
          </cell>
          <cell r="E419" t="str">
            <v>P-875(34/61)</v>
          </cell>
        </row>
        <row r="420">
          <cell r="B420" t="str">
            <v>B272-400-AS-120-CV-010</v>
          </cell>
          <cell r="E420" t="str">
            <v>P-875(35/61)</v>
          </cell>
        </row>
        <row r="421">
          <cell r="B421" t="str">
            <v>B272-400-AS-120-CV-010</v>
          </cell>
          <cell r="E421" t="str">
            <v>P-875(36/61)</v>
          </cell>
        </row>
        <row r="422">
          <cell r="B422" t="str">
            <v>B272-400-AS-120-CV-010</v>
          </cell>
          <cell r="E422" t="str">
            <v>P-875(37/61)</v>
          </cell>
        </row>
        <row r="423">
          <cell r="B423" t="str">
            <v>B272-400-AS-120-CV-010</v>
          </cell>
          <cell r="E423" t="str">
            <v>P-875(38/61)</v>
          </cell>
        </row>
        <row r="424">
          <cell r="B424" t="str">
            <v>B272-400-AS-120-CV-010</v>
          </cell>
          <cell r="E424" t="str">
            <v>P-875(39/61)</v>
          </cell>
        </row>
        <row r="425">
          <cell r="B425" t="str">
            <v>B272-400-AS-120-CV-010</v>
          </cell>
          <cell r="E425" t="str">
            <v>P-875(40/61)</v>
          </cell>
        </row>
        <row r="426">
          <cell r="B426" t="str">
            <v>B272-400-AS-120-CV-010</v>
          </cell>
          <cell r="E426" t="str">
            <v>P-875(41/61)</v>
          </cell>
        </row>
        <row r="427">
          <cell r="B427" t="str">
            <v>B272-400-AS-120-CV-010</v>
          </cell>
          <cell r="E427" t="str">
            <v>P-875(42/61)</v>
          </cell>
        </row>
        <row r="428">
          <cell r="B428" t="str">
            <v>B272-400-AS-120-CV-010</v>
          </cell>
          <cell r="E428" t="str">
            <v>P-875(43/61)</v>
          </cell>
        </row>
        <row r="429">
          <cell r="B429" t="str">
            <v>B272-400-AS-120-CV-010</v>
          </cell>
          <cell r="E429" t="str">
            <v>P-875(44/61)</v>
          </cell>
        </row>
        <row r="430">
          <cell r="B430" t="str">
            <v>B272-400-AS-120-CV-010</v>
          </cell>
          <cell r="E430" t="str">
            <v>P-875(45/61)</v>
          </cell>
        </row>
        <row r="431">
          <cell r="B431" t="str">
            <v>B272-400-AS-120-CV-010</v>
          </cell>
          <cell r="E431" t="str">
            <v>P-875(46/61)</v>
          </cell>
        </row>
        <row r="432">
          <cell r="B432" t="str">
            <v>B272-400-AS-120-CV-010</v>
          </cell>
          <cell r="E432" t="str">
            <v>P-875(47/61)</v>
          </cell>
        </row>
        <row r="433">
          <cell r="B433" t="str">
            <v>B272-400-AS-120-CV-010</v>
          </cell>
          <cell r="E433" t="str">
            <v>P-875(48/61)</v>
          </cell>
        </row>
        <row r="434">
          <cell r="B434" t="str">
            <v>B272-400-AS-120-CV-010</v>
          </cell>
          <cell r="E434" t="str">
            <v>P-875(49/61)</v>
          </cell>
        </row>
        <row r="435">
          <cell r="B435" t="str">
            <v>B272-400-AS-120-CV-010</v>
          </cell>
          <cell r="E435" t="str">
            <v>P-875(50/61)</v>
          </cell>
        </row>
        <row r="436">
          <cell r="B436" t="str">
            <v>B272-400-AS-120-CV-010</v>
          </cell>
          <cell r="E436" t="str">
            <v>P-875(51/61)</v>
          </cell>
        </row>
        <row r="437">
          <cell r="B437" t="str">
            <v>B272-400-AS-120-CV-010</v>
          </cell>
          <cell r="E437" t="str">
            <v>P-875(52/61)</v>
          </cell>
        </row>
        <row r="438">
          <cell r="B438" t="str">
            <v>B272-400-AS-120-CV-010</v>
          </cell>
          <cell r="E438" t="str">
            <v>P-875(53/61)</v>
          </cell>
        </row>
        <row r="439">
          <cell r="B439" t="str">
            <v>B272-400-AS-120-CV-010</v>
          </cell>
          <cell r="E439" t="str">
            <v>P-875(54/61)</v>
          </cell>
        </row>
        <row r="440">
          <cell r="B440" t="str">
            <v>B272-400-AS-120-CV-010</v>
          </cell>
          <cell r="E440" t="str">
            <v>P-875(55/61)</v>
          </cell>
        </row>
        <row r="441">
          <cell r="B441" t="str">
            <v>B272-400-AS-120-CV-010</v>
          </cell>
          <cell r="E441" t="str">
            <v>P-875(56/61)</v>
          </cell>
        </row>
        <row r="442">
          <cell r="B442" t="str">
            <v>B272-400-AS-120-CV-010</v>
          </cell>
          <cell r="E442" t="str">
            <v>P-875(57/61)</v>
          </cell>
        </row>
        <row r="443">
          <cell r="B443" t="str">
            <v>B272-400-AS-120-CV-010</v>
          </cell>
          <cell r="E443" t="str">
            <v>P-875(58/61)</v>
          </cell>
        </row>
        <row r="444">
          <cell r="B444" t="str">
            <v>B272-400-AS-120-CV-010</v>
          </cell>
          <cell r="E444" t="str">
            <v>P-875(59/61)</v>
          </cell>
        </row>
        <row r="445">
          <cell r="B445" t="str">
            <v>B272-400-AS-120-CV-010</v>
          </cell>
          <cell r="E445" t="str">
            <v>P-875(60/61)</v>
          </cell>
        </row>
        <row r="446">
          <cell r="B446" t="str">
            <v>B272-400-AS-120-CV-010</v>
          </cell>
          <cell r="E446" t="str">
            <v>P-875(61/61)</v>
          </cell>
        </row>
        <row r="447">
          <cell r="B447" t="str">
            <v>B272-400-AS-120-CV-010</v>
          </cell>
          <cell r="E447" t="str">
            <v>P-878(1/2)</v>
          </cell>
        </row>
        <row r="448">
          <cell r="B448" t="str">
            <v>B272-400-AS-120-CV-010</v>
          </cell>
          <cell r="E448" t="str">
            <v>P-878(2/2)</v>
          </cell>
        </row>
        <row r="449">
          <cell r="B449" t="str">
            <v>B272-400-AS-120-CV-010</v>
          </cell>
          <cell r="E449" t="str">
            <v>P-881(1/18)</v>
          </cell>
        </row>
        <row r="450">
          <cell r="B450" t="str">
            <v>B272-400-AS-120-CV-010</v>
          </cell>
          <cell r="E450" t="str">
            <v>P-881(2/18)</v>
          </cell>
        </row>
        <row r="451">
          <cell r="B451" t="str">
            <v>B272-400-AS-120-CV-010</v>
          </cell>
          <cell r="E451" t="str">
            <v>P-881(3/18)</v>
          </cell>
        </row>
        <row r="452">
          <cell r="B452" t="str">
            <v>B272-400-AS-120-CV-010</v>
          </cell>
          <cell r="E452" t="str">
            <v>P-881(4/18)</v>
          </cell>
        </row>
        <row r="453">
          <cell r="B453" t="str">
            <v>B272-400-AS-120-CV-010</v>
          </cell>
          <cell r="E453" t="str">
            <v>P-881(5/18)</v>
          </cell>
        </row>
        <row r="454">
          <cell r="B454" t="str">
            <v>B272-400-AS-120-CV-010</v>
          </cell>
          <cell r="E454" t="str">
            <v>P-881(6/18)</v>
          </cell>
        </row>
        <row r="455">
          <cell r="B455" t="str">
            <v>B272-400-AS-120-CV-010</v>
          </cell>
          <cell r="E455" t="str">
            <v>P-881(7/18)</v>
          </cell>
        </row>
        <row r="456">
          <cell r="B456" t="str">
            <v>B272-400-AS-120-CV-010</v>
          </cell>
          <cell r="E456" t="str">
            <v>P-881(8/18)</v>
          </cell>
        </row>
        <row r="457">
          <cell r="B457" t="str">
            <v>B272-400-AS-120-CV-010</v>
          </cell>
          <cell r="E457" t="str">
            <v>P-881(9/18)</v>
          </cell>
        </row>
        <row r="458">
          <cell r="B458" t="str">
            <v>B272-400-AS-120-CV-010</v>
          </cell>
          <cell r="E458" t="str">
            <v>P-881(10/18)</v>
          </cell>
        </row>
        <row r="459">
          <cell r="B459" t="str">
            <v>B272-400-AS-120-CV-010</v>
          </cell>
          <cell r="E459" t="str">
            <v>P-881(11/18)</v>
          </cell>
        </row>
        <row r="460">
          <cell r="B460" t="str">
            <v>B272-400-AS-120-CV-010</v>
          </cell>
          <cell r="E460" t="str">
            <v>P-881(12/18)</v>
          </cell>
        </row>
        <row r="461">
          <cell r="B461" t="str">
            <v>B272-400-AS-120-CV-010</v>
          </cell>
          <cell r="E461" t="str">
            <v>P-881(13/18)</v>
          </cell>
        </row>
        <row r="462">
          <cell r="B462" t="str">
            <v>B272-400-AS-120-CV-010</v>
          </cell>
          <cell r="E462" t="str">
            <v>P-881(14/18)</v>
          </cell>
        </row>
        <row r="463">
          <cell r="B463" t="str">
            <v>B272-400-AS-120-CV-010</v>
          </cell>
          <cell r="E463" t="str">
            <v>P-881(15/18)</v>
          </cell>
        </row>
        <row r="464">
          <cell r="B464" t="str">
            <v>B272-400-AS-120-CV-010</v>
          </cell>
          <cell r="E464" t="str">
            <v>P-881(16/18)</v>
          </cell>
        </row>
        <row r="465">
          <cell r="B465" t="str">
            <v>B272-400-AS-120-CV-010</v>
          </cell>
          <cell r="E465" t="str">
            <v>P-881(17/18)</v>
          </cell>
        </row>
        <row r="466">
          <cell r="B466" t="str">
            <v>B272-400-AS-120-CV-010</v>
          </cell>
          <cell r="E466" t="str">
            <v>P-881(18/18)</v>
          </cell>
        </row>
        <row r="467">
          <cell r="B467" t="str">
            <v>B272-400-AS-120-CV-010</v>
          </cell>
          <cell r="E467" t="str">
            <v>P-893</v>
          </cell>
        </row>
        <row r="468">
          <cell r="B468" t="str">
            <v>B272-400-AS-120-CV-010</v>
          </cell>
          <cell r="E468" t="str">
            <v>P-894</v>
          </cell>
        </row>
        <row r="469">
          <cell r="B469" t="str">
            <v>B272-400-AS-120-CV-010</v>
          </cell>
          <cell r="E469" t="str">
            <v>P-895</v>
          </cell>
        </row>
        <row r="470">
          <cell r="B470" t="str">
            <v>B272-400-AS-120-CV-010</v>
          </cell>
          <cell r="E470" t="str">
            <v>P-896</v>
          </cell>
        </row>
        <row r="471">
          <cell r="B471" t="str">
            <v>B272-400-AS-120-CV-010</v>
          </cell>
          <cell r="E471" t="str">
            <v>P-930(1/4)</v>
          </cell>
        </row>
        <row r="472">
          <cell r="B472" t="str">
            <v>B272-400-AS-120-CV-010</v>
          </cell>
          <cell r="E472" t="str">
            <v>P-930(2/4)</v>
          </cell>
        </row>
        <row r="473">
          <cell r="B473" t="str">
            <v>B272-400-AS-120-CV-010</v>
          </cell>
          <cell r="E473" t="str">
            <v>P-930(3/4)</v>
          </cell>
        </row>
        <row r="474">
          <cell r="B474" t="str">
            <v>B272-400-AS-120-CV-010</v>
          </cell>
          <cell r="E474" t="str">
            <v>P-930(4/4)</v>
          </cell>
        </row>
        <row r="475">
          <cell r="B475" t="str">
            <v>B272-400-AS-120-CV-010</v>
          </cell>
          <cell r="E475" t="str">
            <v>P-931(1/2)</v>
          </cell>
        </row>
        <row r="476">
          <cell r="B476" t="str">
            <v>B272-400-AS-120-CV-010</v>
          </cell>
          <cell r="E476" t="str">
            <v>P-931(2/2)</v>
          </cell>
        </row>
        <row r="477">
          <cell r="B477" t="str">
            <v>B272-400-AS-120-CV-010</v>
          </cell>
          <cell r="E477" t="str">
            <v>P-932(1/3)</v>
          </cell>
        </row>
        <row r="478">
          <cell r="B478" t="str">
            <v>B272-400-AS-120-CV-010</v>
          </cell>
          <cell r="E478" t="str">
            <v>P-932(2/3)</v>
          </cell>
        </row>
        <row r="479">
          <cell r="B479" t="str">
            <v>B272-400-AS-120-CV-010</v>
          </cell>
          <cell r="E479" t="str">
            <v>P-932(3/3)</v>
          </cell>
        </row>
        <row r="480">
          <cell r="B480" t="str">
            <v>B272-400-AS-120-CV-010</v>
          </cell>
          <cell r="E480" t="str">
            <v>P-933(1/6)</v>
          </cell>
        </row>
        <row r="481">
          <cell r="B481" t="str">
            <v>B272-400-AS-120-CV-010</v>
          </cell>
          <cell r="E481" t="str">
            <v>P-933(2/6)</v>
          </cell>
        </row>
        <row r="482">
          <cell r="B482" t="str">
            <v>B272-400-AS-120-CV-010</v>
          </cell>
          <cell r="E482" t="str">
            <v>P-933(3/6)</v>
          </cell>
        </row>
        <row r="483">
          <cell r="B483" t="str">
            <v>B272-400-AS-120-CV-010</v>
          </cell>
          <cell r="E483" t="str">
            <v>P-933(4/6)</v>
          </cell>
        </row>
        <row r="484">
          <cell r="B484" t="str">
            <v>B272-400-AS-120-CV-010</v>
          </cell>
          <cell r="E484" t="str">
            <v>P-933(5/6)</v>
          </cell>
        </row>
        <row r="485">
          <cell r="B485" t="str">
            <v>B272-400-AS-120-CV-010</v>
          </cell>
          <cell r="E485" t="str">
            <v>P-933(6/6)</v>
          </cell>
        </row>
        <row r="486">
          <cell r="B486" t="str">
            <v>B272-400-AS-120-CV-010</v>
          </cell>
          <cell r="E486" t="str">
            <v>P-934(1/3)</v>
          </cell>
        </row>
        <row r="487">
          <cell r="B487" t="str">
            <v>B272-400-AS-120-CV-010</v>
          </cell>
          <cell r="E487" t="str">
            <v>P-934(2/3)</v>
          </cell>
        </row>
        <row r="488">
          <cell r="B488" t="str">
            <v>B272-400-AS-120-CV-010</v>
          </cell>
          <cell r="E488" t="str">
            <v>P-934(3/3)</v>
          </cell>
        </row>
        <row r="489">
          <cell r="B489" t="str">
            <v>B272-400-AS-120-CV-010</v>
          </cell>
          <cell r="E489" t="str">
            <v>P-945(1/5)</v>
          </cell>
        </row>
        <row r="490">
          <cell r="B490" t="str">
            <v>B272-400-AS-120-CV-010</v>
          </cell>
          <cell r="E490" t="str">
            <v>P-945(2/5)</v>
          </cell>
        </row>
        <row r="491">
          <cell r="B491" t="str">
            <v>B272-400-AS-120-CV-010</v>
          </cell>
          <cell r="E491" t="str">
            <v>P-945(3/5)</v>
          </cell>
        </row>
        <row r="492">
          <cell r="B492" t="str">
            <v>B272-400-AS-120-CV-010</v>
          </cell>
          <cell r="E492" t="str">
            <v>P-945(4/5)</v>
          </cell>
        </row>
        <row r="493">
          <cell r="B493" t="str">
            <v>B272-400-AS-120-CV-010</v>
          </cell>
          <cell r="E493" t="str">
            <v>P-945(5/5)</v>
          </cell>
        </row>
        <row r="494">
          <cell r="B494" t="str">
            <v>B272-400-AS-120-CV-010</v>
          </cell>
          <cell r="E494" t="str">
            <v>P-998(1/2)</v>
          </cell>
        </row>
        <row r="495">
          <cell r="B495" t="str">
            <v>B272-400-AS-120-CV-010</v>
          </cell>
          <cell r="E495" t="str">
            <v>P-998(2/2)</v>
          </cell>
        </row>
        <row r="496">
          <cell r="B496" t="str">
            <v>B272-400-AS-120-CV-010</v>
          </cell>
          <cell r="E496" t="str">
            <v>P-1025(1/2)</v>
          </cell>
        </row>
        <row r="497">
          <cell r="B497" t="str">
            <v>B272-400-AS-120-CV-010</v>
          </cell>
          <cell r="E497" t="str">
            <v>P-1025(2/2)</v>
          </cell>
        </row>
        <row r="498">
          <cell r="B498" t="str">
            <v>B272-400-AS-120-CV-010</v>
          </cell>
          <cell r="E498" t="str">
            <v>P-1133(1/2)</v>
          </cell>
        </row>
        <row r="499">
          <cell r="B499" t="str">
            <v>B272-400-AS-120-CV-010</v>
          </cell>
          <cell r="E499" t="str">
            <v>P-1133(2/2)</v>
          </cell>
        </row>
        <row r="500">
          <cell r="B500" t="str">
            <v>B272-400-AS-120-CV-010</v>
          </cell>
          <cell r="E500" t="str">
            <v>P-1167(1/2)</v>
          </cell>
        </row>
        <row r="501">
          <cell r="B501" t="str">
            <v>B272-400-AS-120-CV-010</v>
          </cell>
          <cell r="E501" t="str">
            <v>P-1167(2/2)</v>
          </cell>
        </row>
        <row r="502">
          <cell r="B502" t="str">
            <v>B272-400-AS-120-CV-010</v>
          </cell>
          <cell r="E502" t="str">
            <v>P-1180(1/2)</v>
          </cell>
        </row>
        <row r="503">
          <cell r="B503" t="str">
            <v>B272-400-AS-120-CV-010</v>
          </cell>
          <cell r="E503" t="str">
            <v>P-1180(2/2)</v>
          </cell>
        </row>
        <row r="504">
          <cell r="B504" t="str">
            <v>B272-400-AS-120-CV-010</v>
          </cell>
          <cell r="E504" t="str">
            <v>PY-3(1/2)</v>
          </cell>
        </row>
        <row r="505">
          <cell r="B505" t="str">
            <v>B272-400-AS-120-CV-010</v>
          </cell>
          <cell r="E505" t="str">
            <v>PY-3(2/2)</v>
          </cell>
        </row>
        <row r="506">
          <cell r="B506" t="str">
            <v>B272-400-AS-120-CV-010</v>
          </cell>
          <cell r="E506" t="str">
            <v>PY-4</v>
          </cell>
        </row>
        <row r="507">
          <cell r="B507" t="str">
            <v>B272-400-AS-120-CV-010</v>
          </cell>
          <cell r="E507" t="str">
            <v>PY-10(1/2)</v>
          </cell>
        </row>
        <row r="508">
          <cell r="B508" t="str">
            <v>B272-400-AS-120-CV-010</v>
          </cell>
          <cell r="E508" t="str">
            <v>PY-10(2/2)</v>
          </cell>
        </row>
        <row r="509">
          <cell r="B509" t="str">
            <v>B272-400-AS-120-CV-010</v>
          </cell>
          <cell r="E509" t="str">
            <v>R-1(1/3)</v>
          </cell>
        </row>
        <row r="510">
          <cell r="B510" t="str">
            <v>B272-400-AS-120-CV-010</v>
          </cell>
          <cell r="E510" t="str">
            <v>R-1(2/3)</v>
          </cell>
        </row>
        <row r="511">
          <cell r="B511" t="str">
            <v>B272-400-AS-120-CV-010</v>
          </cell>
          <cell r="E511" t="str">
            <v>R-1(3/3)</v>
          </cell>
        </row>
        <row r="512">
          <cell r="B512" t="str">
            <v>B272-400-AS-120-CV-010</v>
          </cell>
          <cell r="E512" t="str">
            <v>RZ-2(1/2)</v>
          </cell>
        </row>
        <row r="513">
          <cell r="B513" t="str">
            <v>B272-400-AS-120-CV-010</v>
          </cell>
          <cell r="E513" t="str">
            <v>RZ-2(2/2)</v>
          </cell>
        </row>
        <row r="514">
          <cell r="B514" t="str">
            <v>B272-400-AS-120-CV-010</v>
          </cell>
          <cell r="E514" t="str">
            <v>RZ-5(1/6)</v>
          </cell>
        </row>
        <row r="515">
          <cell r="B515" t="str">
            <v>B272-400-AS-120-CV-010</v>
          </cell>
          <cell r="E515" t="str">
            <v>RZ-5(2/6)</v>
          </cell>
        </row>
        <row r="516">
          <cell r="B516" t="str">
            <v>B272-400-AS-120-CV-010</v>
          </cell>
          <cell r="E516" t="str">
            <v>RZ-5(3/6)</v>
          </cell>
        </row>
        <row r="517">
          <cell r="B517" t="str">
            <v>B272-400-AS-120-CV-010</v>
          </cell>
          <cell r="E517" t="str">
            <v>RZ-5(4/6)</v>
          </cell>
        </row>
        <row r="518">
          <cell r="B518" t="str">
            <v>B272-400-AS-120-CV-010</v>
          </cell>
          <cell r="E518" t="str">
            <v>RZ-5(5/6)</v>
          </cell>
        </row>
        <row r="519">
          <cell r="B519" t="str">
            <v>B272-400-AS-120-CV-010</v>
          </cell>
          <cell r="E519" t="str">
            <v>RZ-5(6/6)</v>
          </cell>
        </row>
        <row r="520">
          <cell r="B520" t="str">
            <v>B272-400-AS-120-CV-010</v>
          </cell>
          <cell r="E520" t="str">
            <v>W-72(1/6)</v>
          </cell>
        </row>
        <row r="521">
          <cell r="B521" t="str">
            <v>B272-400-AS-120-CV-010</v>
          </cell>
          <cell r="E521" t="str">
            <v>W-72(2/6)</v>
          </cell>
        </row>
        <row r="522">
          <cell r="B522" t="str">
            <v>B272-400-AS-120-CV-010</v>
          </cell>
          <cell r="E522" t="str">
            <v>W-72(3/6)</v>
          </cell>
        </row>
        <row r="523">
          <cell r="B523" t="str">
            <v>B272-400-AS-120-CV-010</v>
          </cell>
          <cell r="E523" t="str">
            <v>W-72(4/6)</v>
          </cell>
        </row>
        <row r="524">
          <cell r="B524" t="str">
            <v>B272-400-AS-120-CV-010</v>
          </cell>
          <cell r="E524" t="str">
            <v>W-72(5/6)</v>
          </cell>
        </row>
        <row r="525">
          <cell r="B525" t="str">
            <v>B272-400-AS-120-CV-010</v>
          </cell>
          <cell r="E525" t="str">
            <v>W-72(6/6)</v>
          </cell>
        </row>
        <row r="526">
          <cell r="B526" t="str">
            <v>B272-400-AS-120-CV-010</v>
          </cell>
          <cell r="E526" t="str">
            <v>CY-2000</v>
          </cell>
        </row>
        <row r="527">
          <cell r="B527" t="str">
            <v>B272-400-AS-120-CV-010</v>
          </cell>
          <cell r="E527" t="str">
            <v>CY-2001</v>
          </cell>
        </row>
        <row r="528">
          <cell r="B528" t="str">
            <v>B272-400-AS-120-CV-010</v>
          </cell>
          <cell r="E528" t="str">
            <v>P-2071</v>
          </cell>
        </row>
        <row r="529">
          <cell r="B529" t="str">
            <v>B272-400-AS-120-CV-010</v>
          </cell>
          <cell r="E529" t="str">
            <v>B2050</v>
          </cell>
        </row>
        <row r="530">
          <cell r="B530" t="str">
            <v>B272-400-AS-120-CV-010</v>
          </cell>
          <cell r="E530" t="str">
            <v>B24100</v>
          </cell>
        </row>
        <row r="531">
          <cell r="B531" t="str">
            <v>B272-400-AS-120-CV-010</v>
          </cell>
          <cell r="E531" t="str">
            <v>B2080</v>
          </cell>
        </row>
        <row r="532">
          <cell r="B532" t="str">
            <v>B272-400-AS-120-CV-010</v>
          </cell>
          <cell r="E532" t="str">
            <v>B1660</v>
          </cell>
        </row>
        <row r="533">
          <cell r="B533" t="str">
            <v>B272-400-AS-120-CV-011</v>
          </cell>
        </row>
        <row r="534">
          <cell r="B534" t="str">
            <v>B272-400-AS-120-CV-011</v>
          </cell>
          <cell r="E534" t="str">
            <v>A-31</v>
          </cell>
        </row>
        <row r="535">
          <cell r="B535" t="str">
            <v>B272-400-AS-120-CV-011</v>
          </cell>
          <cell r="E535" t="str">
            <v>A-119(1/4)</v>
          </cell>
        </row>
        <row r="536">
          <cell r="B536" t="str">
            <v>B272-400-AS-120-CV-011</v>
          </cell>
          <cell r="E536" t="str">
            <v>A-119(2/4)</v>
          </cell>
        </row>
        <row r="537">
          <cell r="B537" t="str">
            <v>B272-400-AS-120-CV-011</v>
          </cell>
          <cell r="E537" t="str">
            <v>A-119(3/4)</v>
          </cell>
        </row>
        <row r="538">
          <cell r="B538" t="str">
            <v>B272-400-AS-120-CV-011</v>
          </cell>
          <cell r="E538" t="str">
            <v>A-119(4/4)</v>
          </cell>
        </row>
        <row r="539">
          <cell r="B539" t="str">
            <v>B272-400-AS-120-CV-011</v>
          </cell>
          <cell r="E539" t="str">
            <v>A-130</v>
          </cell>
        </row>
        <row r="540">
          <cell r="B540" t="str">
            <v>B272-400-AS-120-CV-011</v>
          </cell>
          <cell r="E540" t="str">
            <v>A-133</v>
          </cell>
        </row>
        <row r="541">
          <cell r="B541" t="str">
            <v>B272-400-AS-120-CV-011</v>
          </cell>
          <cell r="E541" t="str">
            <v>C-13(1/4)</v>
          </cell>
        </row>
        <row r="542">
          <cell r="B542" t="str">
            <v>B272-400-AS-120-CV-011</v>
          </cell>
          <cell r="E542" t="str">
            <v>C-13(2/4)</v>
          </cell>
        </row>
        <row r="543">
          <cell r="B543" t="str">
            <v>B272-400-AS-120-CV-011</v>
          </cell>
          <cell r="E543" t="str">
            <v>C-13(3/4)</v>
          </cell>
        </row>
        <row r="544">
          <cell r="B544" t="str">
            <v>B272-400-AS-120-CV-011</v>
          </cell>
          <cell r="E544" t="str">
            <v>C-13(4/4)</v>
          </cell>
        </row>
        <row r="545">
          <cell r="B545" t="str">
            <v>B272-400-AS-120-CV-011</v>
          </cell>
          <cell r="E545" t="str">
            <v>C-29(1/3)</v>
          </cell>
        </row>
        <row r="546">
          <cell r="B546" t="str">
            <v>B272-400-AS-120-CV-011</v>
          </cell>
          <cell r="E546" t="str">
            <v>C-29(2/3)</v>
          </cell>
        </row>
        <row r="547">
          <cell r="B547" t="str">
            <v>B272-400-AS-120-CV-011</v>
          </cell>
          <cell r="E547" t="str">
            <v>C-29(3/3)</v>
          </cell>
        </row>
        <row r="548">
          <cell r="B548" t="str">
            <v>B272-400-AS-120-CV-011</v>
          </cell>
          <cell r="E548" t="str">
            <v>C-35</v>
          </cell>
        </row>
        <row r="549">
          <cell r="B549" t="str">
            <v>B272-400-AS-120-CV-011</v>
          </cell>
          <cell r="E549" t="str">
            <v>C-36(1/2)</v>
          </cell>
        </row>
        <row r="550">
          <cell r="B550" t="str">
            <v>B272-400-AS-120-CV-011</v>
          </cell>
          <cell r="E550" t="str">
            <v>C-36(2/2)</v>
          </cell>
        </row>
        <row r="551">
          <cell r="B551" t="str">
            <v>B272-400-AS-120-CV-011</v>
          </cell>
          <cell r="E551" t="str">
            <v>C-63(1/2)</v>
          </cell>
        </row>
        <row r="552">
          <cell r="B552" t="str">
            <v>B272-400-AS-120-CV-011</v>
          </cell>
          <cell r="E552" t="str">
            <v>C-63(2/2)</v>
          </cell>
        </row>
        <row r="553">
          <cell r="B553" t="str">
            <v>B272-400-AS-120-CV-011</v>
          </cell>
          <cell r="E553" t="str">
            <v>C-65(1/2)</v>
          </cell>
        </row>
        <row r="554">
          <cell r="B554" t="str">
            <v>B272-400-AS-120-CV-011</v>
          </cell>
          <cell r="E554" t="str">
            <v>C-65(2/2)</v>
          </cell>
        </row>
        <row r="555">
          <cell r="B555" t="str">
            <v>B272-400-AS-120-CV-011</v>
          </cell>
          <cell r="E555" t="str">
            <v>C-66(1/2)</v>
          </cell>
        </row>
        <row r="556">
          <cell r="B556" t="str">
            <v>B272-400-AS-120-CV-011</v>
          </cell>
          <cell r="E556" t="str">
            <v>C-66(2/2)</v>
          </cell>
        </row>
        <row r="557">
          <cell r="B557" t="str">
            <v>B272-400-AS-120-CV-011</v>
          </cell>
          <cell r="E557" t="str">
            <v>C-67</v>
          </cell>
        </row>
        <row r="558">
          <cell r="B558" t="str">
            <v>B272-400-AS-120-CV-011</v>
          </cell>
          <cell r="E558" t="str">
            <v>C-68</v>
          </cell>
        </row>
        <row r="559">
          <cell r="B559" t="str">
            <v>B272-400-AS-120-CV-011</v>
          </cell>
          <cell r="E559" t="str">
            <v>C-69(1/4)</v>
          </cell>
        </row>
        <row r="560">
          <cell r="B560" t="str">
            <v>B272-400-AS-120-CV-011</v>
          </cell>
          <cell r="E560" t="str">
            <v>C-69(2/4)</v>
          </cell>
        </row>
        <row r="561">
          <cell r="B561" t="str">
            <v>B272-400-AS-120-CV-011</v>
          </cell>
          <cell r="E561" t="str">
            <v>C-69(3/4)</v>
          </cell>
        </row>
        <row r="562">
          <cell r="B562" t="str">
            <v>B272-400-AS-120-CV-011</v>
          </cell>
          <cell r="E562" t="str">
            <v>C-69(4/4)</v>
          </cell>
        </row>
        <row r="563">
          <cell r="B563" t="str">
            <v>B272-400-AS-120-CV-011</v>
          </cell>
          <cell r="E563" t="str">
            <v>C-70</v>
          </cell>
        </row>
        <row r="564">
          <cell r="B564" t="str">
            <v>B272-400-AS-120-CV-011</v>
          </cell>
          <cell r="E564" t="str">
            <v>C-72(1/12)</v>
          </cell>
        </row>
        <row r="565">
          <cell r="B565" t="str">
            <v>B272-400-AS-120-CV-011</v>
          </cell>
          <cell r="E565" t="str">
            <v>C-72(2/12)</v>
          </cell>
        </row>
        <row r="566">
          <cell r="B566" t="str">
            <v>B272-400-AS-120-CV-011</v>
          </cell>
          <cell r="E566" t="str">
            <v>C-72(3/12)</v>
          </cell>
        </row>
        <row r="567">
          <cell r="B567" t="str">
            <v>B272-400-AS-120-CV-011</v>
          </cell>
          <cell r="E567" t="str">
            <v>C-72(4/12)</v>
          </cell>
        </row>
        <row r="568">
          <cell r="B568" t="str">
            <v>B272-400-AS-120-CV-011</v>
          </cell>
          <cell r="E568" t="str">
            <v>C-72(5/12)</v>
          </cell>
        </row>
        <row r="569">
          <cell r="B569" t="str">
            <v>B272-400-AS-120-CV-011</v>
          </cell>
          <cell r="E569" t="str">
            <v>C-72(6/12)</v>
          </cell>
        </row>
        <row r="570">
          <cell r="B570" t="str">
            <v>B272-400-AS-120-CV-011</v>
          </cell>
          <cell r="E570" t="str">
            <v>C-72(7/12)</v>
          </cell>
        </row>
        <row r="571">
          <cell r="B571" t="str">
            <v>B272-400-AS-120-CV-011</v>
          </cell>
          <cell r="E571" t="str">
            <v>C-72(8/12)</v>
          </cell>
        </row>
        <row r="572">
          <cell r="B572" t="str">
            <v>B272-400-AS-120-CV-011</v>
          </cell>
          <cell r="E572" t="str">
            <v>C-72(9/12)</v>
          </cell>
        </row>
        <row r="573">
          <cell r="B573" t="str">
            <v>B272-400-AS-120-CV-011</v>
          </cell>
          <cell r="E573" t="str">
            <v>C-72(10/12)</v>
          </cell>
        </row>
        <row r="574">
          <cell r="B574" t="str">
            <v>B272-400-AS-120-CV-011</v>
          </cell>
          <cell r="E574" t="str">
            <v>C-72(11/12)</v>
          </cell>
        </row>
        <row r="575">
          <cell r="B575" t="str">
            <v>B272-400-AS-120-CV-011</v>
          </cell>
          <cell r="E575" t="str">
            <v>C-72(12/12)</v>
          </cell>
        </row>
        <row r="576">
          <cell r="B576" t="str">
            <v>B272-400-AS-120-CV-011</v>
          </cell>
          <cell r="E576" t="str">
            <v>C-75(1/3)</v>
          </cell>
        </row>
        <row r="577">
          <cell r="B577" t="str">
            <v>B272-400-AS-120-CV-011</v>
          </cell>
          <cell r="E577" t="str">
            <v>C-75(2/3)</v>
          </cell>
        </row>
        <row r="578">
          <cell r="B578" t="str">
            <v>B272-400-AS-120-CV-011</v>
          </cell>
          <cell r="E578" t="str">
            <v>C-75(3/3)</v>
          </cell>
        </row>
        <row r="579">
          <cell r="B579" t="str">
            <v>B272-400-AS-120-CV-011</v>
          </cell>
          <cell r="E579" t="str">
            <v>C-76</v>
          </cell>
        </row>
        <row r="580">
          <cell r="B580" t="str">
            <v>B272-400-AS-120-CV-011</v>
          </cell>
          <cell r="E580" t="str">
            <v>C-79(1/3)</v>
          </cell>
        </row>
        <row r="581">
          <cell r="B581" t="str">
            <v>B272-400-AS-120-CV-011</v>
          </cell>
          <cell r="E581" t="str">
            <v>C-79(2/3)</v>
          </cell>
        </row>
        <row r="582">
          <cell r="B582" t="str">
            <v>B272-400-AS-120-CV-011</v>
          </cell>
          <cell r="E582" t="str">
            <v>C-79(3/3)</v>
          </cell>
        </row>
        <row r="583">
          <cell r="B583" t="str">
            <v>B272-400-AS-120-CV-011</v>
          </cell>
          <cell r="E583" t="str">
            <v>C-81(1/3)</v>
          </cell>
        </row>
        <row r="584">
          <cell r="B584" t="str">
            <v>B272-400-AS-120-CV-011</v>
          </cell>
          <cell r="E584" t="str">
            <v>C-81(2/3)</v>
          </cell>
        </row>
        <row r="585">
          <cell r="B585" t="str">
            <v>B272-400-AS-120-CV-011</v>
          </cell>
          <cell r="E585" t="str">
            <v>C-81(3/3)</v>
          </cell>
        </row>
        <row r="586">
          <cell r="B586" t="str">
            <v>B272-400-AS-120-CV-011</v>
          </cell>
          <cell r="E586" t="str">
            <v>C-83(1/3)</v>
          </cell>
        </row>
        <row r="587">
          <cell r="B587" t="str">
            <v>B272-400-AS-120-CV-011</v>
          </cell>
          <cell r="E587" t="str">
            <v>C-83(2/3)</v>
          </cell>
        </row>
        <row r="588">
          <cell r="B588" t="str">
            <v>B272-400-AS-120-CV-011</v>
          </cell>
          <cell r="E588" t="str">
            <v>C-83(3/3)</v>
          </cell>
        </row>
        <row r="589">
          <cell r="B589" t="str">
            <v>B272-400-AS-120-CV-011</v>
          </cell>
          <cell r="E589" t="str">
            <v>C-84(1/3)</v>
          </cell>
        </row>
        <row r="590">
          <cell r="B590" t="str">
            <v>B272-400-AS-120-CV-011</v>
          </cell>
          <cell r="E590" t="str">
            <v>C-84(2/3)</v>
          </cell>
        </row>
        <row r="591">
          <cell r="B591" t="str">
            <v>B272-400-AS-120-CV-011</v>
          </cell>
          <cell r="E591" t="str">
            <v>C-84(3/3)</v>
          </cell>
        </row>
        <row r="592">
          <cell r="B592" t="str">
            <v>B272-400-AS-120-CV-011</v>
          </cell>
          <cell r="E592" t="str">
            <v>C-86(1/3)</v>
          </cell>
        </row>
        <row r="593">
          <cell r="B593" t="str">
            <v>B272-400-AS-120-CV-011</v>
          </cell>
          <cell r="E593" t="str">
            <v>C-86(2/3)</v>
          </cell>
        </row>
        <row r="594">
          <cell r="B594" t="str">
            <v>B272-400-AS-120-CV-011</v>
          </cell>
          <cell r="E594" t="str">
            <v>C-86(3/3)</v>
          </cell>
        </row>
        <row r="595">
          <cell r="B595" t="str">
            <v>B272-400-AS-120-CV-011</v>
          </cell>
          <cell r="E595" t="str">
            <v>C-198</v>
          </cell>
        </row>
        <row r="596">
          <cell r="B596" t="str">
            <v>B272-400-AS-120-CV-011</v>
          </cell>
          <cell r="E596" t="str">
            <v>C-200</v>
          </cell>
        </row>
        <row r="597">
          <cell r="B597" t="str">
            <v>B272-400-AS-120-CV-011</v>
          </cell>
          <cell r="E597" t="str">
            <v>C-225(1/3)</v>
          </cell>
        </row>
        <row r="598">
          <cell r="B598" t="str">
            <v>B272-400-AS-120-CV-011</v>
          </cell>
          <cell r="E598" t="str">
            <v>C-225(2/3)</v>
          </cell>
        </row>
        <row r="599">
          <cell r="B599" t="str">
            <v>B272-400-AS-120-CV-011</v>
          </cell>
          <cell r="E599" t="str">
            <v>C-225(3/3)</v>
          </cell>
        </row>
        <row r="600">
          <cell r="B600" t="str">
            <v>B272-400-AS-120-CV-011</v>
          </cell>
          <cell r="E600" t="str">
            <v>CY-46</v>
          </cell>
        </row>
        <row r="601">
          <cell r="B601" t="str">
            <v>B272-400-AS-120-CV-011</v>
          </cell>
          <cell r="E601" t="str">
            <v>CY-47</v>
          </cell>
        </row>
        <row r="602">
          <cell r="B602" t="str">
            <v>B272-400-AS-120-CV-011</v>
          </cell>
          <cell r="E602" t="str">
            <v>CY-51</v>
          </cell>
        </row>
        <row r="603">
          <cell r="B603" t="str">
            <v>B272-400-AS-120-CV-011</v>
          </cell>
          <cell r="E603" t="str">
            <v>CY-54</v>
          </cell>
        </row>
        <row r="604">
          <cell r="B604" t="str">
            <v>B272-400-AS-120-CV-011</v>
          </cell>
          <cell r="E604" t="str">
            <v>CY-56</v>
          </cell>
        </row>
        <row r="605">
          <cell r="B605" t="str">
            <v>B272-400-AS-120-CV-011</v>
          </cell>
          <cell r="E605" t="str">
            <v>CY-58</v>
          </cell>
        </row>
        <row r="606">
          <cell r="B606" t="str">
            <v>B272-400-AS-120-CV-011</v>
          </cell>
          <cell r="E606" t="str">
            <v>CY-80</v>
          </cell>
        </row>
        <row r="607">
          <cell r="B607" t="str">
            <v>B272-400-AS-120-CV-011</v>
          </cell>
          <cell r="E607" t="str">
            <v>CY-82</v>
          </cell>
        </row>
        <row r="608">
          <cell r="B608" t="str">
            <v>B272-400-AS-120-CV-011</v>
          </cell>
          <cell r="E608" t="str">
            <v>CY-83</v>
          </cell>
        </row>
        <row r="609">
          <cell r="B609" t="str">
            <v>B272-400-AS-120-CV-011</v>
          </cell>
          <cell r="E609" t="str">
            <v>D-82(1/4)</v>
          </cell>
        </row>
        <row r="610">
          <cell r="B610" t="str">
            <v>B272-400-AS-120-CV-011</v>
          </cell>
          <cell r="E610" t="str">
            <v>D-82(2/4)</v>
          </cell>
        </row>
        <row r="611">
          <cell r="B611" t="str">
            <v>B272-400-AS-120-CV-011</v>
          </cell>
          <cell r="E611" t="str">
            <v>D-82(3/4)</v>
          </cell>
        </row>
        <row r="612">
          <cell r="B612" t="str">
            <v>B272-400-AS-120-CV-011</v>
          </cell>
          <cell r="E612" t="str">
            <v>D-82(4/4)</v>
          </cell>
        </row>
        <row r="613">
          <cell r="B613" t="str">
            <v>B272-400-AS-120-CV-011</v>
          </cell>
          <cell r="E613" t="str">
            <v>G-7(1/12)</v>
          </cell>
        </row>
        <row r="614">
          <cell r="B614" t="str">
            <v>B272-400-AS-120-CV-011</v>
          </cell>
          <cell r="E614" t="str">
            <v>G-7(2/12)</v>
          </cell>
        </row>
        <row r="615">
          <cell r="B615" t="str">
            <v>B272-400-AS-120-CV-011</v>
          </cell>
          <cell r="E615" t="str">
            <v>G-7(3/12)</v>
          </cell>
        </row>
        <row r="616">
          <cell r="B616" t="str">
            <v>B272-400-AS-120-CV-011</v>
          </cell>
          <cell r="E616" t="str">
            <v>G-7(4/12)</v>
          </cell>
        </row>
        <row r="617">
          <cell r="B617" t="str">
            <v>B272-400-AS-120-CV-011</v>
          </cell>
          <cell r="E617" t="str">
            <v>G-7(5/12)</v>
          </cell>
        </row>
        <row r="618">
          <cell r="B618" t="str">
            <v>B272-400-AS-120-CV-011</v>
          </cell>
          <cell r="E618" t="str">
            <v>G-7(6/12)</v>
          </cell>
        </row>
        <row r="619">
          <cell r="B619" t="str">
            <v>B272-400-AS-120-CV-011</v>
          </cell>
          <cell r="E619" t="str">
            <v>G-7(7/12)</v>
          </cell>
        </row>
        <row r="620">
          <cell r="B620" t="str">
            <v>B272-400-AS-120-CV-011</v>
          </cell>
          <cell r="E620" t="str">
            <v>G-7(8/12)</v>
          </cell>
        </row>
        <row r="621">
          <cell r="B621" t="str">
            <v>B272-400-AS-120-CV-011</v>
          </cell>
          <cell r="E621" t="str">
            <v>G-7(9/12)</v>
          </cell>
        </row>
        <row r="622">
          <cell r="B622" t="str">
            <v>B272-400-AS-120-CV-011</v>
          </cell>
          <cell r="E622" t="str">
            <v>G-7(10/12)</v>
          </cell>
        </row>
        <row r="623">
          <cell r="B623" t="str">
            <v>B272-400-AS-120-CV-011</v>
          </cell>
          <cell r="E623" t="str">
            <v>G-7(11/12)</v>
          </cell>
        </row>
        <row r="624">
          <cell r="B624" t="str">
            <v>B272-400-AS-120-CV-011</v>
          </cell>
          <cell r="E624" t="str">
            <v>G-7(12/12)</v>
          </cell>
        </row>
        <row r="625">
          <cell r="B625" t="str">
            <v>B272-400-AS-120-CV-011</v>
          </cell>
          <cell r="E625" t="str">
            <v>G-16(1/4)</v>
          </cell>
        </row>
        <row r="626">
          <cell r="B626" t="str">
            <v>B272-400-AS-120-CV-011</v>
          </cell>
          <cell r="E626" t="str">
            <v>G-16(2/4)</v>
          </cell>
        </row>
        <row r="627">
          <cell r="B627" t="str">
            <v>B272-400-AS-120-CV-011</v>
          </cell>
          <cell r="E627" t="str">
            <v>G-16(3/4)</v>
          </cell>
        </row>
        <row r="628">
          <cell r="B628" t="str">
            <v>B272-400-AS-120-CV-011</v>
          </cell>
          <cell r="E628" t="str">
            <v>G-16(4/4)</v>
          </cell>
        </row>
        <row r="629">
          <cell r="B629" t="str">
            <v>B272-400-AS-120-CV-011</v>
          </cell>
          <cell r="E629" t="str">
            <v>GC-1</v>
          </cell>
        </row>
        <row r="630">
          <cell r="B630" t="str">
            <v>B272-400-AS-120-CV-011</v>
          </cell>
          <cell r="E630" t="str">
            <v>HY-7</v>
          </cell>
        </row>
        <row r="631">
          <cell r="B631" t="str">
            <v>B272-400-AS-120-CV-011</v>
          </cell>
          <cell r="E631" t="str">
            <v>HY-22(1/2)</v>
          </cell>
        </row>
        <row r="632">
          <cell r="B632" t="str">
            <v>B272-400-AS-120-CV-011</v>
          </cell>
          <cell r="E632" t="str">
            <v>HY-22(2/2)</v>
          </cell>
        </row>
        <row r="633">
          <cell r="B633" t="str">
            <v>B272-400-AS-120-CV-011</v>
          </cell>
          <cell r="E633" t="str">
            <v>HY-25</v>
          </cell>
        </row>
        <row r="634">
          <cell r="B634" t="str">
            <v>B272-400-AS-120-CV-011</v>
          </cell>
          <cell r="E634" t="str">
            <v>HY-26</v>
          </cell>
        </row>
        <row r="635">
          <cell r="B635" t="str">
            <v>B272-400-AS-120-CV-011</v>
          </cell>
          <cell r="E635" t="str">
            <v>HY-33</v>
          </cell>
        </row>
        <row r="636">
          <cell r="B636" t="str">
            <v>B272-400-AS-120-CV-011</v>
          </cell>
          <cell r="E636" t="str">
            <v>HY-57</v>
          </cell>
        </row>
        <row r="637">
          <cell r="B637" t="str">
            <v>B272-400-AS-120-CV-011</v>
          </cell>
          <cell r="E637" t="str">
            <v>HY-59</v>
          </cell>
        </row>
        <row r="638">
          <cell r="B638" t="str">
            <v>B272-400-AS-120-CV-011</v>
          </cell>
          <cell r="E638" t="str">
            <v>N-5</v>
          </cell>
        </row>
        <row r="639">
          <cell r="B639" t="str">
            <v>B272-400-AS-120-CV-011</v>
          </cell>
          <cell r="E639" t="str">
            <v>P-23</v>
          </cell>
        </row>
        <row r="640">
          <cell r="B640" t="str">
            <v>B272-400-AS-120-CV-011</v>
          </cell>
          <cell r="E640" t="str">
            <v>P-26</v>
          </cell>
        </row>
        <row r="641">
          <cell r="B641" t="str">
            <v>B272-400-AS-120-CV-011</v>
          </cell>
          <cell r="E641" t="str">
            <v>P-30</v>
          </cell>
        </row>
        <row r="642">
          <cell r="B642" t="str">
            <v>B272-400-AS-120-CV-011</v>
          </cell>
          <cell r="E642" t="str">
            <v>P-36</v>
          </cell>
        </row>
        <row r="643">
          <cell r="B643" t="str">
            <v>B272-400-AS-120-CV-011</v>
          </cell>
          <cell r="E643" t="str">
            <v>P-37(1/2)</v>
          </cell>
        </row>
        <row r="644">
          <cell r="B644" t="str">
            <v>B272-400-AS-120-CV-011</v>
          </cell>
          <cell r="E644" t="str">
            <v>P-37(2/2)</v>
          </cell>
        </row>
        <row r="645">
          <cell r="B645" t="str">
            <v>B272-400-AS-120-CV-011</v>
          </cell>
          <cell r="E645" t="str">
            <v>P-53(1/12)</v>
          </cell>
        </row>
        <row r="646">
          <cell r="B646" t="str">
            <v>B272-400-AS-120-CV-011</v>
          </cell>
          <cell r="E646" t="str">
            <v>P-53(2/12)</v>
          </cell>
        </row>
        <row r="647">
          <cell r="B647" t="str">
            <v>B272-400-AS-120-CV-011</v>
          </cell>
          <cell r="E647" t="str">
            <v>P-53(3/12)</v>
          </cell>
        </row>
        <row r="648">
          <cell r="B648" t="str">
            <v>B272-400-AS-120-CV-011</v>
          </cell>
          <cell r="E648" t="str">
            <v>P-53(4/12)</v>
          </cell>
        </row>
        <row r="649">
          <cell r="B649" t="str">
            <v>B272-400-AS-120-CV-011</v>
          </cell>
          <cell r="E649" t="str">
            <v>P-53(5/12)</v>
          </cell>
        </row>
        <row r="650">
          <cell r="B650" t="str">
            <v>B272-400-AS-120-CV-011</v>
          </cell>
          <cell r="E650" t="str">
            <v>P-53(6/12)</v>
          </cell>
        </row>
        <row r="651">
          <cell r="B651" t="str">
            <v>B272-400-AS-120-CV-011</v>
          </cell>
          <cell r="E651" t="str">
            <v>P-53(7/12)</v>
          </cell>
        </row>
        <row r="652">
          <cell r="B652" t="str">
            <v>B272-400-AS-120-CV-011</v>
          </cell>
          <cell r="E652" t="str">
            <v>P-53(8/12)</v>
          </cell>
        </row>
        <row r="653">
          <cell r="B653" t="str">
            <v>B272-400-AS-120-CV-011</v>
          </cell>
          <cell r="E653" t="str">
            <v>P-53(9/12)</v>
          </cell>
        </row>
        <row r="654">
          <cell r="B654" t="str">
            <v>B272-400-AS-120-CV-011</v>
          </cell>
          <cell r="E654" t="str">
            <v>P-53(10/12)</v>
          </cell>
        </row>
        <row r="655">
          <cell r="B655" t="str">
            <v>B272-400-AS-120-CV-011</v>
          </cell>
          <cell r="E655" t="str">
            <v>P-53(11/12)</v>
          </cell>
        </row>
        <row r="656">
          <cell r="B656" t="str">
            <v>B272-400-AS-120-CV-011</v>
          </cell>
          <cell r="E656" t="str">
            <v>P-53(12/12)</v>
          </cell>
        </row>
        <row r="657">
          <cell r="B657" t="str">
            <v>B272-400-AS-120-CV-011</v>
          </cell>
          <cell r="E657" t="str">
            <v>P-54(1/6)</v>
          </cell>
        </row>
        <row r="658">
          <cell r="B658" t="str">
            <v>B272-400-AS-120-CV-011</v>
          </cell>
          <cell r="E658" t="str">
            <v>P-54(2/6)</v>
          </cell>
        </row>
        <row r="659">
          <cell r="B659" t="str">
            <v>B272-400-AS-120-CV-011</v>
          </cell>
          <cell r="E659" t="str">
            <v>P-54(3/6)</v>
          </cell>
        </row>
        <row r="660">
          <cell r="B660" t="str">
            <v>B272-400-AS-120-CV-011</v>
          </cell>
          <cell r="E660" t="str">
            <v>P-54(4/6)</v>
          </cell>
        </row>
        <row r="661">
          <cell r="B661" t="str">
            <v>B272-400-AS-120-CV-011</v>
          </cell>
          <cell r="E661" t="str">
            <v>P-54(5/6)</v>
          </cell>
        </row>
        <row r="662">
          <cell r="B662" t="str">
            <v>B272-400-AS-120-CV-011</v>
          </cell>
          <cell r="E662" t="str">
            <v>P-54(6/6)</v>
          </cell>
        </row>
        <row r="663">
          <cell r="B663" t="str">
            <v>B272-400-AS-120-CV-011</v>
          </cell>
          <cell r="E663" t="str">
            <v>P-185</v>
          </cell>
        </row>
        <row r="664">
          <cell r="B664" t="str">
            <v>B272-400-AS-120-CV-011</v>
          </cell>
          <cell r="E664" t="str">
            <v>P-191(1/6)</v>
          </cell>
        </row>
        <row r="665">
          <cell r="B665" t="str">
            <v>B272-400-AS-120-CV-011</v>
          </cell>
          <cell r="E665" t="str">
            <v>P-191(2/6)</v>
          </cell>
        </row>
        <row r="666">
          <cell r="B666" t="str">
            <v>B272-400-AS-120-CV-011</v>
          </cell>
          <cell r="E666" t="str">
            <v>P-191(3/6)</v>
          </cell>
        </row>
        <row r="667">
          <cell r="B667" t="str">
            <v>B272-400-AS-120-CV-011</v>
          </cell>
          <cell r="E667" t="str">
            <v>P-191(4/6)</v>
          </cell>
        </row>
        <row r="668">
          <cell r="B668" t="str">
            <v>B272-400-AS-120-CV-011</v>
          </cell>
          <cell r="E668" t="str">
            <v>P-191(5/6)</v>
          </cell>
        </row>
        <row r="669">
          <cell r="B669" t="str">
            <v>B272-400-AS-120-CV-011</v>
          </cell>
          <cell r="E669" t="str">
            <v>P-191(6/6)</v>
          </cell>
        </row>
        <row r="670">
          <cell r="B670" t="str">
            <v>B272-400-AS-120-CV-011</v>
          </cell>
          <cell r="E670" t="str">
            <v>P-292(1/2)</v>
          </cell>
        </row>
        <row r="671">
          <cell r="B671" t="str">
            <v>B272-400-AS-120-CV-011</v>
          </cell>
          <cell r="E671" t="str">
            <v>P-292(2/2)</v>
          </cell>
        </row>
        <row r="672">
          <cell r="B672" t="str">
            <v>B272-400-AS-120-CV-011</v>
          </cell>
          <cell r="E672" t="str">
            <v>P-294(1/2)</v>
          </cell>
        </row>
        <row r="673">
          <cell r="B673" t="str">
            <v>B272-400-AS-120-CV-011</v>
          </cell>
          <cell r="E673" t="str">
            <v>P-294(2/2)</v>
          </cell>
        </row>
        <row r="674">
          <cell r="B674" t="str">
            <v>B272-400-AS-120-CV-011</v>
          </cell>
          <cell r="E674" t="str">
            <v>P-305(1/3)</v>
          </cell>
        </row>
        <row r="675">
          <cell r="B675" t="str">
            <v>B272-400-AS-120-CV-011</v>
          </cell>
          <cell r="E675" t="str">
            <v>P-305(2/3)</v>
          </cell>
        </row>
        <row r="676">
          <cell r="B676" t="str">
            <v>B272-400-AS-120-CV-011</v>
          </cell>
          <cell r="E676" t="str">
            <v>P-305(3/3)</v>
          </cell>
        </row>
        <row r="677">
          <cell r="B677" t="str">
            <v>B272-400-AS-120-CV-011</v>
          </cell>
          <cell r="E677" t="str">
            <v>P-314(1/2)</v>
          </cell>
        </row>
        <row r="678">
          <cell r="B678" t="str">
            <v>B272-400-AS-120-CV-011</v>
          </cell>
          <cell r="E678" t="str">
            <v>P-314(2/2)</v>
          </cell>
        </row>
        <row r="679">
          <cell r="B679" t="str">
            <v>B272-400-AS-120-CV-011</v>
          </cell>
          <cell r="E679" t="str">
            <v>P-316(1/2)</v>
          </cell>
        </row>
        <row r="680">
          <cell r="B680" t="str">
            <v>B272-400-AS-120-CV-011</v>
          </cell>
          <cell r="E680" t="str">
            <v>P-316(2/2)</v>
          </cell>
        </row>
        <row r="681">
          <cell r="B681" t="str">
            <v>B272-400-AS-120-CV-011</v>
          </cell>
          <cell r="E681" t="str">
            <v>P-317(1/4)</v>
          </cell>
        </row>
        <row r="682">
          <cell r="B682" t="str">
            <v>B272-400-AS-120-CV-011</v>
          </cell>
          <cell r="E682" t="str">
            <v>P-317(2/4)</v>
          </cell>
        </row>
        <row r="683">
          <cell r="B683" t="str">
            <v>B272-400-AS-120-CV-011</v>
          </cell>
          <cell r="E683" t="str">
            <v>P-317(3/4)</v>
          </cell>
        </row>
        <row r="684">
          <cell r="B684" t="str">
            <v>B272-400-AS-120-CV-011</v>
          </cell>
          <cell r="E684" t="str">
            <v>P-317(4/4)</v>
          </cell>
        </row>
        <row r="685">
          <cell r="B685" t="str">
            <v>B272-400-AS-120-CV-011</v>
          </cell>
          <cell r="E685" t="str">
            <v>P-323</v>
          </cell>
        </row>
        <row r="686">
          <cell r="B686" t="str">
            <v>B272-400-AS-120-CV-011</v>
          </cell>
          <cell r="E686" t="str">
            <v>P-410(1/4)</v>
          </cell>
        </row>
        <row r="687">
          <cell r="B687" t="str">
            <v>B272-400-AS-120-CV-011</v>
          </cell>
          <cell r="E687" t="str">
            <v>P-410(2/4)</v>
          </cell>
        </row>
        <row r="688">
          <cell r="B688" t="str">
            <v>B272-400-AS-120-CV-011</v>
          </cell>
          <cell r="E688" t="str">
            <v>P-410(3/4)</v>
          </cell>
        </row>
        <row r="689">
          <cell r="B689" t="str">
            <v>B272-400-AS-120-CV-011</v>
          </cell>
          <cell r="E689" t="str">
            <v>P-410(4/4)</v>
          </cell>
        </row>
        <row r="690">
          <cell r="B690" t="str">
            <v>B272-400-AS-120-CV-011</v>
          </cell>
          <cell r="E690" t="str">
            <v>P-415(1/2)</v>
          </cell>
        </row>
        <row r="691">
          <cell r="B691" t="str">
            <v>B272-400-AS-120-CV-011</v>
          </cell>
          <cell r="E691" t="str">
            <v>P-415(2/2)</v>
          </cell>
        </row>
        <row r="692">
          <cell r="B692" t="str">
            <v>B272-400-AS-120-CV-011</v>
          </cell>
          <cell r="E692" t="str">
            <v>P-431(1/2)</v>
          </cell>
        </row>
        <row r="693">
          <cell r="B693" t="str">
            <v>B272-400-AS-120-CV-011</v>
          </cell>
          <cell r="E693" t="str">
            <v>P-431(2/2)</v>
          </cell>
        </row>
        <row r="694">
          <cell r="B694" t="str">
            <v>B272-400-AS-120-CV-011</v>
          </cell>
          <cell r="E694" t="str">
            <v>P-432</v>
          </cell>
        </row>
        <row r="695">
          <cell r="B695" t="str">
            <v>B272-400-AS-120-CV-011</v>
          </cell>
          <cell r="E695" t="str">
            <v>P-462(1/15)</v>
          </cell>
        </row>
        <row r="696">
          <cell r="B696" t="str">
            <v>B272-400-AS-120-CV-011</v>
          </cell>
          <cell r="E696" t="str">
            <v>P-462(2/15)</v>
          </cell>
        </row>
        <row r="697">
          <cell r="B697" t="str">
            <v>B272-400-AS-120-CV-011</v>
          </cell>
          <cell r="E697" t="str">
            <v>P-462(3/15)</v>
          </cell>
        </row>
        <row r="698">
          <cell r="B698" t="str">
            <v>B272-400-AS-120-CV-011</v>
          </cell>
          <cell r="E698" t="str">
            <v>P-462(4/15)</v>
          </cell>
        </row>
        <row r="699">
          <cell r="B699" t="str">
            <v>B272-400-AS-120-CV-011</v>
          </cell>
          <cell r="E699" t="str">
            <v>P-462(5/15)</v>
          </cell>
        </row>
        <row r="700">
          <cell r="B700" t="str">
            <v>B272-400-AS-120-CV-011</v>
          </cell>
          <cell r="E700" t="str">
            <v>P-462(6/15)</v>
          </cell>
        </row>
        <row r="701">
          <cell r="B701" t="str">
            <v>B272-400-AS-120-CV-011</v>
          </cell>
          <cell r="E701" t="str">
            <v>P-462(7/15)</v>
          </cell>
        </row>
        <row r="702">
          <cell r="B702" t="str">
            <v>B272-400-AS-120-CV-011</v>
          </cell>
          <cell r="E702" t="str">
            <v>P-462(8/15)</v>
          </cell>
        </row>
        <row r="703">
          <cell r="B703" t="str">
            <v>B272-400-AS-120-CV-011</v>
          </cell>
          <cell r="E703" t="str">
            <v>P-462(9/15)</v>
          </cell>
        </row>
        <row r="704">
          <cell r="B704" t="str">
            <v>B272-400-AS-120-CV-011</v>
          </cell>
          <cell r="E704" t="str">
            <v>P-462(10/15)</v>
          </cell>
        </row>
        <row r="705">
          <cell r="B705" t="str">
            <v>B272-400-AS-120-CV-011</v>
          </cell>
          <cell r="E705" t="str">
            <v>P-462(11/15)</v>
          </cell>
        </row>
        <row r="706">
          <cell r="B706" t="str">
            <v>B272-400-AS-120-CV-011</v>
          </cell>
          <cell r="E706" t="str">
            <v>P-462(12/15)</v>
          </cell>
        </row>
        <row r="707">
          <cell r="B707" t="str">
            <v>B272-400-AS-120-CV-011</v>
          </cell>
          <cell r="E707" t="str">
            <v>P-462(13/15)</v>
          </cell>
        </row>
        <row r="708">
          <cell r="B708" t="str">
            <v>B272-400-AS-120-CV-011</v>
          </cell>
          <cell r="E708" t="str">
            <v>P-462(14/15)</v>
          </cell>
        </row>
        <row r="709">
          <cell r="B709" t="str">
            <v>B272-400-AS-120-CV-011</v>
          </cell>
          <cell r="E709" t="str">
            <v>P-462(15/15)</v>
          </cell>
        </row>
        <row r="710">
          <cell r="B710" t="str">
            <v>B272-400-AS-120-CV-011</v>
          </cell>
          <cell r="E710" t="str">
            <v>P-569(1/6)</v>
          </cell>
        </row>
        <row r="711">
          <cell r="B711" t="str">
            <v>B272-400-AS-120-CV-011</v>
          </cell>
          <cell r="E711" t="str">
            <v>P-569(2/6)</v>
          </cell>
        </row>
        <row r="712">
          <cell r="B712" t="str">
            <v>B272-400-AS-120-CV-011</v>
          </cell>
          <cell r="E712" t="str">
            <v>P-569(3/6)</v>
          </cell>
        </row>
        <row r="713">
          <cell r="B713" t="str">
            <v>B272-400-AS-120-CV-011</v>
          </cell>
          <cell r="E713" t="str">
            <v>P-569(4/6)</v>
          </cell>
        </row>
        <row r="714">
          <cell r="B714" t="str">
            <v>B272-400-AS-120-CV-011</v>
          </cell>
          <cell r="E714" t="str">
            <v>P-569(5/6)</v>
          </cell>
        </row>
        <row r="715">
          <cell r="B715" t="str">
            <v>B272-400-AS-120-CV-011</v>
          </cell>
          <cell r="E715" t="str">
            <v>P-569(6/6)</v>
          </cell>
        </row>
        <row r="716">
          <cell r="B716" t="str">
            <v>B272-400-AS-120-CV-011</v>
          </cell>
          <cell r="E716" t="str">
            <v>P-583(1/2)</v>
          </cell>
        </row>
        <row r="717">
          <cell r="B717" t="str">
            <v>B272-400-AS-120-CV-011</v>
          </cell>
          <cell r="E717" t="str">
            <v>P-583(2/2)</v>
          </cell>
        </row>
        <row r="718">
          <cell r="B718" t="str">
            <v>B272-400-AS-120-CV-011</v>
          </cell>
          <cell r="E718" t="str">
            <v>P-628(1/2)</v>
          </cell>
        </row>
        <row r="719">
          <cell r="B719" t="str">
            <v>B272-400-AS-120-CV-011</v>
          </cell>
          <cell r="E719" t="str">
            <v>P-628(2/2)</v>
          </cell>
        </row>
        <row r="720">
          <cell r="B720" t="str">
            <v>B272-400-AS-120-CV-011</v>
          </cell>
          <cell r="E720" t="str">
            <v>P-764</v>
          </cell>
        </row>
        <row r="721">
          <cell r="B721" t="str">
            <v>B272-400-AS-120-CV-011</v>
          </cell>
          <cell r="E721" t="str">
            <v>P-765(1/4)</v>
          </cell>
        </row>
        <row r="722">
          <cell r="B722" t="str">
            <v>B272-400-AS-120-CV-011</v>
          </cell>
          <cell r="E722" t="str">
            <v>P-765(2/4)</v>
          </cell>
        </row>
        <row r="723">
          <cell r="B723" t="str">
            <v>B272-400-AS-120-CV-011</v>
          </cell>
          <cell r="E723" t="str">
            <v>P-765(3/4)</v>
          </cell>
        </row>
        <row r="724">
          <cell r="B724" t="str">
            <v>B272-400-AS-120-CV-011</v>
          </cell>
          <cell r="E724" t="str">
            <v>P-765(4/4)</v>
          </cell>
        </row>
        <row r="725">
          <cell r="B725" t="str">
            <v>B272-400-AS-120-CV-011</v>
          </cell>
          <cell r="E725" t="str">
            <v>P-766(1/4)</v>
          </cell>
        </row>
        <row r="726">
          <cell r="B726" t="str">
            <v>B272-400-AS-120-CV-011</v>
          </cell>
          <cell r="E726" t="str">
            <v>P-766(2/4)</v>
          </cell>
        </row>
        <row r="727">
          <cell r="B727" t="str">
            <v>B272-400-AS-120-CV-011</v>
          </cell>
          <cell r="E727" t="str">
            <v>P-766(3/4)</v>
          </cell>
        </row>
        <row r="728">
          <cell r="B728" t="str">
            <v>B272-400-AS-120-CV-011</v>
          </cell>
          <cell r="E728" t="str">
            <v>P-766(4/4)</v>
          </cell>
        </row>
        <row r="729">
          <cell r="B729" t="str">
            <v>B272-400-AS-120-CV-011</v>
          </cell>
          <cell r="E729" t="str">
            <v>P-768(1/14)</v>
          </cell>
        </row>
        <row r="730">
          <cell r="B730" t="str">
            <v>B272-400-AS-120-CV-011</v>
          </cell>
          <cell r="E730" t="str">
            <v>P-768(2/14)</v>
          </cell>
        </row>
        <row r="731">
          <cell r="B731" t="str">
            <v>B272-400-AS-120-CV-011</v>
          </cell>
          <cell r="E731" t="str">
            <v>P-768(3/14)</v>
          </cell>
        </row>
        <row r="732">
          <cell r="B732" t="str">
            <v>B272-400-AS-120-CV-011</v>
          </cell>
          <cell r="E732" t="str">
            <v>P-768(4/14)</v>
          </cell>
        </row>
        <row r="733">
          <cell r="B733" t="str">
            <v>B272-400-AS-120-CV-011</v>
          </cell>
          <cell r="E733" t="str">
            <v>P-768(5/14)</v>
          </cell>
        </row>
        <row r="734">
          <cell r="B734" t="str">
            <v>B272-400-AS-120-CV-011</v>
          </cell>
          <cell r="E734" t="str">
            <v>P-768(6/14)</v>
          </cell>
        </row>
        <row r="735">
          <cell r="B735" t="str">
            <v>B272-400-AS-120-CV-011</v>
          </cell>
          <cell r="E735" t="str">
            <v>P-768(7/14)</v>
          </cell>
        </row>
        <row r="736">
          <cell r="B736" t="str">
            <v>B272-400-AS-120-CV-011</v>
          </cell>
          <cell r="E736" t="str">
            <v>P-768(8/14)</v>
          </cell>
        </row>
        <row r="737">
          <cell r="B737" t="str">
            <v>B272-400-AS-120-CV-011</v>
          </cell>
          <cell r="E737" t="str">
            <v>P-768(9/14)</v>
          </cell>
        </row>
        <row r="738">
          <cell r="B738" t="str">
            <v>B272-400-AS-120-CV-011</v>
          </cell>
          <cell r="E738" t="str">
            <v>P-768(10/14)</v>
          </cell>
        </row>
        <row r="739">
          <cell r="B739" t="str">
            <v>B272-400-AS-120-CV-011</v>
          </cell>
          <cell r="E739" t="str">
            <v>P-768(11/14)</v>
          </cell>
        </row>
        <row r="740">
          <cell r="B740" t="str">
            <v>B272-400-AS-120-CV-011</v>
          </cell>
          <cell r="E740" t="str">
            <v>P-768(12/14)</v>
          </cell>
        </row>
        <row r="741">
          <cell r="B741" t="str">
            <v>B272-400-AS-120-CV-011</v>
          </cell>
          <cell r="E741" t="str">
            <v>P-768(13/14)</v>
          </cell>
        </row>
        <row r="742">
          <cell r="B742" t="str">
            <v>B272-400-AS-120-CV-011</v>
          </cell>
          <cell r="E742" t="str">
            <v>P-768(14/14)</v>
          </cell>
        </row>
        <row r="743">
          <cell r="B743" t="str">
            <v>B272-400-AS-120-CV-011</v>
          </cell>
          <cell r="E743" t="str">
            <v>P-875(1/63)</v>
          </cell>
        </row>
        <row r="744">
          <cell r="B744" t="str">
            <v>B272-400-AS-120-CV-011</v>
          </cell>
          <cell r="E744" t="str">
            <v>P-875(2/63)</v>
          </cell>
        </row>
        <row r="745">
          <cell r="B745" t="str">
            <v>B272-400-AS-120-CV-011</v>
          </cell>
          <cell r="E745" t="str">
            <v>P-875(3/63)</v>
          </cell>
        </row>
        <row r="746">
          <cell r="B746" t="str">
            <v>B272-400-AS-120-CV-011</v>
          </cell>
          <cell r="E746" t="str">
            <v>P-875(4/63)</v>
          </cell>
        </row>
        <row r="747">
          <cell r="B747" t="str">
            <v>B272-400-AS-120-CV-011</v>
          </cell>
          <cell r="E747" t="str">
            <v>P-875(5/63)</v>
          </cell>
        </row>
        <row r="748">
          <cell r="B748" t="str">
            <v>B272-400-AS-120-CV-011</v>
          </cell>
          <cell r="E748" t="str">
            <v>P-875(6/63)</v>
          </cell>
        </row>
        <row r="749">
          <cell r="B749" t="str">
            <v>B272-400-AS-120-CV-011</v>
          </cell>
          <cell r="E749" t="str">
            <v>P-875(7/63)</v>
          </cell>
        </row>
        <row r="750">
          <cell r="B750" t="str">
            <v>B272-400-AS-120-CV-011</v>
          </cell>
          <cell r="E750" t="str">
            <v>P-875(8/63)</v>
          </cell>
        </row>
        <row r="751">
          <cell r="B751" t="str">
            <v>B272-400-AS-120-CV-011</v>
          </cell>
          <cell r="E751" t="str">
            <v>P-875(9/63)</v>
          </cell>
        </row>
        <row r="752">
          <cell r="B752" t="str">
            <v>B272-400-AS-120-CV-011</v>
          </cell>
          <cell r="E752" t="str">
            <v>P-875(10/63)</v>
          </cell>
        </row>
        <row r="753">
          <cell r="B753" t="str">
            <v>B272-400-AS-120-CV-011</v>
          </cell>
          <cell r="E753" t="str">
            <v>P-875(11/63)</v>
          </cell>
        </row>
        <row r="754">
          <cell r="B754" t="str">
            <v>B272-400-AS-120-CV-011</v>
          </cell>
          <cell r="E754" t="str">
            <v>P-875(12/63)</v>
          </cell>
        </row>
        <row r="755">
          <cell r="B755" t="str">
            <v>B272-400-AS-120-CV-011</v>
          </cell>
          <cell r="E755" t="str">
            <v>P-875(13/63)</v>
          </cell>
        </row>
        <row r="756">
          <cell r="B756" t="str">
            <v>B272-400-AS-120-CV-011</v>
          </cell>
          <cell r="E756" t="str">
            <v>P-875(14/63)</v>
          </cell>
        </row>
        <row r="757">
          <cell r="B757" t="str">
            <v>B272-400-AS-120-CV-011</v>
          </cell>
          <cell r="E757" t="str">
            <v>P-875(15/63)</v>
          </cell>
        </row>
        <row r="758">
          <cell r="B758" t="str">
            <v>B272-400-AS-120-CV-011</v>
          </cell>
          <cell r="E758" t="str">
            <v>P-875(16/63)</v>
          </cell>
        </row>
        <row r="759">
          <cell r="B759" t="str">
            <v>B272-400-AS-120-CV-011</v>
          </cell>
          <cell r="E759" t="str">
            <v>P-875(17/63)</v>
          </cell>
        </row>
        <row r="760">
          <cell r="B760" t="str">
            <v>B272-400-AS-120-CV-011</v>
          </cell>
          <cell r="E760" t="str">
            <v>P-875(18/63)</v>
          </cell>
        </row>
        <row r="761">
          <cell r="B761" t="str">
            <v>B272-400-AS-120-CV-011</v>
          </cell>
          <cell r="E761" t="str">
            <v>P-875(19/63)</v>
          </cell>
        </row>
        <row r="762">
          <cell r="B762" t="str">
            <v>B272-400-AS-120-CV-011</v>
          </cell>
          <cell r="E762" t="str">
            <v>P-875(20/63)</v>
          </cell>
        </row>
        <row r="763">
          <cell r="B763" t="str">
            <v>B272-400-AS-120-CV-011</v>
          </cell>
          <cell r="E763" t="str">
            <v>P-875(21/63)</v>
          </cell>
        </row>
        <row r="764">
          <cell r="B764" t="str">
            <v>B272-400-AS-120-CV-011</v>
          </cell>
          <cell r="E764" t="str">
            <v>P-875(22/63)</v>
          </cell>
        </row>
        <row r="765">
          <cell r="B765" t="str">
            <v>B272-400-AS-120-CV-011</v>
          </cell>
          <cell r="E765" t="str">
            <v>P-875(23/63)</v>
          </cell>
        </row>
        <row r="766">
          <cell r="B766" t="str">
            <v>B272-400-AS-120-CV-011</v>
          </cell>
          <cell r="E766" t="str">
            <v>P-875(24/63)</v>
          </cell>
        </row>
        <row r="767">
          <cell r="B767" t="str">
            <v>B272-400-AS-120-CV-011</v>
          </cell>
          <cell r="E767" t="str">
            <v>P-875(25/63)</v>
          </cell>
        </row>
        <row r="768">
          <cell r="B768" t="str">
            <v>B272-400-AS-120-CV-011</v>
          </cell>
          <cell r="E768" t="str">
            <v>P-875(26/63)</v>
          </cell>
        </row>
        <row r="769">
          <cell r="B769" t="str">
            <v>B272-400-AS-120-CV-011</v>
          </cell>
          <cell r="E769" t="str">
            <v>P-875(27/63)</v>
          </cell>
        </row>
        <row r="770">
          <cell r="B770" t="str">
            <v>B272-400-AS-120-CV-011</v>
          </cell>
          <cell r="E770" t="str">
            <v>P-875(28/63)</v>
          </cell>
        </row>
        <row r="771">
          <cell r="B771" t="str">
            <v>B272-400-AS-120-CV-011</v>
          </cell>
          <cell r="E771" t="str">
            <v>P-875(29/63)</v>
          </cell>
        </row>
        <row r="772">
          <cell r="B772" t="str">
            <v>B272-400-AS-120-CV-011</v>
          </cell>
          <cell r="E772" t="str">
            <v>P-875(30/63)</v>
          </cell>
        </row>
        <row r="773">
          <cell r="B773" t="str">
            <v>B272-400-AS-120-CV-011</v>
          </cell>
          <cell r="E773" t="str">
            <v>P-875(31/63)</v>
          </cell>
        </row>
        <row r="774">
          <cell r="B774" t="str">
            <v>B272-400-AS-120-CV-011</v>
          </cell>
          <cell r="E774" t="str">
            <v>P-875(32/63)</v>
          </cell>
        </row>
        <row r="775">
          <cell r="B775" t="str">
            <v>B272-400-AS-120-CV-011</v>
          </cell>
          <cell r="E775" t="str">
            <v>P-875(33/63)</v>
          </cell>
        </row>
        <row r="776">
          <cell r="B776" t="str">
            <v>B272-400-AS-120-CV-011</v>
          </cell>
          <cell r="E776" t="str">
            <v>P-875(34/63)</v>
          </cell>
        </row>
        <row r="777">
          <cell r="B777" t="str">
            <v>B272-400-AS-120-CV-011</v>
          </cell>
          <cell r="E777" t="str">
            <v>P-875(35/63)</v>
          </cell>
        </row>
        <row r="778">
          <cell r="B778" t="str">
            <v>B272-400-AS-120-CV-011</v>
          </cell>
          <cell r="E778" t="str">
            <v>P-875(36/63)</v>
          </cell>
        </row>
        <row r="779">
          <cell r="B779" t="str">
            <v>B272-400-AS-120-CV-011</v>
          </cell>
          <cell r="E779" t="str">
            <v>P-875(37/63)</v>
          </cell>
        </row>
        <row r="780">
          <cell r="B780" t="str">
            <v>B272-400-AS-120-CV-011</v>
          </cell>
          <cell r="E780" t="str">
            <v>P-875(38/63)</v>
          </cell>
        </row>
        <row r="781">
          <cell r="B781" t="str">
            <v>B272-400-AS-120-CV-011</v>
          </cell>
          <cell r="E781" t="str">
            <v>P-875(39/63)</v>
          </cell>
        </row>
        <row r="782">
          <cell r="B782" t="str">
            <v>B272-400-AS-120-CV-011</v>
          </cell>
          <cell r="E782" t="str">
            <v>P-875(40/63)</v>
          </cell>
        </row>
        <row r="783">
          <cell r="B783" t="str">
            <v>B272-400-AS-120-CV-011</v>
          </cell>
          <cell r="E783" t="str">
            <v>P-875(41/63)</v>
          </cell>
        </row>
        <row r="784">
          <cell r="B784" t="str">
            <v>B272-400-AS-120-CV-011</v>
          </cell>
          <cell r="E784" t="str">
            <v>P-875(42/63)</v>
          </cell>
        </row>
        <row r="785">
          <cell r="B785" t="str">
            <v>B272-400-AS-120-CV-011</v>
          </cell>
          <cell r="E785" t="str">
            <v>P-875(43/63)</v>
          </cell>
        </row>
        <row r="786">
          <cell r="B786" t="str">
            <v>B272-400-AS-120-CV-011</v>
          </cell>
          <cell r="E786" t="str">
            <v>P-875(44/63)</v>
          </cell>
        </row>
        <row r="787">
          <cell r="B787" t="str">
            <v>B272-400-AS-120-CV-011</v>
          </cell>
          <cell r="E787" t="str">
            <v>P-875(45/63)</v>
          </cell>
        </row>
        <row r="788">
          <cell r="B788" t="str">
            <v>B272-400-AS-120-CV-011</v>
          </cell>
          <cell r="E788" t="str">
            <v>P-875(46/63)</v>
          </cell>
        </row>
        <row r="789">
          <cell r="B789" t="str">
            <v>B272-400-AS-120-CV-011</v>
          </cell>
          <cell r="E789" t="str">
            <v>P-875(47/63)</v>
          </cell>
        </row>
        <row r="790">
          <cell r="B790" t="str">
            <v>B272-400-AS-120-CV-011</v>
          </cell>
          <cell r="E790" t="str">
            <v>P-875(48/63)</v>
          </cell>
        </row>
        <row r="791">
          <cell r="B791" t="str">
            <v>B272-400-AS-120-CV-011</v>
          </cell>
          <cell r="E791" t="str">
            <v>P-875(49/63)</v>
          </cell>
        </row>
        <row r="792">
          <cell r="B792" t="str">
            <v>B272-400-AS-120-CV-011</v>
          </cell>
          <cell r="E792" t="str">
            <v>P-875(50/63)</v>
          </cell>
        </row>
        <row r="793">
          <cell r="B793" t="str">
            <v>B272-400-AS-120-CV-011</v>
          </cell>
          <cell r="E793" t="str">
            <v>P-875(51/63)</v>
          </cell>
        </row>
        <row r="794">
          <cell r="B794" t="str">
            <v>B272-400-AS-120-CV-011</v>
          </cell>
          <cell r="E794" t="str">
            <v>P-875(52/63)</v>
          </cell>
        </row>
        <row r="795">
          <cell r="B795" t="str">
            <v>B272-400-AS-120-CV-011</v>
          </cell>
          <cell r="E795" t="str">
            <v>P-875(53/63)</v>
          </cell>
        </row>
        <row r="796">
          <cell r="B796" t="str">
            <v>B272-400-AS-120-CV-011</v>
          </cell>
          <cell r="E796" t="str">
            <v>P-875(54/63)</v>
          </cell>
        </row>
        <row r="797">
          <cell r="B797" t="str">
            <v>B272-400-AS-120-CV-011</v>
          </cell>
          <cell r="E797" t="str">
            <v>P-875(55/63)</v>
          </cell>
        </row>
        <row r="798">
          <cell r="B798" t="str">
            <v>B272-400-AS-120-CV-011</v>
          </cell>
          <cell r="E798" t="str">
            <v>P-875(56/63)</v>
          </cell>
        </row>
        <row r="799">
          <cell r="B799" t="str">
            <v>B272-400-AS-120-CV-011</v>
          </cell>
          <cell r="E799" t="str">
            <v>P-875(57/63)</v>
          </cell>
        </row>
        <row r="800">
          <cell r="B800" t="str">
            <v>B272-400-AS-120-CV-011</v>
          </cell>
          <cell r="E800" t="str">
            <v>P-875(58/63)</v>
          </cell>
        </row>
        <row r="801">
          <cell r="B801" t="str">
            <v>B272-400-AS-120-CV-011</v>
          </cell>
          <cell r="E801" t="str">
            <v>P-875(59/63)</v>
          </cell>
        </row>
        <row r="802">
          <cell r="B802" t="str">
            <v>B272-400-AS-120-CV-011</v>
          </cell>
          <cell r="E802" t="str">
            <v>P-875(60/63)</v>
          </cell>
        </row>
        <row r="803">
          <cell r="B803" t="str">
            <v>B272-400-AS-120-CV-011</v>
          </cell>
          <cell r="E803" t="str">
            <v>P-875(61/63)</v>
          </cell>
        </row>
        <row r="804">
          <cell r="B804" t="str">
            <v>B272-400-AS-120-CV-011</v>
          </cell>
          <cell r="E804" t="str">
            <v>P-875(62/63)</v>
          </cell>
        </row>
        <row r="805">
          <cell r="B805" t="str">
            <v>B272-400-AS-120-CV-011</v>
          </cell>
          <cell r="E805" t="str">
            <v>P-875(63/63)</v>
          </cell>
        </row>
        <row r="806">
          <cell r="B806" t="str">
            <v>B272-400-AS-120-CV-011</v>
          </cell>
          <cell r="E806" t="str">
            <v>P-929(1/4)</v>
          </cell>
        </row>
        <row r="807">
          <cell r="B807" t="str">
            <v>B272-400-AS-120-CV-011</v>
          </cell>
          <cell r="E807" t="str">
            <v>P-929(2/4)</v>
          </cell>
        </row>
        <row r="808">
          <cell r="B808" t="str">
            <v>B272-400-AS-120-CV-011</v>
          </cell>
          <cell r="E808" t="str">
            <v>P-929(3/4)</v>
          </cell>
        </row>
        <row r="809">
          <cell r="B809" t="str">
            <v>B272-400-AS-120-CV-011</v>
          </cell>
          <cell r="E809" t="str">
            <v>P-929(4/4)</v>
          </cell>
        </row>
        <row r="810">
          <cell r="B810" t="str">
            <v>B272-400-AS-120-CV-011</v>
          </cell>
          <cell r="E810" t="str">
            <v>P-932(1/6)</v>
          </cell>
        </row>
        <row r="811">
          <cell r="B811" t="str">
            <v>B272-400-AS-120-CV-011</v>
          </cell>
          <cell r="E811" t="str">
            <v>P-932(2/6)</v>
          </cell>
        </row>
        <row r="812">
          <cell r="B812" t="str">
            <v>B272-400-AS-120-CV-011</v>
          </cell>
          <cell r="E812" t="str">
            <v>P-932(3/6)</v>
          </cell>
        </row>
        <row r="813">
          <cell r="B813" t="str">
            <v>B272-400-AS-120-CV-011</v>
          </cell>
          <cell r="E813" t="str">
            <v>P-932(4/6)</v>
          </cell>
        </row>
        <row r="814">
          <cell r="B814" t="str">
            <v>B272-400-AS-120-CV-011</v>
          </cell>
          <cell r="E814" t="str">
            <v>P-932(5/6)</v>
          </cell>
        </row>
        <row r="815">
          <cell r="B815" t="str">
            <v>B272-400-AS-120-CV-011</v>
          </cell>
          <cell r="E815" t="str">
            <v>P-932(6/6)</v>
          </cell>
        </row>
        <row r="816">
          <cell r="B816" t="str">
            <v>B272-400-AS-120-CV-011</v>
          </cell>
          <cell r="E816" t="str">
            <v>P-933(1/12)</v>
          </cell>
        </row>
        <row r="817">
          <cell r="B817" t="str">
            <v>B272-400-AS-120-CV-011</v>
          </cell>
          <cell r="E817" t="str">
            <v>P-933(2/12)</v>
          </cell>
        </row>
        <row r="818">
          <cell r="B818" t="str">
            <v>B272-400-AS-120-CV-011</v>
          </cell>
          <cell r="E818" t="str">
            <v>P-933(3/12)</v>
          </cell>
        </row>
        <row r="819">
          <cell r="B819" t="str">
            <v>B272-400-AS-120-CV-011</v>
          </cell>
          <cell r="E819" t="str">
            <v>P-933(4/12)</v>
          </cell>
        </row>
        <row r="820">
          <cell r="B820" t="str">
            <v>B272-400-AS-120-CV-011</v>
          </cell>
          <cell r="E820" t="str">
            <v>P-933(5/12)</v>
          </cell>
        </row>
        <row r="821">
          <cell r="B821" t="str">
            <v>B272-400-AS-120-CV-011</v>
          </cell>
          <cell r="E821" t="str">
            <v>P-933(6/12)</v>
          </cell>
        </row>
        <row r="822">
          <cell r="B822" t="str">
            <v>B272-400-AS-120-CV-011</v>
          </cell>
          <cell r="E822" t="str">
            <v>P-933(7/12)</v>
          </cell>
        </row>
        <row r="823">
          <cell r="B823" t="str">
            <v>B272-400-AS-120-CV-011</v>
          </cell>
          <cell r="E823" t="str">
            <v>P-933(8/12)</v>
          </cell>
        </row>
        <row r="824">
          <cell r="B824" t="str">
            <v>B272-400-AS-120-CV-011</v>
          </cell>
          <cell r="E824" t="str">
            <v>P-933(9/12)</v>
          </cell>
        </row>
        <row r="825">
          <cell r="B825" t="str">
            <v>B272-400-AS-120-CV-011</v>
          </cell>
          <cell r="E825" t="str">
            <v>P-933(10/12)</v>
          </cell>
        </row>
        <row r="826">
          <cell r="B826" t="str">
            <v>B272-400-AS-120-CV-011</v>
          </cell>
          <cell r="E826" t="str">
            <v>P-933(11/12)</v>
          </cell>
        </row>
        <row r="827">
          <cell r="B827" t="str">
            <v>B272-400-AS-120-CV-011</v>
          </cell>
          <cell r="E827" t="str">
            <v>P-933(12/12)</v>
          </cell>
        </row>
        <row r="828">
          <cell r="B828" t="str">
            <v>B272-400-AS-120-CV-011</v>
          </cell>
          <cell r="E828" t="str">
            <v>P-934(1/6)</v>
          </cell>
        </row>
        <row r="829">
          <cell r="B829" t="str">
            <v>B272-400-AS-120-CV-011</v>
          </cell>
          <cell r="E829" t="str">
            <v>P-934(2/6)</v>
          </cell>
        </row>
        <row r="830">
          <cell r="B830" t="str">
            <v>B272-400-AS-120-CV-011</v>
          </cell>
          <cell r="E830" t="str">
            <v>P-934(3/6)</v>
          </cell>
        </row>
        <row r="831">
          <cell r="B831" t="str">
            <v>B272-400-AS-120-CV-011</v>
          </cell>
          <cell r="E831" t="str">
            <v>P-934(4/6)</v>
          </cell>
        </row>
        <row r="832">
          <cell r="B832" t="str">
            <v>B272-400-AS-120-CV-011</v>
          </cell>
          <cell r="E832" t="str">
            <v>P-934(5/6)</v>
          </cell>
        </row>
        <row r="833">
          <cell r="B833" t="str">
            <v>B272-400-AS-120-CV-011</v>
          </cell>
          <cell r="E833" t="str">
            <v>P-934(6/6)</v>
          </cell>
        </row>
        <row r="834">
          <cell r="B834" t="str">
            <v>B272-400-AS-120-CV-011</v>
          </cell>
          <cell r="E834" t="str">
            <v>P-998(1/2)</v>
          </cell>
        </row>
        <row r="835">
          <cell r="B835" t="str">
            <v>B272-400-AS-120-CV-011</v>
          </cell>
          <cell r="E835" t="str">
            <v>P-998(2/2)</v>
          </cell>
        </row>
        <row r="836">
          <cell r="B836" t="str">
            <v>B272-400-AS-120-CV-011</v>
          </cell>
          <cell r="E836" t="str">
            <v>P-1025(1/4)</v>
          </cell>
        </row>
        <row r="837">
          <cell r="B837" t="str">
            <v>B272-400-AS-120-CV-011</v>
          </cell>
          <cell r="E837" t="str">
            <v>P-1025(2/4)</v>
          </cell>
        </row>
        <row r="838">
          <cell r="B838" t="str">
            <v>B272-400-AS-120-CV-011</v>
          </cell>
          <cell r="E838" t="str">
            <v>P-1025(3/4)</v>
          </cell>
        </row>
        <row r="839">
          <cell r="B839" t="str">
            <v>B272-400-AS-120-CV-011</v>
          </cell>
          <cell r="E839" t="str">
            <v>P-1025(4/4)</v>
          </cell>
        </row>
        <row r="840">
          <cell r="B840" t="str">
            <v>B272-400-AS-120-CV-011</v>
          </cell>
          <cell r="E840" t="str">
            <v>P-1133</v>
          </cell>
        </row>
        <row r="841">
          <cell r="B841" t="str">
            <v>B272-400-AS-120-CV-011</v>
          </cell>
          <cell r="E841" t="str">
            <v>P-1134(1/3)</v>
          </cell>
        </row>
        <row r="842">
          <cell r="B842" t="str">
            <v>B272-400-AS-120-CV-011</v>
          </cell>
          <cell r="E842" t="str">
            <v>P-1134(2/3)</v>
          </cell>
        </row>
        <row r="843">
          <cell r="B843" t="str">
            <v>B272-400-AS-120-CV-011</v>
          </cell>
          <cell r="E843" t="str">
            <v>P-1134(3/3)</v>
          </cell>
        </row>
        <row r="844">
          <cell r="B844" t="str">
            <v>B272-400-AS-120-CV-011</v>
          </cell>
          <cell r="E844" t="str">
            <v>P-1167(1/2)</v>
          </cell>
        </row>
        <row r="845">
          <cell r="B845" t="str">
            <v>B272-400-AS-120-CV-011</v>
          </cell>
          <cell r="E845" t="str">
            <v>P-1167(2/2)</v>
          </cell>
        </row>
        <row r="846">
          <cell r="B846" t="str">
            <v>B272-400-AS-120-CV-011</v>
          </cell>
          <cell r="E846" t="str">
            <v>P-1180(1/2)</v>
          </cell>
        </row>
        <row r="847">
          <cell r="B847" t="str">
            <v>B272-400-AS-120-CV-011</v>
          </cell>
          <cell r="E847" t="str">
            <v>P-1180(2/2)</v>
          </cell>
        </row>
        <row r="848">
          <cell r="B848" t="str">
            <v>B272-400-AS-120-CV-011</v>
          </cell>
          <cell r="E848" t="str">
            <v>PY-1(1/2)</v>
          </cell>
        </row>
        <row r="849">
          <cell r="B849" t="str">
            <v>B272-400-AS-120-CV-011</v>
          </cell>
          <cell r="E849" t="str">
            <v>PY-1(2/2)</v>
          </cell>
        </row>
        <row r="850">
          <cell r="B850" t="str">
            <v>B272-400-AS-120-CV-011</v>
          </cell>
          <cell r="E850" t="str">
            <v>PY-8(1/2)</v>
          </cell>
        </row>
        <row r="851">
          <cell r="B851" t="str">
            <v>B272-400-AS-120-CV-011</v>
          </cell>
          <cell r="E851" t="str">
            <v>PY-8(2/2)</v>
          </cell>
        </row>
        <row r="852">
          <cell r="B852" t="str">
            <v>B272-400-AS-120-CV-011</v>
          </cell>
          <cell r="E852" t="str">
            <v>R-1(1/6)</v>
          </cell>
        </row>
        <row r="853">
          <cell r="B853" t="str">
            <v>B272-400-AS-120-CV-011</v>
          </cell>
          <cell r="E853" t="str">
            <v>R-1(2/6)</v>
          </cell>
        </row>
        <row r="854">
          <cell r="B854" t="str">
            <v>B272-400-AS-120-CV-011</v>
          </cell>
          <cell r="E854" t="str">
            <v>R-1(3/6)</v>
          </cell>
        </row>
        <row r="855">
          <cell r="B855" t="str">
            <v>B272-400-AS-120-CV-011</v>
          </cell>
          <cell r="E855" t="str">
            <v>R-1(4/6)</v>
          </cell>
        </row>
        <row r="856">
          <cell r="B856" t="str">
            <v>B272-400-AS-120-CV-011</v>
          </cell>
          <cell r="E856" t="str">
            <v>R-1(5/6)</v>
          </cell>
        </row>
        <row r="857">
          <cell r="B857" t="str">
            <v>B272-400-AS-120-CV-011</v>
          </cell>
          <cell r="E857" t="str">
            <v>R-1(6/6)</v>
          </cell>
        </row>
        <row r="858">
          <cell r="B858" t="str">
            <v>B272-400-AS-120-CV-011</v>
          </cell>
          <cell r="E858" t="str">
            <v>RZ-2(1/2)</v>
          </cell>
        </row>
        <row r="859">
          <cell r="B859" t="str">
            <v>B272-400-AS-120-CV-011</v>
          </cell>
          <cell r="E859" t="str">
            <v>RZ-2(2/2)</v>
          </cell>
        </row>
        <row r="860">
          <cell r="B860" t="str">
            <v>B272-400-AS-120-CV-011</v>
          </cell>
          <cell r="E860" t="str">
            <v>RZ-5(1/12)</v>
          </cell>
        </row>
        <row r="861">
          <cell r="B861" t="str">
            <v>B272-400-AS-120-CV-011</v>
          </cell>
          <cell r="E861" t="str">
            <v>RZ-5(2/12)</v>
          </cell>
        </row>
        <row r="862">
          <cell r="B862" t="str">
            <v>B272-400-AS-120-CV-011</v>
          </cell>
          <cell r="E862" t="str">
            <v>RZ-5(3/12)</v>
          </cell>
        </row>
        <row r="863">
          <cell r="B863" t="str">
            <v>B272-400-AS-120-CV-011</v>
          </cell>
          <cell r="E863" t="str">
            <v>RZ-5(4/12)</v>
          </cell>
        </row>
        <row r="864">
          <cell r="B864" t="str">
            <v>B272-400-AS-120-CV-011</v>
          </cell>
          <cell r="E864" t="str">
            <v>RZ-5(5/12)</v>
          </cell>
        </row>
        <row r="865">
          <cell r="B865" t="str">
            <v>B272-400-AS-120-CV-011</v>
          </cell>
          <cell r="E865" t="str">
            <v>RZ-5(6/12)</v>
          </cell>
        </row>
        <row r="866">
          <cell r="B866" t="str">
            <v>B272-400-AS-120-CV-011</v>
          </cell>
          <cell r="E866" t="str">
            <v>RZ-5(7/12)</v>
          </cell>
        </row>
        <row r="867">
          <cell r="B867" t="str">
            <v>B272-400-AS-120-CV-011</v>
          </cell>
          <cell r="E867" t="str">
            <v>RZ-5(8/12)</v>
          </cell>
        </row>
        <row r="868">
          <cell r="B868" t="str">
            <v>B272-400-AS-120-CV-011</v>
          </cell>
          <cell r="E868" t="str">
            <v>RZ-5(9/12)</v>
          </cell>
        </row>
        <row r="869">
          <cell r="B869" t="str">
            <v>B272-400-AS-120-CV-011</v>
          </cell>
          <cell r="E869" t="str">
            <v>RZ-5(10/12)</v>
          </cell>
        </row>
        <row r="870">
          <cell r="B870" t="str">
            <v>B272-400-AS-120-CV-011</v>
          </cell>
          <cell r="E870" t="str">
            <v>RZ-5(11/12)</v>
          </cell>
        </row>
        <row r="871">
          <cell r="B871" t="str">
            <v>B272-400-AS-120-CV-011</v>
          </cell>
          <cell r="E871" t="str">
            <v>RZ-5(12/12)</v>
          </cell>
        </row>
        <row r="872">
          <cell r="B872" t="str">
            <v>B272-400-AS-120-CV-011</v>
          </cell>
          <cell r="E872" t="str">
            <v>W-72(1/12)</v>
          </cell>
        </row>
        <row r="873">
          <cell r="B873" t="str">
            <v>B272-400-AS-120-CV-011</v>
          </cell>
          <cell r="E873" t="str">
            <v>W-72(2/12)</v>
          </cell>
        </row>
        <row r="874">
          <cell r="B874" t="str">
            <v>B272-400-AS-120-CV-011</v>
          </cell>
          <cell r="E874" t="str">
            <v>W-72(3/12)</v>
          </cell>
        </row>
        <row r="875">
          <cell r="B875" t="str">
            <v>B272-400-AS-120-CV-011</v>
          </cell>
          <cell r="E875" t="str">
            <v>W-72(4/12)</v>
          </cell>
        </row>
        <row r="876">
          <cell r="B876" t="str">
            <v>B272-400-AS-120-CV-011</v>
          </cell>
          <cell r="E876" t="str">
            <v>W-72(5/12)</v>
          </cell>
        </row>
        <row r="877">
          <cell r="B877" t="str">
            <v>B272-400-AS-120-CV-011</v>
          </cell>
          <cell r="E877" t="str">
            <v>W-72(6/12)</v>
          </cell>
        </row>
        <row r="878">
          <cell r="B878" t="str">
            <v>B272-400-AS-120-CV-011</v>
          </cell>
          <cell r="E878" t="str">
            <v>W-72(7/12)</v>
          </cell>
        </row>
        <row r="879">
          <cell r="B879" t="str">
            <v>B272-400-AS-120-CV-011</v>
          </cell>
          <cell r="E879" t="str">
            <v>W-72(8/12)</v>
          </cell>
        </row>
        <row r="880">
          <cell r="B880" t="str">
            <v>B272-400-AS-120-CV-011</v>
          </cell>
          <cell r="E880" t="str">
            <v>W-72(9/12)</v>
          </cell>
        </row>
        <row r="881">
          <cell r="B881" t="str">
            <v>B272-400-AS-120-CV-011</v>
          </cell>
          <cell r="E881" t="str">
            <v>W-72(10/12)</v>
          </cell>
        </row>
        <row r="882">
          <cell r="B882" t="str">
            <v>B272-400-AS-120-CV-011</v>
          </cell>
          <cell r="E882" t="str">
            <v>W-72(11/12)</v>
          </cell>
        </row>
        <row r="883">
          <cell r="B883" t="str">
            <v>B272-400-AS-120-CV-011</v>
          </cell>
          <cell r="E883" t="str">
            <v>W-72(12/12)</v>
          </cell>
        </row>
        <row r="884">
          <cell r="B884" t="str">
            <v>B272-400-AS-120-CV-011</v>
          </cell>
          <cell r="E884" t="str">
            <v>CY-2000</v>
          </cell>
        </row>
        <row r="885">
          <cell r="B885" t="str">
            <v>B272-400-AS-120-CV-011</v>
          </cell>
          <cell r="E885" t="str">
            <v>CY-2001</v>
          </cell>
        </row>
        <row r="886">
          <cell r="B886" t="str">
            <v>B272-400-AS-120-CV-011</v>
          </cell>
          <cell r="E886" t="str">
            <v>P-2071</v>
          </cell>
        </row>
        <row r="887">
          <cell r="B887" t="str">
            <v>B272-400-AS-120-CV-011</v>
          </cell>
          <cell r="E887" t="str">
            <v>B2050</v>
          </cell>
        </row>
        <row r="888">
          <cell r="B888" t="str">
            <v>B272-400-AS-120-CV-011</v>
          </cell>
          <cell r="E888" t="str">
            <v>B24100</v>
          </cell>
        </row>
        <row r="889">
          <cell r="B889" t="str">
            <v>B272-400-AS-120-CV-011</v>
          </cell>
          <cell r="E889" t="str">
            <v>B1660</v>
          </cell>
        </row>
        <row r="890">
          <cell r="B890" t="str">
            <v>B272-400-AS-120-CV-012</v>
          </cell>
        </row>
        <row r="891">
          <cell r="B891" t="str">
            <v>B272-400-AS-120-CV-012</v>
          </cell>
          <cell r="E891" t="str">
            <v>A-28</v>
          </cell>
        </row>
        <row r="892">
          <cell r="B892" t="str">
            <v>B272-400-AS-120-CV-012</v>
          </cell>
          <cell r="E892" t="str">
            <v>A-29</v>
          </cell>
        </row>
        <row r="893">
          <cell r="B893" t="str">
            <v>B272-400-AS-120-CV-012</v>
          </cell>
          <cell r="E893" t="str">
            <v>A-30(1/4)</v>
          </cell>
        </row>
        <row r="894">
          <cell r="B894" t="str">
            <v>B272-400-AS-120-CV-012</v>
          </cell>
          <cell r="E894" t="str">
            <v>A-30(2/4)</v>
          </cell>
        </row>
        <row r="895">
          <cell r="B895" t="str">
            <v>B272-400-AS-120-CV-012</v>
          </cell>
          <cell r="E895" t="str">
            <v>A-30(3/4)</v>
          </cell>
        </row>
        <row r="896">
          <cell r="B896" t="str">
            <v>B272-400-AS-120-CV-012</v>
          </cell>
          <cell r="E896" t="str">
            <v>A-30(4/4)</v>
          </cell>
        </row>
        <row r="897">
          <cell r="B897" t="str">
            <v>B272-400-AS-120-CV-012</v>
          </cell>
          <cell r="E897" t="str">
            <v>A-120</v>
          </cell>
        </row>
        <row r="898">
          <cell r="B898" t="str">
            <v>B272-400-AS-120-CV-012</v>
          </cell>
          <cell r="E898" t="str">
            <v>A-121</v>
          </cell>
        </row>
        <row r="899">
          <cell r="B899" t="str">
            <v>B272-400-AS-120-CV-012</v>
          </cell>
          <cell r="E899" t="str">
            <v>A-124</v>
          </cell>
        </row>
        <row r="900">
          <cell r="B900" t="str">
            <v>B272-400-AS-120-CV-012</v>
          </cell>
          <cell r="E900" t="str">
            <v>A-131</v>
          </cell>
        </row>
        <row r="901">
          <cell r="B901" t="str">
            <v>B272-400-AS-120-CV-012</v>
          </cell>
          <cell r="E901" t="str">
            <v>AX-1(1/2)</v>
          </cell>
        </row>
        <row r="902">
          <cell r="B902" t="str">
            <v>B272-400-AS-120-CV-012</v>
          </cell>
          <cell r="E902" t="str">
            <v>AX-1(2/2)</v>
          </cell>
        </row>
        <row r="903">
          <cell r="B903" t="str">
            <v>B272-400-AS-120-CV-012</v>
          </cell>
          <cell r="E903" t="str">
            <v>C-29(1/2)</v>
          </cell>
        </row>
        <row r="904">
          <cell r="B904" t="str">
            <v>B272-400-AS-120-CV-012</v>
          </cell>
          <cell r="E904" t="str">
            <v>C-29(2/2)</v>
          </cell>
        </row>
        <row r="905">
          <cell r="B905" t="str">
            <v>B272-400-AS-120-CV-012</v>
          </cell>
          <cell r="E905" t="str">
            <v>C-35</v>
          </cell>
        </row>
        <row r="906">
          <cell r="B906" t="str">
            <v>B272-400-AS-120-CV-012</v>
          </cell>
          <cell r="E906" t="str">
            <v>C-36</v>
          </cell>
        </row>
        <row r="907">
          <cell r="B907" t="str">
            <v>B272-400-AS-120-CV-012</v>
          </cell>
          <cell r="E907" t="str">
            <v>C-64</v>
          </cell>
        </row>
        <row r="908">
          <cell r="B908" t="str">
            <v>B272-400-AS-120-CV-012</v>
          </cell>
          <cell r="E908" t="str">
            <v>C-65</v>
          </cell>
        </row>
        <row r="909">
          <cell r="B909" t="str">
            <v>B272-400-AS-120-CV-012</v>
          </cell>
          <cell r="E909" t="str">
            <v>C-66</v>
          </cell>
        </row>
        <row r="910">
          <cell r="B910" t="str">
            <v>B272-400-AS-120-CV-012</v>
          </cell>
          <cell r="E910" t="str">
            <v>C-67</v>
          </cell>
        </row>
        <row r="911">
          <cell r="B911" t="str">
            <v>B272-400-AS-120-CV-012</v>
          </cell>
          <cell r="E911" t="str">
            <v>C-68</v>
          </cell>
        </row>
        <row r="912">
          <cell r="B912" t="str">
            <v>B272-400-AS-120-CV-012</v>
          </cell>
          <cell r="E912" t="str">
            <v>C-69</v>
          </cell>
        </row>
        <row r="913">
          <cell r="B913" t="str">
            <v>B272-400-AS-120-CV-012</v>
          </cell>
          <cell r="E913" t="str">
            <v>C-72(1/18)</v>
          </cell>
        </row>
        <row r="914">
          <cell r="B914" t="str">
            <v>B272-400-AS-120-CV-012</v>
          </cell>
          <cell r="E914" t="str">
            <v>C-72(2/18)</v>
          </cell>
        </row>
        <row r="915">
          <cell r="B915" t="str">
            <v>B272-400-AS-120-CV-012</v>
          </cell>
          <cell r="E915" t="str">
            <v>C-72(3/18)</v>
          </cell>
        </row>
        <row r="916">
          <cell r="B916" t="str">
            <v>B272-400-AS-120-CV-012</v>
          </cell>
          <cell r="E916" t="str">
            <v>C-72(4/18)</v>
          </cell>
        </row>
        <row r="917">
          <cell r="B917" t="str">
            <v>B272-400-AS-120-CV-012</v>
          </cell>
          <cell r="E917" t="str">
            <v>C-72(5/18)</v>
          </cell>
        </row>
        <row r="918">
          <cell r="B918" t="str">
            <v>B272-400-AS-120-CV-012</v>
          </cell>
          <cell r="E918" t="str">
            <v>C-72(6/18)</v>
          </cell>
        </row>
        <row r="919">
          <cell r="B919" t="str">
            <v>B272-400-AS-120-CV-012</v>
          </cell>
          <cell r="E919" t="str">
            <v>C-72(7/18)</v>
          </cell>
        </row>
        <row r="920">
          <cell r="B920" t="str">
            <v>B272-400-AS-120-CV-012</v>
          </cell>
          <cell r="E920" t="str">
            <v>C-72(8/18)</v>
          </cell>
        </row>
        <row r="921">
          <cell r="B921" t="str">
            <v>B272-400-AS-120-CV-012</v>
          </cell>
          <cell r="E921" t="str">
            <v>C-72(9/18)</v>
          </cell>
        </row>
        <row r="922">
          <cell r="B922" t="str">
            <v>B272-400-AS-120-CV-012</v>
          </cell>
          <cell r="E922" t="str">
            <v>C-72(10/18)</v>
          </cell>
        </row>
        <row r="923">
          <cell r="B923" t="str">
            <v>B272-400-AS-120-CV-012</v>
          </cell>
          <cell r="E923" t="str">
            <v>C-72(11/18)</v>
          </cell>
        </row>
        <row r="924">
          <cell r="B924" t="str">
            <v>B272-400-AS-120-CV-012</v>
          </cell>
          <cell r="E924" t="str">
            <v>C-72(12/18)</v>
          </cell>
        </row>
        <row r="925">
          <cell r="B925" t="str">
            <v>B272-400-AS-120-CV-012</v>
          </cell>
          <cell r="E925" t="str">
            <v>C-72(13/18)</v>
          </cell>
        </row>
        <row r="926">
          <cell r="B926" t="str">
            <v>B272-400-AS-120-CV-012</v>
          </cell>
          <cell r="E926" t="str">
            <v>C-72(14/18)</v>
          </cell>
        </row>
        <row r="927">
          <cell r="B927" t="str">
            <v>B272-400-AS-120-CV-012</v>
          </cell>
          <cell r="E927" t="str">
            <v>C-72(15/18)</v>
          </cell>
        </row>
        <row r="928">
          <cell r="B928" t="str">
            <v>B272-400-AS-120-CV-012</v>
          </cell>
          <cell r="E928" t="str">
            <v>C-72(16/18)</v>
          </cell>
        </row>
        <row r="929">
          <cell r="B929" t="str">
            <v>B272-400-AS-120-CV-012</v>
          </cell>
          <cell r="E929" t="str">
            <v>C-72(17/18)</v>
          </cell>
        </row>
        <row r="930">
          <cell r="B930" t="str">
            <v>B272-400-AS-120-CV-012</v>
          </cell>
          <cell r="E930" t="str">
            <v>C-72(18/18)</v>
          </cell>
        </row>
        <row r="931">
          <cell r="B931" t="str">
            <v>B272-400-AS-120-CV-012</v>
          </cell>
          <cell r="E931" t="str">
            <v>C-77</v>
          </cell>
        </row>
        <row r="932">
          <cell r="B932" t="str">
            <v>B272-400-AS-120-CV-012</v>
          </cell>
          <cell r="E932" t="str">
            <v>C-80(1/4)</v>
          </cell>
        </row>
        <row r="933">
          <cell r="B933" t="str">
            <v>B272-400-AS-120-CV-012</v>
          </cell>
          <cell r="E933" t="str">
            <v>C-80(2/4)</v>
          </cell>
        </row>
        <row r="934">
          <cell r="B934" t="str">
            <v>B272-400-AS-120-CV-012</v>
          </cell>
          <cell r="E934" t="str">
            <v>C-80(3/4)</v>
          </cell>
        </row>
        <row r="935">
          <cell r="B935" t="str">
            <v>B272-400-AS-120-CV-012</v>
          </cell>
          <cell r="E935" t="str">
            <v>C-80(4/4)</v>
          </cell>
        </row>
        <row r="936">
          <cell r="B936" t="str">
            <v>B272-400-AS-120-CV-012</v>
          </cell>
          <cell r="E936" t="str">
            <v>C-83(1/2)</v>
          </cell>
        </row>
        <row r="937">
          <cell r="B937" t="str">
            <v>B272-400-AS-120-CV-012</v>
          </cell>
          <cell r="E937" t="str">
            <v>C-83(2/2)</v>
          </cell>
        </row>
        <row r="938">
          <cell r="B938" t="str">
            <v>B272-400-AS-120-CV-012</v>
          </cell>
          <cell r="E938" t="str">
            <v>C-84(1/2)</v>
          </cell>
        </row>
        <row r="939">
          <cell r="B939" t="str">
            <v>B272-400-AS-120-CV-012</v>
          </cell>
          <cell r="E939" t="str">
            <v>C-84(2/2)</v>
          </cell>
        </row>
        <row r="940">
          <cell r="B940" t="str">
            <v>B272-400-AS-120-CV-012</v>
          </cell>
          <cell r="E940" t="str">
            <v>C-85(1/4)</v>
          </cell>
        </row>
        <row r="941">
          <cell r="B941" t="str">
            <v>B272-400-AS-120-CV-012</v>
          </cell>
          <cell r="E941" t="str">
            <v>C-85(2/4)</v>
          </cell>
        </row>
        <row r="942">
          <cell r="B942" t="str">
            <v>B272-400-AS-120-CV-012</v>
          </cell>
          <cell r="E942" t="str">
            <v>C-85(3/4)</v>
          </cell>
        </row>
        <row r="943">
          <cell r="B943" t="str">
            <v>B272-400-AS-120-CV-012</v>
          </cell>
          <cell r="E943" t="str">
            <v>C-85(4/4)</v>
          </cell>
        </row>
        <row r="944">
          <cell r="B944" t="str">
            <v>B272-400-AS-120-CV-012</v>
          </cell>
          <cell r="E944" t="str">
            <v>C-86(1/2)</v>
          </cell>
        </row>
        <row r="945">
          <cell r="B945" t="str">
            <v>B272-400-AS-120-CV-012</v>
          </cell>
          <cell r="E945" t="str">
            <v>C-86(2/2)</v>
          </cell>
        </row>
        <row r="946">
          <cell r="B946" t="str">
            <v>B272-400-AS-120-CV-012</v>
          </cell>
          <cell r="E946" t="str">
            <v>C-198(1/3)</v>
          </cell>
        </row>
        <row r="947">
          <cell r="B947" t="str">
            <v>B272-400-AS-120-CV-012</v>
          </cell>
          <cell r="E947" t="str">
            <v>C-198(2/3)</v>
          </cell>
        </row>
        <row r="948">
          <cell r="B948" t="str">
            <v>B272-400-AS-120-CV-012</v>
          </cell>
          <cell r="E948" t="str">
            <v>C-198(3/3)</v>
          </cell>
        </row>
        <row r="949">
          <cell r="B949" t="str">
            <v>B272-400-AS-120-CV-012</v>
          </cell>
          <cell r="E949" t="str">
            <v>C-200(1/3)</v>
          </cell>
        </row>
        <row r="950">
          <cell r="B950" t="str">
            <v>B272-400-AS-120-CV-012</v>
          </cell>
          <cell r="E950" t="str">
            <v>C-200(2/3)</v>
          </cell>
        </row>
        <row r="951">
          <cell r="B951" t="str">
            <v>B272-400-AS-120-CV-012</v>
          </cell>
          <cell r="E951" t="str">
            <v>C-200(3/3)</v>
          </cell>
        </row>
        <row r="952">
          <cell r="B952" t="str">
            <v>B272-400-AS-120-CV-012</v>
          </cell>
          <cell r="E952" t="str">
            <v>CY-46</v>
          </cell>
        </row>
        <row r="953">
          <cell r="B953" t="str">
            <v>B272-400-AS-120-CV-012</v>
          </cell>
          <cell r="E953" t="str">
            <v>CY-47</v>
          </cell>
        </row>
        <row r="954">
          <cell r="B954" t="str">
            <v>B272-400-AS-120-CV-012</v>
          </cell>
          <cell r="E954" t="str">
            <v>CY-48(1/2)</v>
          </cell>
        </row>
        <row r="955">
          <cell r="B955" t="str">
            <v>B272-400-AS-120-CV-012</v>
          </cell>
          <cell r="E955" t="str">
            <v>CY-48(2/2)</v>
          </cell>
        </row>
        <row r="956">
          <cell r="B956" t="str">
            <v>B272-400-AS-120-CV-012</v>
          </cell>
          <cell r="E956" t="str">
            <v>CY-49(1/2)</v>
          </cell>
        </row>
        <row r="957">
          <cell r="B957" t="str">
            <v>B272-400-AS-120-CV-012</v>
          </cell>
          <cell r="E957" t="str">
            <v>CY-49(2/2)</v>
          </cell>
        </row>
        <row r="958">
          <cell r="B958" t="str">
            <v>B272-400-AS-120-CV-012</v>
          </cell>
          <cell r="E958" t="str">
            <v>CY-50(1/2)</v>
          </cell>
        </row>
        <row r="959">
          <cell r="B959" t="str">
            <v>B272-400-AS-120-CV-012</v>
          </cell>
          <cell r="E959" t="str">
            <v>CY-50(2/2)</v>
          </cell>
        </row>
        <row r="960">
          <cell r="B960" t="str">
            <v>B272-400-AS-120-CV-012</v>
          </cell>
          <cell r="E960" t="str">
            <v>CY-53</v>
          </cell>
        </row>
        <row r="961">
          <cell r="B961" t="str">
            <v>B272-400-AS-120-CV-012</v>
          </cell>
          <cell r="E961" t="str">
            <v>CY-57</v>
          </cell>
        </row>
        <row r="962">
          <cell r="B962" t="str">
            <v>B272-400-AS-120-CV-012</v>
          </cell>
          <cell r="E962" t="str">
            <v>CY-58</v>
          </cell>
        </row>
        <row r="963">
          <cell r="B963" t="str">
            <v>B272-400-AS-120-CV-012</v>
          </cell>
          <cell r="E963" t="str">
            <v>CY-59</v>
          </cell>
        </row>
        <row r="964">
          <cell r="B964" t="str">
            <v>B272-400-AS-120-CV-012</v>
          </cell>
          <cell r="E964" t="str">
            <v>CY-60</v>
          </cell>
        </row>
        <row r="965">
          <cell r="B965" t="str">
            <v>B272-400-AS-120-CV-012</v>
          </cell>
          <cell r="E965" t="str">
            <v>CY-61</v>
          </cell>
        </row>
        <row r="966">
          <cell r="B966" t="str">
            <v>B272-400-AS-120-CV-012</v>
          </cell>
          <cell r="E966" t="str">
            <v>CY-78</v>
          </cell>
        </row>
        <row r="967">
          <cell r="B967" t="str">
            <v>B272-400-AS-120-CV-012</v>
          </cell>
          <cell r="E967" t="str">
            <v>CY-84</v>
          </cell>
        </row>
        <row r="968">
          <cell r="B968" t="str">
            <v>B272-400-AS-120-CV-012</v>
          </cell>
          <cell r="E968" t="str">
            <v>CY-85</v>
          </cell>
        </row>
        <row r="969">
          <cell r="B969" t="str">
            <v>B272-400-AS-120-CV-012</v>
          </cell>
          <cell r="E969" t="str">
            <v>CY-86</v>
          </cell>
        </row>
        <row r="970">
          <cell r="B970" t="str">
            <v>B272-400-AS-120-CV-012</v>
          </cell>
          <cell r="E970" t="str">
            <v>CY-87</v>
          </cell>
        </row>
        <row r="971">
          <cell r="B971" t="str">
            <v>B272-400-AS-120-CV-012</v>
          </cell>
          <cell r="E971" t="str">
            <v>D-82(1/4)</v>
          </cell>
        </row>
        <row r="972">
          <cell r="B972" t="str">
            <v>B272-400-AS-120-CV-012</v>
          </cell>
          <cell r="E972" t="str">
            <v>D-82(2/4)</v>
          </cell>
        </row>
        <row r="973">
          <cell r="B973" t="str">
            <v>B272-400-AS-120-CV-012</v>
          </cell>
          <cell r="E973" t="str">
            <v>D-82(3/4)</v>
          </cell>
        </row>
        <row r="974">
          <cell r="B974" t="str">
            <v>B272-400-AS-120-CV-012</v>
          </cell>
          <cell r="E974" t="str">
            <v>D-82(4/4)</v>
          </cell>
        </row>
        <row r="975">
          <cell r="B975" t="str">
            <v>B272-400-AS-120-CV-012</v>
          </cell>
          <cell r="E975" t="str">
            <v>G-7(1/12)</v>
          </cell>
        </row>
        <row r="976">
          <cell r="B976" t="str">
            <v>B272-400-AS-120-CV-012</v>
          </cell>
          <cell r="E976" t="str">
            <v>G-7(2/12)</v>
          </cell>
        </row>
        <row r="977">
          <cell r="B977" t="str">
            <v>B272-400-AS-120-CV-012</v>
          </cell>
          <cell r="E977" t="str">
            <v>G-7(3/12)</v>
          </cell>
        </row>
        <row r="978">
          <cell r="B978" t="str">
            <v>B272-400-AS-120-CV-012</v>
          </cell>
          <cell r="E978" t="str">
            <v>G-7(4/12)</v>
          </cell>
        </row>
        <row r="979">
          <cell r="B979" t="str">
            <v>B272-400-AS-120-CV-012</v>
          </cell>
          <cell r="E979" t="str">
            <v>G-7(5/12)</v>
          </cell>
        </row>
        <row r="980">
          <cell r="B980" t="str">
            <v>B272-400-AS-120-CV-012</v>
          </cell>
          <cell r="E980" t="str">
            <v>G-7(6/12)</v>
          </cell>
        </row>
        <row r="981">
          <cell r="B981" t="str">
            <v>B272-400-AS-120-CV-012</v>
          </cell>
          <cell r="E981" t="str">
            <v>G-7(7/12)</v>
          </cell>
        </row>
        <row r="982">
          <cell r="B982" t="str">
            <v>B272-400-AS-120-CV-012</v>
          </cell>
          <cell r="E982" t="str">
            <v>G-7(8/12)</v>
          </cell>
        </row>
        <row r="983">
          <cell r="B983" t="str">
            <v>B272-400-AS-120-CV-012</v>
          </cell>
          <cell r="E983" t="str">
            <v>G-7(9/12)</v>
          </cell>
        </row>
        <row r="984">
          <cell r="B984" t="str">
            <v>B272-400-AS-120-CV-012</v>
          </cell>
          <cell r="E984" t="str">
            <v>G-7(10/12)</v>
          </cell>
        </row>
        <row r="985">
          <cell r="B985" t="str">
            <v>B272-400-AS-120-CV-012</v>
          </cell>
          <cell r="E985" t="str">
            <v>G-7(11/12)</v>
          </cell>
        </row>
        <row r="986">
          <cell r="B986" t="str">
            <v>B272-400-AS-120-CV-012</v>
          </cell>
          <cell r="E986" t="str">
            <v>G-7(12/12)</v>
          </cell>
        </row>
        <row r="987">
          <cell r="B987" t="str">
            <v>B272-400-AS-120-CV-012</v>
          </cell>
          <cell r="E987" t="str">
            <v>GC-1</v>
          </cell>
        </row>
        <row r="988">
          <cell r="B988" t="str">
            <v>B272-400-AS-120-CV-012</v>
          </cell>
          <cell r="E988" t="str">
            <v>HY-16</v>
          </cell>
        </row>
        <row r="989">
          <cell r="B989" t="str">
            <v>B272-400-AS-120-CV-012</v>
          </cell>
          <cell r="E989" t="str">
            <v>HY-17</v>
          </cell>
        </row>
        <row r="990">
          <cell r="B990" t="str">
            <v>B272-400-AS-120-CV-012</v>
          </cell>
          <cell r="E990" t="str">
            <v>HY-18</v>
          </cell>
        </row>
        <row r="991">
          <cell r="B991" t="str">
            <v>B272-400-AS-120-CV-012</v>
          </cell>
          <cell r="E991" t="str">
            <v>HY-19</v>
          </cell>
        </row>
        <row r="992">
          <cell r="B992" t="str">
            <v>B272-400-AS-120-CV-012</v>
          </cell>
          <cell r="E992" t="str">
            <v>HY-20</v>
          </cell>
        </row>
        <row r="993">
          <cell r="B993" t="str">
            <v>B272-400-AS-120-CV-012</v>
          </cell>
          <cell r="E993" t="str">
            <v>HY-24</v>
          </cell>
        </row>
        <row r="994">
          <cell r="B994" t="str">
            <v>B272-400-AS-120-CV-012</v>
          </cell>
          <cell r="E994" t="str">
            <v>HY-27</v>
          </cell>
        </row>
        <row r="995">
          <cell r="B995" t="str">
            <v>B272-400-AS-120-CV-012</v>
          </cell>
          <cell r="E995" t="str">
            <v>HY-32</v>
          </cell>
        </row>
        <row r="996">
          <cell r="B996" t="str">
            <v>B272-400-AS-120-CV-012</v>
          </cell>
          <cell r="E996" t="str">
            <v>HY-56</v>
          </cell>
        </row>
        <row r="997">
          <cell r="B997" t="str">
            <v>B272-400-AS-120-CV-012</v>
          </cell>
          <cell r="E997" t="str">
            <v>N-4</v>
          </cell>
        </row>
        <row r="998">
          <cell r="B998" t="str">
            <v>B272-400-AS-120-CV-012</v>
          </cell>
          <cell r="E998" t="str">
            <v>N-5</v>
          </cell>
        </row>
        <row r="999">
          <cell r="B999" t="str">
            <v>B272-400-AS-120-CV-012</v>
          </cell>
          <cell r="E999" t="str">
            <v>P-2(1/2)</v>
          </cell>
        </row>
        <row r="1000">
          <cell r="B1000" t="str">
            <v>B272-400-AS-120-CV-012</v>
          </cell>
          <cell r="E1000" t="str">
            <v>P-2(2/2)</v>
          </cell>
        </row>
        <row r="1001">
          <cell r="B1001" t="str">
            <v>B272-400-AS-120-CV-012</v>
          </cell>
          <cell r="E1001" t="str">
            <v>P-24</v>
          </cell>
        </row>
        <row r="1002">
          <cell r="B1002" t="str">
            <v>B272-400-AS-120-CV-012</v>
          </cell>
          <cell r="E1002" t="str">
            <v>P-25</v>
          </cell>
        </row>
        <row r="1003">
          <cell r="B1003" t="str">
            <v>B272-400-AS-120-CV-012</v>
          </cell>
          <cell r="E1003" t="str">
            <v>P-28</v>
          </cell>
        </row>
        <row r="1004">
          <cell r="B1004" t="str">
            <v>B272-400-AS-120-CV-012</v>
          </cell>
          <cell r="E1004" t="str">
            <v>P-42</v>
          </cell>
        </row>
        <row r="1005">
          <cell r="B1005" t="str">
            <v>B272-400-AS-120-CV-012</v>
          </cell>
          <cell r="E1005" t="str">
            <v>P-43(1/2)</v>
          </cell>
        </row>
        <row r="1006">
          <cell r="B1006" t="str">
            <v>B272-400-AS-120-CV-012</v>
          </cell>
          <cell r="E1006" t="str">
            <v>P-43(2/2)</v>
          </cell>
        </row>
        <row r="1007">
          <cell r="B1007" t="str">
            <v>B272-400-AS-120-CV-012</v>
          </cell>
          <cell r="E1007" t="str">
            <v>P-53(1/10)</v>
          </cell>
        </row>
        <row r="1008">
          <cell r="B1008" t="str">
            <v>B272-400-AS-120-CV-012</v>
          </cell>
          <cell r="E1008" t="str">
            <v>P-53(2/10)</v>
          </cell>
        </row>
        <row r="1009">
          <cell r="B1009" t="str">
            <v>B272-400-AS-120-CV-012</v>
          </cell>
          <cell r="E1009" t="str">
            <v>P-53(3/10)</v>
          </cell>
        </row>
        <row r="1010">
          <cell r="B1010" t="str">
            <v>B272-400-AS-120-CV-012</v>
          </cell>
          <cell r="E1010" t="str">
            <v>P-53(4/10)</v>
          </cell>
        </row>
        <row r="1011">
          <cell r="B1011" t="str">
            <v>B272-400-AS-120-CV-012</v>
          </cell>
          <cell r="E1011" t="str">
            <v>P-53(5/10)</v>
          </cell>
        </row>
        <row r="1012">
          <cell r="B1012" t="str">
            <v>B272-400-AS-120-CV-012</v>
          </cell>
          <cell r="E1012" t="str">
            <v>P-53(6/10)</v>
          </cell>
        </row>
        <row r="1013">
          <cell r="B1013" t="str">
            <v>B272-400-AS-120-CV-012</v>
          </cell>
          <cell r="E1013" t="str">
            <v>P-53(7/10)</v>
          </cell>
        </row>
        <row r="1014">
          <cell r="B1014" t="str">
            <v>B272-400-AS-120-CV-012</v>
          </cell>
          <cell r="E1014" t="str">
            <v>P-53(8/10)</v>
          </cell>
        </row>
        <row r="1015">
          <cell r="B1015" t="str">
            <v>B272-400-AS-120-CV-012</v>
          </cell>
          <cell r="E1015" t="str">
            <v>P-53(9/10)</v>
          </cell>
        </row>
        <row r="1016">
          <cell r="B1016" t="str">
            <v>B272-400-AS-120-CV-012</v>
          </cell>
          <cell r="E1016" t="str">
            <v>P-53(10/10)</v>
          </cell>
        </row>
        <row r="1017">
          <cell r="B1017" t="str">
            <v>B272-400-AS-120-CV-012</v>
          </cell>
          <cell r="E1017" t="str">
            <v>P-54(1/5)</v>
          </cell>
        </row>
        <row r="1018">
          <cell r="B1018" t="str">
            <v>B272-400-AS-120-CV-012</v>
          </cell>
          <cell r="E1018" t="str">
            <v>P-54(2/5)</v>
          </cell>
        </row>
        <row r="1019">
          <cell r="B1019" t="str">
            <v>B272-400-AS-120-CV-012</v>
          </cell>
          <cell r="E1019" t="str">
            <v>P-54(3/5)</v>
          </cell>
        </row>
        <row r="1020">
          <cell r="B1020" t="str">
            <v>B272-400-AS-120-CV-012</v>
          </cell>
          <cell r="E1020" t="str">
            <v>P-54(4/5)</v>
          </cell>
        </row>
        <row r="1021">
          <cell r="B1021" t="str">
            <v>B272-400-AS-120-CV-012</v>
          </cell>
          <cell r="E1021" t="str">
            <v>P-54(5/5)</v>
          </cell>
        </row>
        <row r="1022">
          <cell r="B1022" t="str">
            <v>B272-400-AS-120-CV-012</v>
          </cell>
          <cell r="E1022" t="str">
            <v>P-57(1/2)</v>
          </cell>
        </row>
        <row r="1023">
          <cell r="B1023" t="str">
            <v>B272-400-AS-120-CV-012</v>
          </cell>
          <cell r="E1023" t="str">
            <v>P-57(2/2)</v>
          </cell>
        </row>
        <row r="1024">
          <cell r="B1024" t="str">
            <v>B272-400-AS-120-CV-012</v>
          </cell>
          <cell r="E1024" t="str">
            <v>P-125</v>
          </cell>
        </row>
        <row r="1025">
          <cell r="B1025" t="str">
            <v>B272-400-AS-120-CV-012</v>
          </cell>
          <cell r="E1025" t="str">
            <v>P-126(1/4)</v>
          </cell>
        </row>
        <row r="1026">
          <cell r="B1026" t="str">
            <v>B272-400-AS-120-CV-012</v>
          </cell>
          <cell r="E1026" t="str">
            <v>P-126(2/4)</v>
          </cell>
        </row>
        <row r="1027">
          <cell r="B1027" t="str">
            <v>B272-400-AS-120-CV-012</v>
          </cell>
          <cell r="E1027" t="str">
            <v>P-126(3/4)</v>
          </cell>
        </row>
        <row r="1028">
          <cell r="B1028" t="str">
            <v>B272-400-AS-120-CV-012</v>
          </cell>
          <cell r="E1028" t="str">
            <v>P-126(4/4)</v>
          </cell>
        </row>
        <row r="1029">
          <cell r="B1029" t="str">
            <v>B272-400-AS-120-CV-012</v>
          </cell>
          <cell r="E1029" t="str">
            <v>P-127(1/5)</v>
          </cell>
        </row>
        <row r="1030">
          <cell r="B1030" t="str">
            <v>B272-400-AS-120-CV-012</v>
          </cell>
          <cell r="E1030" t="str">
            <v>P-127(2/5)</v>
          </cell>
        </row>
        <row r="1031">
          <cell r="B1031" t="str">
            <v>B272-400-AS-120-CV-012</v>
          </cell>
          <cell r="E1031" t="str">
            <v>P-127(3/5)</v>
          </cell>
        </row>
        <row r="1032">
          <cell r="B1032" t="str">
            <v>B272-400-AS-120-CV-012</v>
          </cell>
          <cell r="E1032" t="str">
            <v>P-127(4/5)</v>
          </cell>
        </row>
        <row r="1033">
          <cell r="B1033" t="str">
            <v>B272-400-AS-120-CV-012</v>
          </cell>
          <cell r="E1033" t="str">
            <v>P-127(5/5)</v>
          </cell>
        </row>
        <row r="1034">
          <cell r="B1034" t="str">
            <v>B272-400-AS-120-CV-012</v>
          </cell>
          <cell r="E1034" t="str">
            <v>P-172(1/2)</v>
          </cell>
        </row>
        <row r="1035">
          <cell r="B1035" t="str">
            <v>B272-400-AS-120-CV-012</v>
          </cell>
          <cell r="E1035" t="str">
            <v>P-172(2/2)</v>
          </cell>
        </row>
        <row r="1036">
          <cell r="B1036" t="str">
            <v>B272-400-AS-120-CV-012</v>
          </cell>
          <cell r="E1036" t="str">
            <v>P-192(1/5)</v>
          </cell>
        </row>
        <row r="1037">
          <cell r="B1037" t="str">
            <v>B272-400-AS-120-CV-012</v>
          </cell>
          <cell r="E1037" t="str">
            <v>P-192(2/5)</v>
          </cell>
        </row>
        <row r="1038">
          <cell r="B1038" t="str">
            <v>B272-400-AS-120-CV-012</v>
          </cell>
          <cell r="E1038" t="str">
            <v>P-192(3/5)</v>
          </cell>
        </row>
        <row r="1039">
          <cell r="B1039" t="str">
            <v>B272-400-AS-120-CV-012</v>
          </cell>
          <cell r="E1039" t="str">
            <v>P-192(4/5)</v>
          </cell>
        </row>
        <row r="1040">
          <cell r="B1040" t="str">
            <v>B272-400-AS-120-CV-012</v>
          </cell>
          <cell r="E1040" t="str">
            <v>P-192(5/5)</v>
          </cell>
        </row>
        <row r="1041">
          <cell r="B1041" t="str">
            <v>B272-400-AS-120-CV-012</v>
          </cell>
          <cell r="E1041" t="str">
            <v>P-292(1/2)</v>
          </cell>
        </row>
        <row r="1042">
          <cell r="B1042" t="str">
            <v>B272-400-AS-120-CV-012</v>
          </cell>
          <cell r="E1042" t="str">
            <v>P-292(2/2)</v>
          </cell>
        </row>
        <row r="1043">
          <cell r="B1043" t="str">
            <v>B272-400-AS-120-CV-012</v>
          </cell>
          <cell r="E1043" t="str">
            <v>P-294(1/2)</v>
          </cell>
        </row>
        <row r="1044">
          <cell r="B1044" t="str">
            <v>B272-400-AS-120-CV-012</v>
          </cell>
          <cell r="E1044" t="str">
            <v>P-294(2/2)</v>
          </cell>
        </row>
        <row r="1045">
          <cell r="B1045" t="str">
            <v>B272-400-AS-120-CV-012</v>
          </cell>
          <cell r="E1045" t="str">
            <v>P-310(1/2)</v>
          </cell>
        </row>
        <row r="1046">
          <cell r="B1046" t="str">
            <v>B272-400-AS-120-CV-012</v>
          </cell>
          <cell r="E1046" t="str">
            <v>P-310(2/2)</v>
          </cell>
        </row>
        <row r="1047">
          <cell r="B1047" t="str">
            <v>B272-400-AS-120-CV-012</v>
          </cell>
          <cell r="E1047" t="str">
            <v>P-314(1/2)</v>
          </cell>
        </row>
        <row r="1048">
          <cell r="B1048" t="str">
            <v>B272-400-AS-120-CV-012</v>
          </cell>
          <cell r="E1048" t="str">
            <v>P-314(2/2)</v>
          </cell>
        </row>
        <row r="1049">
          <cell r="B1049" t="str">
            <v>B272-400-AS-120-CV-012</v>
          </cell>
          <cell r="E1049" t="str">
            <v>P-316(1/2)</v>
          </cell>
        </row>
        <row r="1050">
          <cell r="B1050" t="str">
            <v>B272-400-AS-120-CV-012</v>
          </cell>
          <cell r="E1050" t="str">
            <v>P-316(2/2)</v>
          </cell>
        </row>
        <row r="1051">
          <cell r="B1051" t="str">
            <v>B272-400-AS-120-CV-012</v>
          </cell>
          <cell r="E1051" t="str">
            <v>P-322</v>
          </cell>
        </row>
        <row r="1052">
          <cell r="B1052" t="str">
            <v>B272-400-AS-120-CV-012</v>
          </cell>
          <cell r="E1052" t="str">
            <v>P-323</v>
          </cell>
        </row>
        <row r="1053">
          <cell r="B1053" t="str">
            <v>B272-400-AS-120-CV-012</v>
          </cell>
          <cell r="E1053" t="str">
            <v>P-390(1/2)</v>
          </cell>
        </row>
        <row r="1054">
          <cell r="B1054" t="str">
            <v>B272-400-AS-120-CV-012</v>
          </cell>
          <cell r="E1054" t="str">
            <v>P-390(2/2)</v>
          </cell>
        </row>
        <row r="1055">
          <cell r="B1055" t="str">
            <v>B272-400-AS-120-CV-012</v>
          </cell>
          <cell r="E1055" t="str">
            <v>P-391</v>
          </cell>
        </row>
        <row r="1056">
          <cell r="B1056" t="str">
            <v>B272-400-AS-120-CV-012</v>
          </cell>
          <cell r="E1056" t="str">
            <v>P-392</v>
          </cell>
        </row>
        <row r="1057">
          <cell r="B1057" t="str">
            <v>B272-400-AS-120-CV-012</v>
          </cell>
          <cell r="E1057" t="str">
            <v>P-394(1/2)</v>
          </cell>
        </row>
        <row r="1058">
          <cell r="B1058" t="str">
            <v>B272-400-AS-120-CV-012</v>
          </cell>
          <cell r="E1058" t="str">
            <v>P-394(2/2)</v>
          </cell>
        </row>
        <row r="1059">
          <cell r="B1059" t="str">
            <v>B272-400-AS-120-CV-012</v>
          </cell>
          <cell r="E1059" t="str">
            <v>P-410(1/2)</v>
          </cell>
        </row>
        <row r="1060">
          <cell r="B1060" t="str">
            <v>B272-400-AS-120-CV-012</v>
          </cell>
          <cell r="E1060" t="str">
            <v>P-410(2/2)</v>
          </cell>
        </row>
        <row r="1061">
          <cell r="B1061" t="str">
            <v>B272-400-AS-120-CV-012</v>
          </cell>
          <cell r="E1061" t="str">
            <v>P-415(1/2)</v>
          </cell>
        </row>
        <row r="1062">
          <cell r="B1062" t="str">
            <v>B272-400-AS-120-CV-012</v>
          </cell>
          <cell r="E1062" t="str">
            <v>P-415(2/2)</v>
          </cell>
        </row>
        <row r="1063">
          <cell r="B1063" t="str">
            <v>B272-400-AS-120-CV-012</v>
          </cell>
          <cell r="E1063" t="str">
            <v>P-416(1/10)</v>
          </cell>
        </row>
        <row r="1064">
          <cell r="B1064" t="str">
            <v>B272-400-AS-120-CV-012</v>
          </cell>
          <cell r="E1064" t="str">
            <v>P-416(2/10)</v>
          </cell>
        </row>
        <row r="1065">
          <cell r="B1065" t="str">
            <v>B272-400-AS-120-CV-012</v>
          </cell>
          <cell r="E1065" t="str">
            <v>P-416(3/10)</v>
          </cell>
        </row>
        <row r="1066">
          <cell r="B1066" t="str">
            <v>B272-400-AS-120-CV-012</v>
          </cell>
          <cell r="E1066" t="str">
            <v>P-416(4/10)</v>
          </cell>
        </row>
        <row r="1067">
          <cell r="B1067" t="str">
            <v>B272-400-AS-120-CV-012</v>
          </cell>
          <cell r="E1067" t="str">
            <v>P-416(5/10)</v>
          </cell>
        </row>
        <row r="1068">
          <cell r="B1068" t="str">
            <v>B272-400-AS-120-CV-012</v>
          </cell>
          <cell r="E1068" t="str">
            <v>P-416(6/10)</v>
          </cell>
        </row>
        <row r="1069">
          <cell r="B1069" t="str">
            <v>B272-400-AS-120-CV-012</v>
          </cell>
          <cell r="E1069" t="str">
            <v>P-416(7/10)</v>
          </cell>
        </row>
        <row r="1070">
          <cell r="B1070" t="str">
            <v>B272-400-AS-120-CV-012</v>
          </cell>
          <cell r="E1070" t="str">
            <v>P-416(8/10)</v>
          </cell>
        </row>
        <row r="1071">
          <cell r="B1071" t="str">
            <v>B272-400-AS-120-CV-012</v>
          </cell>
          <cell r="E1071" t="str">
            <v>P-416(9/10)</v>
          </cell>
        </row>
        <row r="1072">
          <cell r="B1072" t="str">
            <v>B272-400-AS-120-CV-012</v>
          </cell>
          <cell r="E1072" t="str">
            <v>P-416(10/10)</v>
          </cell>
        </row>
        <row r="1073">
          <cell r="B1073" t="str">
            <v>B272-400-AS-120-CV-012</v>
          </cell>
          <cell r="E1073" t="str">
            <v>P-462(1/12)</v>
          </cell>
        </row>
        <row r="1074">
          <cell r="B1074" t="str">
            <v>B272-400-AS-120-CV-012</v>
          </cell>
          <cell r="E1074" t="str">
            <v>P-462(2/12)</v>
          </cell>
        </row>
        <row r="1075">
          <cell r="B1075" t="str">
            <v>B272-400-AS-120-CV-012</v>
          </cell>
          <cell r="E1075" t="str">
            <v>P-462(3/12)</v>
          </cell>
        </row>
        <row r="1076">
          <cell r="B1076" t="str">
            <v>B272-400-AS-120-CV-012</v>
          </cell>
          <cell r="E1076" t="str">
            <v>P-462(4/12)</v>
          </cell>
        </row>
        <row r="1077">
          <cell r="B1077" t="str">
            <v>B272-400-AS-120-CV-012</v>
          </cell>
          <cell r="E1077" t="str">
            <v>P-462(5/12)</v>
          </cell>
        </row>
        <row r="1078">
          <cell r="B1078" t="str">
            <v>B272-400-AS-120-CV-012</v>
          </cell>
          <cell r="E1078" t="str">
            <v>P-462(6/12)</v>
          </cell>
        </row>
        <row r="1079">
          <cell r="B1079" t="str">
            <v>B272-400-AS-120-CV-012</v>
          </cell>
          <cell r="E1079" t="str">
            <v>P-462(7/12)</v>
          </cell>
        </row>
        <row r="1080">
          <cell r="B1080" t="str">
            <v>B272-400-AS-120-CV-012</v>
          </cell>
          <cell r="E1080" t="str">
            <v>P-462(8/12)</v>
          </cell>
        </row>
        <row r="1081">
          <cell r="B1081" t="str">
            <v>B272-400-AS-120-CV-012</v>
          </cell>
          <cell r="E1081" t="str">
            <v>P-462(9/12)</v>
          </cell>
        </row>
        <row r="1082">
          <cell r="B1082" t="str">
            <v>B272-400-AS-120-CV-012</v>
          </cell>
          <cell r="E1082" t="str">
            <v>P-462(10/12)</v>
          </cell>
        </row>
        <row r="1083">
          <cell r="B1083" t="str">
            <v>B272-400-AS-120-CV-012</v>
          </cell>
          <cell r="E1083" t="str">
            <v>P-462(11/12)</v>
          </cell>
        </row>
        <row r="1084">
          <cell r="B1084" t="str">
            <v>B272-400-AS-120-CV-012</v>
          </cell>
          <cell r="E1084" t="str">
            <v>P-462(12/12)</v>
          </cell>
        </row>
        <row r="1085">
          <cell r="B1085" t="str">
            <v>B272-400-AS-120-CV-012</v>
          </cell>
          <cell r="E1085" t="str">
            <v>P-490(1/4)</v>
          </cell>
        </row>
        <row r="1086">
          <cell r="B1086" t="str">
            <v>B272-400-AS-120-CV-012</v>
          </cell>
          <cell r="E1086" t="str">
            <v>P-490(2/4)</v>
          </cell>
        </row>
        <row r="1087">
          <cell r="B1087" t="str">
            <v>B272-400-AS-120-CV-012</v>
          </cell>
          <cell r="E1087" t="str">
            <v>P-490(3/4)</v>
          </cell>
        </row>
        <row r="1088">
          <cell r="B1088" t="str">
            <v>B272-400-AS-120-CV-012</v>
          </cell>
          <cell r="E1088" t="str">
            <v>P-490(4/4)</v>
          </cell>
        </row>
        <row r="1089">
          <cell r="B1089" t="str">
            <v>B272-400-AS-120-CV-012</v>
          </cell>
          <cell r="E1089" t="str">
            <v>P-492(1/6)</v>
          </cell>
        </row>
        <row r="1090">
          <cell r="B1090" t="str">
            <v>B272-400-AS-120-CV-012</v>
          </cell>
          <cell r="E1090" t="str">
            <v>P-492(2/6)</v>
          </cell>
        </row>
        <row r="1091">
          <cell r="B1091" t="str">
            <v>B272-400-AS-120-CV-012</v>
          </cell>
          <cell r="E1091" t="str">
            <v>P-492(3/6)</v>
          </cell>
        </row>
        <row r="1092">
          <cell r="B1092" t="str">
            <v>B272-400-AS-120-CV-012</v>
          </cell>
          <cell r="E1092" t="str">
            <v>P-492(4/6)</v>
          </cell>
        </row>
        <row r="1093">
          <cell r="B1093" t="str">
            <v>B272-400-AS-120-CV-012</v>
          </cell>
          <cell r="E1093" t="str">
            <v>P-492(5/6)</v>
          </cell>
        </row>
        <row r="1094">
          <cell r="B1094" t="str">
            <v>B272-400-AS-120-CV-012</v>
          </cell>
          <cell r="E1094" t="str">
            <v>P-492(6/6)</v>
          </cell>
        </row>
        <row r="1095">
          <cell r="B1095" t="str">
            <v>B272-400-AS-120-CV-012</v>
          </cell>
          <cell r="E1095" t="str">
            <v>P-569(1/6)</v>
          </cell>
        </row>
        <row r="1096">
          <cell r="B1096" t="str">
            <v>B272-400-AS-120-CV-012</v>
          </cell>
          <cell r="E1096" t="str">
            <v>P-569(2/6)</v>
          </cell>
        </row>
        <row r="1097">
          <cell r="B1097" t="str">
            <v>B272-400-AS-120-CV-012</v>
          </cell>
          <cell r="E1097" t="str">
            <v>P-569(3/6)</v>
          </cell>
        </row>
        <row r="1098">
          <cell r="B1098" t="str">
            <v>B272-400-AS-120-CV-012</v>
          </cell>
          <cell r="E1098" t="str">
            <v>P-569(4/6)</v>
          </cell>
        </row>
        <row r="1099">
          <cell r="B1099" t="str">
            <v>B272-400-AS-120-CV-012</v>
          </cell>
          <cell r="E1099" t="str">
            <v>P-569(5/6)</v>
          </cell>
        </row>
        <row r="1100">
          <cell r="B1100" t="str">
            <v>B272-400-AS-120-CV-012</v>
          </cell>
          <cell r="E1100" t="str">
            <v>P-569(6/6)</v>
          </cell>
        </row>
        <row r="1101">
          <cell r="B1101" t="str">
            <v>B272-400-AS-120-CV-012</v>
          </cell>
          <cell r="E1101" t="str">
            <v>P-583(1/2)</v>
          </cell>
        </row>
        <row r="1102">
          <cell r="B1102" t="str">
            <v>B272-400-AS-120-CV-012</v>
          </cell>
          <cell r="E1102" t="str">
            <v>P-583(2/2)</v>
          </cell>
        </row>
        <row r="1103">
          <cell r="B1103" t="str">
            <v>B272-400-AS-120-CV-012</v>
          </cell>
          <cell r="E1103" t="str">
            <v>P-628(1/2)</v>
          </cell>
        </row>
        <row r="1104">
          <cell r="B1104" t="str">
            <v>B272-400-AS-120-CV-012</v>
          </cell>
          <cell r="E1104" t="str">
            <v>P-628(2/2)</v>
          </cell>
        </row>
        <row r="1105">
          <cell r="B1105" t="str">
            <v>B272-400-AS-120-CV-012</v>
          </cell>
          <cell r="E1105" t="str">
            <v>P-764</v>
          </cell>
        </row>
        <row r="1106">
          <cell r="B1106" t="str">
            <v>B272-400-AS-120-CV-012</v>
          </cell>
          <cell r="E1106" t="str">
            <v>P-765(1/4)</v>
          </cell>
        </row>
        <row r="1107">
          <cell r="B1107" t="str">
            <v>B272-400-AS-120-CV-012</v>
          </cell>
          <cell r="E1107" t="str">
            <v>P-765(2/4)</v>
          </cell>
        </row>
        <row r="1108">
          <cell r="B1108" t="str">
            <v>B272-400-AS-120-CV-012</v>
          </cell>
          <cell r="E1108" t="str">
            <v>P-765(3/4)</v>
          </cell>
        </row>
        <row r="1109">
          <cell r="B1109" t="str">
            <v>B272-400-AS-120-CV-012</v>
          </cell>
          <cell r="E1109" t="str">
            <v>P-765(4/4)</v>
          </cell>
        </row>
        <row r="1110">
          <cell r="B1110" t="str">
            <v>B272-400-AS-120-CV-012</v>
          </cell>
          <cell r="E1110" t="str">
            <v>P-766(1/4)</v>
          </cell>
        </row>
        <row r="1111">
          <cell r="B1111" t="str">
            <v>B272-400-AS-120-CV-012</v>
          </cell>
          <cell r="E1111" t="str">
            <v>P-766(2/4)</v>
          </cell>
        </row>
        <row r="1112">
          <cell r="B1112" t="str">
            <v>B272-400-AS-120-CV-012</v>
          </cell>
          <cell r="E1112" t="str">
            <v>P-766(3/4)</v>
          </cell>
        </row>
        <row r="1113">
          <cell r="B1113" t="str">
            <v>B272-400-AS-120-CV-012</v>
          </cell>
          <cell r="E1113" t="str">
            <v>P-766(4/4)</v>
          </cell>
        </row>
        <row r="1114">
          <cell r="B1114" t="str">
            <v>B272-400-AS-120-CV-012</v>
          </cell>
          <cell r="E1114" t="str">
            <v>P-768(1/14)</v>
          </cell>
        </row>
        <row r="1115">
          <cell r="B1115" t="str">
            <v>B272-400-AS-120-CV-012</v>
          </cell>
          <cell r="E1115" t="str">
            <v>P-768(2/14)</v>
          </cell>
        </row>
        <row r="1116">
          <cell r="B1116" t="str">
            <v>B272-400-AS-120-CV-012</v>
          </cell>
          <cell r="E1116" t="str">
            <v>P-768(3/14)</v>
          </cell>
        </row>
        <row r="1117">
          <cell r="B1117" t="str">
            <v>B272-400-AS-120-CV-012</v>
          </cell>
          <cell r="E1117" t="str">
            <v>P-768(4/14)</v>
          </cell>
        </row>
        <row r="1118">
          <cell r="B1118" t="str">
            <v>B272-400-AS-120-CV-012</v>
          </cell>
          <cell r="E1118" t="str">
            <v>P-768(5/14)</v>
          </cell>
        </row>
        <row r="1119">
          <cell r="B1119" t="str">
            <v>B272-400-AS-120-CV-012</v>
          </cell>
          <cell r="E1119" t="str">
            <v>P-768(6/14)</v>
          </cell>
        </row>
        <row r="1120">
          <cell r="B1120" t="str">
            <v>B272-400-AS-120-CV-012</v>
          </cell>
          <cell r="E1120" t="str">
            <v>P-768(7/14)</v>
          </cell>
        </row>
        <row r="1121">
          <cell r="B1121" t="str">
            <v>B272-400-AS-120-CV-012</v>
          </cell>
          <cell r="E1121" t="str">
            <v>P-768(8/14)</v>
          </cell>
        </row>
        <row r="1122">
          <cell r="B1122" t="str">
            <v>B272-400-AS-120-CV-012</v>
          </cell>
          <cell r="E1122" t="str">
            <v>P-768(9/14)</v>
          </cell>
        </row>
        <row r="1123">
          <cell r="B1123" t="str">
            <v>B272-400-AS-120-CV-012</v>
          </cell>
          <cell r="E1123" t="str">
            <v>P-768(10/14)</v>
          </cell>
        </row>
        <row r="1124">
          <cell r="B1124" t="str">
            <v>B272-400-AS-120-CV-012</v>
          </cell>
          <cell r="E1124" t="str">
            <v>P-768(11/14)</v>
          </cell>
        </row>
        <row r="1125">
          <cell r="B1125" t="str">
            <v>B272-400-AS-120-CV-012</v>
          </cell>
          <cell r="E1125" t="str">
            <v>P-768(12/14)</v>
          </cell>
        </row>
        <row r="1126">
          <cell r="B1126" t="str">
            <v>B272-400-AS-120-CV-012</v>
          </cell>
          <cell r="E1126" t="str">
            <v>P-768(13/14)</v>
          </cell>
        </row>
        <row r="1127">
          <cell r="B1127" t="str">
            <v>B272-400-AS-120-CV-012</v>
          </cell>
          <cell r="E1127" t="str">
            <v>P-768(14/14)</v>
          </cell>
        </row>
        <row r="1128">
          <cell r="B1128" t="str">
            <v>B272-400-AS-120-CV-012</v>
          </cell>
          <cell r="E1128" t="str">
            <v>P-872(1/45)</v>
          </cell>
        </row>
        <row r="1129">
          <cell r="B1129" t="str">
            <v>B272-400-AS-120-CV-012</v>
          </cell>
          <cell r="E1129" t="str">
            <v>P-872(2/45)</v>
          </cell>
        </row>
        <row r="1130">
          <cell r="B1130" t="str">
            <v>B272-400-AS-120-CV-012</v>
          </cell>
          <cell r="E1130" t="str">
            <v>P-872(3/45)</v>
          </cell>
        </row>
        <row r="1131">
          <cell r="B1131" t="str">
            <v>B272-400-AS-120-CV-012</v>
          </cell>
          <cell r="E1131" t="str">
            <v>P-872(4/45)</v>
          </cell>
        </row>
        <row r="1132">
          <cell r="B1132" t="str">
            <v>B272-400-AS-120-CV-012</v>
          </cell>
          <cell r="E1132" t="str">
            <v>P-872(5/45)</v>
          </cell>
        </row>
        <row r="1133">
          <cell r="B1133" t="str">
            <v>B272-400-AS-120-CV-012</v>
          </cell>
          <cell r="E1133" t="str">
            <v>P-872(6/45)</v>
          </cell>
        </row>
        <row r="1134">
          <cell r="B1134" t="str">
            <v>B272-400-AS-120-CV-012</v>
          </cell>
          <cell r="E1134" t="str">
            <v>P-872(7/45)</v>
          </cell>
        </row>
        <row r="1135">
          <cell r="B1135" t="str">
            <v>B272-400-AS-120-CV-012</v>
          </cell>
          <cell r="E1135" t="str">
            <v>P-872(8/45)</v>
          </cell>
        </row>
        <row r="1136">
          <cell r="B1136" t="str">
            <v>B272-400-AS-120-CV-012</v>
          </cell>
          <cell r="E1136" t="str">
            <v>P-872(9/45)</v>
          </cell>
        </row>
        <row r="1137">
          <cell r="B1137" t="str">
            <v>B272-400-AS-120-CV-012</v>
          </cell>
          <cell r="E1137" t="str">
            <v>P-872(10/45)</v>
          </cell>
        </row>
        <row r="1138">
          <cell r="B1138" t="str">
            <v>B272-400-AS-120-CV-012</v>
          </cell>
          <cell r="E1138" t="str">
            <v>P-872(11/45)</v>
          </cell>
        </row>
        <row r="1139">
          <cell r="B1139" t="str">
            <v>B272-400-AS-120-CV-012</v>
          </cell>
          <cell r="E1139" t="str">
            <v>P-872(12/45)</v>
          </cell>
        </row>
        <row r="1140">
          <cell r="B1140" t="str">
            <v>B272-400-AS-120-CV-012</v>
          </cell>
          <cell r="E1140" t="str">
            <v>P-872(13/45)</v>
          </cell>
        </row>
        <row r="1141">
          <cell r="B1141" t="str">
            <v>B272-400-AS-120-CV-012</v>
          </cell>
          <cell r="E1141" t="str">
            <v>P-872(14/45)</v>
          </cell>
        </row>
        <row r="1142">
          <cell r="B1142" t="str">
            <v>B272-400-AS-120-CV-012</v>
          </cell>
          <cell r="E1142" t="str">
            <v>P-872(15/45)</v>
          </cell>
        </row>
        <row r="1143">
          <cell r="B1143" t="str">
            <v>B272-400-AS-120-CV-012</v>
          </cell>
          <cell r="E1143" t="str">
            <v>P-872(16/45)</v>
          </cell>
        </row>
        <row r="1144">
          <cell r="B1144" t="str">
            <v>B272-400-AS-120-CV-012</v>
          </cell>
          <cell r="E1144" t="str">
            <v>P-872(17/45)</v>
          </cell>
        </row>
        <row r="1145">
          <cell r="B1145" t="str">
            <v>B272-400-AS-120-CV-012</v>
          </cell>
          <cell r="E1145" t="str">
            <v>P-872(18/45)</v>
          </cell>
        </row>
        <row r="1146">
          <cell r="B1146" t="str">
            <v>B272-400-AS-120-CV-012</v>
          </cell>
          <cell r="E1146" t="str">
            <v>P-872(19/45)</v>
          </cell>
        </row>
        <row r="1147">
          <cell r="B1147" t="str">
            <v>B272-400-AS-120-CV-012</v>
          </cell>
          <cell r="E1147" t="str">
            <v>P-872(20/45)</v>
          </cell>
        </row>
        <row r="1148">
          <cell r="B1148" t="str">
            <v>B272-400-AS-120-CV-012</v>
          </cell>
          <cell r="E1148" t="str">
            <v>P-872(21/45)</v>
          </cell>
        </row>
        <row r="1149">
          <cell r="B1149" t="str">
            <v>B272-400-AS-120-CV-012</v>
          </cell>
          <cell r="E1149" t="str">
            <v>P-872(22/45)</v>
          </cell>
        </row>
        <row r="1150">
          <cell r="B1150" t="str">
            <v>B272-400-AS-120-CV-012</v>
          </cell>
          <cell r="E1150" t="str">
            <v>P-872(23/45)</v>
          </cell>
        </row>
        <row r="1151">
          <cell r="B1151" t="str">
            <v>B272-400-AS-120-CV-012</v>
          </cell>
          <cell r="E1151" t="str">
            <v>P-872(24/45)</v>
          </cell>
        </row>
        <row r="1152">
          <cell r="B1152" t="str">
            <v>B272-400-AS-120-CV-012</v>
          </cell>
          <cell r="E1152" t="str">
            <v>P-872(25/45)</v>
          </cell>
        </row>
        <row r="1153">
          <cell r="B1153" t="str">
            <v>B272-400-AS-120-CV-012</v>
          </cell>
          <cell r="E1153" t="str">
            <v>P-872(26/45)</v>
          </cell>
        </row>
        <row r="1154">
          <cell r="B1154" t="str">
            <v>B272-400-AS-120-CV-012</v>
          </cell>
          <cell r="E1154" t="str">
            <v>P-872(27/45)</v>
          </cell>
        </row>
        <row r="1155">
          <cell r="B1155" t="str">
            <v>B272-400-AS-120-CV-012</v>
          </cell>
          <cell r="E1155" t="str">
            <v>P-872(28/45)</v>
          </cell>
        </row>
        <row r="1156">
          <cell r="B1156" t="str">
            <v>B272-400-AS-120-CV-012</v>
          </cell>
          <cell r="E1156" t="str">
            <v>P-872(29/45)</v>
          </cell>
        </row>
        <row r="1157">
          <cell r="B1157" t="str">
            <v>B272-400-AS-120-CV-012</v>
          </cell>
          <cell r="E1157" t="str">
            <v>P-872(30/45)</v>
          </cell>
        </row>
        <row r="1158">
          <cell r="B1158" t="str">
            <v>B272-400-AS-120-CV-012</v>
          </cell>
          <cell r="E1158" t="str">
            <v>P-872(31/45)</v>
          </cell>
        </row>
        <row r="1159">
          <cell r="B1159" t="str">
            <v>B272-400-AS-120-CV-012</v>
          </cell>
          <cell r="E1159" t="str">
            <v>P-872(32/45)</v>
          </cell>
        </row>
        <row r="1160">
          <cell r="B1160" t="str">
            <v>B272-400-AS-120-CV-012</v>
          </cell>
          <cell r="E1160" t="str">
            <v>P-872(33/45)</v>
          </cell>
        </row>
        <row r="1161">
          <cell r="B1161" t="str">
            <v>B272-400-AS-120-CV-012</v>
          </cell>
          <cell r="E1161" t="str">
            <v>P-872(34/45)</v>
          </cell>
        </row>
        <row r="1162">
          <cell r="B1162" t="str">
            <v>B272-400-AS-120-CV-012</v>
          </cell>
          <cell r="E1162" t="str">
            <v>P-872(35/45)</v>
          </cell>
        </row>
        <row r="1163">
          <cell r="B1163" t="str">
            <v>B272-400-AS-120-CV-012</v>
          </cell>
          <cell r="E1163" t="str">
            <v>P-872(36/45)</v>
          </cell>
        </row>
        <row r="1164">
          <cell r="B1164" t="str">
            <v>B272-400-AS-120-CV-012</v>
          </cell>
          <cell r="E1164" t="str">
            <v>P-872(37/45)</v>
          </cell>
        </row>
        <row r="1165">
          <cell r="B1165" t="str">
            <v>B272-400-AS-120-CV-012</v>
          </cell>
          <cell r="E1165" t="str">
            <v>P-872(38/45)</v>
          </cell>
        </row>
        <row r="1166">
          <cell r="B1166" t="str">
            <v>B272-400-AS-120-CV-012</v>
          </cell>
          <cell r="E1166" t="str">
            <v>P-872(39/45)</v>
          </cell>
        </row>
        <row r="1167">
          <cell r="B1167" t="str">
            <v>B272-400-AS-120-CV-012</v>
          </cell>
          <cell r="E1167" t="str">
            <v>P-872(40/45)</v>
          </cell>
        </row>
        <row r="1168">
          <cell r="B1168" t="str">
            <v>B272-400-AS-120-CV-012</v>
          </cell>
          <cell r="E1168" t="str">
            <v>P-872(41/45)</v>
          </cell>
        </row>
        <row r="1169">
          <cell r="B1169" t="str">
            <v>B272-400-AS-120-CV-012</v>
          </cell>
          <cell r="E1169" t="str">
            <v>P-872(42/45)</v>
          </cell>
        </row>
        <row r="1170">
          <cell r="B1170" t="str">
            <v>B272-400-AS-120-CV-012</v>
          </cell>
          <cell r="E1170" t="str">
            <v>P-872(43/45)</v>
          </cell>
        </row>
        <row r="1171">
          <cell r="B1171" t="str">
            <v>B272-400-AS-120-CV-012</v>
          </cell>
          <cell r="E1171" t="str">
            <v>P-872(44/45)</v>
          </cell>
        </row>
        <row r="1172">
          <cell r="B1172" t="str">
            <v>B272-400-AS-120-CV-012</v>
          </cell>
          <cell r="E1172" t="str">
            <v>P-872(45/45)</v>
          </cell>
        </row>
        <row r="1173">
          <cell r="B1173" t="str">
            <v>B272-400-AS-120-CV-012</v>
          </cell>
          <cell r="E1173" t="str">
            <v>P-875(1/7)</v>
          </cell>
        </row>
        <row r="1174">
          <cell r="B1174" t="str">
            <v>B272-400-AS-120-CV-012</v>
          </cell>
          <cell r="E1174" t="str">
            <v>P-875(2/7)</v>
          </cell>
        </row>
        <row r="1175">
          <cell r="B1175" t="str">
            <v>B272-400-AS-120-CV-012</v>
          </cell>
          <cell r="E1175" t="str">
            <v>P-875(3/7)</v>
          </cell>
        </row>
        <row r="1176">
          <cell r="B1176" t="str">
            <v>B272-400-AS-120-CV-012</v>
          </cell>
          <cell r="E1176" t="str">
            <v>P-875(4/7)</v>
          </cell>
        </row>
        <row r="1177">
          <cell r="B1177" t="str">
            <v>B272-400-AS-120-CV-012</v>
          </cell>
          <cell r="E1177" t="str">
            <v>P-875(5/7)</v>
          </cell>
        </row>
        <row r="1178">
          <cell r="B1178" t="str">
            <v>B272-400-AS-120-CV-012</v>
          </cell>
          <cell r="E1178" t="str">
            <v>P-875(6/7)</v>
          </cell>
        </row>
        <row r="1179">
          <cell r="B1179" t="str">
            <v>B272-400-AS-120-CV-012</v>
          </cell>
          <cell r="E1179" t="str">
            <v>P-875(7/7)</v>
          </cell>
        </row>
        <row r="1180">
          <cell r="B1180" t="str">
            <v>B272-400-AS-120-CV-012</v>
          </cell>
          <cell r="E1180" t="str">
            <v>P-879(1/5)</v>
          </cell>
        </row>
        <row r="1181">
          <cell r="B1181" t="str">
            <v>B272-400-AS-120-CV-012</v>
          </cell>
          <cell r="E1181" t="str">
            <v>P-879(2/5)</v>
          </cell>
        </row>
        <row r="1182">
          <cell r="B1182" t="str">
            <v>B272-400-AS-120-CV-012</v>
          </cell>
          <cell r="E1182" t="str">
            <v>P-879(3/5)</v>
          </cell>
        </row>
        <row r="1183">
          <cell r="B1183" t="str">
            <v>B272-400-AS-120-CV-012</v>
          </cell>
          <cell r="E1183" t="str">
            <v>P-879(4/5)</v>
          </cell>
        </row>
        <row r="1184">
          <cell r="B1184" t="str">
            <v>B272-400-AS-120-CV-012</v>
          </cell>
          <cell r="E1184" t="str">
            <v>P-879(5/5)</v>
          </cell>
        </row>
        <row r="1185">
          <cell r="B1185" t="str">
            <v>B272-400-AS-120-CV-012</v>
          </cell>
          <cell r="E1185" t="str">
            <v>P-880(1/10)</v>
          </cell>
        </row>
        <row r="1186">
          <cell r="B1186" t="str">
            <v>B272-400-AS-120-CV-012</v>
          </cell>
          <cell r="E1186" t="str">
            <v>P-880(2/10)</v>
          </cell>
        </row>
        <row r="1187">
          <cell r="B1187" t="str">
            <v>B272-400-AS-120-CV-012</v>
          </cell>
          <cell r="E1187" t="str">
            <v>P-880(3/10)</v>
          </cell>
        </row>
        <row r="1188">
          <cell r="B1188" t="str">
            <v>B272-400-AS-120-CV-012</v>
          </cell>
          <cell r="E1188" t="str">
            <v>P-880(4/10)</v>
          </cell>
        </row>
        <row r="1189">
          <cell r="B1189" t="str">
            <v>B272-400-AS-120-CV-012</v>
          </cell>
          <cell r="E1189" t="str">
            <v>P-880(5/10)</v>
          </cell>
        </row>
        <row r="1190">
          <cell r="B1190" t="str">
            <v>B272-400-AS-120-CV-012</v>
          </cell>
          <cell r="E1190" t="str">
            <v>P-880(6/10)</v>
          </cell>
        </row>
        <row r="1191">
          <cell r="B1191" t="str">
            <v>B272-400-AS-120-CV-012</v>
          </cell>
          <cell r="E1191" t="str">
            <v>P-880(7/10)</v>
          </cell>
        </row>
        <row r="1192">
          <cell r="B1192" t="str">
            <v>B272-400-AS-120-CV-012</v>
          </cell>
          <cell r="E1192" t="str">
            <v>P-880(8/10)</v>
          </cell>
        </row>
        <row r="1193">
          <cell r="B1193" t="str">
            <v>B272-400-AS-120-CV-012</v>
          </cell>
          <cell r="E1193" t="str">
            <v>P-880(9/10)</v>
          </cell>
        </row>
        <row r="1194">
          <cell r="B1194" t="str">
            <v>B272-400-AS-120-CV-012</v>
          </cell>
          <cell r="E1194" t="str">
            <v>P-880(10/10)</v>
          </cell>
        </row>
        <row r="1195">
          <cell r="B1195" t="str">
            <v>B272-400-AS-120-CV-012</v>
          </cell>
          <cell r="E1195" t="str">
            <v>P-892(1/10)</v>
          </cell>
        </row>
        <row r="1196">
          <cell r="B1196" t="str">
            <v>B272-400-AS-120-CV-012</v>
          </cell>
          <cell r="E1196" t="str">
            <v>P-892(2/10)</v>
          </cell>
        </row>
        <row r="1197">
          <cell r="B1197" t="str">
            <v>B272-400-AS-120-CV-012</v>
          </cell>
          <cell r="E1197" t="str">
            <v>P-892(3/10)</v>
          </cell>
        </row>
        <row r="1198">
          <cell r="B1198" t="str">
            <v>B272-400-AS-120-CV-012</v>
          </cell>
          <cell r="E1198" t="str">
            <v>P-892(4/10)</v>
          </cell>
        </row>
        <row r="1199">
          <cell r="B1199" t="str">
            <v>B272-400-AS-120-CV-012</v>
          </cell>
          <cell r="E1199" t="str">
            <v>P-892(5/10)</v>
          </cell>
        </row>
        <row r="1200">
          <cell r="B1200" t="str">
            <v>B272-400-AS-120-CV-012</v>
          </cell>
          <cell r="E1200" t="str">
            <v>P-892(6/10)</v>
          </cell>
        </row>
        <row r="1201">
          <cell r="B1201" t="str">
            <v>B272-400-AS-120-CV-012</v>
          </cell>
          <cell r="E1201" t="str">
            <v>P-892(7/10)</v>
          </cell>
        </row>
        <row r="1202">
          <cell r="B1202" t="str">
            <v>B272-400-AS-120-CV-012</v>
          </cell>
          <cell r="E1202" t="str">
            <v>P-892(8/10)</v>
          </cell>
        </row>
        <row r="1203">
          <cell r="B1203" t="str">
            <v>B272-400-AS-120-CV-012</v>
          </cell>
          <cell r="E1203" t="str">
            <v>P-892(9/10)</v>
          </cell>
        </row>
        <row r="1204">
          <cell r="B1204" t="str">
            <v>B272-400-AS-120-CV-012</v>
          </cell>
          <cell r="E1204" t="str">
            <v>P-892(10/10)</v>
          </cell>
        </row>
        <row r="1205">
          <cell r="B1205" t="str">
            <v>B272-400-AS-120-CV-012</v>
          </cell>
          <cell r="E1205" t="str">
            <v>P-928(1/4)</v>
          </cell>
        </row>
        <row r="1206">
          <cell r="B1206" t="str">
            <v>B272-400-AS-120-CV-012</v>
          </cell>
          <cell r="E1206" t="str">
            <v>P-928(2/4)</v>
          </cell>
        </row>
        <row r="1207">
          <cell r="B1207" t="str">
            <v>B272-400-AS-120-CV-012</v>
          </cell>
          <cell r="E1207" t="str">
            <v>P-928(3/4)</v>
          </cell>
        </row>
        <row r="1208">
          <cell r="B1208" t="str">
            <v>B272-400-AS-120-CV-012</v>
          </cell>
          <cell r="E1208" t="str">
            <v>P-928(4/4)</v>
          </cell>
        </row>
        <row r="1209">
          <cell r="B1209" t="str">
            <v>B272-400-AS-120-CV-012</v>
          </cell>
          <cell r="E1209" t="str">
            <v>P-931(1/2)</v>
          </cell>
        </row>
        <row r="1210">
          <cell r="B1210" t="str">
            <v>B272-400-AS-120-CV-012</v>
          </cell>
          <cell r="E1210" t="str">
            <v>P-931(2/2)</v>
          </cell>
        </row>
        <row r="1211">
          <cell r="B1211" t="str">
            <v>B272-400-AS-120-CV-012</v>
          </cell>
          <cell r="E1211" t="str">
            <v>P-932(1/3)</v>
          </cell>
        </row>
        <row r="1212">
          <cell r="B1212" t="str">
            <v>B272-400-AS-120-CV-012</v>
          </cell>
          <cell r="E1212" t="str">
            <v>P-932(2/3)</v>
          </cell>
        </row>
        <row r="1213">
          <cell r="B1213" t="str">
            <v>B272-400-AS-120-CV-012</v>
          </cell>
          <cell r="E1213" t="str">
            <v>P-932(3/3)</v>
          </cell>
        </row>
        <row r="1214">
          <cell r="B1214" t="str">
            <v>B272-400-AS-120-CV-012</v>
          </cell>
          <cell r="E1214" t="str">
            <v>P-933(1/12)</v>
          </cell>
        </row>
        <row r="1215">
          <cell r="B1215" t="str">
            <v>B272-400-AS-120-CV-012</v>
          </cell>
          <cell r="E1215" t="str">
            <v>P-933(2/12)</v>
          </cell>
        </row>
        <row r="1216">
          <cell r="B1216" t="str">
            <v>B272-400-AS-120-CV-012</v>
          </cell>
          <cell r="E1216" t="str">
            <v>P-933(3/12)</v>
          </cell>
        </row>
        <row r="1217">
          <cell r="B1217" t="str">
            <v>B272-400-AS-120-CV-012</v>
          </cell>
          <cell r="E1217" t="str">
            <v>P-933(4/12)</v>
          </cell>
        </row>
        <row r="1218">
          <cell r="B1218" t="str">
            <v>B272-400-AS-120-CV-012</v>
          </cell>
          <cell r="E1218" t="str">
            <v>P-933(5/12)</v>
          </cell>
        </row>
        <row r="1219">
          <cell r="B1219" t="str">
            <v>B272-400-AS-120-CV-012</v>
          </cell>
          <cell r="E1219" t="str">
            <v>P-933(6/12)</v>
          </cell>
        </row>
        <row r="1220">
          <cell r="B1220" t="str">
            <v>B272-400-AS-120-CV-012</v>
          </cell>
          <cell r="E1220" t="str">
            <v>P-933(7/12)</v>
          </cell>
        </row>
        <row r="1221">
          <cell r="B1221" t="str">
            <v>B272-400-AS-120-CV-012</v>
          </cell>
          <cell r="E1221" t="str">
            <v>P-933(8/12)</v>
          </cell>
        </row>
        <row r="1222">
          <cell r="B1222" t="str">
            <v>B272-400-AS-120-CV-012</v>
          </cell>
          <cell r="E1222" t="str">
            <v>P-933(9/12)</v>
          </cell>
        </row>
        <row r="1223">
          <cell r="B1223" t="str">
            <v>B272-400-AS-120-CV-012</v>
          </cell>
          <cell r="E1223" t="str">
            <v>P-933(10/12)</v>
          </cell>
        </row>
        <row r="1224">
          <cell r="B1224" t="str">
            <v>B272-400-AS-120-CV-012</v>
          </cell>
          <cell r="E1224" t="str">
            <v>P-933(11/12)</v>
          </cell>
        </row>
        <row r="1225">
          <cell r="B1225" t="str">
            <v>B272-400-AS-120-CV-012</v>
          </cell>
          <cell r="E1225" t="str">
            <v>P-933(12/12)</v>
          </cell>
        </row>
        <row r="1226">
          <cell r="B1226" t="str">
            <v>B272-400-AS-120-CV-012</v>
          </cell>
          <cell r="E1226" t="str">
            <v>P-934(1/2)</v>
          </cell>
        </row>
        <row r="1227">
          <cell r="B1227" t="str">
            <v>B272-400-AS-120-CV-012</v>
          </cell>
          <cell r="E1227" t="str">
            <v>P-934(2/2)</v>
          </cell>
        </row>
        <row r="1228">
          <cell r="B1228" t="str">
            <v>B272-400-AS-120-CV-012</v>
          </cell>
          <cell r="E1228" t="str">
            <v>P-935</v>
          </cell>
        </row>
        <row r="1229">
          <cell r="B1229" t="str">
            <v>B272-400-AS-120-CV-012</v>
          </cell>
          <cell r="E1229" t="str">
            <v>P-936(1/6)</v>
          </cell>
        </row>
        <row r="1230">
          <cell r="B1230" t="str">
            <v>B272-400-AS-120-CV-012</v>
          </cell>
          <cell r="E1230" t="str">
            <v>P-936(2/6)</v>
          </cell>
        </row>
        <row r="1231">
          <cell r="B1231" t="str">
            <v>B272-400-AS-120-CV-012</v>
          </cell>
          <cell r="E1231" t="str">
            <v>P-936(3/6)</v>
          </cell>
        </row>
        <row r="1232">
          <cell r="B1232" t="str">
            <v>B272-400-AS-120-CV-012</v>
          </cell>
          <cell r="E1232" t="str">
            <v>P-936(4/6)</v>
          </cell>
        </row>
        <row r="1233">
          <cell r="B1233" t="str">
            <v>B272-400-AS-120-CV-012</v>
          </cell>
          <cell r="E1233" t="str">
            <v>P-936(5/6)</v>
          </cell>
        </row>
        <row r="1234">
          <cell r="B1234" t="str">
            <v>B272-400-AS-120-CV-012</v>
          </cell>
          <cell r="E1234" t="str">
            <v>P-936(6/6)</v>
          </cell>
        </row>
        <row r="1235">
          <cell r="B1235" t="str">
            <v>B272-400-AS-120-CV-012</v>
          </cell>
          <cell r="E1235" t="str">
            <v>P-937(1/2)</v>
          </cell>
        </row>
        <row r="1236">
          <cell r="B1236" t="str">
            <v>B272-400-AS-120-CV-012</v>
          </cell>
          <cell r="E1236" t="str">
            <v>P-937(2/2)</v>
          </cell>
        </row>
        <row r="1237">
          <cell r="B1237" t="str">
            <v>B272-400-AS-120-CV-012</v>
          </cell>
          <cell r="E1237" t="str">
            <v>P-938(1/5)</v>
          </cell>
        </row>
        <row r="1238">
          <cell r="B1238" t="str">
            <v>B272-400-AS-120-CV-012</v>
          </cell>
          <cell r="E1238" t="str">
            <v>P-938(2/5)</v>
          </cell>
        </row>
        <row r="1239">
          <cell r="B1239" t="str">
            <v>B272-400-AS-120-CV-012</v>
          </cell>
          <cell r="E1239" t="str">
            <v>P-938(3/5)</v>
          </cell>
        </row>
        <row r="1240">
          <cell r="B1240" t="str">
            <v>B272-400-AS-120-CV-012</v>
          </cell>
          <cell r="E1240" t="str">
            <v>P-938(4/5)</v>
          </cell>
        </row>
        <row r="1241">
          <cell r="B1241" t="str">
            <v>B272-400-AS-120-CV-012</v>
          </cell>
          <cell r="E1241" t="str">
            <v>P-938(5/5)</v>
          </cell>
        </row>
        <row r="1242">
          <cell r="B1242" t="str">
            <v>B272-400-AS-120-CV-012</v>
          </cell>
          <cell r="E1242" t="str">
            <v>P-940(1/5)</v>
          </cell>
        </row>
        <row r="1243">
          <cell r="B1243" t="str">
            <v>B272-400-AS-120-CV-012</v>
          </cell>
          <cell r="E1243" t="str">
            <v>P-940(2/5)</v>
          </cell>
        </row>
        <row r="1244">
          <cell r="B1244" t="str">
            <v>B272-400-AS-120-CV-012</v>
          </cell>
          <cell r="E1244" t="str">
            <v>P-940(3/5)</v>
          </cell>
        </row>
        <row r="1245">
          <cell r="B1245" t="str">
            <v>B272-400-AS-120-CV-012</v>
          </cell>
          <cell r="E1245" t="str">
            <v>P-940(4/5)</v>
          </cell>
        </row>
        <row r="1246">
          <cell r="B1246" t="str">
            <v>B272-400-AS-120-CV-012</v>
          </cell>
          <cell r="E1246" t="str">
            <v>P-940(5/5)</v>
          </cell>
        </row>
        <row r="1247">
          <cell r="B1247" t="str">
            <v>B272-400-AS-120-CV-012</v>
          </cell>
          <cell r="E1247" t="str">
            <v>P-941(1/2)</v>
          </cell>
        </row>
        <row r="1248">
          <cell r="B1248" t="str">
            <v>B272-400-AS-120-CV-012</v>
          </cell>
          <cell r="E1248" t="str">
            <v>P-941(2/2)</v>
          </cell>
        </row>
        <row r="1249">
          <cell r="B1249" t="str">
            <v>B272-400-AS-120-CV-012</v>
          </cell>
          <cell r="E1249" t="str">
            <v>P-952(1/4)</v>
          </cell>
        </row>
        <row r="1250">
          <cell r="B1250" t="str">
            <v>B272-400-AS-120-CV-012</v>
          </cell>
          <cell r="E1250" t="str">
            <v>P-952(2/4)</v>
          </cell>
        </row>
        <row r="1251">
          <cell r="B1251" t="str">
            <v>B272-400-AS-120-CV-012</v>
          </cell>
          <cell r="E1251" t="str">
            <v>P-952(3/4)</v>
          </cell>
        </row>
        <row r="1252">
          <cell r="B1252" t="str">
            <v>B272-400-AS-120-CV-012</v>
          </cell>
          <cell r="E1252" t="str">
            <v>P-952(4/4)</v>
          </cell>
        </row>
        <row r="1253">
          <cell r="B1253" t="str">
            <v>B272-400-AS-120-CV-012</v>
          </cell>
          <cell r="E1253" t="str">
            <v>P-953(1/4)</v>
          </cell>
        </row>
        <row r="1254">
          <cell r="B1254" t="str">
            <v>B272-400-AS-120-CV-012</v>
          </cell>
          <cell r="E1254" t="str">
            <v>P-953(2/4)</v>
          </cell>
        </row>
        <row r="1255">
          <cell r="B1255" t="str">
            <v>B272-400-AS-120-CV-012</v>
          </cell>
          <cell r="E1255" t="str">
            <v>P-953(3/4)</v>
          </cell>
        </row>
        <row r="1256">
          <cell r="B1256" t="str">
            <v>B272-400-AS-120-CV-012</v>
          </cell>
          <cell r="E1256" t="str">
            <v>P-953(4/4)</v>
          </cell>
        </row>
        <row r="1257">
          <cell r="B1257" t="str">
            <v>B272-400-AS-120-CV-012</v>
          </cell>
          <cell r="E1257" t="str">
            <v>P-954(1/4)</v>
          </cell>
        </row>
        <row r="1258">
          <cell r="B1258" t="str">
            <v>B272-400-AS-120-CV-012</v>
          </cell>
          <cell r="E1258" t="str">
            <v>P-954(2/4)</v>
          </cell>
        </row>
        <row r="1259">
          <cell r="B1259" t="str">
            <v>B272-400-AS-120-CV-012</v>
          </cell>
          <cell r="E1259" t="str">
            <v>P-954(3/4)</v>
          </cell>
        </row>
        <row r="1260">
          <cell r="B1260" t="str">
            <v>B272-400-AS-120-CV-012</v>
          </cell>
          <cell r="E1260" t="str">
            <v>P-954(4/4)</v>
          </cell>
        </row>
        <row r="1261">
          <cell r="B1261" t="str">
            <v>B272-400-AS-120-CV-012</v>
          </cell>
          <cell r="E1261" t="str">
            <v>P-1025(1/2)</v>
          </cell>
        </row>
        <row r="1262">
          <cell r="B1262" t="str">
            <v>B272-400-AS-120-CV-012</v>
          </cell>
          <cell r="E1262" t="str">
            <v>P-1025(2/2)</v>
          </cell>
        </row>
        <row r="1263">
          <cell r="B1263" t="str">
            <v>B272-400-AS-120-CV-012</v>
          </cell>
          <cell r="E1263" t="str">
            <v>P-1116</v>
          </cell>
        </row>
        <row r="1264">
          <cell r="B1264" t="str">
            <v>B272-400-AS-120-CV-012</v>
          </cell>
          <cell r="E1264" t="str">
            <v>P-1117(1/2)</v>
          </cell>
        </row>
        <row r="1265">
          <cell r="B1265" t="str">
            <v>B272-400-AS-120-CV-012</v>
          </cell>
          <cell r="E1265" t="str">
            <v>P-1117(2/2)</v>
          </cell>
        </row>
        <row r="1266">
          <cell r="B1266" t="str">
            <v>B272-400-AS-120-CV-012</v>
          </cell>
          <cell r="E1266" t="str">
            <v>P-1197</v>
          </cell>
        </row>
        <row r="1267">
          <cell r="B1267" t="str">
            <v>B272-400-AS-120-CV-012</v>
          </cell>
          <cell r="E1267" t="str">
            <v>PXY-3</v>
          </cell>
        </row>
        <row r="1268">
          <cell r="B1268" t="str">
            <v>B272-400-AS-120-CV-012</v>
          </cell>
          <cell r="E1268" t="str">
            <v>PXY-4</v>
          </cell>
        </row>
        <row r="1269">
          <cell r="B1269" t="str">
            <v>B272-400-AS-120-CV-012</v>
          </cell>
          <cell r="E1269" t="str">
            <v>PY-9(1/2)</v>
          </cell>
        </row>
        <row r="1270">
          <cell r="B1270" t="str">
            <v>B272-400-AS-120-CV-012</v>
          </cell>
          <cell r="E1270" t="str">
            <v>PY-9(2/2)</v>
          </cell>
        </row>
        <row r="1271">
          <cell r="B1271" t="str">
            <v>B272-400-AS-120-CV-012</v>
          </cell>
          <cell r="E1271" t="str">
            <v>PY-11</v>
          </cell>
        </row>
        <row r="1272">
          <cell r="B1272" t="str">
            <v>B272-400-AS-120-CV-012</v>
          </cell>
          <cell r="E1272" t="str">
            <v>PY-30(1/2)</v>
          </cell>
        </row>
        <row r="1273">
          <cell r="B1273" t="str">
            <v>B272-400-AS-120-CV-012</v>
          </cell>
          <cell r="E1273" t="str">
            <v>PY-30(2/2)</v>
          </cell>
        </row>
        <row r="1274">
          <cell r="B1274" t="str">
            <v>B272-400-AS-120-CV-012</v>
          </cell>
          <cell r="E1274" t="str">
            <v>R-1(1/7)</v>
          </cell>
        </row>
        <row r="1275">
          <cell r="B1275" t="str">
            <v>B272-400-AS-120-CV-012</v>
          </cell>
          <cell r="E1275" t="str">
            <v>R-1(2/7)</v>
          </cell>
        </row>
        <row r="1276">
          <cell r="B1276" t="str">
            <v>B272-400-AS-120-CV-012</v>
          </cell>
          <cell r="E1276" t="str">
            <v>R-1(3/7)</v>
          </cell>
        </row>
        <row r="1277">
          <cell r="B1277" t="str">
            <v>B272-400-AS-120-CV-012</v>
          </cell>
          <cell r="E1277" t="str">
            <v>R-1(4/7)</v>
          </cell>
        </row>
        <row r="1278">
          <cell r="B1278" t="str">
            <v>B272-400-AS-120-CV-012</v>
          </cell>
          <cell r="E1278" t="str">
            <v>R-1(5/7)</v>
          </cell>
        </row>
        <row r="1279">
          <cell r="B1279" t="str">
            <v>B272-400-AS-120-CV-012</v>
          </cell>
          <cell r="E1279" t="str">
            <v>R-1(6/7)</v>
          </cell>
        </row>
        <row r="1280">
          <cell r="B1280" t="str">
            <v>B272-400-AS-120-CV-012</v>
          </cell>
          <cell r="E1280" t="str">
            <v>R-1(7/7)</v>
          </cell>
        </row>
        <row r="1281">
          <cell r="B1281" t="str">
            <v>B272-400-AS-120-CV-012</v>
          </cell>
          <cell r="E1281" t="str">
            <v>R-2(1/2)</v>
          </cell>
        </row>
        <row r="1282">
          <cell r="B1282" t="str">
            <v>B272-400-AS-120-CV-012</v>
          </cell>
          <cell r="E1282" t="str">
            <v>R-2(2/2)</v>
          </cell>
        </row>
        <row r="1283">
          <cell r="B1283" t="str">
            <v>B272-400-AS-120-CV-012</v>
          </cell>
          <cell r="E1283" t="str">
            <v>RX-1(1/12)</v>
          </cell>
        </row>
        <row r="1284">
          <cell r="B1284" t="str">
            <v>B272-400-AS-120-CV-012</v>
          </cell>
          <cell r="E1284" t="str">
            <v>RX-1(2/12)</v>
          </cell>
        </row>
        <row r="1285">
          <cell r="B1285" t="str">
            <v>B272-400-AS-120-CV-012</v>
          </cell>
          <cell r="E1285" t="str">
            <v>RX-1(3/12)</v>
          </cell>
        </row>
        <row r="1286">
          <cell r="B1286" t="str">
            <v>B272-400-AS-120-CV-012</v>
          </cell>
          <cell r="E1286" t="str">
            <v>RX-1(4/12)</v>
          </cell>
        </row>
        <row r="1287">
          <cell r="B1287" t="str">
            <v>B272-400-AS-120-CV-012</v>
          </cell>
          <cell r="E1287" t="str">
            <v>RX-1(5/12)</v>
          </cell>
        </row>
        <row r="1288">
          <cell r="B1288" t="str">
            <v>B272-400-AS-120-CV-012</v>
          </cell>
          <cell r="E1288" t="str">
            <v>RX-1(6/12)</v>
          </cell>
        </row>
        <row r="1289">
          <cell r="B1289" t="str">
            <v>B272-400-AS-120-CV-012</v>
          </cell>
          <cell r="E1289" t="str">
            <v>RX-1(7/12)</v>
          </cell>
        </row>
        <row r="1290">
          <cell r="B1290" t="str">
            <v>B272-400-AS-120-CV-012</v>
          </cell>
          <cell r="E1290" t="str">
            <v>RX-1(8/12)</v>
          </cell>
        </row>
        <row r="1291">
          <cell r="B1291" t="str">
            <v>B272-400-AS-120-CV-012</v>
          </cell>
          <cell r="E1291" t="str">
            <v>RX-1(9/12)</v>
          </cell>
        </row>
        <row r="1292">
          <cell r="B1292" t="str">
            <v>B272-400-AS-120-CV-012</v>
          </cell>
          <cell r="E1292" t="str">
            <v>RX-1(10/12)</v>
          </cell>
        </row>
        <row r="1293">
          <cell r="B1293" t="str">
            <v>B272-400-AS-120-CV-012</v>
          </cell>
          <cell r="E1293" t="str">
            <v>RX-1(11/12)</v>
          </cell>
        </row>
        <row r="1294">
          <cell r="B1294" t="str">
            <v>B272-400-AS-120-CV-012</v>
          </cell>
          <cell r="E1294" t="str">
            <v>RX-1(12/12)</v>
          </cell>
        </row>
        <row r="1295">
          <cell r="B1295" t="str">
            <v>B272-400-AS-120-CV-012</v>
          </cell>
          <cell r="E1295" t="str">
            <v>RZ-2(1/2)</v>
          </cell>
        </row>
        <row r="1296">
          <cell r="B1296" t="str">
            <v>B272-400-AS-120-CV-012</v>
          </cell>
          <cell r="E1296" t="str">
            <v>RZ-2(2/2)</v>
          </cell>
        </row>
        <row r="1297">
          <cell r="B1297" t="str">
            <v>B272-400-AS-120-CV-012</v>
          </cell>
          <cell r="E1297" t="str">
            <v>RZ-5(1/14)</v>
          </cell>
        </row>
        <row r="1298">
          <cell r="B1298" t="str">
            <v>B272-400-AS-120-CV-012</v>
          </cell>
          <cell r="E1298" t="str">
            <v>RZ-5(2/14)</v>
          </cell>
        </row>
        <row r="1299">
          <cell r="B1299" t="str">
            <v>B272-400-AS-120-CV-012</v>
          </cell>
          <cell r="E1299" t="str">
            <v>RZ-5(3/14)</v>
          </cell>
        </row>
        <row r="1300">
          <cell r="B1300" t="str">
            <v>B272-400-AS-120-CV-012</v>
          </cell>
          <cell r="E1300" t="str">
            <v>RZ-5(4/14)</v>
          </cell>
        </row>
        <row r="1301">
          <cell r="B1301" t="str">
            <v>B272-400-AS-120-CV-012</v>
          </cell>
          <cell r="E1301" t="str">
            <v>RZ-5(5/14)</v>
          </cell>
        </row>
        <row r="1302">
          <cell r="B1302" t="str">
            <v>B272-400-AS-120-CV-012</v>
          </cell>
          <cell r="E1302" t="str">
            <v>RZ-5(6/14)</v>
          </cell>
        </row>
        <row r="1303">
          <cell r="B1303" t="str">
            <v>B272-400-AS-120-CV-012</v>
          </cell>
          <cell r="E1303" t="str">
            <v>RZ-5(7/14)</v>
          </cell>
        </row>
        <row r="1304">
          <cell r="B1304" t="str">
            <v>B272-400-AS-120-CV-012</v>
          </cell>
          <cell r="E1304" t="str">
            <v>RZ-5(8/14)</v>
          </cell>
        </row>
        <row r="1305">
          <cell r="B1305" t="str">
            <v>B272-400-AS-120-CV-012</v>
          </cell>
          <cell r="E1305" t="str">
            <v>RZ-5(9/14)</v>
          </cell>
        </row>
        <row r="1306">
          <cell r="B1306" t="str">
            <v>B272-400-AS-120-CV-012</v>
          </cell>
          <cell r="E1306" t="str">
            <v>RZ-5(10/14)</v>
          </cell>
        </row>
        <row r="1307">
          <cell r="B1307" t="str">
            <v>B272-400-AS-120-CV-012</v>
          </cell>
          <cell r="E1307" t="str">
            <v>RZ-5(11/14)</v>
          </cell>
        </row>
        <row r="1308">
          <cell r="B1308" t="str">
            <v>B272-400-AS-120-CV-012</v>
          </cell>
          <cell r="E1308" t="str">
            <v>RZ-5(12/14)</v>
          </cell>
        </row>
        <row r="1309">
          <cell r="B1309" t="str">
            <v>B272-400-AS-120-CV-012</v>
          </cell>
          <cell r="E1309" t="str">
            <v>RZ-5(13/14)</v>
          </cell>
        </row>
        <row r="1310">
          <cell r="B1310" t="str">
            <v>B272-400-AS-120-CV-012</v>
          </cell>
          <cell r="E1310" t="str">
            <v>RZ-5(14/14)</v>
          </cell>
        </row>
        <row r="1311">
          <cell r="B1311" t="str">
            <v>B272-400-AS-120-CV-012</v>
          </cell>
          <cell r="E1311" t="str">
            <v>W-72(1/14)</v>
          </cell>
        </row>
        <row r="1312">
          <cell r="B1312" t="str">
            <v>B272-400-AS-120-CV-012</v>
          </cell>
          <cell r="E1312" t="str">
            <v>W-72(2/14)</v>
          </cell>
        </row>
        <row r="1313">
          <cell r="B1313" t="str">
            <v>B272-400-AS-120-CV-012</v>
          </cell>
          <cell r="E1313" t="str">
            <v>W-72(3/14)</v>
          </cell>
        </row>
        <row r="1314">
          <cell r="B1314" t="str">
            <v>B272-400-AS-120-CV-012</v>
          </cell>
          <cell r="E1314" t="str">
            <v>W-72(4/14)</v>
          </cell>
        </row>
        <row r="1315">
          <cell r="B1315" t="str">
            <v>B272-400-AS-120-CV-012</v>
          </cell>
          <cell r="E1315" t="str">
            <v>W-72(5/14)</v>
          </cell>
        </row>
        <row r="1316">
          <cell r="B1316" t="str">
            <v>B272-400-AS-120-CV-012</v>
          </cell>
          <cell r="E1316" t="str">
            <v>W-72(6/14)</v>
          </cell>
        </row>
        <row r="1317">
          <cell r="B1317" t="str">
            <v>B272-400-AS-120-CV-012</v>
          </cell>
          <cell r="E1317" t="str">
            <v>W-72(7/14)</v>
          </cell>
        </row>
        <row r="1318">
          <cell r="B1318" t="str">
            <v>B272-400-AS-120-CV-012</v>
          </cell>
          <cell r="E1318" t="str">
            <v>W-72(8/14)</v>
          </cell>
        </row>
        <row r="1319">
          <cell r="B1319" t="str">
            <v>B272-400-AS-120-CV-012</v>
          </cell>
          <cell r="E1319" t="str">
            <v>W-72(9/14)</v>
          </cell>
        </row>
        <row r="1320">
          <cell r="B1320" t="str">
            <v>B272-400-AS-120-CV-012</v>
          </cell>
          <cell r="E1320" t="str">
            <v>W-72(10/14)</v>
          </cell>
        </row>
        <row r="1321">
          <cell r="B1321" t="str">
            <v>B272-400-AS-120-CV-012</v>
          </cell>
          <cell r="E1321" t="str">
            <v>W-72(11/14)</v>
          </cell>
        </row>
        <row r="1322">
          <cell r="B1322" t="str">
            <v>B272-400-AS-120-CV-012</v>
          </cell>
          <cell r="E1322" t="str">
            <v>W-72(12/14)</v>
          </cell>
        </row>
        <row r="1323">
          <cell r="B1323" t="str">
            <v>B272-400-AS-120-CV-012</v>
          </cell>
          <cell r="E1323" t="str">
            <v>W-72(13/14)</v>
          </cell>
        </row>
        <row r="1324">
          <cell r="B1324" t="str">
            <v>B272-400-AS-120-CV-012</v>
          </cell>
          <cell r="E1324" t="str">
            <v>W-72(14/14)</v>
          </cell>
        </row>
        <row r="1325">
          <cell r="B1325" t="str">
            <v>B272-400-AS-120-CV-012</v>
          </cell>
          <cell r="E1325" t="str">
            <v>W-87(1/4)</v>
          </cell>
        </row>
        <row r="1326">
          <cell r="B1326" t="str">
            <v>B272-400-AS-120-CV-012</v>
          </cell>
          <cell r="E1326" t="str">
            <v>W-87(2/4)</v>
          </cell>
        </row>
        <row r="1327">
          <cell r="B1327" t="str">
            <v>B272-400-AS-120-CV-012</v>
          </cell>
          <cell r="E1327" t="str">
            <v>W-87(3/4)</v>
          </cell>
        </row>
        <row r="1328">
          <cell r="B1328" t="str">
            <v>B272-400-AS-120-CV-012</v>
          </cell>
          <cell r="E1328" t="str">
            <v>W-87(4/4)</v>
          </cell>
        </row>
        <row r="1329">
          <cell r="B1329" t="str">
            <v>B272-400-AS-120-CV-012</v>
          </cell>
          <cell r="E1329" t="str">
            <v>W-89(1/2)</v>
          </cell>
        </row>
        <row r="1330">
          <cell r="B1330" t="str">
            <v>B272-400-AS-120-CV-012</v>
          </cell>
          <cell r="E1330" t="str">
            <v>W-89(2/2)</v>
          </cell>
        </row>
        <row r="1331">
          <cell r="B1331" t="str">
            <v>B272-400-AS-120-CV-012</v>
          </cell>
          <cell r="E1331" t="str">
            <v>CY-2000</v>
          </cell>
        </row>
        <row r="1332">
          <cell r="B1332" t="str">
            <v>B272-400-AS-120-CV-012</v>
          </cell>
          <cell r="E1332" t="str">
            <v>CY-2001</v>
          </cell>
        </row>
        <row r="1333">
          <cell r="B1333" t="str">
            <v>B272-400-AS-120-CV-012</v>
          </cell>
          <cell r="E1333" t="str">
            <v>G-2004</v>
          </cell>
        </row>
        <row r="1334">
          <cell r="B1334" t="str">
            <v>B272-400-AS-120-CV-012</v>
          </cell>
          <cell r="E1334" t="str">
            <v>P-2071</v>
          </cell>
        </row>
        <row r="1335">
          <cell r="B1335" t="str">
            <v>B272-400-AS-120-CV-012</v>
          </cell>
          <cell r="E1335" t="str">
            <v>P-2072</v>
          </cell>
        </row>
        <row r="1336">
          <cell r="B1336" t="str">
            <v>B272-400-AS-120-CV-012</v>
          </cell>
          <cell r="E1336" t="str">
            <v>P-2073</v>
          </cell>
        </row>
        <row r="1337">
          <cell r="B1337" t="str">
            <v>B272-400-AS-120-CV-012</v>
          </cell>
          <cell r="E1337" t="str">
            <v>P-2074</v>
          </cell>
        </row>
        <row r="1338">
          <cell r="B1338" t="str">
            <v>B272-400-AS-120-CV-012</v>
          </cell>
          <cell r="E1338" t="str">
            <v>B2050</v>
          </cell>
        </row>
        <row r="1339">
          <cell r="B1339" t="str">
            <v>B272-400-AS-120-CV-012</v>
          </cell>
          <cell r="E1339" t="str">
            <v>B24100</v>
          </cell>
        </row>
        <row r="1340">
          <cell r="B1340" t="str">
            <v>B272-400-AS-120-CV-012</v>
          </cell>
          <cell r="E1340" t="str">
            <v>B1660</v>
          </cell>
        </row>
        <row r="1341">
          <cell r="B1341" t="str">
            <v>B272-400-AS-120-CV-012</v>
          </cell>
          <cell r="E1341" t="str">
            <v>B1660</v>
          </cell>
        </row>
        <row r="1342">
          <cell r="B1342" t="str">
            <v>B272-400-AS-130-ET-001</v>
          </cell>
        </row>
        <row r="1343">
          <cell r="B1343" t="str">
            <v>B272-400-AS-130-ET-001</v>
          </cell>
          <cell r="E1343" t="str">
            <v>B-1</v>
          </cell>
        </row>
        <row r="1344">
          <cell r="B1344" t="str">
            <v>B272-400-AS-130-ET-001</v>
          </cell>
        </row>
        <row r="1345">
          <cell r="B1345" t="str">
            <v>B272-400-AS-130-ET-001</v>
          </cell>
          <cell r="E1345" t="str">
            <v>B-1</v>
          </cell>
        </row>
        <row r="1346">
          <cell r="B1346" t="str">
            <v>B272-400-AS-130-ET-001</v>
          </cell>
        </row>
        <row r="1347">
          <cell r="B1347" t="str">
            <v>B272-400-AS-130-ET-001</v>
          </cell>
          <cell r="E1347" t="str">
            <v>B-1</v>
          </cell>
        </row>
        <row r="1348">
          <cell r="B1348" t="str">
            <v>B272-400-AS-130-ET-001</v>
          </cell>
        </row>
        <row r="1349">
          <cell r="B1349" t="str">
            <v>B272-400-AS-130-ET-001</v>
          </cell>
          <cell r="E1349" t="str">
            <v>B-1</v>
          </cell>
        </row>
        <row r="1350">
          <cell r="B1350" t="str">
            <v>B272-400-AS-130-ET-001</v>
          </cell>
        </row>
        <row r="1351">
          <cell r="B1351" t="str">
            <v>B272-400-AS-130-ET-001</v>
          </cell>
          <cell r="E1351" t="str">
            <v>B-1</v>
          </cell>
        </row>
        <row r="1352">
          <cell r="B1352" t="str">
            <v>B272-400-AS-130-ET-001</v>
          </cell>
        </row>
        <row r="1353">
          <cell r="B1353" t="str">
            <v>B272-400-AS-130-ET-001</v>
          </cell>
          <cell r="E1353" t="str">
            <v>B-1</v>
          </cell>
        </row>
        <row r="1354">
          <cell r="B1354" t="str">
            <v>B272-400-AS-130-ET-002</v>
          </cell>
        </row>
        <row r="1355">
          <cell r="B1355" t="str">
            <v>B272-400-AS-130-ET-002</v>
          </cell>
          <cell r="E1355" t="str">
            <v>P-70</v>
          </cell>
        </row>
        <row r="1356">
          <cell r="B1356" t="str">
            <v>B272-400-AS-130-ET-002</v>
          </cell>
          <cell r="E1356" t="str">
            <v>P-174</v>
          </cell>
        </row>
        <row r="1357">
          <cell r="B1357" t="str">
            <v>B272-400-AS-130-ET-002</v>
          </cell>
          <cell r="E1357" t="str">
            <v>P-175</v>
          </cell>
        </row>
        <row r="1358">
          <cell r="B1358" t="str">
            <v>B272-400-AS-130-ET-002</v>
          </cell>
          <cell r="E1358" t="str">
            <v>P-311(1/2)</v>
          </cell>
        </row>
        <row r="1359">
          <cell r="B1359" t="str">
            <v>B272-400-AS-130-ET-002</v>
          </cell>
          <cell r="E1359" t="str">
            <v>P-311(2/2)</v>
          </cell>
        </row>
        <row r="1360">
          <cell r="B1360" t="str">
            <v>B272-400-AS-130-ET-002</v>
          </cell>
          <cell r="E1360" t="str">
            <v>P-472(1/36)</v>
          </cell>
        </row>
        <row r="1361">
          <cell r="B1361" t="str">
            <v>B272-400-AS-130-ET-002</v>
          </cell>
          <cell r="E1361" t="str">
            <v>P-472(2/36)</v>
          </cell>
        </row>
        <row r="1362">
          <cell r="B1362" t="str">
            <v>B272-400-AS-130-ET-002</v>
          </cell>
          <cell r="E1362" t="str">
            <v>P-472(3/36)</v>
          </cell>
        </row>
        <row r="1363">
          <cell r="B1363" t="str">
            <v>B272-400-AS-130-ET-002</v>
          </cell>
          <cell r="E1363" t="str">
            <v>P-472(4/36)</v>
          </cell>
        </row>
        <row r="1364">
          <cell r="B1364" t="str">
            <v>B272-400-AS-130-ET-002</v>
          </cell>
          <cell r="E1364" t="str">
            <v>P-472(5/36)</v>
          </cell>
        </row>
        <row r="1365">
          <cell r="B1365" t="str">
            <v>B272-400-AS-130-ET-002</v>
          </cell>
          <cell r="E1365" t="str">
            <v>P-472(6/36)</v>
          </cell>
        </row>
        <row r="1366">
          <cell r="B1366" t="str">
            <v>B272-400-AS-130-ET-002</v>
          </cell>
          <cell r="E1366" t="str">
            <v>P-472(7/36)</v>
          </cell>
        </row>
        <row r="1367">
          <cell r="B1367" t="str">
            <v>B272-400-AS-130-ET-002</v>
          </cell>
          <cell r="E1367" t="str">
            <v>P-472(8/36)</v>
          </cell>
        </row>
        <row r="1368">
          <cell r="B1368" t="str">
            <v>B272-400-AS-130-ET-002</v>
          </cell>
          <cell r="E1368" t="str">
            <v>P-472(9/36)</v>
          </cell>
        </row>
        <row r="1369">
          <cell r="B1369" t="str">
            <v>B272-400-AS-130-ET-002</v>
          </cell>
          <cell r="E1369" t="str">
            <v>P-472(10/36)</v>
          </cell>
        </row>
        <row r="1370">
          <cell r="B1370" t="str">
            <v>B272-400-AS-130-ET-002</v>
          </cell>
          <cell r="E1370" t="str">
            <v>P-472(11/36)</v>
          </cell>
        </row>
        <row r="1371">
          <cell r="B1371" t="str">
            <v>B272-400-AS-130-ET-002</v>
          </cell>
          <cell r="E1371" t="str">
            <v>P-472(12/36)</v>
          </cell>
        </row>
        <row r="1372">
          <cell r="B1372" t="str">
            <v>B272-400-AS-130-ET-002</v>
          </cell>
          <cell r="E1372" t="str">
            <v>P-472(13/36)</v>
          </cell>
        </row>
        <row r="1373">
          <cell r="B1373" t="str">
            <v>B272-400-AS-130-ET-002</v>
          </cell>
          <cell r="E1373" t="str">
            <v>P-472(14/36)</v>
          </cell>
        </row>
        <row r="1374">
          <cell r="B1374" t="str">
            <v>B272-400-AS-130-ET-002</v>
          </cell>
          <cell r="E1374" t="str">
            <v>P-472(15/36)</v>
          </cell>
        </row>
        <row r="1375">
          <cell r="B1375" t="str">
            <v>B272-400-AS-130-ET-002</v>
          </cell>
          <cell r="E1375" t="str">
            <v>P-472(16/36)</v>
          </cell>
        </row>
        <row r="1376">
          <cell r="B1376" t="str">
            <v>B272-400-AS-130-ET-002</v>
          </cell>
          <cell r="E1376" t="str">
            <v>P-472(17/36)</v>
          </cell>
        </row>
        <row r="1377">
          <cell r="B1377" t="str">
            <v>B272-400-AS-130-ET-002</v>
          </cell>
          <cell r="E1377" t="str">
            <v>P-472(18/36)</v>
          </cell>
        </row>
        <row r="1378">
          <cell r="B1378" t="str">
            <v>B272-400-AS-130-ET-002</v>
          </cell>
          <cell r="E1378" t="str">
            <v>P-472(19/36)</v>
          </cell>
        </row>
        <row r="1379">
          <cell r="B1379" t="str">
            <v>B272-400-AS-130-ET-002</v>
          </cell>
          <cell r="E1379" t="str">
            <v>P-472(20/36)</v>
          </cell>
        </row>
        <row r="1380">
          <cell r="B1380" t="str">
            <v>B272-400-AS-130-ET-002</v>
          </cell>
          <cell r="E1380" t="str">
            <v>P-472(21/36)</v>
          </cell>
        </row>
        <row r="1381">
          <cell r="B1381" t="str">
            <v>B272-400-AS-130-ET-002</v>
          </cell>
          <cell r="E1381" t="str">
            <v>P-472(22/36)</v>
          </cell>
        </row>
        <row r="1382">
          <cell r="B1382" t="str">
            <v>B272-400-AS-130-ET-002</v>
          </cell>
          <cell r="E1382" t="str">
            <v>P-472(23/36)</v>
          </cell>
        </row>
        <row r="1383">
          <cell r="B1383" t="str">
            <v>B272-400-AS-130-ET-002</v>
          </cell>
          <cell r="E1383" t="str">
            <v>P-472(24/36)</v>
          </cell>
        </row>
        <row r="1384">
          <cell r="B1384" t="str">
            <v>B272-400-AS-130-ET-002</v>
          </cell>
          <cell r="E1384" t="str">
            <v>P-472(25/36)</v>
          </cell>
        </row>
        <row r="1385">
          <cell r="B1385" t="str">
            <v>B272-400-AS-130-ET-002</v>
          </cell>
          <cell r="E1385" t="str">
            <v>P-472(26/36)</v>
          </cell>
        </row>
        <row r="1386">
          <cell r="B1386" t="str">
            <v>B272-400-AS-130-ET-002</v>
          </cell>
          <cell r="E1386" t="str">
            <v>P-472(27/36)</v>
          </cell>
        </row>
        <row r="1387">
          <cell r="B1387" t="str">
            <v>B272-400-AS-130-ET-002</v>
          </cell>
          <cell r="E1387" t="str">
            <v>P-472(28/36)</v>
          </cell>
        </row>
        <row r="1388">
          <cell r="B1388" t="str">
            <v>B272-400-AS-130-ET-002</v>
          </cell>
          <cell r="E1388" t="str">
            <v>P-472(29/36)</v>
          </cell>
        </row>
        <row r="1389">
          <cell r="B1389" t="str">
            <v>B272-400-AS-130-ET-002</v>
          </cell>
          <cell r="E1389" t="str">
            <v>P-472(30/36)</v>
          </cell>
        </row>
        <row r="1390">
          <cell r="B1390" t="str">
            <v>B272-400-AS-130-ET-002</v>
          </cell>
          <cell r="E1390" t="str">
            <v>P-472(31/36)</v>
          </cell>
        </row>
        <row r="1391">
          <cell r="B1391" t="str">
            <v>B272-400-AS-130-ET-002</v>
          </cell>
          <cell r="E1391" t="str">
            <v>P-472(32/36)</v>
          </cell>
        </row>
        <row r="1392">
          <cell r="B1392" t="str">
            <v>B272-400-AS-130-ET-002</v>
          </cell>
          <cell r="E1392" t="str">
            <v>P-472(33/36)</v>
          </cell>
        </row>
        <row r="1393">
          <cell r="B1393" t="str">
            <v>B272-400-AS-130-ET-002</v>
          </cell>
          <cell r="E1393" t="str">
            <v>P-472(34/36)</v>
          </cell>
        </row>
        <row r="1394">
          <cell r="B1394" t="str">
            <v>B272-400-AS-130-ET-002</v>
          </cell>
          <cell r="E1394" t="str">
            <v>P-472(35/36)</v>
          </cell>
        </row>
        <row r="1395">
          <cell r="B1395" t="str">
            <v>B272-400-AS-130-ET-002</v>
          </cell>
          <cell r="E1395" t="str">
            <v>P-472(36/36)</v>
          </cell>
        </row>
        <row r="1396">
          <cell r="B1396" t="str">
            <v>B272-400-AS-130-ET-002</v>
          </cell>
          <cell r="E1396" t="str">
            <v>P-500(1/2)</v>
          </cell>
        </row>
        <row r="1397">
          <cell r="B1397" t="str">
            <v>B272-400-AS-130-ET-002</v>
          </cell>
          <cell r="E1397" t="str">
            <v>P-500(2/2)</v>
          </cell>
        </row>
        <row r="1398">
          <cell r="B1398" t="str">
            <v>B272-400-AS-130-ET-002</v>
          </cell>
          <cell r="E1398" t="str">
            <v>P-781(1/2)</v>
          </cell>
        </row>
        <row r="1399">
          <cell r="B1399" t="str">
            <v>B272-400-AS-130-ET-002</v>
          </cell>
          <cell r="E1399" t="str">
            <v>P-781(2/2)</v>
          </cell>
        </row>
        <row r="1400">
          <cell r="B1400" t="str">
            <v>B272-400-AS-130-ET-002</v>
          </cell>
          <cell r="E1400" t="str">
            <v>B2080</v>
          </cell>
        </row>
        <row r="1401">
          <cell r="B1401" t="str">
            <v>B272-400-AS-130-ET-002</v>
          </cell>
          <cell r="E1401" t="str">
            <v>B20100</v>
          </cell>
        </row>
        <row r="1402">
          <cell r="B1402" t="str">
            <v>B272-400-AS-130-ET-003</v>
          </cell>
        </row>
        <row r="1403">
          <cell r="B1403" t="str">
            <v>B272-400-AS-130-ET-003</v>
          </cell>
          <cell r="E1403" t="str">
            <v>P-70</v>
          </cell>
        </row>
        <row r="1404">
          <cell r="B1404" t="str">
            <v>B272-400-AS-130-ET-003</v>
          </cell>
          <cell r="E1404" t="str">
            <v>P-174</v>
          </cell>
        </row>
        <row r="1405">
          <cell r="B1405" t="str">
            <v>B272-400-AS-130-ET-003</v>
          </cell>
          <cell r="E1405" t="str">
            <v>P-175</v>
          </cell>
        </row>
        <row r="1406">
          <cell r="B1406" t="str">
            <v>B272-400-AS-130-ET-003</v>
          </cell>
          <cell r="E1406" t="str">
            <v>P-311(1/2)</v>
          </cell>
        </row>
        <row r="1407">
          <cell r="B1407" t="str">
            <v>B272-400-AS-130-ET-003</v>
          </cell>
          <cell r="E1407" t="str">
            <v>P-311(2/2)</v>
          </cell>
        </row>
        <row r="1408">
          <cell r="B1408" t="str">
            <v>B272-400-AS-130-ET-003</v>
          </cell>
          <cell r="E1408" t="str">
            <v>P-472(1/36)</v>
          </cell>
        </row>
        <row r="1409">
          <cell r="B1409" t="str">
            <v>B272-400-AS-130-ET-003</v>
          </cell>
          <cell r="E1409" t="str">
            <v>P-472(2/36)</v>
          </cell>
        </row>
        <row r="1410">
          <cell r="B1410" t="str">
            <v>B272-400-AS-130-ET-003</v>
          </cell>
          <cell r="E1410" t="str">
            <v>P-472(3/36)</v>
          </cell>
        </row>
        <row r="1411">
          <cell r="B1411" t="str">
            <v>B272-400-AS-130-ET-003</v>
          </cell>
          <cell r="E1411" t="str">
            <v>P-472(4/36)</v>
          </cell>
        </row>
        <row r="1412">
          <cell r="B1412" t="str">
            <v>B272-400-AS-130-ET-003</v>
          </cell>
          <cell r="E1412" t="str">
            <v>P-472(5/36)</v>
          </cell>
        </row>
        <row r="1413">
          <cell r="B1413" t="str">
            <v>B272-400-AS-130-ET-003</v>
          </cell>
          <cell r="E1413" t="str">
            <v>P-472(6/36)</v>
          </cell>
        </row>
        <row r="1414">
          <cell r="B1414" t="str">
            <v>B272-400-AS-130-ET-003</v>
          </cell>
          <cell r="E1414" t="str">
            <v>P-472(7/36)</v>
          </cell>
        </row>
        <row r="1415">
          <cell r="B1415" t="str">
            <v>B272-400-AS-130-ET-003</v>
          </cell>
          <cell r="E1415" t="str">
            <v>P-472(8/36)</v>
          </cell>
        </row>
        <row r="1416">
          <cell r="B1416" t="str">
            <v>B272-400-AS-130-ET-003</v>
          </cell>
          <cell r="E1416" t="str">
            <v>P-472(9/36)</v>
          </cell>
        </row>
        <row r="1417">
          <cell r="B1417" t="str">
            <v>B272-400-AS-130-ET-003</v>
          </cell>
          <cell r="E1417" t="str">
            <v>P-472(10/36)</v>
          </cell>
        </row>
        <row r="1418">
          <cell r="B1418" t="str">
            <v>B272-400-AS-130-ET-003</v>
          </cell>
          <cell r="E1418" t="str">
            <v>P-472(11/36)</v>
          </cell>
        </row>
        <row r="1419">
          <cell r="B1419" t="str">
            <v>B272-400-AS-130-ET-003</v>
          </cell>
          <cell r="E1419" t="str">
            <v>P-472(12/36)</v>
          </cell>
        </row>
        <row r="1420">
          <cell r="B1420" t="str">
            <v>B272-400-AS-130-ET-003</v>
          </cell>
          <cell r="E1420" t="str">
            <v>P-472(13/36)</v>
          </cell>
        </row>
        <row r="1421">
          <cell r="B1421" t="str">
            <v>B272-400-AS-130-ET-003</v>
          </cell>
          <cell r="E1421" t="str">
            <v>P-472(14/36)</v>
          </cell>
        </row>
        <row r="1422">
          <cell r="B1422" t="str">
            <v>B272-400-AS-130-ET-003</v>
          </cell>
          <cell r="E1422" t="str">
            <v>P-472(15/36)</v>
          </cell>
        </row>
        <row r="1423">
          <cell r="B1423" t="str">
            <v>B272-400-AS-130-ET-003</v>
          </cell>
          <cell r="E1423" t="str">
            <v>P-472(16/36)</v>
          </cell>
        </row>
        <row r="1424">
          <cell r="B1424" t="str">
            <v>B272-400-AS-130-ET-003</v>
          </cell>
          <cell r="E1424" t="str">
            <v>P-472(17/36)</v>
          </cell>
        </row>
        <row r="1425">
          <cell r="B1425" t="str">
            <v>B272-400-AS-130-ET-003</v>
          </cell>
          <cell r="E1425" t="str">
            <v>P-472(18/36)</v>
          </cell>
        </row>
        <row r="1426">
          <cell r="B1426" t="str">
            <v>B272-400-AS-130-ET-003</v>
          </cell>
          <cell r="E1426" t="str">
            <v>P-472(19/36)</v>
          </cell>
        </row>
        <row r="1427">
          <cell r="B1427" t="str">
            <v>B272-400-AS-130-ET-003</v>
          </cell>
          <cell r="E1427" t="str">
            <v>P-472(20/36)</v>
          </cell>
        </row>
        <row r="1428">
          <cell r="B1428" t="str">
            <v>B272-400-AS-130-ET-003</v>
          </cell>
          <cell r="E1428" t="str">
            <v>P-472(21/36)</v>
          </cell>
        </row>
        <row r="1429">
          <cell r="B1429" t="str">
            <v>B272-400-AS-130-ET-003</v>
          </cell>
          <cell r="E1429" t="str">
            <v>P-472(22/36)</v>
          </cell>
        </row>
        <row r="1430">
          <cell r="B1430" t="str">
            <v>B272-400-AS-130-ET-003</v>
          </cell>
          <cell r="E1430" t="str">
            <v>P-472(23/36)</v>
          </cell>
        </row>
        <row r="1431">
          <cell r="B1431" t="str">
            <v>B272-400-AS-130-ET-003</v>
          </cell>
          <cell r="E1431" t="str">
            <v>P-472(24/36)</v>
          </cell>
        </row>
        <row r="1432">
          <cell r="B1432" t="str">
            <v>B272-400-AS-130-ET-003</v>
          </cell>
          <cell r="E1432" t="str">
            <v>P-472(25/36)</v>
          </cell>
        </row>
        <row r="1433">
          <cell r="B1433" t="str">
            <v>B272-400-AS-130-ET-003</v>
          </cell>
          <cell r="E1433" t="str">
            <v>P-472(26/36)</v>
          </cell>
        </row>
        <row r="1434">
          <cell r="B1434" t="str">
            <v>B272-400-AS-130-ET-003</v>
          </cell>
          <cell r="E1434" t="str">
            <v>P-472(27/36)</v>
          </cell>
        </row>
        <row r="1435">
          <cell r="B1435" t="str">
            <v>B272-400-AS-130-ET-003</v>
          </cell>
          <cell r="E1435" t="str">
            <v>P-472(28/36)</v>
          </cell>
        </row>
        <row r="1436">
          <cell r="B1436" t="str">
            <v>B272-400-AS-130-ET-003</v>
          </cell>
          <cell r="E1436" t="str">
            <v>P-472(29/36)</v>
          </cell>
        </row>
        <row r="1437">
          <cell r="B1437" t="str">
            <v>B272-400-AS-130-ET-003</v>
          </cell>
          <cell r="E1437" t="str">
            <v>P-472(30/36)</v>
          </cell>
        </row>
        <row r="1438">
          <cell r="B1438" t="str">
            <v>B272-400-AS-130-ET-003</v>
          </cell>
          <cell r="E1438" t="str">
            <v>P-472(31/36)</v>
          </cell>
        </row>
        <row r="1439">
          <cell r="B1439" t="str">
            <v>B272-400-AS-130-ET-003</v>
          </cell>
          <cell r="E1439" t="str">
            <v>P-472(32/36)</v>
          </cell>
        </row>
        <row r="1440">
          <cell r="B1440" t="str">
            <v>B272-400-AS-130-ET-003</v>
          </cell>
          <cell r="E1440" t="str">
            <v>P-472(33/36)</v>
          </cell>
        </row>
        <row r="1441">
          <cell r="B1441" t="str">
            <v>B272-400-AS-130-ET-003</v>
          </cell>
          <cell r="E1441" t="str">
            <v>P-472(34/36)</v>
          </cell>
        </row>
        <row r="1442">
          <cell r="B1442" t="str">
            <v>B272-400-AS-130-ET-003</v>
          </cell>
          <cell r="E1442" t="str">
            <v>P-472(35/36)</v>
          </cell>
        </row>
        <row r="1443">
          <cell r="B1443" t="str">
            <v>B272-400-AS-130-ET-003</v>
          </cell>
          <cell r="E1443" t="str">
            <v>P-472(36/36)</v>
          </cell>
        </row>
        <row r="1444">
          <cell r="B1444" t="str">
            <v>B272-400-AS-130-ET-003</v>
          </cell>
          <cell r="E1444" t="str">
            <v>P-500(1/2)</v>
          </cell>
        </row>
        <row r="1445">
          <cell r="B1445" t="str">
            <v>B272-400-AS-130-ET-003</v>
          </cell>
          <cell r="E1445" t="str">
            <v>P-500(2/2)</v>
          </cell>
        </row>
        <row r="1446">
          <cell r="B1446" t="str">
            <v>B272-400-AS-130-ET-003</v>
          </cell>
          <cell r="E1446" t="str">
            <v>P-781(1/2)</v>
          </cell>
        </row>
        <row r="1447">
          <cell r="B1447" t="str">
            <v>B272-400-AS-130-ET-003</v>
          </cell>
          <cell r="E1447" t="str">
            <v>P-781(2/2)</v>
          </cell>
        </row>
        <row r="1448">
          <cell r="B1448" t="str">
            <v>B272-400-AS-130-ET-003</v>
          </cell>
          <cell r="E1448" t="str">
            <v>B2080</v>
          </cell>
        </row>
        <row r="1449">
          <cell r="B1449" t="str">
            <v>B272-400-AS-130-ET-003</v>
          </cell>
          <cell r="E1449" t="str">
            <v>B20100</v>
          </cell>
        </row>
        <row r="1450">
          <cell r="B1450" t="str">
            <v>B272-400-AS-130-ET-004</v>
          </cell>
        </row>
        <row r="1451">
          <cell r="B1451" t="str">
            <v>B272-400-AS-130-ET-004</v>
          </cell>
          <cell r="E1451" t="str">
            <v>P-62</v>
          </cell>
        </row>
        <row r="1452">
          <cell r="B1452" t="str">
            <v>B272-400-AS-130-ET-004</v>
          </cell>
          <cell r="E1452" t="str">
            <v>P-63</v>
          </cell>
        </row>
        <row r="1453">
          <cell r="B1453" t="str">
            <v>B272-400-AS-130-ET-004</v>
          </cell>
          <cell r="E1453" t="str">
            <v>P-175</v>
          </cell>
        </row>
        <row r="1454">
          <cell r="B1454" t="str">
            <v>B272-400-AS-130-ET-004</v>
          </cell>
          <cell r="E1454" t="str">
            <v>P-500(1/2)</v>
          </cell>
        </row>
        <row r="1455">
          <cell r="B1455" t="str">
            <v>B272-400-AS-130-ET-004</v>
          </cell>
          <cell r="E1455" t="str">
            <v>P-500(2/2)</v>
          </cell>
        </row>
        <row r="1456">
          <cell r="B1456" t="str">
            <v>B272-400-AS-130-ET-004</v>
          </cell>
          <cell r="E1456" t="str">
            <v>P-501(1/2)</v>
          </cell>
        </row>
        <row r="1457">
          <cell r="B1457" t="str">
            <v>B272-400-AS-130-ET-004</v>
          </cell>
          <cell r="E1457" t="str">
            <v>P-501(2/2)</v>
          </cell>
        </row>
        <row r="1458">
          <cell r="B1458" t="str">
            <v>B272-400-AS-130-ET-004</v>
          </cell>
          <cell r="E1458" t="str">
            <v>PX-2(1/12)</v>
          </cell>
        </row>
        <row r="1459">
          <cell r="B1459" t="str">
            <v>B272-400-AS-130-ET-004</v>
          </cell>
          <cell r="E1459" t="str">
            <v>PX-2(2/12)</v>
          </cell>
        </row>
        <row r="1460">
          <cell r="B1460" t="str">
            <v>B272-400-AS-130-ET-004</v>
          </cell>
          <cell r="E1460" t="str">
            <v>PX-2(3/12)</v>
          </cell>
        </row>
        <row r="1461">
          <cell r="B1461" t="str">
            <v>B272-400-AS-130-ET-004</v>
          </cell>
          <cell r="E1461" t="str">
            <v>PX-2(4/12)</v>
          </cell>
        </row>
        <row r="1462">
          <cell r="B1462" t="str">
            <v>B272-400-AS-130-ET-004</v>
          </cell>
          <cell r="E1462" t="str">
            <v>PX-2(5/12)</v>
          </cell>
        </row>
        <row r="1463">
          <cell r="B1463" t="str">
            <v>B272-400-AS-130-ET-004</v>
          </cell>
          <cell r="E1463" t="str">
            <v>PX-2(6/12)</v>
          </cell>
        </row>
        <row r="1464">
          <cell r="B1464" t="str">
            <v>B272-400-AS-130-ET-004</v>
          </cell>
          <cell r="E1464" t="str">
            <v>PX-2(7/12)</v>
          </cell>
        </row>
        <row r="1465">
          <cell r="B1465" t="str">
            <v>B272-400-AS-130-ET-004</v>
          </cell>
          <cell r="E1465" t="str">
            <v>PX-2(8/12)</v>
          </cell>
        </row>
        <row r="1466">
          <cell r="B1466" t="str">
            <v>B272-400-AS-130-ET-004</v>
          </cell>
          <cell r="E1466" t="str">
            <v>PX-2(9/12)</v>
          </cell>
        </row>
        <row r="1467">
          <cell r="B1467" t="str">
            <v>B272-400-AS-130-ET-004</v>
          </cell>
          <cell r="E1467" t="str">
            <v>PX-2(10/12)</v>
          </cell>
        </row>
        <row r="1468">
          <cell r="B1468" t="str">
            <v>B272-400-AS-130-ET-004</v>
          </cell>
          <cell r="E1468" t="str">
            <v>PX-2(11/12)</v>
          </cell>
        </row>
        <row r="1469">
          <cell r="B1469" t="str">
            <v>B272-400-AS-130-ET-004</v>
          </cell>
          <cell r="E1469" t="str">
            <v>PX-2(12/12)</v>
          </cell>
        </row>
        <row r="1470">
          <cell r="B1470" t="str">
            <v>B272-400-AS-130-ET-004</v>
          </cell>
          <cell r="E1470" t="str">
            <v>PX-7(1/2)</v>
          </cell>
        </row>
        <row r="1471">
          <cell r="B1471" t="str">
            <v>B272-400-AS-130-ET-004</v>
          </cell>
          <cell r="E1471" t="str">
            <v>PX-7(2/2)</v>
          </cell>
        </row>
        <row r="1472">
          <cell r="B1472" t="str">
            <v>B272-400-AS-130-ET-004</v>
          </cell>
          <cell r="E1472" t="str">
            <v>PX-8(1/48)</v>
          </cell>
        </row>
        <row r="1473">
          <cell r="B1473" t="str">
            <v>B272-400-AS-130-ET-004</v>
          </cell>
          <cell r="E1473" t="str">
            <v>PX-8(2/48)</v>
          </cell>
        </row>
        <row r="1474">
          <cell r="B1474" t="str">
            <v>B272-400-AS-130-ET-004</v>
          </cell>
          <cell r="E1474" t="str">
            <v>PX-8(3/48)</v>
          </cell>
        </row>
        <row r="1475">
          <cell r="B1475" t="str">
            <v>B272-400-AS-130-ET-004</v>
          </cell>
          <cell r="E1475" t="str">
            <v>PX-8(4/48)</v>
          </cell>
        </row>
        <row r="1476">
          <cell r="B1476" t="str">
            <v>B272-400-AS-130-ET-004</v>
          </cell>
          <cell r="E1476" t="str">
            <v>PX-8(5/48)</v>
          </cell>
        </row>
        <row r="1477">
          <cell r="B1477" t="str">
            <v>B272-400-AS-130-ET-004</v>
          </cell>
          <cell r="E1477" t="str">
            <v>PX-8(6/48)</v>
          </cell>
        </row>
        <row r="1478">
          <cell r="B1478" t="str">
            <v>B272-400-AS-130-ET-004</v>
          </cell>
          <cell r="E1478" t="str">
            <v>PX-8(7/48)</v>
          </cell>
        </row>
        <row r="1479">
          <cell r="B1479" t="str">
            <v>B272-400-AS-130-ET-004</v>
          </cell>
          <cell r="E1479" t="str">
            <v>PX-8(8/48)</v>
          </cell>
        </row>
        <row r="1480">
          <cell r="B1480" t="str">
            <v>B272-400-AS-130-ET-004</v>
          </cell>
          <cell r="E1480" t="str">
            <v>PX-8(9/48)</v>
          </cell>
        </row>
        <row r="1481">
          <cell r="B1481" t="str">
            <v>B272-400-AS-130-ET-004</v>
          </cell>
          <cell r="E1481" t="str">
            <v>PX-8(10/48)</v>
          </cell>
        </row>
        <row r="1482">
          <cell r="B1482" t="str">
            <v>B272-400-AS-130-ET-004</v>
          </cell>
          <cell r="E1482" t="str">
            <v>PX-8(11/48)</v>
          </cell>
        </row>
        <row r="1483">
          <cell r="B1483" t="str">
            <v>B272-400-AS-130-ET-004</v>
          </cell>
          <cell r="E1483" t="str">
            <v>PX-8(12/48)</v>
          </cell>
        </row>
        <row r="1484">
          <cell r="B1484" t="str">
            <v>B272-400-AS-130-ET-004</v>
          </cell>
          <cell r="E1484" t="str">
            <v>PX-8(13/48)</v>
          </cell>
        </row>
        <row r="1485">
          <cell r="B1485" t="str">
            <v>B272-400-AS-130-ET-004</v>
          </cell>
          <cell r="E1485" t="str">
            <v>PX-8(14/48)</v>
          </cell>
        </row>
        <row r="1486">
          <cell r="B1486" t="str">
            <v>B272-400-AS-130-ET-004</v>
          </cell>
          <cell r="E1486" t="str">
            <v>PX-8(15/48)</v>
          </cell>
        </row>
        <row r="1487">
          <cell r="B1487" t="str">
            <v>B272-400-AS-130-ET-004</v>
          </cell>
          <cell r="E1487" t="str">
            <v>PX-8(16/48)</v>
          </cell>
        </row>
        <row r="1488">
          <cell r="B1488" t="str">
            <v>B272-400-AS-130-ET-004</v>
          </cell>
          <cell r="E1488" t="str">
            <v>PX-8(17/48)</v>
          </cell>
        </row>
        <row r="1489">
          <cell r="B1489" t="str">
            <v>B272-400-AS-130-ET-004</v>
          </cell>
          <cell r="E1489" t="str">
            <v>PX-8(18/48)</v>
          </cell>
        </row>
        <row r="1490">
          <cell r="B1490" t="str">
            <v>B272-400-AS-130-ET-004</v>
          </cell>
          <cell r="E1490" t="str">
            <v>PX-8(19/48)</v>
          </cell>
        </row>
        <row r="1491">
          <cell r="B1491" t="str">
            <v>B272-400-AS-130-ET-004</v>
          </cell>
          <cell r="E1491" t="str">
            <v>PX-8(20/48)</v>
          </cell>
        </row>
        <row r="1492">
          <cell r="B1492" t="str">
            <v>B272-400-AS-130-ET-004</v>
          </cell>
          <cell r="E1492" t="str">
            <v>PX-8(21/48)</v>
          </cell>
        </row>
        <row r="1493">
          <cell r="B1493" t="str">
            <v>B272-400-AS-130-ET-004</v>
          </cell>
          <cell r="E1493" t="str">
            <v>PX-8(22/48)</v>
          </cell>
        </row>
        <row r="1494">
          <cell r="B1494" t="str">
            <v>B272-400-AS-130-ET-004</v>
          </cell>
          <cell r="E1494" t="str">
            <v>PX-8(23/48)</v>
          </cell>
        </row>
        <row r="1495">
          <cell r="B1495" t="str">
            <v>B272-400-AS-130-ET-004</v>
          </cell>
          <cell r="E1495" t="str">
            <v>PX-8(24/48)</v>
          </cell>
        </row>
        <row r="1496">
          <cell r="B1496" t="str">
            <v>B272-400-AS-130-ET-004</v>
          </cell>
          <cell r="E1496" t="str">
            <v>PX-8(25/48)</v>
          </cell>
        </row>
        <row r="1497">
          <cell r="B1497" t="str">
            <v>B272-400-AS-130-ET-004</v>
          </cell>
          <cell r="E1497" t="str">
            <v>PX-8(26/48)</v>
          </cell>
        </row>
        <row r="1498">
          <cell r="B1498" t="str">
            <v>B272-400-AS-130-ET-004</v>
          </cell>
          <cell r="E1498" t="str">
            <v>PX-8(27/48)</v>
          </cell>
        </row>
        <row r="1499">
          <cell r="B1499" t="str">
            <v>B272-400-AS-130-ET-004</v>
          </cell>
          <cell r="E1499" t="str">
            <v>PX-8(28/48)</v>
          </cell>
        </row>
        <row r="1500">
          <cell r="B1500" t="str">
            <v>B272-400-AS-130-ET-004</v>
          </cell>
          <cell r="E1500" t="str">
            <v>PX-8(29/48)</v>
          </cell>
        </row>
        <row r="1501">
          <cell r="B1501" t="str">
            <v>B272-400-AS-130-ET-004</v>
          </cell>
          <cell r="E1501" t="str">
            <v>PX-8(30/48)</v>
          </cell>
        </row>
        <row r="1502">
          <cell r="B1502" t="str">
            <v>B272-400-AS-130-ET-004</v>
          </cell>
          <cell r="E1502" t="str">
            <v>PX-8(31/48)</v>
          </cell>
        </row>
        <row r="1503">
          <cell r="B1503" t="str">
            <v>B272-400-AS-130-ET-004</v>
          </cell>
          <cell r="E1503" t="str">
            <v>PX-8(32/48)</v>
          </cell>
        </row>
        <row r="1504">
          <cell r="B1504" t="str">
            <v>B272-400-AS-130-ET-004</v>
          </cell>
          <cell r="E1504" t="str">
            <v>PX-8(33/48)</v>
          </cell>
        </row>
        <row r="1505">
          <cell r="B1505" t="str">
            <v>B272-400-AS-130-ET-004</v>
          </cell>
          <cell r="E1505" t="str">
            <v>PX-8(34/48)</v>
          </cell>
        </row>
        <row r="1506">
          <cell r="B1506" t="str">
            <v>B272-400-AS-130-ET-004</v>
          </cell>
          <cell r="E1506" t="str">
            <v>PX-8(35/48)</v>
          </cell>
        </row>
        <row r="1507">
          <cell r="B1507" t="str">
            <v>B272-400-AS-130-ET-004</v>
          </cell>
          <cell r="E1507" t="str">
            <v>PX-8(36/48)</v>
          </cell>
        </row>
        <row r="1508">
          <cell r="B1508" t="str">
            <v>B272-400-AS-130-ET-004</v>
          </cell>
          <cell r="E1508" t="str">
            <v>PX-8(37/48)</v>
          </cell>
        </row>
        <row r="1509">
          <cell r="B1509" t="str">
            <v>B272-400-AS-130-ET-004</v>
          </cell>
          <cell r="E1509" t="str">
            <v>PX-8(38/48)</v>
          </cell>
        </row>
        <row r="1510">
          <cell r="B1510" t="str">
            <v>B272-400-AS-130-ET-004</v>
          </cell>
          <cell r="E1510" t="str">
            <v>PX-8(39/48)</v>
          </cell>
        </row>
        <row r="1511">
          <cell r="B1511" t="str">
            <v>B272-400-AS-130-ET-004</v>
          </cell>
          <cell r="E1511" t="str">
            <v>PX-8(40/48)</v>
          </cell>
        </row>
        <row r="1512">
          <cell r="B1512" t="str">
            <v>B272-400-AS-130-ET-004</v>
          </cell>
          <cell r="E1512" t="str">
            <v>PX-8(41/48)</v>
          </cell>
        </row>
        <row r="1513">
          <cell r="B1513" t="str">
            <v>B272-400-AS-130-ET-004</v>
          </cell>
          <cell r="E1513" t="str">
            <v>PX-8(42/48)</v>
          </cell>
        </row>
        <row r="1514">
          <cell r="B1514" t="str">
            <v>B272-400-AS-130-ET-004</v>
          </cell>
          <cell r="E1514" t="str">
            <v>PX-8(43/48)</v>
          </cell>
        </row>
        <row r="1515">
          <cell r="B1515" t="str">
            <v>B272-400-AS-130-ET-004</v>
          </cell>
          <cell r="E1515" t="str">
            <v>PX-8(44/48)</v>
          </cell>
        </row>
        <row r="1516">
          <cell r="B1516" t="str">
            <v>B272-400-AS-130-ET-004</v>
          </cell>
          <cell r="E1516" t="str">
            <v>PX-8(45/48)</v>
          </cell>
        </row>
        <row r="1517">
          <cell r="B1517" t="str">
            <v>B272-400-AS-130-ET-004</v>
          </cell>
          <cell r="E1517" t="str">
            <v>PX-8(46/48)</v>
          </cell>
        </row>
        <row r="1518">
          <cell r="B1518" t="str">
            <v>B272-400-AS-130-ET-004</v>
          </cell>
          <cell r="E1518" t="str">
            <v>PX-8(47/48)</v>
          </cell>
        </row>
        <row r="1519">
          <cell r="B1519" t="str">
            <v>B272-400-AS-130-ET-004</v>
          </cell>
          <cell r="E1519" t="str">
            <v>PX-8(48/48)</v>
          </cell>
        </row>
        <row r="1520">
          <cell r="B1520" t="str">
            <v>B272-400-AS-130-ET-004</v>
          </cell>
          <cell r="E1520" t="str">
            <v>B2080</v>
          </cell>
        </row>
        <row r="1521">
          <cell r="B1521" t="str">
            <v>B272-400-AS-130-ET-004</v>
          </cell>
          <cell r="E1521" t="str">
            <v>B20100</v>
          </cell>
        </row>
        <row r="1522">
          <cell r="B1522" t="str">
            <v>B272-400-AS-130-ET-005</v>
          </cell>
        </row>
        <row r="1523">
          <cell r="B1523" t="str">
            <v>B272-400-AS-130-ET-005</v>
          </cell>
          <cell r="E1523" t="str">
            <v>P-62</v>
          </cell>
        </row>
        <row r="1524">
          <cell r="B1524" t="str">
            <v>B272-400-AS-130-ET-005</v>
          </cell>
          <cell r="E1524" t="str">
            <v>P-63</v>
          </cell>
        </row>
        <row r="1525">
          <cell r="B1525" t="str">
            <v>B272-400-AS-130-ET-005</v>
          </cell>
          <cell r="E1525" t="str">
            <v>P-175</v>
          </cell>
        </row>
        <row r="1526">
          <cell r="B1526" t="str">
            <v>B272-400-AS-130-ET-005</v>
          </cell>
          <cell r="E1526" t="str">
            <v>P-500(1/2)</v>
          </cell>
        </row>
        <row r="1527">
          <cell r="B1527" t="str">
            <v>B272-400-AS-130-ET-005</v>
          </cell>
          <cell r="E1527" t="str">
            <v>P-500(2/2)</v>
          </cell>
        </row>
        <row r="1528">
          <cell r="B1528" t="str">
            <v>B272-400-AS-130-ET-005</v>
          </cell>
          <cell r="E1528" t="str">
            <v>P-501(1/2)</v>
          </cell>
        </row>
        <row r="1529">
          <cell r="B1529" t="str">
            <v>B272-400-AS-130-ET-005</v>
          </cell>
          <cell r="E1529" t="str">
            <v>P-501(2/2)</v>
          </cell>
        </row>
        <row r="1530">
          <cell r="B1530" t="str">
            <v>B272-400-AS-130-ET-005</v>
          </cell>
          <cell r="E1530" t="str">
            <v>PX-2(1/12)</v>
          </cell>
        </row>
        <row r="1531">
          <cell r="B1531" t="str">
            <v>B272-400-AS-130-ET-005</v>
          </cell>
          <cell r="E1531" t="str">
            <v>PX-2(2/12)</v>
          </cell>
        </row>
        <row r="1532">
          <cell r="B1532" t="str">
            <v>B272-400-AS-130-ET-005</v>
          </cell>
          <cell r="E1532" t="str">
            <v>PX-2(3/12)</v>
          </cell>
        </row>
        <row r="1533">
          <cell r="B1533" t="str">
            <v>B272-400-AS-130-ET-005</v>
          </cell>
          <cell r="E1533" t="str">
            <v>PX-2(4/12)</v>
          </cell>
        </row>
        <row r="1534">
          <cell r="B1534" t="str">
            <v>B272-400-AS-130-ET-005</v>
          </cell>
          <cell r="E1534" t="str">
            <v>PX-2(5/12)</v>
          </cell>
        </row>
        <row r="1535">
          <cell r="B1535" t="str">
            <v>B272-400-AS-130-ET-005</v>
          </cell>
          <cell r="E1535" t="str">
            <v>PX-2(6/12)</v>
          </cell>
        </row>
        <row r="1536">
          <cell r="B1536" t="str">
            <v>B272-400-AS-130-ET-005</v>
          </cell>
          <cell r="E1536" t="str">
            <v>PX-2(7/12)</v>
          </cell>
        </row>
        <row r="1537">
          <cell r="B1537" t="str">
            <v>B272-400-AS-130-ET-005</v>
          </cell>
          <cell r="E1537" t="str">
            <v>PX-2(8/12)</v>
          </cell>
        </row>
        <row r="1538">
          <cell r="B1538" t="str">
            <v>B272-400-AS-130-ET-005</v>
          </cell>
          <cell r="E1538" t="str">
            <v>PX-2(9/12)</v>
          </cell>
        </row>
        <row r="1539">
          <cell r="B1539" t="str">
            <v>B272-400-AS-130-ET-005</v>
          </cell>
          <cell r="E1539" t="str">
            <v>PX-2(10/12)</v>
          </cell>
        </row>
        <row r="1540">
          <cell r="B1540" t="str">
            <v>B272-400-AS-130-ET-005</v>
          </cell>
          <cell r="E1540" t="str">
            <v>PX-2(11/12)</v>
          </cell>
        </row>
        <row r="1541">
          <cell r="B1541" t="str">
            <v>B272-400-AS-130-ET-005</v>
          </cell>
          <cell r="E1541" t="str">
            <v>PX-2(12/12)</v>
          </cell>
        </row>
        <row r="1542">
          <cell r="B1542" t="str">
            <v>B272-400-AS-130-ET-005</v>
          </cell>
          <cell r="E1542" t="str">
            <v>PX-12(1/2)</v>
          </cell>
        </row>
        <row r="1543">
          <cell r="B1543" t="str">
            <v>B272-400-AS-130-ET-005</v>
          </cell>
          <cell r="E1543" t="str">
            <v>PX-12(2/2)</v>
          </cell>
        </row>
        <row r="1544">
          <cell r="B1544" t="str">
            <v>B272-400-AS-130-ET-005</v>
          </cell>
          <cell r="E1544" t="str">
            <v>PX-13(1/48)</v>
          </cell>
        </row>
        <row r="1545">
          <cell r="B1545" t="str">
            <v>B272-400-AS-130-ET-005</v>
          </cell>
          <cell r="E1545" t="str">
            <v>PX-13(2/48)</v>
          </cell>
        </row>
        <row r="1546">
          <cell r="B1546" t="str">
            <v>B272-400-AS-130-ET-005</v>
          </cell>
          <cell r="E1546" t="str">
            <v>PX-13(3/48)</v>
          </cell>
        </row>
        <row r="1547">
          <cell r="B1547" t="str">
            <v>B272-400-AS-130-ET-005</v>
          </cell>
          <cell r="E1547" t="str">
            <v>PX-13(4/48)</v>
          </cell>
        </row>
        <row r="1548">
          <cell r="B1548" t="str">
            <v>B272-400-AS-130-ET-005</v>
          </cell>
          <cell r="E1548" t="str">
            <v>PX-13(5/48)</v>
          </cell>
        </row>
        <row r="1549">
          <cell r="B1549" t="str">
            <v>B272-400-AS-130-ET-005</v>
          </cell>
          <cell r="E1549" t="str">
            <v>PX-13(6/48)</v>
          </cell>
        </row>
        <row r="1550">
          <cell r="B1550" t="str">
            <v>B272-400-AS-130-ET-005</v>
          </cell>
          <cell r="E1550" t="str">
            <v>PX-13(7/48)</v>
          </cell>
        </row>
        <row r="1551">
          <cell r="B1551" t="str">
            <v>B272-400-AS-130-ET-005</v>
          </cell>
          <cell r="E1551" t="str">
            <v>PX-13(8/48)</v>
          </cell>
        </row>
        <row r="1552">
          <cell r="B1552" t="str">
            <v>B272-400-AS-130-ET-005</v>
          </cell>
          <cell r="E1552" t="str">
            <v>PX-13(9/48)</v>
          </cell>
        </row>
        <row r="1553">
          <cell r="B1553" t="str">
            <v>B272-400-AS-130-ET-005</v>
          </cell>
          <cell r="E1553" t="str">
            <v>PX-13(10/48)</v>
          </cell>
        </row>
        <row r="1554">
          <cell r="B1554" t="str">
            <v>B272-400-AS-130-ET-005</v>
          </cell>
          <cell r="E1554" t="str">
            <v>PX-13(11/48)</v>
          </cell>
        </row>
        <row r="1555">
          <cell r="B1555" t="str">
            <v>B272-400-AS-130-ET-005</v>
          </cell>
          <cell r="E1555" t="str">
            <v>PX-13(12/48)</v>
          </cell>
        </row>
        <row r="1556">
          <cell r="B1556" t="str">
            <v>B272-400-AS-130-ET-005</v>
          </cell>
          <cell r="E1556" t="str">
            <v>PX-13(13/48)</v>
          </cell>
        </row>
        <row r="1557">
          <cell r="B1557" t="str">
            <v>B272-400-AS-130-ET-005</v>
          </cell>
          <cell r="E1557" t="str">
            <v>PX-13(14/48)</v>
          </cell>
        </row>
        <row r="1558">
          <cell r="B1558" t="str">
            <v>B272-400-AS-130-ET-005</v>
          </cell>
          <cell r="E1558" t="str">
            <v>PX-13(15/48)</v>
          </cell>
        </row>
        <row r="1559">
          <cell r="B1559" t="str">
            <v>B272-400-AS-130-ET-005</v>
          </cell>
          <cell r="E1559" t="str">
            <v>PX-13(16/48)</v>
          </cell>
        </row>
        <row r="1560">
          <cell r="B1560" t="str">
            <v>B272-400-AS-130-ET-005</v>
          </cell>
          <cell r="E1560" t="str">
            <v>PX-13(17/48)</v>
          </cell>
        </row>
        <row r="1561">
          <cell r="B1561" t="str">
            <v>B272-400-AS-130-ET-005</v>
          </cell>
          <cell r="E1561" t="str">
            <v>PX-13(18/48)</v>
          </cell>
        </row>
        <row r="1562">
          <cell r="B1562" t="str">
            <v>B272-400-AS-130-ET-005</v>
          </cell>
          <cell r="E1562" t="str">
            <v>PX-13(19/48)</v>
          </cell>
        </row>
        <row r="1563">
          <cell r="B1563" t="str">
            <v>B272-400-AS-130-ET-005</v>
          </cell>
          <cell r="E1563" t="str">
            <v>PX-13(20/48)</v>
          </cell>
        </row>
        <row r="1564">
          <cell r="B1564" t="str">
            <v>B272-400-AS-130-ET-005</v>
          </cell>
          <cell r="E1564" t="str">
            <v>PX-13(21/48)</v>
          </cell>
        </row>
        <row r="1565">
          <cell r="B1565" t="str">
            <v>B272-400-AS-130-ET-005</v>
          </cell>
          <cell r="E1565" t="str">
            <v>PX-13(22/48)</v>
          </cell>
        </row>
        <row r="1566">
          <cell r="B1566" t="str">
            <v>B272-400-AS-130-ET-005</v>
          </cell>
          <cell r="E1566" t="str">
            <v>PX-13(23/48)</v>
          </cell>
        </row>
        <row r="1567">
          <cell r="B1567" t="str">
            <v>B272-400-AS-130-ET-005</v>
          </cell>
          <cell r="E1567" t="str">
            <v>PX-13(24/48)</v>
          </cell>
        </row>
        <row r="1568">
          <cell r="B1568" t="str">
            <v>B272-400-AS-130-ET-005</v>
          </cell>
          <cell r="E1568" t="str">
            <v>PX-13(25/48)</v>
          </cell>
        </row>
        <row r="1569">
          <cell r="B1569" t="str">
            <v>B272-400-AS-130-ET-005</v>
          </cell>
          <cell r="E1569" t="str">
            <v>PX-13(26/48)</v>
          </cell>
        </row>
        <row r="1570">
          <cell r="B1570" t="str">
            <v>B272-400-AS-130-ET-005</v>
          </cell>
          <cell r="E1570" t="str">
            <v>PX-13(27/48)</v>
          </cell>
        </row>
        <row r="1571">
          <cell r="B1571" t="str">
            <v>B272-400-AS-130-ET-005</v>
          </cell>
          <cell r="E1571" t="str">
            <v>PX-13(28/48)</v>
          </cell>
        </row>
        <row r="1572">
          <cell r="B1572" t="str">
            <v>B272-400-AS-130-ET-005</v>
          </cell>
          <cell r="E1572" t="str">
            <v>PX-13(29/48)</v>
          </cell>
        </row>
        <row r="1573">
          <cell r="B1573" t="str">
            <v>B272-400-AS-130-ET-005</v>
          </cell>
          <cell r="E1573" t="str">
            <v>PX-13(30/48)</v>
          </cell>
        </row>
        <row r="1574">
          <cell r="B1574" t="str">
            <v>B272-400-AS-130-ET-005</v>
          </cell>
          <cell r="E1574" t="str">
            <v>PX-13(31/48)</v>
          </cell>
        </row>
        <row r="1575">
          <cell r="B1575" t="str">
            <v>B272-400-AS-130-ET-005</v>
          </cell>
          <cell r="E1575" t="str">
            <v>PX-13(32/48)</v>
          </cell>
        </row>
        <row r="1576">
          <cell r="B1576" t="str">
            <v>B272-400-AS-130-ET-005</v>
          </cell>
          <cell r="E1576" t="str">
            <v>PX-13(33/48)</v>
          </cell>
        </row>
        <row r="1577">
          <cell r="B1577" t="str">
            <v>B272-400-AS-130-ET-005</v>
          </cell>
          <cell r="E1577" t="str">
            <v>PX-13(34/48)</v>
          </cell>
        </row>
        <row r="1578">
          <cell r="B1578" t="str">
            <v>B272-400-AS-130-ET-005</v>
          </cell>
          <cell r="E1578" t="str">
            <v>PX-13(35/48)</v>
          </cell>
        </row>
        <row r="1579">
          <cell r="B1579" t="str">
            <v>B272-400-AS-130-ET-005</v>
          </cell>
          <cell r="E1579" t="str">
            <v>PX-13(36/48)</v>
          </cell>
        </row>
        <row r="1580">
          <cell r="B1580" t="str">
            <v>B272-400-AS-130-ET-005</v>
          </cell>
          <cell r="E1580" t="str">
            <v>PX-13(37/48)</v>
          </cell>
        </row>
        <row r="1581">
          <cell r="B1581" t="str">
            <v>B272-400-AS-130-ET-005</v>
          </cell>
          <cell r="E1581" t="str">
            <v>PX-13(38/48)</v>
          </cell>
        </row>
        <row r="1582">
          <cell r="B1582" t="str">
            <v>B272-400-AS-130-ET-005</v>
          </cell>
          <cell r="E1582" t="str">
            <v>PX-13(39/48)</v>
          </cell>
        </row>
        <row r="1583">
          <cell r="B1583" t="str">
            <v>B272-400-AS-130-ET-005</v>
          </cell>
          <cell r="E1583" t="str">
            <v>PX-13(40/48)</v>
          </cell>
        </row>
        <row r="1584">
          <cell r="B1584" t="str">
            <v>B272-400-AS-130-ET-005</v>
          </cell>
          <cell r="E1584" t="str">
            <v>PX-13(41/48)</v>
          </cell>
        </row>
        <row r="1585">
          <cell r="B1585" t="str">
            <v>B272-400-AS-130-ET-005</v>
          </cell>
          <cell r="E1585" t="str">
            <v>PX-13(42/48)</v>
          </cell>
        </row>
        <row r="1586">
          <cell r="B1586" t="str">
            <v>B272-400-AS-130-ET-005</v>
          </cell>
          <cell r="E1586" t="str">
            <v>PX-13(43/48)</v>
          </cell>
        </row>
        <row r="1587">
          <cell r="B1587" t="str">
            <v>B272-400-AS-130-ET-005</v>
          </cell>
          <cell r="E1587" t="str">
            <v>PX-13(44/48)</v>
          </cell>
        </row>
        <row r="1588">
          <cell r="B1588" t="str">
            <v>B272-400-AS-130-ET-005</v>
          </cell>
          <cell r="E1588" t="str">
            <v>PX-13(45/48)</v>
          </cell>
        </row>
        <row r="1589">
          <cell r="B1589" t="str">
            <v>B272-400-AS-130-ET-005</v>
          </cell>
          <cell r="E1589" t="str">
            <v>PX-13(46/48)</v>
          </cell>
        </row>
        <row r="1590">
          <cell r="B1590" t="str">
            <v>B272-400-AS-130-ET-005</v>
          </cell>
          <cell r="E1590" t="str">
            <v>PX-13(47/48)</v>
          </cell>
        </row>
        <row r="1591">
          <cell r="B1591" t="str">
            <v>B272-400-AS-130-ET-005</v>
          </cell>
          <cell r="E1591" t="str">
            <v>PX-13(48/48)</v>
          </cell>
        </row>
        <row r="1592">
          <cell r="B1592" t="str">
            <v>B272-400-AS-130-ET-005</v>
          </cell>
          <cell r="E1592" t="str">
            <v>B2080</v>
          </cell>
        </row>
        <row r="1593">
          <cell r="B1593" t="str">
            <v>B272-400-AS-130-ET-005</v>
          </cell>
          <cell r="E1593" t="str">
            <v>B20100</v>
          </cell>
        </row>
        <row r="1594">
          <cell r="B1594" t="str">
            <v>B272-400-AS-130-ET-006</v>
          </cell>
        </row>
        <row r="1595">
          <cell r="B1595" t="str">
            <v>B272-400-AS-130-ET-006</v>
          </cell>
          <cell r="E1595" t="str">
            <v>P-62</v>
          </cell>
        </row>
        <row r="1596">
          <cell r="B1596" t="str">
            <v>B272-400-AS-130-ET-006</v>
          </cell>
          <cell r="E1596" t="str">
            <v>P-291</v>
          </cell>
        </row>
        <row r="1597">
          <cell r="B1597" t="str">
            <v>B272-400-AS-130-ET-006</v>
          </cell>
          <cell r="E1597" t="str">
            <v>P-311</v>
          </cell>
        </row>
        <row r="1598">
          <cell r="B1598" t="str">
            <v>B272-400-AS-130-ET-006</v>
          </cell>
          <cell r="E1598" t="str">
            <v>P-477</v>
          </cell>
        </row>
        <row r="1599">
          <cell r="B1599" t="str">
            <v>B272-400-AS-130-ET-006</v>
          </cell>
          <cell r="E1599" t="str">
            <v>P-499(1/2)</v>
          </cell>
        </row>
        <row r="1600">
          <cell r="B1600" t="str">
            <v>B272-400-AS-130-ET-006</v>
          </cell>
          <cell r="E1600" t="str">
            <v>P-499(2/2)</v>
          </cell>
        </row>
        <row r="1601">
          <cell r="B1601" t="str">
            <v>B272-400-AS-130-ET-006</v>
          </cell>
          <cell r="E1601" t="str">
            <v>P-500</v>
          </cell>
        </row>
        <row r="1602">
          <cell r="B1602" t="str">
            <v>B272-400-AS-130-ET-006</v>
          </cell>
          <cell r="E1602" t="str">
            <v>PX-5</v>
          </cell>
        </row>
        <row r="1603">
          <cell r="B1603" t="str">
            <v>B272-400-AS-130-ET-006</v>
          </cell>
          <cell r="E1603" t="str">
            <v>PX-8(1/60)</v>
          </cell>
        </row>
        <row r="1604">
          <cell r="B1604" t="str">
            <v>B272-400-AS-130-ET-006</v>
          </cell>
          <cell r="E1604" t="str">
            <v>PX-8(2/60)</v>
          </cell>
        </row>
        <row r="1605">
          <cell r="B1605" t="str">
            <v>B272-400-AS-130-ET-006</v>
          </cell>
          <cell r="E1605" t="str">
            <v>PX-8(3/60)</v>
          </cell>
        </row>
        <row r="1606">
          <cell r="B1606" t="str">
            <v>B272-400-AS-130-ET-006</v>
          </cell>
          <cell r="E1606" t="str">
            <v>PX-8(4/60)</v>
          </cell>
        </row>
        <row r="1607">
          <cell r="B1607" t="str">
            <v>B272-400-AS-130-ET-006</v>
          </cell>
          <cell r="E1607" t="str">
            <v>PX-8(5/60)</v>
          </cell>
        </row>
        <row r="1608">
          <cell r="B1608" t="str">
            <v>B272-400-AS-130-ET-006</v>
          </cell>
          <cell r="E1608" t="str">
            <v>PX-8(6/60)</v>
          </cell>
        </row>
        <row r="1609">
          <cell r="B1609" t="str">
            <v>B272-400-AS-130-ET-006</v>
          </cell>
          <cell r="E1609" t="str">
            <v>PX-8(7/60)</v>
          </cell>
        </row>
        <row r="1610">
          <cell r="B1610" t="str">
            <v>B272-400-AS-130-ET-006</v>
          </cell>
          <cell r="E1610" t="str">
            <v>PX-8(8/60)</v>
          </cell>
        </row>
        <row r="1611">
          <cell r="B1611" t="str">
            <v>B272-400-AS-130-ET-006</v>
          </cell>
          <cell r="E1611" t="str">
            <v>PX-8(9/60)</v>
          </cell>
        </row>
        <row r="1612">
          <cell r="B1612" t="str">
            <v>B272-400-AS-130-ET-006</v>
          </cell>
          <cell r="E1612" t="str">
            <v>PX-8(10/60)</v>
          </cell>
        </row>
        <row r="1613">
          <cell r="B1613" t="str">
            <v>B272-400-AS-130-ET-006</v>
          </cell>
          <cell r="E1613" t="str">
            <v>PX-8(11/60)</v>
          </cell>
        </row>
        <row r="1614">
          <cell r="B1614" t="str">
            <v>B272-400-AS-130-ET-006</v>
          </cell>
          <cell r="E1614" t="str">
            <v>PX-8(12/60)</v>
          </cell>
        </row>
        <row r="1615">
          <cell r="B1615" t="str">
            <v>B272-400-AS-130-ET-006</v>
          </cell>
          <cell r="E1615" t="str">
            <v>PX-8(13/60)</v>
          </cell>
        </row>
        <row r="1616">
          <cell r="B1616" t="str">
            <v>B272-400-AS-130-ET-006</v>
          </cell>
          <cell r="E1616" t="str">
            <v>PX-8(14/60)</v>
          </cell>
        </row>
        <row r="1617">
          <cell r="B1617" t="str">
            <v>B272-400-AS-130-ET-006</v>
          </cell>
          <cell r="E1617" t="str">
            <v>PX-8(15/60)</v>
          </cell>
        </row>
        <row r="1618">
          <cell r="B1618" t="str">
            <v>B272-400-AS-130-ET-006</v>
          </cell>
          <cell r="E1618" t="str">
            <v>PX-8(16/60)</v>
          </cell>
        </row>
        <row r="1619">
          <cell r="B1619" t="str">
            <v>B272-400-AS-130-ET-006</v>
          </cell>
          <cell r="E1619" t="str">
            <v>PX-8(17/60)</v>
          </cell>
        </row>
        <row r="1620">
          <cell r="B1620" t="str">
            <v>B272-400-AS-130-ET-006</v>
          </cell>
          <cell r="E1620" t="str">
            <v>PX-8(18/60)</v>
          </cell>
        </row>
        <row r="1621">
          <cell r="B1621" t="str">
            <v>B272-400-AS-130-ET-006</v>
          </cell>
          <cell r="E1621" t="str">
            <v>PX-8(19/60)</v>
          </cell>
        </row>
        <row r="1622">
          <cell r="B1622" t="str">
            <v>B272-400-AS-130-ET-006</v>
          </cell>
          <cell r="E1622" t="str">
            <v>PX-8(20/60)</v>
          </cell>
        </row>
        <row r="1623">
          <cell r="B1623" t="str">
            <v>B272-400-AS-130-ET-006</v>
          </cell>
          <cell r="E1623" t="str">
            <v>PX-8(21/60)</v>
          </cell>
        </row>
        <row r="1624">
          <cell r="B1624" t="str">
            <v>B272-400-AS-130-ET-006</v>
          </cell>
          <cell r="E1624" t="str">
            <v>PX-8(22/60)</v>
          </cell>
        </row>
        <row r="1625">
          <cell r="B1625" t="str">
            <v>B272-400-AS-130-ET-006</v>
          </cell>
          <cell r="E1625" t="str">
            <v>PX-8(23/60)</v>
          </cell>
        </row>
        <row r="1626">
          <cell r="B1626" t="str">
            <v>B272-400-AS-130-ET-006</v>
          </cell>
          <cell r="E1626" t="str">
            <v>PX-8(24/60)</v>
          </cell>
        </row>
        <row r="1627">
          <cell r="B1627" t="str">
            <v>B272-400-AS-130-ET-006</v>
          </cell>
          <cell r="E1627" t="str">
            <v>PX-8(25/60)</v>
          </cell>
        </row>
        <row r="1628">
          <cell r="B1628" t="str">
            <v>B272-400-AS-130-ET-006</v>
          </cell>
          <cell r="E1628" t="str">
            <v>PX-8(26/60)</v>
          </cell>
        </row>
        <row r="1629">
          <cell r="B1629" t="str">
            <v>B272-400-AS-130-ET-006</v>
          </cell>
          <cell r="E1629" t="str">
            <v>PX-8(27/60)</v>
          </cell>
        </row>
        <row r="1630">
          <cell r="B1630" t="str">
            <v>B272-400-AS-130-ET-006</v>
          </cell>
          <cell r="E1630" t="str">
            <v>PX-8(28/60)</v>
          </cell>
        </row>
        <row r="1631">
          <cell r="B1631" t="str">
            <v>B272-400-AS-130-ET-006</v>
          </cell>
          <cell r="E1631" t="str">
            <v>PX-8(29/60)</v>
          </cell>
        </row>
        <row r="1632">
          <cell r="B1632" t="str">
            <v>B272-400-AS-130-ET-006</v>
          </cell>
          <cell r="E1632" t="str">
            <v>PX-8(30/60)</v>
          </cell>
        </row>
        <row r="1633">
          <cell r="B1633" t="str">
            <v>B272-400-AS-130-ET-006</v>
          </cell>
          <cell r="E1633" t="str">
            <v>PX-8(31/60)</v>
          </cell>
        </row>
        <row r="1634">
          <cell r="B1634" t="str">
            <v>B272-400-AS-130-ET-006</v>
          </cell>
          <cell r="E1634" t="str">
            <v>PX-8(32/60)</v>
          </cell>
        </row>
        <row r="1635">
          <cell r="B1635" t="str">
            <v>B272-400-AS-130-ET-006</v>
          </cell>
          <cell r="E1635" t="str">
            <v>PX-8(33/60)</v>
          </cell>
        </row>
        <row r="1636">
          <cell r="B1636" t="str">
            <v>B272-400-AS-130-ET-006</v>
          </cell>
          <cell r="E1636" t="str">
            <v>PX-8(34/60)</v>
          </cell>
        </row>
        <row r="1637">
          <cell r="B1637" t="str">
            <v>B272-400-AS-130-ET-006</v>
          </cell>
          <cell r="E1637" t="str">
            <v>PX-8(35/60)</v>
          </cell>
        </row>
        <row r="1638">
          <cell r="B1638" t="str">
            <v>B272-400-AS-130-ET-006</v>
          </cell>
          <cell r="E1638" t="str">
            <v>PX-8(36/60)</v>
          </cell>
        </row>
        <row r="1639">
          <cell r="B1639" t="str">
            <v>B272-400-AS-130-ET-006</v>
          </cell>
          <cell r="E1639" t="str">
            <v>PX-8(37/60)</v>
          </cell>
        </row>
        <row r="1640">
          <cell r="B1640" t="str">
            <v>B272-400-AS-130-ET-006</v>
          </cell>
          <cell r="E1640" t="str">
            <v>PX-8(38/60)</v>
          </cell>
        </row>
        <row r="1641">
          <cell r="B1641" t="str">
            <v>B272-400-AS-130-ET-006</v>
          </cell>
          <cell r="E1641" t="str">
            <v>PX-8(39/60)</v>
          </cell>
        </row>
        <row r="1642">
          <cell r="B1642" t="str">
            <v>B272-400-AS-130-ET-006</v>
          </cell>
          <cell r="E1642" t="str">
            <v>PX-8(40/60)</v>
          </cell>
        </row>
        <row r="1643">
          <cell r="B1643" t="str">
            <v>B272-400-AS-130-ET-006</v>
          </cell>
          <cell r="E1643" t="str">
            <v>PX-8(41/60)</v>
          </cell>
        </row>
        <row r="1644">
          <cell r="B1644" t="str">
            <v>B272-400-AS-130-ET-006</v>
          </cell>
          <cell r="E1644" t="str">
            <v>PX-8(42/60)</v>
          </cell>
        </row>
        <row r="1645">
          <cell r="B1645" t="str">
            <v>B272-400-AS-130-ET-006</v>
          </cell>
          <cell r="E1645" t="str">
            <v>PX-8(43/60)</v>
          </cell>
        </row>
        <row r="1646">
          <cell r="B1646" t="str">
            <v>B272-400-AS-130-ET-006</v>
          </cell>
          <cell r="E1646" t="str">
            <v>PX-8(44/60)</v>
          </cell>
        </row>
        <row r="1647">
          <cell r="B1647" t="str">
            <v>B272-400-AS-130-ET-006</v>
          </cell>
          <cell r="E1647" t="str">
            <v>PX-8(45/60)</v>
          </cell>
        </row>
        <row r="1648">
          <cell r="B1648" t="str">
            <v>B272-400-AS-130-ET-006</v>
          </cell>
          <cell r="E1648" t="str">
            <v>PX-8(46/60)</v>
          </cell>
        </row>
        <row r="1649">
          <cell r="B1649" t="str">
            <v>B272-400-AS-130-ET-006</v>
          </cell>
          <cell r="E1649" t="str">
            <v>PX-8(47/60)</v>
          </cell>
        </row>
        <row r="1650">
          <cell r="B1650" t="str">
            <v>B272-400-AS-130-ET-006</v>
          </cell>
          <cell r="E1650" t="str">
            <v>PX-8(48/60)</v>
          </cell>
        </row>
        <row r="1651">
          <cell r="B1651" t="str">
            <v>B272-400-AS-130-ET-006</v>
          </cell>
          <cell r="E1651" t="str">
            <v>PX-8(49/60)</v>
          </cell>
        </row>
        <row r="1652">
          <cell r="B1652" t="str">
            <v>B272-400-AS-130-ET-006</v>
          </cell>
          <cell r="E1652" t="str">
            <v>PX-8(50/60)</v>
          </cell>
        </row>
        <row r="1653">
          <cell r="B1653" t="str">
            <v>B272-400-AS-130-ET-006</v>
          </cell>
          <cell r="E1653" t="str">
            <v>PX-8(51/60)</v>
          </cell>
        </row>
        <row r="1654">
          <cell r="B1654" t="str">
            <v>B272-400-AS-130-ET-006</v>
          </cell>
          <cell r="E1654" t="str">
            <v>PX-8(52/60)</v>
          </cell>
        </row>
        <row r="1655">
          <cell r="B1655" t="str">
            <v>B272-400-AS-130-ET-006</v>
          </cell>
          <cell r="E1655" t="str">
            <v>PX-8(53/60)</v>
          </cell>
        </row>
        <row r="1656">
          <cell r="B1656" t="str">
            <v>B272-400-AS-130-ET-006</v>
          </cell>
          <cell r="E1656" t="str">
            <v>PX-8(54/60)</v>
          </cell>
        </row>
        <row r="1657">
          <cell r="B1657" t="str">
            <v>B272-400-AS-130-ET-006</v>
          </cell>
          <cell r="E1657" t="str">
            <v>PX-8(55/60)</v>
          </cell>
        </row>
        <row r="1658">
          <cell r="B1658" t="str">
            <v>B272-400-AS-130-ET-006</v>
          </cell>
          <cell r="E1658" t="str">
            <v>PX-8(56/60)</v>
          </cell>
        </row>
        <row r="1659">
          <cell r="B1659" t="str">
            <v>B272-400-AS-130-ET-006</v>
          </cell>
          <cell r="E1659" t="str">
            <v>PX-8(57/60)</v>
          </cell>
        </row>
        <row r="1660">
          <cell r="B1660" t="str">
            <v>B272-400-AS-130-ET-006</v>
          </cell>
          <cell r="E1660" t="str">
            <v>PX-8(58/60)</v>
          </cell>
        </row>
        <row r="1661">
          <cell r="B1661" t="str">
            <v>B272-400-AS-130-ET-006</v>
          </cell>
          <cell r="E1661" t="str">
            <v>PX-8(59/60)</v>
          </cell>
        </row>
        <row r="1662">
          <cell r="B1662" t="str">
            <v>B272-400-AS-130-ET-006</v>
          </cell>
          <cell r="E1662" t="str">
            <v>PX-8(60/60)</v>
          </cell>
        </row>
        <row r="1663">
          <cell r="B1663" t="str">
            <v>B272-400-AS-130-ET-006</v>
          </cell>
          <cell r="E1663" t="str">
            <v>B20100</v>
          </cell>
        </row>
        <row r="1664">
          <cell r="B1664" t="str">
            <v>B272-400-AS-130-ET-007</v>
          </cell>
        </row>
        <row r="1665">
          <cell r="B1665" t="str">
            <v>B272-400-AS-130-ET-007</v>
          </cell>
          <cell r="E1665" t="str">
            <v>P-62</v>
          </cell>
        </row>
        <row r="1666">
          <cell r="B1666" t="str">
            <v>B272-400-AS-130-ET-007</v>
          </cell>
          <cell r="E1666" t="str">
            <v>P-291</v>
          </cell>
        </row>
        <row r="1667">
          <cell r="B1667" t="str">
            <v>B272-400-AS-130-ET-007</v>
          </cell>
          <cell r="E1667" t="str">
            <v>P-311</v>
          </cell>
        </row>
        <row r="1668">
          <cell r="B1668" t="str">
            <v>B272-400-AS-130-ET-007</v>
          </cell>
          <cell r="E1668" t="str">
            <v>P-477</v>
          </cell>
        </row>
        <row r="1669">
          <cell r="B1669" t="str">
            <v>B272-400-AS-130-ET-007</v>
          </cell>
          <cell r="E1669" t="str">
            <v>P-499(1/2)</v>
          </cell>
        </row>
        <row r="1670">
          <cell r="B1670" t="str">
            <v>B272-400-AS-130-ET-007</v>
          </cell>
          <cell r="E1670" t="str">
            <v>P-499(2/2)</v>
          </cell>
        </row>
        <row r="1671">
          <cell r="B1671" t="str">
            <v>B272-400-AS-130-ET-007</v>
          </cell>
          <cell r="E1671" t="str">
            <v>P-500</v>
          </cell>
        </row>
        <row r="1672">
          <cell r="B1672" t="str">
            <v>B272-400-AS-130-ET-007</v>
          </cell>
          <cell r="E1672" t="str">
            <v>PX-10</v>
          </cell>
        </row>
        <row r="1673">
          <cell r="B1673" t="str">
            <v>B272-400-AS-130-ET-007</v>
          </cell>
          <cell r="E1673" t="str">
            <v>PX-13(1/60)</v>
          </cell>
        </row>
        <row r="1674">
          <cell r="B1674" t="str">
            <v>B272-400-AS-130-ET-007</v>
          </cell>
          <cell r="E1674" t="str">
            <v>PX-13(2/60)</v>
          </cell>
        </row>
        <row r="1675">
          <cell r="B1675" t="str">
            <v>B272-400-AS-130-ET-007</v>
          </cell>
          <cell r="E1675" t="str">
            <v>PX-13(3/60)</v>
          </cell>
        </row>
        <row r="1676">
          <cell r="B1676" t="str">
            <v>B272-400-AS-130-ET-007</v>
          </cell>
          <cell r="E1676" t="str">
            <v>PX-13(4/60)</v>
          </cell>
        </row>
        <row r="1677">
          <cell r="B1677" t="str">
            <v>B272-400-AS-130-ET-007</v>
          </cell>
          <cell r="E1677" t="str">
            <v>PX-13(5/60)</v>
          </cell>
        </row>
        <row r="1678">
          <cell r="B1678" t="str">
            <v>B272-400-AS-130-ET-007</v>
          </cell>
          <cell r="E1678" t="str">
            <v>PX-13(6/60)</v>
          </cell>
        </row>
        <row r="1679">
          <cell r="B1679" t="str">
            <v>B272-400-AS-130-ET-007</v>
          </cell>
          <cell r="E1679" t="str">
            <v>PX-13(7/60)</v>
          </cell>
        </row>
        <row r="1680">
          <cell r="B1680" t="str">
            <v>B272-400-AS-130-ET-007</v>
          </cell>
          <cell r="E1680" t="str">
            <v>PX-13(8/60)</v>
          </cell>
        </row>
        <row r="1681">
          <cell r="B1681" t="str">
            <v>B272-400-AS-130-ET-007</v>
          </cell>
          <cell r="E1681" t="str">
            <v>PX-13(9/60)</v>
          </cell>
        </row>
        <row r="1682">
          <cell r="B1682" t="str">
            <v>B272-400-AS-130-ET-007</v>
          </cell>
          <cell r="E1682" t="str">
            <v>PX-13(10/60)</v>
          </cell>
        </row>
        <row r="1683">
          <cell r="B1683" t="str">
            <v>B272-400-AS-130-ET-007</v>
          </cell>
          <cell r="E1683" t="str">
            <v>PX-13(11/60)</v>
          </cell>
        </row>
        <row r="1684">
          <cell r="B1684" t="str">
            <v>B272-400-AS-130-ET-007</v>
          </cell>
          <cell r="E1684" t="str">
            <v>PX-13(12/60)</v>
          </cell>
        </row>
        <row r="1685">
          <cell r="B1685" t="str">
            <v>B272-400-AS-130-ET-007</v>
          </cell>
          <cell r="E1685" t="str">
            <v>PX-13(13/60)</v>
          </cell>
        </row>
        <row r="1686">
          <cell r="B1686" t="str">
            <v>B272-400-AS-130-ET-007</v>
          </cell>
          <cell r="E1686" t="str">
            <v>PX-13(14/60)</v>
          </cell>
        </row>
        <row r="1687">
          <cell r="B1687" t="str">
            <v>B272-400-AS-130-ET-007</v>
          </cell>
          <cell r="E1687" t="str">
            <v>PX-13(15/60)</v>
          </cell>
        </row>
        <row r="1688">
          <cell r="B1688" t="str">
            <v>B272-400-AS-130-ET-007</v>
          </cell>
          <cell r="E1688" t="str">
            <v>PX-13(16/60)</v>
          </cell>
        </row>
        <row r="1689">
          <cell r="B1689" t="str">
            <v>B272-400-AS-130-ET-007</v>
          </cell>
          <cell r="E1689" t="str">
            <v>PX-13(17/60)</v>
          </cell>
        </row>
        <row r="1690">
          <cell r="B1690" t="str">
            <v>B272-400-AS-130-ET-007</v>
          </cell>
          <cell r="E1690" t="str">
            <v>PX-13(18/60)</v>
          </cell>
        </row>
        <row r="1691">
          <cell r="B1691" t="str">
            <v>B272-400-AS-130-ET-007</v>
          </cell>
          <cell r="E1691" t="str">
            <v>PX-13(19/60)</v>
          </cell>
        </row>
        <row r="1692">
          <cell r="B1692" t="str">
            <v>B272-400-AS-130-ET-007</v>
          </cell>
          <cell r="E1692" t="str">
            <v>PX-13(20/60)</v>
          </cell>
        </row>
        <row r="1693">
          <cell r="B1693" t="str">
            <v>B272-400-AS-130-ET-007</v>
          </cell>
          <cell r="E1693" t="str">
            <v>PX-13(21/60)</v>
          </cell>
        </row>
        <row r="1694">
          <cell r="B1694" t="str">
            <v>B272-400-AS-130-ET-007</v>
          </cell>
          <cell r="E1694" t="str">
            <v>PX-13(22/60)</v>
          </cell>
        </row>
        <row r="1695">
          <cell r="B1695" t="str">
            <v>B272-400-AS-130-ET-007</v>
          </cell>
          <cell r="E1695" t="str">
            <v>PX-13(23/60)</v>
          </cell>
        </row>
        <row r="1696">
          <cell r="B1696" t="str">
            <v>B272-400-AS-130-ET-007</v>
          </cell>
          <cell r="E1696" t="str">
            <v>PX-13(24/60)</v>
          </cell>
        </row>
        <row r="1697">
          <cell r="B1697" t="str">
            <v>B272-400-AS-130-ET-007</v>
          </cell>
          <cell r="E1697" t="str">
            <v>PX-13(25/60)</v>
          </cell>
        </row>
        <row r="1698">
          <cell r="B1698" t="str">
            <v>B272-400-AS-130-ET-007</v>
          </cell>
          <cell r="E1698" t="str">
            <v>PX-13(26/60)</v>
          </cell>
        </row>
        <row r="1699">
          <cell r="B1699" t="str">
            <v>B272-400-AS-130-ET-007</v>
          </cell>
          <cell r="E1699" t="str">
            <v>PX-13(27/60)</v>
          </cell>
        </row>
        <row r="1700">
          <cell r="B1700" t="str">
            <v>B272-400-AS-130-ET-007</v>
          </cell>
          <cell r="E1700" t="str">
            <v>PX-13(28/60)</v>
          </cell>
        </row>
        <row r="1701">
          <cell r="B1701" t="str">
            <v>B272-400-AS-130-ET-007</v>
          </cell>
          <cell r="E1701" t="str">
            <v>PX-13(29/60)</v>
          </cell>
        </row>
        <row r="1702">
          <cell r="B1702" t="str">
            <v>B272-400-AS-130-ET-007</v>
          </cell>
          <cell r="E1702" t="str">
            <v>PX-13(30/60)</v>
          </cell>
        </row>
        <row r="1703">
          <cell r="B1703" t="str">
            <v>B272-400-AS-130-ET-007</v>
          </cell>
          <cell r="E1703" t="str">
            <v>PX-13(31/60)</v>
          </cell>
        </row>
        <row r="1704">
          <cell r="B1704" t="str">
            <v>B272-400-AS-130-ET-007</v>
          </cell>
          <cell r="E1704" t="str">
            <v>PX-13(32/60)</v>
          </cell>
        </row>
        <row r="1705">
          <cell r="B1705" t="str">
            <v>B272-400-AS-130-ET-007</v>
          </cell>
          <cell r="E1705" t="str">
            <v>PX-13(33/60)</v>
          </cell>
        </row>
        <row r="1706">
          <cell r="B1706" t="str">
            <v>B272-400-AS-130-ET-007</v>
          </cell>
          <cell r="E1706" t="str">
            <v>PX-13(34/60)</v>
          </cell>
        </row>
        <row r="1707">
          <cell r="B1707" t="str">
            <v>B272-400-AS-130-ET-007</v>
          </cell>
          <cell r="E1707" t="str">
            <v>PX-13(35/60)</v>
          </cell>
        </row>
        <row r="1708">
          <cell r="B1708" t="str">
            <v>B272-400-AS-130-ET-007</v>
          </cell>
          <cell r="E1708" t="str">
            <v>PX-13(36/60)</v>
          </cell>
        </row>
        <row r="1709">
          <cell r="B1709" t="str">
            <v>B272-400-AS-130-ET-007</v>
          </cell>
          <cell r="E1709" t="str">
            <v>PX-13(37/60)</v>
          </cell>
        </row>
        <row r="1710">
          <cell r="B1710" t="str">
            <v>B272-400-AS-130-ET-007</v>
          </cell>
          <cell r="E1710" t="str">
            <v>PX-13(38/60)</v>
          </cell>
        </row>
        <row r="1711">
          <cell r="B1711" t="str">
            <v>B272-400-AS-130-ET-007</v>
          </cell>
          <cell r="E1711" t="str">
            <v>PX-13(39/60)</v>
          </cell>
        </row>
        <row r="1712">
          <cell r="B1712" t="str">
            <v>B272-400-AS-130-ET-007</v>
          </cell>
          <cell r="E1712" t="str">
            <v>PX-13(40/60)</v>
          </cell>
        </row>
        <row r="1713">
          <cell r="B1713" t="str">
            <v>B272-400-AS-130-ET-007</v>
          </cell>
          <cell r="E1713" t="str">
            <v>PX-13(41/60)</v>
          </cell>
        </row>
        <row r="1714">
          <cell r="B1714" t="str">
            <v>B272-400-AS-130-ET-007</v>
          </cell>
          <cell r="E1714" t="str">
            <v>PX-13(42/60)</v>
          </cell>
        </row>
        <row r="1715">
          <cell r="B1715" t="str">
            <v>B272-400-AS-130-ET-007</v>
          </cell>
          <cell r="E1715" t="str">
            <v>PX-13(43/60)</v>
          </cell>
        </row>
        <row r="1716">
          <cell r="B1716" t="str">
            <v>B272-400-AS-130-ET-007</v>
          </cell>
          <cell r="E1716" t="str">
            <v>PX-13(44/60)</v>
          </cell>
        </row>
        <row r="1717">
          <cell r="B1717" t="str">
            <v>B272-400-AS-130-ET-007</v>
          </cell>
          <cell r="E1717" t="str">
            <v>PX-13(45/60)</v>
          </cell>
        </row>
        <row r="1718">
          <cell r="B1718" t="str">
            <v>B272-400-AS-130-ET-007</v>
          </cell>
          <cell r="E1718" t="str">
            <v>PX-13(46/60)</v>
          </cell>
        </row>
        <row r="1719">
          <cell r="B1719" t="str">
            <v>B272-400-AS-130-ET-007</v>
          </cell>
          <cell r="E1719" t="str">
            <v>PX-13(47/60)</v>
          </cell>
        </row>
        <row r="1720">
          <cell r="B1720" t="str">
            <v>B272-400-AS-130-ET-007</v>
          </cell>
          <cell r="E1720" t="str">
            <v>PX-13(48/60)</v>
          </cell>
        </row>
        <row r="1721">
          <cell r="B1721" t="str">
            <v>B272-400-AS-130-ET-007</v>
          </cell>
          <cell r="E1721" t="str">
            <v>PX-13(49/60)</v>
          </cell>
        </row>
        <row r="1722">
          <cell r="B1722" t="str">
            <v>B272-400-AS-130-ET-007</v>
          </cell>
          <cell r="E1722" t="str">
            <v>PX-13(50/60)</v>
          </cell>
        </row>
        <row r="1723">
          <cell r="B1723" t="str">
            <v>B272-400-AS-130-ET-007</v>
          </cell>
          <cell r="E1723" t="str">
            <v>PX-13(51/60)</v>
          </cell>
        </row>
        <row r="1724">
          <cell r="B1724" t="str">
            <v>B272-400-AS-130-ET-007</v>
          </cell>
          <cell r="E1724" t="str">
            <v>PX-13(52/60)</v>
          </cell>
        </row>
        <row r="1725">
          <cell r="B1725" t="str">
            <v>B272-400-AS-130-ET-007</v>
          </cell>
          <cell r="E1725" t="str">
            <v>PX-13(53/60)</v>
          </cell>
        </row>
        <row r="1726">
          <cell r="B1726" t="str">
            <v>B272-400-AS-130-ET-007</v>
          </cell>
          <cell r="E1726" t="str">
            <v>PX-13(54/60)</v>
          </cell>
        </row>
        <row r="1727">
          <cell r="B1727" t="str">
            <v>B272-400-AS-130-ET-007</v>
          </cell>
          <cell r="E1727" t="str">
            <v>PX-13(55/60)</v>
          </cell>
        </row>
        <row r="1728">
          <cell r="B1728" t="str">
            <v>B272-400-AS-130-ET-007</v>
          </cell>
          <cell r="E1728" t="str">
            <v>PX-13(56/60)</v>
          </cell>
        </row>
        <row r="1729">
          <cell r="B1729" t="str">
            <v>B272-400-AS-130-ET-007</v>
          </cell>
          <cell r="E1729" t="str">
            <v>PX-13(57/60)</v>
          </cell>
        </row>
        <row r="1730">
          <cell r="B1730" t="str">
            <v>B272-400-AS-130-ET-007</v>
          </cell>
          <cell r="E1730" t="str">
            <v>PX-13(58/60)</v>
          </cell>
        </row>
        <row r="1731">
          <cell r="B1731" t="str">
            <v>B272-400-AS-130-ET-007</v>
          </cell>
          <cell r="E1731" t="str">
            <v>PX-13(59/60)</v>
          </cell>
        </row>
        <row r="1732">
          <cell r="B1732" t="str">
            <v>B272-400-AS-130-ET-007</v>
          </cell>
          <cell r="E1732" t="str">
            <v>PX-13(60/60)</v>
          </cell>
        </row>
        <row r="1733">
          <cell r="B1733" t="str">
            <v>B272-400-AS-130-ET-007</v>
          </cell>
          <cell r="E1733" t="str">
            <v>B20100</v>
          </cell>
        </row>
        <row r="1734">
          <cell r="B1734" t="str">
            <v>B272-400-AS-130-ET-008</v>
          </cell>
        </row>
        <row r="1735">
          <cell r="B1735" t="str">
            <v>B272-400-AS-130-ET-008</v>
          </cell>
          <cell r="E1735" t="str">
            <v>P-312</v>
          </cell>
        </row>
        <row r="1736">
          <cell r="B1736" t="str">
            <v>B272-400-AS-130-ET-008</v>
          </cell>
          <cell r="E1736" t="str">
            <v>P-313</v>
          </cell>
        </row>
        <row r="1737">
          <cell r="B1737" t="str">
            <v>B272-400-AS-130-ET-008</v>
          </cell>
          <cell r="E1737" t="str">
            <v>P-318</v>
          </cell>
        </row>
        <row r="1738">
          <cell r="B1738" t="str">
            <v>B272-400-AS-130-ET-008</v>
          </cell>
          <cell r="E1738" t="str">
            <v>P-320</v>
          </cell>
        </row>
        <row r="1739">
          <cell r="B1739" t="str">
            <v>B272-400-AS-130-ET-008</v>
          </cell>
          <cell r="E1739" t="str">
            <v>PX-3(1/12)</v>
          </cell>
        </row>
        <row r="1740">
          <cell r="B1740" t="str">
            <v>B272-400-AS-130-ET-008</v>
          </cell>
          <cell r="E1740" t="str">
            <v>PX-3(2/12)</v>
          </cell>
        </row>
        <row r="1741">
          <cell r="B1741" t="str">
            <v>B272-400-AS-130-ET-008</v>
          </cell>
          <cell r="E1741" t="str">
            <v>PX-3(3/12)</v>
          </cell>
        </row>
        <row r="1742">
          <cell r="B1742" t="str">
            <v>B272-400-AS-130-ET-008</v>
          </cell>
          <cell r="E1742" t="str">
            <v>PX-3(4/12)</v>
          </cell>
        </row>
        <row r="1743">
          <cell r="B1743" t="str">
            <v>B272-400-AS-130-ET-008</v>
          </cell>
          <cell r="E1743" t="str">
            <v>PX-3(5/12)</v>
          </cell>
        </row>
        <row r="1744">
          <cell r="B1744" t="str">
            <v>B272-400-AS-130-ET-008</v>
          </cell>
          <cell r="E1744" t="str">
            <v>PX-3(6/12)</v>
          </cell>
        </row>
        <row r="1745">
          <cell r="B1745" t="str">
            <v>B272-400-AS-130-ET-008</v>
          </cell>
          <cell r="E1745" t="str">
            <v>PX-3(7/12)</v>
          </cell>
        </row>
        <row r="1746">
          <cell r="B1746" t="str">
            <v>B272-400-AS-130-ET-008</v>
          </cell>
          <cell r="E1746" t="str">
            <v>PX-3(8/12)</v>
          </cell>
        </row>
        <row r="1747">
          <cell r="B1747" t="str">
            <v>B272-400-AS-130-ET-008</v>
          </cell>
          <cell r="E1747" t="str">
            <v>PX-3(9/12)</v>
          </cell>
        </row>
        <row r="1748">
          <cell r="B1748" t="str">
            <v>B272-400-AS-130-ET-008</v>
          </cell>
          <cell r="E1748" t="str">
            <v>PX-3(10/12)</v>
          </cell>
        </row>
        <row r="1749">
          <cell r="B1749" t="str">
            <v>B272-400-AS-130-ET-008</v>
          </cell>
          <cell r="E1749" t="str">
            <v>PX-3(11/12)</v>
          </cell>
        </row>
        <row r="1750">
          <cell r="B1750" t="str">
            <v>B272-400-AS-130-ET-008</v>
          </cell>
          <cell r="E1750" t="str">
            <v>PX-3(12/12)</v>
          </cell>
        </row>
        <row r="1751">
          <cell r="B1751" t="str">
            <v>B272-400-AS-130-ET-008</v>
          </cell>
          <cell r="E1751" t="str">
            <v>PX-6</v>
          </cell>
        </row>
        <row r="1752">
          <cell r="B1752" t="str">
            <v>B272-400-AS-130-ET-008</v>
          </cell>
          <cell r="E1752" t="str">
            <v>PX-9(1/12)</v>
          </cell>
        </row>
        <row r="1753">
          <cell r="B1753" t="str">
            <v>B272-400-AS-130-ET-008</v>
          </cell>
          <cell r="E1753" t="str">
            <v>PX-9(2/12)</v>
          </cell>
        </row>
        <row r="1754">
          <cell r="B1754" t="str">
            <v>B272-400-AS-130-ET-008</v>
          </cell>
          <cell r="E1754" t="str">
            <v>PX-9(3/12)</v>
          </cell>
        </row>
        <row r="1755">
          <cell r="B1755" t="str">
            <v>B272-400-AS-130-ET-008</v>
          </cell>
          <cell r="E1755" t="str">
            <v>PX-9(4/12)</v>
          </cell>
        </row>
        <row r="1756">
          <cell r="B1756" t="str">
            <v>B272-400-AS-130-ET-008</v>
          </cell>
          <cell r="E1756" t="str">
            <v>PX-9(5/12)</v>
          </cell>
        </row>
        <row r="1757">
          <cell r="B1757" t="str">
            <v>B272-400-AS-130-ET-008</v>
          </cell>
          <cell r="E1757" t="str">
            <v>PX-9(6/12)</v>
          </cell>
        </row>
        <row r="1758">
          <cell r="B1758" t="str">
            <v>B272-400-AS-130-ET-008</v>
          </cell>
          <cell r="E1758" t="str">
            <v>PX-9(7/12)</v>
          </cell>
        </row>
        <row r="1759">
          <cell r="B1759" t="str">
            <v>B272-400-AS-130-ET-008</v>
          </cell>
          <cell r="E1759" t="str">
            <v>PX-9(8/12)</v>
          </cell>
        </row>
        <row r="1760">
          <cell r="B1760" t="str">
            <v>B272-400-AS-130-ET-008</v>
          </cell>
          <cell r="E1760" t="str">
            <v>PX-9(9/12)</v>
          </cell>
        </row>
        <row r="1761">
          <cell r="B1761" t="str">
            <v>B272-400-AS-130-ET-008</v>
          </cell>
          <cell r="E1761" t="str">
            <v>PX-9(10/12)</v>
          </cell>
        </row>
        <row r="1762">
          <cell r="B1762" t="str">
            <v>B272-400-AS-130-ET-008</v>
          </cell>
          <cell r="E1762" t="str">
            <v>PX-9(11/12)</v>
          </cell>
        </row>
        <row r="1763">
          <cell r="B1763" t="str">
            <v>B272-400-AS-130-ET-008</v>
          </cell>
          <cell r="E1763" t="str">
            <v>PX-9(12/12)</v>
          </cell>
        </row>
        <row r="1764">
          <cell r="B1764" t="str">
            <v>B272-400-AS-130-ET-008</v>
          </cell>
          <cell r="E1764" t="str">
            <v>R-9(1/12)</v>
          </cell>
        </row>
        <row r="1765">
          <cell r="B1765" t="str">
            <v>B272-400-AS-130-ET-008</v>
          </cell>
          <cell r="E1765" t="str">
            <v>R-9(2/12)</v>
          </cell>
        </row>
        <row r="1766">
          <cell r="B1766" t="str">
            <v>B272-400-AS-130-ET-008</v>
          </cell>
          <cell r="E1766" t="str">
            <v>R-9(3/12)</v>
          </cell>
        </row>
        <row r="1767">
          <cell r="B1767" t="str">
            <v>B272-400-AS-130-ET-008</v>
          </cell>
          <cell r="E1767" t="str">
            <v>R-9(4/12)</v>
          </cell>
        </row>
        <row r="1768">
          <cell r="B1768" t="str">
            <v>B272-400-AS-130-ET-008</v>
          </cell>
          <cell r="E1768" t="str">
            <v>R-9(5/12)</v>
          </cell>
        </row>
        <row r="1769">
          <cell r="B1769" t="str">
            <v>B272-400-AS-130-ET-008</v>
          </cell>
          <cell r="E1769" t="str">
            <v>R-9(6/12)</v>
          </cell>
        </row>
        <row r="1770">
          <cell r="B1770" t="str">
            <v>B272-400-AS-130-ET-008</v>
          </cell>
          <cell r="E1770" t="str">
            <v>R-9(7/12)</v>
          </cell>
        </row>
        <row r="1771">
          <cell r="B1771" t="str">
            <v>B272-400-AS-130-ET-008</v>
          </cell>
          <cell r="E1771" t="str">
            <v>R-9(8/12)</v>
          </cell>
        </row>
        <row r="1772">
          <cell r="B1772" t="str">
            <v>B272-400-AS-130-ET-008</v>
          </cell>
          <cell r="E1772" t="str">
            <v>R-9(9/12)</v>
          </cell>
        </row>
        <row r="1773">
          <cell r="B1773" t="str">
            <v>B272-400-AS-130-ET-008</v>
          </cell>
          <cell r="E1773" t="str">
            <v>R-9(10/12)</v>
          </cell>
        </row>
        <row r="1774">
          <cell r="B1774" t="str">
            <v>B272-400-AS-130-ET-008</v>
          </cell>
          <cell r="E1774" t="str">
            <v>R-9(11/12)</v>
          </cell>
        </row>
        <row r="1775">
          <cell r="B1775" t="str">
            <v>B272-400-AS-130-ET-008</v>
          </cell>
          <cell r="E1775" t="str">
            <v>R-9(12/12)</v>
          </cell>
        </row>
        <row r="1776">
          <cell r="B1776" t="str">
            <v>B272-400-AS-130-ET-009</v>
          </cell>
        </row>
        <row r="1777">
          <cell r="B1777" t="str">
            <v>B272-400-AS-130-ET-009</v>
          </cell>
          <cell r="E1777" t="str">
            <v>P-312</v>
          </cell>
        </row>
        <row r="1778">
          <cell r="B1778" t="str">
            <v>B272-400-AS-130-ET-009</v>
          </cell>
          <cell r="E1778" t="str">
            <v>P-313</v>
          </cell>
        </row>
        <row r="1779">
          <cell r="B1779" t="str">
            <v>B272-400-AS-130-ET-009</v>
          </cell>
          <cell r="E1779" t="str">
            <v>P-318</v>
          </cell>
        </row>
        <row r="1780">
          <cell r="B1780" t="str">
            <v>B272-400-AS-130-ET-009</v>
          </cell>
          <cell r="E1780" t="str">
            <v>P-320</v>
          </cell>
        </row>
        <row r="1781">
          <cell r="B1781" t="str">
            <v>B272-400-AS-130-ET-009</v>
          </cell>
          <cell r="E1781" t="str">
            <v>PX-3(1/12)</v>
          </cell>
        </row>
        <row r="1782">
          <cell r="B1782" t="str">
            <v>B272-400-AS-130-ET-009</v>
          </cell>
          <cell r="E1782" t="str">
            <v>PX-3(2/12)</v>
          </cell>
        </row>
        <row r="1783">
          <cell r="B1783" t="str">
            <v>B272-400-AS-130-ET-009</v>
          </cell>
          <cell r="E1783" t="str">
            <v>PX-3(3/12)</v>
          </cell>
        </row>
        <row r="1784">
          <cell r="B1784" t="str">
            <v>B272-400-AS-130-ET-009</v>
          </cell>
          <cell r="E1784" t="str">
            <v>PX-3(4/12)</v>
          </cell>
        </row>
        <row r="1785">
          <cell r="B1785" t="str">
            <v>B272-400-AS-130-ET-009</v>
          </cell>
          <cell r="E1785" t="str">
            <v>PX-3(5/12)</v>
          </cell>
        </row>
        <row r="1786">
          <cell r="B1786" t="str">
            <v>B272-400-AS-130-ET-009</v>
          </cell>
          <cell r="E1786" t="str">
            <v>PX-3(6/12)</v>
          </cell>
        </row>
        <row r="1787">
          <cell r="B1787" t="str">
            <v>B272-400-AS-130-ET-009</v>
          </cell>
          <cell r="E1787" t="str">
            <v>PX-3(7/12)</v>
          </cell>
        </row>
        <row r="1788">
          <cell r="B1788" t="str">
            <v>B272-400-AS-130-ET-009</v>
          </cell>
          <cell r="E1788" t="str">
            <v>PX-3(8/12)</v>
          </cell>
        </row>
        <row r="1789">
          <cell r="B1789" t="str">
            <v>B272-400-AS-130-ET-009</v>
          </cell>
          <cell r="E1789" t="str">
            <v>PX-3(9/12)</v>
          </cell>
        </row>
        <row r="1790">
          <cell r="B1790" t="str">
            <v>B272-400-AS-130-ET-009</v>
          </cell>
          <cell r="E1790" t="str">
            <v>PX-3(10/12)</v>
          </cell>
        </row>
        <row r="1791">
          <cell r="B1791" t="str">
            <v>B272-400-AS-130-ET-009</v>
          </cell>
          <cell r="E1791" t="str">
            <v>PX-3(11/12)</v>
          </cell>
        </row>
        <row r="1792">
          <cell r="B1792" t="str">
            <v>B272-400-AS-130-ET-009</v>
          </cell>
          <cell r="E1792" t="str">
            <v>PX-3(12/12)</v>
          </cell>
        </row>
        <row r="1793">
          <cell r="B1793" t="str">
            <v>B272-400-AS-130-ET-009</v>
          </cell>
          <cell r="E1793" t="str">
            <v>PX-9(1/12)</v>
          </cell>
        </row>
        <row r="1794">
          <cell r="B1794" t="str">
            <v>B272-400-AS-130-ET-009</v>
          </cell>
          <cell r="E1794" t="str">
            <v>PX-9(2/12)</v>
          </cell>
        </row>
        <row r="1795">
          <cell r="B1795" t="str">
            <v>B272-400-AS-130-ET-009</v>
          </cell>
          <cell r="E1795" t="str">
            <v>PX-9(3/12)</v>
          </cell>
        </row>
        <row r="1796">
          <cell r="B1796" t="str">
            <v>B272-400-AS-130-ET-009</v>
          </cell>
          <cell r="E1796" t="str">
            <v>PX-9(4/12)</v>
          </cell>
        </row>
        <row r="1797">
          <cell r="B1797" t="str">
            <v>B272-400-AS-130-ET-009</v>
          </cell>
          <cell r="E1797" t="str">
            <v>PX-9(5/12)</v>
          </cell>
        </row>
        <row r="1798">
          <cell r="B1798" t="str">
            <v>B272-400-AS-130-ET-009</v>
          </cell>
          <cell r="E1798" t="str">
            <v>PX-9(6/12)</v>
          </cell>
        </row>
        <row r="1799">
          <cell r="B1799" t="str">
            <v>B272-400-AS-130-ET-009</v>
          </cell>
          <cell r="E1799" t="str">
            <v>PX-9(7/12)</v>
          </cell>
        </row>
        <row r="1800">
          <cell r="B1800" t="str">
            <v>B272-400-AS-130-ET-009</v>
          </cell>
          <cell r="E1800" t="str">
            <v>PX-9(8/12)</v>
          </cell>
        </row>
        <row r="1801">
          <cell r="B1801" t="str">
            <v>B272-400-AS-130-ET-009</v>
          </cell>
          <cell r="E1801" t="str">
            <v>PX-9(9/12)</v>
          </cell>
        </row>
        <row r="1802">
          <cell r="B1802" t="str">
            <v>B272-400-AS-130-ET-009</v>
          </cell>
          <cell r="E1802" t="str">
            <v>PX-9(10/12)</v>
          </cell>
        </row>
        <row r="1803">
          <cell r="B1803" t="str">
            <v>B272-400-AS-130-ET-009</v>
          </cell>
          <cell r="E1803" t="str">
            <v>PX-9(11/12)</v>
          </cell>
        </row>
        <row r="1804">
          <cell r="B1804" t="str">
            <v>B272-400-AS-130-ET-009</v>
          </cell>
          <cell r="E1804" t="str">
            <v>PX-9(12/12)</v>
          </cell>
        </row>
        <row r="1805">
          <cell r="B1805" t="str">
            <v>B272-400-AS-130-ET-009</v>
          </cell>
          <cell r="E1805" t="str">
            <v>PX-11</v>
          </cell>
        </row>
        <row r="1806">
          <cell r="B1806" t="str">
            <v>B272-400-AS-130-ET-009</v>
          </cell>
          <cell r="E1806" t="str">
            <v>R-9(1/12)</v>
          </cell>
        </row>
        <row r="1807">
          <cell r="B1807" t="str">
            <v>B272-400-AS-130-ET-009</v>
          </cell>
          <cell r="E1807" t="str">
            <v>R-9(2/12)</v>
          </cell>
        </row>
        <row r="1808">
          <cell r="B1808" t="str">
            <v>B272-400-AS-130-ET-009</v>
          </cell>
          <cell r="E1808" t="str">
            <v>R-9(3/12)</v>
          </cell>
        </row>
        <row r="1809">
          <cell r="B1809" t="str">
            <v>B272-400-AS-130-ET-009</v>
          </cell>
          <cell r="E1809" t="str">
            <v>R-9(4/12)</v>
          </cell>
        </row>
        <row r="1810">
          <cell r="B1810" t="str">
            <v>B272-400-AS-130-ET-009</v>
          </cell>
          <cell r="E1810" t="str">
            <v>R-9(5/12)</v>
          </cell>
        </row>
        <row r="1811">
          <cell r="B1811" t="str">
            <v>B272-400-AS-130-ET-009</v>
          </cell>
          <cell r="E1811" t="str">
            <v>R-9(6/12)</v>
          </cell>
        </row>
        <row r="1812">
          <cell r="B1812" t="str">
            <v>B272-400-AS-130-ET-009</v>
          </cell>
          <cell r="E1812" t="str">
            <v>R-9(7/12)</v>
          </cell>
        </row>
        <row r="1813">
          <cell r="B1813" t="str">
            <v>B272-400-AS-130-ET-009</v>
          </cell>
          <cell r="E1813" t="str">
            <v>R-9(8/12)</v>
          </cell>
        </row>
        <row r="1814">
          <cell r="B1814" t="str">
            <v>B272-400-AS-130-ET-009</v>
          </cell>
          <cell r="E1814" t="str">
            <v>R-9(9/12)</v>
          </cell>
        </row>
        <row r="1815">
          <cell r="B1815" t="str">
            <v>B272-400-AS-130-ET-009</v>
          </cell>
          <cell r="E1815" t="str">
            <v>R-9(10/12)</v>
          </cell>
        </row>
        <row r="1816">
          <cell r="B1816" t="str">
            <v>B272-400-AS-130-ET-009</v>
          </cell>
          <cell r="E1816" t="str">
            <v>R-9(11/12)</v>
          </cell>
        </row>
        <row r="1817">
          <cell r="B1817" t="str">
            <v>B272-400-AS-130-ET-009</v>
          </cell>
          <cell r="E1817" t="str">
            <v>R-9(12/12)</v>
          </cell>
        </row>
        <row r="1818">
          <cell r="B1818" t="str">
            <v>B272-400-AS-130-ET-010</v>
          </cell>
        </row>
        <row r="1819">
          <cell r="B1819" t="str">
            <v>B272-400-AS-130-ET-010</v>
          </cell>
          <cell r="E1819" t="str">
            <v>W-68</v>
          </cell>
        </row>
        <row r="1820">
          <cell r="B1820" t="str">
            <v>B272-400-AS-130-ET-010</v>
          </cell>
        </row>
        <row r="1821">
          <cell r="B1821" t="str">
            <v>B272-400-AS-130-ET-010</v>
          </cell>
          <cell r="E1821" t="str">
            <v>W-68</v>
          </cell>
        </row>
        <row r="1822">
          <cell r="B1822" t="str">
            <v>B272-400-AS-130-ET-010</v>
          </cell>
        </row>
        <row r="1823">
          <cell r="B1823" t="str">
            <v>B272-400-AS-130-ET-010</v>
          </cell>
          <cell r="E1823" t="str">
            <v>W-68</v>
          </cell>
        </row>
        <row r="1824">
          <cell r="B1824" t="str">
            <v>B272-400-AS-130-ET-010</v>
          </cell>
        </row>
        <row r="1825">
          <cell r="B1825" t="str">
            <v>B272-400-AS-130-ET-010</v>
          </cell>
          <cell r="E1825" t="str">
            <v>W-68</v>
          </cell>
        </row>
        <row r="1826">
          <cell r="B1826" t="str">
            <v>B272-400-AS-130-ET-010</v>
          </cell>
        </row>
        <row r="1827">
          <cell r="B1827" t="str">
            <v>B272-400-AS-130-ET-010</v>
          </cell>
          <cell r="E1827" t="str">
            <v>W-68</v>
          </cell>
        </row>
        <row r="1828">
          <cell r="B1828" t="str">
            <v>B272-400-AS-130-ET-010</v>
          </cell>
        </row>
        <row r="1829">
          <cell r="B1829" t="str">
            <v>B272-400-AS-130-ET-010</v>
          </cell>
          <cell r="E1829" t="str">
            <v>W-68</v>
          </cell>
        </row>
        <row r="1830">
          <cell r="B1830" t="str">
            <v>B272-400-AS-140-HB-001</v>
          </cell>
        </row>
        <row r="1831">
          <cell r="B1831" t="str">
            <v>B272-400-AS-140-HB-001</v>
          </cell>
          <cell r="E1831" t="str">
            <v>CP-1</v>
          </cell>
        </row>
        <row r="1832">
          <cell r="B1832" t="str">
            <v>B272-400-AS-140-HB-001</v>
          </cell>
          <cell r="E1832" t="str">
            <v>D-71</v>
          </cell>
        </row>
        <row r="1833">
          <cell r="B1833" t="str">
            <v>B272-400-AS-140-HB-001</v>
          </cell>
          <cell r="E1833" t="str">
            <v>P-96</v>
          </cell>
        </row>
        <row r="1834">
          <cell r="B1834" t="str">
            <v>B272-400-AS-140-HB-001</v>
          </cell>
          <cell r="E1834" t="str">
            <v>P-107</v>
          </cell>
        </row>
        <row r="1835">
          <cell r="B1835" t="str">
            <v>B272-400-AS-140-HB-001</v>
          </cell>
          <cell r="E1835" t="str">
            <v>P-121</v>
          </cell>
        </row>
        <row r="1836">
          <cell r="B1836" t="str">
            <v>B272-400-AS-140-HB-001</v>
          </cell>
          <cell r="E1836" t="str">
            <v>P-626(1/2)</v>
          </cell>
        </row>
        <row r="1837">
          <cell r="B1837" t="str">
            <v>B272-400-AS-140-HB-001</v>
          </cell>
          <cell r="E1837" t="str">
            <v>P-626(2/2)</v>
          </cell>
        </row>
        <row r="1838">
          <cell r="B1838" t="str">
            <v>B272-400-AS-140-HB-001</v>
          </cell>
          <cell r="E1838" t="str">
            <v>P-627(1/2)</v>
          </cell>
        </row>
        <row r="1839">
          <cell r="B1839" t="str">
            <v>B272-400-AS-140-HB-001</v>
          </cell>
          <cell r="E1839" t="str">
            <v>P-627(2/2)</v>
          </cell>
        </row>
        <row r="1840">
          <cell r="B1840" t="str">
            <v>B272-400-AS-140-HB-001</v>
          </cell>
          <cell r="E1840" t="str">
            <v>P-700(1/2)</v>
          </cell>
        </row>
        <row r="1841">
          <cell r="B1841" t="str">
            <v>B272-400-AS-140-HB-001</v>
          </cell>
          <cell r="E1841" t="str">
            <v>P-700(2/2)</v>
          </cell>
        </row>
        <row r="1842">
          <cell r="B1842" t="str">
            <v>B272-400-AS-140-HB-001</v>
          </cell>
          <cell r="E1842" t="str">
            <v>P-706(1/2)</v>
          </cell>
        </row>
        <row r="1843">
          <cell r="B1843" t="str">
            <v>B272-400-AS-140-HB-001</v>
          </cell>
          <cell r="E1843" t="str">
            <v>P-706(2/2)</v>
          </cell>
        </row>
        <row r="1844">
          <cell r="B1844" t="str">
            <v>B272-400-AS-140-HB-001</v>
          </cell>
          <cell r="E1844" t="str">
            <v>B1240</v>
          </cell>
        </row>
        <row r="1845">
          <cell r="B1845" t="str">
            <v>B272-400-AS-140-HB-002</v>
          </cell>
        </row>
        <row r="1846">
          <cell r="B1846" t="str">
            <v>B272-400-AS-140-HB-002</v>
          </cell>
          <cell r="E1846" t="str">
            <v>CY-62</v>
          </cell>
        </row>
        <row r="1847">
          <cell r="B1847" t="str">
            <v>B272-400-AS-140-HB-002</v>
          </cell>
          <cell r="E1847" t="str">
            <v>CY-63</v>
          </cell>
        </row>
        <row r="1848">
          <cell r="B1848" t="str">
            <v>B272-400-AS-140-HB-002</v>
          </cell>
          <cell r="E1848" t="str">
            <v>CY-71</v>
          </cell>
        </row>
        <row r="1849">
          <cell r="B1849" t="str">
            <v>B272-400-AS-140-HB-002</v>
          </cell>
          <cell r="E1849" t="str">
            <v>P-158(1/2)</v>
          </cell>
        </row>
        <row r="1850">
          <cell r="B1850" t="str">
            <v>B272-400-AS-140-HB-002</v>
          </cell>
          <cell r="E1850" t="str">
            <v>P-158(2/2)</v>
          </cell>
        </row>
        <row r="1851">
          <cell r="B1851" t="str">
            <v>B272-400-AS-140-HB-002</v>
          </cell>
          <cell r="E1851" t="str">
            <v>P-159(1/2)</v>
          </cell>
        </row>
        <row r="1852">
          <cell r="B1852" t="str">
            <v>B272-400-AS-140-HB-002</v>
          </cell>
          <cell r="E1852" t="str">
            <v>P-159(2/2)</v>
          </cell>
        </row>
        <row r="1853">
          <cell r="B1853" t="str">
            <v>B272-400-AS-140-HB-002</v>
          </cell>
          <cell r="E1853" t="str">
            <v>P-582(1/4)</v>
          </cell>
        </row>
        <row r="1854">
          <cell r="B1854" t="str">
            <v>B272-400-AS-140-HB-002</v>
          </cell>
          <cell r="E1854" t="str">
            <v>P-582(2/4)</v>
          </cell>
        </row>
        <row r="1855">
          <cell r="B1855" t="str">
            <v>B272-400-AS-140-HB-002</v>
          </cell>
          <cell r="E1855" t="str">
            <v>P-582(3/4)</v>
          </cell>
        </row>
        <row r="1856">
          <cell r="B1856" t="str">
            <v>B272-400-AS-140-HB-002</v>
          </cell>
          <cell r="E1856" t="str">
            <v>P-582(4/4)</v>
          </cell>
        </row>
        <row r="1857">
          <cell r="B1857" t="str">
            <v>B272-400-AS-140-HB-002</v>
          </cell>
          <cell r="E1857" t="str">
            <v>P-583(1/2)</v>
          </cell>
        </row>
        <row r="1858">
          <cell r="B1858" t="str">
            <v>B272-400-AS-140-HB-002</v>
          </cell>
          <cell r="E1858" t="str">
            <v>P-583(2/2)</v>
          </cell>
        </row>
        <row r="1859">
          <cell r="B1859" t="str">
            <v>B272-400-AS-140-HB-002</v>
          </cell>
          <cell r="E1859" t="str">
            <v>P-650(1/2)</v>
          </cell>
        </row>
        <row r="1860">
          <cell r="B1860" t="str">
            <v>B272-400-AS-140-HB-002</v>
          </cell>
          <cell r="E1860" t="str">
            <v>P-650(2/2)</v>
          </cell>
        </row>
        <row r="1861">
          <cell r="B1861" t="str">
            <v>B272-400-AS-140-HB-002</v>
          </cell>
          <cell r="E1861" t="str">
            <v>P-913(1/2)</v>
          </cell>
        </row>
        <row r="1862">
          <cell r="B1862" t="str">
            <v>B272-400-AS-140-HB-002</v>
          </cell>
          <cell r="E1862" t="str">
            <v>P-913(2/2)</v>
          </cell>
        </row>
        <row r="1863">
          <cell r="B1863" t="str">
            <v>B272-400-AS-140-HB-002</v>
          </cell>
          <cell r="E1863" t="str">
            <v>PX-14(1/2)</v>
          </cell>
        </row>
        <row r="1864">
          <cell r="B1864" t="str">
            <v>B272-400-AS-140-HB-002</v>
          </cell>
          <cell r="E1864" t="str">
            <v>PX-14(2/2)</v>
          </cell>
        </row>
        <row r="1865">
          <cell r="B1865" t="str">
            <v>B272-400-AS-140-HB-002</v>
          </cell>
          <cell r="E1865" t="str">
            <v>PY-15</v>
          </cell>
        </row>
        <row r="1866">
          <cell r="B1866" t="str">
            <v>B272-400-AS-140-HB-002</v>
          </cell>
          <cell r="E1866" t="str">
            <v>PY-17</v>
          </cell>
        </row>
        <row r="1867">
          <cell r="B1867" t="str">
            <v>B272-400-AS-140-HB-002</v>
          </cell>
          <cell r="E1867" t="str">
            <v>PY-18</v>
          </cell>
        </row>
        <row r="1868">
          <cell r="B1868" t="str">
            <v>B272-400-AS-140-HB-002</v>
          </cell>
          <cell r="E1868" t="str">
            <v>PY-23(1/2)</v>
          </cell>
        </row>
        <row r="1869">
          <cell r="B1869" t="str">
            <v>B272-400-AS-140-HB-002</v>
          </cell>
          <cell r="E1869" t="str">
            <v>PY-23(2/2)</v>
          </cell>
        </row>
        <row r="1870">
          <cell r="B1870" t="str">
            <v>B272-400-AS-140-HB-002</v>
          </cell>
          <cell r="E1870" t="str">
            <v>PY-24(1/2)</v>
          </cell>
        </row>
        <row r="1871">
          <cell r="B1871" t="str">
            <v>B272-400-AS-140-HB-002</v>
          </cell>
          <cell r="E1871" t="str">
            <v>PY-24(2/2)</v>
          </cell>
        </row>
        <row r="1872">
          <cell r="B1872" t="str">
            <v>B272-400-AS-140-HB-002</v>
          </cell>
          <cell r="E1872" t="str">
            <v>B1240</v>
          </cell>
        </row>
        <row r="1873">
          <cell r="B1873" t="str">
            <v>B272-400-AS-140-HB-002</v>
          </cell>
          <cell r="E1873" t="str">
            <v>B1650</v>
          </cell>
        </row>
        <row r="1874">
          <cell r="B1874" t="str">
            <v>B272-400-AS-140-HB-002</v>
          </cell>
          <cell r="E1874" t="str">
            <v>B2060</v>
          </cell>
        </row>
        <row r="1875">
          <cell r="B1875" t="str">
            <v>B272-400-AS-140-HB-003</v>
          </cell>
        </row>
        <row r="1876">
          <cell r="B1876" t="str">
            <v>B272-400-AS-140-HB-003</v>
          </cell>
          <cell r="E1876" t="str">
            <v>CY-64</v>
          </cell>
        </row>
        <row r="1877">
          <cell r="B1877" t="str">
            <v>B272-400-AS-140-HB-003</v>
          </cell>
          <cell r="E1877" t="str">
            <v>CY-65</v>
          </cell>
        </row>
        <row r="1878">
          <cell r="B1878" t="str">
            <v>B272-400-AS-140-HB-003</v>
          </cell>
          <cell r="E1878" t="str">
            <v>CY-66</v>
          </cell>
        </row>
        <row r="1879">
          <cell r="B1879" t="str">
            <v>B272-400-AS-140-HB-003</v>
          </cell>
          <cell r="E1879" t="str">
            <v>P-271(1/2)</v>
          </cell>
        </row>
        <row r="1880">
          <cell r="B1880" t="str">
            <v>B272-400-AS-140-HB-003</v>
          </cell>
          <cell r="E1880" t="str">
            <v>P-271(2/2)</v>
          </cell>
        </row>
        <row r="1881">
          <cell r="B1881" t="str">
            <v>B272-400-AS-140-HB-003</v>
          </cell>
          <cell r="E1881" t="str">
            <v>P-272(1/2)</v>
          </cell>
        </row>
        <row r="1882">
          <cell r="B1882" t="str">
            <v>B272-400-AS-140-HB-003</v>
          </cell>
          <cell r="E1882" t="str">
            <v>P-272(2/2)</v>
          </cell>
        </row>
        <row r="1883">
          <cell r="B1883" t="str">
            <v>B272-400-AS-140-HB-003</v>
          </cell>
          <cell r="E1883" t="str">
            <v>P-583(1/2)</v>
          </cell>
        </row>
        <row r="1884">
          <cell r="B1884" t="str">
            <v>B272-400-AS-140-HB-003</v>
          </cell>
          <cell r="E1884" t="str">
            <v>P-583(2/2)</v>
          </cell>
        </row>
        <row r="1885">
          <cell r="B1885" t="str">
            <v>B272-400-AS-140-HB-003</v>
          </cell>
          <cell r="E1885" t="str">
            <v>P-650(1/2)</v>
          </cell>
        </row>
        <row r="1886">
          <cell r="B1886" t="str">
            <v>B272-400-AS-140-HB-003</v>
          </cell>
          <cell r="E1886" t="str">
            <v>P-650(2/2)</v>
          </cell>
        </row>
        <row r="1887">
          <cell r="B1887" t="str">
            <v>B272-400-AS-140-HB-003</v>
          </cell>
          <cell r="E1887" t="str">
            <v>P-707(1/4)</v>
          </cell>
        </row>
        <row r="1888">
          <cell r="B1888" t="str">
            <v>B272-400-AS-140-HB-003</v>
          </cell>
          <cell r="E1888" t="str">
            <v>P-707(2/4)</v>
          </cell>
        </row>
        <row r="1889">
          <cell r="B1889" t="str">
            <v>B272-400-AS-140-HB-003</v>
          </cell>
          <cell r="E1889" t="str">
            <v>P-707(3/4)</v>
          </cell>
        </row>
        <row r="1890">
          <cell r="B1890" t="str">
            <v>B272-400-AS-140-HB-003</v>
          </cell>
          <cell r="E1890" t="str">
            <v>P-707(4/4)</v>
          </cell>
        </row>
        <row r="1891">
          <cell r="B1891" t="str">
            <v>B272-400-AS-140-HB-003</v>
          </cell>
          <cell r="E1891" t="str">
            <v>P-911(1/2)</v>
          </cell>
        </row>
        <row r="1892">
          <cell r="B1892" t="str">
            <v>B272-400-AS-140-HB-003</v>
          </cell>
          <cell r="E1892" t="str">
            <v>P-911(2/2)</v>
          </cell>
        </row>
        <row r="1893">
          <cell r="B1893" t="str">
            <v>B272-400-AS-140-HB-003</v>
          </cell>
          <cell r="E1893" t="str">
            <v>PX-14(1/2)</v>
          </cell>
        </row>
        <row r="1894">
          <cell r="B1894" t="str">
            <v>B272-400-AS-140-HB-003</v>
          </cell>
          <cell r="E1894" t="str">
            <v>PX-14(2/2)</v>
          </cell>
        </row>
        <row r="1895">
          <cell r="B1895" t="str">
            <v>B272-400-AS-140-HB-003</v>
          </cell>
          <cell r="E1895" t="str">
            <v>PY-21</v>
          </cell>
        </row>
        <row r="1896">
          <cell r="B1896" t="str">
            <v>B272-400-AS-140-HB-003</v>
          </cell>
          <cell r="E1896" t="str">
            <v>PY-22</v>
          </cell>
        </row>
        <row r="1897">
          <cell r="B1897" t="str">
            <v>B272-400-AS-140-HB-003</v>
          </cell>
          <cell r="E1897" t="str">
            <v>PY-23(1/2)</v>
          </cell>
        </row>
        <row r="1898">
          <cell r="B1898" t="str">
            <v>B272-400-AS-140-HB-003</v>
          </cell>
          <cell r="E1898" t="str">
            <v>PY-23(2/2)</v>
          </cell>
        </row>
        <row r="1899">
          <cell r="B1899" t="str">
            <v>B272-400-AS-140-HB-003</v>
          </cell>
          <cell r="E1899" t="str">
            <v>PY-24(1/2)</v>
          </cell>
        </row>
        <row r="1900">
          <cell r="B1900" t="str">
            <v>B272-400-AS-140-HB-003</v>
          </cell>
          <cell r="E1900" t="str">
            <v>PY-24(2/2)</v>
          </cell>
        </row>
        <row r="1901">
          <cell r="B1901" t="str">
            <v>B272-400-AS-140-HB-003</v>
          </cell>
          <cell r="E1901" t="str">
            <v>PY-26</v>
          </cell>
        </row>
        <row r="1902">
          <cell r="B1902" t="str">
            <v>B272-400-AS-140-HB-003</v>
          </cell>
          <cell r="E1902" t="str">
            <v>B1240</v>
          </cell>
        </row>
        <row r="1903">
          <cell r="B1903" t="str">
            <v>B272-400-AS-140-HB-003</v>
          </cell>
          <cell r="E1903" t="str">
            <v>B1650</v>
          </cell>
        </row>
        <row r="1904">
          <cell r="B1904" t="str">
            <v>B272-400-AS-140-HB-003</v>
          </cell>
          <cell r="E1904" t="str">
            <v>B2060</v>
          </cell>
        </row>
        <row r="1905">
          <cell r="B1905" t="str">
            <v>B272-400-AS-140-HB-004</v>
          </cell>
        </row>
        <row r="1906">
          <cell r="B1906" t="str">
            <v>B272-400-AS-140-HB-004</v>
          </cell>
          <cell r="E1906" t="str">
            <v>CY-68</v>
          </cell>
        </row>
        <row r="1907">
          <cell r="B1907" t="str">
            <v>B272-400-AS-140-HB-004</v>
          </cell>
          <cell r="E1907" t="str">
            <v>CY-69</v>
          </cell>
        </row>
        <row r="1908">
          <cell r="B1908" t="str">
            <v>B272-400-AS-140-HB-004</v>
          </cell>
          <cell r="E1908" t="str">
            <v>CY-72</v>
          </cell>
        </row>
        <row r="1909">
          <cell r="B1909" t="str">
            <v>B272-400-AS-140-HB-004</v>
          </cell>
          <cell r="E1909" t="str">
            <v>N-2</v>
          </cell>
        </row>
        <row r="1910">
          <cell r="B1910" t="str">
            <v>B272-400-AS-140-HB-004</v>
          </cell>
          <cell r="E1910" t="str">
            <v>N-35</v>
          </cell>
        </row>
        <row r="1911">
          <cell r="B1911" t="str">
            <v>B272-400-AS-140-HB-004</v>
          </cell>
          <cell r="E1911" t="str">
            <v>P-569(1/2)</v>
          </cell>
        </row>
        <row r="1912">
          <cell r="B1912" t="str">
            <v>B272-400-AS-140-HB-004</v>
          </cell>
          <cell r="E1912" t="str">
            <v>P-569(2/2)</v>
          </cell>
        </row>
        <row r="1913">
          <cell r="B1913" t="str">
            <v>B272-400-AS-140-HB-004</v>
          </cell>
          <cell r="E1913" t="str">
            <v>P-582(1/4)</v>
          </cell>
        </row>
        <row r="1914">
          <cell r="B1914" t="str">
            <v>B272-400-AS-140-HB-004</v>
          </cell>
          <cell r="E1914" t="str">
            <v>P-582(2/4)</v>
          </cell>
        </row>
        <row r="1915">
          <cell r="B1915" t="str">
            <v>B272-400-AS-140-HB-004</v>
          </cell>
          <cell r="E1915" t="str">
            <v>P-582(3/4)</v>
          </cell>
        </row>
        <row r="1916">
          <cell r="B1916" t="str">
            <v>B272-400-AS-140-HB-004</v>
          </cell>
          <cell r="E1916" t="str">
            <v>P-582(4/4)</v>
          </cell>
        </row>
        <row r="1917">
          <cell r="B1917" t="str">
            <v>B272-400-AS-140-HB-004</v>
          </cell>
          <cell r="E1917" t="str">
            <v>P-650(1/2)</v>
          </cell>
        </row>
        <row r="1918">
          <cell r="B1918" t="str">
            <v>B272-400-AS-140-HB-004</v>
          </cell>
          <cell r="E1918" t="str">
            <v>P-650(2/2)</v>
          </cell>
        </row>
        <row r="1919">
          <cell r="B1919" t="str">
            <v>B272-400-AS-140-HB-004</v>
          </cell>
          <cell r="E1919" t="str">
            <v>P-912(1/2)</v>
          </cell>
        </row>
        <row r="1920">
          <cell r="B1920" t="str">
            <v>B272-400-AS-140-HB-004</v>
          </cell>
          <cell r="E1920" t="str">
            <v>P-912(2/2)</v>
          </cell>
        </row>
        <row r="1921">
          <cell r="B1921" t="str">
            <v>B272-400-AS-140-HB-004</v>
          </cell>
          <cell r="E1921" t="str">
            <v>PY-12</v>
          </cell>
        </row>
        <row r="1922">
          <cell r="B1922" t="str">
            <v>B272-400-AS-140-HB-004</v>
          </cell>
          <cell r="E1922" t="str">
            <v>PY-13</v>
          </cell>
        </row>
        <row r="1923">
          <cell r="B1923" t="str">
            <v>B272-400-AS-140-HB-004</v>
          </cell>
          <cell r="E1923" t="str">
            <v>PY-16</v>
          </cell>
        </row>
        <row r="1924">
          <cell r="B1924" t="str">
            <v>B272-400-AS-140-HB-004</v>
          </cell>
          <cell r="E1924" t="str">
            <v>B1235</v>
          </cell>
        </row>
        <row r="1925">
          <cell r="B1925" t="str">
            <v>B272-400-AS-140-HB-004</v>
          </cell>
          <cell r="E1925" t="str">
            <v>B1655</v>
          </cell>
        </row>
        <row r="1926">
          <cell r="B1926" t="str">
            <v>B272-400-AS-140-HB-004</v>
          </cell>
        </row>
        <row r="1927">
          <cell r="B1927" t="str">
            <v>B272-400-AS-140-HB-004</v>
          </cell>
          <cell r="E1927" t="str">
            <v>CY-68</v>
          </cell>
        </row>
        <row r="1928">
          <cell r="B1928" t="str">
            <v>B272-400-AS-140-HB-004</v>
          </cell>
          <cell r="E1928" t="str">
            <v>CY-69</v>
          </cell>
        </row>
        <row r="1929">
          <cell r="B1929" t="str">
            <v>B272-400-AS-140-HB-004</v>
          </cell>
          <cell r="E1929" t="str">
            <v>CY-72</v>
          </cell>
        </row>
        <row r="1930">
          <cell r="B1930" t="str">
            <v>B272-400-AS-140-HB-004</v>
          </cell>
          <cell r="E1930" t="str">
            <v>N-2</v>
          </cell>
        </row>
        <row r="1931">
          <cell r="B1931" t="str">
            <v>B272-400-AS-140-HB-004</v>
          </cell>
          <cell r="E1931" t="str">
            <v>N-35</v>
          </cell>
        </row>
        <row r="1932">
          <cell r="B1932" t="str">
            <v>B272-400-AS-140-HB-004</v>
          </cell>
          <cell r="E1932" t="str">
            <v>P-569(1/2)</v>
          </cell>
        </row>
        <row r="1933">
          <cell r="B1933" t="str">
            <v>B272-400-AS-140-HB-004</v>
          </cell>
          <cell r="E1933" t="str">
            <v>P-569(2/2)</v>
          </cell>
        </row>
        <row r="1934">
          <cell r="B1934" t="str">
            <v>B272-400-AS-140-HB-004</v>
          </cell>
          <cell r="E1934" t="str">
            <v>P-582(1/4)</v>
          </cell>
        </row>
        <row r="1935">
          <cell r="B1935" t="str">
            <v>B272-400-AS-140-HB-004</v>
          </cell>
          <cell r="E1935" t="str">
            <v>P-582(2/4)</v>
          </cell>
        </row>
        <row r="1936">
          <cell r="B1936" t="str">
            <v>B272-400-AS-140-HB-004</v>
          </cell>
          <cell r="E1936" t="str">
            <v>P-582(3/4)</v>
          </cell>
        </row>
        <row r="1937">
          <cell r="B1937" t="str">
            <v>B272-400-AS-140-HB-004</v>
          </cell>
          <cell r="E1937" t="str">
            <v>P-582(4/4)</v>
          </cell>
        </row>
        <row r="1938">
          <cell r="B1938" t="str">
            <v>B272-400-AS-140-HB-004</v>
          </cell>
          <cell r="E1938" t="str">
            <v>P-650(1/2)</v>
          </cell>
        </row>
        <row r="1939">
          <cell r="B1939" t="str">
            <v>B272-400-AS-140-HB-004</v>
          </cell>
          <cell r="E1939" t="str">
            <v>P-650(2/2)</v>
          </cell>
        </row>
        <row r="1940">
          <cell r="B1940" t="str">
            <v>B272-400-AS-140-HB-004</v>
          </cell>
          <cell r="E1940" t="str">
            <v>P-912(1/2)</v>
          </cell>
        </row>
        <row r="1941">
          <cell r="B1941" t="str">
            <v>B272-400-AS-140-HB-004</v>
          </cell>
          <cell r="E1941" t="str">
            <v>P-912(2/2)</v>
          </cell>
        </row>
        <row r="1942">
          <cell r="B1942" t="str">
            <v>B272-400-AS-140-HB-004</v>
          </cell>
          <cell r="E1942" t="str">
            <v>PY-12</v>
          </cell>
        </row>
        <row r="1943">
          <cell r="B1943" t="str">
            <v>B272-400-AS-140-HB-004</v>
          </cell>
          <cell r="E1943" t="str">
            <v>PY-13</v>
          </cell>
        </row>
        <row r="1944">
          <cell r="B1944" t="str">
            <v>B272-400-AS-140-HB-004</v>
          </cell>
          <cell r="E1944" t="str">
            <v>PY-16</v>
          </cell>
        </row>
        <row r="1945">
          <cell r="B1945" t="str">
            <v>B272-400-AS-140-HB-004</v>
          </cell>
          <cell r="E1945" t="str">
            <v>B1235</v>
          </cell>
        </row>
        <row r="1946">
          <cell r="B1946" t="str">
            <v>B272-400-AS-140-HB-004</v>
          </cell>
          <cell r="E1946" t="str">
            <v>B1655</v>
          </cell>
        </row>
        <row r="1947">
          <cell r="B1947" t="str">
            <v>B272-400-AS-140-HB-004</v>
          </cell>
        </row>
        <row r="1948">
          <cell r="B1948" t="str">
            <v>B272-400-AS-140-HB-004</v>
          </cell>
          <cell r="E1948" t="str">
            <v>CY-68</v>
          </cell>
        </row>
        <row r="1949">
          <cell r="B1949" t="str">
            <v>B272-400-AS-140-HB-004</v>
          </cell>
          <cell r="E1949" t="str">
            <v>CY-69</v>
          </cell>
        </row>
        <row r="1950">
          <cell r="B1950" t="str">
            <v>B272-400-AS-140-HB-004</v>
          </cell>
          <cell r="E1950" t="str">
            <v>CY-72</v>
          </cell>
        </row>
        <row r="1951">
          <cell r="B1951" t="str">
            <v>B272-400-AS-140-HB-004</v>
          </cell>
          <cell r="E1951" t="str">
            <v>N-2</v>
          </cell>
        </row>
        <row r="1952">
          <cell r="B1952" t="str">
            <v>B272-400-AS-140-HB-004</v>
          </cell>
          <cell r="E1952" t="str">
            <v>N-35</v>
          </cell>
        </row>
        <row r="1953">
          <cell r="B1953" t="str">
            <v>B272-400-AS-140-HB-004</v>
          </cell>
          <cell r="E1953" t="str">
            <v>P-569(1/2)</v>
          </cell>
        </row>
        <row r="1954">
          <cell r="B1954" t="str">
            <v>B272-400-AS-140-HB-004</v>
          </cell>
          <cell r="E1954" t="str">
            <v>P-569(2/2)</v>
          </cell>
        </row>
        <row r="1955">
          <cell r="B1955" t="str">
            <v>B272-400-AS-140-HB-004</v>
          </cell>
          <cell r="E1955" t="str">
            <v>P-582(1/4)</v>
          </cell>
        </row>
        <row r="1956">
          <cell r="B1956" t="str">
            <v>B272-400-AS-140-HB-004</v>
          </cell>
          <cell r="E1956" t="str">
            <v>P-582(2/4)</v>
          </cell>
        </row>
        <row r="1957">
          <cell r="B1957" t="str">
            <v>B272-400-AS-140-HB-004</v>
          </cell>
          <cell r="E1957" t="str">
            <v>P-582(3/4)</v>
          </cell>
        </row>
        <row r="1958">
          <cell r="B1958" t="str">
            <v>B272-400-AS-140-HB-004</v>
          </cell>
          <cell r="E1958" t="str">
            <v>P-582(4/4)</v>
          </cell>
        </row>
        <row r="1959">
          <cell r="B1959" t="str">
            <v>B272-400-AS-140-HB-004</v>
          </cell>
          <cell r="E1959" t="str">
            <v>P-650(1/2)</v>
          </cell>
        </row>
        <row r="1960">
          <cell r="B1960" t="str">
            <v>B272-400-AS-140-HB-004</v>
          </cell>
          <cell r="E1960" t="str">
            <v>P-650(2/2)</v>
          </cell>
        </row>
        <row r="1961">
          <cell r="B1961" t="str">
            <v>B272-400-AS-140-HB-004</v>
          </cell>
          <cell r="E1961" t="str">
            <v>P-912(1/2)</v>
          </cell>
        </row>
        <row r="1962">
          <cell r="B1962" t="str">
            <v>B272-400-AS-140-HB-004</v>
          </cell>
          <cell r="E1962" t="str">
            <v>P-912(2/2)</v>
          </cell>
        </row>
        <row r="1963">
          <cell r="B1963" t="str">
            <v>B272-400-AS-140-HB-004</v>
          </cell>
          <cell r="E1963" t="str">
            <v>PY-12</v>
          </cell>
        </row>
        <row r="1964">
          <cell r="B1964" t="str">
            <v>B272-400-AS-140-HB-004</v>
          </cell>
          <cell r="E1964" t="str">
            <v>PY-13</v>
          </cell>
        </row>
        <row r="1965">
          <cell r="B1965" t="str">
            <v>B272-400-AS-140-HB-004</v>
          </cell>
          <cell r="E1965" t="str">
            <v>PY-16</v>
          </cell>
        </row>
        <row r="1966">
          <cell r="B1966" t="str">
            <v>B272-400-AS-140-HB-004</v>
          </cell>
          <cell r="E1966" t="str">
            <v>B1235</v>
          </cell>
        </row>
        <row r="1967">
          <cell r="B1967" t="str">
            <v>B272-400-AS-140-HB-004</v>
          </cell>
          <cell r="E1967" t="str">
            <v>B1655</v>
          </cell>
        </row>
        <row r="1968">
          <cell r="B1968" t="str">
            <v>B272-400-AS-140-HB-004</v>
          </cell>
        </row>
        <row r="1969">
          <cell r="B1969" t="str">
            <v>B272-400-AS-140-HB-004</v>
          </cell>
          <cell r="E1969" t="str">
            <v>CY-68</v>
          </cell>
        </row>
        <row r="1970">
          <cell r="B1970" t="str">
            <v>B272-400-AS-140-HB-004</v>
          </cell>
          <cell r="E1970" t="str">
            <v>CY-69</v>
          </cell>
        </row>
        <row r="1971">
          <cell r="B1971" t="str">
            <v>B272-400-AS-140-HB-004</v>
          </cell>
          <cell r="E1971" t="str">
            <v>CY-72</v>
          </cell>
        </row>
        <row r="1972">
          <cell r="B1972" t="str">
            <v>B272-400-AS-140-HB-004</v>
          </cell>
          <cell r="E1972" t="str">
            <v>N-2</v>
          </cell>
        </row>
        <row r="1973">
          <cell r="B1973" t="str">
            <v>B272-400-AS-140-HB-004</v>
          </cell>
          <cell r="E1973" t="str">
            <v>N-35</v>
          </cell>
        </row>
        <row r="1974">
          <cell r="B1974" t="str">
            <v>B272-400-AS-140-HB-004</v>
          </cell>
          <cell r="E1974" t="str">
            <v>P-569(1/2)</v>
          </cell>
        </row>
        <row r="1975">
          <cell r="B1975" t="str">
            <v>B272-400-AS-140-HB-004</v>
          </cell>
          <cell r="E1975" t="str">
            <v>P-569(2/2)</v>
          </cell>
        </row>
        <row r="1976">
          <cell r="B1976" t="str">
            <v>B272-400-AS-140-HB-004</v>
          </cell>
          <cell r="E1976" t="str">
            <v>P-582(1/4)</v>
          </cell>
        </row>
        <row r="1977">
          <cell r="B1977" t="str">
            <v>B272-400-AS-140-HB-004</v>
          </cell>
          <cell r="E1977" t="str">
            <v>P-582(2/4)</v>
          </cell>
        </row>
        <row r="1978">
          <cell r="B1978" t="str">
            <v>B272-400-AS-140-HB-004</v>
          </cell>
          <cell r="E1978" t="str">
            <v>P-582(3/4)</v>
          </cell>
        </row>
        <row r="1979">
          <cell r="B1979" t="str">
            <v>B272-400-AS-140-HB-004</v>
          </cell>
          <cell r="E1979" t="str">
            <v>P-582(4/4)</v>
          </cell>
        </row>
        <row r="1980">
          <cell r="B1980" t="str">
            <v>B272-400-AS-140-HB-004</v>
          </cell>
          <cell r="E1980" t="str">
            <v>P-650(1/2)</v>
          </cell>
        </row>
        <row r="1981">
          <cell r="B1981" t="str">
            <v>B272-400-AS-140-HB-004</v>
          </cell>
          <cell r="E1981" t="str">
            <v>P-650(2/2)</v>
          </cell>
        </row>
        <row r="1982">
          <cell r="B1982" t="str">
            <v>B272-400-AS-140-HB-004</v>
          </cell>
          <cell r="E1982" t="str">
            <v>P-912(1/2)</v>
          </cell>
        </row>
        <row r="1983">
          <cell r="B1983" t="str">
            <v>B272-400-AS-140-HB-004</v>
          </cell>
          <cell r="E1983" t="str">
            <v>P-912(2/2)</v>
          </cell>
        </row>
        <row r="1984">
          <cell r="B1984" t="str">
            <v>B272-400-AS-140-HB-004</v>
          </cell>
          <cell r="E1984" t="str">
            <v>PY-12</v>
          </cell>
        </row>
        <row r="1985">
          <cell r="B1985" t="str">
            <v>B272-400-AS-140-HB-004</v>
          </cell>
          <cell r="E1985" t="str">
            <v>PY-13</v>
          </cell>
        </row>
        <row r="1986">
          <cell r="B1986" t="str">
            <v>B272-400-AS-140-HB-004</v>
          </cell>
          <cell r="E1986" t="str">
            <v>PY-16</v>
          </cell>
        </row>
        <row r="1987">
          <cell r="B1987" t="str">
            <v>B272-400-AS-140-HB-004</v>
          </cell>
          <cell r="E1987" t="str">
            <v>B1235</v>
          </cell>
        </row>
        <row r="1988">
          <cell r="B1988" t="str">
            <v>B272-400-AS-140-HB-004</v>
          </cell>
          <cell r="E1988" t="str">
            <v>B1655</v>
          </cell>
        </row>
        <row r="1989">
          <cell r="B1989" t="str">
            <v>B272-400-AS-140-HB-005</v>
          </cell>
        </row>
        <row r="1990">
          <cell r="B1990" t="str">
            <v>B272-400-AS-140-HB-005</v>
          </cell>
          <cell r="E1990" t="str">
            <v>CY-68</v>
          </cell>
        </row>
        <row r="1991">
          <cell r="B1991" t="str">
            <v>B272-400-AS-140-HB-005</v>
          </cell>
          <cell r="E1991" t="str">
            <v>CY-70</v>
          </cell>
        </row>
        <row r="1992">
          <cell r="B1992" t="str">
            <v>B272-400-AS-140-HB-005</v>
          </cell>
          <cell r="E1992" t="str">
            <v>CY-72</v>
          </cell>
        </row>
        <row r="1993">
          <cell r="B1993" t="str">
            <v>B272-400-AS-140-HB-005</v>
          </cell>
          <cell r="E1993" t="str">
            <v>N-2</v>
          </cell>
        </row>
        <row r="1994">
          <cell r="B1994" t="str">
            <v>B272-400-AS-140-HB-005</v>
          </cell>
          <cell r="E1994" t="str">
            <v>P-569(1/2)</v>
          </cell>
        </row>
        <row r="1995">
          <cell r="B1995" t="str">
            <v>B272-400-AS-140-HB-005</v>
          </cell>
          <cell r="E1995" t="str">
            <v>P-569(2/2)</v>
          </cell>
        </row>
        <row r="1996">
          <cell r="B1996" t="str">
            <v>B272-400-AS-140-HB-005</v>
          </cell>
          <cell r="E1996" t="str">
            <v>P-582(1/4)</v>
          </cell>
        </row>
        <row r="1997">
          <cell r="B1997" t="str">
            <v>B272-400-AS-140-HB-005</v>
          </cell>
          <cell r="E1997" t="str">
            <v>P-582(2/4)</v>
          </cell>
        </row>
        <row r="1998">
          <cell r="B1998" t="str">
            <v>B272-400-AS-140-HB-005</v>
          </cell>
          <cell r="E1998" t="str">
            <v>P-582(3/4)</v>
          </cell>
        </row>
        <row r="1999">
          <cell r="B1999" t="str">
            <v>B272-400-AS-140-HB-005</v>
          </cell>
          <cell r="E1999" t="str">
            <v>P-582(4/4)</v>
          </cell>
        </row>
        <row r="2000">
          <cell r="B2000" t="str">
            <v>B272-400-AS-140-HB-005</v>
          </cell>
          <cell r="E2000" t="str">
            <v>P-650(1/2)</v>
          </cell>
        </row>
        <row r="2001">
          <cell r="B2001" t="str">
            <v>B272-400-AS-140-HB-005</v>
          </cell>
          <cell r="E2001" t="str">
            <v>P-650(2/2)</v>
          </cell>
        </row>
        <row r="2002">
          <cell r="B2002" t="str">
            <v>B272-400-AS-140-HB-005</v>
          </cell>
          <cell r="E2002" t="str">
            <v>P-912(1/2)</v>
          </cell>
        </row>
        <row r="2003">
          <cell r="B2003" t="str">
            <v>B272-400-AS-140-HB-005</v>
          </cell>
          <cell r="E2003" t="str">
            <v>P-912(2/2)</v>
          </cell>
        </row>
        <row r="2004">
          <cell r="B2004" t="str">
            <v>B272-400-AS-140-HB-005</v>
          </cell>
          <cell r="E2004" t="str">
            <v>PY-13</v>
          </cell>
        </row>
        <row r="2005">
          <cell r="B2005" t="str">
            <v>B272-400-AS-140-HB-005</v>
          </cell>
          <cell r="E2005" t="str">
            <v>PY-14</v>
          </cell>
        </row>
        <row r="2006">
          <cell r="B2006" t="str">
            <v>B272-400-AS-140-HB-005</v>
          </cell>
          <cell r="E2006" t="str">
            <v>PY-16</v>
          </cell>
        </row>
        <row r="2007">
          <cell r="B2007" t="str">
            <v>B272-400-AS-140-HB-005</v>
          </cell>
          <cell r="E2007" t="str">
            <v>B1235</v>
          </cell>
        </row>
        <row r="2008">
          <cell r="B2008" t="str">
            <v>B272-400-AS-140-HB-005</v>
          </cell>
          <cell r="E2008" t="str">
            <v>B1655</v>
          </cell>
        </row>
        <row r="2009">
          <cell r="B2009" t="str">
            <v>B272-400-AS-140-HB-006</v>
          </cell>
        </row>
        <row r="2010">
          <cell r="B2010" t="str">
            <v>B272-400-AS-140-HB-006</v>
          </cell>
          <cell r="E2010" t="str">
            <v>CY-69</v>
          </cell>
        </row>
        <row r="2011">
          <cell r="B2011" t="str">
            <v>B272-400-AS-140-HB-006</v>
          </cell>
          <cell r="E2011" t="str">
            <v>CY-76</v>
          </cell>
        </row>
        <row r="2012">
          <cell r="B2012" t="str">
            <v>B272-400-AS-140-HB-006</v>
          </cell>
          <cell r="E2012" t="str">
            <v>CY-77</v>
          </cell>
        </row>
        <row r="2013">
          <cell r="B2013" t="str">
            <v>B272-400-AS-140-HB-006</v>
          </cell>
          <cell r="E2013" t="str">
            <v>N-2</v>
          </cell>
        </row>
        <row r="2014">
          <cell r="B2014" t="str">
            <v>B272-400-AS-140-HB-006</v>
          </cell>
          <cell r="E2014" t="str">
            <v>P-569(1/2)</v>
          </cell>
        </row>
        <row r="2015">
          <cell r="B2015" t="str">
            <v>B272-400-AS-140-HB-006</v>
          </cell>
          <cell r="E2015" t="str">
            <v>P-569(2/2)</v>
          </cell>
        </row>
        <row r="2016">
          <cell r="B2016" t="str">
            <v>B272-400-AS-140-HB-006</v>
          </cell>
          <cell r="E2016" t="str">
            <v>P-650(1/2)</v>
          </cell>
        </row>
        <row r="2017">
          <cell r="B2017" t="str">
            <v>B272-400-AS-140-HB-006</v>
          </cell>
          <cell r="E2017" t="str">
            <v>P-650(2/2)</v>
          </cell>
        </row>
        <row r="2018">
          <cell r="B2018" t="str">
            <v>B272-400-AS-140-HB-006</v>
          </cell>
          <cell r="E2018" t="str">
            <v>P-707(1/4)</v>
          </cell>
        </row>
        <row r="2019">
          <cell r="B2019" t="str">
            <v>B272-400-AS-140-HB-006</v>
          </cell>
          <cell r="E2019" t="str">
            <v>P-707(2/4)</v>
          </cell>
        </row>
        <row r="2020">
          <cell r="B2020" t="str">
            <v>B272-400-AS-140-HB-006</v>
          </cell>
          <cell r="E2020" t="str">
            <v>P-707(3/4)</v>
          </cell>
        </row>
        <row r="2021">
          <cell r="B2021" t="str">
            <v>B272-400-AS-140-HB-006</v>
          </cell>
          <cell r="E2021" t="str">
            <v>P-707(4/4)</v>
          </cell>
        </row>
        <row r="2022">
          <cell r="B2022" t="str">
            <v>B272-400-AS-140-HB-006</v>
          </cell>
          <cell r="E2022" t="str">
            <v>P-910(1/2)</v>
          </cell>
        </row>
        <row r="2023">
          <cell r="B2023" t="str">
            <v>B272-400-AS-140-HB-006</v>
          </cell>
          <cell r="E2023" t="str">
            <v>P-910(2/2)</v>
          </cell>
        </row>
        <row r="2024">
          <cell r="B2024" t="str">
            <v>B272-400-AS-140-HB-006</v>
          </cell>
          <cell r="E2024" t="str">
            <v>PY-12</v>
          </cell>
        </row>
        <row r="2025">
          <cell r="B2025" t="str">
            <v>B272-400-AS-140-HB-006</v>
          </cell>
          <cell r="E2025" t="str">
            <v>PY-19</v>
          </cell>
        </row>
        <row r="2026">
          <cell r="B2026" t="str">
            <v>B272-400-AS-140-HB-006</v>
          </cell>
          <cell r="E2026" t="str">
            <v>PY-20</v>
          </cell>
        </row>
        <row r="2027">
          <cell r="B2027" t="str">
            <v>B272-400-AS-140-HB-006</v>
          </cell>
          <cell r="E2027" t="str">
            <v>B1235</v>
          </cell>
        </row>
        <row r="2028">
          <cell r="B2028" t="str">
            <v>B272-400-AS-140-HB-006</v>
          </cell>
          <cell r="E2028" t="str">
            <v>B1655</v>
          </cell>
        </row>
        <row r="2029">
          <cell r="B2029" t="str">
            <v>B272-400-AS-140-HB-006</v>
          </cell>
        </row>
        <row r="2030">
          <cell r="B2030" t="str">
            <v>B272-400-AS-140-HB-006</v>
          </cell>
          <cell r="E2030" t="str">
            <v>CY-69</v>
          </cell>
        </row>
        <row r="2031">
          <cell r="B2031" t="str">
            <v>B272-400-AS-140-HB-006</v>
          </cell>
          <cell r="E2031" t="str">
            <v>CY-76</v>
          </cell>
        </row>
        <row r="2032">
          <cell r="B2032" t="str">
            <v>B272-400-AS-140-HB-006</v>
          </cell>
          <cell r="E2032" t="str">
            <v>CY-77</v>
          </cell>
        </row>
        <row r="2033">
          <cell r="B2033" t="str">
            <v>B272-400-AS-140-HB-006</v>
          </cell>
          <cell r="E2033" t="str">
            <v>N-2</v>
          </cell>
        </row>
        <row r="2034">
          <cell r="B2034" t="str">
            <v>B272-400-AS-140-HB-006</v>
          </cell>
          <cell r="E2034" t="str">
            <v>P-569(1/2)</v>
          </cell>
        </row>
        <row r="2035">
          <cell r="B2035" t="str">
            <v>B272-400-AS-140-HB-006</v>
          </cell>
          <cell r="E2035" t="str">
            <v>P-569(2/2)</v>
          </cell>
        </row>
        <row r="2036">
          <cell r="B2036" t="str">
            <v>B272-400-AS-140-HB-006</v>
          </cell>
          <cell r="E2036" t="str">
            <v>P-650(1/2)</v>
          </cell>
        </row>
        <row r="2037">
          <cell r="B2037" t="str">
            <v>B272-400-AS-140-HB-006</v>
          </cell>
          <cell r="E2037" t="str">
            <v>P-650(2/2)</v>
          </cell>
        </row>
        <row r="2038">
          <cell r="B2038" t="str">
            <v>B272-400-AS-140-HB-006</v>
          </cell>
          <cell r="E2038" t="str">
            <v>P-707(1/4)</v>
          </cell>
        </row>
        <row r="2039">
          <cell r="B2039" t="str">
            <v>B272-400-AS-140-HB-006</v>
          </cell>
          <cell r="E2039" t="str">
            <v>P-707(2/4)</v>
          </cell>
        </row>
        <row r="2040">
          <cell r="B2040" t="str">
            <v>B272-400-AS-140-HB-006</v>
          </cell>
          <cell r="E2040" t="str">
            <v>P-707(3/4)</v>
          </cell>
        </row>
        <row r="2041">
          <cell r="B2041" t="str">
            <v>B272-400-AS-140-HB-006</v>
          </cell>
          <cell r="E2041" t="str">
            <v>P-707(4/4)</v>
          </cell>
        </row>
        <row r="2042">
          <cell r="B2042" t="str">
            <v>B272-400-AS-140-HB-006</v>
          </cell>
          <cell r="E2042" t="str">
            <v>P-910(1/2)</v>
          </cell>
        </row>
        <row r="2043">
          <cell r="B2043" t="str">
            <v>B272-400-AS-140-HB-006</v>
          </cell>
          <cell r="E2043" t="str">
            <v>P-910(2/2)</v>
          </cell>
        </row>
        <row r="2044">
          <cell r="B2044" t="str">
            <v>B272-400-AS-140-HB-006</v>
          </cell>
          <cell r="E2044" t="str">
            <v>PY-12</v>
          </cell>
        </row>
        <row r="2045">
          <cell r="B2045" t="str">
            <v>B272-400-AS-140-HB-006</v>
          </cell>
          <cell r="E2045" t="str">
            <v>PY-19</v>
          </cell>
        </row>
        <row r="2046">
          <cell r="B2046" t="str">
            <v>B272-400-AS-140-HB-006</v>
          </cell>
          <cell r="E2046" t="str">
            <v>PY-20</v>
          </cell>
        </row>
        <row r="2047">
          <cell r="B2047" t="str">
            <v>B272-400-AS-140-HB-006</v>
          </cell>
          <cell r="E2047" t="str">
            <v>B1235</v>
          </cell>
        </row>
        <row r="2048">
          <cell r="B2048" t="str">
            <v>B272-400-AS-140-HB-006</v>
          </cell>
          <cell r="E2048" t="str">
            <v>B1655</v>
          </cell>
        </row>
        <row r="2049">
          <cell r="B2049" t="str">
            <v>B272-400-AS-140-HB-006</v>
          </cell>
        </row>
        <row r="2050">
          <cell r="B2050" t="str">
            <v>B272-400-AS-140-HB-006</v>
          </cell>
          <cell r="E2050" t="str">
            <v>CY-69</v>
          </cell>
        </row>
        <row r="2051">
          <cell r="B2051" t="str">
            <v>B272-400-AS-140-HB-006</v>
          </cell>
          <cell r="E2051" t="str">
            <v>CY-76</v>
          </cell>
        </row>
        <row r="2052">
          <cell r="B2052" t="str">
            <v>B272-400-AS-140-HB-006</v>
          </cell>
          <cell r="E2052" t="str">
            <v>CY-77</v>
          </cell>
        </row>
        <row r="2053">
          <cell r="B2053" t="str">
            <v>B272-400-AS-140-HB-006</v>
          </cell>
          <cell r="E2053" t="str">
            <v>N-2</v>
          </cell>
        </row>
        <row r="2054">
          <cell r="B2054" t="str">
            <v>B272-400-AS-140-HB-006</v>
          </cell>
          <cell r="E2054" t="str">
            <v>P-569(1/2)</v>
          </cell>
        </row>
        <row r="2055">
          <cell r="B2055" t="str">
            <v>B272-400-AS-140-HB-006</v>
          </cell>
          <cell r="E2055" t="str">
            <v>P-569(2/2)</v>
          </cell>
        </row>
        <row r="2056">
          <cell r="B2056" t="str">
            <v>B272-400-AS-140-HB-006</v>
          </cell>
          <cell r="E2056" t="str">
            <v>P-650(1/2)</v>
          </cell>
        </row>
        <row r="2057">
          <cell r="B2057" t="str">
            <v>B272-400-AS-140-HB-006</v>
          </cell>
          <cell r="E2057" t="str">
            <v>P-650(2/2)</v>
          </cell>
        </row>
        <row r="2058">
          <cell r="B2058" t="str">
            <v>B272-400-AS-140-HB-006</v>
          </cell>
          <cell r="E2058" t="str">
            <v>P-707(1/4)</v>
          </cell>
        </row>
        <row r="2059">
          <cell r="B2059" t="str">
            <v>B272-400-AS-140-HB-006</v>
          </cell>
          <cell r="E2059" t="str">
            <v>P-707(2/4)</v>
          </cell>
        </row>
        <row r="2060">
          <cell r="B2060" t="str">
            <v>B272-400-AS-140-HB-006</v>
          </cell>
          <cell r="E2060" t="str">
            <v>P-707(3/4)</v>
          </cell>
        </row>
        <row r="2061">
          <cell r="B2061" t="str">
            <v>B272-400-AS-140-HB-006</v>
          </cell>
          <cell r="E2061" t="str">
            <v>P-707(4/4)</v>
          </cell>
        </row>
        <row r="2062">
          <cell r="B2062" t="str">
            <v>B272-400-AS-140-HB-006</v>
          </cell>
          <cell r="E2062" t="str">
            <v>P-910(1/2)</v>
          </cell>
        </row>
        <row r="2063">
          <cell r="B2063" t="str">
            <v>B272-400-AS-140-HB-006</v>
          </cell>
          <cell r="E2063" t="str">
            <v>P-910(2/2)</v>
          </cell>
        </row>
        <row r="2064">
          <cell r="B2064" t="str">
            <v>B272-400-AS-140-HB-006</v>
          </cell>
          <cell r="E2064" t="str">
            <v>PY-12</v>
          </cell>
        </row>
        <row r="2065">
          <cell r="B2065" t="str">
            <v>B272-400-AS-140-HB-006</v>
          </cell>
          <cell r="E2065" t="str">
            <v>PY-19</v>
          </cell>
        </row>
        <row r="2066">
          <cell r="B2066" t="str">
            <v>B272-400-AS-140-HB-006</v>
          </cell>
          <cell r="E2066" t="str">
            <v>PY-20</v>
          </cell>
        </row>
        <row r="2067">
          <cell r="B2067" t="str">
            <v>B272-400-AS-140-HB-006</v>
          </cell>
          <cell r="E2067" t="str">
            <v>B1235</v>
          </cell>
        </row>
        <row r="2068">
          <cell r="B2068" t="str">
            <v>B272-400-AS-140-HB-006</v>
          </cell>
          <cell r="E2068" t="str">
            <v>B1655</v>
          </cell>
        </row>
        <row r="2069">
          <cell r="B2069" t="str">
            <v>B272-400-AS-140-HB-006</v>
          </cell>
        </row>
        <row r="2070">
          <cell r="B2070" t="str">
            <v>B272-400-AS-140-HB-006</v>
          </cell>
          <cell r="E2070" t="str">
            <v>CY-69</v>
          </cell>
        </row>
        <row r="2071">
          <cell r="B2071" t="str">
            <v>B272-400-AS-140-HB-006</v>
          </cell>
          <cell r="E2071" t="str">
            <v>CY-76</v>
          </cell>
        </row>
        <row r="2072">
          <cell r="B2072" t="str">
            <v>B272-400-AS-140-HB-006</v>
          </cell>
          <cell r="E2072" t="str">
            <v>CY-77</v>
          </cell>
        </row>
        <row r="2073">
          <cell r="B2073" t="str">
            <v>B272-400-AS-140-HB-006</v>
          </cell>
          <cell r="E2073" t="str">
            <v>N-2</v>
          </cell>
        </row>
        <row r="2074">
          <cell r="B2074" t="str">
            <v>B272-400-AS-140-HB-006</v>
          </cell>
          <cell r="E2074" t="str">
            <v>P-569(1/2)</v>
          </cell>
        </row>
        <row r="2075">
          <cell r="B2075" t="str">
            <v>B272-400-AS-140-HB-006</v>
          </cell>
          <cell r="E2075" t="str">
            <v>P-569(2/2)</v>
          </cell>
        </row>
        <row r="2076">
          <cell r="B2076" t="str">
            <v>B272-400-AS-140-HB-006</v>
          </cell>
          <cell r="E2076" t="str">
            <v>P-650(1/2)</v>
          </cell>
        </row>
        <row r="2077">
          <cell r="B2077" t="str">
            <v>B272-400-AS-140-HB-006</v>
          </cell>
          <cell r="E2077" t="str">
            <v>P-650(2/2)</v>
          </cell>
        </row>
        <row r="2078">
          <cell r="B2078" t="str">
            <v>B272-400-AS-140-HB-006</v>
          </cell>
          <cell r="E2078" t="str">
            <v>P-707(1/4)</v>
          </cell>
        </row>
        <row r="2079">
          <cell r="B2079" t="str">
            <v>B272-400-AS-140-HB-006</v>
          </cell>
          <cell r="E2079" t="str">
            <v>P-707(2/4)</v>
          </cell>
        </row>
        <row r="2080">
          <cell r="B2080" t="str">
            <v>B272-400-AS-140-HB-006</v>
          </cell>
          <cell r="E2080" t="str">
            <v>P-707(3/4)</v>
          </cell>
        </row>
        <row r="2081">
          <cell r="B2081" t="str">
            <v>B272-400-AS-140-HB-006</v>
          </cell>
          <cell r="E2081" t="str">
            <v>P-707(4/4)</v>
          </cell>
        </row>
        <row r="2082">
          <cell r="B2082" t="str">
            <v>B272-400-AS-140-HB-006</v>
          </cell>
          <cell r="E2082" t="str">
            <v>P-910(1/2)</v>
          </cell>
        </row>
        <row r="2083">
          <cell r="B2083" t="str">
            <v>B272-400-AS-140-HB-006</v>
          </cell>
          <cell r="E2083" t="str">
            <v>P-910(2/2)</v>
          </cell>
        </row>
        <row r="2084">
          <cell r="B2084" t="str">
            <v>B272-400-AS-140-HB-006</v>
          </cell>
          <cell r="E2084" t="str">
            <v>PY-12</v>
          </cell>
        </row>
        <row r="2085">
          <cell r="B2085" t="str">
            <v>B272-400-AS-140-HB-006</v>
          </cell>
          <cell r="E2085" t="str">
            <v>PY-19</v>
          </cell>
        </row>
        <row r="2086">
          <cell r="B2086" t="str">
            <v>B272-400-AS-140-HB-006</v>
          </cell>
          <cell r="E2086" t="str">
            <v>PY-20</v>
          </cell>
        </row>
        <row r="2087">
          <cell r="B2087" t="str">
            <v>B272-400-AS-140-HB-006</v>
          </cell>
          <cell r="E2087" t="str">
            <v>B1235</v>
          </cell>
        </row>
        <row r="2088">
          <cell r="B2088" t="str">
            <v>B272-400-AS-140-HB-006</v>
          </cell>
          <cell r="E2088" t="str">
            <v>B1655</v>
          </cell>
        </row>
        <row r="2089">
          <cell r="B2089" t="str">
            <v>B272-400-AS-140-HB-007</v>
          </cell>
        </row>
        <row r="2090">
          <cell r="B2090" t="str">
            <v>B272-400-AS-140-HB-007</v>
          </cell>
          <cell r="E2090" t="str">
            <v>CY-69</v>
          </cell>
        </row>
        <row r="2091">
          <cell r="B2091" t="str">
            <v>B272-400-AS-140-HB-007</v>
          </cell>
          <cell r="E2091" t="str">
            <v>CY-76</v>
          </cell>
        </row>
        <row r="2092">
          <cell r="B2092" t="str">
            <v>B272-400-AS-140-HB-007</v>
          </cell>
          <cell r="E2092" t="str">
            <v>CY-77</v>
          </cell>
        </row>
        <row r="2093">
          <cell r="B2093" t="str">
            <v>B272-400-AS-140-HB-007</v>
          </cell>
          <cell r="E2093" t="str">
            <v>N-2</v>
          </cell>
        </row>
        <row r="2094">
          <cell r="B2094" t="str">
            <v>B272-400-AS-140-HB-007</v>
          </cell>
          <cell r="E2094" t="str">
            <v>P-569(1/2)</v>
          </cell>
        </row>
        <row r="2095">
          <cell r="B2095" t="str">
            <v>B272-400-AS-140-HB-007</v>
          </cell>
          <cell r="E2095" t="str">
            <v>P-569(2/2)</v>
          </cell>
        </row>
        <row r="2096">
          <cell r="B2096" t="str">
            <v>B272-400-AS-140-HB-007</v>
          </cell>
          <cell r="E2096" t="str">
            <v>P-707(1/4)</v>
          </cell>
        </row>
        <row r="2097">
          <cell r="B2097" t="str">
            <v>B272-400-AS-140-HB-007</v>
          </cell>
          <cell r="E2097" t="str">
            <v>P-707(2/4)</v>
          </cell>
        </row>
        <row r="2098">
          <cell r="B2098" t="str">
            <v>B272-400-AS-140-HB-007</v>
          </cell>
          <cell r="E2098" t="str">
            <v>P-707(3/4)</v>
          </cell>
        </row>
        <row r="2099">
          <cell r="B2099" t="str">
            <v>B272-400-AS-140-HB-007</v>
          </cell>
          <cell r="E2099" t="str">
            <v>P-707(4/4)</v>
          </cell>
        </row>
        <row r="2100">
          <cell r="B2100" t="str">
            <v>B272-400-AS-140-HB-007</v>
          </cell>
          <cell r="E2100" t="str">
            <v>P-709(1/2)</v>
          </cell>
        </row>
        <row r="2101">
          <cell r="B2101" t="str">
            <v>B272-400-AS-140-HB-007</v>
          </cell>
          <cell r="E2101" t="str">
            <v>P-709(2/2)</v>
          </cell>
        </row>
        <row r="2102">
          <cell r="B2102" t="str">
            <v>B272-400-AS-140-HB-007</v>
          </cell>
          <cell r="E2102" t="str">
            <v>P-910(1/2)</v>
          </cell>
        </row>
        <row r="2103">
          <cell r="B2103" t="str">
            <v>B272-400-AS-140-HB-007</v>
          </cell>
          <cell r="E2103" t="str">
            <v>P-910(2/2)</v>
          </cell>
        </row>
        <row r="2104">
          <cell r="B2104" t="str">
            <v>B272-400-AS-140-HB-007</v>
          </cell>
          <cell r="E2104" t="str">
            <v>PY-12</v>
          </cell>
        </row>
        <row r="2105">
          <cell r="B2105" t="str">
            <v>B272-400-AS-140-HB-007</v>
          </cell>
          <cell r="E2105" t="str">
            <v>PY-19</v>
          </cell>
        </row>
        <row r="2106">
          <cell r="B2106" t="str">
            <v>B272-400-AS-140-HB-007</v>
          </cell>
          <cell r="E2106" t="str">
            <v>PY-20</v>
          </cell>
        </row>
        <row r="2107">
          <cell r="B2107" t="str">
            <v>B272-400-AS-140-HB-007</v>
          </cell>
          <cell r="E2107" t="str">
            <v>B1235</v>
          </cell>
        </row>
        <row r="2108">
          <cell r="B2108" t="str">
            <v>B272-400-AS-140-HB-007</v>
          </cell>
          <cell r="E2108" t="str">
            <v>B1655</v>
          </cell>
        </row>
        <row r="2109">
          <cell r="B2109" t="str">
            <v>B272-400-AS-140-HB-008</v>
          </cell>
        </row>
        <row r="2110">
          <cell r="B2110" t="str">
            <v>B272-400-AS-140-HB-008</v>
          </cell>
          <cell r="E2110" t="str">
            <v>P-98(1/2)</v>
          </cell>
        </row>
        <row r="2111">
          <cell r="B2111" t="str">
            <v>B272-400-AS-140-HB-008</v>
          </cell>
          <cell r="E2111" t="str">
            <v>P-98(2/2)</v>
          </cell>
        </row>
        <row r="2112">
          <cell r="B2112" t="str">
            <v>B272-400-AS-140-HB-008</v>
          </cell>
          <cell r="E2112" t="str">
            <v>P-99</v>
          </cell>
        </row>
        <row r="2113">
          <cell r="B2113" t="str">
            <v>B272-400-AS-140-HB-008</v>
          </cell>
          <cell r="E2113" t="str">
            <v>P-196</v>
          </cell>
        </row>
        <row r="2114">
          <cell r="B2114" t="str">
            <v>B272-400-AS-140-HB-008</v>
          </cell>
          <cell r="E2114" t="str">
            <v>P-241</v>
          </cell>
        </row>
        <row r="2115">
          <cell r="B2115" t="str">
            <v>B272-400-AS-140-HB-008</v>
          </cell>
          <cell r="E2115" t="str">
            <v>P-581(1/2)</v>
          </cell>
        </row>
        <row r="2116">
          <cell r="B2116" t="str">
            <v>B272-400-AS-140-HB-008</v>
          </cell>
          <cell r="E2116" t="str">
            <v>P-581(2/2)</v>
          </cell>
        </row>
        <row r="2117">
          <cell r="B2117" t="str">
            <v>B272-400-AS-140-HB-008</v>
          </cell>
          <cell r="E2117" t="str">
            <v>P-646(1/2)</v>
          </cell>
        </row>
        <row r="2118">
          <cell r="B2118" t="str">
            <v>B272-400-AS-140-HB-008</v>
          </cell>
          <cell r="E2118" t="str">
            <v>P-646(2/2)</v>
          </cell>
        </row>
        <row r="2119">
          <cell r="B2119" t="str">
            <v>B272-400-AS-140-HB-008</v>
          </cell>
          <cell r="E2119" t="str">
            <v>B1235</v>
          </cell>
        </row>
        <row r="2120">
          <cell r="B2120" t="str">
            <v>B272-400-AS-140-HB-008</v>
          </cell>
          <cell r="E2120" t="str">
            <v>B1240</v>
          </cell>
        </row>
        <row r="2121">
          <cell r="B2121" t="str">
            <v>B272-400-AS-140-HB-009</v>
          </cell>
        </row>
        <row r="2122">
          <cell r="B2122" t="str">
            <v>B272-400-AS-140-HB-009</v>
          </cell>
          <cell r="E2122" t="str">
            <v>P-100</v>
          </cell>
        </row>
        <row r="2123">
          <cell r="B2123" t="str">
            <v>B272-400-AS-140-HB-009</v>
          </cell>
          <cell r="E2123" t="str">
            <v>P-190(1/2)</v>
          </cell>
        </row>
        <row r="2124">
          <cell r="B2124" t="str">
            <v>B272-400-AS-140-HB-009</v>
          </cell>
          <cell r="E2124" t="str">
            <v>P-190(2/2)</v>
          </cell>
        </row>
        <row r="2125">
          <cell r="B2125" t="str">
            <v>B272-400-AS-140-HB-009</v>
          </cell>
          <cell r="E2125" t="str">
            <v>P-195</v>
          </cell>
        </row>
        <row r="2126">
          <cell r="B2126" t="str">
            <v>B272-400-AS-140-HB-009</v>
          </cell>
          <cell r="E2126" t="str">
            <v>P-581</v>
          </cell>
        </row>
        <row r="2127">
          <cell r="B2127" t="str">
            <v>B272-400-AS-140-HB-009</v>
          </cell>
          <cell r="E2127" t="str">
            <v>P-642(1/2)</v>
          </cell>
        </row>
        <row r="2128">
          <cell r="B2128" t="str">
            <v>B272-400-AS-140-HB-009</v>
          </cell>
          <cell r="E2128" t="str">
            <v>P-642(2/2)</v>
          </cell>
        </row>
        <row r="2129">
          <cell r="B2129" t="str">
            <v>B272-400-AS-140-HB-009</v>
          </cell>
          <cell r="E2129" t="str">
            <v>P-671</v>
          </cell>
        </row>
        <row r="2130">
          <cell r="B2130" t="str">
            <v>B272-400-AS-140-HB-009</v>
          </cell>
          <cell r="E2130" t="str">
            <v>B1240</v>
          </cell>
        </row>
        <row r="2131">
          <cell r="B2131" t="str">
            <v>B272-400-AS-140-HB-010</v>
          </cell>
        </row>
        <row r="2132">
          <cell r="B2132" t="str">
            <v>B272-400-AS-140-HB-010</v>
          </cell>
          <cell r="E2132" t="str">
            <v>P-100</v>
          </cell>
        </row>
        <row r="2133">
          <cell r="B2133" t="str">
            <v>B272-400-AS-140-HB-010</v>
          </cell>
          <cell r="E2133" t="str">
            <v>P-190(1/2)</v>
          </cell>
        </row>
        <row r="2134">
          <cell r="B2134" t="str">
            <v>B272-400-AS-140-HB-010</v>
          </cell>
          <cell r="E2134" t="str">
            <v>P-190(2/2)</v>
          </cell>
        </row>
        <row r="2135">
          <cell r="B2135" t="str">
            <v>B272-400-AS-140-HB-010</v>
          </cell>
          <cell r="E2135" t="str">
            <v>P-195</v>
          </cell>
        </row>
        <row r="2136">
          <cell r="B2136" t="str">
            <v>B272-400-AS-140-HB-010</v>
          </cell>
          <cell r="E2136" t="str">
            <v>P-581</v>
          </cell>
        </row>
        <row r="2137">
          <cell r="B2137" t="str">
            <v>B272-400-AS-140-HB-010</v>
          </cell>
          <cell r="E2137" t="str">
            <v>P-642(1/2)</v>
          </cell>
        </row>
        <row r="2138">
          <cell r="B2138" t="str">
            <v>B272-400-AS-140-HB-010</v>
          </cell>
          <cell r="E2138" t="str">
            <v>P-642(2/2)</v>
          </cell>
        </row>
        <row r="2139">
          <cell r="B2139" t="str">
            <v>B272-400-AS-140-HB-010</v>
          </cell>
          <cell r="E2139" t="str">
            <v>P-671</v>
          </cell>
        </row>
        <row r="2140">
          <cell r="B2140" t="str">
            <v>B272-400-AS-140-HB-010</v>
          </cell>
          <cell r="E2140" t="str">
            <v>B1240</v>
          </cell>
        </row>
        <row r="2141">
          <cell r="B2141" t="str">
            <v>B272-400-AS-140-HB-011</v>
          </cell>
        </row>
        <row r="2142">
          <cell r="B2142" t="str">
            <v>B272-400-AS-140-HB-011</v>
          </cell>
          <cell r="E2142" t="str">
            <v>CP-1</v>
          </cell>
        </row>
        <row r="2143">
          <cell r="B2143" t="str">
            <v>B272-400-AS-140-HB-011</v>
          </cell>
          <cell r="E2143" t="str">
            <v>D-71</v>
          </cell>
        </row>
        <row r="2144">
          <cell r="B2144" t="str">
            <v>B272-400-AS-140-HB-011</v>
          </cell>
          <cell r="E2144" t="str">
            <v>P-73</v>
          </cell>
        </row>
        <row r="2145">
          <cell r="B2145" t="str">
            <v>B272-400-AS-140-HB-011</v>
          </cell>
          <cell r="E2145" t="str">
            <v>P-96</v>
          </cell>
        </row>
        <row r="2146">
          <cell r="B2146" t="str">
            <v>B272-400-AS-140-HB-011</v>
          </cell>
          <cell r="E2146" t="str">
            <v>P-101</v>
          </cell>
        </row>
        <row r="2147">
          <cell r="B2147" t="str">
            <v>B272-400-AS-140-HB-011</v>
          </cell>
          <cell r="E2147" t="str">
            <v>P-236(1/2)</v>
          </cell>
        </row>
        <row r="2148">
          <cell r="B2148" t="str">
            <v>B272-400-AS-140-HB-011</v>
          </cell>
          <cell r="E2148" t="str">
            <v>P-236(2/2)</v>
          </cell>
        </row>
        <row r="2149">
          <cell r="B2149" t="str">
            <v>B272-400-AS-140-HB-011</v>
          </cell>
          <cell r="E2149" t="str">
            <v>P-551(1/2)</v>
          </cell>
        </row>
        <row r="2150">
          <cell r="B2150" t="str">
            <v>B272-400-AS-140-HB-011</v>
          </cell>
          <cell r="E2150" t="str">
            <v>P-551(2/2)</v>
          </cell>
        </row>
        <row r="2151">
          <cell r="B2151" t="str">
            <v>B272-400-AS-140-HB-011</v>
          </cell>
          <cell r="E2151" t="str">
            <v>P-641(1/2)</v>
          </cell>
        </row>
        <row r="2152">
          <cell r="B2152" t="str">
            <v>B272-400-AS-140-HB-011</v>
          </cell>
          <cell r="E2152" t="str">
            <v>P-641(2/2)</v>
          </cell>
        </row>
        <row r="2153">
          <cell r="B2153" t="str">
            <v>B272-400-AS-140-HB-011</v>
          </cell>
          <cell r="E2153" t="str">
            <v>P-643(1/2)</v>
          </cell>
        </row>
        <row r="2154">
          <cell r="B2154" t="str">
            <v>B272-400-AS-140-HB-011</v>
          </cell>
          <cell r="E2154" t="str">
            <v>P-643(2/2)</v>
          </cell>
        </row>
        <row r="2155">
          <cell r="B2155" t="str">
            <v>B272-400-AS-140-HB-011</v>
          </cell>
          <cell r="E2155" t="str">
            <v>B1240</v>
          </cell>
        </row>
        <row r="2156">
          <cell r="B2156" t="str">
            <v>B272-400-AS-140-HB-012</v>
          </cell>
        </row>
        <row r="2157">
          <cell r="B2157" t="str">
            <v>B272-400-AS-140-HB-012</v>
          </cell>
          <cell r="E2157" t="str">
            <v>P-94</v>
          </cell>
        </row>
        <row r="2158">
          <cell r="B2158" t="str">
            <v>B272-400-AS-140-HB-012</v>
          </cell>
          <cell r="E2158" t="str">
            <v>P-102</v>
          </cell>
        </row>
        <row r="2159">
          <cell r="B2159" t="str">
            <v>B272-400-AS-140-HB-012</v>
          </cell>
          <cell r="E2159" t="str">
            <v>P-289</v>
          </cell>
        </row>
        <row r="2160">
          <cell r="B2160" t="str">
            <v>B272-400-AS-140-HB-012</v>
          </cell>
          <cell r="E2160" t="str">
            <v>P-724</v>
          </cell>
        </row>
        <row r="2161">
          <cell r="B2161" t="str">
            <v>B272-400-AS-140-HB-012</v>
          </cell>
          <cell r="E2161" t="str">
            <v>P-725</v>
          </cell>
        </row>
        <row r="2162">
          <cell r="B2162" t="str">
            <v>B272-400-AS-140-HB-012</v>
          </cell>
          <cell r="E2162" t="str">
            <v>P-726</v>
          </cell>
        </row>
        <row r="2163">
          <cell r="B2163" t="str">
            <v>B272-400-AS-140-HB-012</v>
          </cell>
          <cell r="E2163" t="str">
            <v>P-1102(1/2)</v>
          </cell>
        </row>
        <row r="2164">
          <cell r="B2164" t="str">
            <v>B272-400-AS-140-HB-012</v>
          </cell>
          <cell r="E2164" t="str">
            <v>P-1102(2/2)</v>
          </cell>
        </row>
        <row r="2165">
          <cell r="B2165" t="str">
            <v>B272-400-AS-140-HB-012</v>
          </cell>
          <cell r="E2165" t="str">
            <v>B1240</v>
          </cell>
        </row>
        <row r="2166">
          <cell r="B2166" t="str">
            <v>B272-400-AS-140-HB-013</v>
          </cell>
        </row>
        <row r="2167">
          <cell r="B2167" t="str">
            <v>B272-400-AS-140-HB-013</v>
          </cell>
          <cell r="E2167" t="str">
            <v>P-108</v>
          </cell>
        </row>
        <row r="2168">
          <cell r="B2168" t="str">
            <v>B272-400-AS-140-HB-013</v>
          </cell>
          <cell r="E2168" t="str">
            <v>P-200</v>
          </cell>
        </row>
        <row r="2169">
          <cell r="B2169" t="str">
            <v>B272-400-AS-140-HB-013</v>
          </cell>
          <cell r="E2169" t="str">
            <v>P-248</v>
          </cell>
        </row>
        <row r="2170">
          <cell r="B2170" t="str">
            <v>B272-400-AS-140-HB-013</v>
          </cell>
          <cell r="E2170" t="str">
            <v>P-270</v>
          </cell>
        </row>
        <row r="2171">
          <cell r="B2171" t="str">
            <v>B272-400-AS-140-HB-013</v>
          </cell>
          <cell r="E2171" t="str">
            <v>P-653(1/2)</v>
          </cell>
        </row>
        <row r="2172">
          <cell r="B2172" t="str">
            <v>B272-400-AS-140-HB-013</v>
          </cell>
          <cell r="E2172" t="str">
            <v>P-653(2/2)</v>
          </cell>
        </row>
        <row r="2173">
          <cell r="B2173" t="str">
            <v>B272-400-AS-140-HB-013</v>
          </cell>
          <cell r="E2173" t="str">
            <v>P-717</v>
          </cell>
        </row>
        <row r="2174">
          <cell r="B2174" t="str">
            <v>B272-400-AS-140-HB-013</v>
          </cell>
          <cell r="E2174" t="str">
            <v>P-723</v>
          </cell>
        </row>
        <row r="2175">
          <cell r="B2175" t="str">
            <v>B272-400-AS-140-HB-013</v>
          </cell>
          <cell r="E2175" t="str">
            <v>R-3(1/2)</v>
          </cell>
        </row>
        <row r="2176">
          <cell r="B2176" t="str">
            <v>B272-400-AS-140-HB-013</v>
          </cell>
          <cell r="E2176" t="str">
            <v>R-3(2/2)</v>
          </cell>
        </row>
        <row r="2177">
          <cell r="B2177" t="str">
            <v>B272-400-AS-140-HB-013</v>
          </cell>
          <cell r="E2177" t="str">
            <v>B1235</v>
          </cell>
        </row>
        <row r="2178">
          <cell r="B2178" t="str">
            <v>B272-400-AS-140-HB-013</v>
          </cell>
          <cell r="E2178" t="str">
            <v>B1240</v>
          </cell>
        </row>
        <row r="2179">
          <cell r="B2179" t="str">
            <v>B272-400-AS-140-HB-014</v>
          </cell>
        </row>
        <row r="2180">
          <cell r="B2180" t="str">
            <v>B272-400-AS-140-HB-014</v>
          </cell>
          <cell r="E2180" t="str">
            <v>P-108</v>
          </cell>
        </row>
        <row r="2181">
          <cell r="B2181" t="str">
            <v>B272-400-AS-140-HB-014</v>
          </cell>
          <cell r="E2181" t="str">
            <v>P-200</v>
          </cell>
        </row>
        <row r="2182">
          <cell r="B2182" t="str">
            <v>B272-400-AS-140-HB-014</v>
          </cell>
          <cell r="E2182" t="str">
            <v>P-248</v>
          </cell>
        </row>
        <row r="2183">
          <cell r="B2183" t="str">
            <v>B272-400-AS-140-HB-014</v>
          </cell>
          <cell r="E2183" t="str">
            <v>P-270</v>
          </cell>
        </row>
        <row r="2184">
          <cell r="B2184" t="str">
            <v>B272-400-AS-140-HB-014</v>
          </cell>
          <cell r="E2184" t="str">
            <v>P-701(1/2)</v>
          </cell>
        </row>
        <row r="2185">
          <cell r="B2185" t="str">
            <v>B272-400-AS-140-HB-014</v>
          </cell>
          <cell r="E2185" t="str">
            <v>P-701(2/2)</v>
          </cell>
        </row>
        <row r="2186">
          <cell r="B2186" t="str">
            <v>B272-400-AS-140-HB-014</v>
          </cell>
          <cell r="E2186" t="str">
            <v>P-717</v>
          </cell>
        </row>
        <row r="2187">
          <cell r="B2187" t="str">
            <v>B272-400-AS-140-HB-014</v>
          </cell>
          <cell r="E2187" t="str">
            <v>P-723</v>
          </cell>
        </row>
        <row r="2188">
          <cell r="B2188" t="str">
            <v>B272-400-AS-140-HB-014</v>
          </cell>
          <cell r="E2188" t="str">
            <v>R-3(1/2)</v>
          </cell>
        </row>
        <row r="2189">
          <cell r="B2189" t="str">
            <v>B272-400-AS-140-HB-014</v>
          </cell>
          <cell r="E2189" t="str">
            <v>R-3(2/2)</v>
          </cell>
        </row>
        <row r="2190">
          <cell r="B2190" t="str">
            <v>B272-400-AS-140-HB-014</v>
          </cell>
          <cell r="E2190" t="str">
            <v>B1235</v>
          </cell>
        </row>
        <row r="2191">
          <cell r="B2191" t="str">
            <v>B272-400-AS-140-HB-014</v>
          </cell>
          <cell r="E2191" t="str">
            <v>B1240</v>
          </cell>
        </row>
        <row r="2192">
          <cell r="B2192" t="str">
            <v>B272-400-AS-140-HB-015</v>
          </cell>
        </row>
        <row r="2193">
          <cell r="B2193" t="str">
            <v>B272-400-AS-140-HB-015</v>
          </cell>
          <cell r="E2193" t="str">
            <v>P-92</v>
          </cell>
        </row>
        <row r="2194">
          <cell r="B2194" t="str">
            <v>B272-400-AS-140-HB-015</v>
          </cell>
          <cell r="E2194" t="str">
            <v>P-109</v>
          </cell>
        </row>
        <row r="2195">
          <cell r="B2195" t="str">
            <v>B272-400-AS-140-HB-015</v>
          </cell>
          <cell r="E2195" t="str">
            <v>P-200</v>
          </cell>
        </row>
        <row r="2196">
          <cell r="B2196" t="str">
            <v>B272-400-AS-140-HB-015</v>
          </cell>
          <cell r="E2196" t="str">
            <v>P-247</v>
          </cell>
        </row>
        <row r="2197">
          <cell r="B2197" t="str">
            <v>B272-400-AS-140-HB-015</v>
          </cell>
          <cell r="E2197" t="str">
            <v>P-653(1/2)</v>
          </cell>
        </row>
        <row r="2198">
          <cell r="B2198" t="str">
            <v>B272-400-AS-140-HB-015</v>
          </cell>
          <cell r="E2198" t="str">
            <v>P-653(2/2)</v>
          </cell>
        </row>
        <row r="2199">
          <cell r="B2199" t="str">
            <v>B272-400-AS-140-HB-015</v>
          </cell>
          <cell r="E2199" t="str">
            <v>P-716</v>
          </cell>
        </row>
        <row r="2200">
          <cell r="B2200" t="str">
            <v>B272-400-AS-140-HB-015</v>
          </cell>
          <cell r="E2200" t="str">
            <v>P-722</v>
          </cell>
        </row>
        <row r="2201">
          <cell r="B2201" t="str">
            <v>B272-400-AS-140-HB-015</v>
          </cell>
          <cell r="E2201" t="str">
            <v>R-3(1/2)</v>
          </cell>
        </row>
        <row r="2202">
          <cell r="B2202" t="str">
            <v>B272-400-AS-140-HB-015</v>
          </cell>
          <cell r="E2202" t="str">
            <v>R-3(2/2)</v>
          </cell>
        </row>
        <row r="2203">
          <cell r="B2203" t="str">
            <v>B272-400-AS-140-HB-015</v>
          </cell>
          <cell r="E2203" t="str">
            <v>B1235</v>
          </cell>
        </row>
        <row r="2204">
          <cell r="B2204" t="str">
            <v>B272-400-AS-140-HB-015</v>
          </cell>
          <cell r="E2204" t="str">
            <v>B1240</v>
          </cell>
        </row>
        <row r="2205">
          <cell r="B2205" t="str">
            <v>B272-400-AS-140-HB-015</v>
          </cell>
        </row>
        <row r="2206">
          <cell r="B2206" t="str">
            <v>B272-400-AS-140-HB-015</v>
          </cell>
          <cell r="E2206" t="str">
            <v>P-92</v>
          </cell>
        </row>
        <row r="2207">
          <cell r="B2207" t="str">
            <v>B272-400-AS-140-HB-015</v>
          </cell>
          <cell r="E2207" t="str">
            <v>P-109</v>
          </cell>
        </row>
        <row r="2208">
          <cell r="B2208" t="str">
            <v>B272-400-AS-140-HB-015</v>
          </cell>
          <cell r="E2208" t="str">
            <v>P-200</v>
          </cell>
        </row>
        <row r="2209">
          <cell r="B2209" t="str">
            <v>B272-400-AS-140-HB-015</v>
          </cell>
          <cell r="E2209" t="str">
            <v>P-247</v>
          </cell>
        </row>
        <row r="2210">
          <cell r="B2210" t="str">
            <v>B272-400-AS-140-HB-015</v>
          </cell>
          <cell r="E2210" t="str">
            <v>P-653(1/2)</v>
          </cell>
        </row>
        <row r="2211">
          <cell r="B2211" t="str">
            <v>B272-400-AS-140-HB-015</v>
          </cell>
          <cell r="E2211" t="str">
            <v>P-653(2/2)</v>
          </cell>
        </row>
        <row r="2212">
          <cell r="B2212" t="str">
            <v>B272-400-AS-140-HB-015</v>
          </cell>
          <cell r="E2212" t="str">
            <v>P-716</v>
          </cell>
        </row>
        <row r="2213">
          <cell r="B2213" t="str">
            <v>B272-400-AS-140-HB-015</v>
          </cell>
          <cell r="E2213" t="str">
            <v>P-722</v>
          </cell>
        </row>
        <row r="2214">
          <cell r="B2214" t="str">
            <v>B272-400-AS-140-HB-015</v>
          </cell>
          <cell r="E2214" t="str">
            <v>R-3(1/2)</v>
          </cell>
        </row>
        <row r="2215">
          <cell r="B2215" t="str">
            <v>B272-400-AS-140-HB-015</v>
          </cell>
          <cell r="E2215" t="str">
            <v>R-3(2/2)</v>
          </cell>
        </row>
        <row r="2216">
          <cell r="B2216" t="str">
            <v>B272-400-AS-140-HB-015</v>
          </cell>
          <cell r="E2216" t="str">
            <v>B1240</v>
          </cell>
        </row>
        <row r="2217">
          <cell r="B2217" t="str">
            <v>B272-400-AS-140-HB-016</v>
          </cell>
        </row>
        <row r="2218">
          <cell r="B2218" t="str">
            <v>B272-400-AS-140-HB-016</v>
          </cell>
          <cell r="E2218" t="str">
            <v>P-92</v>
          </cell>
        </row>
        <row r="2219">
          <cell r="B2219" t="str">
            <v>B272-400-AS-140-HB-016</v>
          </cell>
          <cell r="E2219" t="str">
            <v>P-109</v>
          </cell>
        </row>
        <row r="2220">
          <cell r="B2220" t="str">
            <v>B272-400-AS-140-HB-016</v>
          </cell>
          <cell r="E2220" t="str">
            <v>P-200</v>
          </cell>
        </row>
        <row r="2221">
          <cell r="B2221" t="str">
            <v>B272-400-AS-140-HB-016</v>
          </cell>
          <cell r="E2221" t="str">
            <v>P-247</v>
          </cell>
        </row>
        <row r="2222">
          <cell r="B2222" t="str">
            <v>B272-400-AS-140-HB-016</v>
          </cell>
          <cell r="E2222" t="str">
            <v>P-701(1/2)</v>
          </cell>
        </row>
        <row r="2223">
          <cell r="B2223" t="str">
            <v>B272-400-AS-140-HB-016</v>
          </cell>
          <cell r="E2223" t="str">
            <v>P-701(2/2)</v>
          </cell>
        </row>
        <row r="2224">
          <cell r="B2224" t="str">
            <v>B272-400-AS-140-HB-016</v>
          </cell>
          <cell r="E2224" t="str">
            <v>P-716</v>
          </cell>
        </row>
        <row r="2225">
          <cell r="B2225" t="str">
            <v>B272-400-AS-140-HB-016</v>
          </cell>
          <cell r="E2225" t="str">
            <v>P-722</v>
          </cell>
        </row>
        <row r="2226">
          <cell r="B2226" t="str">
            <v>B272-400-AS-140-HB-016</v>
          </cell>
          <cell r="E2226" t="str">
            <v>R-3(1/2)</v>
          </cell>
        </row>
        <row r="2227">
          <cell r="B2227" t="str">
            <v>B272-400-AS-140-HB-016</v>
          </cell>
          <cell r="E2227" t="str">
            <v>R-3(2/2)</v>
          </cell>
        </row>
        <row r="2228">
          <cell r="B2228" t="str">
            <v>B272-400-AS-140-HB-016</v>
          </cell>
          <cell r="E2228" t="str">
            <v>B1235</v>
          </cell>
        </row>
        <row r="2229">
          <cell r="B2229" t="str">
            <v>B272-400-AS-140-HB-016</v>
          </cell>
          <cell r="E2229" t="str">
            <v>B1240</v>
          </cell>
        </row>
        <row r="2230">
          <cell r="B2230" t="str">
            <v>B272-400-AS-140-HB-016</v>
          </cell>
        </row>
        <row r="2231">
          <cell r="B2231" t="str">
            <v>B272-400-AS-140-HB-016</v>
          </cell>
          <cell r="E2231" t="str">
            <v>P-92</v>
          </cell>
        </row>
        <row r="2232">
          <cell r="B2232" t="str">
            <v>B272-400-AS-140-HB-016</v>
          </cell>
          <cell r="E2232" t="str">
            <v>P-109</v>
          </cell>
        </row>
        <row r="2233">
          <cell r="B2233" t="str">
            <v>B272-400-AS-140-HB-016</v>
          </cell>
          <cell r="E2233" t="str">
            <v>P-200</v>
          </cell>
        </row>
        <row r="2234">
          <cell r="B2234" t="str">
            <v>B272-400-AS-140-HB-016</v>
          </cell>
          <cell r="E2234" t="str">
            <v>P-247</v>
          </cell>
        </row>
        <row r="2235">
          <cell r="B2235" t="str">
            <v>B272-400-AS-140-HB-016</v>
          </cell>
          <cell r="E2235" t="str">
            <v>P-701(1/2)</v>
          </cell>
        </row>
        <row r="2236">
          <cell r="B2236" t="str">
            <v>B272-400-AS-140-HB-016</v>
          </cell>
          <cell r="E2236" t="str">
            <v>P-701(2/2)</v>
          </cell>
        </row>
        <row r="2237">
          <cell r="B2237" t="str">
            <v>B272-400-AS-140-HB-016</v>
          </cell>
          <cell r="E2237" t="str">
            <v>P-716</v>
          </cell>
        </row>
        <row r="2238">
          <cell r="B2238" t="str">
            <v>B272-400-AS-140-HB-016</v>
          </cell>
          <cell r="E2238" t="str">
            <v>P-722</v>
          </cell>
        </row>
        <row r="2239">
          <cell r="B2239" t="str">
            <v>B272-400-AS-140-HB-016</v>
          </cell>
          <cell r="E2239" t="str">
            <v>R-3(1/2)</v>
          </cell>
        </row>
        <row r="2240">
          <cell r="B2240" t="str">
            <v>B272-400-AS-140-HB-016</v>
          </cell>
          <cell r="E2240" t="str">
            <v>R-3(2/2)</v>
          </cell>
        </row>
        <row r="2241">
          <cell r="B2241" t="str">
            <v>B272-400-AS-140-HB-016</v>
          </cell>
          <cell r="E2241" t="str">
            <v>B1240</v>
          </cell>
        </row>
        <row r="2242">
          <cell r="B2242" t="str">
            <v>B272-400-AS-140-HB-017</v>
          </cell>
        </row>
        <row r="2243">
          <cell r="B2243" t="str">
            <v>B272-400-AS-140-HB-017</v>
          </cell>
          <cell r="E2243" t="str">
            <v>P-110</v>
          </cell>
        </row>
        <row r="2244">
          <cell r="B2244" t="str">
            <v>B272-400-AS-140-HB-017</v>
          </cell>
          <cell r="E2244" t="str">
            <v>P-199</v>
          </cell>
        </row>
        <row r="2245">
          <cell r="B2245" t="str">
            <v>B272-400-AS-140-HB-017</v>
          </cell>
          <cell r="E2245" t="str">
            <v>P-202</v>
          </cell>
        </row>
        <row r="2246">
          <cell r="B2246" t="str">
            <v>B272-400-AS-140-HB-017</v>
          </cell>
          <cell r="E2246" t="str">
            <v>P-247(1/2)</v>
          </cell>
        </row>
        <row r="2247">
          <cell r="B2247" t="str">
            <v>B272-400-AS-140-HB-017</v>
          </cell>
          <cell r="E2247" t="str">
            <v>P-247(2/2)</v>
          </cell>
        </row>
        <row r="2248">
          <cell r="B2248" t="str">
            <v>B272-400-AS-140-HB-017</v>
          </cell>
          <cell r="E2248" t="str">
            <v>P-702(1/2)</v>
          </cell>
        </row>
        <row r="2249">
          <cell r="B2249" t="str">
            <v>B272-400-AS-140-HB-017</v>
          </cell>
          <cell r="E2249" t="str">
            <v>P-702(2/2)</v>
          </cell>
        </row>
        <row r="2250">
          <cell r="B2250" t="str">
            <v>B272-400-AS-140-HB-017</v>
          </cell>
          <cell r="E2250" t="str">
            <v>P-716(1/2)</v>
          </cell>
        </row>
        <row r="2251">
          <cell r="B2251" t="str">
            <v>B272-400-AS-140-HB-017</v>
          </cell>
          <cell r="E2251" t="str">
            <v>P-716(2/2)</v>
          </cell>
        </row>
        <row r="2252">
          <cell r="B2252" t="str">
            <v>B272-400-AS-140-HB-017</v>
          </cell>
          <cell r="E2252" t="str">
            <v>R-3(1/2)</v>
          </cell>
        </row>
        <row r="2253">
          <cell r="B2253" t="str">
            <v>B272-400-AS-140-HB-017</v>
          </cell>
          <cell r="E2253" t="str">
            <v>R-3(2/2)</v>
          </cell>
        </row>
        <row r="2254">
          <cell r="B2254" t="str">
            <v>B272-400-AS-140-HB-017</v>
          </cell>
          <cell r="E2254" t="str">
            <v>B1235</v>
          </cell>
        </row>
        <row r="2255">
          <cell r="B2255" t="str">
            <v>B272-400-AS-140-HB-017</v>
          </cell>
          <cell r="E2255" t="str">
            <v>B1240</v>
          </cell>
        </row>
        <row r="2256">
          <cell r="B2256" t="str">
            <v>B272-400-AS-140-HB-017</v>
          </cell>
        </row>
        <row r="2257">
          <cell r="B2257" t="str">
            <v>B272-400-AS-140-HB-017</v>
          </cell>
          <cell r="E2257" t="str">
            <v>P-110</v>
          </cell>
        </row>
        <row r="2258">
          <cell r="B2258" t="str">
            <v>B272-400-AS-140-HB-017</v>
          </cell>
          <cell r="E2258" t="str">
            <v>P-199</v>
          </cell>
        </row>
        <row r="2259">
          <cell r="B2259" t="str">
            <v>B272-400-AS-140-HB-017</v>
          </cell>
          <cell r="E2259" t="str">
            <v>P-202</v>
          </cell>
        </row>
        <row r="2260">
          <cell r="B2260" t="str">
            <v>B272-400-AS-140-HB-017</v>
          </cell>
          <cell r="E2260" t="str">
            <v>P-247(1/2)</v>
          </cell>
        </row>
        <row r="2261">
          <cell r="B2261" t="str">
            <v>B272-400-AS-140-HB-017</v>
          </cell>
          <cell r="E2261" t="str">
            <v>P-247(2/2)</v>
          </cell>
        </row>
        <row r="2262">
          <cell r="B2262" t="str">
            <v>B272-400-AS-140-HB-017</v>
          </cell>
          <cell r="E2262" t="str">
            <v>P-702(1/2)</v>
          </cell>
        </row>
        <row r="2263">
          <cell r="B2263" t="str">
            <v>B272-400-AS-140-HB-017</v>
          </cell>
          <cell r="E2263" t="str">
            <v>P-702(2/2)</v>
          </cell>
        </row>
        <row r="2264">
          <cell r="B2264" t="str">
            <v>B272-400-AS-140-HB-017</v>
          </cell>
          <cell r="E2264" t="str">
            <v>P-716(1/2)</v>
          </cell>
        </row>
        <row r="2265">
          <cell r="B2265" t="str">
            <v>B272-400-AS-140-HB-017</v>
          </cell>
          <cell r="E2265" t="str">
            <v>P-716(2/2)</v>
          </cell>
        </row>
        <row r="2266">
          <cell r="B2266" t="str">
            <v>B272-400-AS-140-HB-017</v>
          </cell>
          <cell r="E2266" t="str">
            <v>R-3(1/2)</v>
          </cell>
        </row>
        <row r="2267">
          <cell r="B2267" t="str">
            <v>B272-400-AS-140-HB-017</v>
          </cell>
          <cell r="E2267" t="str">
            <v>R-3(2/2)</v>
          </cell>
        </row>
        <row r="2268">
          <cell r="B2268" t="str">
            <v>B272-400-AS-140-HB-017</v>
          </cell>
          <cell r="E2268" t="str">
            <v>B1240</v>
          </cell>
        </row>
        <row r="2269">
          <cell r="B2269" t="str">
            <v>B272-400-AS-140-HB-018</v>
          </cell>
        </row>
        <row r="2270">
          <cell r="B2270" t="str">
            <v>B272-400-AS-140-HB-018</v>
          </cell>
          <cell r="E2270" t="str">
            <v>P-111</v>
          </cell>
        </row>
        <row r="2271">
          <cell r="B2271" t="str">
            <v>B272-400-AS-140-HB-018</v>
          </cell>
          <cell r="E2271" t="str">
            <v>P-200</v>
          </cell>
        </row>
        <row r="2272">
          <cell r="B2272" t="str">
            <v>B272-400-AS-140-HB-018</v>
          </cell>
          <cell r="E2272" t="str">
            <v>P-204</v>
          </cell>
        </row>
        <row r="2273">
          <cell r="B2273" t="str">
            <v>B272-400-AS-140-HB-018</v>
          </cell>
          <cell r="E2273" t="str">
            <v>P-246</v>
          </cell>
        </row>
        <row r="2274">
          <cell r="B2274" t="str">
            <v>B272-400-AS-140-HB-018</v>
          </cell>
          <cell r="E2274" t="str">
            <v>P-653(1/2)</v>
          </cell>
        </row>
        <row r="2275">
          <cell r="B2275" t="str">
            <v>B272-400-AS-140-HB-018</v>
          </cell>
          <cell r="E2275" t="str">
            <v>P-653(2/2)</v>
          </cell>
        </row>
        <row r="2276">
          <cell r="B2276" t="str">
            <v>B272-400-AS-140-HB-018</v>
          </cell>
          <cell r="E2276" t="str">
            <v>P-713</v>
          </cell>
        </row>
        <row r="2277">
          <cell r="B2277" t="str">
            <v>B272-400-AS-140-HB-018</v>
          </cell>
          <cell r="E2277" t="str">
            <v>P-719</v>
          </cell>
        </row>
        <row r="2278">
          <cell r="B2278" t="str">
            <v>B272-400-AS-140-HB-018</v>
          </cell>
          <cell r="E2278" t="str">
            <v>R-3(1/2)</v>
          </cell>
        </row>
        <row r="2279">
          <cell r="B2279" t="str">
            <v>B272-400-AS-140-HB-018</v>
          </cell>
          <cell r="E2279" t="str">
            <v>R-3(2/2)</v>
          </cell>
        </row>
        <row r="2280">
          <cell r="B2280" t="str">
            <v>B272-400-AS-140-HB-018</v>
          </cell>
          <cell r="E2280" t="str">
            <v>B1235</v>
          </cell>
        </row>
        <row r="2281">
          <cell r="B2281" t="str">
            <v>B272-400-AS-140-HB-018</v>
          </cell>
          <cell r="E2281" t="str">
            <v>B1240</v>
          </cell>
        </row>
        <row r="2282">
          <cell r="B2282" t="str">
            <v>B272-400-AS-140-HB-019</v>
          </cell>
        </row>
        <row r="2283">
          <cell r="B2283" t="str">
            <v>B272-400-AS-140-HB-019</v>
          </cell>
          <cell r="E2283" t="str">
            <v>P-111</v>
          </cell>
        </row>
        <row r="2284">
          <cell r="B2284" t="str">
            <v>B272-400-AS-140-HB-019</v>
          </cell>
          <cell r="E2284" t="str">
            <v>P-200</v>
          </cell>
        </row>
        <row r="2285">
          <cell r="B2285" t="str">
            <v>B272-400-AS-140-HB-019</v>
          </cell>
          <cell r="E2285" t="str">
            <v>P-204</v>
          </cell>
        </row>
        <row r="2286">
          <cell r="B2286" t="str">
            <v>B272-400-AS-140-HB-019</v>
          </cell>
          <cell r="E2286" t="str">
            <v>P-246</v>
          </cell>
        </row>
        <row r="2287">
          <cell r="B2287" t="str">
            <v>B272-400-AS-140-HB-019</v>
          </cell>
          <cell r="E2287" t="str">
            <v>P-701(1/2)</v>
          </cell>
        </row>
        <row r="2288">
          <cell r="B2288" t="str">
            <v>B272-400-AS-140-HB-019</v>
          </cell>
          <cell r="E2288" t="str">
            <v>P-701(2/2)</v>
          </cell>
        </row>
        <row r="2289">
          <cell r="B2289" t="str">
            <v>B272-400-AS-140-HB-019</v>
          </cell>
          <cell r="E2289" t="str">
            <v>P-713</v>
          </cell>
        </row>
        <row r="2290">
          <cell r="B2290" t="str">
            <v>B272-400-AS-140-HB-019</v>
          </cell>
          <cell r="E2290" t="str">
            <v>P-719</v>
          </cell>
        </row>
        <row r="2291">
          <cell r="B2291" t="str">
            <v>B272-400-AS-140-HB-019</v>
          </cell>
          <cell r="E2291" t="str">
            <v>R-3(1/2)</v>
          </cell>
        </row>
        <row r="2292">
          <cell r="B2292" t="str">
            <v>B272-400-AS-140-HB-019</v>
          </cell>
          <cell r="E2292" t="str">
            <v>R-3(2/2)</v>
          </cell>
        </row>
        <row r="2293">
          <cell r="B2293" t="str">
            <v>B272-400-AS-140-HB-019</v>
          </cell>
          <cell r="E2293" t="str">
            <v>B1235</v>
          </cell>
        </row>
        <row r="2294">
          <cell r="B2294" t="str">
            <v>B272-400-AS-140-HB-019</v>
          </cell>
          <cell r="E2294" t="str">
            <v>B1240</v>
          </cell>
        </row>
        <row r="2295">
          <cell r="B2295" t="str">
            <v>B272-400-AS-140-HB-020</v>
          </cell>
        </row>
        <row r="2296">
          <cell r="B2296" t="str">
            <v>B272-400-AS-140-HB-020</v>
          </cell>
          <cell r="E2296" t="str">
            <v>P-112</v>
          </cell>
        </row>
        <row r="2297">
          <cell r="B2297" t="str">
            <v>B272-400-AS-140-HB-020</v>
          </cell>
          <cell r="E2297" t="str">
            <v>P-202</v>
          </cell>
        </row>
        <row r="2298">
          <cell r="B2298" t="str">
            <v>B272-400-AS-140-HB-020</v>
          </cell>
          <cell r="E2298" t="str">
            <v>P-256(1/2)</v>
          </cell>
        </row>
        <row r="2299">
          <cell r="B2299" t="str">
            <v>B272-400-AS-140-HB-020</v>
          </cell>
          <cell r="E2299" t="str">
            <v>P-256(2/2)</v>
          </cell>
        </row>
        <row r="2300">
          <cell r="B2300" t="str">
            <v>B272-400-AS-140-HB-020</v>
          </cell>
          <cell r="E2300" t="str">
            <v>P-258</v>
          </cell>
        </row>
        <row r="2301">
          <cell r="B2301" t="str">
            <v>B272-400-AS-140-HB-020</v>
          </cell>
          <cell r="E2301" t="str">
            <v>P-274</v>
          </cell>
        </row>
        <row r="2302">
          <cell r="B2302" t="str">
            <v>B272-400-AS-140-HB-020</v>
          </cell>
          <cell r="E2302" t="str">
            <v>P-639</v>
          </cell>
        </row>
        <row r="2303">
          <cell r="B2303" t="str">
            <v>B272-400-AS-140-HB-020</v>
          </cell>
          <cell r="E2303" t="str">
            <v>P-702</v>
          </cell>
        </row>
        <row r="2304">
          <cell r="B2304" t="str">
            <v>B272-400-AS-140-HB-020</v>
          </cell>
          <cell r="E2304" t="str">
            <v>P-715(1/2)</v>
          </cell>
        </row>
        <row r="2305">
          <cell r="B2305" t="str">
            <v>B272-400-AS-140-HB-020</v>
          </cell>
          <cell r="E2305" t="str">
            <v>P-715(2/2)</v>
          </cell>
        </row>
        <row r="2306">
          <cell r="B2306" t="str">
            <v>B272-400-AS-140-HB-020</v>
          </cell>
          <cell r="E2306" t="str">
            <v>P-727</v>
          </cell>
        </row>
        <row r="2307">
          <cell r="B2307" t="str">
            <v>B272-400-AS-140-HB-020</v>
          </cell>
          <cell r="E2307" t="str">
            <v>P-729</v>
          </cell>
        </row>
        <row r="2308">
          <cell r="B2308" t="str">
            <v>B272-400-AS-140-HB-020</v>
          </cell>
          <cell r="E2308" t="str">
            <v>R-3(1/2)</v>
          </cell>
        </row>
        <row r="2309">
          <cell r="B2309" t="str">
            <v>B272-400-AS-140-HB-020</v>
          </cell>
          <cell r="E2309" t="str">
            <v>R-3(2/2)</v>
          </cell>
        </row>
        <row r="2310">
          <cell r="B2310" t="str">
            <v>B272-400-AS-140-HB-020</v>
          </cell>
          <cell r="E2310" t="str">
            <v>B1240</v>
          </cell>
        </row>
        <row r="2311">
          <cell r="B2311" t="str">
            <v>B272-400-AS-140-HB-021</v>
          </cell>
        </row>
        <row r="2312">
          <cell r="B2312" t="str">
            <v>B272-400-AS-140-HB-021</v>
          </cell>
          <cell r="E2312" t="str">
            <v>P-113</v>
          </cell>
        </row>
        <row r="2313">
          <cell r="B2313" t="str">
            <v>B272-400-AS-140-HB-021</v>
          </cell>
          <cell r="E2313" t="str">
            <v>P-199</v>
          </cell>
        </row>
        <row r="2314">
          <cell r="B2314" t="str">
            <v>B272-400-AS-140-HB-021</v>
          </cell>
          <cell r="E2314" t="str">
            <v>P-202</v>
          </cell>
        </row>
        <row r="2315">
          <cell r="B2315" t="str">
            <v>B272-400-AS-140-HB-021</v>
          </cell>
          <cell r="E2315" t="str">
            <v>P-246(1/2)</v>
          </cell>
        </row>
        <row r="2316">
          <cell r="B2316" t="str">
            <v>B272-400-AS-140-HB-021</v>
          </cell>
          <cell r="E2316" t="str">
            <v>P-246(2/2)</v>
          </cell>
        </row>
        <row r="2317">
          <cell r="B2317" t="str">
            <v>B272-400-AS-140-HB-021</v>
          </cell>
          <cell r="E2317" t="str">
            <v>P-702(1/2)</v>
          </cell>
        </row>
        <row r="2318">
          <cell r="B2318" t="str">
            <v>B272-400-AS-140-HB-021</v>
          </cell>
          <cell r="E2318" t="str">
            <v>P-702(2/2)</v>
          </cell>
        </row>
        <row r="2319">
          <cell r="B2319" t="str">
            <v>B272-400-AS-140-HB-021</v>
          </cell>
          <cell r="E2319" t="str">
            <v>P-713(1/2)</v>
          </cell>
        </row>
        <row r="2320">
          <cell r="B2320" t="str">
            <v>B272-400-AS-140-HB-021</v>
          </cell>
          <cell r="E2320" t="str">
            <v>P-713(2/2)</v>
          </cell>
        </row>
        <row r="2321">
          <cell r="B2321" t="str">
            <v>B272-400-AS-140-HB-021</v>
          </cell>
          <cell r="E2321" t="str">
            <v>R-3(1/2)</v>
          </cell>
        </row>
        <row r="2322">
          <cell r="B2322" t="str">
            <v>B272-400-AS-140-HB-021</v>
          </cell>
          <cell r="E2322" t="str">
            <v>R-3(2/2)</v>
          </cell>
        </row>
        <row r="2323">
          <cell r="B2323" t="str">
            <v>B272-400-AS-140-HB-021</v>
          </cell>
          <cell r="E2323" t="str">
            <v>B1235</v>
          </cell>
        </row>
        <row r="2324">
          <cell r="B2324" t="str">
            <v>B272-400-AS-140-HB-021</v>
          </cell>
          <cell r="E2324" t="str">
            <v>B1240</v>
          </cell>
        </row>
        <row r="2325">
          <cell r="B2325" t="str">
            <v>B272-400-AS-140-HB-022</v>
          </cell>
        </row>
        <row r="2326">
          <cell r="B2326" t="str">
            <v>B272-400-AS-140-HB-022</v>
          </cell>
          <cell r="E2326" t="str">
            <v>P-92</v>
          </cell>
        </row>
        <row r="2327">
          <cell r="B2327" t="str">
            <v>B272-400-AS-140-HB-022</v>
          </cell>
          <cell r="E2327" t="str">
            <v>P-114</v>
          </cell>
        </row>
        <row r="2328">
          <cell r="B2328" t="str">
            <v>B272-400-AS-140-HB-022</v>
          </cell>
          <cell r="E2328" t="str">
            <v>P-189</v>
          </cell>
        </row>
        <row r="2329">
          <cell r="B2329" t="str">
            <v>B272-400-AS-140-HB-022</v>
          </cell>
          <cell r="E2329" t="str">
            <v>P-200</v>
          </cell>
        </row>
        <row r="2330">
          <cell r="B2330" t="str">
            <v>B272-400-AS-140-HB-022</v>
          </cell>
          <cell r="E2330" t="str">
            <v>P-653(1/2)</v>
          </cell>
        </row>
        <row r="2331">
          <cell r="B2331" t="str">
            <v>B272-400-AS-140-HB-022</v>
          </cell>
          <cell r="E2331" t="str">
            <v>P-653(2/2)</v>
          </cell>
        </row>
        <row r="2332">
          <cell r="B2332" t="str">
            <v>B272-400-AS-140-HB-022</v>
          </cell>
          <cell r="E2332" t="str">
            <v>P-712</v>
          </cell>
        </row>
        <row r="2333">
          <cell r="B2333" t="str">
            <v>B272-400-AS-140-HB-022</v>
          </cell>
          <cell r="E2333" t="str">
            <v>P-718</v>
          </cell>
        </row>
        <row r="2334">
          <cell r="B2334" t="str">
            <v>B272-400-AS-140-HB-022</v>
          </cell>
          <cell r="E2334" t="str">
            <v>R-3(1/2)</v>
          </cell>
        </row>
        <row r="2335">
          <cell r="B2335" t="str">
            <v>B272-400-AS-140-HB-022</v>
          </cell>
          <cell r="E2335" t="str">
            <v>R-3(2/2)</v>
          </cell>
        </row>
        <row r="2336">
          <cell r="B2336" t="str">
            <v>B272-400-AS-140-HB-022</v>
          </cell>
          <cell r="E2336" t="str">
            <v>B1235</v>
          </cell>
        </row>
        <row r="2337">
          <cell r="B2337" t="str">
            <v>B272-400-AS-140-HB-022</v>
          </cell>
          <cell r="E2337" t="str">
            <v>B1240</v>
          </cell>
        </row>
        <row r="2338">
          <cell r="B2338" t="str">
            <v>B272-400-AS-140-HB-023</v>
          </cell>
        </row>
        <row r="2339">
          <cell r="B2339" t="str">
            <v>B272-400-AS-140-HB-023</v>
          </cell>
          <cell r="E2339" t="str">
            <v>P-92</v>
          </cell>
        </row>
        <row r="2340">
          <cell r="B2340" t="str">
            <v>B272-400-AS-140-HB-023</v>
          </cell>
          <cell r="E2340" t="str">
            <v>P-114</v>
          </cell>
        </row>
        <row r="2341">
          <cell r="B2341" t="str">
            <v>B272-400-AS-140-HB-023</v>
          </cell>
          <cell r="E2341" t="str">
            <v>P-189</v>
          </cell>
        </row>
        <row r="2342">
          <cell r="B2342" t="str">
            <v>B272-400-AS-140-HB-023</v>
          </cell>
          <cell r="E2342" t="str">
            <v>P-200</v>
          </cell>
        </row>
        <row r="2343">
          <cell r="B2343" t="str">
            <v>B272-400-AS-140-HB-023</v>
          </cell>
          <cell r="E2343" t="str">
            <v>P-701(1/2)</v>
          </cell>
        </row>
        <row r="2344">
          <cell r="B2344" t="str">
            <v>B272-400-AS-140-HB-023</v>
          </cell>
          <cell r="E2344" t="str">
            <v>P-701(2/2)</v>
          </cell>
        </row>
        <row r="2345">
          <cell r="B2345" t="str">
            <v>B272-400-AS-140-HB-023</v>
          </cell>
          <cell r="E2345" t="str">
            <v>P-712</v>
          </cell>
        </row>
        <row r="2346">
          <cell r="B2346" t="str">
            <v>B272-400-AS-140-HB-023</v>
          </cell>
          <cell r="E2346" t="str">
            <v>P-718</v>
          </cell>
        </row>
        <row r="2347">
          <cell r="B2347" t="str">
            <v>B272-400-AS-140-HB-023</v>
          </cell>
          <cell r="E2347" t="str">
            <v>R-3(1/2)</v>
          </cell>
        </row>
        <row r="2348">
          <cell r="B2348" t="str">
            <v>B272-400-AS-140-HB-023</v>
          </cell>
          <cell r="E2348" t="str">
            <v>R-3(2/2)</v>
          </cell>
        </row>
        <row r="2349">
          <cell r="B2349" t="str">
            <v>B272-400-AS-140-HB-023</v>
          </cell>
          <cell r="E2349" t="str">
            <v>B1235</v>
          </cell>
        </row>
        <row r="2350">
          <cell r="B2350" t="str">
            <v>B272-400-AS-140-HB-023</v>
          </cell>
          <cell r="E2350" t="str">
            <v>B1240</v>
          </cell>
        </row>
        <row r="2351">
          <cell r="B2351" t="str">
            <v>B272-400-AS-140-HB-024</v>
          </cell>
        </row>
        <row r="2352">
          <cell r="B2352" t="str">
            <v>B272-400-AS-140-HB-024</v>
          </cell>
          <cell r="E2352" t="str">
            <v>P-92</v>
          </cell>
        </row>
        <row r="2353">
          <cell r="B2353" t="str">
            <v>B272-400-AS-140-HB-024</v>
          </cell>
          <cell r="E2353" t="str">
            <v>P-115</v>
          </cell>
        </row>
        <row r="2354">
          <cell r="B2354" t="str">
            <v>B272-400-AS-140-HB-024</v>
          </cell>
          <cell r="E2354" t="str">
            <v>P-245</v>
          </cell>
        </row>
        <row r="2355">
          <cell r="B2355" t="str">
            <v>B272-400-AS-140-HB-024</v>
          </cell>
          <cell r="E2355" t="str">
            <v>P-287</v>
          </cell>
        </row>
        <row r="2356">
          <cell r="B2356" t="str">
            <v>B272-400-AS-140-HB-024</v>
          </cell>
          <cell r="E2356" t="str">
            <v>P-653</v>
          </cell>
        </row>
        <row r="2357">
          <cell r="B2357" t="str">
            <v>B272-400-AS-140-HB-024</v>
          </cell>
          <cell r="E2357" t="str">
            <v>P-703</v>
          </cell>
        </row>
        <row r="2358">
          <cell r="B2358" t="str">
            <v>B272-400-AS-140-HB-024</v>
          </cell>
          <cell r="E2358" t="str">
            <v>P-704</v>
          </cell>
        </row>
        <row r="2359">
          <cell r="B2359" t="str">
            <v>B272-400-AS-140-HB-024</v>
          </cell>
          <cell r="E2359" t="str">
            <v>R-3(1/2)</v>
          </cell>
        </row>
        <row r="2360">
          <cell r="B2360" t="str">
            <v>B272-400-AS-140-HB-024</v>
          </cell>
          <cell r="E2360" t="str">
            <v>R-3(2/2)</v>
          </cell>
        </row>
        <row r="2361">
          <cell r="B2361" t="str">
            <v>B272-400-AS-140-HB-024</v>
          </cell>
          <cell r="E2361" t="str">
            <v>B1240</v>
          </cell>
        </row>
        <row r="2362">
          <cell r="B2362" t="str">
            <v>B272-400-AS-140-HB-025</v>
          </cell>
        </row>
        <row r="2363">
          <cell r="B2363" t="str">
            <v>B272-400-AS-140-HB-025</v>
          </cell>
          <cell r="E2363" t="str">
            <v>P-92</v>
          </cell>
        </row>
        <row r="2364">
          <cell r="B2364" t="str">
            <v>B272-400-AS-140-HB-025</v>
          </cell>
          <cell r="E2364" t="str">
            <v>P-115</v>
          </cell>
        </row>
        <row r="2365">
          <cell r="B2365" t="str">
            <v>B272-400-AS-140-HB-025</v>
          </cell>
          <cell r="E2365" t="str">
            <v>P-245</v>
          </cell>
        </row>
        <row r="2366">
          <cell r="B2366" t="str">
            <v>B272-400-AS-140-HB-025</v>
          </cell>
          <cell r="E2366" t="str">
            <v>P-701</v>
          </cell>
        </row>
        <row r="2367">
          <cell r="B2367" t="str">
            <v>B272-400-AS-140-HB-025</v>
          </cell>
          <cell r="E2367" t="str">
            <v>P-703</v>
          </cell>
        </row>
        <row r="2368">
          <cell r="B2368" t="str">
            <v>B272-400-AS-140-HB-025</v>
          </cell>
          <cell r="E2368" t="str">
            <v>P-704</v>
          </cell>
        </row>
        <row r="2369">
          <cell r="B2369" t="str">
            <v>B272-400-AS-140-HB-025</v>
          </cell>
          <cell r="E2369" t="str">
            <v>P-705</v>
          </cell>
        </row>
        <row r="2370">
          <cell r="B2370" t="str">
            <v>B272-400-AS-140-HB-025</v>
          </cell>
          <cell r="E2370" t="str">
            <v>R-3(1/2)</v>
          </cell>
        </row>
        <row r="2371">
          <cell r="B2371" t="str">
            <v>B272-400-AS-140-HB-025</v>
          </cell>
          <cell r="E2371" t="str">
            <v>R-3(2/2)</v>
          </cell>
        </row>
        <row r="2372">
          <cell r="B2372" t="str">
            <v>B272-400-AS-140-HB-025</v>
          </cell>
          <cell r="E2372" t="str">
            <v>B1240</v>
          </cell>
        </row>
        <row r="2373">
          <cell r="B2373" t="str">
            <v>B272-400-AS-140-HB-026</v>
          </cell>
        </row>
        <row r="2374">
          <cell r="B2374" t="str">
            <v>B272-400-AS-140-HB-026</v>
          </cell>
          <cell r="E2374" t="str">
            <v>P-116</v>
          </cell>
        </row>
        <row r="2375">
          <cell r="B2375" t="str">
            <v>B272-400-AS-140-HB-026</v>
          </cell>
          <cell r="E2375" t="str">
            <v>P-199</v>
          </cell>
        </row>
        <row r="2376">
          <cell r="B2376" t="str">
            <v>B272-400-AS-140-HB-026</v>
          </cell>
          <cell r="E2376" t="str">
            <v>P-245(1/2)</v>
          </cell>
        </row>
        <row r="2377">
          <cell r="B2377" t="str">
            <v>B272-400-AS-140-HB-026</v>
          </cell>
          <cell r="E2377" t="str">
            <v>P-245(2/2)</v>
          </cell>
        </row>
        <row r="2378">
          <cell r="B2378" t="str">
            <v>B272-400-AS-140-HB-026</v>
          </cell>
          <cell r="E2378" t="str">
            <v>P-663</v>
          </cell>
        </row>
        <row r="2379">
          <cell r="B2379" t="str">
            <v>B272-400-AS-140-HB-026</v>
          </cell>
          <cell r="E2379" t="str">
            <v>P-702</v>
          </cell>
        </row>
        <row r="2380">
          <cell r="B2380" t="str">
            <v>B272-400-AS-140-HB-026</v>
          </cell>
          <cell r="E2380" t="str">
            <v>P-703(1/2)</v>
          </cell>
        </row>
        <row r="2381">
          <cell r="B2381" t="str">
            <v>B272-400-AS-140-HB-026</v>
          </cell>
          <cell r="E2381" t="str">
            <v>P-703(2/2)</v>
          </cell>
        </row>
        <row r="2382">
          <cell r="B2382" t="str">
            <v>B272-400-AS-140-HB-026</v>
          </cell>
          <cell r="E2382" t="str">
            <v>R-3(1/2)</v>
          </cell>
        </row>
        <row r="2383">
          <cell r="B2383" t="str">
            <v>B272-400-AS-140-HB-026</v>
          </cell>
          <cell r="E2383" t="str">
            <v>R-3(2/2)</v>
          </cell>
        </row>
        <row r="2384">
          <cell r="B2384" t="str">
            <v>B272-400-AS-140-HB-026</v>
          </cell>
          <cell r="E2384" t="str">
            <v>B1240</v>
          </cell>
        </row>
        <row r="2385">
          <cell r="B2385" t="str">
            <v>B272-400-AS-140-HB-027</v>
          </cell>
        </row>
        <row r="2386">
          <cell r="B2386" t="str">
            <v>B272-400-AS-140-HB-027</v>
          </cell>
          <cell r="E2386" t="str">
            <v>P-117</v>
          </cell>
        </row>
        <row r="2387">
          <cell r="B2387" t="str">
            <v>B272-400-AS-140-HB-027</v>
          </cell>
          <cell r="E2387" t="str">
            <v>P-243</v>
          </cell>
        </row>
        <row r="2388">
          <cell r="B2388" t="str">
            <v>B272-400-AS-140-HB-027</v>
          </cell>
          <cell r="E2388" t="str">
            <v>P-244</v>
          </cell>
        </row>
        <row r="2389">
          <cell r="B2389" t="str">
            <v>B272-400-AS-140-HB-027</v>
          </cell>
          <cell r="E2389" t="str">
            <v>P-247(1/2)</v>
          </cell>
        </row>
        <row r="2390">
          <cell r="B2390" t="str">
            <v>B272-400-AS-140-HB-027</v>
          </cell>
          <cell r="E2390" t="str">
            <v>P-247(2/2)</v>
          </cell>
        </row>
        <row r="2391">
          <cell r="B2391" t="str">
            <v>B272-400-AS-140-HB-027</v>
          </cell>
          <cell r="E2391" t="str">
            <v>P-708(1/2)</v>
          </cell>
        </row>
        <row r="2392">
          <cell r="B2392" t="str">
            <v>B272-400-AS-140-HB-027</v>
          </cell>
          <cell r="E2392" t="str">
            <v>P-708(2/2)</v>
          </cell>
        </row>
        <row r="2393">
          <cell r="B2393" t="str">
            <v>B272-400-AS-140-HB-027</v>
          </cell>
          <cell r="E2393" t="str">
            <v>P-716(1/2)</v>
          </cell>
        </row>
        <row r="2394">
          <cell r="B2394" t="str">
            <v>B272-400-AS-140-HB-027</v>
          </cell>
          <cell r="E2394" t="str">
            <v>P-716(2/2)</v>
          </cell>
        </row>
        <row r="2395">
          <cell r="B2395" t="str">
            <v>B272-400-AS-140-HB-027</v>
          </cell>
          <cell r="E2395" t="str">
            <v>B1235</v>
          </cell>
        </row>
        <row r="2396">
          <cell r="B2396" t="str">
            <v>B272-400-AS-140-HB-027</v>
          </cell>
          <cell r="E2396" t="str">
            <v>B1240</v>
          </cell>
        </row>
        <row r="2397">
          <cell r="B2397" t="str">
            <v>B272-400-AS-140-HB-027</v>
          </cell>
        </row>
        <row r="2398">
          <cell r="B2398" t="str">
            <v>B272-400-AS-140-HB-027</v>
          </cell>
          <cell r="E2398" t="str">
            <v>P-117</v>
          </cell>
        </row>
        <row r="2399">
          <cell r="B2399" t="str">
            <v>B272-400-AS-140-HB-027</v>
          </cell>
          <cell r="E2399" t="str">
            <v>P-243</v>
          </cell>
        </row>
        <row r="2400">
          <cell r="B2400" t="str">
            <v>B272-400-AS-140-HB-027</v>
          </cell>
          <cell r="E2400" t="str">
            <v>P-244</v>
          </cell>
        </row>
        <row r="2401">
          <cell r="B2401" t="str">
            <v>B272-400-AS-140-HB-027</v>
          </cell>
          <cell r="E2401" t="str">
            <v>P-247(1/2)</v>
          </cell>
        </row>
        <row r="2402">
          <cell r="B2402" t="str">
            <v>B272-400-AS-140-HB-027</v>
          </cell>
          <cell r="E2402" t="str">
            <v>P-247(2/2)</v>
          </cell>
        </row>
        <row r="2403">
          <cell r="B2403" t="str">
            <v>B272-400-AS-140-HB-027</v>
          </cell>
          <cell r="E2403" t="str">
            <v>P-708(1/2)</v>
          </cell>
        </row>
        <row r="2404">
          <cell r="B2404" t="str">
            <v>B272-400-AS-140-HB-027</v>
          </cell>
          <cell r="E2404" t="str">
            <v>P-708(2/2)</v>
          </cell>
        </row>
        <row r="2405">
          <cell r="B2405" t="str">
            <v>B272-400-AS-140-HB-027</v>
          </cell>
          <cell r="E2405" t="str">
            <v>P-716(1/2)</v>
          </cell>
        </row>
        <row r="2406">
          <cell r="B2406" t="str">
            <v>B272-400-AS-140-HB-027</v>
          </cell>
          <cell r="E2406" t="str">
            <v>P-716(2/2)</v>
          </cell>
        </row>
        <row r="2407">
          <cell r="B2407" t="str">
            <v>B272-400-AS-140-HB-027</v>
          </cell>
          <cell r="E2407" t="str">
            <v>B1240</v>
          </cell>
        </row>
        <row r="2408">
          <cell r="B2408" t="str">
            <v>B272-400-AS-140-HB-028</v>
          </cell>
        </row>
        <row r="2409">
          <cell r="B2409" t="str">
            <v>B272-400-AS-140-HB-028</v>
          </cell>
          <cell r="E2409" t="str">
            <v>P-117</v>
          </cell>
        </row>
        <row r="2410">
          <cell r="B2410" t="str">
            <v>B272-400-AS-140-HB-028</v>
          </cell>
          <cell r="E2410" t="str">
            <v>P-243</v>
          </cell>
        </row>
        <row r="2411">
          <cell r="B2411" t="str">
            <v>B272-400-AS-140-HB-028</v>
          </cell>
          <cell r="E2411" t="str">
            <v>P-244</v>
          </cell>
        </row>
        <row r="2412">
          <cell r="B2412" t="str">
            <v>B272-400-AS-140-HB-028</v>
          </cell>
          <cell r="E2412" t="str">
            <v>P-247(1/2)</v>
          </cell>
        </row>
        <row r="2413">
          <cell r="B2413" t="str">
            <v>B272-400-AS-140-HB-028</v>
          </cell>
          <cell r="E2413" t="str">
            <v>P-247(2/2)</v>
          </cell>
        </row>
        <row r="2414">
          <cell r="B2414" t="str">
            <v>B272-400-AS-140-HB-028</v>
          </cell>
          <cell r="E2414" t="str">
            <v>P-708(1/2)</v>
          </cell>
        </row>
        <row r="2415">
          <cell r="B2415" t="str">
            <v>B272-400-AS-140-HB-028</v>
          </cell>
          <cell r="E2415" t="str">
            <v>P-708(2/2)</v>
          </cell>
        </row>
        <row r="2416">
          <cell r="B2416" t="str">
            <v>B272-400-AS-140-HB-028</v>
          </cell>
          <cell r="E2416" t="str">
            <v>P-716(1/2)</v>
          </cell>
        </row>
        <row r="2417">
          <cell r="B2417" t="str">
            <v>B272-400-AS-140-HB-028</v>
          </cell>
          <cell r="E2417" t="str">
            <v>P-716(2/2)</v>
          </cell>
        </row>
        <row r="2418">
          <cell r="B2418" t="str">
            <v>B272-400-AS-140-HB-028</v>
          </cell>
          <cell r="E2418" t="str">
            <v>B1235</v>
          </cell>
        </row>
        <row r="2419">
          <cell r="B2419" t="str">
            <v>B272-400-AS-140-HB-028</v>
          </cell>
          <cell r="E2419" t="str">
            <v>B1240</v>
          </cell>
        </row>
        <row r="2420">
          <cell r="B2420" t="str">
            <v>B272-400-AS-140-HB-028</v>
          </cell>
        </row>
        <row r="2421">
          <cell r="B2421" t="str">
            <v>B272-400-AS-140-HB-028</v>
          </cell>
          <cell r="E2421" t="str">
            <v>P-117</v>
          </cell>
        </row>
        <row r="2422">
          <cell r="B2422" t="str">
            <v>B272-400-AS-140-HB-028</v>
          </cell>
          <cell r="E2422" t="str">
            <v>P-243</v>
          </cell>
        </row>
        <row r="2423">
          <cell r="B2423" t="str">
            <v>B272-400-AS-140-HB-028</v>
          </cell>
          <cell r="E2423" t="str">
            <v>P-244</v>
          </cell>
        </row>
        <row r="2424">
          <cell r="B2424" t="str">
            <v>B272-400-AS-140-HB-028</v>
          </cell>
          <cell r="E2424" t="str">
            <v>P-247(1/2)</v>
          </cell>
        </row>
        <row r="2425">
          <cell r="B2425" t="str">
            <v>B272-400-AS-140-HB-028</v>
          </cell>
          <cell r="E2425" t="str">
            <v>P-247(2/2)</v>
          </cell>
        </row>
        <row r="2426">
          <cell r="B2426" t="str">
            <v>B272-400-AS-140-HB-028</v>
          </cell>
          <cell r="E2426" t="str">
            <v>P-708(1/2)</v>
          </cell>
        </row>
        <row r="2427">
          <cell r="B2427" t="str">
            <v>B272-400-AS-140-HB-028</v>
          </cell>
          <cell r="E2427" t="str">
            <v>P-708(2/2)</v>
          </cell>
        </row>
        <row r="2428">
          <cell r="B2428" t="str">
            <v>B272-400-AS-140-HB-028</v>
          </cell>
          <cell r="E2428" t="str">
            <v>P-716(1/2)</v>
          </cell>
        </row>
        <row r="2429">
          <cell r="B2429" t="str">
            <v>B272-400-AS-140-HB-028</v>
          </cell>
          <cell r="E2429" t="str">
            <v>P-716(2/2)</v>
          </cell>
        </row>
        <row r="2430">
          <cell r="B2430" t="str">
            <v>B272-400-AS-140-HB-028</v>
          </cell>
          <cell r="E2430" t="str">
            <v>B1240</v>
          </cell>
        </row>
        <row r="2431">
          <cell r="B2431" t="str">
            <v>B272-400-AS-140-HB-029</v>
          </cell>
        </row>
        <row r="2432">
          <cell r="B2432" t="str">
            <v>B272-400-AS-140-HB-029</v>
          </cell>
          <cell r="E2432" t="str">
            <v>P-118</v>
          </cell>
        </row>
        <row r="2433">
          <cell r="B2433" t="str">
            <v>B272-400-AS-140-HB-029</v>
          </cell>
          <cell r="E2433" t="str">
            <v>P-244</v>
          </cell>
        </row>
        <row r="2434">
          <cell r="B2434" t="str">
            <v>B272-400-AS-140-HB-029</v>
          </cell>
          <cell r="E2434" t="str">
            <v>P-251</v>
          </cell>
        </row>
        <row r="2435">
          <cell r="B2435" t="str">
            <v>B272-400-AS-140-HB-029</v>
          </cell>
          <cell r="E2435" t="str">
            <v>P-253(1/2)</v>
          </cell>
        </row>
        <row r="2436">
          <cell r="B2436" t="str">
            <v>B272-400-AS-140-HB-029</v>
          </cell>
          <cell r="E2436" t="str">
            <v>P-253(2/2)</v>
          </cell>
        </row>
        <row r="2437">
          <cell r="B2437" t="str">
            <v>B272-400-AS-140-HB-029</v>
          </cell>
          <cell r="E2437" t="str">
            <v>P-708(1/2)</v>
          </cell>
        </row>
        <row r="2438">
          <cell r="B2438" t="str">
            <v>B272-400-AS-140-HB-029</v>
          </cell>
          <cell r="E2438" t="str">
            <v>P-708(2/2)</v>
          </cell>
        </row>
        <row r="2439">
          <cell r="B2439" t="str">
            <v>B272-400-AS-140-HB-029</v>
          </cell>
          <cell r="E2439" t="str">
            <v>P-713(1/2)</v>
          </cell>
        </row>
        <row r="2440">
          <cell r="B2440" t="str">
            <v>B272-400-AS-140-HB-029</v>
          </cell>
          <cell r="E2440" t="str">
            <v>P-713(2/2)</v>
          </cell>
        </row>
        <row r="2441">
          <cell r="B2441" t="str">
            <v>B272-400-AS-140-HB-029</v>
          </cell>
          <cell r="E2441" t="str">
            <v>B1235</v>
          </cell>
        </row>
        <row r="2442">
          <cell r="B2442" t="str">
            <v>B272-400-AS-140-HB-029</v>
          </cell>
          <cell r="E2442" t="str">
            <v>B1240</v>
          </cell>
        </row>
        <row r="2443">
          <cell r="B2443" t="str">
            <v>B272-400-AS-140-HB-030</v>
          </cell>
        </row>
        <row r="2444">
          <cell r="B2444" t="str">
            <v>B272-400-AS-140-HB-030</v>
          </cell>
          <cell r="E2444" t="str">
            <v>P-118</v>
          </cell>
        </row>
        <row r="2445">
          <cell r="B2445" t="str">
            <v>B272-400-AS-140-HB-030</v>
          </cell>
          <cell r="E2445" t="str">
            <v>P-244</v>
          </cell>
        </row>
        <row r="2446">
          <cell r="B2446" t="str">
            <v>B272-400-AS-140-HB-030</v>
          </cell>
          <cell r="E2446" t="str">
            <v>P-251</v>
          </cell>
        </row>
        <row r="2447">
          <cell r="B2447" t="str">
            <v>B272-400-AS-140-HB-030</v>
          </cell>
          <cell r="E2447" t="str">
            <v>P-253(1/2)</v>
          </cell>
        </row>
        <row r="2448">
          <cell r="B2448" t="str">
            <v>B272-400-AS-140-HB-030</v>
          </cell>
          <cell r="E2448" t="str">
            <v>P-253(2/2)</v>
          </cell>
        </row>
        <row r="2449">
          <cell r="B2449" t="str">
            <v>B272-400-AS-140-HB-030</v>
          </cell>
          <cell r="E2449" t="str">
            <v>P-708(1/2)</v>
          </cell>
        </row>
        <row r="2450">
          <cell r="B2450" t="str">
            <v>B272-400-AS-140-HB-030</v>
          </cell>
          <cell r="E2450" t="str">
            <v>P-708(2/2)</v>
          </cell>
        </row>
        <row r="2451">
          <cell r="B2451" t="str">
            <v>B272-400-AS-140-HB-030</v>
          </cell>
          <cell r="E2451" t="str">
            <v>P-713(1/2)</v>
          </cell>
        </row>
        <row r="2452">
          <cell r="B2452" t="str">
            <v>B272-400-AS-140-HB-030</v>
          </cell>
          <cell r="E2452" t="str">
            <v>P-713(2/2)</v>
          </cell>
        </row>
        <row r="2453">
          <cell r="B2453" t="str">
            <v>B272-400-AS-140-HB-030</v>
          </cell>
          <cell r="E2453" t="str">
            <v>B1235</v>
          </cell>
        </row>
        <row r="2454">
          <cell r="B2454" t="str">
            <v>B272-400-AS-140-HB-030</v>
          </cell>
          <cell r="E2454" t="str">
            <v>B1240</v>
          </cell>
        </row>
        <row r="2455">
          <cell r="B2455" t="str">
            <v>B272-400-AS-140-HB-031</v>
          </cell>
        </row>
        <row r="2456">
          <cell r="B2456" t="str">
            <v>B272-400-AS-140-HB-031</v>
          </cell>
          <cell r="E2456" t="str">
            <v>P-119</v>
          </cell>
        </row>
        <row r="2457">
          <cell r="B2457" t="str">
            <v>B272-400-AS-140-HB-031</v>
          </cell>
          <cell r="E2457" t="str">
            <v>P-120(1/2)</v>
          </cell>
        </row>
        <row r="2458">
          <cell r="B2458" t="str">
            <v>B272-400-AS-140-HB-031</v>
          </cell>
          <cell r="E2458" t="str">
            <v>P-120(2/2)</v>
          </cell>
        </row>
        <row r="2459">
          <cell r="B2459" t="str">
            <v>B272-400-AS-140-HB-031</v>
          </cell>
          <cell r="E2459" t="str">
            <v>P-243</v>
          </cell>
        </row>
        <row r="2460">
          <cell r="B2460" t="str">
            <v>B272-400-AS-140-HB-031</v>
          </cell>
          <cell r="E2460" t="str">
            <v>P-708</v>
          </cell>
        </row>
        <row r="2461">
          <cell r="B2461" t="str">
            <v>B272-400-AS-140-HB-031</v>
          </cell>
          <cell r="E2461" t="str">
            <v>P-710(1/2)</v>
          </cell>
        </row>
        <row r="2462">
          <cell r="B2462" t="str">
            <v>B272-400-AS-140-HB-031</v>
          </cell>
          <cell r="E2462" t="str">
            <v>P-710(2/2)</v>
          </cell>
        </row>
        <row r="2463">
          <cell r="B2463" t="str">
            <v>B272-400-AS-140-HB-031</v>
          </cell>
          <cell r="E2463" t="str">
            <v>P-711</v>
          </cell>
        </row>
        <row r="2464">
          <cell r="B2464" t="str">
            <v>B272-400-AS-140-HB-031</v>
          </cell>
          <cell r="E2464" t="str">
            <v>B1240</v>
          </cell>
        </row>
        <row r="2465">
          <cell r="B2465" t="str">
            <v>B272-400-AS-140-HB-032</v>
          </cell>
        </row>
        <row r="2466">
          <cell r="B2466" t="str">
            <v>B272-400-AS-140-HB-032</v>
          </cell>
          <cell r="E2466" t="str">
            <v>P-119</v>
          </cell>
        </row>
        <row r="2467">
          <cell r="B2467" t="str">
            <v>B272-400-AS-140-HB-032</v>
          </cell>
          <cell r="E2467" t="str">
            <v>P-120(1/2)</v>
          </cell>
        </row>
        <row r="2468">
          <cell r="B2468" t="str">
            <v>B272-400-AS-140-HB-032</v>
          </cell>
          <cell r="E2468" t="str">
            <v>P-120(2/2)</v>
          </cell>
        </row>
        <row r="2469">
          <cell r="B2469" t="str">
            <v>B272-400-AS-140-HB-032</v>
          </cell>
          <cell r="E2469" t="str">
            <v>P-243</v>
          </cell>
        </row>
        <row r="2470">
          <cell r="B2470" t="str">
            <v>B272-400-AS-140-HB-032</v>
          </cell>
          <cell r="E2470" t="str">
            <v>P-708</v>
          </cell>
        </row>
        <row r="2471">
          <cell r="B2471" t="str">
            <v>B272-400-AS-140-HB-032</v>
          </cell>
          <cell r="E2471" t="str">
            <v>P-710(1/2)</v>
          </cell>
        </row>
        <row r="2472">
          <cell r="B2472" t="str">
            <v>B272-400-AS-140-HB-032</v>
          </cell>
          <cell r="E2472" t="str">
            <v>P-710(2/2)</v>
          </cell>
        </row>
        <row r="2473">
          <cell r="B2473" t="str">
            <v>B272-400-AS-140-HB-032</v>
          </cell>
          <cell r="E2473" t="str">
            <v>P-711</v>
          </cell>
        </row>
        <row r="2474">
          <cell r="B2474" t="str">
            <v>B272-400-AS-140-HB-032</v>
          </cell>
          <cell r="E2474" t="str">
            <v>B1240</v>
          </cell>
        </row>
        <row r="2475">
          <cell r="B2475" t="str">
            <v>B272-400-AS-140-HB-033</v>
          </cell>
        </row>
        <row r="2476">
          <cell r="B2476" t="str">
            <v>B272-400-AS-140-HB-033</v>
          </cell>
          <cell r="E2476" t="str">
            <v>P-92</v>
          </cell>
        </row>
        <row r="2477">
          <cell r="B2477" t="str">
            <v>B272-400-AS-140-HB-033</v>
          </cell>
          <cell r="E2477" t="str">
            <v>P-122</v>
          </cell>
        </row>
        <row r="2478">
          <cell r="B2478" t="str">
            <v>B272-400-AS-140-HB-033</v>
          </cell>
          <cell r="E2478" t="str">
            <v>P-259</v>
          </cell>
        </row>
        <row r="2479">
          <cell r="B2479" t="str">
            <v>B272-400-AS-140-HB-033</v>
          </cell>
          <cell r="E2479" t="str">
            <v>P-261</v>
          </cell>
        </row>
        <row r="2480">
          <cell r="B2480" t="str">
            <v>B272-400-AS-140-HB-033</v>
          </cell>
          <cell r="E2480" t="str">
            <v>P-653(1/2)</v>
          </cell>
        </row>
        <row r="2481">
          <cell r="B2481" t="str">
            <v>B272-400-AS-140-HB-033</v>
          </cell>
          <cell r="E2481" t="str">
            <v>P-653(2/2)</v>
          </cell>
        </row>
        <row r="2482">
          <cell r="B2482" t="str">
            <v>B272-400-AS-140-HB-033</v>
          </cell>
          <cell r="E2482" t="str">
            <v>P-714</v>
          </cell>
        </row>
        <row r="2483">
          <cell r="B2483" t="str">
            <v>B272-400-AS-140-HB-033</v>
          </cell>
          <cell r="E2483" t="str">
            <v>P-721</v>
          </cell>
        </row>
        <row r="2484">
          <cell r="B2484" t="str">
            <v>B272-400-AS-140-HB-033</v>
          </cell>
          <cell r="E2484" t="str">
            <v>R-3(1/2)</v>
          </cell>
        </row>
        <row r="2485">
          <cell r="B2485" t="str">
            <v>B272-400-AS-140-HB-033</v>
          </cell>
          <cell r="E2485" t="str">
            <v>R-3(2/2)</v>
          </cell>
        </row>
        <row r="2486">
          <cell r="B2486" t="str">
            <v>B272-400-AS-140-HB-033</v>
          </cell>
          <cell r="E2486" t="str">
            <v>B1240</v>
          </cell>
        </row>
        <row r="2487">
          <cell r="B2487" t="str">
            <v>B272-400-AS-140-HB-034</v>
          </cell>
        </row>
        <row r="2488">
          <cell r="B2488" t="str">
            <v>B272-400-AS-140-HB-034</v>
          </cell>
          <cell r="E2488" t="str">
            <v>P-123</v>
          </cell>
        </row>
        <row r="2489">
          <cell r="B2489" t="str">
            <v>B272-400-AS-140-HB-034</v>
          </cell>
          <cell r="E2489" t="str">
            <v>P-199</v>
          </cell>
        </row>
        <row r="2490">
          <cell r="B2490" t="str">
            <v>B272-400-AS-140-HB-034</v>
          </cell>
          <cell r="E2490" t="str">
            <v>P-258</v>
          </cell>
        </row>
        <row r="2491">
          <cell r="B2491" t="str">
            <v>B272-400-AS-140-HB-034</v>
          </cell>
          <cell r="E2491" t="str">
            <v>P-261(1/2)</v>
          </cell>
        </row>
        <row r="2492">
          <cell r="B2492" t="str">
            <v>B272-400-AS-140-HB-034</v>
          </cell>
          <cell r="E2492" t="str">
            <v>P-261(2/2)</v>
          </cell>
        </row>
        <row r="2493">
          <cell r="B2493" t="str">
            <v>B272-400-AS-140-HB-034</v>
          </cell>
          <cell r="E2493" t="str">
            <v>P-274</v>
          </cell>
        </row>
        <row r="2494">
          <cell r="B2494" t="str">
            <v>B272-400-AS-140-HB-034</v>
          </cell>
          <cell r="E2494" t="str">
            <v>P-639</v>
          </cell>
        </row>
        <row r="2495">
          <cell r="B2495" t="str">
            <v>B272-400-AS-140-HB-034</v>
          </cell>
          <cell r="E2495" t="str">
            <v>P-702</v>
          </cell>
        </row>
        <row r="2496">
          <cell r="B2496" t="str">
            <v>B272-400-AS-140-HB-034</v>
          </cell>
          <cell r="E2496" t="str">
            <v>P-714(1/2)</v>
          </cell>
        </row>
        <row r="2497">
          <cell r="B2497" t="str">
            <v>B272-400-AS-140-HB-034</v>
          </cell>
          <cell r="E2497" t="str">
            <v>P-714(2/2)</v>
          </cell>
        </row>
        <row r="2498">
          <cell r="B2498" t="str">
            <v>B272-400-AS-140-HB-034</v>
          </cell>
          <cell r="E2498" t="str">
            <v>P-727</v>
          </cell>
        </row>
        <row r="2499">
          <cell r="B2499" t="str">
            <v>B272-400-AS-140-HB-034</v>
          </cell>
          <cell r="E2499" t="str">
            <v>P-729</v>
          </cell>
        </row>
        <row r="2500">
          <cell r="B2500" t="str">
            <v>B272-400-AS-140-HB-034</v>
          </cell>
          <cell r="E2500" t="str">
            <v>R-3(1/2)</v>
          </cell>
        </row>
        <row r="2501">
          <cell r="B2501" t="str">
            <v>B272-400-AS-140-HB-034</v>
          </cell>
          <cell r="E2501" t="str">
            <v>R-3(2/2)</v>
          </cell>
        </row>
        <row r="2502">
          <cell r="B2502" t="str">
            <v>B272-400-AS-140-HB-034</v>
          </cell>
          <cell r="E2502" t="str">
            <v>B1240</v>
          </cell>
        </row>
        <row r="2503">
          <cell r="B2503" t="str">
            <v>B272-400-AS-140-HB-035</v>
          </cell>
        </row>
        <row r="2504">
          <cell r="B2504" t="str">
            <v>B272-400-AS-140-HB-035</v>
          </cell>
          <cell r="E2504" t="str">
            <v>P-92</v>
          </cell>
        </row>
        <row r="2505">
          <cell r="B2505" t="str">
            <v>B272-400-AS-140-HB-035</v>
          </cell>
          <cell r="E2505" t="str">
            <v>P-124</v>
          </cell>
        </row>
        <row r="2506">
          <cell r="B2506" t="str">
            <v>B272-400-AS-140-HB-035</v>
          </cell>
          <cell r="E2506" t="str">
            <v>P-257</v>
          </cell>
        </row>
        <row r="2507">
          <cell r="B2507" t="str">
            <v>B272-400-AS-140-HB-035</v>
          </cell>
          <cell r="E2507" t="str">
            <v>P-261</v>
          </cell>
        </row>
        <row r="2508">
          <cell r="B2508" t="str">
            <v>B272-400-AS-140-HB-035</v>
          </cell>
          <cell r="E2508" t="str">
            <v>P-273</v>
          </cell>
        </row>
        <row r="2509">
          <cell r="B2509" t="str">
            <v>B272-400-AS-140-HB-035</v>
          </cell>
          <cell r="E2509" t="str">
            <v>P-639</v>
          </cell>
        </row>
        <row r="2510">
          <cell r="B2510" t="str">
            <v>B272-400-AS-140-HB-035</v>
          </cell>
          <cell r="E2510" t="str">
            <v>P-701</v>
          </cell>
        </row>
        <row r="2511">
          <cell r="B2511" t="str">
            <v>B272-400-AS-140-HB-035</v>
          </cell>
          <cell r="E2511" t="str">
            <v>P-714</v>
          </cell>
        </row>
        <row r="2512">
          <cell r="B2512" t="str">
            <v>B272-400-AS-140-HB-035</v>
          </cell>
          <cell r="E2512" t="str">
            <v>P-721</v>
          </cell>
        </row>
        <row r="2513">
          <cell r="B2513" t="str">
            <v>B272-400-AS-140-HB-035</v>
          </cell>
          <cell r="E2513" t="str">
            <v>P-728</v>
          </cell>
        </row>
        <row r="2514">
          <cell r="B2514" t="str">
            <v>B272-400-AS-140-HB-035</v>
          </cell>
          <cell r="E2514" t="str">
            <v>P-730</v>
          </cell>
        </row>
        <row r="2515">
          <cell r="B2515" t="str">
            <v>B272-400-AS-140-HB-035</v>
          </cell>
          <cell r="E2515" t="str">
            <v>R-3(1/2)</v>
          </cell>
        </row>
        <row r="2516">
          <cell r="B2516" t="str">
            <v>B272-400-AS-140-HB-035</v>
          </cell>
          <cell r="E2516" t="str">
            <v>R-3(2/2)</v>
          </cell>
        </row>
        <row r="2517">
          <cell r="B2517" t="str">
            <v>B272-400-AS-140-HB-035</v>
          </cell>
          <cell r="E2517" t="str">
            <v>B1240</v>
          </cell>
        </row>
        <row r="2518">
          <cell r="B2518" t="str">
            <v>B272-400-AS-140-HB-036</v>
          </cell>
        </row>
        <row r="2519">
          <cell r="B2519" t="str">
            <v>B272-400-AS-140-HB-036</v>
          </cell>
          <cell r="E2519" t="str">
            <v>P-160</v>
          </cell>
        </row>
        <row r="2520">
          <cell r="B2520" t="str">
            <v>B272-400-AS-140-HB-036</v>
          </cell>
          <cell r="E2520" t="str">
            <v>PX-14</v>
          </cell>
        </row>
        <row r="2521">
          <cell r="B2521" t="str">
            <v>B272-400-AS-140-HB-036</v>
          </cell>
          <cell r="E2521" t="str">
            <v>PY-23</v>
          </cell>
        </row>
        <row r="2522">
          <cell r="B2522" t="str">
            <v>B272-400-AS-140-HB-036</v>
          </cell>
          <cell r="E2522" t="str">
            <v>PY-24</v>
          </cell>
        </row>
        <row r="2523">
          <cell r="B2523" t="str">
            <v>B272-400-AS-140-HB-036</v>
          </cell>
        </row>
        <row r="2524">
          <cell r="B2524" t="str">
            <v>B272-400-AS-140-HB-036</v>
          </cell>
          <cell r="E2524" t="str">
            <v>P-160</v>
          </cell>
        </row>
        <row r="2525">
          <cell r="B2525" t="str">
            <v>B272-400-AS-140-HB-036</v>
          </cell>
          <cell r="E2525" t="str">
            <v>PX-14</v>
          </cell>
        </row>
        <row r="2526">
          <cell r="B2526" t="str">
            <v>B272-400-AS-140-HB-036</v>
          </cell>
          <cell r="E2526" t="str">
            <v>PY-23</v>
          </cell>
        </row>
        <row r="2527">
          <cell r="B2527" t="str">
            <v>B272-400-AS-140-HB-036</v>
          </cell>
          <cell r="E2527" t="str">
            <v>PY-24</v>
          </cell>
        </row>
        <row r="2528">
          <cell r="B2528" t="str">
            <v>B272-400-AS-140-HB-036</v>
          </cell>
        </row>
        <row r="2529">
          <cell r="B2529" t="str">
            <v>B272-400-AS-140-HB-036</v>
          </cell>
          <cell r="E2529" t="str">
            <v>P-160</v>
          </cell>
        </row>
        <row r="2530">
          <cell r="B2530" t="str">
            <v>B272-400-AS-140-HB-036</v>
          </cell>
          <cell r="E2530" t="str">
            <v>PX-14</v>
          </cell>
        </row>
        <row r="2531">
          <cell r="B2531" t="str">
            <v>B272-400-AS-140-HB-036</v>
          </cell>
          <cell r="E2531" t="str">
            <v>PY-23</v>
          </cell>
        </row>
        <row r="2532">
          <cell r="B2532" t="str">
            <v>B272-400-AS-140-HB-036</v>
          </cell>
          <cell r="E2532" t="str">
            <v>PY-24</v>
          </cell>
        </row>
        <row r="2533">
          <cell r="B2533" t="str">
            <v>B272-400-AS-140-HB-036</v>
          </cell>
        </row>
        <row r="2534">
          <cell r="B2534" t="str">
            <v>B272-400-AS-140-HB-036</v>
          </cell>
          <cell r="E2534" t="str">
            <v>P-160</v>
          </cell>
        </row>
        <row r="2535">
          <cell r="B2535" t="str">
            <v>B272-400-AS-140-HB-036</v>
          </cell>
          <cell r="E2535" t="str">
            <v>PX-14</v>
          </cell>
        </row>
        <row r="2536">
          <cell r="B2536" t="str">
            <v>B272-400-AS-140-HB-036</v>
          </cell>
          <cell r="E2536" t="str">
            <v>PY-23</v>
          </cell>
        </row>
        <row r="2537">
          <cell r="B2537" t="str">
            <v>B272-400-AS-140-HB-036</v>
          </cell>
          <cell r="E2537" t="str">
            <v>PY-24</v>
          </cell>
        </row>
        <row r="2538">
          <cell r="B2538" t="str">
            <v>B272-400-AS-140-HB-037</v>
          </cell>
        </row>
        <row r="2539">
          <cell r="B2539" t="str">
            <v>B272-400-AS-140-HB-037</v>
          </cell>
          <cell r="E2539" t="str">
            <v>P-162</v>
          </cell>
        </row>
        <row r="2540">
          <cell r="B2540" t="str">
            <v>B272-400-AS-140-HB-037</v>
          </cell>
          <cell r="E2540" t="str">
            <v>P-165</v>
          </cell>
        </row>
        <row r="2541">
          <cell r="B2541" t="str">
            <v>B272-400-AS-140-HB-037</v>
          </cell>
          <cell r="E2541" t="str">
            <v>P-230</v>
          </cell>
        </row>
        <row r="2542">
          <cell r="B2542" t="str">
            <v>B272-400-AS-140-HB-037</v>
          </cell>
          <cell r="E2542" t="str">
            <v>P-238</v>
          </cell>
        </row>
        <row r="2543">
          <cell r="B2543" t="str">
            <v>B272-400-AS-140-HB-037</v>
          </cell>
          <cell r="E2543" t="str">
            <v>P-277</v>
          </cell>
        </row>
        <row r="2544">
          <cell r="B2544" t="str">
            <v>B272-400-AS-140-HB-037</v>
          </cell>
          <cell r="E2544" t="str">
            <v>P-280</v>
          </cell>
        </row>
        <row r="2545">
          <cell r="B2545" t="str">
            <v>B272-400-AS-140-HB-037</v>
          </cell>
          <cell r="E2545" t="str">
            <v>P-639</v>
          </cell>
        </row>
        <row r="2546">
          <cell r="B2546" t="str">
            <v>B272-400-AS-140-HB-037</v>
          </cell>
          <cell r="E2546" t="str">
            <v>P-660</v>
          </cell>
        </row>
        <row r="2547">
          <cell r="B2547" t="str">
            <v>B272-400-AS-140-HB-037</v>
          </cell>
          <cell r="E2547" t="str">
            <v>P-670</v>
          </cell>
        </row>
        <row r="2548">
          <cell r="B2548" t="str">
            <v>B272-400-AS-140-HB-037</v>
          </cell>
          <cell r="E2548" t="str">
            <v>P-674</v>
          </cell>
        </row>
        <row r="2549">
          <cell r="B2549" t="str">
            <v>B272-400-AS-140-HB-037</v>
          </cell>
          <cell r="E2549" t="str">
            <v>P-677</v>
          </cell>
        </row>
        <row r="2550">
          <cell r="B2550" t="str">
            <v>B272-400-AS-140-HB-037</v>
          </cell>
          <cell r="E2550" t="str">
            <v>RX-2(1/2)</v>
          </cell>
        </row>
        <row r="2551">
          <cell r="B2551" t="str">
            <v>B272-400-AS-140-HB-037</v>
          </cell>
          <cell r="E2551" t="str">
            <v>RX-2(2/2)</v>
          </cell>
        </row>
        <row r="2552">
          <cell r="B2552" t="str">
            <v>B272-400-AS-140-HB-037</v>
          </cell>
          <cell r="E2552" t="str">
            <v>B1240</v>
          </cell>
        </row>
        <row r="2553">
          <cell r="B2553" t="str">
            <v>B272-400-AS-140-HB-038</v>
          </cell>
        </row>
        <row r="2554">
          <cell r="B2554" t="str">
            <v>B272-400-AS-140-HB-038</v>
          </cell>
          <cell r="E2554" t="str">
            <v>P-163</v>
          </cell>
        </row>
        <row r="2555">
          <cell r="B2555" t="str">
            <v>B272-400-AS-140-HB-038</v>
          </cell>
          <cell r="E2555" t="str">
            <v>P-165(1/2)</v>
          </cell>
        </row>
        <row r="2556">
          <cell r="B2556" t="str">
            <v>B272-400-AS-140-HB-038</v>
          </cell>
          <cell r="E2556" t="str">
            <v>P-165(2/2)</v>
          </cell>
        </row>
        <row r="2557">
          <cell r="B2557" t="str">
            <v>B272-400-AS-140-HB-038</v>
          </cell>
          <cell r="E2557" t="str">
            <v>P-231</v>
          </cell>
        </row>
        <row r="2558">
          <cell r="B2558" t="str">
            <v>B272-400-AS-140-HB-038</v>
          </cell>
          <cell r="E2558" t="str">
            <v>P-239</v>
          </cell>
        </row>
        <row r="2559">
          <cell r="B2559" t="str">
            <v>B272-400-AS-140-HB-038</v>
          </cell>
          <cell r="E2559" t="str">
            <v>P-279</v>
          </cell>
        </row>
        <row r="2560">
          <cell r="B2560" t="str">
            <v>B272-400-AS-140-HB-038</v>
          </cell>
          <cell r="E2560" t="str">
            <v>P-639</v>
          </cell>
        </row>
        <row r="2561">
          <cell r="B2561" t="str">
            <v>B272-400-AS-140-HB-038</v>
          </cell>
          <cell r="E2561" t="str">
            <v>P-662</v>
          </cell>
        </row>
        <row r="2562">
          <cell r="B2562" t="str">
            <v>B272-400-AS-140-HB-038</v>
          </cell>
          <cell r="E2562" t="str">
            <v>P-670(1/2)</v>
          </cell>
        </row>
        <row r="2563">
          <cell r="B2563" t="str">
            <v>B272-400-AS-140-HB-038</v>
          </cell>
          <cell r="E2563" t="str">
            <v>P-670(2/2)</v>
          </cell>
        </row>
        <row r="2564">
          <cell r="B2564" t="str">
            <v>B272-400-AS-140-HB-038</v>
          </cell>
          <cell r="E2564" t="str">
            <v>P-675</v>
          </cell>
        </row>
        <row r="2565">
          <cell r="B2565" t="str">
            <v>B272-400-AS-140-HB-038</v>
          </cell>
          <cell r="E2565" t="str">
            <v>P-676</v>
          </cell>
        </row>
        <row r="2566">
          <cell r="B2566" t="str">
            <v>B272-400-AS-140-HB-038</v>
          </cell>
          <cell r="E2566" t="str">
            <v>RX-2(1/2)</v>
          </cell>
        </row>
        <row r="2567">
          <cell r="B2567" t="str">
            <v>B272-400-AS-140-HB-038</v>
          </cell>
          <cell r="E2567" t="str">
            <v>RX-2(2/2)</v>
          </cell>
        </row>
        <row r="2568">
          <cell r="B2568" t="str">
            <v>B272-400-AS-140-HB-038</v>
          </cell>
          <cell r="E2568" t="str">
            <v>B1240</v>
          </cell>
        </row>
        <row r="2569">
          <cell r="B2569" t="str">
            <v>B272-400-AS-140-HB-039</v>
          </cell>
        </row>
        <row r="2570">
          <cell r="B2570" t="str">
            <v>B272-400-AS-140-HB-039</v>
          </cell>
          <cell r="E2570" t="str">
            <v>P-81</v>
          </cell>
        </row>
        <row r="2571">
          <cell r="B2571" t="str">
            <v>B272-400-AS-140-HB-039</v>
          </cell>
          <cell r="E2571" t="str">
            <v>P-164</v>
          </cell>
        </row>
        <row r="2572">
          <cell r="B2572" t="str">
            <v>B272-400-AS-140-HB-039</v>
          </cell>
          <cell r="E2572" t="str">
            <v>P-229</v>
          </cell>
        </row>
        <row r="2573">
          <cell r="B2573" t="str">
            <v>B272-400-AS-140-HB-039</v>
          </cell>
          <cell r="E2573" t="str">
            <v>P-240</v>
          </cell>
        </row>
        <row r="2574">
          <cell r="B2574" t="str">
            <v>B272-400-AS-140-HB-039</v>
          </cell>
          <cell r="E2574" t="str">
            <v>P-651</v>
          </cell>
        </row>
        <row r="2575">
          <cell r="B2575" t="str">
            <v>B272-400-AS-140-HB-039</v>
          </cell>
          <cell r="E2575" t="str">
            <v>P-661(1/2)</v>
          </cell>
        </row>
        <row r="2576">
          <cell r="B2576" t="str">
            <v>B272-400-AS-140-HB-039</v>
          </cell>
          <cell r="E2576" t="str">
            <v>P-661(2/2)</v>
          </cell>
        </row>
        <row r="2577">
          <cell r="B2577" t="str">
            <v>B272-400-AS-140-HB-039</v>
          </cell>
          <cell r="E2577" t="str">
            <v>P-673</v>
          </cell>
        </row>
        <row r="2578">
          <cell r="B2578" t="str">
            <v>B272-400-AS-140-HB-039</v>
          </cell>
          <cell r="E2578" t="str">
            <v>RX-2(1/2)</v>
          </cell>
        </row>
        <row r="2579">
          <cell r="B2579" t="str">
            <v>B272-400-AS-140-HB-039</v>
          </cell>
          <cell r="E2579" t="str">
            <v>RX-2(2/2)</v>
          </cell>
        </row>
        <row r="2580">
          <cell r="B2580" t="str">
            <v>B272-400-AS-140-HB-039</v>
          </cell>
          <cell r="E2580" t="str">
            <v>B1240</v>
          </cell>
        </row>
        <row r="2581">
          <cell r="B2581" t="str">
            <v>B272-400-AS-140-HB-040</v>
          </cell>
        </row>
        <row r="2582">
          <cell r="B2582" t="str">
            <v>B272-400-AS-140-HB-040</v>
          </cell>
          <cell r="E2582" t="str">
            <v>P-189(1/2)</v>
          </cell>
        </row>
        <row r="2583">
          <cell r="B2583" t="str">
            <v>B272-400-AS-140-HB-040</v>
          </cell>
          <cell r="E2583" t="str">
            <v>P-189(2/2)</v>
          </cell>
        </row>
        <row r="2584">
          <cell r="B2584" t="str">
            <v>B272-400-AS-140-HB-040</v>
          </cell>
          <cell r="E2584" t="str">
            <v>P-194</v>
          </cell>
        </row>
        <row r="2585">
          <cell r="B2585" t="str">
            <v>B272-400-AS-140-HB-040</v>
          </cell>
          <cell r="E2585" t="str">
            <v>P-195</v>
          </cell>
        </row>
        <row r="2586">
          <cell r="B2586" t="str">
            <v>B272-400-AS-140-HB-040</v>
          </cell>
          <cell r="E2586" t="str">
            <v>P-196</v>
          </cell>
        </row>
        <row r="2587">
          <cell r="B2587" t="str">
            <v>B272-400-AS-140-HB-040</v>
          </cell>
          <cell r="E2587" t="str">
            <v>P-581(1/2)</v>
          </cell>
        </row>
        <row r="2588">
          <cell r="B2588" t="str">
            <v>B272-400-AS-140-HB-040</v>
          </cell>
          <cell r="E2588" t="str">
            <v>P-581(2/2)</v>
          </cell>
        </row>
        <row r="2589">
          <cell r="B2589" t="str">
            <v>B272-400-AS-140-HB-040</v>
          </cell>
          <cell r="E2589" t="str">
            <v>P-644(1/2)</v>
          </cell>
        </row>
        <row r="2590">
          <cell r="B2590" t="str">
            <v>B272-400-AS-140-HB-040</v>
          </cell>
          <cell r="E2590" t="str">
            <v>P-644(2/2)</v>
          </cell>
        </row>
        <row r="2591">
          <cell r="B2591" t="str">
            <v>B272-400-AS-140-HB-040</v>
          </cell>
          <cell r="E2591" t="str">
            <v>B1235</v>
          </cell>
        </row>
        <row r="2592">
          <cell r="B2592" t="str">
            <v>B272-400-AS-140-HB-040</v>
          </cell>
          <cell r="E2592" t="str">
            <v>B1240</v>
          </cell>
        </row>
        <row r="2593">
          <cell r="B2593" t="str">
            <v>B272-400-AS-140-HB-041</v>
          </cell>
        </row>
        <row r="2594">
          <cell r="B2594" t="str">
            <v>B272-400-AS-140-HB-041</v>
          </cell>
          <cell r="E2594" t="str">
            <v>P-189(1/2)</v>
          </cell>
        </row>
        <row r="2595">
          <cell r="B2595" t="str">
            <v>B272-400-AS-140-HB-041</v>
          </cell>
          <cell r="E2595" t="str">
            <v>P-189(2/2)</v>
          </cell>
        </row>
        <row r="2596">
          <cell r="B2596" t="str">
            <v>B272-400-AS-140-HB-041</v>
          </cell>
          <cell r="E2596" t="str">
            <v>P-194</v>
          </cell>
        </row>
        <row r="2597">
          <cell r="B2597" t="str">
            <v>B272-400-AS-140-HB-041</v>
          </cell>
          <cell r="E2597" t="str">
            <v>P-195</v>
          </cell>
        </row>
        <row r="2598">
          <cell r="B2598" t="str">
            <v>B272-400-AS-140-HB-041</v>
          </cell>
          <cell r="E2598" t="str">
            <v>P-196</v>
          </cell>
        </row>
        <row r="2599">
          <cell r="B2599" t="str">
            <v>B272-400-AS-140-HB-041</v>
          </cell>
          <cell r="E2599" t="str">
            <v>P-581(1/2)</v>
          </cell>
        </row>
        <row r="2600">
          <cell r="B2600" t="str">
            <v>B272-400-AS-140-HB-041</v>
          </cell>
          <cell r="E2600" t="str">
            <v>P-581(2/2)</v>
          </cell>
        </row>
        <row r="2601">
          <cell r="B2601" t="str">
            <v>B272-400-AS-140-HB-041</v>
          </cell>
          <cell r="E2601" t="str">
            <v>P-644(1/2)</v>
          </cell>
        </row>
        <row r="2602">
          <cell r="B2602" t="str">
            <v>B272-400-AS-140-HB-041</v>
          </cell>
          <cell r="E2602" t="str">
            <v>P-644(2/2)</v>
          </cell>
        </row>
        <row r="2603">
          <cell r="B2603" t="str">
            <v>B272-400-AS-140-HB-041</v>
          </cell>
          <cell r="E2603" t="str">
            <v>B1235</v>
          </cell>
        </row>
        <row r="2604">
          <cell r="B2604" t="str">
            <v>B272-400-AS-140-HB-041</v>
          </cell>
          <cell r="E2604" t="str">
            <v>B1240</v>
          </cell>
        </row>
        <row r="2605">
          <cell r="B2605" t="str">
            <v>B272-400-AS-140-HB-042</v>
          </cell>
        </row>
        <row r="2606">
          <cell r="B2606" t="str">
            <v>B272-400-AS-140-HB-042</v>
          </cell>
          <cell r="E2606" t="str">
            <v>P-90</v>
          </cell>
        </row>
        <row r="2607">
          <cell r="B2607" t="str">
            <v>B272-400-AS-140-HB-042</v>
          </cell>
          <cell r="E2607" t="str">
            <v>P-189(1/2)</v>
          </cell>
        </row>
        <row r="2608">
          <cell r="B2608" t="str">
            <v>B272-400-AS-140-HB-042</v>
          </cell>
          <cell r="E2608" t="str">
            <v>P-189(2/2)</v>
          </cell>
        </row>
        <row r="2609">
          <cell r="B2609" t="str">
            <v>B272-400-AS-140-HB-042</v>
          </cell>
          <cell r="E2609" t="str">
            <v>P-199</v>
          </cell>
        </row>
        <row r="2610">
          <cell r="B2610" t="str">
            <v>B272-400-AS-140-HB-042</v>
          </cell>
          <cell r="E2610" t="str">
            <v>P-202</v>
          </cell>
        </row>
        <row r="2611">
          <cell r="B2611" t="str">
            <v>B272-400-AS-140-HB-042</v>
          </cell>
          <cell r="E2611" t="str">
            <v>P-288</v>
          </cell>
        </row>
        <row r="2612">
          <cell r="B2612" t="str">
            <v>B272-400-AS-140-HB-042</v>
          </cell>
          <cell r="E2612" t="str">
            <v>P-702(1/2)</v>
          </cell>
        </row>
        <row r="2613">
          <cell r="B2613" t="str">
            <v>B272-400-AS-140-HB-042</v>
          </cell>
          <cell r="E2613" t="str">
            <v>P-702(2/2)</v>
          </cell>
        </row>
        <row r="2614">
          <cell r="B2614" t="str">
            <v>B272-400-AS-140-HB-042</v>
          </cell>
          <cell r="E2614" t="str">
            <v>P-712</v>
          </cell>
        </row>
        <row r="2615">
          <cell r="B2615" t="str">
            <v>B272-400-AS-140-HB-042</v>
          </cell>
          <cell r="E2615" t="str">
            <v>R-3(1/2)</v>
          </cell>
        </row>
        <row r="2616">
          <cell r="B2616" t="str">
            <v>B272-400-AS-140-HB-042</v>
          </cell>
          <cell r="E2616" t="str">
            <v>R-3(2/2)</v>
          </cell>
        </row>
        <row r="2617">
          <cell r="B2617" t="str">
            <v>B272-400-AS-140-HB-042</v>
          </cell>
          <cell r="E2617" t="str">
            <v>B1235</v>
          </cell>
        </row>
        <row r="2618">
          <cell r="B2618" t="str">
            <v>B272-400-AS-140-HB-042</v>
          </cell>
          <cell r="E2618" t="str">
            <v>B1240</v>
          </cell>
        </row>
        <row r="2619">
          <cell r="B2619" t="str">
            <v>B272-400-AS-140-HB-043</v>
          </cell>
        </row>
        <row r="2620">
          <cell r="B2620" t="str">
            <v>B272-400-AS-140-HB-043</v>
          </cell>
          <cell r="E2620" t="str">
            <v>P-90</v>
          </cell>
        </row>
        <row r="2621">
          <cell r="B2621" t="str">
            <v>B272-400-AS-140-HB-043</v>
          </cell>
          <cell r="E2621" t="str">
            <v>P-189(1/2)</v>
          </cell>
        </row>
        <row r="2622">
          <cell r="B2622" t="str">
            <v>B272-400-AS-140-HB-043</v>
          </cell>
          <cell r="E2622" t="str">
            <v>P-189(2/2)</v>
          </cell>
        </row>
        <row r="2623">
          <cell r="B2623" t="str">
            <v>B272-400-AS-140-HB-043</v>
          </cell>
          <cell r="E2623" t="str">
            <v>P-199</v>
          </cell>
        </row>
        <row r="2624">
          <cell r="B2624" t="str">
            <v>B272-400-AS-140-HB-043</v>
          </cell>
          <cell r="E2624" t="str">
            <v>P-202</v>
          </cell>
        </row>
        <row r="2625">
          <cell r="B2625" t="str">
            <v>B272-400-AS-140-HB-043</v>
          </cell>
          <cell r="E2625" t="str">
            <v>P-652(1/2)</v>
          </cell>
        </row>
        <row r="2626">
          <cell r="B2626" t="str">
            <v>B272-400-AS-140-HB-043</v>
          </cell>
          <cell r="E2626" t="str">
            <v>P-652(2/2)</v>
          </cell>
        </row>
        <row r="2627">
          <cell r="B2627" t="str">
            <v>B272-400-AS-140-HB-043</v>
          </cell>
          <cell r="E2627" t="str">
            <v>P-654(1/2)</v>
          </cell>
        </row>
        <row r="2628">
          <cell r="B2628" t="str">
            <v>B272-400-AS-140-HB-043</v>
          </cell>
          <cell r="E2628" t="str">
            <v>P-654(2/2)</v>
          </cell>
        </row>
        <row r="2629">
          <cell r="B2629" t="str">
            <v>B272-400-AS-140-HB-043</v>
          </cell>
          <cell r="E2629" t="str">
            <v>RX-2(1/2)</v>
          </cell>
        </row>
        <row r="2630">
          <cell r="B2630" t="str">
            <v>B272-400-AS-140-HB-043</v>
          </cell>
          <cell r="E2630" t="str">
            <v>RX-2(2/2)</v>
          </cell>
        </row>
        <row r="2631">
          <cell r="B2631" t="str">
            <v>B272-400-AS-140-HB-043</v>
          </cell>
          <cell r="E2631" t="str">
            <v>B1235</v>
          </cell>
        </row>
        <row r="2632">
          <cell r="B2632" t="str">
            <v>B272-400-AS-140-HB-043</v>
          </cell>
          <cell r="E2632" t="str">
            <v>B1240</v>
          </cell>
        </row>
        <row r="2633">
          <cell r="B2633" t="str">
            <v>B272-400-AS-140-HB-044</v>
          </cell>
        </row>
        <row r="2634">
          <cell r="B2634" t="str">
            <v>B272-400-AS-140-HB-044</v>
          </cell>
          <cell r="E2634" t="str">
            <v>P-85</v>
          </cell>
        </row>
        <row r="2635">
          <cell r="B2635" t="str">
            <v>B272-400-AS-140-HB-044</v>
          </cell>
          <cell r="E2635" t="str">
            <v>P-92</v>
          </cell>
        </row>
        <row r="2636">
          <cell r="B2636" t="str">
            <v>B272-400-AS-140-HB-044</v>
          </cell>
          <cell r="E2636" t="str">
            <v>P-189</v>
          </cell>
        </row>
        <row r="2637">
          <cell r="B2637" t="str">
            <v>B272-400-AS-140-HB-044</v>
          </cell>
          <cell r="E2637" t="str">
            <v>P-200</v>
          </cell>
        </row>
        <row r="2638">
          <cell r="B2638" t="str">
            <v>B272-400-AS-140-HB-044</v>
          </cell>
          <cell r="E2638" t="str">
            <v>P-652</v>
          </cell>
        </row>
        <row r="2639">
          <cell r="B2639" t="str">
            <v>B272-400-AS-140-HB-044</v>
          </cell>
          <cell r="E2639" t="str">
            <v>P-653(1/2)</v>
          </cell>
        </row>
        <row r="2640">
          <cell r="B2640" t="str">
            <v>B272-400-AS-140-HB-044</v>
          </cell>
          <cell r="E2640" t="str">
            <v>P-653(2/2)</v>
          </cell>
        </row>
        <row r="2641">
          <cell r="B2641" t="str">
            <v>B272-400-AS-140-HB-044</v>
          </cell>
          <cell r="E2641" t="str">
            <v>P-667</v>
          </cell>
        </row>
        <row r="2642">
          <cell r="B2642" t="str">
            <v>B272-400-AS-140-HB-044</v>
          </cell>
          <cell r="E2642" t="str">
            <v>RX-2(1/2)</v>
          </cell>
        </row>
        <row r="2643">
          <cell r="B2643" t="str">
            <v>B272-400-AS-140-HB-044</v>
          </cell>
          <cell r="E2643" t="str">
            <v>RX-2(2/2)</v>
          </cell>
        </row>
        <row r="2644">
          <cell r="B2644" t="str">
            <v>B272-400-AS-140-HB-044</v>
          </cell>
          <cell r="E2644" t="str">
            <v>B1235</v>
          </cell>
        </row>
        <row r="2645">
          <cell r="B2645" t="str">
            <v>B272-400-AS-140-HB-044</v>
          </cell>
          <cell r="E2645" t="str">
            <v>B1240</v>
          </cell>
        </row>
        <row r="2646">
          <cell r="B2646" t="str">
            <v>B272-400-AS-140-HB-045</v>
          </cell>
        </row>
        <row r="2647">
          <cell r="B2647" t="str">
            <v>B272-400-AS-140-HB-045</v>
          </cell>
          <cell r="E2647" t="str">
            <v>P-85</v>
          </cell>
        </row>
        <row r="2648">
          <cell r="B2648" t="str">
            <v>B272-400-AS-140-HB-045</v>
          </cell>
          <cell r="E2648" t="str">
            <v>P-92</v>
          </cell>
        </row>
        <row r="2649">
          <cell r="B2649" t="str">
            <v>B272-400-AS-140-HB-045</v>
          </cell>
          <cell r="E2649" t="str">
            <v>P-189</v>
          </cell>
        </row>
        <row r="2650">
          <cell r="B2650" t="str">
            <v>B272-400-AS-140-HB-045</v>
          </cell>
          <cell r="E2650" t="str">
            <v>P-200</v>
          </cell>
        </row>
        <row r="2651">
          <cell r="B2651" t="str">
            <v>B272-400-AS-140-HB-045</v>
          </cell>
          <cell r="E2651" t="str">
            <v>P-652</v>
          </cell>
        </row>
        <row r="2652">
          <cell r="B2652" t="str">
            <v>B272-400-AS-140-HB-045</v>
          </cell>
          <cell r="E2652" t="str">
            <v>P-653(1/2)</v>
          </cell>
        </row>
        <row r="2653">
          <cell r="B2653" t="str">
            <v>B272-400-AS-140-HB-045</v>
          </cell>
          <cell r="E2653" t="str">
            <v>P-653(2/2)</v>
          </cell>
        </row>
        <row r="2654">
          <cell r="B2654" t="str">
            <v>B272-400-AS-140-HB-045</v>
          </cell>
          <cell r="E2654" t="str">
            <v>P-667</v>
          </cell>
        </row>
        <row r="2655">
          <cell r="B2655" t="str">
            <v>B272-400-AS-140-HB-045</v>
          </cell>
          <cell r="E2655" t="str">
            <v>RX-2(1/2)</v>
          </cell>
        </row>
        <row r="2656">
          <cell r="B2656" t="str">
            <v>B272-400-AS-140-HB-045</v>
          </cell>
          <cell r="E2656" t="str">
            <v>RX-2(2/2)</v>
          </cell>
        </row>
        <row r="2657">
          <cell r="B2657" t="str">
            <v>B272-400-AS-140-HB-045</v>
          </cell>
          <cell r="E2657" t="str">
            <v>B1235</v>
          </cell>
        </row>
        <row r="2658">
          <cell r="B2658" t="str">
            <v>B272-400-AS-140-HB-045</v>
          </cell>
          <cell r="E2658" t="str">
            <v>B1240</v>
          </cell>
        </row>
        <row r="2659">
          <cell r="B2659" t="str">
            <v>B272-400-AS-140-HB-046</v>
          </cell>
        </row>
        <row r="2660">
          <cell r="B2660" t="str">
            <v>B272-400-AS-140-HB-046</v>
          </cell>
          <cell r="E2660" t="str">
            <v>P-97</v>
          </cell>
        </row>
        <row r="2661">
          <cell r="B2661" t="str">
            <v>B272-400-AS-140-HB-046</v>
          </cell>
          <cell r="E2661" t="str">
            <v>P-195</v>
          </cell>
        </row>
        <row r="2662">
          <cell r="B2662" t="str">
            <v>B272-400-AS-140-HB-046</v>
          </cell>
          <cell r="E2662" t="str">
            <v>P-196</v>
          </cell>
        </row>
        <row r="2663">
          <cell r="B2663" t="str">
            <v>B272-400-AS-140-HB-046</v>
          </cell>
          <cell r="E2663" t="str">
            <v>P-197</v>
          </cell>
        </row>
        <row r="2664">
          <cell r="B2664" t="str">
            <v>B272-400-AS-140-HB-046</v>
          </cell>
          <cell r="E2664" t="str">
            <v>P-210</v>
          </cell>
        </row>
        <row r="2665">
          <cell r="B2665" t="str">
            <v>B272-400-AS-140-HB-046</v>
          </cell>
          <cell r="E2665" t="str">
            <v>P-581(1/2)</v>
          </cell>
        </row>
        <row r="2666">
          <cell r="B2666" t="str">
            <v>B272-400-AS-140-HB-046</v>
          </cell>
          <cell r="E2666" t="str">
            <v>P-581(2/2)</v>
          </cell>
        </row>
        <row r="2667">
          <cell r="B2667" t="str">
            <v>B272-400-AS-140-HB-046</v>
          </cell>
          <cell r="E2667" t="str">
            <v>P-645(1/2)</v>
          </cell>
        </row>
        <row r="2668">
          <cell r="B2668" t="str">
            <v>B272-400-AS-140-HB-046</v>
          </cell>
          <cell r="E2668" t="str">
            <v>P-645(2/2)</v>
          </cell>
        </row>
        <row r="2669">
          <cell r="B2669" t="str">
            <v>B272-400-AS-140-HB-046</v>
          </cell>
          <cell r="E2669" t="str">
            <v>B1235</v>
          </cell>
        </row>
        <row r="2670">
          <cell r="B2670" t="str">
            <v>B272-400-AS-140-HB-046</v>
          </cell>
          <cell r="E2670" t="str">
            <v>B1240</v>
          </cell>
        </row>
        <row r="2671">
          <cell r="B2671" t="str">
            <v>B272-400-AS-140-HB-047</v>
          </cell>
        </row>
        <row r="2672">
          <cell r="B2672" t="str">
            <v>B272-400-AS-140-HB-047</v>
          </cell>
          <cell r="E2672" t="str">
            <v>P-195</v>
          </cell>
        </row>
        <row r="2673">
          <cell r="B2673" t="str">
            <v>B272-400-AS-140-HB-047</v>
          </cell>
          <cell r="E2673" t="str">
            <v>P-196</v>
          </cell>
        </row>
        <row r="2674">
          <cell r="B2674" t="str">
            <v>B272-400-AS-140-HB-047</v>
          </cell>
          <cell r="E2674" t="str">
            <v>P-209(1/2)</v>
          </cell>
        </row>
        <row r="2675">
          <cell r="B2675" t="str">
            <v>B272-400-AS-140-HB-047</v>
          </cell>
          <cell r="E2675" t="str">
            <v>P-209(2/2)</v>
          </cell>
        </row>
        <row r="2676">
          <cell r="B2676" t="str">
            <v>B272-400-AS-140-HB-047</v>
          </cell>
          <cell r="E2676" t="str">
            <v>P-212</v>
          </cell>
        </row>
        <row r="2677">
          <cell r="B2677" t="str">
            <v>B272-400-AS-140-HB-047</v>
          </cell>
          <cell r="E2677" t="str">
            <v>P-581(1/2)</v>
          </cell>
        </row>
        <row r="2678">
          <cell r="B2678" t="str">
            <v>B272-400-AS-140-HB-047</v>
          </cell>
          <cell r="E2678" t="str">
            <v>P-581(2/2)</v>
          </cell>
        </row>
        <row r="2679">
          <cell r="B2679" t="str">
            <v>B272-400-AS-140-HB-047</v>
          </cell>
          <cell r="E2679" t="str">
            <v>P-649(1/2)</v>
          </cell>
        </row>
        <row r="2680">
          <cell r="B2680" t="str">
            <v>B272-400-AS-140-HB-047</v>
          </cell>
          <cell r="E2680" t="str">
            <v>P-649(2/2)</v>
          </cell>
        </row>
        <row r="2681">
          <cell r="B2681" t="str">
            <v>B272-400-AS-140-HB-047</v>
          </cell>
          <cell r="E2681" t="str">
            <v>B1235</v>
          </cell>
        </row>
        <row r="2682">
          <cell r="B2682" t="str">
            <v>B272-400-AS-140-HB-047</v>
          </cell>
          <cell r="E2682" t="str">
            <v>B1240</v>
          </cell>
        </row>
        <row r="2683">
          <cell r="B2683" t="str">
            <v>B272-400-AS-140-HB-048</v>
          </cell>
        </row>
        <row r="2684">
          <cell r="B2684" t="str">
            <v>B272-400-AS-140-HB-048</v>
          </cell>
          <cell r="E2684" t="str">
            <v>P-195</v>
          </cell>
        </row>
        <row r="2685">
          <cell r="B2685" t="str">
            <v>B272-400-AS-140-HB-048</v>
          </cell>
          <cell r="E2685" t="str">
            <v>P-196</v>
          </cell>
        </row>
        <row r="2686">
          <cell r="B2686" t="str">
            <v>B272-400-AS-140-HB-048</v>
          </cell>
          <cell r="E2686" t="str">
            <v>P-209(1/2)</v>
          </cell>
        </row>
        <row r="2687">
          <cell r="B2687" t="str">
            <v>B272-400-AS-140-HB-048</v>
          </cell>
          <cell r="E2687" t="str">
            <v>P-209(2/2)</v>
          </cell>
        </row>
        <row r="2688">
          <cell r="B2688" t="str">
            <v>B272-400-AS-140-HB-048</v>
          </cell>
          <cell r="E2688" t="str">
            <v>P-212</v>
          </cell>
        </row>
        <row r="2689">
          <cell r="B2689" t="str">
            <v>B272-400-AS-140-HB-048</v>
          </cell>
          <cell r="E2689" t="str">
            <v>P-581(1/2)</v>
          </cell>
        </row>
        <row r="2690">
          <cell r="B2690" t="str">
            <v>B272-400-AS-140-HB-048</v>
          </cell>
          <cell r="E2690" t="str">
            <v>P-581(2/2)</v>
          </cell>
        </row>
        <row r="2691">
          <cell r="B2691" t="str">
            <v>B272-400-AS-140-HB-048</v>
          </cell>
          <cell r="E2691" t="str">
            <v>P-649(1/2)</v>
          </cell>
        </row>
        <row r="2692">
          <cell r="B2692" t="str">
            <v>B272-400-AS-140-HB-048</v>
          </cell>
          <cell r="E2692" t="str">
            <v>P-649(2/2)</v>
          </cell>
        </row>
        <row r="2693">
          <cell r="B2693" t="str">
            <v>B272-400-AS-140-HB-048</v>
          </cell>
          <cell r="E2693" t="str">
            <v>B1235</v>
          </cell>
        </row>
        <row r="2694">
          <cell r="B2694" t="str">
            <v>B272-400-AS-140-HB-048</v>
          </cell>
          <cell r="E2694" t="str">
            <v>B1240</v>
          </cell>
        </row>
        <row r="2695">
          <cell r="B2695" t="str">
            <v>B272-400-AS-140-HB-049</v>
          </cell>
        </row>
        <row r="2696">
          <cell r="B2696" t="str">
            <v>B272-400-AS-140-HB-049</v>
          </cell>
          <cell r="E2696" t="str">
            <v>P-97(1/2)</v>
          </cell>
        </row>
        <row r="2697">
          <cell r="B2697" t="str">
            <v>B272-400-AS-140-HB-049</v>
          </cell>
          <cell r="E2697" t="str">
            <v>P-97(2/2)</v>
          </cell>
        </row>
        <row r="2698">
          <cell r="B2698" t="str">
            <v>B272-400-AS-140-HB-049</v>
          </cell>
          <cell r="E2698" t="str">
            <v>P-195</v>
          </cell>
        </row>
        <row r="2699">
          <cell r="B2699" t="str">
            <v>B272-400-AS-140-HB-049</v>
          </cell>
          <cell r="E2699" t="str">
            <v>P-196</v>
          </cell>
        </row>
        <row r="2700">
          <cell r="B2700" t="str">
            <v>B272-400-AS-140-HB-049</v>
          </cell>
          <cell r="E2700" t="str">
            <v>P-210</v>
          </cell>
        </row>
        <row r="2701">
          <cell r="B2701" t="str">
            <v>B272-400-AS-140-HB-049</v>
          </cell>
          <cell r="E2701" t="str">
            <v>P-581(1/2)</v>
          </cell>
        </row>
        <row r="2702">
          <cell r="B2702" t="str">
            <v>B272-400-AS-140-HB-049</v>
          </cell>
          <cell r="E2702" t="str">
            <v>P-581(2/2)</v>
          </cell>
        </row>
        <row r="2703">
          <cell r="B2703" t="str">
            <v>B272-400-AS-140-HB-049</v>
          </cell>
          <cell r="E2703" t="str">
            <v>P-645(1/2)</v>
          </cell>
        </row>
        <row r="2704">
          <cell r="B2704" t="str">
            <v>B272-400-AS-140-HB-049</v>
          </cell>
          <cell r="E2704" t="str">
            <v>P-645(2/2)</v>
          </cell>
        </row>
        <row r="2705">
          <cell r="B2705" t="str">
            <v>B272-400-AS-140-HB-049</v>
          </cell>
          <cell r="E2705" t="str">
            <v>B1235</v>
          </cell>
        </row>
        <row r="2706">
          <cell r="B2706" t="str">
            <v>B272-400-AS-140-HB-049</v>
          </cell>
          <cell r="E2706" t="str">
            <v>B1240</v>
          </cell>
        </row>
        <row r="2707">
          <cell r="B2707" t="str">
            <v>B272-400-AS-140-HB-050</v>
          </cell>
        </row>
        <row r="2708">
          <cell r="B2708" t="str">
            <v>B272-400-AS-140-HB-050</v>
          </cell>
          <cell r="E2708" t="str">
            <v>P-97(1/2)</v>
          </cell>
        </row>
        <row r="2709">
          <cell r="B2709" t="str">
            <v>B272-400-AS-140-HB-050</v>
          </cell>
          <cell r="E2709" t="str">
            <v>P-97(2/2)</v>
          </cell>
        </row>
        <row r="2710">
          <cell r="B2710" t="str">
            <v>B272-400-AS-140-HB-050</v>
          </cell>
          <cell r="E2710" t="str">
            <v>P-195</v>
          </cell>
        </row>
        <row r="2711">
          <cell r="B2711" t="str">
            <v>B272-400-AS-140-HB-050</v>
          </cell>
          <cell r="E2711" t="str">
            <v>P-196</v>
          </cell>
        </row>
        <row r="2712">
          <cell r="B2712" t="str">
            <v>B272-400-AS-140-HB-050</v>
          </cell>
          <cell r="E2712" t="str">
            <v>P-210</v>
          </cell>
        </row>
        <row r="2713">
          <cell r="B2713" t="str">
            <v>B272-400-AS-140-HB-050</v>
          </cell>
          <cell r="E2713" t="str">
            <v>P-581(1/2)</v>
          </cell>
        </row>
        <row r="2714">
          <cell r="B2714" t="str">
            <v>B272-400-AS-140-HB-050</v>
          </cell>
          <cell r="E2714" t="str">
            <v>P-581(2/2)</v>
          </cell>
        </row>
        <row r="2715">
          <cell r="B2715" t="str">
            <v>B272-400-AS-140-HB-050</v>
          </cell>
          <cell r="E2715" t="str">
            <v>P-645(1/2)</v>
          </cell>
        </row>
        <row r="2716">
          <cell r="B2716" t="str">
            <v>B272-400-AS-140-HB-050</v>
          </cell>
          <cell r="E2716" t="str">
            <v>P-645(2/2)</v>
          </cell>
        </row>
        <row r="2717">
          <cell r="B2717" t="str">
            <v>B272-400-AS-140-HB-050</v>
          </cell>
          <cell r="E2717" t="str">
            <v>B1235</v>
          </cell>
        </row>
        <row r="2718">
          <cell r="B2718" t="str">
            <v>B272-400-AS-140-HB-050</v>
          </cell>
          <cell r="E2718" t="str">
            <v>B1240</v>
          </cell>
        </row>
        <row r="2719">
          <cell r="B2719" t="str">
            <v>B272-400-AS-140-HB-050</v>
          </cell>
        </row>
        <row r="2720">
          <cell r="B2720" t="str">
            <v>B272-400-AS-140-HB-050</v>
          </cell>
          <cell r="E2720" t="str">
            <v>P-97(1/2)</v>
          </cell>
        </row>
        <row r="2721">
          <cell r="B2721" t="str">
            <v>B272-400-AS-140-HB-050</v>
          </cell>
          <cell r="E2721" t="str">
            <v>P-97(2/2)</v>
          </cell>
        </row>
        <row r="2722">
          <cell r="B2722" t="str">
            <v>B272-400-AS-140-HB-050</v>
          </cell>
          <cell r="E2722" t="str">
            <v>P-195</v>
          </cell>
        </row>
        <row r="2723">
          <cell r="B2723" t="str">
            <v>B272-400-AS-140-HB-050</v>
          </cell>
          <cell r="E2723" t="str">
            <v>P-196</v>
          </cell>
        </row>
        <row r="2724">
          <cell r="B2724" t="str">
            <v>B272-400-AS-140-HB-050</v>
          </cell>
          <cell r="E2724" t="str">
            <v>P-210</v>
          </cell>
        </row>
        <row r="2725">
          <cell r="B2725" t="str">
            <v>B272-400-AS-140-HB-050</v>
          </cell>
          <cell r="E2725" t="str">
            <v>P-581(1/2)</v>
          </cell>
        </row>
        <row r="2726">
          <cell r="B2726" t="str">
            <v>B272-400-AS-140-HB-050</v>
          </cell>
          <cell r="E2726" t="str">
            <v>P-581(2/2)</v>
          </cell>
        </row>
        <row r="2727">
          <cell r="B2727" t="str">
            <v>B272-400-AS-140-HB-050</v>
          </cell>
          <cell r="E2727" t="str">
            <v>P-645(1/2)</v>
          </cell>
        </row>
        <row r="2728">
          <cell r="B2728" t="str">
            <v>B272-400-AS-140-HB-050</v>
          </cell>
          <cell r="E2728" t="str">
            <v>P-645(2/2)</v>
          </cell>
        </row>
        <row r="2729">
          <cell r="B2729" t="str">
            <v>B272-400-AS-140-HB-050</v>
          </cell>
          <cell r="E2729" t="str">
            <v>B1240</v>
          </cell>
        </row>
        <row r="2730">
          <cell r="B2730" t="str">
            <v>B272-400-AS-140-HB-051</v>
          </cell>
        </row>
        <row r="2731">
          <cell r="B2731" t="str">
            <v>B272-400-AS-140-HB-051</v>
          </cell>
          <cell r="E2731" t="str">
            <v>P-195</v>
          </cell>
        </row>
        <row r="2732">
          <cell r="B2732" t="str">
            <v>B272-400-AS-140-HB-051</v>
          </cell>
          <cell r="E2732" t="str">
            <v>P-213</v>
          </cell>
        </row>
        <row r="2733">
          <cell r="B2733" t="str">
            <v>B272-400-AS-140-HB-051</v>
          </cell>
          <cell r="E2733" t="str">
            <v>P-215</v>
          </cell>
        </row>
        <row r="2734">
          <cell r="B2734" t="str">
            <v>B272-400-AS-140-HB-051</v>
          </cell>
          <cell r="E2734" t="str">
            <v>P-223</v>
          </cell>
        </row>
        <row r="2735">
          <cell r="B2735" t="str">
            <v>B272-400-AS-140-HB-051</v>
          </cell>
          <cell r="E2735" t="str">
            <v>P-241</v>
          </cell>
        </row>
        <row r="2736">
          <cell r="B2736" t="str">
            <v>B272-400-AS-140-HB-051</v>
          </cell>
          <cell r="E2736" t="str">
            <v>P-581(1/2)</v>
          </cell>
        </row>
        <row r="2737">
          <cell r="B2737" t="str">
            <v>B272-400-AS-140-HB-051</v>
          </cell>
          <cell r="E2737" t="str">
            <v>P-581(2/2)</v>
          </cell>
        </row>
        <row r="2738">
          <cell r="B2738" t="str">
            <v>B272-400-AS-140-HB-051</v>
          </cell>
          <cell r="E2738" t="str">
            <v>P-651(1/2)</v>
          </cell>
        </row>
        <row r="2739">
          <cell r="B2739" t="str">
            <v>B272-400-AS-140-HB-051</v>
          </cell>
          <cell r="E2739" t="str">
            <v>P-651(2/2)</v>
          </cell>
        </row>
        <row r="2740">
          <cell r="B2740" t="str">
            <v>B272-400-AS-140-HB-051</v>
          </cell>
          <cell r="E2740" t="str">
            <v>B1240</v>
          </cell>
        </row>
        <row r="2741">
          <cell r="B2741" t="str">
            <v>B272-400-AS-140-HB-052</v>
          </cell>
        </row>
        <row r="2742">
          <cell r="B2742" t="str">
            <v>B272-400-AS-140-HB-052</v>
          </cell>
          <cell r="E2742" t="str">
            <v>P-195</v>
          </cell>
        </row>
        <row r="2743">
          <cell r="B2743" t="str">
            <v>B272-400-AS-140-HB-052</v>
          </cell>
          <cell r="E2743" t="str">
            <v>P-226(1/2)</v>
          </cell>
        </row>
        <row r="2744">
          <cell r="B2744" t="str">
            <v>B272-400-AS-140-HB-052</v>
          </cell>
          <cell r="E2744" t="str">
            <v>P-226(2/2)</v>
          </cell>
        </row>
        <row r="2745">
          <cell r="B2745" t="str">
            <v>B272-400-AS-140-HB-052</v>
          </cell>
          <cell r="E2745" t="str">
            <v>P-232</v>
          </cell>
        </row>
        <row r="2746">
          <cell r="B2746" t="str">
            <v>B272-400-AS-140-HB-052</v>
          </cell>
          <cell r="E2746" t="str">
            <v>P-233</v>
          </cell>
        </row>
        <row r="2747">
          <cell r="B2747" t="str">
            <v>B272-400-AS-140-HB-052</v>
          </cell>
          <cell r="E2747" t="str">
            <v>P-581(1/2)</v>
          </cell>
        </row>
        <row r="2748">
          <cell r="B2748" t="str">
            <v>B272-400-AS-140-HB-052</v>
          </cell>
          <cell r="E2748" t="str">
            <v>P-581(2/2)</v>
          </cell>
        </row>
        <row r="2749">
          <cell r="B2749" t="str">
            <v>B272-400-AS-140-HB-052</v>
          </cell>
          <cell r="E2749" t="str">
            <v>P-914(1/2)</v>
          </cell>
        </row>
        <row r="2750">
          <cell r="B2750" t="str">
            <v>B272-400-AS-140-HB-052</v>
          </cell>
          <cell r="E2750" t="str">
            <v>P-914(2/2)</v>
          </cell>
        </row>
        <row r="2751">
          <cell r="B2751" t="str">
            <v>B272-400-AS-140-HB-052</v>
          </cell>
          <cell r="E2751" t="str">
            <v>B1240</v>
          </cell>
        </row>
        <row r="2752">
          <cell r="B2752" t="str">
            <v>B272-400-AS-140-HB-053</v>
          </cell>
        </row>
        <row r="2753">
          <cell r="B2753" t="str">
            <v>B272-400-AS-140-HB-053</v>
          </cell>
          <cell r="E2753" t="str">
            <v>P-98(1/2)</v>
          </cell>
        </row>
        <row r="2754">
          <cell r="B2754" t="str">
            <v>B272-400-AS-140-HB-053</v>
          </cell>
          <cell r="E2754" t="str">
            <v>P-98(2/2)</v>
          </cell>
        </row>
        <row r="2755">
          <cell r="B2755" t="str">
            <v>B272-400-AS-140-HB-053</v>
          </cell>
          <cell r="E2755" t="str">
            <v>P-196</v>
          </cell>
        </row>
        <row r="2756">
          <cell r="B2756" t="str">
            <v>B272-400-AS-140-HB-053</v>
          </cell>
          <cell r="E2756" t="str">
            <v>P-214</v>
          </cell>
        </row>
        <row r="2757">
          <cell r="B2757" t="str">
            <v>B272-400-AS-140-HB-053</v>
          </cell>
          <cell r="E2757" t="str">
            <v>P-241</v>
          </cell>
        </row>
        <row r="2758">
          <cell r="B2758" t="str">
            <v>B272-400-AS-140-HB-053</v>
          </cell>
          <cell r="E2758" t="str">
            <v>P-581(1/2)</v>
          </cell>
        </row>
        <row r="2759">
          <cell r="B2759" t="str">
            <v>B272-400-AS-140-HB-053</v>
          </cell>
          <cell r="E2759" t="str">
            <v>P-581(2/2)</v>
          </cell>
        </row>
        <row r="2760">
          <cell r="B2760" t="str">
            <v>B272-400-AS-140-HB-053</v>
          </cell>
          <cell r="E2760" t="str">
            <v>P-646(1/2)</v>
          </cell>
        </row>
        <row r="2761">
          <cell r="B2761" t="str">
            <v>B272-400-AS-140-HB-053</v>
          </cell>
          <cell r="E2761" t="str">
            <v>P-646(2/2)</v>
          </cell>
        </row>
        <row r="2762">
          <cell r="B2762" t="str">
            <v>B272-400-AS-140-HB-053</v>
          </cell>
          <cell r="E2762" t="str">
            <v>B1235</v>
          </cell>
        </row>
        <row r="2763">
          <cell r="B2763" t="str">
            <v>B272-400-AS-140-HB-053</v>
          </cell>
          <cell r="E2763" t="str">
            <v>B1240</v>
          </cell>
        </row>
        <row r="2764">
          <cell r="B2764" t="str">
            <v>B272-400-AS-140-HB-054</v>
          </cell>
        </row>
        <row r="2765">
          <cell r="B2765" t="str">
            <v>B272-400-AS-140-HB-054</v>
          </cell>
          <cell r="E2765" t="str">
            <v>P-77</v>
          </cell>
        </row>
        <row r="2766">
          <cell r="B2766" t="str">
            <v>B272-400-AS-140-HB-054</v>
          </cell>
          <cell r="E2766" t="str">
            <v>P-199</v>
          </cell>
        </row>
        <row r="2767">
          <cell r="B2767" t="str">
            <v>B272-400-AS-140-HB-054</v>
          </cell>
          <cell r="E2767" t="str">
            <v>P-202</v>
          </cell>
        </row>
        <row r="2768">
          <cell r="B2768" t="str">
            <v>B272-400-AS-140-HB-054</v>
          </cell>
          <cell r="E2768" t="str">
            <v>P-248(1/2)</v>
          </cell>
        </row>
        <row r="2769">
          <cell r="B2769" t="str">
            <v>B272-400-AS-140-HB-054</v>
          </cell>
          <cell r="E2769" t="str">
            <v>P-248(2/2)</v>
          </cell>
        </row>
        <row r="2770">
          <cell r="B2770" t="str">
            <v>B272-400-AS-140-HB-054</v>
          </cell>
          <cell r="E2770" t="str">
            <v>P-702(1/2)</v>
          </cell>
        </row>
        <row r="2771">
          <cell r="B2771" t="str">
            <v>B272-400-AS-140-HB-054</v>
          </cell>
          <cell r="E2771" t="str">
            <v>P-702(2/2)</v>
          </cell>
        </row>
        <row r="2772">
          <cell r="B2772" t="str">
            <v>B272-400-AS-140-HB-054</v>
          </cell>
          <cell r="E2772" t="str">
            <v>P-717(1/2)</v>
          </cell>
        </row>
        <row r="2773">
          <cell r="B2773" t="str">
            <v>B272-400-AS-140-HB-054</v>
          </cell>
          <cell r="E2773" t="str">
            <v>P-717(2/2)</v>
          </cell>
        </row>
        <row r="2774">
          <cell r="B2774" t="str">
            <v>B272-400-AS-140-HB-054</v>
          </cell>
          <cell r="E2774" t="str">
            <v>R-3(1/2)</v>
          </cell>
        </row>
        <row r="2775">
          <cell r="B2775" t="str">
            <v>B272-400-AS-140-HB-054</v>
          </cell>
          <cell r="E2775" t="str">
            <v>R-3(2/2)</v>
          </cell>
        </row>
        <row r="2776">
          <cell r="B2776" t="str">
            <v>B272-400-AS-140-HB-054</v>
          </cell>
          <cell r="E2776" t="str">
            <v>B1235</v>
          </cell>
        </row>
        <row r="2777">
          <cell r="B2777" t="str">
            <v>B272-400-AS-140-HB-054</v>
          </cell>
          <cell r="E2777" t="str">
            <v>B1240</v>
          </cell>
        </row>
        <row r="2778">
          <cell r="B2778" t="str">
            <v>B272-400-AS-140-HB-055</v>
          </cell>
        </row>
        <row r="2779">
          <cell r="B2779" t="str">
            <v>B272-400-AS-140-HB-055</v>
          </cell>
          <cell r="E2779" t="str">
            <v>P-84</v>
          </cell>
        </row>
        <row r="2780">
          <cell r="B2780" t="str">
            <v>B272-400-AS-140-HB-055</v>
          </cell>
          <cell r="E2780" t="str">
            <v>P-97(1/2)</v>
          </cell>
        </row>
        <row r="2781">
          <cell r="B2781" t="str">
            <v>B272-400-AS-140-HB-055</v>
          </cell>
          <cell r="E2781" t="str">
            <v>P-97(2/2)</v>
          </cell>
        </row>
        <row r="2782">
          <cell r="B2782" t="str">
            <v>B272-400-AS-140-HB-055</v>
          </cell>
          <cell r="E2782" t="str">
            <v>P-199</v>
          </cell>
        </row>
        <row r="2783">
          <cell r="B2783" t="str">
            <v>B272-400-AS-140-HB-055</v>
          </cell>
          <cell r="E2783" t="str">
            <v>P-202</v>
          </cell>
        </row>
        <row r="2784">
          <cell r="B2784" t="str">
            <v>B272-400-AS-140-HB-055</v>
          </cell>
          <cell r="E2784" t="str">
            <v>P-645(1/2)</v>
          </cell>
        </row>
        <row r="2785">
          <cell r="B2785" t="str">
            <v>B272-400-AS-140-HB-055</v>
          </cell>
          <cell r="E2785" t="str">
            <v>P-645(2/2)</v>
          </cell>
        </row>
        <row r="2786">
          <cell r="B2786" t="str">
            <v>B272-400-AS-140-HB-055</v>
          </cell>
          <cell r="E2786" t="str">
            <v>P-654(1/2)</v>
          </cell>
        </row>
        <row r="2787">
          <cell r="B2787" t="str">
            <v>B272-400-AS-140-HB-055</v>
          </cell>
          <cell r="E2787" t="str">
            <v>P-654(2/2)</v>
          </cell>
        </row>
        <row r="2788">
          <cell r="B2788" t="str">
            <v>B272-400-AS-140-HB-055</v>
          </cell>
          <cell r="E2788" t="str">
            <v>RX-2(1/2)</v>
          </cell>
        </row>
        <row r="2789">
          <cell r="B2789" t="str">
            <v>B272-400-AS-140-HB-055</v>
          </cell>
          <cell r="E2789" t="str">
            <v>RX-2(2/2)</v>
          </cell>
        </row>
        <row r="2790">
          <cell r="B2790" t="str">
            <v>B272-400-AS-140-HB-055</v>
          </cell>
          <cell r="E2790" t="str">
            <v>B1235</v>
          </cell>
        </row>
        <row r="2791">
          <cell r="B2791" t="str">
            <v>B272-400-AS-140-HB-055</v>
          </cell>
          <cell r="E2791" t="str">
            <v>B1240</v>
          </cell>
        </row>
        <row r="2792">
          <cell r="B2792" t="str">
            <v>B272-400-AS-140-HB-055</v>
          </cell>
        </row>
        <row r="2793">
          <cell r="B2793" t="str">
            <v>B272-400-AS-140-HB-055</v>
          </cell>
          <cell r="E2793" t="str">
            <v>P-84</v>
          </cell>
        </row>
        <row r="2794">
          <cell r="B2794" t="str">
            <v>B272-400-AS-140-HB-055</v>
          </cell>
          <cell r="E2794" t="str">
            <v>P-97(1/2)</v>
          </cell>
        </row>
        <row r="2795">
          <cell r="B2795" t="str">
            <v>B272-400-AS-140-HB-055</v>
          </cell>
          <cell r="E2795" t="str">
            <v>P-97(2/2)</v>
          </cell>
        </row>
        <row r="2796">
          <cell r="B2796" t="str">
            <v>B272-400-AS-140-HB-055</v>
          </cell>
          <cell r="E2796" t="str">
            <v>P-199</v>
          </cell>
        </row>
        <row r="2797">
          <cell r="B2797" t="str">
            <v>B272-400-AS-140-HB-055</v>
          </cell>
          <cell r="E2797" t="str">
            <v>P-202</v>
          </cell>
        </row>
        <row r="2798">
          <cell r="B2798" t="str">
            <v>B272-400-AS-140-HB-055</v>
          </cell>
          <cell r="E2798" t="str">
            <v>P-645(1/2)</v>
          </cell>
        </row>
        <row r="2799">
          <cell r="B2799" t="str">
            <v>B272-400-AS-140-HB-055</v>
          </cell>
          <cell r="E2799" t="str">
            <v>P-645(2/2)</v>
          </cell>
        </row>
        <row r="2800">
          <cell r="B2800" t="str">
            <v>B272-400-AS-140-HB-055</v>
          </cell>
          <cell r="E2800" t="str">
            <v>P-654(1/2)</v>
          </cell>
        </row>
        <row r="2801">
          <cell r="B2801" t="str">
            <v>B272-400-AS-140-HB-055</v>
          </cell>
          <cell r="E2801" t="str">
            <v>P-654(2/2)</v>
          </cell>
        </row>
        <row r="2802">
          <cell r="B2802" t="str">
            <v>B272-400-AS-140-HB-055</v>
          </cell>
          <cell r="E2802" t="str">
            <v>RX-2(1/2)</v>
          </cell>
        </row>
        <row r="2803">
          <cell r="B2803" t="str">
            <v>B272-400-AS-140-HB-055</v>
          </cell>
          <cell r="E2803" t="str">
            <v>RX-2(2/2)</v>
          </cell>
        </row>
        <row r="2804">
          <cell r="B2804" t="str">
            <v>B272-400-AS-140-HB-055</v>
          </cell>
          <cell r="E2804" t="str">
            <v>B1240</v>
          </cell>
        </row>
        <row r="2805">
          <cell r="B2805" t="str">
            <v>B272-400-AS-140-HB-056</v>
          </cell>
        </row>
        <row r="2806">
          <cell r="B2806" t="str">
            <v>B272-400-AS-140-HB-056</v>
          </cell>
          <cell r="E2806" t="str">
            <v>P-82(1/2)</v>
          </cell>
        </row>
        <row r="2807">
          <cell r="B2807" t="str">
            <v>B272-400-AS-140-HB-056</v>
          </cell>
          <cell r="E2807" t="str">
            <v>P-82(2/2)</v>
          </cell>
        </row>
        <row r="2808">
          <cell r="B2808" t="str">
            <v>B272-400-AS-140-HB-056</v>
          </cell>
          <cell r="E2808" t="str">
            <v>P-91</v>
          </cell>
        </row>
        <row r="2809">
          <cell r="B2809" t="str">
            <v>B272-400-AS-140-HB-056</v>
          </cell>
          <cell r="E2809" t="str">
            <v>P-199</v>
          </cell>
        </row>
        <row r="2810">
          <cell r="B2810" t="str">
            <v>B272-400-AS-140-HB-056</v>
          </cell>
          <cell r="E2810" t="str">
            <v>P-654</v>
          </cell>
        </row>
        <row r="2811">
          <cell r="B2811" t="str">
            <v>B272-400-AS-140-HB-056</v>
          </cell>
          <cell r="E2811" t="str">
            <v>P-655(1/2)</v>
          </cell>
        </row>
        <row r="2812">
          <cell r="B2812" t="str">
            <v>B272-400-AS-140-HB-056</v>
          </cell>
          <cell r="E2812" t="str">
            <v>P-655(2/2)</v>
          </cell>
        </row>
        <row r="2813">
          <cell r="B2813" t="str">
            <v>B272-400-AS-140-HB-056</v>
          </cell>
          <cell r="E2813" t="str">
            <v>P-663</v>
          </cell>
        </row>
        <row r="2814">
          <cell r="B2814" t="str">
            <v>B272-400-AS-140-HB-056</v>
          </cell>
          <cell r="E2814" t="str">
            <v>RX-2(1/2)</v>
          </cell>
        </row>
        <row r="2815">
          <cell r="B2815" t="str">
            <v>B272-400-AS-140-HB-056</v>
          </cell>
          <cell r="E2815" t="str">
            <v>RX-2(2/2)</v>
          </cell>
        </row>
        <row r="2816">
          <cell r="B2816" t="str">
            <v>B272-400-AS-140-HB-056</v>
          </cell>
          <cell r="E2816" t="str">
            <v>B1240</v>
          </cell>
        </row>
        <row r="2817">
          <cell r="B2817" t="str">
            <v>B272-400-AS-140-HB-057</v>
          </cell>
        </row>
        <row r="2818">
          <cell r="B2818" t="str">
            <v>B272-400-AS-140-HB-057</v>
          </cell>
          <cell r="E2818" t="str">
            <v>P-76</v>
          </cell>
        </row>
        <row r="2819">
          <cell r="B2819" t="str">
            <v>B272-400-AS-140-HB-057</v>
          </cell>
          <cell r="E2819" t="str">
            <v>P-98</v>
          </cell>
        </row>
        <row r="2820">
          <cell r="B2820" t="str">
            <v>B272-400-AS-140-HB-057</v>
          </cell>
          <cell r="E2820" t="str">
            <v>P-200</v>
          </cell>
        </row>
        <row r="2821">
          <cell r="B2821" t="str">
            <v>B272-400-AS-140-HB-057</v>
          </cell>
          <cell r="E2821" t="str">
            <v>P-204</v>
          </cell>
        </row>
        <row r="2822">
          <cell r="B2822" t="str">
            <v>B272-400-AS-140-HB-057</v>
          </cell>
          <cell r="E2822" t="str">
            <v>P-646</v>
          </cell>
        </row>
        <row r="2823">
          <cell r="B2823" t="str">
            <v>B272-400-AS-140-HB-057</v>
          </cell>
          <cell r="E2823" t="str">
            <v>P-653(1/2)</v>
          </cell>
        </row>
        <row r="2824">
          <cell r="B2824" t="str">
            <v>B272-400-AS-140-HB-057</v>
          </cell>
          <cell r="E2824" t="str">
            <v>P-653(2/2)</v>
          </cell>
        </row>
        <row r="2825">
          <cell r="B2825" t="str">
            <v>B272-400-AS-140-HB-057</v>
          </cell>
          <cell r="E2825" t="str">
            <v>P-669</v>
          </cell>
        </row>
        <row r="2826">
          <cell r="B2826" t="str">
            <v>B272-400-AS-140-HB-057</v>
          </cell>
          <cell r="E2826" t="str">
            <v>RX-2(1/2)</v>
          </cell>
        </row>
        <row r="2827">
          <cell r="B2827" t="str">
            <v>B272-400-AS-140-HB-057</v>
          </cell>
          <cell r="E2827" t="str">
            <v>RX-2(2/2)</v>
          </cell>
        </row>
        <row r="2828">
          <cell r="B2828" t="str">
            <v>B272-400-AS-140-HB-057</v>
          </cell>
          <cell r="E2828" t="str">
            <v>B1235</v>
          </cell>
        </row>
        <row r="2829">
          <cell r="B2829" t="str">
            <v>B272-400-AS-140-HB-057</v>
          </cell>
          <cell r="E2829" t="str">
            <v>B1240</v>
          </cell>
        </row>
        <row r="2830">
          <cell r="B2830" t="str">
            <v>B272-400-AS-140-HB-058</v>
          </cell>
        </row>
        <row r="2831">
          <cell r="B2831" t="str">
            <v>B272-400-AS-140-HB-058</v>
          </cell>
          <cell r="E2831" t="str">
            <v>P-76</v>
          </cell>
        </row>
        <row r="2832">
          <cell r="B2832" t="str">
            <v>B272-400-AS-140-HB-058</v>
          </cell>
          <cell r="E2832" t="str">
            <v>P-98</v>
          </cell>
        </row>
        <row r="2833">
          <cell r="B2833" t="str">
            <v>B272-400-AS-140-HB-058</v>
          </cell>
          <cell r="E2833" t="str">
            <v>P-200</v>
          </cell>
        </row>
        <row r="2834">
          <cell r="B2834" t="str">
            <v>B272-400-AS-140-HB-058</v>
          </cell>
          <cell r="E2834" t="str">
            <v>P-204</v>
          </cell>
        </row>
        <row r="2835">
          <cell r="B2835" t="str">
            <v>B272-400-AS-140-HB-058</v>
          </cell>
          <cell r="E2835" t="str">
            <v>P-646</v>
          </cell>
        </row>
        <row r="2836">
          <cell r="B2836" t="str">
            <v>B272-400-AS-140-HB-058</v>
          </cell>
          <cell r="E2836" t="str">
            <v>P-653(1/2)</v>
          </cell>
        </row>
        <row r="2837">
          <cell r="B2837" t="str">
            <v>B272-400-AS-140-HB-058</v>
          </cell>
          <cell r="E2837" t="str">
            <v>P-653(2/2)</v>
          </cell>
        </row>
        <row r="2838">
          <cell r="B2838" t="str">
            <v>B272-400-AS-140-HB-058</v>
          </cell>
          <cell r="E2838" t="str">
            <v>P-669</v>
          </cell>
        </row>
        <row r="2839">
          <cell r="B2839" t="str">
            <v>B272-400-AS-140-HB-058</v>
          </cell>
          <cell r="E2839" t="str">
            <v>RX-2(1/2)</v>
          </cell>
        </row>
        <row r="2840">
          <cell r="B2840" t="str">
            <v>B272-400-AS-140-HB-058</v>
          </cell>
          <cell r="E2840" t="str">
            <v>RX-2(2/2)</v>
          </cell>
        </row>
        <row r="2841">
          <cell r="B2841" t="str">
            <v>B272-400-AS-140-HB-058</v>
          </cell>
          <cell r="E2841" t="str">
            <v>B1235</v>
          </cell>
        </row>
        <row r="2842">
          <cell r="B2842" t="str">
            <v>B272-400-AS-140-HB-058</v>
          </cell>
          <cell r="E2842" t="str">
            <v>B1240</v>
          </cell>
        </row>
        <row r="2843">
          <cell r="B2843" t="str">
            <v>B272-400-AS-140-HB-059</v>
          </cell>
        </row>
        <row r="2844">
          <cell r="B2844" t="str">
            <v>B272-400-AS-140-HB-059</v>
          </cell>
          <cell r="E2844" t="str">
            <v>P-200</v>
          </cell>
        </row>
        <row r="2845">
          <cell r="B2845" t="str">
            <v>B272-400-AS-140-HB-059</v>
          </cell>
          <cell r="E2845" t="str">
            <v>P-255</v>
          </cell>
        </row>
        <row r="2846">
          <cell r="B2846" t="str">
            <v>B272-400-AS-140-HB-059</v>
          </cell>
          <cell r="E2846" t="str">
            <v>P-256</v>
          </cell>
        </row>
        <row r="2847">
          <cell r="B2847" t="str">
            <v>B272-400-AS-140-HB-059</v>
          </cell>
          <cell r="E2847" t="str">
            <v>P-259</v>
          </cell>
        </row>
        <row r="2848">
          <cell r="B2848" t="str">
            <v>B272-400-AS-140-HB-059</v>
          </cell>
          <cell r="E2848" t="str">
            <v>P-653(1/2)</v>
          </cell>
        </row>
        <row r="2849">
          <cell r="B2849" t="str">
            <v>B272-400-AS-140-HB-059</v>
          </cell>
          <cell r="E2849" t="str">
            <v>P-653(2/2)</v>
          </cell>
        </row>
        <row r="2850">
          <cell r="B2850" t="str">
            <v>B272-400-AS-140-HB-059</v>
          </cell>
          <cell r="E2850" t="str">
            <v>P-715</v>
          </cell>
        </row>
        <row r="2851">
          <cell r="B2851" t="str">
            <v>B272-400-AS-140-HB-059</v>
          </cell>
          <cell r="E2851" t="str">
            <v>P-720</v>
          </cell>
        </row>
        <row r="2852">
          <cell r="B2852" t="str">
            <v>B272-400-AS-140-HB-059</v>
          </cell>
          <cell r="E2852" t="str">
            <v>R-3(1/2)</v>
          </cell>
        </row>
        <row r="2853">
          <cell r="B2853" t="str">
            <v>B272-400-AS-140-HB-059</v>
          </cell>
          <cell r="E2853" t="str">
            <v>R-3(2/2)</v>
          </cell>
        </row>
        <row r="2854">
          <cell r="B2854" t="str">
            <v>B272-400-AS-140-HB-059</v>
          </cell>
          <cell r="E2854" t="str">
            <v>B1240</v>
          </cell>
        </row>
        <row r="2855">
          <cell r="B2855" t="str">
            <v>B272-400-AS-140-HB-060</v>
          </cell>
        </row>
        <row r="2856">
          <cell r="B2856" t="str">
            <v>B272-400-AS-140-HB-060</v>
          </cell>
          <cell r="E2856" t="str">
            <v>P-83</v>
          </cell>
        </row>
        <row r="2857">
          <cell r="B2857" t="str">
            <v>B272-400-AS-140-HB-060</v>
          </cell>
          <cell r="E2857" t="str">
            <v>P-92</v>
          </cell>
        </row>
        <row r="2858">
          <cell r="B2858" t="str">
            <v>B272-400-AS-140-HB-060</v>
          </cell>
          <cell r="E2858" t="str">
            <v>P-97</v>
          </cell>
        </row>
        <row r="2859">
          <cell r="B2859" t="str">
            <v>B272-400-AS-140-HB-060</v>
          </cell>
          <cell r="E2859" t="str">
            <v>P-200</v>
          </cell>
        </row>
        <row r="2860">
          <cell r="B2860" t="str">
            <v>B272-400-AS-140-HB-060</v>
          </cell>
          <cell r="E2860" t="str">
            <v>P-645</v>
          </cell>
        </row>
        <row r="2861">
          <cell r="B2861" t="str">
            <v>B272-400-AS-140-HB-060</v>
          </cell>
          <cell r="E2861" t="str">
            <v>P-653(1/2)</v>
          </cell>
        </row>
        <row r="2862">
          <cell r="B2862" t="str">
            <v>B272-400-AS-140-HB-060</v>
          </cell>
          <cell r="E2862" t="str">
            <v>P-653(2/2)</v>
          </cell>
        </row>
        <row r="2863">
          <cell r="B2863" t="str">
            <v>B272-400-AS-140-HB-060</v>
          </cell>
          <cell r="E2863" t="str">
            <v>P-668</v>
          </cell>
        </row>
        <row r="2864">
          <cell r="B2864" t="str">
            <v>B272-400-AS-140-HB-060</v>
          </cell>
          <cell r="E2864" t="str">
            <v>RX-2(1/2)</v>
          </cell>
        </row>
        <row r="2865">
          <cell r="B2865" t="str">
            <v>B272-400-AS-140-HB-060</v>
          </cell>
          <cell r="E2865" t="str">
            <v>RX-2(2/2)</v>
          </cell>
        </row>
        <row r="2866">
          <cell r="B2866" t="str">
            <v>B272-400-AS-140-HB-060</v>
          </cell>
          <cell r="E2866" t="str">
            <v>B1235</v>
          </cell>
        </row>
        <row r="2867">
          <cell r="B2867" t="str">
            <v>B272-400-AS-140-HB-060</v>
          </cell>
          <cell r="E2867" t="str">
            <v>B1240</v>
          </cell>
        </row>
        <row r="2868">
          <cell r="B2868" t="str">
            <v>B272-400-AS-140-HB-060</v>
          </cell>
        </row>
        <row r="2869">
          <cell r="B2869" t="str">
            <v>B272-400-AS-140-HB-060</v>
          </cell>
          <cell r="E2869" t="str">
            <v>P-83</v>
          </cell>
        </row>
        <row r="2870">
          <cell r="B2870" t="str">
            <v>B272-400-AS-140-HB-060</v>
          </cell>
          <cell r="E2870" t="str">
            <v>P-92</v>
          </cell>
        </row>
        <row r="2871">
          <cell r="B2871" t="str">
            <v>B272-400-AS-140-HB-060</v>
          </cell>
          <cell r="E2871" t="str">
            <v>P-97</v>
          </cell>
        </row>
        <row r="2872">
          <cell r="B2872" t="str">
            <v>B272-400-AS-140-HB-060</v>
          </cell>
          <cell r="E2872" t="str">
            <v>P-200</v>
          </cell>
        </row>
        <row r="2873">
          <cell r="B2873" t="str">
            <v>B272-400-AS-140-HB-060</v>
          </cell>
          <cell r="E2873" t="str">
            <v>P-645</v>
          </cell>
        </row>
        <row r="2874">
          <cell r="B2874" t="str">
            <v>B272-400-AS-140-HB-060</v>
          </cell>
          <cell r="E2874" t="str">
            <v>P-653(1/2)</v>
          </cell>
        </row>
        <row r="2875">
          <cell r="B2875" t="str">
            <v>B272-400-AS-140-HB-060</v>
          </cell>
          <cell r="E2875" t="str">
            <v>P-653(2/2)</v>
          </cell>
        </row>
        <row r="2876">
          <cell r="B2876" t="str">
            <v>B272-400-AS-140-HB-060</v>
          </cell>
          <cell r="E2876" t="str">
            <v>P-668</v>
          </cell>
        </row>
        <row r="2877">
          <cell r="B2877" t="str">
            <v>B272-400-AS-140-HB-060</v>
          </cell>
          <cell r="E2877" t="str">
            <v>RX-2(1/2)</v>
          </cell>
        </row>
        <row r="2878">
          <cell r="B2878" t="str">
            <v>B272-400-AS-140-HB-060</v>
          </cell>
          <cell r="E2878" t="str">
            <v>RX-2(2/2)</v>
          </cell>
        </row>
        <row r="2879">
          <cell r="B2879" t="str">
            <v>B272-400-AS-140-HB-060</v>
          </cell>
          <cell r="E2879" t="str">
            <v>B1240</v>
          </cell>
        </row>
        <row r="2880">
          <cell r="B2880" t="str">
            <v>B272-400-AS-140-HB-061</v>
          </cell>
        </row>
        <row r="2881">
          <cell r="B2881" t="str">
            <v>B272-400-AS-140-HB-061</v>
          </cell>
          <cell r="E2881" t="str">
            <v>P-83</v>
          </cell>
        </row>
        <row r="2882">
          <cell r="B2882" t="str">
            <v>B272-400-AS-140-HB-061</v>
          </cell>
          <cell r="E2882" t="str">
            <v>P-92</v>
          </cell>
        </row>
        <row r="2883">
          <cell r="B2883" t="str">
            <v>B272-400-AS-140-HB-061</v>
          </cell>
          <cell r="E2883" t="str">
            <v>P-97</v>
          </cell>
        </row>
        <row r="2884">
          <cell r="B2884" t="str">
            <v>B272-400-AS-140-HB-061</v>
          </cell>
          <cell r="E2884" t="str">
            <v>P-200</v>
          </cell>
        </row>
        <row r="2885">
          <cell r="B2885" t="str">
            <v>B272-400-AS-140-HB-061</v>
          </cell>
          <cell r="E2885" t="str">
            <v>P-645</v>
          </cell>
        </row>
        <row r="2886">
          <cell r="B2886" t="str">
            <v>B272-400-AS-140-HB-061</v>
          </cell>
          <cell r="E2886" t="str">
            <v>P-653(1/2)</v>
          </cell>
        </row>
        <row r="2887">
          <cell r="B2887" t="str">
            <v>B272-400-AS-140-HB-061</v>
          </cell>
          <cell r="E2887" t="str">
            <v>P-653(2/2)</v>
          </cell>
        </row>
        <row r="2888">
          <cell r="B2888" t="str">
            <v>B272-400-AS-140-HB-061</v>
          </cell>
          <cell r="E2888" t="str">
            <v>P-668</v>
          </cell>
        </row>
        <row r="2889">
          <cell r="B2889" t="str">
            <v>B272-400-AS-140-HB-061</v>
          </cell>
          <cell r="E2889" t="str">
            <v>RX-2(1/2)</v>
          </cell>
        </row>
        <row r="2890">
          <cell r="B2890" t="str">
            <v>B272-400-AS-140-HB-061</v>
          </cell>
          <cell r="E2890" t="str">
            <v>RX-2(2/2)</v>
          </cell>
        </row>
        <row r="2891">
          <cell r="B2891" t="str">
            <v>B272-400-AS-140-HB-061</v>
          </cell>
          <cell r="E2891" t="str">
            <v>B1235</v>
          </cell>
        </row>
        <row r="2892">
          <cell r="B2892" t="str">
            <v>B272-400-AS-140-HB-061</v>
          </cell>
          <cell r="E2892" t="str">
            <v>B1240</v>
          </cell>
        </row>
        <row r="2893">
          <cell r="B2893" t="str">
            <v>B272-400-AS-140-HB-061</v>
          </cell>
        </row>
        <row r="2894">
          <cell r="B2894" t="str">
            <v>B272-400-AS-140-HB-061</v>
          </cell>
          <cell r="E2894" t="str">
            <v>P-83</v>
          </cell>
        </row>
        <row r="2895">
          <cell r="B2895" t="str">
            <v>B272-400-AS-140-HB-061</v>
          </cell>
          <cell r="E2895" t="str">
            <v>P-92</v>
          </cell>
        </row>
        <row r="2896">
          <cell r="B2896" t="str">
            <v>B272-400-AS-140-HB-061</v>
          </cell>
          <cell r="E2896" t="str">
            <v>P-97</v>
          </cell>
        </row>
        <row r="2897">
          <cell r="B2897" t="str">
            <v>B272-400-AS-140-HB-061</v>
          </cell>
          <cell r="E2897" t="str">
            <v>P-200</v>
          </cell>
        </row>
        <row r="2898">
          <cell r="B2898" t="str">
            <v>B272-400-AS-140-HB-061</v>
          </cell>
          <cell r="E2898" t="str">
            <v>P-645</v>
          </cell>
        </row>
        <row r="2899">
          <cell r="B2899" t="str">
            <v>B272-400-AS-140-HB-061</v>
          </cell>
          <cell r="E2899" t="str">
            <v>P-653(1/2)</v>
          </cell>
        </row>
        <row r="2900">
          <cell r="B2900" t="str">
            <v>B272-400-AS-140-HB-061</v>
          </cell>
          <cell r="E2900" t="str">
            <v>P-653(2/2)</v>
          </cell>
        </row>
        <row r="2901">
          <cell r="B2901" t="str">
            <v>B272-400-AS-140-HB-061</v>
          </cell>
          <cell r="E2901" t="str">
            <v>P-668</v>
          </cell>
        </row>
        <row r="2902">
          <cell r="B2902" t="str">
            <v>B272-400-AS-140-HB-061</v>
          </cell>
          <cell r="E2902" t="str">
            <v>RX-2(1/2)</v>
          </cell>
        </row>
        <row r="2903">
          <cell r="B2903" t="str">
            <v>B272-400-AS-140-HB-061</v>
          </cell>
          <cell r="E2903" t="str">
            <v>RX-2(2/2)</v>
          </cell>
        </row>
        <row r="2904">
          <cell r="B2904" t="str">
            <v>B272-400-AS-140-HB-061</v>
          </cell>
          <cell r="E2904" t="str">
            <v>B1240</v>
          </cell>
        </row>
        <row r="2905">
          <cell r="B2905" t="str">
            <v>B272-400-AS-140-HB-062</v>
          </cell>
        </row>
        <row r="2906">
          <cell r="B2906" t="str">
            <v>B272-400-AS-140-HB-062</v>
          </cell>
          <cell r="E2906" t="str">
            <v>P-80</v>
          </cell>
        </row>
        <row r="2907">
          <cell r="B2907" t="str">
            <v>B272-400-AS-140-HB-062</v>
          </cell>
          <cell r="E2907" t="str">
            <v>P-98(1/2)</v>
          </cell>
        </row>
        <row r="2908">
          <cell r="B2908" t="str">
            <v>B272-400-AS-140-HB-062</v>
          </cell>
          <cell r="E2908" t="str">
            <v>P-98(2/2)</v>
          </cell>
        </row>
        <row r="2909">
          <cell r="B2909" t="str">
            <v>B272-400-AS-140-HB-062</v>
          </cell>
          <cell r="E2909" t="str">
            <v>P-202</v>
          </cell>
        </row>
        <row r="2910">
          <cell r="B2910" t="str">
            <v>B272-400-AS-140-HB-062</v>
          </cell>
          <cell r="E2910" t="str">
            <v>P-205</v>
          </cell>
        </row>
        <row r="2911">
          <cell r="B2911" t="str">
            <v>B272-400-AS-140-HB-062</v>
          </cell>
          <cell r="E2911" t="str">
            <v>P-646(1/2)</v>
          </cell>
        </row>
        <row r="2912">
          <cell r="B2912" t="str">
            <v>B272-400-AS-140-HB-062</v>
          </cell>
          <cell r="E2912" t="str">
            <v>P-646(2/2)</v>
          </cell>
        </row>
        <row r="2913">
          <cell r="B2913" t="str">
            <v>B272-400-AS-140-HB-062</v>
          </cell>
          <cell r="E2913" t="str">
            <v>P-654(1/2)</v>
          </cell>
        </row>
        <row r="2914">
          <cell r="B2914" t="str">
            <v>B272-400-AS-140-HB-062</v>
          </cell>
          <cell r="E2914" t="str">
            <v>P-654(2/2)</v>
          </cell>
        </row>
        <row r="2915">
          <cell r="B2915" t="str">
            <v>B272-400-AS-140-HB-062</v>
          </cell>
          <cell r="E2915" t="str">
            <v>RX-2(1/2)</v>
          </cell>
        </row>
        <row r="2916">
          <cell r="B2916" t="str">
            <v>B272-400-AS-140-HB-062</v>
          </cell>
          <cell r="E2916" t="str">
            <v>RX-2(2/2)</v>
          </cell>
        </row>
        <row r="2917">
          <cell r="B2917" t="str">
            <v>B272-400-AS-140-HB-062</v>
          </cell>
          <cell r="E2917" t="str">
            <v>B1235</v>
          </cell>
        </row>
        <row r="2918">
          <cell r="B2918" t="str">
            <v>B272-400-AS-140-HB-062</v>
          </cell>
          <cell r="E2918" t="str">
            <v>B1240</v>
          </cell>
        </row>
        <row r="2919">
          <cell r="B2919" t="str">
            <v>B272-400-AS-140-HB-063</v>
          </cell>
        </row>
        <row r="2920">
          <cell r="B2920" t="str">
            <v>B272-400-AS-140-HB-063</v>
          </cell>
          <cell r="E2920" t="str">
            <v>P-74</v>
          </cell>
        </row>
        <row r="2921">
          <cell r="B2921" t="str">
            <v>B272-400-AS-140-HB-063</v>
          </cell>
          <cell r="E2921" t="str">
            <v>P-204(1/2)</v>
          </cell>
        </row>
        <row r="2922">
          <cell r="B2922" t="str">
            <v>B272-400-AS-140-HB-063</v>
          </cell>
          <cell r="E2922" t="str">
            <v>P-204(2/2)</v>
          </cell>
        </row>
        <row r="2923">
          <cell r="B2923" t="str">
            <v>B272-400-AS-140-HB-063</v>
          </cell>
          <cell r="E2923" t="str">
            <v>P-207</v>
          </cell>
        </row>
        <row r="2924">
          <cell r="B2924" t="str">
            <v>B272-400-AS-140-HB-063</v>
          </cell>
          <cell r="E2924" t="str">
            <v>P-649</v>
          </cell>
        </row>
        <row r="2925">
          <cell r="B2925" t="str">
            <v>B272-400-AS-140-HB-063</v>
          </cell>
          <cell r="E2925" t="str">
            <v>P-653(1/2)</v>
          </cell>
        </row>
        <row r="2926">
          <cell r="B2926" t="str">
            <v>B272-400-AS-140-HB-063</v>
          </cell>
          <cell r="E2926" t="str">
            <v>P-653(2/2)</v>
          </cell>
        </row>
        <row r="2927">
          <cell r="B2927" t="str">
            <v>B272-400-AS-140-HB-063</v>
          </cell>
          <cell r="E2927" t="str">
            <v>P-699</v>
          </cell>
        </row>
        <row r="2928">
          <cell r="B2928" t="str">
            <v>B272-400-AS-140-HB-063</v>
          </cell>
          <cell r="E2928" t="str">
            <v>RX-2(1/2)</v>
          </cell>
        </row>
        <row r="2929">
          <cell r="B2929" t="str">
            <v>B272-400-AS-140-HB-063</v>
          </cell>
          <cell r="E2929" t="str">
            <v>RX-2(2/2)</v>
          </cell>
        </row>
        <row r="2930">
          <cell r="B2930" t="str">
            <v>B272-400-AS-140-HB-063</v>
          </cell>
          <cell r="E2930" t="str">
            <v>B1235</v>
          </cell>
        </row>
        <row r="2931">
          <cell r="B2931" t="str">
            <v>B272-400-AS-140-HB-063</v>
          </cell>
          <cell r="E2931" t="str">
            <v>B1240</v>
          </cell>
        </row>
        <row r="2932">
          <cell r="B2932" t="str">
            <v>B272-400-AS-140-HB-064</v>
          </cell>
        </row>
        <row r="2933">
          <cell r="B2933" t="str">
            <v>B272-400-AS-140-HB-064</v>
          </cell>
          <cell r="E2933" t="str">
            <v>P-74</v>
          </cell>
        </row>
        <row r="2934">
          <cell r="B2934" t="str">
            <v>B272-400-AS-140-HB-064</v>
          </cell>
          <cell r="E2934" t="str">
            <v>P-204</v>
          </cell>
        </row>
        <row r="2935">
          <cell r="B2935" t="str">
            <v>B272-400-AS-140-HB-064</v>
          </cell>
          <cell r="E2935" t="str">
            <v>P-207</v>
          </cell>
        </row>
        <row r="2936">
          <cell r="B2936" t="str">
            <v>B272-400-AS-140-HB-064</v>
          </cell>
          <cell r="E2936" t="str">
            <v>P-235</v>
          </cell>
        </row>
        <row r="2937">
          <cell r="B2937" t="str">
            <v>B272-400-AS-140-HB-064</v>
          </cell>
          <cell r="E2937" t="str">
            <v>P-649</v>
          </cell>
        </row>
        <row r="2938">
          <cell r="B2938" t="str">
            <v>B272-400-AS-140-HB-064</v>
          </cell>
          <cell r="E2938" t="str">
            <v>P-653(1/2)</v>
          </cell>
        </row>
        <row r="2939">
          <cell r="B2939" t="str">
            <v>B272-400-AS-140-HB-064</v>
          </cell>
          <cell r="E2939" t="str">
            <v>P-653(2/2)</v>
          </cell>
        </row>
        <row r="2940">
          <cell r="B2940" t="str">
            <v>B272-400-AS-140-HB-064</v>
          </cell>
          <cell r="E2940" t="str">
            <v>P-699</v>
          </cell>
        </row>
        <row r="2941">
          <cell r="B2941" t="str">
            <v>B272-400-AS-140-HB-064</v>
          </cell>
          <cell r="E2941" t="str">
            <v>RX-2(1/2)</v>
          </cell>
        </row>
        <row r="2942">
          <cell r="B2942" t="str">
            <v>B272-400-AS-140-HB-064</v>
          </cell>
          <cell r="E2942" t="str">
            <v>RX-2(2/2)</v>
          </cell>
        </row>
        <row r="2943">
          <cell r="B2943" t="str">
            <v>B272-400-AS-140-HB-064</v>
          </cell>
          <cell r="E2943" t="str">
            <v>B1235</v>
          </cell>
        </row>
        <row r="2944">
          <cell r="B2944" t="str">
            <v>B272-400-AS-140-HB-064</v>
          </cell>
          <cell r="E2944" t="str">
            <v>B1240</v>
          </cell>
        </row>
        <row r="2945">
          <cell r="B2945" t="str">
            <v>B272-400-AS-140-HB-065</v>
          </cell>
        </row>
        <row r="2946">
          <cell r="B2946" t="str">
            <v>B272-400-AS-140-HB-065</v>
          </cell>
          <cell r="E2946" t="str">
            <v>P-204</v>
          </cell>
        </row>
        <row r="2947">
          <cell r="B2947" t="str">
            <v>B272-400-AS-140-HB-065</v>
          </cell>
          <cell r="E2947" t="str">
            <v>P-254</v>
          </cell>
        </row>
        <row r="2948">
          <cell r="B2948" t="str">
            <v>B272-400-AS-140-HB-065</v>
          </cell>
          <cell r="E2948" t="str">
            <v>P-256</v>
          </cell>
        </row>
        <row r="2949">
          <cell r="B2949" t="str">
            <v>B272-400-AS-140-HB-065</v>
          </cell>
          <cell r="E2949" t="str">
            <v>P-257</v>
          </cell>
        </row>
        <row r="2950">
          <cell r="B2950" t="str">
            <v>B272-400-AS-140-HB-065</v>
          </cell>
          <cell r="E2950" t="str">
            <v>P-273</v>
          </cell>
        </row>
        <row r="2951">
          <cell r="B2951" t="str">
            <v>B272-400-AS-140-HB-065</v>
          </cell>
          <cell r="E2951" t="str">
            <v>P-639</v>
          </cell>
        </row>
        <row r="2952">
          <cell r="B2952" t="str">
            <v>B272-400-AS-140-HB-065</v>
          </cell>
          <cell r="E2952" t="str">
            <v>P-701</v>
          </cell>
        </row>
        <row r="2953">
          <cell r="B2953" t="str">
            <v>B272-400-AS-140-HB-065</v>
          </cell>
          <cell r="E2953" t="str">
            <v>P-715</v>
          </cell>
        </row>
        <row r="2954">
          <cell r="B2954" t="str">
            <v>B272-400-AS-140-HB-065</v>
          </cell>
          <cell r="E2954" t="str">
            <v>P-720</v>
          </cell>
        </row>
        <row r="2955">
          <cell r="B2955" t="str">
            <v>B272-400-AS-140-HB-065</v>
          </cell>
          <cell r="E2955" t="str">
            <v>P-728</v>
          </cell>
        </row>
        <row r="2956">
          <cell r="B2956" t="str">
            <v>B272-400-AS-140-HB-065</v>
          </cell>
          <cell r="E2956" t="str">
            <v>P-730</v>
          </cell>
        </row>
        <row r="2957">
          <cell r="B2957" t="str">
            <v>B272-400-AS-140-HB-065</v>
          </cell>
          <cell r="E2957" t="str">
            <v>R-3(1/2)</v>
          </cell>
        </row>
        <row r="2958">
          <cell r="B2958" t="str">
            <v>B272-400-AS-140-HB-065</v>
          </cell>
          <cell r="E2958" t="str">
            <v>R-3(2/2)</v>
          </cell>
        </row>
        <row r="2959">
          <cell r="B2959" t="str">
            <v>B272-400-AS-140-HB-065</v>
          </cell>
          <cell r="E2959" t="str">
            <v>B1240</v>
          </cell>
        </row>
        <row r="2960">
          <cell r="B2960" t="str">
            <v>B272-400-AS-140-HB-066</v>
          </cell>
        </row>
        <row r="2961">
          <cell r="B2961" t="str">
            <v>B272-400-AS-140-HB-066</v>
          </cell>
          <cell r="E2961" t="str">
            <v>P-77</v>
          </cell>
        </row>
        <row r="2962">
          <cell r="B2962" t="str">
            <v>B272-400-AS-140-HB-066</v>
          </cell>
          <cell r="E2962" t="str">
            <v>P-206</v>
          </cell>
        </row>
        <row r="2963">
          <cell r="B2963" t="str">
            <v>B272-400-AS-140-HB-066</v>
          </cell>
          <cell r="E2963" t="str">
            <v>P-207(1/2)</v>
          </cell>
        </row>
        <row r="2964">
          <cell r="B2964" t="str">
            <v>B272-400-AS-140-HB-066</v>
          </cell>
          <cell r="E2964" t="str">
            <v>P-207(2/2)</v>
          </cell>
        </row>
        <row r="2965">
          <cell r="B2965" t="str">
            <v>B272-400-AS-140-HB-066</v>
          </cell>
          <cell r="E2965" t="str">
            <v>P-234</v>
          </cell>
        </row>
        <row r="2966">
          <cell r="B2966" t="str">
            <v>B272-400-AS-140-HB-066</v>
          </cell>
          <cell r="E2966" t="str">
            <v>P-649(1/2)</v>
          </cell>
        </row>
        <row r="2967">
          <cell r="B2967" t="str">
            <v>B272-400-AS-140-HB-066</v>
          </cell>
          <cell r="E2967" t="str">
            <v>P-649(2/2)</v>
          </cell>
        </row>
        <row r="2968">
          <cell r="B2968" t="str">
            <v>B272-400-AS-140-HB-066</v>
          </cell>
          <cell r="E2968" t="str">
            <v>P-654(1/2)</v>
          </cell>
        </row>
        <row r="2969">
          <cell r="B2969" t="str">
            <v>B272-400-AS-140-HB-066</v>
          </cell>
          <cell r="E2969" t="str">
            <v>P-654(2/2)</v>
          </cell>
        </row>
        <row r="2970">
          <cell r="B2970" t="str">
            <v>B272-400-AS-140-HB-066</v>
          </cell>
          <cell r="E2970" t="str">
            <v>RX-2(1/2)</v>
          </cell>
        </row>
        <row r="2971">
          <cell r="B2971" t="str">
            <v>B272-400-AS-140-HB-066</v>
          </cell>
          <cell r="E2971" t="str">
            <v>RX-2(2/2)</v>
          </cell>
        </row>
        <row r="2972">
          <cell r="B2972" t="str">
            <v>B272-400-AS-140-HB-066</v>
          </cell>
          <cell r="E2972" t="str">
            <v>B1235</v>
          </cell>
        </row>
        <row r="2973">
          <cell r="B2973" t="str">
            <v>B272-400-AS-140-HB-066</v>
          </cell>
          <cell r="E2973" t="str">
            <v>B1240</v>
          </cell>
        </row>
        <row r="2974">
          <cell r="B2974" t="str">
            <v>B272-400-AS-140-HB-067</v>
          </cell>
        </row>
        <row r="2975">
          <cell r="B2975" t="str">
            <v>B272-400-AS-140-HB-067</v>
          </cell>
          <cell r="E2975" t="str">
            <v>P-208(1/2)</v>
          </cell>
        </row>
        <row r="2976">
          <cell r="B2976" t="str">
            <v>B272-400-AS-140-HB-067</v>
          </cell>
          <cell r="E2976" t="str">
            <v>P-208(2/2)</v>
          </cell>
        </row>
        <row r="2977">
          <cell r="B2977" t="str">
            <v>B272-400-AS-140-HB-067</v>
          </cell>
          <cell r="E2977" t="str">
            <v>P-211</v>
          </cell>
        </row>
        <row r="2978">
          <cell r="B2978" t="str">
            <v>B272-400-AS-140-HB-067</v>
          </cell>
          <cell r="E2978" t="str">
            <v>P-232</v>
          </cell>
        </row>
        <row r="2979">
          <cell r="B2979" t="str">
            <v>B272-400-AS-140-HB-067</v>
          </cell>
          <cell r="E2979" t="str">
            <v>P-241</v>
          </cell>
        </row>
        <row r="2980">
          <cell r="B2980" t="str">
            <v>B272-400-AS-140-HB-067</v>
          </cell>
          <cell r="E2980" t="str">
            <v>P-581(1/2)</v>
          </cell>
        </row>
        <row r="2981">
          <cell r="B2981" t="str">
            <v>B272-400-AS-140-HB-067</v>
          </cell>
          <cell r="E2981" t="str">
            <v>P-581(2/2)</v>
          </cell>
        </row>
        <row r="2982">
          <cell r="B2982" t="str">
            <v>B272-400-AS-140-HB-067</v>
          </cell>
          <cell r="E2982" t="str">
            <v>P-915(1/2)</v>
          </cell>
        </row>
        <row r="2983">
          <cell r="B2983" t="str">
            <v>B272-400-AS-140-HB-067</v>
          </cell>
          <cell r="E2983" t="str">
            <v>P-915(2/2)</v>
          </cell>
        </row>
        <row r="2984">
          <cell r="B2984" t="str">
            <v>B272-400-AS-140-HB-067</v>
          </cell>
          <cell r="E2984" t="str">
            <v>B1240</v>
          </cell>
        </row>
        <row r="2985">
          <cell r="B2985" t="str">
            <v>B272-400-AS-140-HB-068</v>
          </cell>
        </row>
        <row r="2986">
          <cell r="B2986" t="str">
            <v>B272-400-AS-140-HB-068</v>
          </cell>
          <cell r="E2986" t="str">
            <v>P-79</v>
          </cell>
        </row>
        <row r="2987">
          <cell r="B2987" t="str">
            <v>B272-400-AS-140-HB-068</v>
          </cell>
          <cell r="E2987" t="str">
            <v>P-226(1/2)</v>
          </cell>
        </row>
        <row r="2988">
          <cell r="B2988" t="str">
            <v>B272-400-AS-140-HB-068</v>
          </cell>
          <cell r="E2988" t="str">
            <v>P-226(2/2)</v>
          </cell>
        </row>
        <row r="2989">
          <cell r="B2989" t="str">
            <v>B272-400-AS-140-HB-068</v>
          </cell>
          <cell r="E2989" t="str">
            <v>P-228</v>
          </cell>
        </row>
        <row r="2990">
          <cell r="B2990" t="str">
            <v>B272-400-AS-140-HB-068</v>
          </cell>
          <cell r="E2990" t="str">
            <v>P-231</v>
          </cell>
        </row>
        <row r="2991">
          <cell r="B2991" t="str">
            <v>B272-400-AS-140-HB-068</v>
          </cell>
          <cell r="E2991" t="str">
            <v>P-279</v>
          </cell>
        </row>
        <row r="2992">
          <cell r="B2992" t="str">
            <v>B272-400-AS-140-HB-068</v>
          </cell>
          <cell r="E2992" t="str">
            <v>P-639</v>
          </cell>
        </row>
        <row r="2993">
          <cell r="B2993" t="str">
            <v>B272-400-AS-140-HB-068</v>
          </cell>
          <cell r="E2993" t="str">
            <v>P-648(1/2)</v>
          </cell>
        </row>
        <row r="2994">
          <cell r="B2994" t="str">
            <v>B272-400-AS-140-HB-068</v>
          </cell>
          <cell r="E2994" t="str">
            <v>P-648(2/2)</v>
          </cell>
        </row>
        <row r="2995">
          <cell r="B2995" t="str">
            <v>B272-400-AS-140-HB-068</v>
          </cell>
          <cell r="E2995" t="str">
            <v>P-662</v>
          </cell>
        </row>
        <row r="2996">
          <cell r="B2996" t="str">
            <v>B272-400-AS-140-HB-068</v>
          </cell>
          <cell r="E2996" t="str">
            <v>P-675</v>
          </cell>
        </row>
        <row r="2997">
          <cell r="B2997" t="str">
            <v>B272-400-AS-140-HB-068</v>
          </cell>
          <cell r="E2997" t="str">
            <v>P-676</v>
          </cell>
        </row>
        <row r="2998">
          <cell r="B2998" t="str">
            <v>B272-400-AS-140-HB-068</v>
          </cell>
          <cell r="E2998" t="str">
            <v>RX-2(1/2)</v>
          </cell>
        </row>
        <row r="2999">
          <cell r="B2999" t="str">
            <v>B272-400-AS-140-HB-068</v>
          </cell>
          <cell r="E2999" t="str">
            <v>RX-2(2/2)</v>
          </cell>
        </row>
        <row r="3000">
          <cell r="B3000" t="str">
            <v>B272-400-AS-140-HB-068</v>
          </cell>
          <cell r="E3000" t="str">
            <v>B1240</v>
          </cell>
        </row>
        <row r="3001">
          <cell r="B3001" t="str">
            <v>B272-400-AS-140-HB-069</v>
          </cell>
        </row>
        <row r="3002">
          <cell r="B3002" t="str">
            <v>B272-400-AS-140-HB-069</v>
          </cell>
          <cell r="E3002" t="str">
            <v>P-75</v>
          </cell>
        </row>
        <row r="3003">
          <cell r="B3003" t="str">
            <v>B272-400-AS-140-HB-069</v>
          </cell>
          <cell r="E3003" t="str">
            <v>P-226</v>
          </cell>
        </row>
        <row r="3004">
          <cell r="B3004" t="str">
            <v>B272-400-AS-140-HB-069</v>
          </cell>
          <cell r="E3004" t="str">
            <v>P-227</v>
          </cell>
        </row>
        <row r="3005">
          <cell r="B3005" t="str">
            <v>B272-400-AS-140-HB-069</v>
          </cell>
          <cell r="E3005" t="str">
            <v>P-230</v>
          </cell>
        </row>
        <row r="3006">
          <cell r="B3006" t="str">
            <v>B272-400-AS-140-HB-069</v>
          </cell>
          <cell r="E3006" t="str">
            <v>P-280</v>
          </cell>
        </row>
        <row r="3007">
          <cell r="B3007" t="str">
            <v>B272-400-AS-140-HB-069</v>
          </cell>
          <cell r="E3007" t="str">
            <v>P-639</v>
          </cell>
        </row>
        <row r="3008">
          <cell r="B3008" t="str">
            <v>B272-400-AS-140-HB-069</v>
          </cell>
          <cell r="E3008" t="str">
            <v>P-648</v>
          </cell>
        </row>
        <row r="3009">
          <cell r="B3009" t="str">
            <v>B272-400-AS-140-HB-069</v>
          </cell>
          <cell r="E3009" t="str">
            <v>P-660</v>
          </cell>
        </row>
        <row r="3010">
          <cell r="B3010" t="str">
            <v>B272-400-AS-140-HB-069</v>
          </cell>
          <cell r="E3010" t="str">
            <v>P-672</v>
          </cell>
        </row>
        <row r="3011">
          <cell r="B3011" t="str">
            <v>B272-400-AS-140-HB-069</v>
          </cell>
          <cell r="E3011" t="str">
            <v>P-674</v>
          </cell>
        </row>
        <row r="3012">
          <cell r="B3012" t="str">
            <v>B272-400-AS-140-HB-069</v>
          </cell>
          <cell r="E3012" t="str">
            <v>P-677</v>
          </cell>
        </row>
        <row r="3013">
          <cell r="B3013" t="str">
            <v>B272-400-AS-140-HB-069</v>
          </cell>
          <cell r="E3013" t="str">
            <v>RX-2(1/2)</v>
          </cell>
        </row>
        <row r="3014">
          <cell r="B3014" t="str">
            <v>B272-400-AS-140-HB-069</v>
          </cell>
          <cell r="E3014" t="str">
            <v>RX-2(2/2)</v>
          </cell>
        </row>
        <row r="3015">
          <cell r="B3015" t="str">
            <v>B272-400-AS-140-HB-069</v>
          </cell>
          <cell r="E3015" t="str">
            <v>B1240</v>
          </cell>
        </row>
        <row r="3016">
          <cell r="B3016" t="str">
            <v>B272-400-AS-140-HB-070</v>
          </cell>
        </row>
        <row r="3017">
          <cell r="B3017" t="str">
            <v>B272-400-AS-140-HB-070</v>
          </cell>
          <cell r="E3017" t="str">
            <v>P-243</v>
          </cell>
        </row>
        <row r="3018">
          <cell r="B3018" t="str">
            <v>B272-400-AS-140-HB-070</v>
          </cell>
          <cell r="E3018" t="str">
            <v>P-244</v>
          </cell>
        </row>
        <row r="3019">
          <cell r="B3019" t="str">
            <v>B272-400-AS-140-HB-070</v>
          </cell>
          <cell r="E3019" t="str">
            <v>P-252(1/2)</v>
          </cell>
        </row>
        <row r="3020">
          <cell r="B3020" t="str">
            <v>B272-400-AS-140-HB-070</v>
          </cell>
          <cell r="E3020" t="str">
            <v>P-252(2/2)</v>
          </cell>
        </row>
        <row r="3021">
          <cell r="B3021" t="str">
            <v>B272-400-AS-140-HB-070</v>
          </cell>
          <cell r="E3021" t="str">
            <v>P-262</v>
          </cell>
        </row>
        <row r="3022">
          <cell r="B3022" t="str">
            <v>B272-400-AS-140-HB-070</v>
          </cell>
          <cell r="E3022" t="str">
            <v>P-708(1/2)</v>
          </cell>
        </row>
        <row r="3023">
          <cell r="B3023" t="str">
            <v>B272-400-AS-140-HB-070</v>
          </cell>
          <cell r="E3023" t="str">
            <v>P-708(2/2)</v>
          </cell>
        </row>
        <row r="3024">
          <cell r="B3024" t="str">
            <v>B272-400-AS-140-HB-070</v>
          </cell>
          <cell r="E3024" t="str">
            <v>P-712(1/2)</v>
          </cell>
        </row>
        <row r="3025">
          <cell r="B3025" t="str">
            <v>B272-400-AS-140-HB-070</v>
          </cell>
          <cell r="E3025" t="str">
            <v>P-712(2/2)</v>
          </cell>
        </row>
        <row r="3026">
          <cell r="B3026" t="str">
            <v>B272-400-AS-140-HB-070</v>
          </cell>
          <cell r="E3026" t="str">
            <v>B1235</v>
          </cell>
        </row>
        <row r="3027">
          <cell r="B3027" t="str">
            <v>B272-400-AS-140-HB-070</v>
          </cell>
          <cell r="E3027" t="str">
            <v>B1240</v>
          </cell>
        </row>
        <row r="3028">
          <cell r="B3028" t="str">
            <v>B272-400-AS-140-HB-071</v>
          </cell>
        </row>
        <row r="3029">
          <cell r="B3029" t="str">
            <v>B272-400-AS-140-HB-071</v>
          </cell>
          <cell r="E3029" t="str">
            <v>P-243</v>
          </cell>
        </row>
        <row r="3030">
          <cell r="B3030" t="str">
            <v>B272-400-AS-140-HB-071</v>
          </cell>
          <cell r="E3030" t="str">
            <v>P-244</v>
          </cell>
        </row>
        <row r="3031">
          <cell r="B3031" t="str">
            <v>B272-400-AS-140-HB-071</v>
          </cell>
          <cell r="E3031" t="str">
            <v>P-252(1/2)</v>
          </cell>
        </row>
        <row r="3032">
          <cell r="B3032" t="str">
            <v>B272-400-AS-140-HB-071</v>
          </cell>
          <cell r="E3032" t="str">
            <v>P-252(2/2)</v>
          </cell>
        </row>
        <row r="3033">
          <cell r="B3033" t="str">
            <v>B272-400-AS-140-HB-071</v>
          </cell>
          <cell r="E3033" t="str">
            <v>P-262</v>
          </cell>
        </row>
        <row r="3034">
          <cell r="B3034" t="str">
            <v>B272-400-AS-140-HB-071</v>
          </cell>
          <cell r="E3034" t="str">
            <v>P-708(1/2)</v>
          </cell>
        </row>
        <row r="3035">
          <cell r="B3035" t="str">
            <v>B272-400-AS-140-HB-071</v>
          </cell>
          <cell r="E3035" t="str">
            <v>P-708(2/2)</v>
          </cell>
        </row>
        <row r="3036">
          <cell r="B3036" t="str">
            <v>B272-400-AS-140-HB-071</v>
          </cell>
          <cell r="E3036" t="str">
            <v>P-712(1/2)</v>
          </cell>
        </row>
        <row r="3037">
          <cell r="B3037" t="str">
            <v>B272-400-AS-140-HB-071</v>
          </cell>
          <cell r="E3037" t="str">
            <v>P-712(2/2)</v>
          </cell>
        </row>
        <row r="3038">
          <cell r="B3038" t="str">
            <v>B272-400-AS-140-HB-071</v>
          </cell>
          <cell r="E3038" t="str">
            <v>B1235</v>
          </cell>
        </row>
        <row r="3039">
          <cell r="B3039" t="str">
            <v>B272-400-AS-140-HB-071</v>
          </cell>
          <cell r="E3039" t="str">
            <v>B1240</v>
          </cell>
        </row>
        <row r="3040">
          <cell r="B3040" t="str">
            <v>B272-400-AS-140-HB-072</v>
          </cell>
        </row>
        <row r="3041">
          <cell r="B3041" t="str">
            <v>B272-400-AS-140-HB-072</v>
          </cell>
          <cell r="E3041" t="str">
            <v>P-243</v>
          </cell>
        </row>
        <row r="3042">
          <cell r="B3042" t="str">
            <v>B272-400-AS-140-HB-072</v>
          </cell>
          <cell r="E3042" t="str">
            <v>P-261(1/2)</v>
          </cell>
        </row>
        <row r="3043">
          <cell r="B3043" t="str">
            <v>B272-400-AS-140-HB-072</v>
          </cell>
          <cell r="E3043" t="str">
            <v>P-261(2/2)</v>
          </cell>
        </row>
        <row r="3044">
          <cell r="B3044" t="str">
            <v>B272-400-AS-140-HB-072</v>
          </cell>
          <cell r="E3044" t="str">
            <v>P-264</v>
          </cell>
        </row>
        <row r="3045">
          <cell r="B3045" t="str">
            <v>B272-400-AS-140-HB-072</v>
          </cell>
          <cell r="E3045" t="str">
            <v>P-265</v>
          </cell>
        </row>
        <row r="3046">
          <cell r="B3046" t="str">
            <v>B272-400-AS-140-HB-072</v>
          </cell>
          <cell r="E3046" t="str">
            <v>P-708(1/2)</v>
          </cell>
        </row>
        <row r="3047">
          <cell r="B3047" t="str">
            <v>B272-400-AS-140-HB-072</v>
          </cell>
          <cell r="E3047" t="str">
            <v>P-708(2/2)</v>
          </cell>
        </row>
        <row r="3048">
          <cell r="B3048" t="str">
            <v>B272-400-AS-140-HB-072</v>
          </cell>
          <cell r="E3048" t="str">
            <v>P-714(1/2)</v>
          </cell>
        </row>
        <row r="3049">
          <cell r="B3049" t="str">
            <v>B272-400-AS-140-HB-072</v>
          </cell>
          <cell r="E3049" t="str">
            <v>P-714(2/2)</v>
          </cell>
        </row>
        <row r="3050">
          <cell r="B3050" t="str">
            <v>B272-400-AS-140-HB-072</v>
          </cell>
          <cell r="E3050" t="str">
            <v>B1240</v>
          </cell>
        </row>
        <row r="3051">
          <cell r="B3051" t="str">
            <v>B272-400-AS-140-HB-073</v>
          </cell>
        </row>
        <row r="3052">
          <cell r="B3052" t="str">
            <v>B272-400-AS-140-HB-073</v>
          </cell>
          <cell r="E3052" t="str">
            <v>P-243</v>
          </cell>
        </row>
        <row r="3053">
          <cell r="B3053" t="str">
            <v>B272-400-AS-140-HB-073</v>
          </cell>
          <cell r="E3053" t="str">
            <v>P-261(1/2)</v>
          </cell>
        </row>
        <row r="3054">
          <cell r="B3054" t="str">
            <v>B272-400-AS-140-HB-073</v>
          </cell>
          <cell r="E3054" t="str">
            <v>P-261(2/2)</v>
          </cell>
        </row>
        <row r="3055">
          <cell r="B3055" t="str">
            <v>B272-400-AS-140-HB-073</v>
          </cell>
          <cell r="E3055" t="str">
            <v>P-264</v>
          </cell>
        </row>
        <row r="3056">
          <cell r="B3056" t="str">
            <v>B272-400-AS-140-HB-073</v>
          </cell>
          <cell r="E3056" t="str">
            <v>P-265</v>
          </cell>
        </row>
        <row r="3057">
          <cell r="B3057" t="str">
            <v>B272-400-AS-140-HB-073</v>
          </cell>
          <cell r="E3057" t="str">
            <v>P-708(1/2)</v>
          </cell>
        </row>
        <row r="3058">
          <cell r="B3058" t="str">
            <v>B272-400-AS-140-HB-073</v>
          </cell>
          <cell r="E3058" t="str">
            <v>P-708(2/2)</v>
          </cell>
        </row>
        <row r="3059">
          <cell r="B3059" t="str">
            <v>B272-400-AS-140-HB-073</v>
          </cell>
          <cell r="E3059" t="str">
            <v>P-714(1/2)</v>
          </cell>
        </row>
        <row r="3060">
          <cell r="B3060" t="str">
            <v>B272-400-AS-140-HB-073</v>
          </cell>
          <cell r="E3060" t="str">
            <v>P-714(2/2)</v>
          </cell>
        </row>
        <row r="3061">
          <cell r="B3061" t="str">
            <v>B272-400-AS-140-HB-073</v>
          </cell>
          <cell r="E3061" t="str">
            <v>B1240</v>
          </cell>
        </row>
        <row r="3062">
          <cell r="B3062" t="str">
            <v>B272-400-AS-140-HB-074</v>
          </cell>
        </row>
        <row r="3063">
          <cell r="B3063" t="str">
            <v>B272-400-AS-140-HB-074</v>
          </cell>
          <cell r="E3063" t="str">
            <v>P-244</v>
          </cell>
        </row>
        <row r="3064">
          <cell r="B3064" t="str">
            <v>B272-400-AS-140-HB-074</v>
          </cell>
          <cell r="E3064" t="str">
            <v>P-248(1/2)</v>
          </cell>
        </row>
        <row r="3065">
          <cell r="B3065" t="str">
            <v>B272-400-AS-140-HB-074</v>
          </cell>
          <cell r="E3065" t="str">
            <v>P-248(2/2)</v>
          </cell>
        </row>
        <row r="3066">
          <cell r="B3066" t="str">
            <v>B272-400-AS-140-HB-074</v>
          </cell>
          <cell r="E3066" t="str">
            <v>P-268</v>
          </cell>
        </row>
        <row r="3067">
          <cell r="B3067" t="str">
            <v>B272-400-AS-140-HB-074</v>
          </cell>
          <cell r="E3067" t="str">
            <v>P-269</v>
          </cell>
        </row>
        <row r="3068">
          <cell r="B3068" t="str">
            <v>B272-400-AS-140-HB-074</v>
          </cell>
          <cell r="E3068" t="str">
            <v>P-708(1/2)</v>
          </cell>
        </row>
        <row r="3069">
          <cell r="B3069" t="str">
            <v>B272-400-AS-140-HB-074</v>
          </cell>
          <cell r="E3069" t="str">
            <v>P-708(2/2)</v>
          </cell>
        </row>
        <row r="3070">
          <cell r="B3070" t="str">
            <v>B272-400-AS-140-HB-074</v>
          </cell>
          <cell r="E3070" t="str">
            <v>P-717(1/2)</v>
          </cell>
        </row>
        <row r="3071">
          <cell r="B3071" t="str">
            <v>B272-400-AS-140-HB-074</v>
          </cell>
          <cell r="E3071" t="str">
            <v>P-717(2/2)</v>
          </cell>
        </row>
        <row r="3072">
          <cell r="B3072" t="str">
            <v>B272-400-AS-140-HB-074</v>
          </cell>
          <cell r="E3072" t="str">
            <v>B1235</v>
          </cell>
        </row>
        <row r="3073">
          <cell r="B3073" t="str">
            <v>B272-400-AS-140-HB-074</v>
          </cell>
          <cell r="E3073" t="str">
            <v>B1240</v>
          </cell>
        </row>
        <row r="3074">
          <cell r="B3074" t="str">
            <v>B272-400-AS-140-HB-075</v>
          </cell>
        </row>
        <row r="3075">
          <cell r="B3075" t="str">
            <v>B272-400-AS-140-HB-075</v>
          </cell>
          <cell r="E3075" t="str">
            <v>P-244</v>
          </cell>
        </row>
        <row r="3076">
          <cell r="B3076" t="str">
            <v>B272-400-AS-140-HB-075</v>
          </cell>
          <cell r="E3076" t="str">
            <v>P-248(1/2)</v>
          </cell>
        </row>
        <row r="3077">
          <cell r="B3077" t="str">
            <v>B272-400-AS-140-HB-075</v>
          </cell>
          <cell r="E3077" t="str">
            <v>P-248(2/2)</v>
          </cell>
        </row>
        <row r="3078">
          <cell r="B3078" t="str">
            <v>B272-400-AS-140-HB-075</v>
          </cell>
          <cell r="E3078" t="str">
            <v>P-268</v>
          </cell>
        </row>
        <row r="3079">
          <cell r="B3079" t="str">
            <v>B272-400-AS-140-HB-075</v>
          </cell>
          <cell r="E3079" t="str">
            <v>P-269</v>
          </cell>
        </row>
        <row r="3080">
          <cell r="B3080" t="str">
            <v>B272-400-AS-140-HB-075</v>
          </cell>
          <cell r="E3080" t="str">
            <v>P-708(1/2)</v>
          </cell>
        </row>
        <row r="3081">
          <cell r="B3081" t="str">
            <v>B272-400-AS-140-HB-075</v>
          </cell>
          <cell r="E3081" t="str">
            <v>P-708(2/2)</v>
          </cell>
        </row>
        <row r="3082">
          <cell r="B3082" t="str">
            <v>B272-400-AS-140-HB-075</v>
          </cell>
          <cell r="E3082" t="str">
            <v>P-717(1/2)</v>
          </cell>
        </row>
        <row r="3083">
          <cell r="B3083" t="str">
            <v>B272-400-AS-140-HB-075</v>
          </cell>
          <cell r="E3083" t="str">
            <v>P-717(2/2)</v>
          </cell>
        </row>
        <row r="3084">
          <cell r="B3084" t="str">
            <v>B272-400-AS-140-HB-075</v>
          </cell>
          <cell r="E3084" t="str">
            <v>B1235</v>
          </cell>
        </row>
        <row r="3085">
          <cell r="B3085" t="str">
            <v>B272-400-AS-140-HB-075</v>
          </cell>
          <cell r="E3085" t="str">
            <v>B1240</v>
          </cell>
        </row>
        <row r="3086">
          <cell r="B3086" t="str">
            <v>B272-400-AS-140-HB-076</v>
          </cell>
        </row>
        <row r="3087">
          <cell r="B3087" t="str">
            <v>B272-400-AS-140-HB-076</v>
          </cell>
          <cell r="E3087" t="str">
            <v>P-251</v>
          </cell>
        </row>
        <row r="3088">
          <cell r="B3088" t="str">
            <v>B272-400-AS-140-HB-076</v>
          </cell>
          <cell r="E3088" t="str">
            <v>P-256(1/2)</v>
          </cell>
        </row>
        <row r="3089">
          <cell r="B3089" t="str">
            <v>B272-400-AS-140-HB-076</v>
          </cell>
          <cell r="E3089" t="str">
            <v>P-256(2/2)</v>
          </cell>
        </row>
        <row r="3090">
          <cell r="B3090" t="str">
            <v>B272-400-AS-140-HB-076</v>
          </cell>
          <cell r="E3090" t="str">
            <v>P-263</v>
          </cell>
        </row>
        <row r="3091">
          <cell r="B3091" t="str">
            <v>B272-400-AS-140-HB-076</v>
          </cell>
          <cell r="E3091" t="str">
            <v>P-264</v>
          </cell>
        </row>
        <row r="3092">
          <cell r="B3092" t="str">
            <v>B272-400-AS-140-HB-076</v>
          </cell>
          <cell r="E3092" t="str">
            <v>P-708(1/2)</v>
          </cell>
        </row>
        <row r="3093">
          <cell r="B3093" t="str">
            <v>B272-400-AS-140-HB-076</v>
          </cell>
          <cell r="E3093" t="str">
            <v>P-708(2/2)</v>
          </cell>
        </row>
        <row r="3094">
          <cell r="B3094" t="str">
            <v>B272-400-AS-140-HB-076</v>
          </cell>
          <cell r="E3094" t="str">
            <v>P-715(1/2)</v>
          </cell>
        </row>
        <row r="3095">
          <cell r="B3095" t="str">
            <v>B272-400-AS-140-HB-076</v>
          </cell>
          <cell r="E3095" t="str">
            <v>P-715(2/2)</v>
          </cell>
        </row>
        <row r="3096">
          <cell r="B3096" t="str">
            <v>B272-400-AS-140-HB-076</v>
          </cell>
          <cell r="E3096" t="str">
            <v>B1240</v>
          </cell>
        </row>
        <row r="3097">
          <cell r="B3097" t="str">
            <v>B272-400-AS-140-HB-077</v>
          </cell>
        </row>
        <row r="3098">
          <cell r="B3098" t="str">
            <v>B272-400-AS-140-HB-077</v>
          </cell>
          <cell r="E3098" t="str">
            <v>P-251</v>
          </cell>
        </row>
        <row r="3099">
          <cell r="B3099" t="str">
            <v>B272-400-AS-140-HB-077</v>
          </cell>
          <cell r="E3099" t="str">
            <v>P-256(1/2)</v>
          </cell>
        </row>
        <row r="3100">
          <cell r="B3100" t="str">
            <v>B272-400-AS-140-HB-077</v>
          </cell>
          <cell r="E3100" t="str">
            <v>P-256(2/2)</v>
          </cell>
        </row>
        <row r="3101">
          <cell r="B3101" t="str">
            <v>B272-400-AS-140-HB-077</v>
          </cell>
          <cell r="E3101" t="str">
            <v>P-263</v>
          </cell>
        </row>
        <row r="3102">
          <cell r="B3102" t="str">
            <v>B272-400-AS-140-HB-077</v>
          </cell>
          <cell r="E3102" t="str">
            <v>P-264</v>
          </cell>
        </row>
        <row r="3103">
          <cell r="B3103" t="str">
            <v>B272-400-AS-140-HB-077</v>
          </cell>
          <cell r="E3103" t="str">
            <v>P-708(1/2)</v>
          </cell>
        </row>
        <row r="3104">
          <cell r="B3104" t="str">
            <v>B272-400-AS-140-HB-077</v>
          </cell>
          <cell r="E3104" t="str">
            <v>P-708(2/2)</v>
          </cell>
        </row>
        <row r="3105">
          <cell r="B3105" t="str">
            <v>B272-400-AS-140-HB-077</v>
          </cell>
          <cell r="E3105" t="str">
            <v>P-715(1/2)</v>
          </cell>
        </row>
        <row r="3106">
          <cell r="B3106" t="str">
            <v>B272-400-AS-140-HB-077</v>
          </cell>
          <cell r="E3106" t="str">
            <v>P-715(2/2)</v>
          </cell>
        </row>
        <row r="3107">
          <cell r="B3107" t="str">
            <v>B272-400-AS-140-HB-077</v>
          </cell>
          <cell r="E3107" t="str">
            <v>B1240</v>
          </cell>
        </row>
        <row r="3108">
          <cell r="B3108" t="str">
            <v>B272-400-AS-140-HB-078</v>
          </cell>
        </row>
        <row r="3109">
          <cell r="B3109" t="str">
            <v>B272-400-AS-140-HB-078</v>
          </cell>
          <cell r="E3109" t="str">
            <v>P-72</v>
          </cell>
        </row>
        <row r="3110">
          <cell r="B3110" t="str">
            <v>B272-400-AS-140-HB-078</v>
          </cell>
          <cell r="E3110" t="str">
            <v>P-94</v>
          </cell>
        </row>
        <row r="3111">
          <cell r="B3111" t="str">
            <v>B272-400-AS-140-HB-078</v>
          </cell>
          <cell r="E3111" t="str">
            <v>P-552(1/2)</v>
          </cell>
        </row>
        <row r="3112">
          <cell r="B3112" t="str">
            <v>B272-400-AS-140-HB-078</v>
          </cell>
          <cell r="E3112" t="str">
            <v>P-552(2/2)</v>
          </cell>
        </row>
        <row r="3113">
          <cell r="B3113" t="str">
            <v>B272-400-AS-140-HB-078</v>
          </cell>
          <cell r="E3113" t="str">
            <v>P-678</v>
          </cell>
        </row>
        <row r="3114">
          <cell r="B3114" t="str">
            <v>B272-400-AS-140-HB-078</v>
          </cell>
          <cell r="E3114" t="str">
            <v>P-679</v>
          </cell>
        </row>
        <row r="3115">
          <cell r="B3115" t="str">
            <v>B272-400-AS-140-HB-078</v>
          </cell>
          <cell r="E3115" t="str">
            <v>P-680(1/2)</v>
          </cell>
        </row>
        <row r="3116">
          <cell r="B3116" t="str">
            <v>B272-400-AS-140-HB-078</v>
          </cell>
          <cell r="E3116" t="str">
            <v>P-680(2/2)</v>
          </cell>
        </row>
        <row r="3117">
          <cell r="B3117" t="str">
            <v>B272-400-AS-140-HB-078</v>
          </cell>
          <cell r="E3117" t="str">
            <v>B1240</v>
          </cell>
        </row>
        <row r="3118">
          <cell r="B3118" t="str">
            <v>B272-400-AS-140-HB-079</v>
          </cell>
        </row>
        <row r="3119">
          <cell r="B3119" t="str">
            <v>B272-400-AS-140-HB-079</v>
          </cell>
          <cell r="E3119" t="str">
            <v>P-82</v>
          </cell>
        </row>
        <row r="3120">
          <cell r="B3120" t="str">
            <v>B272-400-AS-140-HB-079</v>
          </cell>
          <cell r="E3120" t="str">
            <v>P-89</v>
          </cell>
        </row>
        <row r="3121">
          <cell r="B3121" t="str">
            <v>B272-400-AS-140-HB-079</v>
          </cell>
          <cell r="E3121" t="str">
            <v>P-92</v>
          </cell>
        </row>
        <row r="3122">
          <cell r="B3122" t="str">
            <v>B272-400-AS-140-HB-079</v>
          </cell>
          <cell r="E3122" t="str">
            <v>P-653</v>
          </cell>
        </row>
        <row r="3123">
          <cell r="B3123" t="str">
            <v>B272-400-AS-140-HB-079</v>
          </cell>
          <cell r="E3123" t="str">
            <v>P-655</v>
          </cell>
        </row>
        <row r="3124">
          <cell r="B3124" t="str">
            <v>B272-400-AS-140-HB-079</v>
          </cell>
          <cell r="E3124" t="str">
            <v>P-656</v>
          </cell>
        </row>
        <row r="3125">
          <cell r="B3125" t="str">
            <v>B272-400-AS-140-HB-079</v>
          </cell>
          <cell r="E3125" t="str">
            <v>P-657</v>
          </cell>
        </row>
        <row r="3126">
          <cell r="B3126" t="str">
            <v>B272-400-AS-140-HB-079</v>
          </cell>
          <cell r="E3126" t="str">
            <v>RX-2(1/2)</v>
          </cell>
        </row>
        <row r="3127">
          <cell r="B3127" t="str">
            <v>B272-400-AS-140-HB-079</v>
          </cell>
          <cell r="E3127" t="str">
            <v>RX-2(2/2)</v>
          </cell>
        </row>
        <row r="3128">
          <cell r="B3128" t="str">
            <v>B272-400-AS-140-HB-079</v>
          </cell>
          <cell r="E3128" t="str">
            <v>B1240</v>
          </cell>
        </row>
        <row r="3129">
          <cell r="B3129" t="str">
            <v>B272-400-AS-140-HB-080</v>
          </cell>
        </row>
        <row r="3130">
          <cell r="B3130" t="str">
            <v>B272-400-AS-140-HB-080</v>
          </cell>
          <cell r="E3130" t="str">
            <v>P-82</v>
          </cell>
        </row>
        <row r="3131">
          <cell r="B3131" t="str">
            <v>B272-400-AS-140-HB-080</v>
          </cell>
          <cell r="E3131" t="str">
            <v>P-89</v>
          </cell>
        </row>
        <row r="3132">
          <cell r="B3132" t="str">
            <v>B272-400-AS-140-HB-080</v>
          </cell>
          <cell r="E3132" t="str">
            <v>P-92</v>
          </cell>
        </row>
        <row r="3133">
          <cell r="B3133" t="str">
            <v>B272-400-AS-140-HB-080</v>
          </cell>
          <cell r="E3133" t="str">
            <v>P-653</v>
          </cell>
        </row>
        <row r="3134">
          <cell r="B3134" t="str">
            <v>B272-400-AS-140-HB-080</v>
          </cell>
          <cell r="E3134" t="str">
            <v>P-655</v>
          </cell>
        </row>
        <row r="3135">
          <cell r="B3135" t="str">
            <v>B272-400-AS-140-HB-080</v>
          </cell>
          <cell r="E3135" t="str">
            <v>P-658</v>
          </cell>
        </row>
        <row r="3136">
          <cell r="B3136" t="str">
            <v>B272-400-AS-140-HB-080</v>
          </cell>
          <cell r="E3136" t="str">
            <v>P-659</v>
          </cell>
        </row>
        <row r="3137">
          <cell r="B3137" t="str">
            <v>B272-400-AS-140-HB-080</v>
          </cell>
          <cell r="E3137" t="str">
            <v>RX-2(1/2)</v>
          </cell>
        </row>
        <row r="3138">
          <cell r="B3138" t="str">
            <v>B272-400-AS-140-HB-080</v>
          </cell>
          <cell r="E3138" t="str">
            <v>RX-2(2/2)</v>
          </cell>
        </row>
        <row r="3139">
          <cell r="B3139" t="str">
            <v>B272-400-AS-140-HB-080</v>
          </cell>
          <cell r="E3139" t="str">
            <v>B1240</v>
          </cell>
        </row>
        <row r="3140">
          <cell r="B3140" t="str">
            <v>B272-400-AS-190-BR-001</v>
          </cell>
        </row>
        <row r="3141">
          <cell r="B3141" t="str">
            <v>B272-400-AS-190-BR-001</v>
          </cell>
          <cell r="E3141" t="str">
            <v>AY-1(1/4)</v>
          </cell>
        </row>
        <row r="3142">
          <cell r="B3142" t="str">
            <v>B272-400-AS-190-BR-001</v>
          </cell>
          <cell r="E3142" t="str">
            <v>AY-1(2/4)</v>
          </cell>
        </row>
        <row r="3143">
          <cell r="B3143" t="str">
            <v>B272-400-AS-190-BR-001</v>
          </cell>
          <cell r="E3143" t="str">
            <v>AY-1(3/4)</v>
          </cell>
        </row>
        <row r="3144">
          <cell r="B3144" t="str">
            <v>B272-400-AS-190-BR-001</v>
          </cell>
          <cell r="E3144" t="str">
            <v>AY-1(4/4)</v>
          </cell>
        </row>
        <row r="3145">
          <cell r="B3145" t="str">
            <v>B272-400-AS-190-BR-001</v>
          </cell>
          <cell r="E3145" t="str">
            <v>C-42(1/2)</v>
          </cell>
        </row>
        <row r="3146">
          <cell r="B3146" t="str">
            <v>B272-400-AS-190-BR-001</v>
          </cell>
          <cell r="E3146" t="str">
            <v>C-42(2/2)</v>
          </cell>
        </row>
        <row r="3147">
          <cell r="B3147" t="str">
            <v>B272-400-AS-190-BR-001</v>
          </cell>
          <cell r="E3147" t="str">
            <v>C-47(1/2)</v>
          </cell>
        </row>
        <row r="3148">
          <cell r="B3148" t="str">
            <v>B272-400-AS-190-BR-001</v>
          </cell>
          <cell r="E3148" t="str">
            <v>C-47(2/2)</v>
          </cell>
        </row>
        <row r="3149">
          <cell r="B3149" t="str">
            <v>B272-400-AS-190-BR-001</v>
          </cell>
          <cell r="E3149" t="str">
            <v>CY-88(1/2)</v>
          </cell>
        </row>
        <row r="3150">
          <cell r="B3150" t="str">
            <v>B272-400-AS-190-BR-001</v>
          </cell>
          <cell r="E3150" t="str">
            <v>CY-88(2/2)</v>
          </cell>
        </row>
        <row r="3151">
          <cell r="B3151" t="str">
            <v>B272-400-AS-190-BR-001</v>
          </cell>
          <cell r="E3151" t="str">
            <v>CY-89(1/2)</v>
          </cell>
        </row>
        <row r="3152">
          <cell r="B3152" t="str">
            <v>B272-400-AS-190-BR-001</v>
          </cell>
          <cell r="E3152" t="str">
            <v>CY-89(2/2)</v>
          </cell>
        </row>
        <row r="3153">
          <cell r="B3153" t="str">
            <v>B272-400-AS-190-BR-001</v>
          </cell>
          <cell r="E3153" t="str">
            <v>CY-90(1/2)</v>
          </cell>
        </row>
        <row r="3154">
          <cell r="B3154" t="str">
            <v>B272-400-AS-190-BR-001</v>
          </cell>
          <cell r="E3154" t="str">
            <v>CY-90(2/2)</v>
          </cell>
        </row>
        <row r="3155">
          <cell r="B3155" t="str">
            <v>B272-400-AS-190-BR-001</v>
          </cell>
          <cell r="E3155" t="str">
            <v>CY-91(1/2)</v>
          </cell>
        </row>
        <row r="3156">
          <cell r="B3156" t="str">
            <v>B272-400-AS-190-BR-001</v>
          </cell>
          <cell r="E3156" t="str">
            <v>CY-91(2/2)</v>
          </cell>
        </row>
        <row r="3157">
          <cell r="B3157" t="str">
            <v>B272-400-AS-190-BR-001</v>
          </cell>
          <cell r="E3157" t="str">
            <v>D-63</v>
          </cell>
        </row>
        <row r="3158">
          <cell r="B3158" t="str">
            <v>B272-400-AS-190-BR-001</v>
          </cell>
          <cell r="E3158" t="str">
            <v>D-90</v>
          </cell>
        </row>
        <row r="3159">
          <cell r="B3159" t="str">
            <v>B272-400-AS-190-BR-001</v>
          </cell>
          <cell r="E3159" t="str">
            <v>F-1</v>
          </cell>
        </row>
        <row r="3160">
          <cell r="B3160" t="str">
            <v>B272-400-AS-190-BR-001</v>
          </cell>
          <cell r="E3160" t="str">
            <v>F-2</v>
          </cell>
        </row>
        <row r="3161">
          <cell r="B3161" t="str">
            <v>B272-400-AS-190-BR-001</v>
          </cell>
          <cell r="E3161" t="str">
            <v>G-7(1/4)</v>
          </cell>
        </row>
        <row r="3162">
          <cell r="B3162" t="str">
            <v>B272-400-AS-190-BR-001</v>
          </cell>
          <cell r="E3162" t="str">
            <v>G-7(2/4)</v>
          </cell>
        </row>
        <row r="3163">
          <cell r="B3163" t="str">
            <v>B272-400-AS-190-BR-001</v>
          </cell>
          <cell r="E3163" t="str">
            <v>G-7(3/4)</v>
          </cell>
        </row>
        <row r="3164">
          <cell r="B3164" t="str">
            <v>B272-400-AS-190-BR-001</v>
          </cell>
          <cell r="E3164" t="str">
            <v>G-7(4/4)</v>
          </cell>
        </row>
        <row r="3165">
          <cell r="B3165" t="str">
            <v>B272-400-AS-190-BR-001</v>
          </cell>
          <cell r="E3165" t="str">
            <v>HY-34(1/4)</v>
          </cell>
        </row>
        <row r="3166">
          <cell r="B3166" t="str">
            <v>B272-400-AS-190-BR-001</v>
          </cell>
          <cell r="E3166" t="str">
            <v>HY-34(2/4)</v>
          </cell>
        </row>
        <row r="3167">
          <cell r="B3167" t="str">
            <v>B272-400-AS-190-BR-001</v>
          </cell>
          <cell r="E3167" t="str">
            <v>HY-34(3/4)</v>
          </cell>
        </row>
        <row r="3168">
          <cell r="B3168" t="str">
            <v>B272-400-AS-190-BR-001</v>
          </cell>
          <cell r="E3168" t="str">
            <v>HY-34(4/4)</v>
          </cell>
        </row>
        <row r="3169">
          <cell r="B3169" t="str">
            <v>B272-400-AS-190-BR-001</v>
          </cell>
          <cell r="E3169" t="str">
            <v>N-6</v>
          </cell>
        </row>
        <row r="3170">
          <cell r="B3170" t="str">
            <v>B272-400-AS-190-BR-001</v>
          </cell>
          <cell r="E3170" t="str">
            <v>P-44</v>
          </cell>
        </row>
        <row r="3171">
          <cell r="B3171" t="str">
            <v>B272-400-AS-190-BR-001</v>
          </cell>
          <cell r="E3171" t="str">
            <v>P-45</v>
          </cell>
        </row>
        <row r="3172">
          <cell r="B3172" t="str">
            <v>B272-400-AS-190-BR-001</v>
          </cell>
          <cell r="E3172" t="str">
            <v>P-46(1/2)</v>
          </cell>
        </row>
        <row r="3173">
          <cell r="B3173" t="str">
            <v>B272-400-AS-190-BR-001</v>
          </cell>
          <cell r="E3173" t="str">
            <v>P-46(2/2)</v>
          </cell>
        </row>
        <row r="3174">
          <cell r="B3174" t="str">
            <v>B272-400-AS-190-BR-001</v>
          </cell>
          <cell r="E3174" t="str">
            <v>P-216(1/4)</v>
          </cell>
        </row>
        <row r="3175">
          <cell r="B3175" t="str">
            <v>B272-400-AS-190-BR-001</v>
          </cell>
          <cell r="E3175" t="str">
            <v>P-216(2/4)</v>
          </cell>
        </row>
        <row r="3176">
          <cell r="B3176" t="str">
            <v>B272-400-AS-190-BR-001</v>
          </cell>
          <cell r="E3176" t="str">
            <v>P-216(3/4)</v>
          </cell>
        </row>
        <row r="3177">
          <cell r="B3177" t="str">
            <v>B272-400-AS-190-BR-001</v>
          </cell>
          <cell r="E3177" t="str">
            <v>P-216(4/4)</v>
          </cell>
        </row>
        <row r="3178">
          <cell r="B3178" t="str">
            <v>B272-400-AS-190-BR-001</v>
          </cell>
          <cell r="E3178" t="str">
            <v>P-217(1/2)</v>
          </cell>
        </row>
        <row r="3179">
          <cell r="B3179" t="str">
            <v>B272-400-AS-190-BR-001</v>
          </cell>
          <cell r="E3179" t="str">
            <v>P-217(2/2)</v>
          </cell>
        </row>
        <row r="3180">
          <cell r="B3180" t="str">
            <v>B272-400-AS-190-BR-001</v>
          </cell>
          <cell r="E3180" t="str">
            <v>P-218(1/2)</v>
          </cell>
        </row>
        <row r="3181">
          <cell r="B3181" t="str">
            <v>B272-400-AS-190-BR-001</v>
          </cell>
          <cell r="E3181" t="str">
            <v>P-218(2/2)</v>
          </cell>
        </row>
        <row r="3182">
          <cell r="B3182" t="str">
            <v>B272-400-AS-190-BR-001</v>
          </cell>
          <cell r="E3182" t="str">
            <v>P-219(1/2)</v>
          </cell>
        </row>
        <row r="3183">
          <cell r="B3183" t="str">
            <v>B272-400-AS-190-BR-001</v>
          </cell>
          <cell r="E3183" t="str">
            <v>P-219(2/2)</v>
          </cell>
        </row>
        <row r="3184">
          <cell r="B3184" t="str">
            <v>B272-400-AS-190-BR-001</v>
          </cell>
          <cell r="E3184" t="str">
            <v>P-220(1/2)</v>
          </cell>
        </row>
        <row r="3185">
          <cell r="B3185" t="str">
            <v>B272-400-AS-190-BR-001</v>
          </cell>
          <cell r="E3185" t="str">
            <v>P-220(2/2)</v>
          </cell>
        </row>
        <row r="3186">
          <cell r="B3186" t="str">
            <v>B272-400-AS-190-BR-001</v>
          </cell>
          <cell r="E3186" t="str">
            <v>P-221</v>
          </cell>
        </row>
        <row r="3187">
          <cell r="B3187" t="str">
            <v>B272-400-AS-190-BR-001</v>
          </cell>
          <cell r="E3187" t="str">
            <v>P-222</v>
          </cell>
        </row>
        <row r="3188">
          <cell r="B3188" t="str">
            <v>B272-400-AS-190-BR-001</v>
          </cell>
          <cell r="E3188" t="str">
            <v>P-376(1/4)</v>
          </cell>
        </row>
        <row r="3189">
          <cell r="B3189" t="str">
            <v>B272-400-AS-190-BR-001</v>
          </cell>
          <cell r="E3189" t="str">
            <v>P-376(2/4)</v>
          </cell>
        </row>
        <row r="3190">
          <cell r="B3190" t="str">
            <v>B272-400-AS-190-BR-001</v>
          </cell>
          <cell r="E3190" t="str">
            <v>P-376(3/4)</v>
          </cell>
        </row>
        <row r="3191">
          <cell r="B3191" t="str">
            <v>B272-400-AS-190-BR-001</v>
          </cell>
          <cell r="E3191" t="str">
            <v>P-376(4/4)</v>
          </cell>
        </row>
        <row r="3192">
          <cell r="B3192" t="str">
            <v>B272-400-AS-190-BR-001</v>
          </cell>
          <cell r="E3192" t="str">
            <v>P-377(1/8)</v>
          </cell>
        </row>
        <row r="3193">
          <cell r="B3193" t="str">
            <v>B272-400-AS-190-BR-001</v>
          </cell>
          <cell r="E3193" t="str">
            <v>P-377(2/8)</v>
          </cell>
        </row>
        <row r="3194">
          <cell r="B3194" t="str">
            <v>B272-400-AS-190-BR-001</v>
          </cell>
          <cell r="E3194" t="str">
            <v>P-377(3/8)</v>
          </cell>
        </row>
        <row r="3195">
          <cell r="B3195" t="str">
            <v>B272-400-AS-190-BR-001</v>
          </cell>
          <cell r="E3195" t="str">
            <v>P-377(4/8)</v>
          </cell>
        </row>
        <row r="3196">
          <cell r="B3196" t="str">
            <v>B272-400-AS-190-BR-001</v>
          </cell>
          <cell r="E3196" t="str">
            <v>P-377(5/8)</v>
          </cell>
        </row>
        <row r="3197">
          <cell r="B3197" t="str">
            <v>B272-400-AS-190-BR-001</v>
          </cell>
          <cell r="E3197" t="str">
            <v>P-377(6/8)</v>
          </cell>
        </row>
        <row r="3198">
          <cell r="B3198" t="str">
            <v>B272-400-AS-190-BR-001</v>
          </cell>
          <cell r="E3198" t="str">
            <v>P-377(7/8)</v>
          </cell>
        </row>
        <row r="3199">
          <cell r="B3199" t="str">
            <v>B272-400-AS-190-BR-001</v>
          </cell>
          <cell r="E3199" t="str">
            <v>P-377(8/8)</v>
          </cell>
        </row>
        <row r="3200">
          <cell r="B3200" t="str">
            <v>B272-400-AS-190-BR-001</v>
          </cell>
          <cell r="E3200" t="str">
            <v>P-393(1/2)</v>
          </cell>
        </row>
        <row r="3201">
          <cell r="B3201" t="str">
            <v>B272-400-AS-190-BR-001</v>
          </cell>
          <cell r="E3201" t="str">
            <v>P-393(2/2)</v>
          </cell>
        </row>
        <row r="3202">
          <cell r="B3202" t="str">
            <v>B272-400-AS-190-BR-001</v>
          </cell>
          <cell r="E3202" t="str">
            <v>P-448</v>
          </cell>
        </row>
        <row r="3203">
          <cell r="B3203" t="str">
            <v>B272-400-AS-190-BR-001</v>
          </cell>
          <cell r="E3203" t="str">
            <v>P-470(1/2)</v>
          </cell>
        </row>
        <row r="3204">
          <cell r="B3204" t="str">
            <v>B272-400-AS-190-BR-001</v>
          </cell>
          <cell r="E3204" t="str">
            <v>P-470(2/2)</v>
          </cell>
        </row>
        <row r="3205">
          <cell r="B3205" t="str">
            <v>B272-400-AS-190-BR-001</v>
          </cell>
          <cell r="E3205" t="str">
            <v>P-494(1/6)</v>
          </cell>
        </row>
        <row r="3206">
          <cell r="B3206" t="str">
            <v>B272-400-AS-190-BR-001</v>
          </cell>
          <cell r="E3206" t="str">
            <v>P-494(2/6)</v>
          </cell>
        </row>
        <row r="3207">
          <cell r="B3207" t="str">
            <v>B272-400-AS-190-BR-001</v>
          </cell>
          <cell r="E3207" t="str">
            <v>P-494(3/6)</v>
          </cell>
        </row>
        <row r="3208">
          <cell r="B3208" t="str">
            <v>B272-400-AS-190-BR-001</v>
          </cell>
          <cell r="E3208" t="str">
            <v>P-494(4/6)</v>
          </cell>
        </row>
        <row r="3209">
          <cell r="B3209" t="str">
            <v>B272-400-AS-190-BR-001</v>
          </cell>
          <cell r="E3209" t="str">
            <v>P-494(5/6)</v>
          </cell>
        </row>
        <row r="3210">
          <cell r="B3210" t="str">
            <v>B272-400-AS-190-BR-001</v>
          </cell>
          <cell r="E3210" t="str">
            <v>P-494(6/6)</v>
          </cell>
        </row>
        <row r="3211">
          <cell r="B3211" t="str">
            <v>B272-400-AS-190-BR-001</v>
          </cell>
          <cell r="E3211" t="str">
            <v>P-496(1/2)</v>
          </cell>
        </row>
        <row r="3212">
          <cell r="B3212" t="str">
            <v>B272-400-AS-190-BR-001</v>
          </cell>
          <cell r="E3212" t="str">
            <v>P-496(2/2)</v>
          </cell>
        </row>
        <row r="3213">
          <cell r="B3213" t="str">
            <v>B272-400-AS-190-BR-001</v>
          </cell>
          <cell r="E3213" t="str">
            <v>P-502</v>
          </cell>
        </row>
        <row r="3214">
          <cell r="B3214" t="str">
            <v>B272-400-AS-190-BR-001</v>
          </cell>
          <cell r="E3214" t="str">
            <v>P-509(1/2)</v>
          </cell>
        </row>
        <row r="3215">
          <cell r="B3215" t="str">
            <v>B272-400-AS-190-BR-001</v>
          </cell>
          <cell r="E3215" t="str">
            <v>P-509(2/2)</v>
          </cell>
        </row>
        <row r="3216">
          <cell r="B3216" t="str">
            <v>B272-400-AS-190-BR-001</v>
          </cell>
          <cell r="E3216" t="str">
            <v>P-511(1/4)</v>
          </cell>
        </row>
        <row r="3217">
          <cell r="B3217" t="str">
            <v>B272-400-AS-190-BR-001</v>
          </cell>
          <cell r="E3217" t="str">
            <v>P-511(2/4)</v>
          </cell>
        </row>
        <row r="3218">
          <cell r="B3218" t="str">
            <v>B272-400-AS-190-BR-001</v>
          </cell>
          <cell r="E3218" t="str">
            <v>P-511(3/4)</v>
          </cell>
        </row>
        <row r="3219">
          <cell r="B3219" t="str">
            <v>B272-400-AS-190-BR-001</v>
          </cell>
          <cell r="E3219" t="str">
            <v>P-511(4/4)</v>
          </cell>
        </row>
        <row r="3220">
          <cell r="B3220" t="str">
            <v>B272-400-AS-190-BR-001</v>
          </cell>
          <cell r="E3220" t="str">
            <v>P-613(1/4)</v>
          </cell>
        </row>
        <row r="3221">
          <cell r="B3221" t="str">
            <v>B272-400-AS-190-BR-001</v>
          </cell>
          <cell r="E3221" t="str">
            <v>P-613(2/4)</v>
          </cell>
        </row>
        <row r="3222">
          <cell r="B3222" t="str">
            <v>B272-400-AS-190-BR-001</v>
          </cell>
          <cell r="E3222" t="str">
            <v>P-613(3/4)</v>
          </cell>
        </row>
        <row r="3223">
          <cell r="B3223" t="str">
            <v>B272-400-AS-190-BR-001</v>
          </cell>
          <cell r="E3223" t="str">
            <v>P-613(4/4)</v>
          </cell>
        </row>
        <row r="3224">
          <cell r="B3224" t="str">
            <v>B272-400-AS-190-BR-001</v>
          </cell>
          <cell r="E3224" t="str">
            <v>P-616</v>
          </cell>
        </row>
        <row r="3225">
          <cell r="B3225" t="str">
            <v>B272-400-AS-190-BR-001</v>
          </cell>
          <cell r="E3225" t="str">
            <v>P-682(1/4)</v>
          </cell>
        </row>
        <row r="3226">
          <cell r="B3226" t="str">
            <v>B272-400-AS-190-BR-001</v>
          </cell>
          <cell r="E3226" t="str">
            <v>P-682(2/4)</v>
          </cell>
        </row>
        <row r="3227">
          <cell r="B3227" t="str">
            <v>B272-400-AS-190-BR-001</v>
          </cell>
          <cell r="E3227" t="str">
            <v>P-682(3/4)</v>
          </cell>
        </row>
        <row r="3228">
          <cell r="B3228" t="str">
            <v>B272-400-AS-190-BR-001</v>
          </cell>
          <cell r="E3228" t="str">
            <v>P-682(4/4)</v>
          </cell>
        </row>
        <row r="3229">
          <cell r="B3229" t="str">
            <v>B272-400-AS-190-BR-001</v>
          </cell>
          <cell r="E3229" t="str">
            <v>P-872(1/19)</v>
          </cell>
        </row>
        <row r="3230">
          <cell r="B3230" t="str">
            <v>B272-400-AS-190-BR-001</v>
          </cell>
          <cell r="E3230" t="str">
            <v>P-872(2/19)</v>
          </cell>
        </row>
        <row r="3231">
          <cell r="B3231" t="str">
            <v>B272-400-AS-190-BR-001</v>
          </cell>
          <cell r="E3231" t="str">
            <v>P-872(3/19)</v>
          </cell>
        </row>
        <row r="3232">
          <cell r="B3232" t="str">
            <v>B272-400-AS-190-BR-001</v>
          </cell>
          <cell r="E3232" t="str">
            <v>P-872(4/19)</v>
          </cell>
        </row>
        <row r="3233">
          <cell r="B3233" t="str">
            <v>B272-400-AS-190-BR-001</v>
          </cell>
          <cell r="E3233" t="str">
            <v>P-872(5/19)</v>
          </cell>
        </row>
        <row r="3234">
          <cell r="B3234" t="str">
            <v>B272-400-AS-190-BR-001</v>
          </cell>
          <cell r="E3234" t="str">
            <v>P-872(6/19)</v>
          </cell>
        </row>
        <row r="3235">
          <cell r="B3235" t="str">
            <v>B272-400-AS-190-BR-001</v>
          </cell>
          <cell r="E3235" t="str">
            <v>P-872(7/19)</v>
          </cell>
        </row>
        <row r="3236">
          <cell r="B3236" t="str">
            <v>B272-400-AS-190-BR-001</v>
          </cell>
          <cell r="E3236" t="str">
            <v>P-872(8/19)</v>
          </cell>
        </row>
        <row r="3237">
          <cell r="B3237" t="str">
            <v>B272-400-AS-190-BR-001</v>
          </cell>
          <cell r="E3237" t="str">
            <v>P-872(9/19)</v>
          </cell>
        </row>
        <row r="3238">
          <cell r="B3238" t="str">
            <v>B272-400-AS-190-BR-001</v>
          </cell>
          <cell r="E3238" t="str">
            <v>P-872(10/19)</v>
          </cell>
        </row>
        <row r="3239">
          <cell r="B3239" t="str">
            <v>B272-400-AS-190-BR-001</v>
          </cell>
          <cell r="E3239" t="str">
            <v>P-872(11/19)</v>
          </cell>
        </row>
        <row r="3240">
          <cell r="B3240" t="str">
            <v>B272-400-AS-190-BR-001</v>
          </cell>
          <cell r="E3240" t="str">
            <v>P-872(12/19)</v>
          </cell>
        </row>
        <row r="3241">
          <cell r="B3241" t="str">
            <v>B272-400-AS-190-BR-001</v>
          </cell>
          <cell r="E3241" t="str">
            <v>P-872(13/19)</v>
          </cell>
        </row>
        <row r="3242">
          <cell r="B3242" t="str">
            <v>B272-400-AS-190-BR-001</v>
          </cell>
          <cell r="E3242" t="str">
            <v>P-872(14/19)</v>
          </cell>
        </row>
        <row r="3243">
          <cell r="B3243" t="str">
            <v>B272-400-AS-190-BR-001</v>
          </cell>
          <cell r="E3243" t="str">
            <v>P-872(15/19)</v>
          </cell>
        </row>
        <row r="3244">
          <cell r="B3244" t="str">
            <v>B272-400-AS-190-BR-001</v>
          </cell>
          <cell r="E3244" t="str">
            <v>P-872(16/19)</v>
          </cell>
        </row>
        <row r="3245">
          <cell r="B3245" t="str">
            <v>B272-400-AS-190-BR-001</v>
          </cell>
          <cell r="E3245" t="str">
            <v>P-872(17/19)</v>
          </cell>
        </row>
        <row r="3246">
          <cell r="B3246" t="str">
            <v>B272-400-AS-190-BR-001</v>
          </cell>
          <cell r="E3246" t="str">
            <v>P-872(18/19)</v>
          </cell>
        </row>
        <row r="3247">
          <cell r="B3247" t="str">
            <v>B272-400-AS-190-BR-001</v>
          </cell>
          <cell r="E3247" t="str">
            <v>P-872(19/19)</v>
          </cell>
        </row>
        <row r="3248">
          <cell r="B3248" t="str">
            <v>B272-400-AS-190-BR-001</v>
          </cell>
          <cell r="E3248" t="str">
            <v>P-893</v>
          </cell>
        </row>
        <row r="3249">
          <cell r="B3249" t="str">
            <v>B272-400-AS-190-BR-001</v>
          </cell>
          <cell r="E3249" t="str">
            <v>P-894</v>
          </cell>
        </row>
        <row r="3250">
          <cell r="B3250" t="str">
            <v>B272-400-AS-190-BR-001</v>
          </cell>
          <cell r="E3250" t="str">
            <v>P-1120</v>
          </cell>
        </row>
        <row r="3251">
          <cell r="B3251" t="str">
            <v>B272-400-AS-190-BR-001</v>
          </cell>
          <cell r="E3251" t="str">
            <v>P-1123(1/10)</v>
          </cell>
        </row>
        <row r="3252">
          <cell r="B3252" t="str">
            <v>B272-400-AS-190-BR-001</v>
          </cell>
          <cell r="E3252" t="str">
            <v>P-1123(2/10)</v>
          </cell>
        </row>
        <row r="3253">
          <cell r="B3253" t="str">
            <v>B272-400-AS-190-BR-001</v>
          </cell>
          <cell r="E3253" t="str">
            <v>P-1123(3/10)</v>
          </cell>
        </row>
        <row r="3254">
          <cell r="B3254" t="str">
            <v>B272-400-AS-190-BR-001</v>
          </cell>
          <cell r="E3254" t="str">
            <v>P-1123(4/10)</v>
          </cell>
        </row>
        <row r="3255">
          <cell r="B3255" t="str">
            <v>B272-400-AS-190-BR-001</v>
          </cell>
          <cell r="E3255" t="str">
            <v>P-1123(5/10)</v>
          </cell>
        </row>
        <row r="3256">
          <cell r="B3256" t="str">
            <v>B272-400-AS-190-BR-001</v>
          </cell>
          <cell r="E3256" t="str">
            <v>P-1123(6/10)</v>
          </cell>
        </row>
        <row r="3257">
          <cell r="B3257" t="str">
            <v>B272-400-AS-190-BR-001</v>
          </cell>
          <cell r="E3257" t="str">
            <v>P-1123(7/10)</v>
          </cell>
        </row>
        <row r="3258">
          <cell r="B3258" t="str">
            <v>B272-400-AS-190-BR-001</v>
          </cell>
          <cell r="E3258" t="str">
            <v>P-1123(8/10)</v>
          </cell>
        </row>
        <row r="3259">
          <cell r="B3259" t="str">
            <v>B272-400-AS-190-BR-001</v>
          </cell>
          <cell r="E3259" t="str">
            <v>P-1123(9/10)</v>
          </cell>
        </row>
        <row r="3260">
          <cell r="B3260" t="str">
            <v>B272-400-AS-190-BR-001</v>
          </cell>
          <cell r="E3260" t="str">
            <v>P-1123(10/10)</v>
          </cell>
        </row>
        <row r="3261">
          <cell r="B3261" t="str">
            <v>B272-400-AS-190-BR-001</v>
          </cell>
          <cell r="E3261" t="str">
            <v>P-1124(1/10)</v>
          </cell>
        </row>
        <row r="3262">
          <cell r="B3262" t="str">
            <v>B272-400-AS-190-BR-001</v>
          </cell>
          <cell r="E3262" t="str">
            <v>P-1124(2/10)</v>
          </cell>
        </row>
        <row r="3263">
          <cell r="B3263" t="str">
            <v>B272-400-AS-190-BR-001</v>
          </cell>
          <cell r="E3263" t="str">
            <v>P-1124(3/10)</v>
          </cell>
        </row>
        <row r="3264">
          <cell r="B3264" t="str">
            <v>B272-400-AS-190-BR-001</v>
          </cell>
          <cell r="E3264" t="str">
            <v>P-1124(4/10)</v>
          </cell>
        </row>
        <row r="3265">
          <cell r="B3265" t="str">
            <v>B272-400-AS-190-BR-001</v>
          </cell>
          <cell r="E3265" t="str">
            <v>P-1124(5/10)</v>
          </cell>
        </row>
        <row r="3266">
          <cell r="B3266" t="str">
            <v>B272-400-AS-190-BR-001</v>
          </cell>
          <cell r="E3266" t="str">
            <v>P-1124(6/10)</v>
          </cell>
        </row>
        <row r="3267">
          <cell r="B3267" t="str">
            <v>B272-400-AS-190-BR-001</v>
          </cell>
          <cell r="E3267" t="str">
            <v>P-1124(7/10)</v>
          </cell>
        </row>
        <row r="3268">
          <cell r="B3268" t="str">
            <v>B272-400-AS-190-BR-001</v>
          </cell>
          <cell r="E3268" t="str">
            <v>P-1124(8/10)</v>
          </cell>
        </row>
        <row r="3269">
          <cell r="B3269" t="str">
            <v>B272-400-AS-190-BR-001</v>
          </cell>
          <cell r="E3269" t="str">
            <v>P-1124(9/10)</v>
          </cell>
        </row>
        <row r="3270">
          <cell r="B3270" t="str">
            <v>B272-400-AS-190-BR-001</v>
          </cell>
          <cell r="E3270" t="str">
            <v>P-1124(10/10)</v>
          </cell>
        </row>
        <row r="3271">
          <cell r="B3271" t="str">
            <v>B272-400-AS-190-BR-001</v>
          </cell>
          <cell r="E3271" t="str">
            <v>P-1125</v>
          </cell>
        </row>
        <row r="3272">
          <cell r="B3272" t="str">
            <v>B272-400-AS-190-BR-001</v>
          </cell>
          <cell r="E3272" t="str">
            <v>G-2005</v>
          </cell>
        </row>
        <row r="3273">
          <cell r="B3273" t="str">
            <v>B272-400-AS-190-BR-001</v>
          </cell>
          <cell r="E3273" t="str">
            <v>B1655</v>
          </cell>
        </row>
        <row r="3274">
          <cell r="B3274" t="str">
            <v>B272-400-AS-190-BR-001</v>
          </cell>
          <cell r="E3274" t="str">
            <v>B2480</v>
          </cell>
        </row>
        <row r="3275">
          <cell r="B3275" t="str">
            <v>B272-400-AS-190-BR-001</v>
          </cell>
          <cell r="E3275" t="str">
            <v>B2490</v>
          </cell>
        </row>
        <row r="3276">
          <cell r="B3276" t="str">
            <v>B272-400-AS-190-BR-001</v>
          </cell>
          <cell r="E3276" t="str">
            <v>B24100</v>
          </cell>
        </row>
        <row r="3277">
          <cell r="B3277" t="str">
            <v>B272-400-AS-190-BR-001</v>
          </cell>
          <cell r="E3277" t="str">
            <v>B2065</v>
          </cell>
        </row>
        <row r="3278">
          <cell r="B3278" t="str">
            <v>B272-400-AS-190-BR-002</v>
          </cell>
        </row>
        <row r="3279">
          <cell r="B3279" t="str">
            <v>B272-400-AS-190-BR-002</v>
          </cell>
          <cell r="E3279" t="str">
            <v>AY-2</v>
          </cell>
        </row>
        <row r="3280">
          <cell r="B3280" t="str">
            <v>B272-400-AS-190-BR-002</v>
          </cell>
        </row>
        <row r="3281">
          <cell r="B3281" t="str">
            <v>B272-400-AS-190-BR-002</v>
          </cell>
          <cell r="E3281" t="str">
            <v>AY-2</v>
          </cell>
        </row>
        <row r="3282">
          <cell r="B3282" t="str">
            <v>B272-400-AS-190-BR-002</v>
          </cell>
        </row>
        <row r="3283">
          <cell r="B3283" t="str">
            <v>B272-400-AS-190-BR-002</v>
          </cell>
          <cell r="E3283" t="str">
            <v>AY-2</v>
          </cell>
        </row>
        <row r="3284">
          <cell r="B3284" t="str">
            <v>B272-400-AS-190-BR-002</v>
          </cell>
        </row>
        <row r="3285">
          <cell r="B3285" t="str">
            <v>B272-400-AS-190-BR-002</v>
          </cell>
          <cell r="E3285" t="str">
            <v>AY-2</v>
          </cell>
        </row>
        <row r="3286">
          <cell r="B3286" t="str">
            <v>B272-400-AS-190-BR-003</v>
          </cell>
        </row>
        <row r="3287">
          <cell r="B3287" t="str">
            <v>B272-400-AS-190-BR-003</v>
          </cell>
          <cell r="E3287" t="str">
            <v>G-17(1/4)</v>
          </cell>
        </row>
        <row r="3288">
          <cell r="B3288" t="str">
            <v>B272-400-AS-190-BR-003</v>
          </cell>
          <cell r="E3288" t="str">
            <v>G-17(2/4)</v>
          </cell>
        </row>
        <row r="3289">
          <cell r="B3289" t="str">
            <v>B272-400-AS-190-BR-003</v>
          </cell>
          <cell r="E3289" t="str">
            <v>G-17(3/4)</v>
          </cell>
        </row>
        <row r="3290">
          <cell r="B3290" t="str">
            <v>B272-400-AS-190-BR-003</v>
          </cell>
          <cell r="E3290" t="str">
            <v>G-17(4/4)</v>
          </cell>
        </row>
        <row r="3291">
          <cell r="B3291" t="str">
            <v>B272-400-AS-190-BR-003</v>
          </cell>
          <cell r="E3291" t="str">
            <v>HY-37</v>
          </cell>
        </row>
        <row r="3292">
          <cell r="B3292" t="str">
            <v>B272-400-AS-190-BR-003</v>
          </cell>
          <cell r="E3292" t="str">
            <v>HY-38</v>
          </cell>
        </row>
        <row r="3293">
          <cell r="B3293" t="str">
            <v>B272-400-AS-190-BR-003</v>
          </cell>
          <cell r="E3293" t="str">
            <v>HY-44(1/2)</v>
          </cell>
        </row>
        <row r="3294">
          <cell r="B3294" t="str">
            <v>B272-400-AS-190-BR-003</v>
          </cell>
          <cell r="E3294" t="str">
            <v>HY-44(2/2)</v>
          </cell>
        </row>
        <row r="3295">
          <cell r="B3295" t="str">
            <v>B272-400-AS-190-BR-003</v>
          </cell>
          <cell r="E3295" t="str">
            <v>HY-45</v>
          </cell>
        </row>
        <row r="3296">
          <cell r="B3296" t="str">
            <v>B272-400-AS-190-BR-003</v>
          </cell>
          <cell r="E3296" t="str">
            <v>HY-47</v>
          </cell>
        </row>
        <row r="3297">
          <cell r="B3297" t="str">
            <v>B272-400-AS-190-BR-003</v>
          </cell>
          <cell r="E3297" t="str">
            <v>P-170(1/4)</v>
          </cell>
        </row>
        <row r="3298">
          <cell r="B3298" t="str">
            <v>B272-400-AS-190-BR-003</v>
          </cell>
          <cell r="E3298" t="str">
            <v>P-170(2/4)</v>
          </cell>
        </row>
        <row r="3299">
          <cell r="B3299" t="str">
            <v>B272-400-AS-190-BR-003</v>
          </cell>
          <cell r="E3299" t="str">
            <v>P-170(3/4)</v>
          </cell>
        </row>
        <row r="3300">
          <cell r="B3300" t="str">
            <v>B272-400-AS-190-BR-003</v>
          </cell>
          <cell r="E3300" t="str">
            <v>P-170(4/4)</v>
          </cell>
        </row>
        <row r="3301">
          <cell r="B3301" t="str">
            <v>B272-400-AS-190-BR-003</v>
          </cell>
          <cell r="E3301" t="str">
            <v>P-173</v>
          </cell>
        </row>
        <row r="3302">
          <cell r="B3302" t="str">
            <v>B272-400-AS-190-BR-003</v>
          </cell>
          <cell r="E3302" t="str">
            <v>P-187(1/40)</v>
          </cell>
        </row>
        <row r="3303">
          <cell r="B3303" t="str">
            <v>B272-400-AS-190-BR-003</v>
          </cell>
          <cell r="E3303" t="str">
            <v>P-187(2/40)</v>
          </cell>
        </row>
        <row r="3304">
          <cell r="B3304" t="str">
            <v>B272-400-AS-190-BR-003</v>
          </cell>
          <cell r="E3304" t="str">
            <v>P-187(3/40)</v>
          </cell>
        </row>
        <row r="3305">
          <cell r="B3305" t="str">
            <v>B272-400-AS-190-BR-003</v>
          </cell>
          <cell r="E3305" t="str">
            <v>P-187(4/40)</v>
          </cell>
        </row>
        <row r="3306">
          <cell r="B3306" t="str">
            <v>B272-400-AS-190-BR-003</v>
          </cell>
          <cell r="E3306" t="str">
            <v>P-187(5/40)</v>
          </cell>
        </row>
        <row r="3307">
          <cell r="B3307" t="str">
            <v>B272-400-AS-190-BR-003</v>
          </cell>
          <cell r="E3307" t="str">
            <v>P-187(6/40)</v>
          </cell>
        </row>
        <row r="3308">
          <cell r="B3308" t="str">
            <v>B272-400-AS-190-BR-003</v>
          </cell>
          <cell r="E3308" t="str">
            <v>P-187(7/40)</v>
          </cell>
        </row>
        <row r="3309">
          <cell r="B3309" t="str">
            <v>B272-400-AS-190-BR-003</v>
          </cell>
          <cell r="E3309" t="str">
            <v>P-187(8/40)</v>
          </cell>
        </row>
        <row r="3310">
          <cell r="B3310" t="str">
            <v>B272-400-AS-190-BR-003</v>
          </cell>
          <cell r="E3310" t="str">
            <v>P-187(9/40)</v>
          </cell>
        </row>
        <row r="3311">
          <cell r="B3311" t="str">
            <v>B272-400-AS-190-BR-003</v>
          </cell>
          <cell r="E3311" t="str">
            <v>P-187(10/40)</v>
          </cell>
        </row>
        <row r="3312">
          <cell r="B3312" t="str">
            <v>B272-400-AS-190-BR-003</v>
          </cell>
          <cell r="E3312" t="str">
            <v>P-187(11/40)</v>
          </cell>
        </row>
        <row r="3313">
          <cell r="B3313" t="str">
            <v>B272-400-AS-190-BR-003</v>
          </cell>
          <cell r="E3313" t="str">
            <v>P-187(12/40)</v>
          </cell>
        </row>
        <row r="3314">
          <cell r="B3314" t="str">
            <v>B272-400-AS-190-BR-003</v>
          </cell>
          <cell r="E3314" t="str">
            <v>P-187(13/40)</v>
          </cell>
        </row>
        <row r="3315">
          <cell r="B3315" t="str">
            <v>B272-400-AS-190-BR-003</v>
          </cell>
          <cell r="E3315" t="str">
            <v>P-187(14/40)</v>
          </cell>
        </row>
        <row r="3316">
          <cell r="B3316" t="str">
            <v>B272-400-AS-190-BR-003</v>
          </cell>
          <cell r="E3316" t="str">
            <v>P-187(15/40)</v>
          </cell>
        </row>
        <row r="3317">
          <cell r="B3317" t="str">
            <v>B272-400-AS-190-BR-003</v>
          </cell>
          <cell r="E3317" t="str">
            <v>P-187(16/40)</v>
          </cell>
        </row>
        <row r="3318">
          <cell r="B3318" t="str">
            <v>B272-400-AS-190-BR-003</v>
          </cell>
          <cell r="E3318" t="str">
            <v>P-187(17/40)</v>
          </cell>
        </row>
        <row r="3319">
          <cell r="B3319" t="str">
            <v>B272-400-AS-190-BR-003</v>
          </cell>
          <cell r="E3319" t="str">
            <v>P-187(18/40)</v>
          </cell>
        </row>
        <row r="3320">
          <cell r="B3320" t="str">
            <v>B272-400-AS-190-BR-003</v>
          </cell>
          <cell r="E3320" t="str">
            <v>P-187(19/40)</v>
          </cell>
        </row>
        <row r="3321">
          <cell r="B3321" t="str">
            <v>B272-400-AS-190-BR-003</v>
          </cell>
          <cell r="E3321" t="str">
            <v>P-187(20/40)</v>
          </cell>
        </row>
        <row r="3322">
          <cell r="B3322" t="str">
            <v>B272-400-AS-190-BR-003</v>
          </cell>
          <cell r="E3322" t="str">
            <v>P-187(21/40)</v>
          </cell>
        </row>
        <row r="3323">
          <cell r="B3323" t="str">
            <v>B272-400-AS-190-BR-003</v>
          </cell>
          <cell r="E3323" t="str">
            <v>P-187(22/40)</v>
          </cell>
        </row>
        <row r="3324">
          <cell r="B3324" t="str">
            <v>B272-400-AS-190-BR-003</v>
          </cell>
          <cell r="E3324" t="str">
            <v>P-187(23/40)</v>
          </cell>
        </row>
        <row r="3325">
          <cell r="B3325" t="str">
            <v>B272-400-AS-190-BR-003</v>
          </cell>
          <cell r="E3325" t="str">
            <v>P-187(24/40)</v>
          </cell>
        </row>
        <row r="3326">
          <cell r="B3326" t="str">
            <v>B272-400-AS-190-BR-003</v>
          </cell>
          <cell r="E3326" t="str">
            <v>P-187(25/40)</v>
          </cell>
        </row>
        <row r="3327">
          <cell r="B3327" t="str">
            <v>B272-400-AS-190-BR-003</v>
          </cell>
          <cell r="E3327" t="str">
            <v>P-187(26/40)</v>
          </cell>
        </row>
        <row r="3328">
          <cell r="B3328" t="str">
            <v>B272-400-AS-190-BR-003</v>
          </cell>
          <cell r="E3328" t="str">
            <v>P-187(27/40)</v>
          </cell>
        </row>
        <row r="3329">
          <cell r="B3329" t="str">
            <v>B272-400-AS-190-BR-003</v>
          </cell>
          <cell r="E3329" t="str">
            <v>P-187(28/40)</v>
          </cell>
        </row>
        <row r="3330">
          <cell r="B3330" t="str">
            <v>B272-400-AS-190-BR-003</v>
          </cell>
          <cell r="E3330" t="str">
            <v>P-187(29/40)</v>
          </cell>
        </row>
        <row r="3331">
          <cell r="B3331" t="str">
            <v>B272-400-AS-190-BR-003</v>
          </cell>
          <cell r="E3331" t="str">
            <v>P-187(30/40)</v>
          </cell>
        </row>
        <row r="3332">
          <cell r="B3332" t="str">
            <v>B272-400-AS-190-BR-003</v>
          </cell>
          <cell r="E3332" t="str">
            <v>P-187(31/40)</v>
          </cell>
        </row>
        <row r="3333">
          <cell r="B3333" t="str">
            <v>B272-400-AS-190-BR-003</v>
          </cell>
          <cell r="E3333" t="str">
            <v>P-187(32/40)</v>
          </cell>
        </row>
        <row r="3334">
          <cell r="B3334" t="str">
            <v>B272-400-AS-190-BR-003</v>
          </cell>
          <cell r="E3334" t="str">
            <v>P-187(33/40)</v>
          </cell>
        </row>
        <row r="3335">
          <cell r="B3335" t="str">
            <v>B272-400-AS-190-BR-003</v>
          </cell>
          <cell r="E3335" t="str">
            <v>P-187(34/40)</v>
          </cell>
        </row>
        <row r="3336">
          <cell r="B3336" t="str">
            <v>B272-400-AS-190-BR-003</v>
          </cell>
          <cell r="E3336" t="str">
            <v>P-187(35/40)</v>
          </cell>
        </row>
        <row r="3337">
          <cell r="B3337" t="str">
            <v>B272-400-AS-190-BR-003</v>
          </cell>
          <cell r="E3337" t="str">
            <v>P-187(36/40)</v>
          </cell>
        </row>
        <row r="3338">
          <cell r="B3338" t="str">
            <v>B272-400-AS-190-BR-003</v>
          </cell>
          <cell r="E3338" t="str">
            <v>P-187(37/40)</v>
          </cell>
        </row>
        <row r="3339">
          <cell r="B3339" t="str">
            <v>B272-400-AS-190-BR-003</v>
          </cell>
          <cell r="E3339" t="str">
            <v>P-187(38/40)</v>
          </cell>
        </row>
        <row r="3340">
          <cell r="B3340" t="str">
            <v>B272-400-AS-190-BR-003</v>
          </cell>
          <cell r="E3340" t="str">
            <v>P-187(39/40)</v>
          </cell>
        </row>
        <row r="3341">
          <cell r="B3341" t="str">
            <v>B272-400-AS-190-BR-003</v>
          </cell>
          <cell r="E3341" t="str">
            <v>P-187(40/40)</v>
          </cell>
        </row>
        <row r="3342">
          <cell r="B3342" t="str">
            <v>B272-400-AS-190-BR-003</v>
          </cell>
          <cell r="E3342" t="str">
            <v>P-188(1/3)</v>
          </cell>
        </row>
        <row r="3343">
          <cell r="B3343" t="str">
            <v>B272-400-AS-190-BR-003</v>
          </cell>
          <cell r="E3343" t="str">
            <v>P-188(2/3)</v>
          </cell>
        </row>
        <row r="3344">
          <cell r="B3344" t="str">
            <v>B272-400-AS-190-BR-003</v>
          </cell>
          <cell r="E3344" t="str">
            <v>P-188(3/3)</v>
          </cell>
        </row>
        <row r="3345">
          <cell r="B3345" t="str">
            <v>B272-400-AS-190-BR-003</v>
          </cell>
          <cell r="E3345" t="str">
            <v>P-198(1/2)</v>
          </cell>
        </row>
        <row r="3346">
          <cell r="B3346" t="str">
            <v>B272-400-AS-190-BR-003</v>
          </cell>
          <cell r="E3346" t="str">
            <v>P-198(2/2)</v>
          </cell>
        </row>
        <row r="3347">
          <cell r="B3347" t="str">
            <v>B272-400-AS-190-BR-003</v>
          </cell>
          <cell r="E3347" t="str">
            <v>P-203(1/2)</v>
          </cell>
        </row>
        <row r="3348">
          <cell r="B3348" t="str">
            <v>B272-400-AS-190-BR-003</v>
          </cell>
          <cell r="E3348" t="str">
            <v>P-203(2/2)</v>
          </cell>
        </row>
        <row r="3349">
          <cell r="B3349" t="str">
            <v>B272-400-AS-190-BR-003</v>
          </cell>
          <cell r="E3349" t="str">
            <v>P-374(1/16)</v>
          </cell>
        </row>
        <row r="3350">
          <cell r="B3350" t="str">
            <v>B272-400-AS-190-BR-003</v>
          </cell>
          <cell r="E3350" t="str">
            <v>P-374(2/16)</v>
          </cell>
        </row>
        <row r="3351">
          <cell r="B3351" t="str">
            <v>B272-400-AS-190-BR-003</v>
          </cell>
          <cell r="E3351" t="str">
            <v>P-374(3/16)</v>
          </cell>
        </row>
        <row r="3352">
          <cell r="B3352" t="str">
            <v>B272-400-AS-190-BR-003</v>
          </cell>
          <cell r="E3352" t="str">
            <v>P-374(4/16)</v>
          </cell>
        </row>
        <row r="3353">
          <cell r="B3353" t="str">
            <v>B272-400-AS-190-BR-003</v>
          </cell>
          <cell r="E3353" t="str">
            <v>P-374(5/16)</v>
          </cell>
        </row>
        <row r="3354">
          <cell r="B3354" t="str">
            <v>B272-400-AS-190-BR-003</v>
          </cell>
          <cell r="E3354" t="str">
            <v>P-374(6/16)</v>
          </cell>
        </row>
        <row r="3355">
          <cell r="B3355" t="str">
            <v>B272-400-AS-190-BR-003</v>
          </cell>
          <cell r="E3355" t="str">
            <v>P-374(7/16)</v>
          </cell>
        </row>
        <row r="3356">
          <cell r="B3356" t="str">
            <v>B272-400-AS-190-BR-003</v>
          </cell>
          <cell r="E3356" t="str">
            <v>P-374(8/16)</v>
          </cell>
        </row>
        <row r="3357">
          <cell r="B3357" t="str">
            <v>B272-400-AS-190-BR-003</v>
          </cell>
          <cell r="E3357" t="str">
            <v>P-374(9/16)</v>
          </cell>
        </row>
        <row r="3358">
          <cell r="B3358" t="str">
            <v>B272-400-AS-190-BR-003</v>
          </cell>
          <cell r="E3358" t="str">
            <v>P-374(10/16)</v>
          </cell>
        </row>
        <row r="3359">
          <cell r="B3359" t="str">
            <v>B272-400-AS-190-BR-003</v>
          </cell>
          <cell r="E3359" t="str">
            <v>P-374(11/16)</v>
          </cell>
        </row>
        <row r="3360">
          <cell r="B3360" t="str">
            <v>B272-400-AS-190-BR-003</v>
          </cell>
          <cell r="E3360" t="str">
            <v>P-374(12/16)</v>
          </cell>
        </row>
        <row r="3361">
          <cell r="B3361" t="str">
            <v>B272-400-AS-190-BR-003</v>
          </cell>
          <cell r="E3361" t="str">
            <v>P-374(13/16)</v>
          </cell>
        </row>
        <row r="3362">
          <cell r="B3362" t="str">
            <v>B272-400-AS-190-BR-003</v>
          </cell>
          <cell r="E3362" t="str">
            <v>P-374(14/16)</v>
          </cell>
        </row>
        <row r="3363">
          <cell r="B3363" t="str">
            <v>B272-400-AS-190-BR-003</v>
          </cell>
          <cell r="E3363" t="str">
            <v>P-374(15/16)</v>
          </cell>
        </row>
        <row r="3364">
          <cell r="B3364" t="str">
            <v>B272-400-AS-190-BR-003</v>
          </cell>
          <cell r="E3364" t="str">
            <v>P-374(16/16)</v>
          </cell>
        </row>
        <row r="3365">
          <cell r="B3365" t="str">
            <v>B272-400-AS-190-BR-003</v>
          </cell>
          <cell r="E3365" t="str">
            <v>P-467(1/8)</v>
          </cell>
        </row>
        <row r="3366">
          <cell r="B3366" t="str">
            <v>B272-400-AS-190-BR-003</v>
          </cell>
          <cell r="E3366" t="str">
            <v>P-467(2/8)</v>
          </cell>
        </row>
        <row r="3367">
          <cell r="B3367" t="str">
            <v>B272-400-AS-190-BR-003</v>
          </cell>
          <cell r="E3367" t="str">
            <v>P-467(3/8)</v>
          </cell>
        </row>
        <row r="3368">
          <cell r="B3368" t="str">
            <v>B272-400-AS-190-BR-003</v>
          </cell>
          <cell r="E3368" t="str">
            <v>P-467(4/8)</v>
          </cell>
        </row>
        <row r="3369">
          <cell r="B3369" t="str">
            <v>B272-400-AS-190-BR-003</v>
          </cell>
          <cell r="E3369" t="str">
            <v>P-467(5/8)</v>
          </cell>
        </row>
        <row r="3370">
          <cell r="B3370" t="str">
            <v>B272-400-AS-190-BR-003</v>
          </cell>
          <cell r="E3370" t="str">
            <v>P-467(6/8)</v>
          </cell>
        </row>
        <row r="3371">
          <cell r="B3371" t="str">
            <v>B272-400-AS-190-BR-003</v>
          </cell>
          <cell r="E3371" t="str">
            <v>P-467(7/8)</v>
          </cell>
        </row>
        <row r="3372">
          <cell r="B3372" t="str">
            <v>B272-400-AS-190-BR-003</v>
          </cell>
          <cell r="E3372" t="str">
            <v>P-467(8/8)</v>
          </cell>
        </row>
        <row r="3373">
          <cell r="B3373" t="str">
            <v>B272-400-AS-190-BR-003</v>
          </cell>
          <cell r="E3373" t="str">
            <v>P-955(1/2)</v>
          </cell>
        </row>
        <row r="3374">
          <cell r="B3374" t="str">
            <v>B272-400-AS-190-BR-003</v>
          </cell>
          <cell r="E3374" t="str">
            <v>P-955(2/2)</v>
          </cell>
        </row>
        <row r="3375">
          <cell r="B3375" t="str">
            <v>B272-400-AS-190-BR-003</v>
          </cell>
          <cell r="E3375" t="str">
            <v>P-956(1/2)</v>
          </cell>
        </row>
        <row r="3376">
          <cell r="B3376" t="str">
            <v>B272-400-AS-190-BR-003</v>
          </cell>
          <cell r="E3376" t="str">
            <v>P-956(2/2)</v>
          </cell>
        </row>
        <row r="3377">
          <cell r="B3377" t="str">
            <v>B272-400-AS-190-BR-003</v>
          </cell>
          <cell r="E3377" t="str">
            <v>P-1002</v>
          </cell>
        </row>
        <row r="3378">
          <cell r="B3378" t="str">
            <v>B272-400-AS-190-BR-003</v>
          </cell>
          <cell r="E3378" t="str">
            <v>P-1045(1/46)</v>
          </cell>
        </row>
        <row r="3379">
          <cell r="B3379" t="str">
            <v>B272-400-AS-190-BR-003</v>
          </cell>
          <cell r="E3379" t="str">
            <v>P-1045(2/46)</v>
          </cell>
        </row>
        <row r="3380">
          <cell r="B3380" t="str">
            <v>B272-400-AS-190-BR-003</v>
          </cell>
          <cell r="E3380" t="str">
            <v>P-1045(3/46)</v>
          </cell>
        </row>
        <row r="3381">
          <cell r="B3381" t="str">
            <v>B272-400-AS-190-BR-003</v>
          </cell>
          <cell r="E3381" t="str">
            <v>P-1045(4/46)</v>
          </cell>
        </row>
        <row r="3382">
          <cell r="B3382" t="str">
            <v>B272-400-AS-190-BR-003</v>
          </cell>
          <cell r="E3382" t="str">
            <v>P-1045(5/46)</v>
          </cell>
        </row>
        <row r="3383">
          <cell r="B3383" t="str">
            <v>B272-400-AS-190-BR-003</v>
          </cell>
          <cell r="E3383" t="str">
            <v>P-1045(6/46)</v>
          </cell>
        </row>
        <row r="3384">
          <cell r="B3384" t="str">
            <v>B272-400-AS-190-BR-003</v>
          </cell>
          <cell r="E3384" t="str">
            <v>P-1045(7/46)</v>
          </cell>
        </row>
        <row r="3385">
          <cell r="B3385" t="str">
            <v>B272-400-AS-190-BR-003</v>
          </cell>
          <cell r="E3385" t="str">
            <v>P-1045(8/46)</v>
          </cell>
        </row>
        <row r="3386">
          <cell r="B3386" t="str">
            <v>B272-400-AS-190-BR-003</v>
          </cell>
          <cell r="E3386" t="str">
            <v>P-1045(9/46)</v>
          </cell>
        </row>
        <row r="3387">
          <cell r="B3387" t="str">
            <v>B272-400-AS-190-BR-003</v>
          </cell>
          <cell r="E3387" t="str">
            <v>P-1045(10/46)</v>
          </cell>
        </row>
        <row r="3388">
          <cell r="B3388" t="str">
            <v>B272-400-AS-190-BR-003</v>
          </cell>
          <cell r="E3388" t="str">
            <v>P-1045(11/46)</v>
          </cell>
        </row>
        <row r="3389">
          <cell r="B3389" t="str">
            <v>B272-400-AS-190-BR-003</v>
          </cell>
          <cell r="E3389" t="str">
            <v>P-1045(12/46)</v>
          </cell>
        </row>
        <row r="3390">
          <cell r="B3390" t="str">
            <v>B272-400-AS-190-BR-003</v>
          </cell>
          <cell r="E3390" t="str">
            <v>P-1045(13/46)</v>
          </cell>
        </row>
        <row r="3391">
          <cell r="B3391" t="str">
            <v>B272-400-AS-190-BR-003</v>
          </cell>
          <cell r="E3391" t="str">
            <v>P-1045(14/46)</v>
          </cell>
        </row>
        <row r="3392">
          <cell r="B3392" t="str">
            <v>B272-400-AS-190-BR-003</v>
          </cell>
          <cell r="E3392" t="str">
            <v>P-1045(15/46)</v>
          </cell>
        </row>
        <row r="3393">
          <cell r="B3393" t="str">
            <v>B272-400-AS-190-BR-003</v>
          </cell>
          <cell r="E3393" t="str">
            <v>P-1045(16/46)</v>
          </cell>
        </row>
        <row r="3394">
          <cell r="B3394" t="str">
            <v>B272-400-AS-190-BR-003</v>
          </cell>
          <cell r="E3394" t="str">
            <v>P-1045(17/46)</v>
          </cell>
        </row>
        <row r="3395">
          <cell r="B3395" t="str">
            <v>B272-400-AS-190-BR-003</v>
          </cell>
          <cell r="E3395" t="str">
            <v>P-1045(18/46)</v>
          </cell>
        </row>
        <row r="3396">
          <cell r="B3396" t="str">
            <v>B272-400-AS-190-BR-003</v>
          </cell>
          <cell r="E3396" t="str">
            <v>P-1045(19/46)</v>
          </cell>
        </row>
        <row r="3397">
          <cell r="B3397" t="str">
            <v>B272-400-AS-190-BR-003</v>
          </cell>
          <cell r="E3397" t="str">
            <v>P-1045(20/46)</v>
          </cell>
        </row>
        <row r="3398">
          <cell r="B3398" t="str">
            <v>B272-400-AS-190-BR-003</v>
          </cell>
          <cell r="E3398" t="str">
            <v>P-1045(21/46)</v>
          </cell>
        </row>
        <row r="3399">
          <cell r="B3399" t="str">
            <v>B272-400-AS-190-BR-003</v>
          </cell>
          <cell r="E3399" t="str">
            <v>P-1045(22/46)</v>
          </cell>
        </row>
        <row r="3400">
          <cell r="B3400" t="str">
            <v>B272-400-AS-190-BR-003</v>
          </cell>
          <cell r="E3400" t="str">
            <v>P-1045(23/46)</v>
          </cell>
        </row>
        <row r="3401">
          <cell r="B3401" t="str">
            <v>B272-400-AS-190-BR-003</v>
          </cell>
          <cell r="E3401" t="str">
            <v>P-1045(24/46)</v>
          </cell>
        </row>
        <row r="3402">
          <cell r="B3402" t="str">
            <v>B272-400-AS-190-BR-003</v>
          </cell>
          <cell r="E3402" t="str">
            <v>P-1045(25/46)</v>
          </cell>
        </row>
        <row r="3403">
          <cell r="B3403" t="str">
            <v>B272-400-AS-190-BR-003</v>
          </cell>
          <cell r="E3403" t="str">
            <v>P-1045(26/46)</v>
          </cell>
        </row>
        <row r="3404">
          <cell r="B3404" t="str">
            <v>B272-400-AS-190-BR-003</v>
          </cell>
          <cell r="E3404" t="str">
            <v>P-1045(27/46)</v>
          </cell>
        </row>
        <row r="3405">
          <cell r="B3405" t="str">
            <v>B272-400-AS-190-BR-003</v>
          </cell>
          <cell r="E3405" t="str">
            <v>P-1045(28/46)</v>
          </cell>
        </row>
        <row r="3406">
          <cell r="B3406" t="str">
            <v>B272-400-AS-190-BR-003</v>
          </cell>
          <cell r="E3406" t="str">
            <v>P-1045(29/46)</v>
          </cell>
        </row>
        <row r="3407">
          <cell r="B3407" t="str">
            <v>B272-400-AS-190-BR-003</v>
          </cell>
          <cell r="E3407" t="str">
            <v>P-1045(30/46)</v>
          </cell>
        </row>
        <row r="3408">
          <cell r="B3408" t="str">
            <v>B272-400-AS-190-BR-003</v>
          </cell>
          <cell r="E3408" t="str">
            <v>P-1045(31/46)</v>
          </cell>
        </row>
        <row r="3409">
          <cell r="B3409" t="str">
            <v>B272-400-AS-190-BR-003</v>
          </cell>
          <cell r="E3409" t="str">
            <v>P-1045(32/46)</v>
          </cell>
        </row>
        <row r="3410">
          <cell r="B3410" t="str">
            <v>B272-400-AS-190-BR-003</v>
          </cell>
          <cell r="E3410" t="str">
            <v>P-1045(33/46)</v>
          </cell>
        </row>
        <row r="3411">
          <cell r="B3411" t="str">
            <v>B272-400-AS-190-BR-003</v>
          </cell>
          <cell r="E3411" t="str">
            <v>P-1045(34/46)</v>
          </cell>
        </row>
        <row r="3412">
          <cell r="B3412" t="str">
            <v>B272-400-AS-190-BR-003</v>
          </cell>
          <cell r="E3412" t="str">
            <v>P-1045(35/46)</v>
          </cell>
        </row>
        <row r="3413">
          <cell r="B3413" t="str">
            <v>B272-400-AS-190-BR-003</v>
          </cell>
          <cell r="E3413" t="str">
            <v>P-1045(36/46)</v>
          </cell>
        </row>
        <row r="3414">
          <cell r="B3414" t="str">
            <v>B272-400-AS-190-BR-003</v>
          </cell>
          <cell r="E3414" t="str">
            <v>P-1045(37/46)</v>
          </cell>
        </row>
        <row r="3415">
          <cell r="B3415" t="str">
            <v>B272-400-AS-190-BR-003</v>
          </cell>
          <cell r="E3415" t="str">
            <v>P-1045(38/46)</v>
          </cell>
        </row>
        <row r="3416">
          <cell r="B3416" t="str">
            <v>B272-400-AS-190-BR-003</v>
          </cell>
          <cell r="E3416" t="str">
            <v>P-1045(39/46)</v>
          </cell>
        </row>
        <row r="3417">
          <cell r="B3417" t="str">
            <v>B272-400-AS-190-BR-003</v>
          </cell>
          <cell r="E3417" t="str">
            <v>P-1045(40/46)</v>
          </cell>
        </row>
        <row r="3418">
          <cell r="B3418" t="str">
            <v>B272-400-AS-190-BR-003</v>
          </cell>
          <cell r="E3418" t="str">
            <v>P-1045(41/46)</v>
          </cell>
        </row>
        <row r="3419">
          <cell r="B3419" t="str">
            <v>B272-400-AS-190-BR-003</v>
          </cell>
          <cell r="E3419" t="str">
            <v>P-1045(42/46)</v>
          </cell>
        </row>
        <row r="3420">
          <cell r="B3420" t="str">
            <v>B272-400-AS-190-BR-003</v>
          </cell>
          <cell r="E3420" t="str">
            <v>P-1045(43/46)</v>
          </cell>
        </row>
        <row r="3421">
          <cell r="B3421" t="str">
            <v>B272-400-AS-190-BR-003</v>
          </cell>
          <cell r="E3421" t="str">
            <v>P-1045(44/46)</v>
          </cell>
        </row>
        <row r="3422">
          <cell r="B3422" t="str">
            <v>B272-400-AS-190-BR-003</v>
          </cell>
          <cell r="E3422" t="str">
            <v>P-1045(45/46)</v>
          </cell>
        </row>
        <row r="3423">
          <cell r="B3423" t="str">
            <v>B272-400-AS-190-BR-003</v>
          </cell>
          <cell r="E3423" t="str">
            <v>P-1045(46/46)</v>
          </cell>
        </row>
        <row r="3424">
          <cell r="B3424" t="str">
            <v>B272-400-AS-190-BR-003</v>
          </cell>
          <cell r="E3424" t="str">
            <v>P-1073(1/2)</v>
          </cell>
        </row>
        <row r="3425">
          <cell r="B3425" t="str">
            <v>B272-400-AS-190-BR-003</v>
          </cell>
          <cell r="E3425" t="str">
            <v>P-1073(2/2)</v>
          </cell>
        </row>
        <row r="3426">
          <cell r="B3426" t="str">
            <v>B272-400-AS-190-BR-003</v>
          </cell>
          <cell r="E3426" t="str">
            <v>B2490</v>
          </cell>
        </row>
        <row r="3427">
          <cell r="B3427" t="str">
            <v>B272-400-AS-190-BR-003</v>
          </cell>
          <cell r="E3427" t="str">
            <v>B24100</v>
          </cell>
        </row>
        <row r="3428">
          <cell r="B3428" t="str">
            <v>B272-400-AS-190-BR-004</v>
          </cell>
        </row>
        <row r="3429">
          <cell r="B3429" t="str">
            <v>B272-400-AS-190-BR-004</v>
          </cell>
          <cell r="E3429" t="str">
            <v>G-17(1/2)</v>
          </cell>
        </row>
        <row r="3430">
          <cell r="B3430" t="str">
            <v>B272-400-AS-190-BR-004</v>
          </cell>
          <cell r="E3430" t="str">
            <v>G-17(2/2)</v>
          </cell>
        </row>
        <row r="3431">
          <cell r="B3431" t="str">
            <v>B272-400-AS-190-BR-004</v>
          </cell>
          <cell r="E3431" t="str">
            <v>G-20(1/2)</v>
          </cell>
        </row>
        <row r="3432">
          <cell r="B3432" t="str">
            <v>B272-400-AS-190-BR-004</v>
          </cell>
          <cell r="E3432" t="str">
            <v>G-20(2/2)</v>
          </cell>
        </row>
        <row r="3433">
          <cell r="B3433" t="str">
            <v>B272-400-AS-190-BR-004</v>
          </cell>
          <cell r="E3433" t="str">
            <v>H-4</v>
          </cell>
        </row>
        <row r="3434">
          <cell r="B3434" t="str">
            <v>B272-400-AS-190-BR-004</v>
          </cell>
          <cell r="E3434" t="str">
            <v>HY-35</v>
          </cell>
        </row>
        <row r="3435">
          <cell r="B3435" t="str">
            <v>B272-400-AS-190-BR-004</v>
          </cell>
          <cell r="E3435" t="str">
            <v>HY-36</v>
          </cell>
        </row>
        <row r="3436">
          <cell r="B3436" t="str">
            <v>B272-400-AS-190-BR-004</v>
          </cell>
          <cell r="E3436" t="str">
            <v>HY-39</v>
          </cell>
        </row>
        <row r="3437">
          <cell r="B3437" t="str">
            <v>B272-400-AS-190-BR-004</v>
          </cell>
          <cell r="E3437" t="str">
            <v>HY-40</v>
          </cell>
        </row>
        <row r="3438">
          <cell r="B3438" t="str">
            <v>B272-400-AS-190-BR-004</v>
          </cell>
          <cell r="E3438" t="str">
            <v>P-171(1/6)</v>
          </cell>
        </row>
        <row r="3439">
          <cell r="B3439" t="str">
            <v>B272-400-AS-190-BR-004</v>
          </cell>
          <cell r="E3439" t="str">
            <v>P-171(2/6)</v>
          </cell>
        </row>
        <row r="3440">
          <cell r="B3440" t="str">
            <v>B272-400-AS-190-BR-004</v>
          </cell>
          <cell r="E3440" t="str">
            <v>P-171(3/6)</v>
          </cell>
        </row>
        <row r="3441">
          <cell r="B3441" t="str">
            <v>B272-400-AS-190-BR-004</v>
          </cell>
          <cell r="E3441" t="str">
            <v>P-171(4/6)</v>
          </cell>
        </row>
        <row r="3442">
          <cell r="B3442" t="str">
            <v>B272-400-AS-190-BR-004</v>
          </cell>
          <cell r="E3442" t="str">
            <v>P-171(5/6)</v>
          </cell>
        </row>
        <row r="3443">
          <cell r="B3443" t="str">
            <v>B272-400-AS-190-BR-004</v>
          </cell>
          <cell r="E3443" t="str">
            <v>P-171(6/6)</v>
          </cell>
        </row>
        <row r="3444">
          <cell r="B3444" t="str">
            <v>B272-400-AS-190-BR-004</v>
          </cell>
          <cell r="E3444" t="str">
            <v>P-374(1/8)</v>
          </cell>
        </row>
        <row r="3445">
          <cell r="B3445" t="str">
            <v>B272-400-AS-190-BR-004</v>
          </cell>
          <cell r="E3445" t="str">
            <v>P-374(2/8)</v>
          </cell>
        </row>
        <row r="3446">
          <cell r="B3446" t="str">
            <v>B272-400-AS-190-BR-004</v>
          </cell>
          <cell r="E3446" t="str">
            <v>P-374(3/8)</v>
          </cell>
        </row>
        <row r="3447">
          <cell r="B3447" t="str">
            <v>B272-400-AS-190-BR-004</v>
          </cell>
          <cell r="E3447" t="str">
            <v>P-374(4/8)</v>
          </cell>
        </row>
        <row r="3448">
          <cell r="B3448" t="str">
            <v>B272-400-AS-190-BR-004</v>
          </cell>
          <cell r="E3448" t="str">
            <v>P-374(5/8)</v>
          </cell>
        </row>
        <row r="3449">
          <cell r="B3449" t="str">
            <v>B272-400-AS-190-BR-004</v>
          </cell>
          <cell r="E3449" t="str">
            <v>P-374(6/8)</v>
          </cell>
        </row>
        <row r="3450">
          <cell r="B3450" t="str">
            <v>B272-400-AS-190-BR-004</v>
          </cell>
          <cell r="E3450" t="str">
            <v>P-374(7/8)</v>
          </cell>
        </row>
        <row r="3451">
          <cell r="B3451" t="str">
            <v>B272-400-AS-190-BR-004</v>
          </cell>
          <cell r="E3451" t="str">
            <v>P-374(8/8)</v>
          </cell>
        </row>
        <row r="3452">
          <cell r="B3452" t="str">
            <v>B272-400-AS-190-BR-004</v>
          </cell>
          <cell r="E3452" t="str">
            <v>P-378(1/8)</v>
          </cell>
        </row>
        <row r="3453">
          <cell r="B3453" t="str">
            <v>B272-400-AS-190-BR-004</v>
          </cell>
          <cell r="E3453" t="str">
            <v>P-378(2/8)</v>
          </cell>
        </row>
        <row r="3454">
          <cell r="B3454" t="str">
            <v>B272-400-AS-190-BR-004</v>
          </cell>
          <cell r="E3454" t="str">
            <v>P-378(3/8)</v>
          </cell>
        </row>
        <row r="3455">
          <cell r="B3455" t="str">
            <v>B272-400-AS-190-BR-004</v>
          </cell>
          <cell r="E3455" t="str">
            <v>P-378(4/8)</v>
          </cell>
        </row>
        <row r="3456">
          <cell r="B3456" t="str">
            <v>B272-400-AS-190-BR-004</v>
          </cell>
          <cell r="E3456" t="str">
            <v>P-378(5/8)</v>
          </cell>
        </row>
        <row r="3457">
          <cell r="B3457" t="str">
            <v>B272-400-AS-190-BR-004</v>
          </cell>
          <cell r="E3457" t="str">
            <v>P-378(6/8)</v>
          </cell>
        </row>
        <row r="3458">
          <cell r="B3458" t="str">
            <v>B272-400-AS-190-BR-004</v>
          </cell>
          <cell r="E3458" t="str">
            <v>P-378(7/8)</v>
          </cell>
        </row>
        <row r="3459">
          <cell r="B3459" t="str">
            <v>B272-400-AS-190-BR-004</v>
          </cell>
          <cell r="E3459" t="str">
            <v>P-378(8/8)</v>
          </cell>
        </row>
        <row r="3460">
          <cell r="B3460" t="str">
            <v>B272-400-AS-190-BR-004</v>
          </cell>
          <cell r="E3460" t="str">
            <v>P-464</v>
          </cell>
        </row>
        <row r="3461">
          <cell r="B3461" t="str">
            <v>B272-400-AS-190-BR-004</v>
          </cell>
          <cell r="E3461" t="str">
            <v>P-465</v>
          </cell>
        </row>
        <row r="3462">
          <cell r="B3462" t="str">
            <v>B272-400-AS-190-BR-004</v>
          </cell>
          <cell r="E3462" t="str">
            <v>P-467(1/4)</v>
          </cell>
        </row>
        <row r="3463">
          <cell r="B3463" t="str">
            <v>B272-400-AS-190-BR-004</v>
          </cell>
          <cell r="E3463" t="str">
            <v>P-467(2/4)</v>
          </cell>
        </row>
        <row r="3464">
          <cell r="B3464" t="str">
            <v>B272-400-AS-190-BR-004</v>
          </cell>
          <cell r="E3464" t="str">
            <v>P-467(3/4)</v>
          </cell>
        </row>
        <row r="3465">
          <cell r="B3465" t="str">
            <v>B272-400-AS-190-BR-004</v>
          </cell>
          <cell r="E3465" t="str">
            <v>P-467(4/4)</v>
          </cell>
        </row>
        <row r="3466">
          <cell r="B3466" t="str">
            <v>B272-400-AS-190-BR-004</v>
          </cell>
          <cell r="E3466" t="str">
            <v>P-528(1/2)</v>
          </cell>
        </row>
        <row r="3467">
          <cell r="B3467" t="str">
            <v>B272-400-AS-190-BR-004</v>
          </cell>
          <cell r="E3467" t="str">
            <v>P-528(2/2)</v>
          </cell>
        </row>
        <row r="3468">
          <cell r="B3468" t="str">
            <v>B272-400-AS-190-BR-004</v>
          </cell>
          <cell r="E3468" t="str">
            <v>P-1087</v>
          </cell>
        </row>
        <row r="3469">
          <cell r="B3469" t="str">
            <v>B272-400-AS-190-BR-004</v>
          </cell>
          <cell r="E3469" t="str">
            <v>P-1088</v>
          </cell>
        </row>
        <row r="3470">
          <cell r="B3470" t="str">
            <v>B272-400-AS-190-BR-004</v>
          </cell>
          <cell r="E3470" t="str">
            <v>P-1089</v>
          </cell>
        </row>
        <row r="3471">
          <cell r="B3471" t="str">
            <v>B272-400-AS-190-BR-004</v>
          </cell>
          <cell r="E3471" t="str">
            <v>B2490</v>
          </cell>
        </row>
        <row r="3472">
          <cell r="B3472" t="str">
            <v>B272-400-AS-190-BR-004</v>
          </cell>
          <cell r="E3472" t="str">
            <v>B24100</v>
          </cell>
        </row>
        <row r="3473">
          <cell r="B3473" t="str">
            <v>B272-400-AS-190-BR-005</v>
          </cell>
        </row>
        <row r="3474">
          <cell r="B3474" t="str">
            <v>B272-400-AS-190-BR-005</v>
          </cell>
          <cell r="E3474" t="str">
            <v>G-17(1/2)</v>
          </cell>
        </row>
        <row r="3475">
          <cell r="B3475" t="str">
            <v>B272-400-AS-190-BR-005</v>
          </cell>
          <cell r="E3475" t="str">
            <v>G-17(2/2)</v>
          </cell>
        </row>
        <row r="3476">
          <cell r="B3476" t="str">
            <v>B272-400-AS-190-BR-005</v>
          </cell>
          <cell r="E3476" t="str">
            <v>G-20(1/2)</v>
          </cell>
        </row>
        <row r="3477">
          <cell r="B3477" t="str">
            <v>B272-400-AS-190-BR-005</v>
          </cell>
          <cell r="E3477" t="str">
            <v>G-20(2/2)</v>
          </cell>
        </row>
        <row r="3478">
          <cell r="B3478" t="str">
            <v>B272-400-AS-190-BR-005</v>
          </cell>
          <cell r="E3478" t="str">
            <v>H-4</v>
          </cell>
        </row>
        <row r="3479">
          <cell r="B3479" t="str">
            <v>B272-400-AS-190-BR-005</v>
          </cell>
          <cell r="E3479" t="str">
            <v>HY-35</v>
          </cell>
        </row>
        <row r="3480">
          <cell r="B3480" t="str">
            <v>B272-400-AS-190-BR-005</v>
          </cell>
          <cell r="E3480" t="str">
            <v>HY-36</v>
          </cell>
        </row>
        <row r="3481">
          <cell r="B3481" t="str">
            <v>B272-400-AS-190-BR-005</v>
          </cell>
          <cell r="E3481" t="str">
            <v>HY-39</v>
          </cell>
        </row>
        <row r="3482">
          <cell r="B3482" t="str">
            <v>B272-400-AS-190-BR-005</v>
          </cell>
          <cell r="E3482" t="str">
            <v>HY-42</v>
          </cell>
        </row>
        <row r="3483">
          <cell r="B3483" t="str">
            <v>B272-400-AS-190-BR-005</v>
          </cell>
          <cell r="E3483" t="str">
            <v>P-171(1/6)</v>
          </cell>
        </row>
        <row r="3484">
          <cell r="B3484" t="str">
            <v>B272-400-AS-190-BR-005</v>
          </cell>
          <cell r="E3484" t="str">
            <v>P-171(2/6)</v>
          </cell>
        </row>
        <row r="3485">
          <cell r="B3485" t="str">
            <v>B272-400-AS-190-BR-005</v>
          </cell>
          <cell r="E3485" t="str">
            <v>P-171(3/6)</v>
          </cell>
        </row>
        <row r="3486">
          <cell r="B3486" t="str">
            <v>B272-400-AS-190-BR-005</v>
          </cell>
          <cell r="E3486" t="str">
            <v>P-171(4/6)</v>
          </cell>
        </row>
        <row r="3487">
          <cell r="B3487" t="str">
            <v>B272-400-AS-190-BR-005</v>
          </cell>
          <cell r="E3487" t="str">
            <v>P-171(5/6)</v>
          </cell>
        </row>
        <row r="3488">
          <cell r="B3488" t="str">
            <v>B272-400-AS-190-BR-005</v>
          </cell>
          <cell r="E3488" t="str">
            <v>P-171(6/6)</v>
          </cell>
        </row>
        <row r="3489">
          <cell r="B3489" t="str">
            <v>B272-400-AS-190-BR-005</v>
          </cell>
          <cell r="E3489" t="str">
            <v>P-374(1/8)</v>
          </cell>
        </row>
        <row r="3490">
          <cell r="B3490" t="str">
            <v>B272-400-AS-190-BR-005</v>
          </cell>
          <cell r="E3490" t="str">
            <v>P-374(2/8)</v>
          </cell>
        </row>
        <row r="3491">
          <cell r="B3491" t="str">
            <v>B272-400-AS-190-BR-005</v>
          </cell>
          <cell r="E3491" t="str">
            <v>P-374(3/8)</v>
          </cell>
        </row>
        <row r="3492">
          <cell r="B3492" t="str">
            <v>B272-400-AS-190-BR-005</v>
          </cell>
          <cell r="E3492" t="str">
            <v>P-374(4/8)</v>
          </cell>
        </row>
        <row r="3493">
          <cell r="B3493" t="str">
            <v>B272-400-AS-190-BR-005</v>
          </cell>
          <cell r="E3493" t="str">
            <v>P-374(5/8)</v>
          </cell>
        </row>
        <row r="3494">
          <cell r="B3494" t="str">
            <v>B272-400-AS-190-BR-005</v>
          </cell>
          <cell r="E3494" t="str">
            <v>P-374(6/8)</v>
          </cell>
        </row>
        <row r="3495">
          <cell r="B3495" t="str">
            <v>B272-400-AS-190-BR-005</v>
          </cell>
          <cell r="E3495" t="str">
            <v>P-374(7/8)</v>
          </cell>
        </row>
        <row r="3496">
          <cell r="B3496" t="str">
            <v>B272-400-AS-190-BR-005</v>
          </cell>
          <cell r="E3496" t="str">
            <v>P-374(8/8)</v>
          </cell>
        </row>
        <row r="3497">
          <cell r="B3497" t="str">
            <v>B272-400-AS-190-BR-005</v>
          </cell>
          <cell r="E3497" t="str">
            <v>P-378(1/8)</v>
          </cell>
        </row>
        <row r="3498">
          <cell r="B3498" t="str">
            <v>B272-400-AS-190-BR-005</v>
          </cell>
          <cell r="E3498" t="str">
            <v>P-378(2/8)</v>
          </cell>
        </row>
        <row r="3499">
          <cell r="B3499" t="str">
            <v>B272-400-AS-190-BR-005</v>
          </cell>
          <cell r="E3499" t="str">
            <v>P-378(3/8)</v>
          </cell>
        </row>
        <row r="3500">
          <cell r="B3500" t="str">
            <v>B272-400-AS-190-BR-005</v>
          </cell>
          <cell r="E3500" t="str">
            <v>P-378(4/8)</v>
          </cell>
        </row>
        <row r="3501">
          <cell r="B3501" t="str">
            <v>B272-400-AS-190-BR-005</v>
          </cell>
          <cell r="E3501" t="str">
            <v>P-378(5/8)</v>
          </cell>
        </row>
        <row r="3502">
          <cell r="B3502" t="str">
            <v>B272-400-AS-190-BR-005</v>
          </cell>
          <cell r="E3502" t="str">
            <v>P-378(6/8)</v>
          </cell>
        </row>
        <row r="3503">
          <cell r="B3503" t="str">
            <v>B272-400-AS-190-BR-005</v>
          </cell>
          <cell r="E3503" t="str">
            <v>P-378(7/8)</v>
          </cell>
        </row>
        <row r="3504">
          <cell r="B3504" t="str">
            <v>B272-400-AS-190-BR-005</v>
          </cell>
          <cell r="E3504" t="str">
            <v>P-378(8/8)</v>
          </cell>
        </row>
        <row r="3505">
          <cell r="B3505" t="str">
            <v>B272-400-AS-190-BR-005</v>
          </cell>
          <cell r="E3505" t="str">
            <v>P-464</v>
          </cell>
        </row>
        <row r="3506">
          <cell r="B3506" t="str">
            <v>B272-400-AS-190-BR-005</v>
          </cell>
          <cell r="E3506" t="str">
            <v>P-465</v>
          </cell>
        </row>
        <row r="3507">
          <cell r="B3507" t="str">
            <v>B272-400-AS-190-BR-005</v>
          </cell>
          <cell r="E3507" t="str">
            <v>P-467(1/4)</v>
          </cell>
        </row>
        <row r="3508">
          <cell r="B3508" t="str">
            <v>B272-400-AS-190-BR-005</v>
          </cell>
          <cell r="E3508" t="str">
            <v>P-467(2/4)</v>
          </cell>
        </row>
        <row r="3509">
          <cell r="B3509" t="str">
            <v>B272-400-AS-190-BR-005</v>
          </cell>
          <cell r="E3509" t="str">
            <v>P-467(3/4)</v>
          </cell>
        </row>
        <row r="3510">
          <cell r="B3510" t="str">
            <v>B272-400-AS-190-BR-005</v>
          </cell>
          <cell r="E3510" t="str">
            <v>P-467(4/4)</v>
          </cell>
        </row>
        <row r="3511">
          <cell r="B3511" t="str">
            <v>B272-400-AS-190-BR-005</v>
          </cell>
          <cell r="E3511" t="str">
            <v>P-528(1/2)</v>
          </cell>
        </row>
        <row r="3512">
          <cell r="B3512" t="str">
            <v>B272-400-AS-190-BR-005</v>
          </cell>
          <cell r="E3512" t="str">
            <v>P-528(2/2)</v>
          </cell>
        </row>
        <row r="3513">
          <cell r="B3513" t="str">
            <v>B272-400-AS-190-BR-005</v>
          </cell>
          <cell r="E3513" t="str">
            <v>P-1087</v>
          </cell>
        </row>
        <row r="3514">
          <cell r="B3514" t="str">
            <v>B272-400-AS-190-BR-005</v>
          </cell>
          <cell r="E3514" t="str">
            <v>P-1088</v>
          </cell>
        </row>
        <row r="3515">
          <cell r="B3515" t="str">
            <v>B272-400-AS-190-BR-005</v>
          </cell>
          <cell r="E3515" t="str">
            <v>P-1089</v>
          </cell>
        </row>
        <row r="3516">
          <cell r="B3516" t="str">
            <v>B272-400-AS-190-BR-006</v>
          </cell>
        </row>
        <row r="3517">
          <cell r="B3517" t="str">
            <v>B272-400-AS-190-BR-006</v>
          </cell>
          <cell r="E3517" t="str">
            <v>G-20(1/2)</v>
          </cell>
        </row>
        <row r="3518">
          <cell r="B3518" t="str">
            <v>B272-400-AS-190-BR-006</v>
          </cell>
          <cell r="E3518" t="str">
            <v>G-20(2/2)</v>
          </cell>
        </row>
        <row r="3519">
          <cell r="B3519" t="str">
            <v>B272-400-AS-190-BR-006</v>
          </cell>
          <cell r="E3519" t="str">
            <v>HY-41</v>
          </cell>
        </row>
        <row r="3520">
          <cell r="B3520" t="str">
            <v>B272-400-AS-190-BR-006</v>
          </cell>
          <cell r="E3520" t="str">
            <v>HY-46</v>
          </cell>
        </row>
        <row r="3521">
          <cell r="B3521" t="str">
            <v>B272-400-AS-190-BR-006</v>
          </cell>
          <cell r="E3521" t="str">
            <v>P-1073</v>
          </cell>
        </row>
        <row r="3522">
          <cell r="B3522" t="str">
            <v>B272-400-AS-190-BR-006</v>
          </cell>
          <cell r="E3522" t="str">
            <v>P-1074(1/2)</v>
          </cell>
        </row>
        <row r="3523">
          <cell r="B3523" t="str">
            <v>B272-400-AS-190-BR-006</v>
          </cell>
          <cell r="E3523" t="str">
            <v>P-1074(2/2)</v>
          </cell>
        </row>
        <row r="3524">
          <cell r="B3524" t="str">
            <v>B272-400-AS-190-BR-006</v>
          </cell>
          <cell r="E3524" t="str">
            <v>AY-19</v>
          </cell>
        </row>
        <row r="3525">
          <cell r="B3525" t="str">
            <v>B272-400-AS-190-BR-006</v>
          </cell>
          <cell r="E3525" t="str">
            <v>AY-20</v>
          </cell>
        </row>
        <row r="3526">
          <cell r="B3526" t="str">
            <v>B272-400-AS-190-BR-006</v>
          </cell>
          <cell r="E3526" t="str">
            <v>P-591(1/4)</v>
          </cell>
        </row>
        <row r="3527">
          <cell r="B3527" t="str">
            <v>B272-400-AS-190-BR-006</v>
          </cell>
          <cell r="E3527" t="str">
            <v>P-591(2/4)</v>
          </cell>
        </row>
        <row r="3528">
          <cell r="B3528" t="str">
            <v>B272-400-AS-190-BR-006</v>
          </cell>
          <cell r="E3528" t="str">
            <v>P-591(3/4)</v>
          </cell>
        </row>
        <row r="3529">
          <cell r="B3529" t="str">
            <v>B272-400-AS-190-BR-006</v>
          </cell>
          <cell r="E3529" t="str">
            <v>P-591(4/4)</v>
          </cell>
        </row>
        <row r="3530">
          <cell r="B3530" t="str">
            <v>B272-400-AS-190-BR-006</v>
          </cell>
          <cell r="E3530" t="str">
            <v>P-593(1/2)</v>
          </cell>
        </row>
        <row r="3531">
          <cell r="B3531" t="str">
            <v>B272-400-AS-190-BR-006</v>
          </cell>
          <cell r="E3531" t="str">
            <v>P-593(2/2)</v>
          </cell>
        </row>
        <row r="3532">
          <cell r="B3532" t="str">
            <v>B272-400-AS-190-BR-006</v>
          </cell>
          <cell r="E3532" t="str">
            <v>B2490</v>
          </cell>
        </row>
        <row r="3533">
          <cell r="B3533" t="str">
            <v>B272-400-AS-190-BR-007</v>
          </cell>
        </row>
        <row r="3534">
          <cell r="B3534" t="str">
            <v>B272-400-AS-190-BR-007</v>
          </cell>
          <cell r="E3534" t="str">
            <v>G-20(1/2)</v>
          </cell>
        </row>
        <row r="3535">
          <cell r="B3535" t="str">
            <v>B272-400-AS-190-BR-007</v>
          </cell>
          <cell r="E3535" t="str">
            <v>G-20(2/2)</v>
          </cell>
        </row>
        <row r="3536">
          <cell r="B3536" t="str">
            <v>B272-400-AS-190-BR-007</v>
          </cell>
          <cell r="E3536" t="str">
            <v>HY-43</v>
          </cell>
        </row>
        <row r="3537">
          <cell r="B3537" t="str">
            <v>B272-400-AS-190-BR-007</v>
          </cell>
          <cell r="E3537" t="str">
            <v>HY-46</v>
          </cell>
        </row>
        <row r="3538">
          <cell r="B3538" t="str">
            <v>B272-400-AS-190-BR-007</v>
          </cell>
          <cell r="E3538" t="str">
            <v>P-1073</v>
          </cell>
        </row>
        <row r="3539">
          <cell r="B3539" t="str">
            <v>B272-400-AS-190-BR-007</v>
          </cell>
          <cell r="E3539" t="str">
            <v>B2490</v>
          </cell>
        </row>
        <row r="3540">
          <cell r="B3540" t="str">
            <v>B272-400-AS-210-SK-001</v>
          </cell>
        </row>
        <row r="3541">
          <cell r="B3541" t="str">
            <v>B272-400-AS-210-SK-001</v>
          </cell>
          <cell r="E3541" t="str">
            <v>AF-1(1/4)</v>
          </cell>
        </row>
        <row r="3542">
          <cell r="B3542" t="str">
            <v>B272-400-AS-210-SK-001</v>
          </cell>
          <cell r="E3542" t="str">
            <v>AF-1(2/4)</v>
          </cell>
        </row>
        <row r="3543">
          <cell r="B3543" t="str">
            <v>B272-400-AS-210-SK-001</v>
          </cell>
          <cell r="E3543" t="str">
            <v>AF-1(3/4)</v>
          </cell>
        </row>
        <row r="3544">
          <cell r="B3544" t="str">
            <v>B272-400-AS-210-SK-001</v>
          </cell>
          <cell r="E3544" t="str">
            <v>AF-1(4/4)</v>
          </cell>
        </row>
        <row r="3545">
          <cell r="B3545" t="str">
            <v>B272-400-AS-210-SK-001</v>
          </cell>
          <cell r="E3545" t="str">
            <v>AF-11</v>
          </cell>
        </row>
        <row r="3546">
          <cell r="B3546" t="str">
            <v>B272-400-AS-210-SK-001</v>
          </cell>
          <cell r="E3546" t="str">
            <v>AF-12</v>
          </cell>
        </row>
        <row r="3547">
          <cell r="B3547" t="str">
            <v>B272-400-AS-210-SK-001</v>
          </cell>
          <cell r="E3547" t="str">
            <v>D-112</v>
          </cell>
        </row>
        <row r="3548">
          <cell r="B3548" t="str">
            <v>B272-400-AS-210-SK-001</v>
          </cell>
          <cell r="E3548" t="str">
            <v>D-118(1/2)</v>
          </cell>
        </row>
        <row r="3549">
          <cell r="B3549" t="str">
            <v>B272-400-AS-210-SK-001</v>
          </cell>
          <cell r="E3549" t="str">
            <v>D-118(2/2)</v>
          </cell>
        </row>
        <row r="3550">
          <cell r="B3550" t="str">
            <v>B272-400-AS-210-SK-001</v>
          </cell>
          <cell r="E3550" t="str">
            <v>D-119</v>
          </cell>
        </row>
        <row r="3551">
          <cell r="B3551" t="str">
            <v>B272-400-AS-210-SK-001</v>
          </cell>
          <cell r="E3551" t="str">
            <v>D-120</v>
          </cell>
        </row>
        <row r="3552">
          <cell r="B3552" t="str">
            <v>B272-400-AS-210-SK-001</v>
          </cell>
          <cell r="E3552" t="str">
            <v>D-121</v>
          </cell>
        </row>
        <row r="3553">
          <cell r="B3553" t="str">
            <v>B272-400-AS-210-SK-001</v>
          </cell>
          <cell r="E3553" t="str">
            <v>D-122</v>
          </cell>
        </row>
        <row r="3554">
          <cell r="B3554" t="str">
            <v>B272-400-AS-210-SK-001</v>
          </cell>
          <cell r="E3554" t="str">
            <v>D-123</v>
          </cell>
        </row>
        <row r="3555">
          <cell r="B3555" t="str">
            <v>B272-400-AS-210-SK-001</v>
          </cell>
          <cell r="E3555" t="str">
            <v>DY-1(1/2)</v>
          </cell>
        </row>
        <row r="3556">
          <cell r="B3556" t="str">
            <v>B272-400-AS-210-SK-001</v>
          </cell>
          <cell r="E3556" t="str">
            <v>DY-1(2/2)</v>
          </cell>
        </row>
        <row r="3557">
          <cell r="B3557" t="str">
            <v>B272-400-AS-210-SK-001</v>
          </cell>
          <cell r="E3557" t="str">
            <v>F-1</v>
          </cell>
        </row>
        <row r="3558">
          <cell r="B3558" t="str">
            <v>B272-400-AS-210-SK-001</v>
          </cell>
          <cell r="E3558" t="str">
            <v>F-2</v>
          </cell>
        </row>
        <row r="3559">
          <cell r="B3559" t="str">
            <v>B272-400-AS-210-SK-001</v>
          </cell>
          <cell r="E3559" t="str">
            <v>F-4</v>
          </cell>
        </row>
        <row r="3560">
          <cell r="B3560" t="str">
            <v>B272-400-AS-210-SK-001</v>
          </cell>
          <cell r="E3560" t="str">
            <v>F-5</v>
          </cell>
        </row>
        <row r="3561">
          <cell r="B3561" t="str">
            <v>B272-400-AS-210-SK-001</v>
          </cell>
          <cell r="E3561" t="str">
            <v>F-17</v>
          </cell>
        </row>
        <row r="3562">
          <cell r="B3562" t="str">
            <v>B272-400-AS-210-SK-001</v>
          </cell>
          <cell r="E3562" t="str">
            <v>F-18</v>
          </cell>
        </row>
        <row r="3563">
          <cell r="B3563" t="str">
            <v>B272-400-AS-210-SK-001</v>
          </cell>
          <cell r="E3563" t="str">
            <v>F-19</v>
          </cell>
        </row>
        <row r="3564">
          <cell r="B3564" t="str">
            <v>B272-400-AS-210-SK-001</v>
          </cell>
          <cell r="E3564" t="str">
            <v>F-20</v>
          </cell>
        </row>
        <row r="3565">
          <cell r="B3565" t="str">
            <v>B272-400-AS-210-SK-001</v>
          </cell>
          <cell r="E3565" t="str">
            <v>G-55(1/11)</v>
          </cell>
        </row>
        <row r="3566">
          <cell r="B3566" t="str">
            <v>B272-400-AS-210-SK-001</v>
          </cell>
          <cell r="E3566" t="str">
            <v>G-55(2/11)</v>
          </cell>
        </row>
        <row r="3567">
          <cell r="B3567" t="str">
            <v>B272-400-AS-210-SK-001</v>
          </cell>
          <cell r="E3567" t="str">
            <v>G-55(3/11)</v>
          </cell>
        </row>
        <row r="3568">
          <cell r="B3568" t="str">
            <v>B272-400-AS-210-SK-001</v>
          </cell>
          <cell r="E3568" t="str">
            <v>G-55(4/11)</v>
          </cell>
        </row>
        <row r="3569">
          <cell r="B3569" t="str">
            <v>B272-400-AS-210-SK-001</v>
          </cell>
          <cell r="E3569" t="str">
            <v>G-55(5/11)</v>
          </cell>
        </row>
        <row r="3570">
          <cell r="B3570" t="str">
            <v>B272-400-AS-210-SK-001</v>
          </cell>
          <cell r="E3570" t="str">
            <v>G-55(6/11)</v>
          </cell>
        </row>
        <row r="3571">
          <cell r="B3571" t="str">
            <v>B272-400-AS-210-SK-001</v>
          </cell>
          <cell r="E3571" t="str">
            <v>G-55(7/11)</v>
          </cell>
        </row>
        <row r="3572">
          <cell r="B3572" t="str">
            <v>B272-400-AS-210-SK-001</v>
          </cell>
          <cell r="E3572" t="str">
            <v>G-55(8/11)</v>
          </cell>
        </row>
        <row r="3573">
          <cell r="B3573" t="str">
            <v>B272-400-AS-210-SK-001</v>
          </cell>
          <cell r="E3573" t="str">
            <v>G-55(9/11)</v>
          </cell>
        </row>
        <row r="3574">
          <cell r="B3574" t="str">
            <v>B272-400-AS-210-SK-001</v>
          </cell>
          <cell r="E3574" t="str">
            <v>G-55(10/11)</v>
          </cell>
        </row>
        <row r="3575">
          <cell r="B3575" t="str">
            <v>B272-400-AS-210-SK-001</v>
          </cell>
          <cell r="E3575" t="str">
            <v>G-55(11/11)</v>
          </cell>
        </row>
        <row r="3576">
          <cell r="B3576" t="str">
            <v>B272-400-AS-210-SK-001</v>
          </cell>
          <cell r="E3576" t="str">
            <v>G-62(1/11)</v>
          </cell>
        </row>
        <row r="3577">
          <cell r="B3577" t="str">
            <v>B272-400-AS-210-SK-001</v>
          </cell>
          <cell r="E3577" t="str">
            <v>G-62(2/11)</v>
          </cell>
        </row>
        <row r="3578">
          <cell r="B3578" t="str">
            <v>B272-400-AS-210-SK-001</v>
          </cell>
          <cell r="E3578" t="str">
            <v>G-62(3/11)</v>
          </cell>
        </row>
        <row r="3579">
          <cell r="B3579" t="str">
            <v>B272-400-AS-210-SK-001</v>
          </cell>
          <cell r="E3579" t="str">
            <v>G-62(4/11)</v>
          </cell>
        </row>
        <row r="3580">
          <cell r="B3580" t="str">
            <v>B272-400-AS-210-SK-001</v>
          </cell>
          <cell r="E3580" t="str">
            <v>G-62(5/11)</v>
          </cell>
        </row>
        <row r="3581">
          <cell r="B3581" t="str">
            <v>B272-400-AS-210-SK-001</v>
          </cell>
          <cell r="E3581" t="str">
            <v>G-62(6/11)</v>
          </cell>
        </row>
        <row r="3582">
          <cell r="B3582" t="str">
            <v>B272-400-AS-210-SK-001</v>
          </cell>
          <cell r="E3582" t="str">
            <v>G-62(7/11)</v>
          </cell>
        </row>
        <row r="3583">
          <cell r="B3583" t="str">
            <v>B272-400-AS-210-SK-001</v>
          </cell>
          <cell r="E3583" t="str">
            <v>G-62(8/11)</v>
          </cell>
        </row>
        <row r="3584">
          <cell r="B3584" t="str">
            <v>B272-400-AS-210-SK-001</v>
          </cell>
          <cell r="E3584" t="str">
            <v>G-62(9/11)</v>
          </cell>
        </row>
        <row r="3585">
          <cell r="B3585" t="str">
            <v>B272-400-AS-210-SK-001</v>
          </cell>
          <cell r="E3585" t="str">
            <v>G-62(10/11)</v>
          </cell>
        </row>
        <row r="3586">
          <cell r="B3586" t="str">
            <v>B272-400-AS-210-SK-001</v>
          </cell>
          <cell r="E3586" t="str">
            <v>G-62(11/11)</v>
          </cell>
        </row>
        <row r="3587">
          <cell r="B3587" t="str">
            <v>B272-400-AS-210-SK-001</v>
          </cell>
          <cell r="E3587" t="str">
            <v>G-71(1/2)</v>
          </cell>
        </row>
        <row r="3588">
          <cell r="B3588" t="str">
            <v>B272-400-AS-210-SK-001</v>
          </cell>
          <cell r="E3588" t="str">
            <v>G-71(2/2)</v>
          </cell>
        </row>
        <row r="3589">
          <cell r="B3589" t="str">
            <v>B272-400-AS-210-SK-001</v>
          </cell>
          <cell r="E3589" t="str">
            <v>G-81(1/2)</v>
          </cell>
        </row>
        <row r="3590">
          <cell r="B3590" t="str">
            <v>B272-400-AS-210-SK-001</v>
          </cell>
          <cell r="E3590" t="str">
            <v>G-81(2/2)</v>
          </cell>
        </row>
        <row r="3591">
          <cell r="B3591" t="str">
            <v>B272-400-AS-210-SK-001</v>
          </cell>
          <cell r="E3591" t="str">
            <v>G-82(1/2)</v>
          </cell>
        </row>
        <row r="3592">
          <cell r="B3592" t="str">
            <v>B272-400-AS-210-SK-001</v>
          </cell>
          <cell r="E3592" t="str">
            <v>G-82(2/2)</v>
          </cell>
        </row>
        <row r="3593">
          <cell r="B3593" t="str">
            <v>B272-400-AS-210-SK-001</v>
          </cell>
          <cell r="E3593" t="str">
            <v>N-6</v>
          </cell>
        </row>
        <row r="3594">
          <cell r="B3594" t="str">
            <v>B272-400-AS-210-SK-001</v>
          </cell>
          <cell r="E3594" t="str">
            <v>P-61</v>
          </cell>
        </row>
        <row r="3595">
          <cell r="B3595" t="str">
            <v>B272-400-AS-210-SK-001</v>
          </cell>
          <cell r="E3595" t="str">
            <v>P-161(1/2)</v>
          </cell>
        </row>
        <row r="3596">
          <cell r="B3596" t="str">
            <v>B272-400-AS-210-SK-001</v>
          </cell>
          <cell r="E3596" t="str">
            <v>P-161(2/2)</v>
          </cell>
        </row>
        <row r="3597">
          <cell r="B3597" t="str">
            <v>B272-400-AS-210-SK-001</v>
          </cell>
          <cell r="E3597" t="str">
            <v>P-527(1/2)</v>
          </cell>
        </row>
        <row r="3598">
          <cell r="B3598" t="str">
            <v>B272-400-AS-210-SK-001</v>
          </cell>
          <cell r="E3598" t="str">
            <v>P-527-A(1/2)</v>
          </cell>
        </row>
        <row r="3599">
          <cell r="B3599" t="str">
            <v>B272-400-AS-210-SK-001</v>
          </cell>
          <cell r="E3599" t="str">
            <v>P-527-B(1/2)</v>
          </cell>
        </row>
        <row r="3600">
          <cell r="B3600" t="str">
            <v>B272-400-AS-210-SK-001</v>
          </cell>
          <cell r="E3600" t="str">
            <v>P-527(2/2)</v>
          </cell>
        </row>
        <row r="3601">
          <cell r="B3601" t="str">
            <v>B272-400-AS-210-SK-001</v>
          </cell>
          <cell r="E3601" t="str">
            <v>P-527-A(2/2)</v>
          </cell>
        </row>
        <row r="3602">
          <cell r="B3602" t="str">
            <v>B272-400-AS-210-SK-001</v>
          </cell>
          <cell r="E3602" t="str">
            <v>P-527-B(2/2)</v>
          </cell>
        </row>
        <row r="3603">
          <cell r="B3603" t="str">
            <v>B272-400-AS-210-SK-001</v>
          </cell>
          <cell r="E3603" t="str">
            <v>P-531(1/2)</v>
          </cell>
        </row>
        <row r="3604">
          <cell r="B3604" t="str">
            <v>B272-400-AS-210-SK-001</v>
          </cell>
          <cell r="E3604" t="str">
            <v>P-531-A(1/2)</v>
          </cell>
        </row>
        <row r="3605">
          <cell r="B3605" t="str">
            <v>B272-400-AS-210-SK-001</v>
          </cell>
          <cell r="E3605" t="str">
            <v>P-531-B(1/2)</v>
          </cell>
        </row>
        <row r="3606">
          <cell r="B3606" t="str">
            <v>B272-400-AS-210-SK-001</v>
          </cell>
          <cell r="E3606" t="str">
            <v>P-531(2/2)</v>
          </cell>
        </row>
        <row r="3607">
          <cell r="B3607" t="str">
            <v>B272-400-AS-210-SK-001</v>
          </cell>
          <cell r="E3607" t="str">
            <v>P-531-A(2/2)</v>
          </cell>
        </row>
        <row r="3608">
          <cell r="B3608" t="str">
            <v>B272-400-AS-210-SK-001</v>
          </cell>
          <cell r="E3608" t="str">
            <v>P-531-B(2/2)</v>
          </cell>
        </row>
        <row r="3609">
          <cell r="B3609" t="str">
            <v>B272-400-AS-210-SK-001</v>
          </cell>
          <cell r="E3609" t="str">
            <v>P-619</v>
          </cell>
        </row>
        <row r="3610">
          <cell r="B3610" t="str">
            <v>B272-400-AS-210-SK-001</v>
          </cell>
          <cell r="E3610" t="str">
            <v>P-893</v>
          </cell>
        </row>
        <row r="3611">
          <cell r="B3611" t="str">
            <v>B272-400-AS-210-SK-001</v>
          </cell>
          <cell r="E3611" t="str">
            <v>P-895</v>
          </cell>
        </row>
        <row r="3612">
          <cell r="B3612" t="str">
            <v>B272-400-AS-210-SK-001</v>
          </cell>
          <cell r="E3612" t="str">
            <v>P-944(1/4)</v>
          </cell>
        </row>
        <row r="3613">
          <cell r="B3613" t="str">
            <v>B272-400-AS-210-SK-001</v>
          </cell>
          <cell r="E3613" t="str">
            <v>P-944(2/4)</v>
          </cell>
        </row>
        <row r="3614">
          <cell r="B3614" t="str">
            <v>B272-400-AS-210-SK-001</v>
          </cell>
          <cell r="E3614" t="str">
            <v>P-944(3/4)</v>
          </cell>
        </row>
        <row r="3615">
          <cell r="B3615" t="str">
            <v>B272-400-AS-210-SK-001</v>
          </cell>
          <cell r="E3615" t="str">
            <v>P-944(4/4)</v>
          </cell>
        </row>
        <row r="3616">
          <cell r="B3616" t="str">
            <v>B272-400-AS-210-SK-001</v>
          </cell>
          <cell r="E3616" t="str">
            <v>P-1042</v>
          </cell>
        </row>
        <row r="3617">
          <cell r="B3617" t="str">
            <v>B272-400-AS-210-SK-001</v>
          </cell>
          <cell r="E3617" t="str">
            <v>P-1043(1/2)</v>
          </cell>
        </row>
        <row r="3618">
          <cell r="B3618" t="str">
            <v>B272-400-AS-210-SK-001</v>
          </cell>
          <cell r="E3618" t="str">
            <v>P-1043(2/2)</v>
          </cell>
        </row>
        <row r="3619">
          <cell r="B3619" t="str">
            <v>B272-400-AS-210-SK-001</v>
          </cell>
          <cell r="E3619" t="str">
            <v>P-1044(1/2)</v>
          </cell>
        </row>
        <row r="3620">
          <cell r="B3620" t="str">
            <v>B272-400-AS-210-SK-001</v>
          </cell>
          <cell r="E3620" t="str">
            <v>P-1044(2/2)</v>
          </cell>
        </row>
        <row r="3621">
          <cell r="B3621" t="str">
            <v>B272-400-AS-210-SK-001</v>
          </cell>
          <cell r="E3621" t="str">
            <v>P-1046</v>
          </cell>
        </row>
        <row r="3622">
          <cell r="B3622" t="str">
            <v>B272-400-AS-210-SK-001</v>
          </cell>
          <cell r="E3622" t="str">
            <v>P-1048(1/62)</v>
          </cell>
        </row>
        <row r="3623">
          <cell r="B3623" t="str">
            <v>B272-400-AS-210-SK-001</v>
          </cell>
          <cell r="E3623" t="str">
            <v>P-1048(2/62)</v>
          </cell>
        </row>
        <row r="3624">
          <cell r="B3624" t="str">
            <v>B272-400-AS-210-SK-001</v>
          </cell>
          <cell r="E3624" t="str">
            <v>P-1048(3/62)</v>
          </cell>
        </row>
        <row r="3625">
          <cell r="B3625" t="str">
            <v>B272-400-AS-210-SK-001</v>
          </cell>
          <cell r="E3625" t="str">
            <v>P-1048(4/62)</v>
          </cell>
        </row>
        <row r="3626">
          <cell r="B3626" t="str">
            <v>B272-400-AS-210-SK-001</v>
          </cell>
          <cell r="E3626" t="str">
            <v>P-1048(5/62)</v>
          </cell>
        </row>
        <row r="3627">
          <cell r="B3627" t="str">
            <v>B272-400-AS-210-SK-001</v>
          </cell>
          <cell r="E3627" t="str">
            <v>P-1048(6/62)</v>
          </cell>
        </row>
        <row r="3628">
          <cell r="B3628" t="str">
            <v>B272-400-AS-210-SK-001</v>
          </cell>
          <cell r="E3628" t="str">
            <v>P-1048(7/62)</v>
          </cell>
        </row>
        <row r="3629">
          <cell r="B3629" t="str">
            <v>B272-400-AS-210-SK-001</v>
          </cell>
          <cell r="E3629" t="str">
            <v>P-1048(8/62)</v>
          </cell>
        </row>
        <row r="3630">
          <cell r="B3630" t="str">
            <v>B272-400-AS-210-SK-001</v>
          </cell>
          <cell r="E3630" t="str">
            <v>P-1048(9/62)</v>
          </cell>
        </row>
        <row r="3631">
          <cell r="B3631" t="str">
            <v>B272-400-AS-210-SK-001</v>
          </cell>
          <cell r="E3631" t="str">
            <v>P-1048(10/62)</v>
          </cell>
        </row>
        <row r="3632">
          <cell r="B3632" t="str">
            <v>B272-400-AS-210-SK-001</v>
          </cell>
          <cell r="E3632" t="str">
            <v>P-1048(11/62)</v>
          </cell>
        </row>
        <row r="3633">
          <cell r="B3633" t="str">
            <v>B272-400-AS-210-SK-001</v>
          </cell>
          <cell r="E3633" t="str">
            <v>P-1048(12/62)</v>
          </cell>
        </row>
        <row r="3634">
          <cell r="B3634" t="str">
            <v>B272-400-AS-210-SK-001</v>
          </cell>
          <cell r="E3634" t="str">
            <v>P-1048(13/62)</v>
          </cell>
        </row>
        <row r="3635">
          <cell r="B3635" t="str">
            <v>B272-400-AS-210-SK-001</v>
          </cell>
          <cell r="E3635" t="str">
            <v>P-1048(14/62)</v>
          </cell>
        </row>
        <row r="3636">
          <cell r="B3636" t="str">
            <v>B272-400-AS-210-SK-001</v>
          </cell>
          <cell r="E3636" t="str">
            <v>P-1048(15/62)</v>
          </cell>
        </row>
        <row r="3637">
          <cell r="B3637" t="str">
            <v>B272-400-AS-210-SK-001</v>
          </cell>
          <cell r="E3637" t="str">
            <v>P-1048(16/62)</v>
          </cell>
        </row>
        <row r="3638">
          <cell r="B3638" t="str">
            <v>B272-400-AS-210-SK-001</v>
          </cell>
          <cell r="E3638" t="str">
            <v>P-1048(17/62)</v>
          </cell>
        </row>
        <row r="3639">
          <cell r="B3639" t="str">
            <v>B272-400-AS-210-SK-001</v>
          </cell>
          <cell r="E3639" t="str">
            <v>P-1048(18/62)</v>
          </cell>
        </row>
        <row r="3640">
          <cell r="B3640" t="str">
            <v>B272-400-AS-210-SK-001</v>
          </cell>
          <cell r="E3640" t="str">
            <v>P-1048(19/62)</v>
          </cell>
        </row>
        <row r="3641">
          <cell r="B3641" t="str">
            <v>B272-400-AS-210-SK-001</v>
          </cell>
          <cell r="E3641" t="str">
            <v>P-1048(20/62)</v>
          </cell>
        </row>
        <row r="3642">
          <cell r="B3642" t="str">
            <v>B272-400-AS-210-SK-001</v>
          </cell>
          <cell r="E3642" t="str">
            <v>P-1048(21/62)</v>
          </cell>
        </row>
        <row r="3643">
          <cell r="B3643" t="str">
            <v>B272-400-AS-210-SK-001</v>
          </cell>
          <cell r="E3643" t="str">
            <v>P-1048(22/62)</v>
          </cell>
        </row>
        <row r="3644">
          <cell r="B3644" t="str">
            <v>B272-400-AS-210-SK-001</v>
          </cell>
          <cell r="E3644" t="str">
            <v>P-1048(23/62)</v>
          </cell>
        </row>
        <row r="3645">
          <cell r="B3645" t="str">
            <v>B272-400-AS-210-SK-001</v>
          </cell>
          <cell r="E3645" t="str">
            <v>P-1048(24/62)</v>
          </cell>
        </row>
        <row r="3646">
          <cell r="B3646" t="str">
            <v>B272-400-AS-210-SK-001</v>
          </cell>
          <cell r="E3646" t="str">
            <v>P-1048(25/62)</v>
          </cell>
        </row>
        <row r="3647">
          <cell r="B3647" t="str">
            <v>B272-400-AS-210-SK-001</v>
          </cell>
          <cell r="E3647" t="str">
            <v>P-1048(26/62)</v>
          </cell>
        </row>
        <row r="3648">
          <cell r="B3648" t="str">
            <v>B272-400-AS-210-SK-001</v>
          </cell>
          <cell r="E3648" t="str">
            <v>P-1048(27/62)</v>
          </cell>
        </row>
        <row r="3649">
          <cell r="B3649" t="str">
            <v>B272-400-AS-210-SK-001</v>
          </cell>
          <cell r="E3649" t="str">
            <v>P-1048(28/62)</v>
          </cell>
        </row>
        <row r="3650">
          <cell r="B3650" t="str">
            <v>B272-400-AS-210-SK-001</v>
          </cell>
          <cell r="E3650" t="str">
            <v>P-1048(29/62)</v>
          </cell>
        </row>
        <row r="3651">
          <cell r="B3651" t="str">
            <v>B272-400-AS-210-SK-001</v>
          </cell>
          <cell r="E3651" t="str">
            <v>P-1048(30/62)</v>
          </cell>
        </row>
        <row r="3652">
          <cell r="B3652" t="str">
            <v>B272-400-AS-210-SK-001</v>
          </cell>
          <cell r="E3652" t="str">
            <v>P-1048(31/62)</v>
          </cell>
        </row>
        <row r="3653">
          <cell r="B3653" t="str">
            <v>B272-400-AS-210-SK-001</v>
          </cell>
          <cell r="E3653" t="str">
            <v>P-1048(32/62)</v>
          </cell>
        </row>
        <row r="3654">
          <cell r="B3654" t="str">
            <v>B272-400-AS-210-SK-001</v>
          </cell>
          <cell r="E3654" t="str">
            <v>P-1048(33/62)</v>
          </cell>
        </row>
        <row r="3655">
          <cell r="B3655" t="str">
            <v>B272-400-AS-210-SK-001</v>
          </cell>
          <cell r="E3655" t="str">
            <v>P-1048(34/62)</v>
          </cell>
        </row>
        <row r="3656">
          <cell r="B3656" t="str">
            <v>B272-400-AS-210-SK-001</v>
          </cell>
          <cell r="E3656" t="str">
            <v>P-1048(35/62)</v>
          </cell>
        </row>
        <row r="3657">
          <cell r="B3657" t="str">
            <v>B272-400-AS-210-SK-001</v>
          </cell>
          <cell r="E3657" t="str">
            <v>P-1048(36/62)</v>
          </cell>
        </row>
        <row r="3658">
          <cell r="B3658" t="str">
            <v>B272-400-AS-210-SK-001</v>
          </cell>
          <cell r="E3658" t="str">
            <v>P-1048(37/62)</v>
          </cell>
        </row>
        <row r="3659">
          <cell r="B3659" t="str">
            <v>B272-400-AS-210-SK-001</v>
          </cell>
          <cell r="E3659" t="str">
            <v>P-1048(38/62)</v>
          </cell>
        </row>
        <row r="3660">
          <cell r="B3660" t="str">
            <v>B272-400-AS-210-SK-001</v>
          </cell>
          <cell r="E3660" t="str">
            <v>P-1048(39/62)</v>
          </cell>
        </row>
        <row r="3661">
          <cell r="B3661" t="str">
            <v>B272-400-AS-210-SK-001</v>
          </cell>
          <cell r="E3661" t="str">
            <v>P-1048(40/62)</v>
          </cell>
        </row>
        <row r="3662">
          <cell r="B3662" t="str">
            <v>B272-400-AS-210-SK-001</v>
          </cell>
          <cell r="E3662" t="str">
            <v>P-1048(41/62)</v>
          </cell>
        </row>
        <row r="3663">
          <cell r="B3663" t="str">
            <v>B272-400-AS-210-SK-001</v>
          </cell>
          <cell r="E3663" t="str">
            <v>P-1048(42/62)</v>
          </cell>
        </row>
        <row r="3664">
          <cell r="B3664" t="str">
            <v>B272-400-AS-210-SK-001</v>
          </cell>
          <cell r="E3664" t="str">
            <v>P-1048(43/62)</v>
          </cell>
        </row>
        <row r="3665">
          <cell r="B3665" t="str">
            <v>B272-400-AS-210-SK-001</v>
          </cell>
          <cell r="E3665" t="str">
            <v>P-1048(44/62)</v>
          </cell>
        </row>
        <row r="3666">
          <cell r="B3666" t="str">
            <v>B272-400-AS-210-SK-001</v>
          </cell>
          <cell r="E3666" t="str">
            <v>P-1048(45/62)</v>
          </cell>
        </row>
        <row r="3667">
          <cell r="B3667" t="str">
            <v>B272-400-AS-210-SK-001</v>
          </cell>
          <cell r="E3667" t="str">
            <v>P-1048(46/62)</v>
          </cell>
        </row>
        <row r="3668">
          <cell r="B3668" t="str">
            <v>B272-400-AS-210-SK-001</v>
          </cell>
          <cell r="E3668" t="str">
            <v>P-1048(47/62)</v>
          </cell>
        </row>
        <row r="3669">
          <cell r="B3669" t="str">
            <v>B272-400-AS-210-SK-001</v>
          </cell>
          <cell r="E3669" t="str">
            <v>P-1048(48/62)</v>
          </cell>
        </row>
        <row r="3670">
          <cell r="B3670" t="str">
            <v>B272-400-AS-210-SK-001</v>
          </cell>
          <cell r="E3670" t="str">
            <v>P-1048(49/62)</v>
          </cell>
        </row>
        <row r="3671">
          <cell r="B3671" t="str">
            <v>B272-400-AS-210-SK-001</v>
          </cell>
          <cell r="E3671" t="str">
            <v>P-1048(50/62)</v>
          </cell>
        </row>
        <row r="3672">
          <cell r="B3672" t="str">
            <v>B272-400-AS-210-SK-001</v>
          </cell>
          <cell r="E3672" t="str">
            <v>P-1048(51/62)</v>
          </cell>
        </row>
        <row r="3673">
          <cell r="B3673" t="str">
            <v>B272-400-AS-210-SK-001</v>
          </cell>
          <cell r="E3673" t="str">
            <v>P-1048(52/62)</v>
          </cell>
        </row>
        <row r="3674">
          <cell r="B3674" t="str">
            <v>B272-400-AS-210-SK-001</v>
          </cell>
          <cell r="E3674" t="str">
            <v>P-1048(53/62)</v>
          </cell>
        </row>
        <row r="3675">
          <cell r="B3675" t="str">
            <v>B272-400-AS-210-SK-001</v>
          </cell>
          <cell r="E3675" t="str">
            <v>P-1048(54/62)</v>
          </cell>
        </row>
        <row r="3676">
          <cell r="B3676" t="str">
            <v>B272-400-AS-210-SK-001</v>
          </cell>
          <cell r="E3676" t="str">
            <v>P-1048(55/62)</v>
          </cell>
        </row>
        <row r="3677">
          <cell r="B3677" t="str">
            <v>B272-400-AS-210-SK-001</v>
          </cell>
          <cell r="E3677" t="str">
            <v>P-1048(56/62)</v>
          </cell>
        </row>
        <row r="3678">
          <cell r="B3678" t="str">
            <v>B272-400-AS-210-SK-001</v>
          </cell>
          <cell r="E3678" t="str">
            <v>P-1048(57/62)</v>
          </cell>
        </row>
        <row r="3679">
          <cell r="B3679" t="str">
            <v>B272-400-AS-210-SK-001</v>
          </cell>
          <cell r="E3679" t="str">
            <v>P-1048(58/62)</v>
          </cell>
        </row>
        <row r="3680">
          <cell r="B3680" t="str">
            <v>B272-400-AS-210-SK-001</v>
          </cell>
          <cell r="E3680" t="str">
            <v>P-1048(59/62)</v>
          </cell>
        </row>
        <row r="3681">
          <cell r="B3681" t="str">
            <v>B272-400-AS-210-SK-001</v>
          </cell>
          <cell r="E3681" t="str">
            <v>P-1048(60/62)</v>
          </cell>
        </row>
        <row r="3682">
          <cell r="B3682" t="str">
            <v>B272-400-AS-210-SK-001</v>
          </cell>
          <cell r="E3682" t="str">
            <v>P-1048(61/62)</v>
          </cell>
        </row>
        <row r="3683">
          <cell r="B3683" t="str">
            <v>B272-400-AS-210-SK-001</v>
          </cell>
          <cell r="E3683" t="str">
            <v>P-1048(62/62)</v>
          </cell>
        </row>
        <row r="3684">
          <cell r="B3684" t="str">
            <v>B272-400-AS-210-SK-001</v>
          </cell>
          <cell r="E3684" t="str">
            <v>P-1052(1/4)</v>
          </cell>
        </row>
        <row r="3685">
          <cell r="B3685" t="str">
            <v>B272-400-AS-210-SK-001</v>
          </cell>
          <cell r="E3685" t="str">
            <v>P-1052(2/4)</v>
          </cell>
        </row>
        <row r="3686">
          <cell r="B3686" t="str">
            <v>B272-400-AS-210-SK-001</v>
          </cell>
          <cell r="E3686" t="str">
            <v>P-1052(3/4)</v>
          </cell>
        </row>
        <row r="3687">
          <cell r="B3687" t="str">
            <v>B272-400-AS-210-SK-001</v>
          </cell>
          <cell r="E3687" t="str">
            <v>P-1052(4/4)</v>
          </cell>
        </row>
        <row r="3688">
          <cell r="B3688" t="str">
            <v>B272-400-AS-210-SK-001</v>
          </cell>
          <cell r="E3688" t="str">
            <v>P-1141(1/69)</v>
          </cell>
        </row>
        <row r="3689">
          <cell r="B3689" t="str">
            <v>B272-400-AS-210-SK-001</v>
          </cell>
          <cell r="E3689" t="str">
            <v>P-1141(2/69)</v>
          </cell>
        </row>
        <row r="3690">
          <cell r="B3690" t="str">
            <v>B272-400-AS-210-SK-001</v>
          </cell>
          <cell r="E3690" t="str">
            <v>P-1141(3/69)</v>
          </cell>
        </row>
        <row r="3691">
          <cell r="B3691" t="str">
            <v>B272-400-AS-210-SK-001</v>
          </cell>
          <cell r="E3691" t="str">
            <v>P-1141(4/69)</v>
          </cell>
        </row>
        <row r="3692">
          <cell r="B3692" t="str">
            <v>B272-400-AS-210-SK-001</v>
          </cell>
          <cell r="E3692" t="str">
            <v>P-1141(5/69)</v>
          </cell>
        </row>
        <row r="3693">
          <cell r="B3693" t="str">
            <v>B272-400-AS-210-SK-001</v>
          </cell>
          <cell r="E3693" t="str">
            <v>P-1141(6/69)</v>
          </cell>
        </row>
        <row r="3694">
          <cell r="B3694" t="str">
            <v>B272-400-AS-210-SK-001</v>
          </cell>
          <cell r="E3694" t="str">
            <v>P-1141(7/69)</v>
          </cell>
        </row>
        <row r="3695">
          <cell r="B3695" t="str">
            <v>B272-400-AS-210-SK-001</v>
          </cell>
          <cell r="E3695" t="str">
            <v>P-1141(8/69)</v>
          </cell>
        </row>
        <row r="3696">
          <cell r="B3696" t="str">
            <v>B272-400-AS-210-SK-001</v>
          </cell>
          <cell r="E3696" t="str">
            <v>P-1141(9/69)</v>
          </cell>
        </row>
        <row r="3697">
          <cell r="B3697" t="str">
            <v>B272-400-AS-210-SK-001</v>
          </cell>
          <cell r="E3697" t="str">
            <v>P-1141(10/69)</v>
          </cell>
        </row>
        <row r="3698">
          <cell r="B3698" t="str">
            <v>B272-400-AS-210-SK-001</v>
          </cell>
          <cell r="E3698" t="str">
            <v>P-1141(11/69)</v>
          </cell>
        </row>
        <row r="3699">
          <cell r="B3699" t="str">
            <v>B272-400-AS-210-SK-001</v>
          </cell>
          <cell r="E3699" t="str">
            <v>P-1141(12/69)</v>
          </cell>
        </row>
        <row r="3700">
          <cell r="B3700" t="str">
            <v>B272-400-AS-210-SK-001</v>
          </cell>
          <cell r="E3700" t="str">
            <v>P-1141(13/69)</v>
          </cell>
        </row>
        <row r="3701">
          <cell r="B3701" t="str">
            <v>B272-400-AS-210-SK-001</v>
          </cell>
          <cell r="E3701" t="str">
            <v>P-1141(14/69)</v>
          </cell>
        </row>
        <row r="3702">
          <cell r="B3702" t="str">
            <v>B272-400-AS-210-SK-001</v>
          </cell>
          <cell r="E3702" t="str">
            <v>P-1141(15/69)</v>
          </cell>
        </row>
        <row r="3703">
          <cell r="B3703" t="str">
            <v>B272-400-AS-210-SK-001</v>
          </cell>
          <cell r="E3703" t="str">
            <v>P-1141(16/69)</v>
          </cell>
        </row>
        <row r="3704">
          <cell r="B3704" t="str">
            <v>B272-400-AS-210-SK-001</v>
          </cell>
          <cell r="E3704" t="str">
            <v>P-1141(17/69)</v>
          </cell>
        </row>
        <row r="3705">
          <cell r="B3705" t="str">
            <v>B272-400-AS-210-SK-001</v>
          </cell>
          <cell r="E3705" t="str">
            <v>P-1141(18/69)</v>
          </cell>
        </row>
        <row r="3706">
          <cell r="B3706" t="str">
            <v>B272-400-AS-210-SK-001</v>
          </cell>
          <cell r="E3706" t="str">
            <v>P-1141(19/69)</v>
          </cell>
        </row>
        <row r="3707">
          <cell r="B3707" t="str">
            <v>B272-400-AS-210-SK-001</v>
          </cell>
          <cell r="E3707" t="str">
            <v>P-1141(20/69)</v>
          </cell>
        </row>
        <row r="3708">
          <cell r="B3708" t="str">
            <v>B272-400-AS-210-SK-001</v>
          </cell>
          <cell r="E3708" t="str">
            <v>P-1141(21/69)</v>
          </cell>
        </row>
        <row r="3709">
          <cell r="B3709" t="str">
            <v>B272-400-AS-210-SK-001</v>
          </cell>
          <cell r="E3709" t="str">
            <v>P-1141(22/69)</v>
          </cell>
        </row>
        <row r="3710">
          <cell r="B3710" t="str">
            <v>B272-400-AS-210-SK-001</v>
          </cell>
          <cell r="E3710" t="str">
            <v>P-1141(23/69)</v>
          </cell>
        </row>
        <row r="3711">
          <cell r="B3711" t="str">
            <v>B272-400-AS-210-SK-001</v>
          </cell>
          <cell r="E3711" t="str">
            <v>P-1141(24/69)</v>
          </cell>
        </row>
        <row r="3712">
          <cell r="B3712" t="str">
            <v>B272-400-AS-210-SK-001</v>
          </cell>
          <cell r="E3712" t="str">
            <v>P-1141(25/69)</v>
          </cell>
        </row>
        <row r="3713">
          <cell r="B3713" t="str">
            <v>B272-400-AS-210-SK-001</v>
          </cell>
          <cell r="E3713" t="str">
            <v>P-1141(26/69)</v>
          </cell>
        </row>
        <row r="3714">
          <cell r="B3714" t="str">
            <v>B272-400-AS-210-SK-001</v>
          </cell>
          <cell r="E3714" t="str">
            <v>P-1141(27/69)</v>
          </cell>
        </row>
        <row r="3715">
          <cell r="B3715" t="str">
            <v>B272-400-AS-210-SK-001</v>
          </cell>
          <cell r="E3715" t="str">
            <v>P-1141(28/69)</v>
          </cell>
        </row>
        <row r="3716">
          <cell r="B3716" t="str">
            <v>B272-400-AS-210-SK-001</v>
          </cell>
          <cell r="E3716" t="str">
            <v>P-1141(29/69)</v>
          </cell>
        </row>
        <row r="3717">
          <cell r="B3717" t="str">
            <v>B272-400-AS-210-SK-001</v>
          </cell>
          <cell r="E3717" t="str">
            <v>P-1141(30/69)</v>
          </cell>
        </row>
        <row r="3718">
          <cell r="B3718" t="str">
            <v>B272-400-AS-210-SK-001</v>
          </cell>
          <cell r="E3718" t="str">
            <v>P-1141(31/69)</v>
          </cell>
        </row>
        <row r="3719">
          <cell r="B3719" t="str">
            <v>B272-400-AS-210-SK-001</v>
          </cell>
          <cell r="E3719" t="str">
            <v>P-1141(32/69)</v>
          </cell>
        </row>
        <row r="3720">
          <cell r="B3720" t="str">
            <v>B272-400-AS-210-SK-001</v>
          </cell>
          <cell r="E3720" t="str">
            <v>P-1141(33/69)</v>
          </cell>
        </row>
        <row r="3721">
          <cell r="B3721" t="str">
            <v>B272-400-AS-210-SK-001</v>
          </cell>
          <cell r="E3721" t="str">
            <v>P-1141(34/69)</v>
          </cell>
        </row>
        <row r="3722">
          <cell r="B3722" t="str">
            <v>B272-400-AS-210-SK-001</v>
          </cell>
          <cell r="E3722" t="str">
            <v>P-1141(35/69)</v>
          </cell>
        </row>
        <row r="3723">
          <cell r="B3723" t="str">
            <v>B272-400-AS-210-SK-001</v>
          </cell>
          <cell r="E3723" t="str">
            <v>P-1141(36/69)</v>
          </cell>
        </row>
        <row r="3724">
          <cell r="B3724" t="str">
            <v>B272-400-AS-210-SK-001</v>
          </cell>
          <cell r="E3724" t="str">
            <v>P-1141(37/69)</v>
          </cell>
        </row>
        <row r="3725">
          <cell r="B3725" t="str">
            <v>B272-400-AS-210-SK-001</v>
          </cell>
          <cell r="E3725" t="str">
            <v>P-1141(38/69)</v>
          </cell>
        </row>
        <row r="3726">
          <cell r="B3726" t="str">
            <v>B272-400-AS-210-SK-001</v>
          </cell>
          <cell r="E3726" t="str">
            <v>P-1141(39/69)</v>
          </cell>
        </row>
        <row r="3727">
          <cell r="B3727" t="str">
            <v>B272-400-AS-210-SK-001</v>
          </cell>
          <cell r="E3727" t="str">
            <v>P-1141(40/69)</v>
          </cell>
        </row>
        <row r="3728">
          <cell r="B3728" t="str">
            <v>B272-400-AS-210-SK-001</v>
          </cell>
          <cell r="E3728" t="str">
            <v>P-1141(41/69)</v>
          </cell>
        </row>
        <row r="3729">
          <cell r="B3729" t="str">
            <v>B272-400-AS-210-SK-001</v>
          </cell>
          <cell r="E3729" t="str">
            <v>P-1141(42/69)</v>
          </cell>
        </row>
        <row r="3730">
          <cell r="B3730" t="str">
            <v>B272-400-AS-210-SK-001</v>
          </cell>
          <cell r="E3730" t="str">
            <v>P-1141(43/69)</v>
          </cell>
        </row>
        <row r="3731">
          <cell r="B3731" t="str">
            <v>B272-400-AS-210-SK-001</v>
          </cell>
          <cell r="E3731" t="str">
            <v>P-1141(44/69)</v>
          </cell>
        </row>
        <row r="3732">
          <cell r="B3732" t="str">
            <v>B272-400-AS-210-SK-001</v>
          </cell>
          <cell r="E3732" t="str">
            <v>P-1141(45/69)</v>
          </cell>
        </row>
        <row r="3733">
          <cell r="B3733" t="str">
            <v>B272-400-AS-210-SK-001</v>
          </cell>
          <cell r="E3733" t="str">
            <v>P-1141(46/69)</v>
          </cell>
        </row>
        <row r="3734">
          <cell r="B3734" t="str">
            <v>B272-400-AS-210-SK-001</v>
          </cell>
          <cell r="E3734" t="str">
            <v>P-1141(47/69)</v>
          </cell>
        </row>
        <row r="3735">
          <cell r="B3735" t="str">
            <v>B272-400-AS-210-SK-001</v>
          </cell>
          <cell r="E3735" t="str">
            <v>P-1141(48/69)</v>
          </cell>
        </row>
        <row r="3736">
          <cell r="B3736" t="str">
            <v>B272-400-AS-210-SK-001</v>
          </cell>
          <cell r="E3736" t="str">
            <v>P-1141(49/69)</v>
          </cell>
        </row>
        <row r="3737">
          <cell r="B3737" t="str">
            <v>B272-400-AS-210-SK-001</v>
          </cell>
          <cell r="E3737" t="str">
            <v>P-1141(50/69)</v>
          </cell>
        </row>
        <row r="3738">
          <cell r="B3738" t="str">
            <v>B272-400-AS-210-SK-001</v>
          </cell>
          <cell r="E3738" t="str">
            <v>P-1141(51/69)</v>
          </cell>
        </row>
        <row r="3739">
          <cell r="B3739" t="str">
            <v>B272-400-AS-210-SK-001</v>
          </cell>
          <cell r="E3739" t="str">
            <v>P-1141(52/69)</v>
          </cell>
        </row>
        <row r="3740">
          <cell r="B3740" t="str">
            <v>B272-400-AS-210-SK-001</v>
          </cell>
          <cell r="E3740" t="str">
            <v>P-1141(53/69)</v>
          </cell>
        </row>
        <row r="3741">
          <cell r="B3741" t="str">
            <v>B272-400-AS-210-SK-001</v>
          </cell>
          <cell r="E3741" t="str">
            <v>P-1141(54/69)</v>
          </cell>
        </row>
        <row r="3742">
          <cell r="B3742" t="str">
            <v>B272-400-AS-210-SK-001</v>
          </cell>
          <cell r="E3742" t="str">
            <v>P-1141(55/69)</v>
          </cell>
        </row>
        <row r="3743">
          <cell r="B3743" t="str">
            <v>B272-400-AS-210-SK-001</v>
          </cell>
          <cell r="E3743" t="str">
            <v>P-1141(56/69)</v>
          </cell>
        </row>
        <row r="3744">
          <cell r="B3744" t="str">
            <v>B272-400-AS-210-SK-001</v>
          </cell>
          <cell r="E3744" t="str">
            <v>P-1141(57/69)</v>
          </cell>
        </row>
        <row r="3745">
          <cell r="B3745" t="str">
            <v>B272-400-AS-210-SK-001</v>
          </cell>
          <cell r="E3745" t="str">
            <v>P-1141(58/69)</v>
          </cell>
        </row>
        <row r="3746">
          <cell r="B3746" t="str">
            <v>B272-400-AS-210-SK-001</v>
          </cell>
          <cell r="E3746" t="str">
            <v>P-1141(59/69)</v>
          </cell>
        </row>
        <row r="3747">
          <cell r="B3747" t="str">
            <v>B272-400-AS-210-SK-001</v>
          </cell>
          <cell r="E3747" t="str">
            <v>P-1141(60/69)</v>
          </cell>
        </row>
        <row r="3748">
          <cell r="B3748" t="str">
            <v>B272-400-AS-210-SK-001</v>
          </cell>
          <cell r="E3748" t="str">
            <v>P-1141(61/69)</v>
          </cell>
        </row>
        <row r="3749">
          <cell r="B3749" t="str">
            <v>B272-400-AS-210-SK-001</v>
          </cell>
          <cell r="E3749" t="str">
            <v>P-1141(62/69)</v>
          </cell>
        </row>
        <row r="3750">
          <cell r="B3750" t="str">
            <v>B272-400-AS-210-SK-001</v>
          </cell>
          <cell r="E3750" t="str">
            <v>P-1141(63/69)</v>
          </cell>
        </row>
        <row r="3751">
          <cell r="B3751" t="str">
            <v>B272-400-AS-210-SK-001</v>
          </cell>
          <cell r="E3751" t="str">
            <v>P-1141(64/69)</v>
          </cell>
        </row>
        <row r="3752">
          <cell r="B3752" t="str">
            <v>B272-400-AS-210-SK-001</v>
          </cell>
          <cell r="E3752" t="str">
            <v>P-1141(65/69)</v>
          </cell>
        </row>
        <row r="3753">
          <cell r="B3753" t="str">
            <v>B272-400-AS-210-SK-001</v>
          </cell>
          <cell r="E3753" t="str">
            <v>P-1141(66/69)</v>
          </cell>
        </row>
        <row r="3754">
          <cell r="B3754" t="str">
            <v>B272-400-AS-210-SK-001</v>
          </cell>
          <cell r="E3754" t="str">
            <v>P-1141(67/69)</v>
          </cell>
        </row>
        <row r="3755">
          <cell r="B3755" t="str">
            <v>B272-400-AS-210-SK-001</v>
          </cell>
          <cell r="E3755" t="str">
            <v>P-1141(68/69)</v>
          </cell>
        </row>
        <row r="3756">
          <cell r="B3756" t="str">
            <v>B272-400-AS-210-SK-001</v>
          </cell>
          <cell r="E3756" t="str">
            <v>P-1141(69/69)</v>
          </cell>
        </row>
        <row r="3757">
          <cell r="B3757" t="str">
            <v>B272-400-AS-210-SK-001</v>
          </cell>
          <cell r="E3757" t="str">
            <v>P-1142</v>
          </cell>
        </row>
        <row r="3758">
          <cell r="B3758" t="str">
            <v>B272-400-AS-210-SK-001</v>
          </cell>
          <cell r="E3758" t="str">
            <v>P-1143(1/2)</v>
          </cell>
        </row>
        <row r="3759">
          <cell r="B3759" t="str">
            <v>B272-400-AS-210-SK-001</v>
          </cell>
          <cell r="E3759" t="str">
            <v>P-1143(2/2)</v>
          </cell>
        </row>
        <row r="3760">
          <cell r="B3760" t="str">
            <v>B272-400-AS-210-SK-001</v>
          </cell>
          <cell r="E3760" t="str">
            <v>P-1144(1/2)</v>
          </cell>
        </row>
        <row r="3761">
          <cell r="B3761" t="str">
            <v>B272-400-AS-210-SK-001</v>
          </cell>
          <cell r="E3761" t="str">
            <v>P-1144(2/2)</v>
          </cell>
        </row>
        <row r="3762">
          <cell r="B3762" t="str">
            <v>B272-400-AS-210-SK-001</v>
          </cell>
          <cell r="E3762" t="str">
            <v>P-1172</v>
          </cell>
        </row>
        <row r="3763">
          <cell r="B3763" t="str">
            <v>B272-400-AS-210-SK-001</v>
          </cell>
          <cell r="E3763" t="str">
            <v>P-1174(1/2)</v>
          </cell>
        </row>
        <row r="3764">
          <cell r="B3764" t="str">
            <v>B272-400-AS-210-SK-001</v>
          </cell>
          <cell r="E3764" t="str">
            <v>P-1174(2/2)</v>
          </cell>
        </row>
        <row r="3765">
          <cell r="B3765" t="str">
            <v>B272-400-AS-210-SK-001</v>
          </cell>
          <cell r="E3765" t="str">
            <v>PFY-2</v>
          </cell>
        </row>
        <row r="3766">
          <cell r="B3766" t="str">
            <v>B272-400-AS-210-SK-001</v>
          </cell>
          <cell r="E3766" t="str">
            <v>PFY-2-A</v>
          </cell>
        </row>
        <row r="3767">
          <cell r="B3767" t="str">
            <v>B272-400-AS-210-SK-001</v>
          </cell>
          <cell r="E3767" t="str">
            <v>PFY-2-B</v>
          </cell>
        </row>
        <row r="3768">
          <cell r="B3768" t="str">
            <v>B272-400-AS-210-SK-001</v>
          </cell>
          <cell r="E3768" t="str">
            <v>PFY-2-C</v>
          </cell>
        </row>
        <row r="3769">
          <cell r="B3769" t="str">
            <v>B272-400-AS-210-SK-001</v>
          </cell>
          <cell r="E3769" t="str">
            <v>PFY-2-D</v>
          </cell>
        </row>
        <row r="3770">
          <cell r="B3770" t="str">
            <v>B272-400-AS-210-SK-001</v>
          </cell>
          <cell r="E3770" t="str">
            <v>PFY-2-E</v>
          </cell>
        </row>
        <row r="3771">
          <cell r="B3771" t="str">
            <v>B272-400-AS-210-SK-001</v>
          </cell>
          <cell r="E3771" t="str">
            <v>PFY-2-F</v>
          </cell>
        </row>
        <row r="3772">
          <cell r="B3772" t="str">
            <v>B272-400-AS-210-SK-001</v>
          </cell>
          <cell r="E3772" t="str">
            <v>PFY-2-G</v>
          </cell>
        </row>
        <row r="3773">
          <cell r="B3773" t="str">
            <v>B272-400-AS-210-SK-001</v>
          </cell>
          <cell r="E3773" t="str">
            <v>PFY-2-H</v>
          </cell>
        </row>
        <row r="3774">
          <cell r="B3774" t="str">
            <v>B272-400-AS-210-SK-001</v>
          </cell>
          <cell r="E3774" t="str">
            <v>PFY-2-I</v>
          </cell>
        </row>
        <row r="3775">
          <cell r="B3775" t="str">
            <v>B272-400-AS-210-SK-001</v>
          </cell>
          <cell r="E3775" t="str">
            <v>PFY-2-J</v>
          </cell>
        </row>
        <row r="3776">
          <cell r="B3776" t="str">
            <v>B272-400-AS-210-SK-001</v>
          </cell>
          <cell r="E3776" t="str">
            <v>PFY-2-K</v>
          </cell>
        </row>
        <row r="3777">
          <cell r="B3777" t="str">
            <v>B272-400-AS-210-SK-001</v>
          </cell>
          <cell r="E3777" t="str">
            <v>PFY-2-M</v>
          </cell>
        </row>
        <row r="3778">
          <cell r="B3778" t="str">
            <v>B272-400-AS-210-SK-001</v>
          </cell>
          <cell r="E3778" t="str">
            <v>PFY-2-N</v>
          </cell>
        </row>
        <row r="3779">
          <cell r="B3779" t="str">
            <v>B272-400-AS-210-SK-001</v>
          </cell>
          <cell r="E3779" t="str">
            <v>PFY-2-L</v>
          </cell>
        </row>
        <row r="3780">
          <cell r="B3780" t="str">
            <v>B272-400-AS-210-SK-001</v>
          </cell>
          <cell r="E3780" t="str">
            <v>PX-35</v>
          </cell>
        </row>
        <row r="3781">
          <cell r="B3781" t="str">
            <v>B272-400-AS-210-SK-001</v>
          </cell>
          <cell r="E3781" t="str">
            <v>PX-36</v>
          </cell>
        </row>
        <row r="3782">
          <cell r="B3782" t="str">
            <v>B272-400-AS-210-SK-001</v>
          </cell>
          <cell r="E3782" t="str">
            <v>PX-39(1/11)</v>
          </cell>
        </row>
        <row r="3783">
          <cell r="B3783" t="str">
            <v>B272-400-AS-210-SK-001</v>
          </cell>
          <cell r="E3783" t="str">
            <v>PX-39(2/11)</v>
          </cell>
        </row>
        <row r="3784">
          <cell r="B3784" t="str">
            <v>B272-400-AS-210-SK-001</v>
          </cell>
          <cell r="E3784" t="str">
            <v>PX-39(3/11)</v>
          </cell>
        </row>
        <row r="3785">
          <cell r="B3785" t="str">
            <v>B272-400-AS-210-SK-001</v>
          </cell>
          <cell r="E3785" t="str">
            <v>PX-39(4/11)</v>
          </cell>
        </row>
        <row r="3786">
          <cell r="B3786" t="str">
            <v>B272-400-AS-210-SK-001</v>
          </cell>
          <cell r="E3786" t="str">
            <v>PX-39(5/11)</v>
          </cell>
        </row>
        <row r="3787">
          <cell r="B3787" t="str">
            <v>B272-400-AS-210-SK-001</v>
          </cell>
          <cell r="E3787" t="str">
            <v>PX-39(6/11)</v>
          </cell>
        </row>
        <row r="3788">
          <cell r="B3788" t="str">
            <v>B272-400-AS-210-SK-001</v>
          </cell>
          <cell r="E3788" t="str">
            <v>PX-39(7/11)</v>
          </cell>
        </row>
        <row r="3789">
          <cell r="B3789" t="str">
            <v>B272-400-AS-210-SK-001</v>
          </cell>
          <cell r="E3789" t="str">
            <v>PX-39(8/11)</v>
          </cell>
        </row>
        <row r="3790">
          <cell r="B3790" t="str">
            <v>B272-400-AS-210-SK-001</v>
          </cell>
          <cell r="E3790" t="str">
            <v>PX-39(9/11)</v>
          </cell>
        </row>
        <row r="3791">
          <cell r="B3791" t="str">
            <v>B272-400-AS-210-SK-001</v>
          </cell>
          <cell r="E3791" t="str">
            <v>PX-39(10/11)</v>
          </cell>
        </row>
        <row r="3792">
          <cell r="B3792" t="str">
            <v>B272-400-AS-210-SK-001</v>
          </cell>
          <cell r="E3792" t="str">
            <v>PX-39(11/11)</v>
          </cell>
        </row>
        <row r="3793">
          <cell r="B3793" t="str">
            <v>B272-400-AS-210-SK-001</v>
          </cell>
          <cell r="E3793" t="str">
            <v>PX-40(1/11)</v>
          </cell>
        </row>
        <row r="3794">
          <cell r="B3794" t="str">
            <v>B272-400-AS-210-SK-001</v>
          </cell>
          <cell r="E3794" t="str">
            <v>PX-40(2/11)</v>
          </cell>
        </row>
        <row r="3795">
          <cell r="B3795" t="str">
            <v>B272-400-AS-210-SK-001</v>
          </cell>
          <cell r="E3795" t="str">
            <v>PX-40(3/11)</v>
          </cell>
        </row>
        <row r="3796">
          <cell r="B3796" t="str">
            <v>B272-400-AS-210-SK-001</v>
          </cell>
          <cell r="E3796" t="str">
            <v>PX-40(4/11)</v>
          </cell>
        </row>
        <row r="3797">
          <cell r="B3797" t="str">
            <v>B272-400-AS-210-SK-001</v>
          </cell>
          <cell r="E3797" t="str">
            <v>PX-40(5/11)</v>
          </cell>
        </row>
        <row r="3798">
          <cell r="B3798" t="str">
            <v>B272-400-AS-210-SK-001</v>
          </cell>
          <cell r="E3798" t="str">
            <v>PX-40(6/11)</v>
          </cell>
        </row>
        <row r="3799">
          <cell r="B3799" t="str">
            <v>B272-400-AS-210-SK-001</v>
          </cell>
          <cell r="E3799" t="str">
            <v>PX-40(7/11)</v>
          </cell>
        </row>
        <row r="3800">
          <cell r="B3800" t="str">
            <v>B272-400-AS-210-SK-001</v>
          </cell>
          <cell r="E3800" t="str">
            <v>PX-40(8/11)</v>
          </cell>
        </row>
        <row r="3801">
          <cell r="B3801" t="str">
            <v>B272-400-AS-210-SK-001</v>
          </cell>
          <cell r="E3801" t="str">
            <v>PX-40(9/11)</v>
          </cell>
        </row>
        <row r="3802">
          <cell r="B3802" t="str">
            <v>B272-400-AS-210-SK-001</v>
          </cell>
          <cell r="E3802" t="str">
            <v>PX-40(10/11)</v>
          </cell>
        </row>
        <row r="3803">
          <cell r="B3803" t="str">
            <v>B272-400-AS-210-SK-001</v>
          </cell>
          <cell r="E3803" t="str">
            <v>PX-40(11/11)</v>
          </cell>
        </row>
        <row r="3804">
          <cell r="B3804" t="str">
            <v>B272-400-AS-210-SK-001</v>
          </cell>
          <cell r="E3804" t="str">
            <v>PX-98(1/57)</v>
          </cell>
        </row>
        <row r="3805">
          <cell r="B3805" t="str">
            <v>B272-400-AS-210-SK-001</v>
          </cell>
          <cell r="E3805" t="str">
            <v>PX-98(2/57)</v>
          </cell>
        </row>
        <row r="3806">
          <cell r="B3806" t="str">
            <v>B272-400-AS-210-SK-001</v>
          </cell>
          <cell r="E3806" t="str">
            <v>PX-98(3/57)</v>
          </cell>
        </row>
        <row r="3807">
          <cell r="B3807" t="str">
            <v>B272-400-AS-210-SK-001</v>
          </cell>
          <cell r="E3807" t="str">
            <v>PX-98(4/57)</v>
          </cell>
        </row>
        <row r="3808">
          <cell r="B3808" t="str">
            <v>B272-400-AS-210-SK-001</v>
          </cell>
          <cell r="E3808" t="str">
            <v>PX-98(5/57)</v>
          </cell>
        </row>
        <row r="3809">
          <cell r="B3809" t="str">
            <v>B272-400-AS-210-SK-001</v>
          </cell>
          <cell r="E3809" t="str">
            <v>PX-98(6/57)</v>
          </cell>
        </row>
        <row r="3810">
          <cell r="B3810" t="str">
            <v>B272-400-AS-210-SK-001</v>
          </cell>
          <cell r="E3810" t="str">
            <v>PX-98(7/57)</v>
          </cell>
        </row>
        <row r="3811">
          <cell r="B3811" t="str">
            <v>B272-400-AS-210-SK-001</v>
          </cell>
          <cell r="E3811" t="str">
            <v>PX-98(8/57)</v>
          </cell>
        </row>
        <row r="3812">
          <cell r="B3812" t="str">
            <v>B272-400-AS-210-SK-001</v>
          </cell>
          <cell r="E3812" t="str">
            <v>PX-98(9/57)</v>
          </cell>
        </row>
        <row r="3813">
          <cell r="B3813" t="str">
            <v>B272-400-AS-210-SK-001</v>
          </cell>
          <cell r="E3813" t="str">
            <v>PX-98(10/57)</v>
          </cell>
        </row>
        <row r="3814">
          <cell r="B3814" t="str">
            <v>B272-400-AS-210-SK-001</v>
          </cell>
          <cell r="E3814" t="str">
            <v>PX-98(11/57)</v>
          </cell>
        </row>
        <row r="3815">
          <cell r="B3815" t="str">
            <v>B272-400-AS-210-SK-001</v>
          </cell>
          <cell r="E3815" t="str">
            <v>PX-98(12/57)</v>
          </cell>
        </row>
        <row r="3816">
          <cell r="B3816" t="str">
            <v>B272-400-AS-210-SK-001</v>
          </cell>
          <cell r="E3816" t="str">
            <v>PX-98(13/57)</v>
          </cell>
        </row>
        <row r="3817">
          <cell r="B3817" t="str">
            <v>B272-400-AS-210-SK-001</v>
          </cell>
          <cell r="E3817" t="str">
            <v>PX-98(14/57)</v>
          </cell>
        </row>
        <row r="3818">
          <cell r="B3818" t="str">
            <v>B272-400-AS-210-SK-001</v>
          </cell>
          <cell r="E3818" t="str">
            <v>PX-98(15/57)</v>
          </cell>
        </row>
        <row r="3819">
          <cell r="B3819" t="str">
            <v>B272-400-AS-210-SK-001</v>
          </cell>
          <cell r="E3819" t="str">
            <v>PX-98(16/57)</v>
          </cell>
        </row>
        <row r="3820">
          <cell r="B3820" t="str">
            <v>B272-400-AS-210-SK-001</v>
          </cell>
          <cell r="E3820" t="str">
            <v>PX-98(17/57)</v>
          </cell>
        </row>
        <row r="3821">
          <cell r="B3821" t="str">
            <v>B272-400-AS-210-SK-001</v>
          </cell>
          <cell r="E3821" t="str">
            <v>PX-98(18/57)</v>
          </cell>
        </row>
        <row r="3822">
          <cell r="B3822" t="str">
            <v>B272-400-AS-210-SK-001</v>
          </cell>
          <cell r="E3822" t="str">
            <v>PX-98(19/57)</v>
          </cell>
        </row>
        <row r="3823">
          <cell r="B3823" t="str">
            <v>B272-400-AS-210-SK-001</v>
          </cell>
          <cell r="E3823" t="str">
            <v>PX-98(20/57)</v>
          </cell>
        </row>
        <row r="3824">
          <cell r="B3824" t="str">
            <v>B272-400-AS-210-SK-001</v>
          </cell>
          <cell r="E3824" t="str">
            <v>PX-98(21/57)</v>
          </cell>
        </row>
        <row r="3825">
          <cell r="B3825" t="str">
            <v>B272-400-AS-210-SK-001</v>
          </cell>
          <cell r="E3825" t="str">
            <v>PX-98(22/57)</v>
          </cell>
        </row>
        <row r="3826">
          <cell r="B3826" t="str">
            <v>B272-400-AS-210-SK-001</v>
          </cell>
          <cell r="E3826" t="str">
            <v>PX-98(23/57)</v>
          </cell>
        </row>
        <row r="3827">
          <cell r="B3827" t="str">
            <v>B272-400-AS-210-SK-001</v>
          </cell>
          <cell r="E3827" t="str">
            <v>PX-98(24/57)</v>
          </cell>
        </row>
        <row r="3828">
          <cell r="B3828" t="str">
            <v>B272-400-AS-210-SK-001</v>
          </cell>
          <cell r="E3828" t="str">
            <v>PX-98(25/57)</v>
          </cell>
        </row>
        <row r="3829">
          <cell r="B3829" t="str">
            <v>B272-400-AS-210-SK-001</v>
          </cell>
          <cell r="E3829" t="str">
            <v>PX-98(26/57)</v>
          </cell>
        </row>
        <row r="3830">
          <cell r="B3830" t="str">
            <v>B272-400-AS-210-SK-001</v>
          </cell>
          <cell r="E3830" t="str">
            <v>PX-98(27/57)</v>
          </cell>
        </row>
        <row r="3831">
          <cell r="B3831" t="str">
            <v>B272-400-AS-210-SK-001</v>
          </cell>
          <cell r="E3831" t="str">
            <v>PX-98(28/57)</v>
          </cell>
        </row>
        <row r="3832">
          <cell r="B3832" t="str">
            <v>B272-400-AS-210-SK-001</v>
          </cell>
          <cell r="E3832" t="str">
            <v>PX-98(29/57)</v>
          </cell>
        </row>
        <row r="3833">
          <cell r="B3833" t="str">
            <v>B272-400-AS-210-SK-001</v>
          </cell>
          <cell r="E3833" t="str">
            <v>PX-98(30/57)</v>
          </cell>
        </row>
        <row r="3834">
          <cell r="B3834" t="str">
            <v>B272-400-AS-210-SK-001</v>
          </cell>
          <cell r="E3834" t="str">
            <v>PX-98(31/57)</v>
          </cell>
        </row>
        <row r="3835">
          <cell r="B3835" t="str">
            <v>B272-400-AS-210-SK-001</v>
          </cell>
          <cell r="E3835" t="str">
            <v>PX-98(32/57)</v>
          </cell>
        </row>
        <row r="3836">
          <cell r="B3836" t="str">
            <v>B272-400-AS-210-SK-001</v>
          </cell>
          <cell r="E3836" t="str">
            <v>PX-98(33/57)</v>
          </cell>
        </row>
        <row r="3837">
          <cell r="B3837" t="str">
            <v>B272-400-AS-210-SK-001</v>
          </cell>
          <cell r="E3837" t="str">
            <v>PX-98(34/57)</v>
          </cell>
        </row>
        <row r="3838">
          <cell r="B3838" t="str">
            <v>B272-400-AS-210-SK-001</v>
          </cell>
          <cell r="E3838" t="str">
            <v>PX-98(35/57)</v>
          </cell>
        </row>
        <row r="3839">
          <cell r="B3839" t="str">
            <v>B272-400-AS-210-SK-001</v>
          </cell>
          <cell r="E3839" t="str">
            <v>PX-98(36/57)</v>
          </cell>
        </row>
        <row r="3840">
          <cell r="B3840" t="str">
            <v>B272-400-AS-210-SK-001</v>
          </cell>
          <cell r="E3840" t="str">
            <v>PX-98(37/57)</v>
          </cell>
        </row>
        <row r="3841">
          <cell r="B3841" t="str">
            <v>B272-400-AS-210-SK-001</v>
          </cell>
          <cell r="E3841" t="str">
            <v>PX-98(38/57)</v>
          </cell>
        </row>
        <row r="3842">
          <cell r="B3842" t="str">
            <v>B272-400-AS-210-SK-001</v>
          </cell>
          <cell r="E3842" t="str">
            <v>PX-98(39/57)</v>
          </cell>
        </row>
        <row r="3843">
          <cell r="B3843" t="str">
            <v>B272-400-AS-210-SK-001</v>
          </cell>
          <cell r="E3843" t="str">
            <v>PX-98(40/57)</v>
          </cell>
        </row>
        <row r="3844">
          <cell r="B3844" t="str">
            <v>B272-400-AS-210-SK-001</v>
          </cell>
          <cell r="E3844" t="str">
            <v>PX-98(41/57)</v>
          </cell>
        </row>
        <row r="3845">
          <cell r="B3845" t="str">
            <v>B272-400-AS-210-SK-001</v>
          </cell>
          <cell r="E3845" t="str">
            <v>PX-98(42/57)</v>
          </cell>
        </row>
        <row r="3846">
          <cell r="B3846" t="str">
            <v>B272-400-AS-210-SK-001</v>
          </cell>
          <cell r="E3846" t="str">
            <v>PX-98(43/57)</v>
          </cell>
        </row>
        <row r="3847">
          <cell r="B3847" t="str">
            <v>B272-400-AS-210-SK-001</v>
          </cell>
          <cell r="E3847" t="str">
            <v>PX-98(44/57)</v>
          </cell>
        </row>
        <row r="3848">
          <cell r="B3848" t="str">
            <v>B272-400-AS-210-SK-001</v>
          </cell>
          <cell r="E3848" t="str">
            <v>PX-98(45/57)</v>
          </cell>
        </row>
        <row r="3849">
          <cell r="B3849" t="str">
            <v>B272-400-AS-210-SK-001</v>
          </cell>
          <cell r="E3849" t="str">
            <v>PX-98(46/57)</v>
          </cell>
        </row>
        <row r="3850">
          <cell r="B3850" t="str">
            <v>B272-400-AS-210-SK-001</v>
          </cell>
          <cell r="E3850" t="str">
            <v>PX-98(47/57)</v>
          </cell>
        </row>
        <row r="3851">
          <cell r="B3851" t="str">
            <v>B272-400-AS-210-SK-001</v>
          </cell>
          <cell r="E3851" t="str">
            <v>PX-98(48/57)</v>
          </cell>
        </row>
        <row r="3852">
          <cell r="B3852" t="str">
            <v>B272-400-AS-210-SK-001</v>
          </cell>
          <cell r="E3852" t="str">
            <v>PX-98(49/57)</v>
          </cell>
        </row>
        <row r="3853">
          <cell r="B3853" t="str">
            <v>B272-400-AS-210-SK-001</v>
          </cell>
          <cell r="E3853" t="str">
            <v>PX-98(50/57)</v>
          </cell>
        </row>
        <row r="3854">
          <cell r="B3854" t="str">
            <v>B272-400-AS-210-SK-001</v>
          </cell>
          <cell r="E3854" t="str">
            <v>PX-98(51/57)</v>
          </cell>
        </row>
        <row r="3855">
          <cell r="B3855" t="str">
            <v>B272-400-AS-210-SK-001</v>
          </cell>
          <cell r="E3855" t="str">
            <v>PX-98(52/57)</v>
          </cell>
        </row>
        <row r="3856">
          <cell r="B3856" t="str">
            <v>B272-400-AS-210-SK-001</v>
          </cell>
          <cell r="E3856" t="str">
            <v>PX-98(53/57)</v>
          </cell>
        </row>
        <row r="3857">
          <cell r="B3857" t="str">
            <v>B272-400-AS-210-SK-001</v>
          </cell>
          <cell r="E3857" t="str">
            <v>PX-98(54/57)</v>
          </cell>
        </row>
        <row r="3858">
          <cell r="B3858" t="str">
            <v>B272-400-AS-210-SK-001</v>
          </cell>
          <cell r="E3858" t="str">
            <v>PX-98(55/57)</v>
          </cell>
        </row>
        <row r="3859">
          <cell r="B3859" t="str">
            <v>B272-400-AS-210-SK-001</v>
          </cell>
          <cell r="E3859" t="str">
            <v>PX-98(56/57)</v>
          </cell>
        </row>
        <row r="3860">
          <cell r="B3860" t="str">
            <v>B272-400-AS-210-SK-001</v>
          </cell>
          <cell r="E3860" t="str">
            <v>PX-98(57/57)</v>
          </cell>
        </row>
        <row r="3861">
          <cell r="B3861" t="str">
            <v>B272-400-AS-210-SK-001</v>
          </cell>
          <cell r="E3861" t="str">
            <v>PX-130</v>
          </cell>
        </row>
        <row r="3862">
          <cell r="B3862" t="str">
            <v>B272-400-AS-210-SK-001</v>
          </cell>
          <cell r="E3862" t="str">
            <v>R-16</v>
          </cell>
        </row>
        <row r="3863">
          <cell r="B3863" t="str">
            <v>B272-400-AS-210-SK-001</v>
          </cell>
          <cell r="E3863" t="str">
            <v>R-17</v>
          </cell>
        </row>
        <row r="3864">
          <cell r="B3864" t="str">
            <v>B272-400-AS-210-SK-001</v>
          </cell>
          <cell r="E3864" t="str">
            <v>D-51(1/4)</v>
          </cell>
        </row>
        <row r="3865">
          <cell r="B3865" t="str">
            <v>B272-400-AS-210-SK-001</v>
          </cell>
          <cell r="E3865" t="str">
            <v>D-51(2/4)</v>
          </cell>
        </row>
        <row r="3866">
          <cell r="B3866" t="str">
            <v>B272-400-AS-210-SK-001</v>
          </cell>
          <cell r="E3866" t="str">
            <v>D-51(3/4)</v>
          </cell>
        </row>
        <row r="3867">
          <cell r="B3867" t="str">
            <v>B272-400-AS-210-SK-001</v>
          </cell>
          <cell r="E3867" t="str">
            <v>D-51(4/4)</v>
          </cell>
        </row>
        <row r="3868">
          <cell r="B3868" t="str">
            <v>B272-400-AS-210-SK-001</v>
          </cell>
          <cell r="E3868" t="str">
            <v>D-162</v>
          </cell>
        </row>
        <row r="3869">
          <cell r="B3869" t="str">
            <v>B272-400-AS-210-SK-001</v>
          </cell>
          <cell r="E3869" t="str">
            <v>F-21</v>
          </cell>
        </row>
        <row r="3870">
          <cell r="B3870" t="str">
            <v>B272-400-AS-210-SK-001</v>
          </cell>
          <cell r="E3870" t="str">
            <v>F-22</v>
          </cell>
        </row>
        <row r="3871">
          <cell r="B3871" t="str">
            <v>B272-400-AS-210-SK-001</v>
          </cell>
          <cell r="E3871" t="str">
            <v>N-32</v>
          </cell>
        </row>
        <row r="3872">
          <cell r="B3872" t="str">
            <v>B272-400-AS-210-SK-001</v>
          </cell>
          <cell r="E3872" t="str">
            <v>P-1207</v>
          </cell>
        </row>
        <row r="3873">
          <cell r="B3873" t="str">
            <v>B272-400-AS-210-SK-001</v>
          </cell>
          <cell r="E3873" t="str">
            <v>P-2011(1/2)</v>
          </cell>
        </row>
        <row r="3874">
          <cell r="B3874" t="str">
            <v>B272-400-AS-210-SK-001</v>
          </cell>
          <cell r="E3874" t="str">
            <v>P-2011(2/2)</v>
          </cell>
        </row>
        <row r="3875">
          <cell r="B3875" t="str">
            <v>B272-400-AS-210-SK-001</v>
          </cell>
          <cell r="E3875" t="str">
            <v>PX-1001(1/37)</v>
          </cell>
        </row>
        <row r="3876">
          <cell r="B3876" t="str">
            <v>B272-400-AS-210-SK-001</v>
          </cell>
          <cell r="E3876" t="str">
            <v>PX-1001(2/37)</v>
          </cell>
        </row>
        <row r="3877">
          <cell r="B3877" t="str">
            <v>B272-400-AS-210-SK-001</v>
          </cell>
          <cell r="E3877" t="str">
            <v>PX-1001(3/37)</v>
          </cell>
        </row>
        <row r="3878">
          <cell r="B3878" t="str">
            <v>B272-400-AS-210-SK-001</v>
          </cell>
          <cell r="E3878" t="str">
            <v>PX-1001(4/37)</v>
          </cell>
        </row>
        <row r="3879">
          <cell r="B3879" t="str">
            <v>B272-400-AS-210-SK-001</v>
          </cell>
          <cell r="E3879" t="str">
            <v>PX-1001(5/37)</v>
          </cell>
        </row>
        <row r="3880">
          <cell r="B3880" t="str">
            <v>B272-400-AS-210-SK-001</v>
          </cell>
          <cell r="E3880" t="str">
            <v>PX-1001(6/37)</v>
          </cell>
        </row>
        <row r="3881">
          <cell r="B3881" t="str">
            <v>B272-400-AS-210-SK-001</v>
          </cell>
          <cell r="E3881" t="str">
            <v>PX-1001(7/37)</v>
          </cell>
        </row>
        <row r="3882">
          <cell r="B3882" t="str">
            <v>B272-400-AS-210-SK-001</v>
          </cell>
          <cell r="E3882" t="str">
            <v>PX-1001(8/37)</v>
          </cell>
        </row>
        <row r="3883">
          <cell r="B3883" t="str">
            <v>B272-400-AS-210-SK-001</v>
          </cell>
          <cell r="E3883" t="str">
            <v>PX-1001(9/37)</v>
          </cell>
        </row>
        <row r="3884">
          <cell r="B3884" t="str">
            <v>B272-400-AS-210-SK-001</v>
          </cell>
          <cell r="E3884" t="str">
            <v>PX-1001(10/37)</v>
          </cell>
        </row>
        <row r="3885">
          <cell r="B3885" t="str">
            <v>B272-400-AS-210-SK-001</v>
          </cell>
          <cell r="E3885" t="str">
            <v>PX-1001(11/37)</v>
          </cell>
        </row>
        <row r="3886">
          <cell r="B3886" t="str">
            <v>B272-400-AS-210-SK-001</v>
          </cell>
          <cell r="E3886" t="str">
            <v>PX-1001(12/37)</v>
          </cell>
        </row>
        <row r="3887">
          <cell r="B3887" t="str">
            <v>B272-400-AS-210-SK-001</v>
          </cell>
          <cell r="E3887" t="str">
            <v>PX-1001(13/37)</v>
          </cell>
        </row>
        <row r="3888">
          <cell r="B3888" t="str">
            <v>B272-400-AS-210-SK-001</v>
          </cell>
          <cell r="E3888" t="str">
            <v>PX-1001(14/37)</v>
          </cell>
        </row>
        <row r="3889">
          <cell r="B3889" t="str">
            <v>B272-400-AS-210-SK-001</v>
          </cell>
          <cell r="E3889" t="str">
            <v>PX-1001(15/37)</v>
          </cell>
        </row>
        <row r="3890">
          <cell r="B3890" t="str">
            <v>B272-400-AS-210-SK-001</v>
          </cell>
          <cell r="E3890" t="str">
            <v>PX-1001(16/37)</v>
          </cell>
        </row>
        <row r="3891">
          <cell r="B3891" t="str">
            <v>B272-400-AS-210-SK-001</v>
          </cell>
          <cell r="E3891" t="str">
            <v>PX-1001(17/37)</v>
          </cell>
        </row>
        <row r="3892">
          <cell r="B3892" t="str">
            <v>B272-400-AS-210-SK-001</v>
          </cell>
          <cell r="E3892" t="str">
            <v>PX-1001(18/37)</v>
          </cell>
        </row>
        <row r="3893">
          <cell r="B3893" t="str">
            <v>B272-400-AS-210-SK-001</v>
          </cell>
          <cell r="E3893" t="str">
            <v>PX-1001(19/37)</v>
          </cell>
        </row>
        <row r="3894">
          <cell r="B3894" t="str">
            <v>B272-400-AS-210-SK-001</v>
          </cell>
          <cell r="E3894" t="str">
            <v>PX-1001(20/37)</v>
          </cell>
        </row>
        <row r="3895">
          <cell r="B3895" t="str">
            <v>B272-400-AS-210-SK-001</v>
          </cell>
          <cell r="E3895" t="str">
            <v>PX-1001(21/37)</v>
          </cell>
        </row>
        <row r="3896">
          <cell r="B3896" t="str">
            <v>B272-400-AS-210-SK-001</v>
          </cell>
          <cell r="E3896" t="str">
            <v>PX-1001(22/37)</v>
          </cell>
        </row>
        <row r="3897">
          <cell r="B3897" t="str">
            <v>B272-400-AS-210-SK-001</v>
          </cell>
          <cell r="E3897" t="str">
            <v>PX-1001(23/37)</v>
          </cell>
        </row>
        <row r="3898">
          <cell r="B3898" t="str">
            <v>B272-400-AS-210-SK-001</v>
          </cell>
          <cell r="E3898" t="str">
            <v>PX-1001(24/37)</v>
          </cell>
        </row>
        <row r="3899">
          <cell r="B3899" t="str">
            <v>B272-400-AS-210-SK-001</v>
          </cell>
          <cell r="E3899" t="str">
            <v>PX-1001(25/37)</v>
          </cell>
        </row>
        <row r="3900">
          <cell r="B3900" t="str">
            <v>B272-400-AS-210-SK-001</v>
          </cell>
          <cell r="E3900" t="str">
            <v>PX-1001(26/37)</v>
          </cell>
        </row>
        <row r="3901">
          <cell r="B3901" t="str">
            <v>B272-400-AS-210-SK-001</v>
          </cell>
          <cell r="E3901" t="str">
            <v>PX-1001(27/37)</v>
          </cell>
        </row>
        <row r="3902">
          <cell r="B3902" t="str">
            <v>B272-400-AS-210-SK-001</v>
          </cell>
          <cell r="E3902" t="str">
            <v>PX-1001(28/37)</v>
          </cell>
        </row>
        <row r="3903">
          <cell r="B3903" t="str">
            <v>B272-400-AS-210-SK-001</v>
          </cell>
          <cell r="E3903" t="str">
            <v>PX-1001(29/37)</v>
          </cell>
        </row>
        <row r="3904">
          <cell r="B3904" t="str">
            <v>B272-400-AS-210-SK-001</v>
          </cell>
          <cell r="E3904" t="str">
            <v>PX-1001(30/37)</v>
          </cell>
        </row>
        <row r="3905">
          <cell r="B3905" t="str">
            <v>B272-400-AS-210-SK-001</v>
          </cell>
          <cell r="E3905" t="str">
            <v>PX-1001(31/37)</v>
          </cell>
        </row>
        <row r="3906">
          <cell r="B3906" t="str">
            <v>B272-400-AS-210-SK-001</v>
          </cell>
          <cell r="E3906" t="str">
            <v>PX-1001(32/37)</v>
          </cell>
        </row>
        <row r="3907">
          <cell r="B3907" t="str">
            <v>B272-400-AS-210-SK-001</v>
          </cell>
          <cell r="E3907" t="str">
            <v>PX-1001(33/37)</v>
          </cell>
        </row>
        <row r="3908">
          <cell r="B3908" t="str">
            <v>B272-400-AS-210-SK-001</v>
          </cell>
          <cell r="E3908" t="str">
            <v>PX-1001(34/37)</v>
          </cell>
        </row>
        <row r="3909">
          <cell r="B3909" t="str">
            <v>B272-400-AS-210-SK-001</v>
          </cell>
          <cell r="E3909" t="str">
            <v>PX-1001(35/37)</v>
          </cell>
        </row>
        <row r="3910">
          <cell r="B3910" t="str">
            <v>B272-400-AS-210-SK-001</v>
          </cell>
          <cell r="E3910" t="str">
            <v>PX-1001(36/37)</v>
          </cell>
        </row>
        <row r="3911">
          <cell r="B3911" t="str">
            <v>B272-400-AS-210-SK-001</v>
          </cell>
          <cell r="E3911" t="str">
            <v>PX-1001(37/37)</v>
          </cell>
        </row>
        <row r="3912">
          <cell r="B3912" t="str">
            <v>B272-400-AS-210-SK-001</v>
          </cell>
          <cell r="E3912" t="str">
            <v>PX-1002(1/3)</v>
          </cell>
        </row>
        <row r="3913">
          <cell r="B3913" t="str">
            <v>B272-400-AS-210-SK-001</v>
          </cell>
          <cell r="E3913" t="str">
            <v>PX-1002(2/3)</v>
          </cell>
        </row>
        <row r="3914">
          <cell r="B3914" t="str">
            <v>B272-400-AS-210-SK-001</v>
          </cell>
          <cell r="E3914" t="str">
            <v>PX-1002(3/3)</v>
          </cell>
        </row>
        <row r="3915">
          <cell r="B3915" t="str">
            <v>B272-400-AS-210-SK-001</v>
          </cell>
          <cell r="E3915" t="str">
            <v>PX-1003(1/2)</v>
          </cell>
        </row>
        <row r="3916">
          <cell r="B3916" t="str">
            <v>B272-400-AS-210-SK-001</v>
          </cell>
          <cell r="E3916" t="str">
            <v>PX-1003(2/2)</v>
          </cell>
        </row>
        <row r="3917">
          <cell r="B3917" t="str">
            <v>B272-400-AS-210-SK-001</v>
          </cell>
          <cell r="E3917" t="str">
            <v>R-4</v>
          </cell>
        </row>
        <row r="3918">
          <cell r="B3918" t="str">
            <v>B272-400-AS-210-SK-001</v>
          </cell>
          <cell r="E3918" t="str">
            <v>R-12</v>
          </cell>
        </row>
        <row r="3919">
          <cell r="B3919" t="str">
            <v>B272-400-AS-210-SK-001</v>
          </cell>
          <cell r="E3919" t="str">
            <v>A-1006</v>
          </cell>
        </row>
        <row r="3920">
          <cell r="B3920" t="str">
            <v>B272-400-AS-210-SK-001</v>
          </cell>
          <cell r="E3920" t="str">
            <v>A-1007</v>
          </cell>
        </row>
        <row r="3921">
          <cell r="B3921" t="str">
            <v>B272-400-AS-210-SK-001</v>
          </cell>
          <cell r="E3921" t="str">
            <v>P-2024</v>
          </cell>
        </row>
        <row r="3922">
          <cell r="B3922" t="str">
            <v>B272-400-AS-210-SK-001</v>
          </cell>
          <cell r="E3922" t="str">
            <v>P-2026</v>
          </cell>
        </row>
        <row r="3923">
          <cell r="B3923" t="str">
            <v>B272-400-AS-210-SK-001</v>
          </cell>
          <cell r="E3923" t="str">
            <v>P-2027</v>
          </cell>
        </row>
        <row r="3924">
          <cell r="B3924" t="str">
            <v>B272-400-AS-210-SK-001</v>
          </cell>
          <cell r="E3924" t="str">
            <v>P-2056</v>
          </cell>
        </row>
        <row r="3925">
          <cell r="B3925" t="str">
            <v>B272-400-AS-210-SK-001</v>
          </cell>
          <cell r="E3925" t="str">
            <v>P-2057</v>
          </cell>
        </row>
        <row r="3926">
          <cell r="B3926" t="str">
            <v>B272-400-AS-210-SK-001</v>
          </cell>
          <cell r="E3926" t="str">
            <v>P-2058</v>
          </cell>
        </row>
        <row r="3927">
          <cell r="B3927" t="str">
            <v>B272-400-AS-210-SK-001</v>
          </cell>
          <cell r="E3927" t="str">
            <v>PX-2000</v>
          </cell>
        </row>
        <row r="3928">
          <cell r="B3928" t="str">
            <v>B272-400-AS-210-SK-001</v>
          </cell>
          <cell r="E3928" t="str">
            <v>PX-2003</v>
          </cell>
        </row>
        <row r="3929">
          <cell r="B3929" t="str">
            <v>B272-400-AS-210-SK-001</v>
          </cell>
          <cell r="E3929" t="str">
            <v>B20120</v>
          </cell>
        </row>
        <row r="3930">
          <cell r="B3930" t="str">
            <v>B272-400-AS-210-SK-002</v>
          </cell>
        </row>
        <row r="3931">
          <cell r="B3931" t="str">
            <v>B272-400-AS-210-SK-002</v>
          </cell>
          <cell r="E3931" t="str">
            <v>AF-2(1/4)</v>
          </cell>
        </row>
        <row r="3932">
          <cell r="B3932" t="str">
            <v>B272-400-AS-210-SK-002</v>
          </cell>
          <cell r="E3932" t="str">
            <v>AF-2(2/4)</v>
          </cell>
        </row>
        <row r="3933">
          <cell r="B3933" t="str">
            <v>B272-400-AS-210-SK-002</v>
          </cell>
          <cell r="E3933" t="str">
            <v>AF-2(3/4)</v>
          </cell>
        </row>
        <row r="3934">
          <cell r="B3934" t="str">
            <v>B272-400-AS-210-SK-002</v>
          </cell>
          <cell r="E3934" t="str">
            <v>AF-2(4/4)</v>
          </cell>
        </row>
        <row r="3935">
          <cell r="B3935" t="str">
            <v>B272-400-AS-210-SK-002</v>
          </cell>
          <cell r="E3935" t="str">
            <v>DY-2</v>
          </cell>
        </row>
        <row r="3936">
          <cell r="B3936" t="str">
            <v>B272-400-AS-210-SK-002</v>
          </cell>
          <cell r="E3936" t="str">
            <v>DY-2-1</v>
          </cell>
        </row>
        <row r="3937">
          <cell r="B3937" t="str">
            <v>B272-400-AS-210-SK-002</v>
          </cell>
          <cell r="E3937" t="str">
            <v>G-67</v>
          </cell>
        </row>
        <row r="3938">
          <cell r="B3938" t="str">
            <v>B272-400-AS-210-SK-002</v>
          </cell>
          <cell r="E3938" t="str">
            <v>G-68</v>
          </cell>
        </row>
        <row r="3939">
          <cell r="B3939" t="str">
            <v>B272-400-AS-210-SK-002</v>
          </cell>
          <cell r="E3939" t="str">
            <v>G-83(1/2)</v>
          </cell>
        </row>
        <row r="3940">
          <cell r="B3940" t="str">
            <v>B272-400-AS-210-SK-002</v>
          </cell>
          <cell r="E3940" t="str">
            <v>G-83(2/2)</v>
          </cell>
        </row>
        <row r="3941">
          <cell r="B3941" t="str">
            <v>B272-400-AS-210-SK-002</v>
          </cell>
          <cell r="E3941" t="str">
            <v>P-161(1/2)</v>
          </cell>
        </row>
        <row r="3942">
          <cell r="B3942" t="str">
            <v>B272-400-AS-210-SK-002</v>
          </cell>
          <cell r="E3942" t="str">
            <v>P-161(2/2)</v>
          </cell>
        </row>
        <row r="3943">
          <cell r="B3943" t="str">
            <v>B272-400-AS-210-SK-002</v>
          </cell>
          <cell r="E3943" t="str">
            <v>P-527(1/2)</v>
          </cell>
        </row>
        <row r="3944">
          <cell r="B3944" t="str">
            <v>B272-400-AS-210-SK-002</v>
          </cell>
          <cell r="E3944" t="str">
            <v>P-527-A(1/2)</v>
          </cell>
        </row>
        <row r="3945">
          <cell r="B3945" t="str">
            <v>B272-400-AS-210-SK-002</v>
          </cell>
          <cell r="E3945" t="str">
            <v>P-527-B(1/2)</v>
          </cell>
        </row>
        <row r="3946">
          <cell r="B3946" t="str">
            <v>B272-400-AS-210-SK-002</v>
          </cell>
          <cell r="E3946" t="str">
            <v>P-527(2/2)</v>
          </cell>
        </row>
        <row r="3947">
          <cell r="B3947" t="str">
            <v>B272-400-AS-210-SK-002</v>
          </cell>
          <cell r="E3947" t="str">
            <v>P-527-A(2/2)</v>
          </cell>
        </row>
        <row r="3948">
          <cell r="B3948" t="str">
            <v>B272-400-AS-210-SK-002</v>
          </cell>
          <cell r="E3948" t="str">
            <v>P-527-B(2/2)</v>
          </cell>
        </row>
        <row r="3949">
          <cell r="B3949" t="str">
            <v>B272-400-AS-210-SK-002</v>
          </cell>
          <cell r="E3949" t="str">
            <v>P-531(1/2)</v>
          </cell>
        </row>
        <row r="3950">
          <cell r="B3950" t="str">
            <v>B272-400-AS-210-SK-002</v>
          </cell>
          <cell r="E3950" t="str">
            <v>P-531-A(1/2)</v>
          </cell>
        </row>
        <row r="3951">
          <cell r="B3951" t="str">
            <v>B272-400-AS-210-SK-002</v>
          </cell>
          <cell r="E3951" t="str">
            <v>P-531-B(1/2)</v>
          </cell>
        </row>
        <row r="3952">
          <cell r="B3952" t="str">
            <v>B272-400-AS-210-SK-002</v>
          </cell>
          <cell r="E3952" t="str">
            <v>P-531(2/2)</v>
          </cell>
        </row>
        <row r="3953">
          <cell r="B3953" t="str">
            <v>B272-400-AS-210-SK-002</v>
          </cell>
          <cell r="E3953" t="str">
            <v>P-531-A(2/2)</v>
          </cell>
        </row>
        <row r="3954">
          <cell r="B3954" t="str">
            <v>B272-400-AS-210-SK-002</v>
          </cell>
          <cell r="E3954" t="str">
            <v>P-531-B(2/2)</v>
          </cell>
        </row>
        <row r="3955">
          <cell r="B3955" t="str">
            <v>B272-400-AS-210-SK-002</v>
          </cell>
          <cell r="E3955" t="str">
            <v>P-587</v>
          </cell>
        </row>
        <row r="3956">
          <cell r="B3956" t="str">
            <v>B272-400-AS-210-SK-002</v>
          </cell>
          <cell r="E3956" t="str">
            <v>P-944(1/4)</v>
          </cell>
        </row>
        <row r="3957">
          <cell r="B3957" t="str">
            <v>B272-400-AS-210-SK-002</v>
          </cell>
          <cell r="E3957" t="str">
            <v>P-944(2/4)</v>
          </cell>
        </row>
        <row r="3958">
          <cell r="B3958" t="str">
            <v>B272-400-AS-210-SK-002</v>
          </cell>
          <cell r="E3958" t="str">
            <v>P-944(3/4)</v>
          </cell>
        </row>
        <row r="3959">
          <cell r="B3959" t="str">
            <v>B272-400-AS-210-SK-002</v>
          </cell>
          <cell r="E3959" t="str">
            <v>P-944(4/4)</v>
          </cell>
        </row>
        <row r="3960">
          <cell r="B3960" t="str">
            <v>B272-400-AS-210-SK-002</v>
          </cell>
          <cell r="E3960" t="str">
            <v>P-995(1/3)</v>
          </cell>
        </row>
        <row r="3961">
          <cell r="B3961" t="str">
            <v>B272-400-AS-210-SK-002</v>
          </cell>
          <cell r="E3961" t="str">
            <v>P-995(2/3)</v>
          </cell>
        </row>
        <row r="3962">
          <cell r="B3962" t="str">
            <v>B272-400-AS-210-SK-002</v>
          </cell>
          <cell r="E3962" t="str">
            <v>P-995(3/3)</v>
          </cell>
        </row>
        <row r="3963">
          <cell r="B3963" t="str">
            <v>B272-400-AS-210-SK-002</v>
          </cell>
          <cell r="E3963" t="str">
            <v>P-996</v>
          </cell>
        </row>
        <row r="3964">
          <cell r="B3964" t="str">
            <v>B272-400-AS-210-SK-002</v>
          </cell>
          <cell r="E3964" t="str">
            <v>P-1042</v>
          </cell>
        </row>
        <row r="3965">
          <cell r="B3965" t="str">
            <v>B272-400-AS-210-SK-002</v>
          </cell>
          <cell r="E3965" t="str">
            <v>P-1043(1/2)</v>
          </cell>
        </row>
        <row r="3966">
          <cell r="B3966" t="str">
            <v>B272-400-AS-210-SK-002</v>
          </cell>
          <cell r="E3966" t="str">
            <v>P-1043(2/2)</v>
          </cell>
        </row>
        <row r="3967">
          <cell r="B3967" t="str">
            <v>B272-400-AS-210-SK-002</v>
          </cell>
          <cell r="E3967" t="str">
            <v>P-1044(1/2)</v>
          </cell>
        </row>
        <row r="3968">
          <cell r="B3968" t="str">
            <v>B272-400-AS-210-SK-002</v>
          </cell>
          <cell r="E3968" t="str">
            <v>P-1044(2/2)</v>
          </cell>
        </row>
        <row r="3969">
          <cell r="B3969" t="str">
            <v>B272-400-AS-210-SK-002</v>
          </cell>
          <cell r="E3969" t="str">
            <v>P-1048(1/131)</v>
          </cell>
        </row>
        <row r="3970">
          <cell r="B3970" t="str">
            <v>B272-400-AS-210-SK-002</v>
          </cell>
          <cell r="E3970" t="str">
            <v>P-1048(2/131)</v>
          </cell>
        </row>
        <row r="3971">
          <cell r="B3971" t="str">
            <v>B272-400-AS-210-SK-002</v>
          </cell>
          <cell r="E3971" t="str">
            <v>P-1048(3/131)</v>
          </cell>
        </row>
        <row r="3972">
          <cell r="B3972" t="str">
            <v>B272-400-AS-210-SK-002</v>
          </cell>
          <cell r="E3972" t="str">
            <v>P-1048(4/131)</v>
          </cell>
        </row>
        <row r="3973">
          <cell r="B3973" t="str">
            <v>B272-400-AS-210-SK-002</v>
          </cell>
          <cell r="E3973" t="str">
            <v>P-1048(5/131)</v>
          </cell>
        </row>
        <row r="3974">
          <cell r="B3974" t="str">
            <v>B272-400-AS-210-SK-002</v>
          </cell>
          <cell r="E3974" t="str">
            <v>P-1048(6/131)</v>
          </cell>
        </row>
        <row r="3975">
          <cell r="B3975" t="str">
            <v>B272-400-AS-210-SK-002</v>
          </cell>
          <cell r="E3975" t="str">
            <v>P-1048(7/131)</v>
          </cell>
        </row>
        <row r="3976">
          <cell r="B3976" t="str">
            <v>B272-400-AS-210-SK-002</v>
          </cell>
          <cell r="E3976" t="str">
            <v>P-1048(8/131)</v>
          </cell>
        </row>
        <row r="3977">
          <cell r="B3977" t="str">
            <v>B272-400-AS-210-SK-002</v>
          </cell>
          <cell r="E3977" t="str">
            <v>P-1048(9/131)</v>
          </cell>
        </row>
        <row r="3978">
          <cell r="B3978" t="str">
            <v>B272-400-AS-210-SK-002</v>
          </cell>
          <cell r="E3978" t="str">
            <v>P-1048(10/131)</v>
          </cell>
        </row>
        <row r="3979">
          <cell r="B3979" t="str">
            <v>B272-400-AS-210-SK-002</v>
          </cell>
          <cell r="E3979" t="str">
            <v>P-1048(11/131)</v>
          </cell>
        </row>
        <row r="3980">
          <cell r="B3980" t="str">
            <v>B272-400-AS-210-SK-002</v>
          </cell>
          <cell r="E3980" t="str">
            <v>P-1048(12/131)</v>
          </cell>
        </row>
        <row r="3981">
          <cell r="B3981" t="str">
            <v>B272-400-AS-210-SK-002</v>
          </cell>
          <cell r="E3981" t="str">
            <v>P-1048(13/131)</v>
          </cell>
        </row>
        <row r="3982">
          <cell r="B3982" t="str">
            <v>B272-400-AS-210-SK-002</v>
          </cell>
          <cell r="E3982" t="str">
            <v>P-1048(14/131)</v>
          </cell>
        </row>
        <row r="3983">
          <cell r="B3983" t="str">
            <v>B272-400-AS-210-SK-002</v>
          </cell>
          <cell r="E3983" t="str">
            <v>P-1048(15/131)</v>
          </cell>
        </row>
        <row r="3984">
          <cell r="B3984" t="str">
            <v>B272-400-AS-210-SK-002</v>
          </cell>
          <cell r="E3984" t="str">
            <v>P-1048(16/131)</v>
          </cell>
        </row>
        <row r="3985">
          <cell r="B3985" t="str">
            <v>B272-400-AS-210-SK-002</v>
          </cell>
          <cell r="E3985" t="str">
            <v>P-1048(17/131)</v>
          </cell>
        </row>
        <row r="3986">
          <cell r="B3986" t="str">
            <v>B272-400-AS-210-SK-002</v>
          </cell>
          <cell r="E3986" t="str">
            <v>P-1048(18/131)</v>
          </cell>
        </row>
        <row r="3987">
          <cell r="B3987" t="str">
            <v>B272-400-AS-210-SK-002</v>
          </cell>
          <cell r="E3987" t="str">
            <v>P-1048(19/131)</v>
          </cell>
        </row>
        <row r="3988">
          <cell r="B3988" t="str">
            <v>B272-400-AS-210-SK-002</v>
          </cell>
          <cell r="E3988" t="str">
            <v>P-1048(20/131)</v>
          </cell>
        </row>
        <row r="3989">
          <cell r="B3989" t="str">
            <v>B272-400-AS-210-SK-002</v>
          </cell>
          <cell r="E3989" t="str">
            <v>P-1048(21/131)</v>
          </cell>
        </row>
        <row r="3990">
          <cell r="B3990" t="str">
            <v>B272-400-AS-210-SK-002</v>
          </cell>
          <cell r="E3990" t="str">
            <v>P-1048(22/131)</v>
          </cell>
        </row>
        <row r="3991">
          <cell r="B3991" t="str">
            <v>B272-400-AS-210-SK-002</v>
          </cell>
          <cell r="E3991" t="str">
            <v>P-1048(23/131)</v>
          </cell>
        </row>
        <row r="3992">
          <cell r="B3992" t="str">
            <v>B272-400-AS-210-SK-002</v>
          </cell>
          <cell r="E3992" t="str">
            <v>P-1048(24/131)</v>
          </cell>
        </row>
        <row r="3993">
          <cell r="B3993" t="str">
            <v>B272-400-AS-210-SK-002</v>
          </cell>
          <cell r="E3993" t="str">
            <v>P-1048(25/131)</v>
          </cell>
        </row>
        <row r="3994">
          <cell r="B3994" t="str">
            <v>B272-400-AS-210-SK-002</v>
          </cell>
          <cell r="E3994" t="str">
            <v>P-1048(26/131)</v>
          </cell>
        </row>
        <row r="3995">
          <cell r="B3995" t="str">
            <v>B272-400-AS-210-SK-002</v>
          </cell>
          <cell r="E3995" t="str">
            <v>P-1048(27/131)</v>
          </cell>
        </row>
        <row r="3996">
          <cell r="B3996" t="str">
            <v>B272-400-AS-210-SK-002</v>
          </cell>
          <cell r="E3996" t="str">
            <v>P-1048(28/131)</v>
          </cell>
        </row>
        <row r="3997">
          <cell r="B3997" t="str">
            <v>B272-400-AS-210-SK-002</v>
          </cell>
          <cell r="E3997" t="str">
            <v>P-1048(29/131)</v>
          </cell>
        </row>
        <row r="3998">
          <cell r="B3998" t="str">
            <v>B272-400-AS-210-SK-002</v>
          </cell>
          <cell r="E3998" t="str">
            <v>P-1048(30/131)</v>
          </cell>
        </row>
        <row r="3999">
          <cell r="B3999" t="str">
            <v>B272-400-AS-210-SK-002</v>
          </cell>
          <cell r="E3999" t="str">
            <v>P-1048(31/131)</v>
          </cell>
        </row>
        <row r="4000">
          <cell r="B4000" t="str">
            <v>B272-400-AS-210-SK-002</v>
          </cell>
          <cell r="E4000" t="str">
            <v>P-1048(32/131)</v>
          </cell>
        </row>
        <row r="4001">
          <cell r="B4001" t="str">
            <v>B272-400-AS-210-SK-002</v>
          </cell>
          <cell r="E4001" t="str">
            <v>P-1048(33/131)</v>
          </cell>
        </row>
        <row r="4002">
          <cell r="B4002" t="str">
            <v>B272-400-AS-210-SK-002</v>
          </cell>
          <cell r="E4002" t="str">
            <v>P-1048(34/131)</v>
          </cell>
        </row>
        <row r="4003">
          <cell r="B4003" t="str">
            <v>B272-400-AS-210-SK-002</v>
          </cell>
          <cell r="E4003" t="str">
            <v>P-1048(35/131)</v>
          </cell>
        </row>
        <row r="4004">
          <cell r="B4004" t="str">
            <v>B272-400-AS-210-SK-002</v>
          </cell>
          <cell r="E4004" t="str">
            <v>P-1048(36/131)</v>
          </cell>
        </row>
        <row r="4005">
          <cell r="B4005" t="str">
            <v>B272-400-AS-210-SK-002</v>
          </cell>
          <cell r="E4005" t="str">
            <v>P-1048(37/131)</v>
          </cell>
        </row>
        <row r="4006">
          <cell r="B4006" t="str">
            <v>B272-400-AS-210-SK-002</v>
          </cell>
          <cell r="E4006" t="str">
            <v>P-1048(38/131)</v>
          </cell>
        </row>
        <row r="4007">
          <cell r="B4007" t="str">
            <v>B272-400-AS-210-SK-002</v>
          </cell>
          <cell r="E4007" t="str">
            <v>P-1048(39/131)</v>
          </cell>
        </row>
        <row r="4008">
          <cell r="B4008" t="str">
            <v>B272-400-AS-210-SK-002</v>
          </cell>
          <cell r="E4008" t="str">
            <v>P-1048(40/131)</v>
          </cell>
        </row>
        <row r="4009">
          <cell r="B4009" t="str">
            <v>B272-400-AS-210-SK-002</v>
          </cell>
          <cell r="E4009" t="str">
            <v>P-1048(41/131)</v>
          </cell>
        </row>
        <row r="4010">
          <cell r="B4010" t="str">
            <v>B272-400-AS-210-SK-002</v>
          </cell>
          <cell r="E4010" t="str">
            <v>P-1048(42/131)</v>
          </cell>
        </row>
        <row r="4011">
          <cell r="B4011" t="str">
            <v>B272-400-AS-210-SK-002</v>
          </cell>
          <cell r="E4011" t="str">
            <v>P-1048(43/131)</v>
          </cell>
        </row>
        <row r="4012">
          <cell r="B4012" t="str">
            <v>B272-400-AS-210-SK-002</v>
          </cell>
          <cell r="E4012" t="str">
            <v>P-1048(44/131)</v>
          </cell>
        </row>
        <row r="4013">
          <cell r="B4013" t="str">
            <v>B272-400-AS-210-SK-002</v>
          </cell>
          <cell r="E4013" t="str">
            <v>P-1048(45/131)</v>
          </cell>
        </row>
        <row r="4014">
          <cell r="B4014" t="str">
            <v>B272-400-AS-210-SK-002</v>
          </cell>
          <cell r="E4014" t="str">
            <v>P-1048(46/131)</v>
          </cell>
        </row>
        <row r="4015">
          <cell r="B4015" t="str">
            <v>B272-400-AS-210-SK-002</v>
          </cell>
          <cell r="E4015" t="str">
            <v>P-1048(47/131)</v>
          </cell>
        </row>
        <row r="4016">
          <cell r="B4016" t="str">
            <v>B272-400-AS-210-SK-002</v>
          </cell>
          <cell r="E4016" t="str">
            <v>P-1048(48/131)</v>
          </cell>
        </row>
        <row r="4017">
          <cell r="B4017" t="str">
            <v>B272-400-AS-210-SK-002</v>
          </cell>
          <cell r="E4017" t="str">
            <v>P-1048(49/131)</v>
          </cell>
        </row>
        <row r="4018">
          <cell r="B4018" t="str">
            <v>B272-400-AS-210-SK-002</v>
          </cell>
          <cell r="E4018" t="str">
            <v>P-1048(50/131)</v>
          </cell>
        </row>
        <row r="4019">
          <cell r="B4019" t="str">
            <v>B272-400-AS-210-SK-002</v>
          </cell>
          <cell r="E4019" t="str">
            <v>P-1048(51/131)</v>
          </cell>
        </row>
        <row r="4020">
          <cell r="B4020" t="str">
            <v>B272-400-AS-210-SK-002</v>
          </cell>
          <cell r="E4020" t="str">
            <v>P-1048(52/131)</v>
          </cell>
        </row>
        <row r="4021">
          <cell r="B4021" t="str">
            <v>B272-400-AS-210-SK-002</v>
          </cell>
          <cell r="E4021" t="str">
            <v>P-1048(53/131)</v>
          </cell>
        </row>
        <row r="4022">
          <cell r="B4022" t="str">
            <v>B272-400-AS-210-SK-002</v>
          </cell>
          <cell r="E4022" t="str">
            <v>P-1048(54/131)</v>
          </cell>
        </row>
        <row r="4023">
          <cell r="B4023" t="str">
            <v>B272-400-AS-210-SK-002</v>
          </cell>
          <cell r="E4023" t="str">
            <v>P-1048(55/131)</v>
          </cell>
        </row>
        <row r="4024">
          <cell r="B4024" t="str">
            <v>B272-400-AS-210-SK-002</v>
          </cell>
          <cell r="E4024" t="str">
            <v>P-1048(56/131)</v>
          </cell>
        </row>
        <row r="4025">
          <cell r="B4025" t="str">
            <v>B272-400-AS-210-SK-002</v>
          </cell>
          <cell r="E4025" t="str">
            <v>P-1048(57/131)</v>
          </cell>
        </row>
        <row r="4026">
          <cell r="B4026" t="str">
            <v>B272-400-AS-210-SK-002</v>
          </cell>
          <cell r="E4026" t="str">
            <v>P-1048(58/131)</v>
          </cell>
        </row>
        <row r="4027">
          <cell r="B4027" t="str">
            <v>B272-400-AS-210-SK-002</v>
          </cell>
          <cell r="E4027" t="str">
            <v>P-1048(59/131)</v>
          </cell>
        </row>
        <row r="4028">
          <cell r="B4028" t="str">
            <v>B272-400-AS-210-SK-002</v>
          </cell>
          <cell r="E4028" t="str">
            <v>P-1048(60/131)</v>
          </cell>
        </row>
        <row r="4029">
          <cell r="B4029" t="str">
            <v>B272-400-AS-210-SK-002</v>
          </cell>
          <cell r="E4029" t="str">
            <v>P-1048(61/131)</v>
          </cell>
        </row>
        <row r="4030">
          <cell r="B4030" t="str">
            <v>B272-400-AS-210-SK-002</v>
          </cell>
          <cell r="E4030" t="str">
            <v>P-1048(62/131)</v>
          </cell>
        </row>
        <row r="4031">
          <cell r="B4031" t="str">
            <v>B272-400-AS-210-SK-002</v>
          </cell>
          <cell r="E4031" t="str">
            <v>P-1048(63/131)</v>
          </cell>
        </row>
        <row r="4032">
          <cell r="B4032" t="str">
            <v>B272-400-AS-210-SK-002</v>
          </cell>
          <cell r="E4032" t="str">
            <v>P-1048(64/131)</v>
          </cell>
        </row>
        <row r="4033">
          <cell r="B4033" t="str">
            <v>B272-400-AS-210-SK-002</v>
          </cell>
          <cell r="E4033" t="str">
            <v>P-1048(65/131)</v>
          </cell>
        </row>
        <row r="4034">
          <cell r="B4034" t="str">
            <v>B272-400-AS-210-SK-002</v>
          </cell>
          <cell r="E4034" t="str">
            <v>P-1048(66/131)</v>
          </cell>
        </row>
        <row r="4035">
          <cell r="B4035" t="str">
            <v>B272-400-AS-210-SK-002</v>
          </cell>
          <cell r="E4035" t="str">
            <v>P-1048(67/131)</v>
          </cell>
        </row>
        <row r="4036">
          <cell r="B4036" t="str">
            <v>B272-400-AS-210-SK-002</v>
          </cell>
          <cell r="E4036" t="str">
            <v>P-1048(68/131)</v>
          </cell>
        </row>
        <row r="4037">
          <cell r="B4037" t="str">
            <v>B272-400-AS-210-SK-002</v>
          </cell>
          <cell r="E4037" t="str">
            <v>P-1048(69/131)</v>
          </cell>
        </row>
        <row r="4038">
          <cell r="B4038" t="str">
            <v>B272-400-AS-210-SK-002</v>
          </cell>
          <cell r="E4038" t="str">
            <v>P-1048(70/131)</v>
          </cell>
        </row>
        <row r="4039">
          <cell r="B4039" t="str">
            <v>B272-400-AS-210-SK-002</v>
          </cell>
          <cell r="E4039" t="str">
            <v>P-1048(71/131)</v>
          </cell>
        </row>
        <row r="4040">
          <cell r="B4040" t="str">
            <v>B272-400-AS-210-SK-002</v>
          </cell>
          <cell r="E4040" t="str">
            <v>P-1048(72/131)</v>
          </cell>
        </row>
        <row r="4041">
          <cell r="B4041" t="str">
            <v>B272-400-AS-210-SK-002</v>
          </cell>
          <cell r="E4041" t="str">
            <v>P-1048(73/131)</v>
          </cell>
        </row>
        <row r="4042">
          <cell r="B4042" t="str">
            <v>B272-400-AS-210-SK-002</v>
          </cell>
          <cell r="E4042" t="str">
            <v>P-1048(74/131)</v>
          </cell>
        </row>
        <row r="4043">
          <cell r="B4043" t="str">
            <v>B272-400-AS-210-SK-002</v>
          </cell>
          <cell r="E4043" t="str">
            <v>P-1048(75/131)</v>
          </cell>
        </row>
        <row r="4044">
          <cell r="B4044" t="str">
            <v>B272-400-AS-210-SK-002</v>
          </cell>
          <cell r="E4044" t="str">
            <v>P-1048(76/131)</v>
          </cell>
        </row>
        <row r="4045">
          <cell r="B4045" t="str">
            <v>B272-400-AS-210-SK-002</v>
          </cell>
          <cell r="E4045" t="str">
            <v>P-1048(77/131)</v>
          </cell>
        </row>
        <row r="4046">
          <cell r="B4046" t="str">
            <v>B272-400-AS-210-SK-002</v>
          </cell>
          <cell r="E4046" t="str">
            <v>P-1048(78/131)</v>
          </cell>
        </row>
        <row r="4047">
          <cell r="B4047" t="str">
            <v>B272-400-AS-210-SK-002</v>
          </cell>
          <cell r="E4047" t="str">
            <v>P-1048(79/131)</v>
          </cell>
        </row>
        <row r="4048">
          <cell r="B4048" t="str">
            <v>B272-400-AS-210-SK-002</v>
          </cell>
          <cell r="E4048" t="str">
            <v>P-1048(80/131)</v>
          </cell>
        </row>
        <row r="4049">
          <cell r="B4049" t="str">
            <v>B272-400-AS-210-SK-002</v>
          </cell>
          <cell r="E4049" t="str">
            <v>P-1048(81/131)</v>
          </cell>
        </row>
        <row r="4050">
          <cell r="B4050" t="str">
            <v>B272-400-AS-210-SK-002</v>
          </cell>
          <cell r="E4050" t="str">
            <v>P-1048(82/131)</v>
          </cell>
        </row>
        <row r="4051">
          <cell r="B4051" t="str">
            <v>B272-400-AS-210-SK-002</v>
          </cell>
          <cell r="E4051" t="str">
            <v>P-1048(83/131)</v>
          </cell>
        </row>
        <row r="4052">
          <cell r="B4052" t="str">
            <v>B272-400-AS-210-SK-002</v>
          </cell>
          <cell r="E4052" t="str">
            <v>P-1048(84/131)</v>
          </cell>
        </row>
        <row r="4053">
          <cell r="B4053" t="str">
            <v>B272-400-AS-210-SK-002</v>
          </cell>
          <cell r="E4053" t="str">
            <v>P-1048(85/131)</v>
          </cell>
        </row>
        <row r="4054">
          <cell r="B4054" t="str">
            <v>B272-400-AS-210-SK-002</v>
          </cell>
          <cell r="E4054" t="str">
            <v>P-1048(86/131)</v>
          </cell>
        </row>
        <row r="4055">
          <cell r="B4055" t="str">
            <v>B272-400-AS-210-SK-002</v>
          </cell>
          <cell r="E4055" t="str">
            <v>P-1048(87/131)</v>
          </cell>
        </row>
        <row r="4056">
          <cell r="B4056" t="str">
            <v>B272-400-AS-210-SK-002</v>
          </cell>
          <cell r="E4056" t="str">
            <v>P-1048(88/131)</v>
          </cell>
        </row>
        <row r="4057">
          <cell r="B4057" t="str">
            <v>B272-400-AS-210-SK-002</v>
          </cell>
          <cell r="E4057" t="str">
            <v>P-1048(89/131)</v>
          </cell>
        </row>
        <row r="4058">
          <cell r="B4058" t="str">
            <v>B272-400-AS-210-SK-002</v>
          </cell>
          <cell r="E4058" t="str">
            <v>P-1048(90/131)</v>
          </cell>
        </row>
        <row r="4059">
          <cell r="B4059" t="str">
            <v>B272-400-AS-210-SK-002</v>
          </cell>
          <cell r="E4059" t="str">
            <v>P-1048(91/131)</v>
          </cell>
        </row>
        <row r="4060">
          <cell r="B4060" t="str">
            <v>B272-400-AS-210-SK-002</v>
          </cell>
          <cell r="E4060" t="str">
            <v>P-1048(92/131)</v>
          </cell>
        </row>
        <row r="4061">
          <cell r="B4061" t="str">
            <v>B272-400-AS-210-SK-002</v>
          </cell>
          <cell r="E4061" t="str">
            <v>P-1048(93/131)</v>
          </cell>
        </row>
        <row r="4062">
          <cell r="B4062" t="str">
            <v>B272-400-AS-210-SK-002</v>
          </cell>
          <cell r="E4062" t="str">
            <v>P-1048(94/131)</v>
          </cell>
        </row>
        <row r="4063">
          <cell r="B4063" t="str">
            <v>B272-400-AS-210-SK-002</v>
          </cell>
          <cell r="E4063" t="str">
            <v>P-1048(95/131)</v>
          </cell>
        </row>
        <row r="4064">
          <cell r="B4064" t="str">
            <v>B272-400-AS-210-SK-002</v>
          </cell>
          <cell r="E4064" t="str">
            <v>P-1048(96/131)</v>
          </cell>
        </row>
        <row r="4065">
          <cell r="B4065" t="str">
            <v>B272-400-AS-210-SK-002</v>
          </cell>
          <cell r="E4065" t="str">
            <v>P-1048(97/131)</v>
          </cell>
        </row>
        <row r="4066">
          <cell r="B4066" t="str">
            <v>B272-400-AS-210-SK-002</v>
          </cell>
          <cell r="E4066" t="str">
            <v>P-1048(98/131)</v>
          </cell>
        </row>
        <row r="4067">
          <cell r="B4067" t="str">
            <v>B272-400-AS-210-SK-002</v>
          </cell>
          <cell r="E4067" t="str">
            <v>P-1048(99/131)</v>
          </cell>
        </row>
        <row r="4068">
          <cell r="B4068" t="str">
            <v>B272-400-AS-210-SK-002</v>
          </cell>
          <cell r="E4068" t="str">
            <v>P-1048(100/131)</v>
          </cell>
        </row>
        <row r="4069">
          <cell r="B4069" t="str">
            <v>B272-400-AS-210-SK-002</v>
          </cell>
          <cell r="E4069" t="str">
            <v>P-1048(101/131)</v>
          </cell>
        </row>
        <row r="4070">
          <cell r="B4070" t="str">
            <v>B272-400-AS-210-SK-002</v>
          </cell>
          <cell r="E4070" t="str">
            <v>P-1048(102/131)</v>
          </cell>
        </row>
        <row r="4071">
          <cell r="B4071" t="str">
            <v>B272-400-AS-210-SK-002</v>
          </cell>
          <cell r="E4071" t="str">
            <v>P-1048(103/131)</v>
          </cell>
        </row>
        <row r="4072">
          <cell r="B4072" t="str">
            <v>B272-400-AS-210-SK-002</v>
          </cell>
          <cell r="E4072" t="str">
            <v>P-1048(104/131)</v>
          </cell>
        </row>
        <row r="4073">
          <cell r="B4073" t="str">
            <v>B272-400-AS-210-SK-002</v>
          </cell>
          <cell r="E4073" t="str">
            <v>P-1048(105/131)</v>
          </cell>
        </row>
        <row r="4074">
          <cell r="B4074" t="str">
            <v>B272-400-AS-210-SK-002</v>
          </cell>
          <cell r="E4074" t="str">
            <v>P-1048(106/131)</v>
          </cell>
        </row>
        <row r="4075">
          <cell r="B4075" t="str">
            <v>B272-400-AS-210-SK-002</v>
          </cell>
          <cell r="E4075" t="str">
            <v>P-1048(107/131)</v>
          </cell>
        </row>
        <row r="4076">
          <cell r="B4076" t="str">
            <v>B272-400-AS-210-SK-002</v>
          </cell>
          <cell r="E4076" t="str">
            <v>P-1048(108/131)</v>
          </cell>
        </row>
        <row r="4077">
          <cell r="B4077" t="str">
            <v>B272-400-AS-210-SK-002</v>
          </cell>
          <cell r="E4077" t="str">
            <v>P-1048(109/131)</v>
          </cell>
        </row>
        <row r="4078">
          <cell r="B4078" t="str">
            <v>B272-400-AS-210-SK-002</v>
          </cell>
          <cell r="E4078" t="str">
            <v>P-1048(110/131)</v>
          </cell>
        </row>
        <row r="4079">
          <cell r="B4079" t="str">
            <v>B272-400-AS-210-SK-002</v>
          </cell>
          <cell r="E4079" t="str">
            <v>P-1048(111/131)</v>
          </cell>
        </row>
        <row r="4080">
          <cell r="B4080" t="str">
            <v>B272-400-AS-210-SK-002</v>
          </cell>
          <cell r="E4080" t="str">
            <v>P-1048(112/131)</v>
          </cell>
        </row>
        <row r="4081">
          <cell r="B4081" t="str">
            <v>B272-400-AS-210-SK-002</v>
          </cell>
          <cell r="E4081" t="str">
            <v>P-1048(113/131)</v>
          </cell>
        </row>
        <row r="4082">
          <cell r="B4082" t="str">
            <v>B272-400-AS-210-SK-002</v>
          </cell>
          <cell r="E4082" t="str">
            <v>P-1048(114/131)</v>
          </cell>
        </row>
        <row r="4083">
          <cell r="B4083" t="str">
            <v>B272-400-AS-210-SK-002</v>
          </cell>
          <cell r="E4083" t="str">
            <v>P-1048(115/131)</v>
          </cell>
        </row>
        <row r="4084">
          <cell r="B4084" t="str">
            <v>B272-400-AS-210-SK-002</v>
          </cell>
          <cell r="E4084" t="str">
            <v>P-1048(116/131)</v>
          </cell>
        </row>
        <row r="4085">
          <cell r="B4085" t="str">
            <v>B272-400-AS-210-SK-002</v>
          </cell>
          <cell r="E4085" t="str">
            <v>P-1048(117/131)</v>
          </cell>
        </row>
        <row r="4086">
          <cell r="B4086" t="str">
            <v>B272-400-AS-210-SK-002</v>
          </cell>
          <cell r="E4086" t="str">
            <v>P-1048(118/131)</v>
          </cell>
        </row>
        <row r="4087">
          <cell r="B4087" t="str">
            <v>B272-400-AS-210-SK-002</v>
          </cell>
          <cell r="E4087" t="str">
            <v>P-1048(119/131)</v>
          </cell>
        </row>
        <row r="4088">
          <cell r="B4088" t="str">
            <v>B272-400-AS-210-SK-002</v>
          </cell>
          <cell r="E4088" t="str">
            <v>P-1048(120/131)</v>
          </cell>
        </row>
        <row r="4089">
          <cell r="B4089" t="str">
            <v>B272-400-AS-210-SK-002</v>
          </cell>
          <cell r="E4089" t="str">
            <v>P-1048(121/131)</v>
          </cell>
        </row>
        <row r="4090">
          <cell r="B4090" t="str">
            <v>B272-400-AS-210-SK-002</v>
          </cell>
          <cell r="E4090" t="str">
            <v>P-1048(122/131)</v>
          </cell>
        </row>
        <row r="4091">
          <cell r="B4091" t="str">
            <v>B272-400-AS-210-SK-002</v>
          </cell>
          <cell r="E4091" t="str">
            <v>P-1048(123/131)</v>
          </cell>
        </row>
        <row r="4092">
          <cell r="B4092" t="str">
            <v>B272-400-AS-210-SK-002</v>
          </cell>
          <cell r="E4092" t="str">
            <v>P-1048(124/131)</v>
          </cell>
        </row>
        <row r="4093">
          <cell r="B4093" t="str">
            <v>B272-400-AS-210-SK-002</v>
          </cell>
          <cell r="E4093" t="str">
            <v>P-1048(125/131)</v>
          </cell>
        </row>
        <row r="4094">
          <cell r="B4094" t="str">
            <v>B272-400-AS-210-SK-002</v>
          </cell>
          <cell r="E4094" t="str">
            <v>P-1048(126/131)</v>
          </cell>
        </row>
        <row r="4095">
          <cell r="B4095" t="str">
            <v>B272-400-AS-210-SK-002</v>
          </cell>
          <cell r="E4095" t="str">
            <v>P-1048(127/131)</v>
          </cell>
        </row>
        <row r="4096">
          <cell r="B4096" t="str">
            <v>B272-400-AS-210-SK-002</v>
          </cell>
          <cell r="E4096" t="str">
            <v>P-1048(128/131)</v>
          </cell>
        </row>
        <row r="4097">
          <cell r="B4097" t="str">
            <v>B272-400-AS-210-SK-002</v>
          </cell>
          <cell r="E4097" t="str">
            <v>P-1048(129/131)</v>
          </cell>
        </row>
        <row r="4098">
          <cell r="B4098" t="str">
            <v>B272-400-AS-210-SK-002</v>
          </cell>
          <cell r="E4098" t="str">
            <v>P-1048(130/131)</v>
          </cell>
        </row>
        <row r="4099">
          <cell r="B4099" t="str">
            <v>B272-400-AS-210-SK-002</v>
          </cell>
          <cell r="E4099" t="str">
            <v>P-1048(131/131)</v>
          </cell>
        </row>
        <row r="4100">
          <cell r="B4100" t="str">
            <v>B272-400-AS-210-SK-002</v>
          </cell>
          <cell r="E4100" t="str">
            <v>P-1049</v>
          </cell>
        </row>
        <row r="4101">
          <cell r="B4101" t="str">
            <v>B272-400-AS-210-SK-002</v>
          </cell>
          <cell r="E4101" t="str">
            <v>P-1052(1/4)</v>
          </cell>
        </row>
        <row r="4102">
          <cell r="B4102" t="str">
            <v>B272-400-AS-210-SK-002</v>
          </cell>
          <cell r="E4102" t="str">
            <v>P-1052(2/4)</v>
          </cell>
        </row>
        <row r="4103">
          <cell r="B4103" t="str">
            <v>B272-400-AS-210-SK-002</v>
          </cell>
          <cell r="E4103" t="str">
            <v>P-1052(3/4)</v>
          </cell>
        </row>
        <row r="4104">
          <cell r="B4104" t="str">
            <v>B272-400-AS-210-SK-002</v>
          </cell>
          <cell r="E4104" t="str">
            <v>P-1052(4/4)</v>
          </cell>
        </row>
        <row r="4105">
          <cell r="B4105" t="str">
            <v>B272-400-AS-210-SK-002</v>
          </cell>
          <cell r="E4105" t="str">
            <v>P-1056(1/2)</v>
          </cell>
        </row>
        <row r="4106">
          <cell r="B4106" t="str">
            <v>B272-400-AS-210-SK-002</v>
          </cell>
          <cell r="E4106" t="str">
            <v>P-1056(2/2)</v>
          </cell>
        </row>
        <row r="4107">
          <cell r="B4107" t="str">
            <v>B272-400-AS-210-SK-002</v>
          </cell>
          <cell r="E4107" t="str">
            <v>P-1083(1/2)</v>
          </cell>
        </row>
        <row r="4108">
          <cell r="B4108" t="str">
            <v>B272-400-AS-210-SK-002</v>
          </cell>
          <cell r="E4108" t="str">
            <v>P-1083(2/2)</v>
          </cell>
        </row>
        <row r="4109">
          <cell r="B4109" t="str">
            <v>B272-400-AS-210-SK-002</v>
          </cell>
          <cell r="E4109" t="str">
            <v>P-1172</v>
          </cell>
        </row>
        <row r="4110">
          <cell r="B4110" t="str">
            <v>B272-400-AS-210-SK-002</v>
          </cell>
          <cell r="E4110" t="str">
            <v>P-1173</v>
          </cell>
        </row>
        <row r="4111">
          <cell r="B4111" t="str">
            <v>B272-400-AS-210-SK-002</v>
          </cell>
          <cell r="E4111" t="str">
            <v>P-1174(1/2)</v>
          </cell>
        </row>
        <row r="4112">
          <cell r="B4112" t="str">
            <v>B272-400-AS-210-SK-002</v>
          </cell>
          <cell r="E4112" t="str">
            <v>P-1174(2/2)</v>
          </cell>
        </row>
        <row r="4113">
          <cell r="B4113" t="str">
            <v>B272-400-AS-210-SK-002</v>
          </cell>
          <cell r="E4113" t="str">
            <v>PFY-4</v>
          </cell>
        </row>
        <row r="4114">
          <cell r="B4114" t="str">
            <v>B272-400-AS-210-SK-002</v>
          </cell>
          <cell r="E4114" t="str">
            <v>PFY-4-A</v>
          </cell>
        </row>
        <row r="4115">
          <cell r="B4115" t="str">
            <v>B272-400-AS-210-SK-002</v>
          </cell>
          <cell r="E4115" t="str">
            <v>PFY-4-B</v>
          </cell>
        </row>
        <row r="4116">
          <cell r="B4116" t="str">
            <v>B272-400-AS-210-SK-002</v>
          </cell>
          <cell r="E4116" t="str">
            <v>PFY-4-C</v>
          </cell>
        </row>
        <row r="4117">
          <cell r="B4117" t="str">
            <v>B272-400-AS-210-SK-002</v>
          </cell>
          <cell r="E4117" t="str">
            <v>PFY-4-D</v>
          </cell>
        </row>
        <row r="4118">
          <cell r="B4118" t="str">
            <v>B272-400-AS-210-SK-002</v>
          </cell>
          <cell r="E4118" t="str">
            <v>PFY-4-E</v>
          </cell>
        </row>
        <row r="4119">
          <cell r="B4119" t="str">
            <v>B272-400-AS-210-SK-002</v>
          </cell>
          <cell r="E4119" t="str">
            <v>PX-35</v>
          </cell>
        </row>
        <row r="4120">
          <cell r="B4120" t="str">
            <v>B272-400-AS-210-SK-002</v>
          </cell>
          <cell r="E4120" t="str">
            <v>PX-36</v>
          </cell>
        </row>
        <row r="4121">
          <cell r="B4121" t="str">
            <v>B272-400-AS-210-SK-002</v>
          </cell>
          <cell r="E4121" t="str">
            <v>PX-42(1/3)</v>
          </cell>
        </row>
        <row r="4122">
          <cell r="B4122" t="str">
            <v>B272-400-AS-210-SK-002</v>
          </cell>
          <cell r="E4122" t="str">
            <v>PX-42(2/3)</v>
          </cell>
        </row>
        <row r="4123">
          <cell r="B4123" t="str">
            <v>B272-400-AS-210-SK-002</v>
          </cell>
          <cell r="E4123" t="str">
            <v>PX-42(3/3)</v>
          </cell>
        </row>
        <row r="4124">
          <cell r="B4124" t="str">
            <v>B272-400-AS-210-SK-002</v>
          </cell>
          <cell r="E4124" t="str">
            <v>PX-86(1/18)</v>
          </cell>
        </row>
        <row r="4125">
          <cell r="B4125" t="str">
            <v>B272-400-AS-210-SK-002</v>
          </cell>
          <cell r="E4125" t="str">
            <v>PX-86(2/18)</v>
          </cell>
        </row>
        <row r="4126">
          <cell r="B4126" t="str">
            <v>B272-400-AS-210-SK-002</v>
          </cell>
          <cell r="E4126" t="str">
            <v>PX-86(3/18)</v>
          </cell>
        </row>
        <row r="4127">
          <cell r="B4127" t="str">
            <v>B272-400-AS-210-SK-002</v>
          </cell>
          <cell r="E4127" t="str">
            <v>PX-86(4/18)</v>
          </cell>
        </row>
        <row r="4128">
          <cell r="B4128" t="str">
            <v>B272-400-AS-210-SK-002</v>
          </cell>
          <cell r="E4128" t="str">
            <v>PX-86(5/18)</v>
          </cell>
        </row>
        <row r="4129">
          <cell r="B4129" t="str">
            <v>B272-400-AS-210-SK-002</v>
          </cell>
          <cell r="E4129" t="str">
            <v>PX-86(6/18)</v>
          </cell>
        </row>
        <row r="4130">
          <cell r="B4130" t="str">
            <v>B272-400-AS-210-SK-002</v>
          </cell>
          <cell r="E4130" t="str">
            <v>PX-86(7/18)</v>
          </cell>
        </row>
        <row r="4131">
          <cell r="B4131" t="str">
            <v>B272-400-AS-210-SK-002</v>
          </cell>
          <cell r="E4131" t="str">
            <v>PX-86(8/18)</v>
          </cell>
        </row>
        <row r="4132">
          <cell r="B4132" t="str">
            <v>B272-400-AS-210-SK-002</v>
          </cell>
          <cell r="E4132" t="str">
            <v>PX-86(9/18)</v>
          </cell>
        </row>
        <row r="4133">
          <cell r="B4133" t="str">
            <v>B272-400-AS-210-SK-002</v>
          </cell>
          <cell r="E4133" t="str">
            <v>PX-86(10/18)</v>
          </cell>
        </row>
        <row r="4134">
          <cell r="B4134" t="str">
            <v>B272-400-AS-210-SK-002</v>
          </cell>
          <cell r="E4134" t="str">
            <v>PX-86(11/18)</v>
          </cell>
        </row>
        <row r="4135">
          <cell r="B4135" t="str">
            <v>B272-400-AS-210-SK-002</v>
          </cell>
          <cell r="E4135" t="str">
            <v>PX-86(12/18)</v>
          </cell>
        </row>
        <row r="4136">
          <cell r="B4136" t="str">
            <v>B272-400-AS-210-SK-002</v>
          </cell>
          <cell r="E4136" t="str">
            <v>PX-86(13/18)</v>
          </cell>
        </row>
        <row r="4137">
          <cell r="B4137" t="str">
            <v>B272-400-AS-210-SK-002</v>
          </cell>
          <cell r="E4137" t="str">
            <v>PX-86(14/18)</v>
          </cell>
        </row>
        <row r="4138">
          <cell r="B4138" t="str">
            <v>B272-400-AS-210-SK-002</v>
          </cell>
          <cell r="E4138" t="str">
            <v>PX-86(15/18)</v>
          </cell>
        </row>
        <row r="4139">
          <cell r="B4139" t="str">
            <v>B272-400-AS-210-SK-002</v>
          </cell>
          <cell r="E4139" t="str">
            <v>PX-86(16/18)</v>
          </cell>
        </row>
        <row r="4140">
          <cell r="B4140" t="str">
            <v>B272-400-AS-210-SK-002</v>
          </cell>
          <cell r="E4140" t="str">
            <v>PX-86(17/18)</v>
          </cell>
        </row>
        <row r="4141">
          <cell r="B4141" t="str">
            <v>B272-400-AS-210-SK-002</v>
          </cell>
          <cell r="E4141" t="str">
            <v>PX-86(18/18)</v>
          </cell>
        </row>
        <row r="4142">
          <cell r="B4142" t="str">
            <v>B272-400-AS-210-SK-002</v>
          </cell>
          <cell r="E4142" t="str">
            <v>PX-98(1/18)</v>
          </cell>
        </row>
        <row r="4143">
          <cell r="B4143" t="str">
            <v>B272-400-AS-210-SK-002</v>
          </cell>
          <cell r="E4143" t="str">
            <v>PX-98(2/18)</v>
          </cell>
        </row>
        <row r="4144">
          <cell r="B4144" t="str">
            <v>B272-400-AS-210-SK-002</v>
          </cell>
          <cell r="E4144" t="str">
            <v>PX-98(3/18)</v>
          </cell>
        </row>
        <row r="4145">
          <cell r="B4145" t="str">
            <v>B272-400-AS-210-SK-002</v>
          </cell>
          <cell r="E4145" t="str">
            <v>PX-98(4/18)</v>
          </cell>
        </row>
        <row r="4146">
          <cell r="B4146" t="str">
            <v>B272-400-AS-210-SK-002</v>
          </cell>
          <cell r="E4146" t="str">
            <v>PX-98(5/18)</v>
          </cell>
        </row>
        <row r="4147">
          <cell r="B4147" t="str">
            <v>B272-400-AS-210-SK-002</v>
          </cell>
          <cell r="E4147" t="str">
            <v>PX-98(6/18)</v>
          </cell>
        </row>
        <row r="4148">
          <cell r="B4148" t="str">
            <v>B272-400-AS-210-SK-002</v>
          </cell>
          <cell r="E4148" t="str">
            <v>PX-98(7/18)</v>
          </cell>
        </row>
        <row r="4149">
          <cell r="B4149" t="str">
            <v>B272-400-AS-210-SK-002</v>
          </cell>
          <cell r="E4149" t="str">
            <v>PX-98(8/18)</v>
          </cell>
        </row>
        <row r="4150">
          <cell r="B4150" t="str">
            <v>B272-400-AS-210-SK-002</v>
          </cell>
          <cell r="E4150" t="str">
            <v>PX-98(9/18)</v>
          </cell>
        </row>
        <row r="4151">
          <cell r="B4151" t="str">
            <v>B272-400-AS-210-SK-002</v>
          </cell>
          <cell r="E4151" t="str">
            <v>PX-98(10/18)</v>
          </cell>
        </row>
        <row r="4152">
          <cell r="B4152" t="str">
            <v>B272-400-AS-210-SK-002</v>
          </cell>
          <cell r="E4152" t="str">
            <v>PX-98(11/18)</v>
          </cell>
        </row>
        <row r="4153">
          <cell r="B4153" t="str">
            <v>B272-400-AS-210-SK-002</v>
          </cell>
          <cell r="E4153" t="str">
            <v>PX-98(12/18)</v>
          </cell>
        </row>
        <row r="4154">
          <cell r="B4154" t="str">
            <v>B272-400-AS-210-SK-002</v>
          </cell>
          <cell r="E4154" t="str">
            <v>PX-98(13/18)</v>
          </cell>
        </row>
        <row r="4155">
          <cell r="B4155" t="str">
            <v>B272-400-AS-210-SK-002</v>
          </cell>
          <cell r="E4155" t="str">
            <v>PX-98(14/18)</v>
          </cell>
        </row>
        <row r="4156">
          <cell r="B4156" t="str">
            <v>B272-400-AS-210-SK-002</v>
          </cell>
          <cell r="E4156" t="str">
            <v>PX-98(15/18)</v>
          </cell>
        </row>
        <row r="4157">
          <cell r="B4157" t="str">
            <v>B272-400-AS-210-SK-002</v>
          </cell>
          <cell r="E4157" t="str">
            <v>PX-98(16/18)</v>
          </cell>
        </row>
        <row r="4158">
          <cell r="B4158" t="str">
            <v>B272-400-AS-210-SK-002</v>
          </cell>
          <cell r="E4158" t="str">
            <v>PX-98(17/18)</v>
          </cell>
        </row>
        <row r="4159">
          <cell r="B4159" t="str">
            <v>B272-400-AS-210-SK-002</v>
          </cell>
          <cell r="E4159" t="str">
            <v>PX-98(18/18)</v>
          </cell>
        </row>
        <row r="4160">
          <cell r="B4160" t="str">
            <v>B272-400-AS-210-SK-002</v>
          </cell>
          <cell r="E4160" t="str">
            <v>PX-116</v>
          </cell>
        </row>
        <row r="4161">
          <cell r="B4161" t="str">
            <v>B272-400-AS-210-SK-002</v>
          </cell>
          <cell r="E4161" t="str">
            <v>PX-127(1/7)</v>
          </cell>
        </row>
        <row r="4162">
          <cell r="B4162" t="str">
            <v>B272-400-AS-210-SK-002</v>
          </cell>
          <cell r="E4162" t="str">
            <v>PX-127(2/7)</v>
          </cell>
        </row>
        <row r="4163">
          <cell r="B4163" t="str">
            <v>B272-400-AS-210-SK-002</v>
          </cell>
          <cell r="E4163" t="str">
            <v>PX-127(3/7)</v>
          </cell>
        </row>
        <row r="4164">
          <cell r="B4164" t="str">
            <v>B272-400-AS-210-SK-002</v>
          </cell>
          <cell r="E4164" t="str">
            <v>PX-127(4/7)</v>
          </cell>
        </row>
        <row r="4165">
          <cell r="B4165" t="str">
            <v>B272-400-AS-210-SK-002</v>
          </cell>
          <cell r="E4165" t="str">
            <v>PX-127(5/7)</v>
          </cell>
        </row>
        <row r="4166">
          <cell r="B4166" t="str">
            <v>B272-400-AS-210-SK-002</v>
          </cell>
          <cell r="E4166" t="str">
            <v>PX-127(6/7)</v>
          </cell>
        </row>
        <row r="4167">
          <cell r="B4167" t="str">
            <v>B272-400-AS-210-SK-002</v>
          </cell>
          <cell r="E4167" t="str">
            <v>PX-127(7/7)</v>
          </cell>
        </row>
        <row r="4168">
          <cell r="B4168" t="str">
            <v>B272-400-AS-210-SK-002</v>
          </cell>
          <cell r="E4168" t="str">
            <v>PX-128(1/12)</v>
          </cell>
        </row>
        <row r="4169">
          <cell r="B4169" t="str">
            <v>B272-400-AS-210-SK-002</v>
          </cell>
          <cell r="E4169" t="str">
            <v>PX-128(2/12)</v>
          </cell>
        </row>
        <row r="4170">
          <cell r="B4170" t="str">
            <v>B272-400-AS-210-SK-002</v>
          </cell>
          <cell r="E4170" t="str">
            <v>PX-128(3/12)</v>
          </cell>
        </row>
        <row r="4171">
          <cell r="B4171" t="str">
            <v>B272-400-AS-210-SK-002</v>
          </cell>
          <cell r="E4171" t="str">
            <v>PX-128(4/12)</v>
          </cell>
        </row>
        <row r="4172">
          <cell r="B4172" t="str">
            <v>B272-400-AS-210-SK-002</v>
          </cell>
          <cell r="E4172" t="str">
            <v>PX-128(5/12)</v>
          </cell>
        </row>
        <row r="4173">
          <cell r="B4173" t="str">
            <v>B272-400-AS-210-SK-002</v>
          </cell>
          <cell r="E4173" t="str">
            <v>PX-128(6/12)</v>
          </cell>
        </row>
        <row r="4174">
          <cell r="B4174" t="str">
            <v>B272-400-AS-210-SK-002</v>
          </cell>
          <cell r="E4174" t="str">
            <v>PX-128(7/12)</v>
          </cell>
        </row>
        <row r="4175">
          <cell r="B4175" t="str">
            <v>B272-400-AS-210-SK-002</v>
          </cell>
          <cell r="E4175" t="str">
            <v>PX-128(8/12)</v>
          </cell>
        </row>
        <row r="4176">
          <cell r="B4176" t="str">
            <v>B272-400-AS-210-SK-002</v>
          </cell>
          <cell r="E4176" t="str">
            <v>PX-128(9/12)</v>
          </cell>
        </row>
        <row r="4177">
          <cell r="B4177" t="str">
            <v>B272-400-AS-210-SK-002</v>
          </cell>
          <cell r="E4177" t="str">
            <v>PX-128(10/12)</v>
          </cell>
        </row>
        <row r="4178">
          <cell r="B4178" t="str">
            <v>B272-400-AS-210-SK-002</v>
          </cell>
          <cell r="E4178" t="str">
            <v>PX-128(11/12)</v>
          </cell>
        </row>
        <row r="4179">
          <cell r="B4179" t="str">
            <v>B272-400-AS-210-SK-002</v>
          </cell>
          <cell r="E4179" t="str">
            <v>PX-128(12/12)</v>
          </cell>
        </row>
        <row r="4180">
          <cell r="B4180" t="str">
            <v>B272-400-AS-210-SK-002</v>
          </cell>
          <cell r="E4180" t="str">
            <v>PX-129(1/2)</v>
          </cell>
        </row>
        <row r="4181">
          <cell r="B4181" t="str">
            <v>B272-400-AS-210-SK-002</v>
          </cell>
          <cell r="E4181" t="str">
            <v>PX-129(2/2)</v>
          </cell>
        </row>
        <row r="4182">
          <cell r="B4182" t="str">
            <v>B272-400-AS-210-SK-002</v>
          </cell>
          <cell r="E4182" t="str">
            <v>PX-130</v>
          </cell>
        </row>
        <row r="4183">
          <cell r="B4183" t="str">
            <v>B272-400-AS-210-SK-002</v>
          </cell>
          <cell r="E4183" t="str">
            <v>P-2011(1/2)</v>
          </cell>
        </row>
        <row r="4184">
          <cell r="B4184" t="str">
            <v>B272-400-AS-210-SK-002</v>
          </cell>
          <cell r="E4184" t="str">
            <v>P-2011(2/2)</v>
          </cell>
        </row>
        <row r="4185">
          <cell r="B4185" t="str">
            <v>B272-400-AS-210-SK-002</v>
          </cell>
          <cell r="E4185" t="str">
            <v>P-2024</v>
          </cell>
        </row>
        <row r="4186">
          <cell r="B4186" t="str">
            <v>B272-400-AS-210-SK-002</v>
          </cell>
          <cell r="E4186" t="str">
            <v>P-2026</v>
          </cell>
        </row>
        <row r="4187">
          <cell r="B4187" t="str">
            <v>B272-400-AS-210-SK-002</v>
          </cell>
          <cell r="E4187" t="str">
            <v>P-2027</v>
          </cell>
        </row>
        <row r="4188">
          <cell r="B4188" t="str">
            <v>B272-400-AS-210-SK-002</v>
          </cell>
          <cell r="E4188" t="str">
            <v>P-2056</v>
          </cell>
        </row>
        <row r="4189">
          <cell r="B4189" t="str">
            <v>B272-400-AS-210-SK-002</v>
          </cell>
          <cell r="E4189" t="str">
            <v>P-2057</v>
          </cell>
        </row>
        <row r="4190">
          <cell r="B4190" t="str">
            <v>B272-400-AS-210-SK-002</v>
          </cell>
          <cell r="E4190" t="str">
            <v>P-2058</v>
          </cell>
        </row>
        <row r="4191">
          <cell r="B4191" t="str">
            <v>B272-400-AS-210-SK-002</v>
          </cell>
          <cell r="E4191" t="str">
            <v>PX-2000</v>
          </cell>
        </row>
        <row r="4192">
          <cell r="B4192" t="str">
            <v>B272-400-AS-210-SK-002</v>
          </cell>
          <cell r="E4192" t="str">
            <v>PX-2003</v>
          </cell>
        </row>
        <row r="4193">
          <cell r="B4193" t="str">
            <v>B272-400-AS-210-SK-002</v>
          </cell>
          <cell r="E4193" t="str">
            <v>B20120</v>
          </cell>
        </row>
        <row r="4194">
          <cell r="B4194" t="str">
            <v>B272-400-AS-210-SK-003</v>
          </cell>
        </row>
        <row r="4195">
          <cell r="B4195" t="str">
            <v>B272-400-AS-210-SK-003</v>
          </cell>
          <cell r="E4195" t="str">
            <v>AF-3</v>
          </cell>
        </row>
        <row r="4196">
          <cell r="B4196" t="str">
            <v>B272-400-AS-210-SK-003</v>
          </cell>
          <cell r="E4196" t="str">
            <v>AF-8</v>
          </cell>
        </row>
        <row r="4197">
          <cell r="B4197" t="str">
            <v>B272-400-AS-210-SK-003</v>
          </cell>
          <cell r="E4197" t="str">
            <v>DY-1(1/2)</v>
          </cell>
        </row>
        <row r="4198">
          <cell r="B4198" t="str">
            <v>B272-400-AS-210-SK-003</v>
          </cell>
          <cell r="E4198" t="str">
            <v>DY-1(2/2)</v>
          </cell>
        </row>
        <row r="4199">
          <cell r="B4199" t="str">
            <v>B272-400-AS-210-SK-003</v>
          </cell>
          <cell r="E4199" t="str">
            <v>G-63(1/7)</v>
          </cell>
        </row>
        <row r="4200">
          <cell r="B4200" t="str">
            <v>B272-400-AS-210-SK-003</v>
          </cell>
          <cell r="E4200" t="str">
            <v>G-63(2/7)</v>
          </cell>
        </row>
        <row r="4201">
          <cell r="B4201" t="str">
            <v>B272-400-AS-210-SK-003</v>
          </cell>
          <cell r="E4201" t="str">
            <v>G-63(3/7)</v>
          </cell>
        </row>
        <row r="4202">
          <cell r="B4202" t="str">
            <v>B272-400-AS-210-SK-003</v>
          </cell>
          <cell r="E4202" t="str">
            <v>G-63(4/7)</v>
          </cell>
        </row>
        <row r="4203">
          <cell r="B4203" t="str">
            <v>B272-400-AS-210-SK-003</v>
          </cell>
          <cell r="E4203" t="str">
            <v>G-63(5/7)</v>
          </cell>
        </row>
        <row r="4204">
          <cell r="B4204" t="str">
            <v>B272-400-AS-210-SK-003</v>
          </cell>
          <cell r="E4204" t="str">
            <v>G-63(6/7)</v>
          </cell>
        </row>
        <row r="4205">
          <cell r="B4205" t="str">
            <v>B272-400-AS-210-SK-003</v>
          </cell>
          <cell r="E4205" t="str">
            <v>G-63(7/7)</v>
          </cell>
        </row>
        <row r="4206">
          <cell r="B4206" t="str">
            <v>B272-400-AS-210-SK-003</v>
          </cell>
          <cell r="E4206" t="str">
            <v>G-65</v>
          </cell>
        </row>
        <row r="4207">
          <cell r="B4207" t="str">
            <v>B272-400-AS-210-SK-003</v>
          </cell>
          <cell r="E4207" t="str">
            <v>G-66</v>
          </cell>
        </row>
        <row r="4208">
          <cell r="B4208" t="str">
            <v>B272-400-AS-210-SK-003</v>
          </cell>
          <cell r="E4208" t="str">
            <v>G-76</v>
          </cell>
        </row>
        <row r="4209">
          <cell r="B4209" t="str">
            <v>B272-400-AS-210-SK-003</v>
          </cell>
          <cell r="E4209" t="str">
            <v>G-77(1/2)</v>
          </cell>
        </row>
        <row r="4210">
          <cell r="B4210" t="str">
            <v>B272-400-AS-210-SK-003</v>
          </cell>
          <cell r="E4210" t="str">
            <v>G-77(2/2)</v>
          </cell>
        </row>
        <row r="4211">
          <cell r="B4211" t="str">
            <v>B272-400-AS-210-SK-003</v>
          </cell>
          <cell r="E4211" t="str">
            <v>N-33(1/4)</v>
          </cell>
        </row>
        <row r="4212">
          <cell r="B4212" t="str">
            <v>B272-400-AS-210-SK-003</v>
          </cell>
          <cell r="E4212" t="str">
            <v>N-33(2/4)</v>
          </cell>
        </row>
        <row r="4213">
          <cell r="B4213" t="str">
            <v>B272-400-AS-210-SK-003</v>
          </cell>
          <cell r="E4213" t="str">
            <v>N-33(3/4)</v>
          </cell>
        </row>
        <row r="4214">
          <cell r="B4214" t="str">
            <v>B272-400-AS-210-SK-003</v>
          </cell>
          <cell r="E4214" t="str">
            <v>N-33(4/4)</v>
          </cell>
        </row>
        <row r="4215">
          <cell r="B4215" t="str">
            <v>B272-400-AS-210-SK-003</v>
          </cell>
          <cell r="E4215" t="str">
            <v>N-34(1/8)</v>
          </cell>
        </row>
        <row r="4216">
          <cell r="B4216" t="str">
            <v>B272-400-AS-210-SK-003</v>
          </cell>
          <cell r="E4216" t="str">
            <v>N-34(2/8)</v>
          </cell>
        </row>
        <row r="4217">
          <cell r="B4217" t="str">
            <v>B272-400-AS-210-SK-003</v>
          </cell>
          <cell r="E4217" t="str">
            <v>N-34(3/8)</v>
          </cell>
        </row>
        <row r="4218">
          <cell r="B4218" t="str">
            <v>B272-400-AS-210-SK-003</v>
          </cell>
          <cell r="E4218" t="str">
            <v>N-34(4/8)</v>
          </cell>
        </row>
        <row r="4219">
          <cell r="B4219" t="str">
            <v>B272-400-AS-210-SK-003</v>
          </cell>
          <cell r="E4219" t="str">
            <v>N-34(5/8)</v>
          </cell>
        </row>
        <row r="4220">
          <cell r="B4220" t="str">
            <v>B272-400-AS-210-SK-003</v>
          </cell>
          <cell r="E4220" t="str">
            <v>N-34(6/8)</v>
          </cell>
        </row>
        <row r="4221">
          <cell r="B4221" t="str">
            <v>B272-400-AS-210-SK-003</v>
          </cell>
          <cell r="E4221" t="str">
            <v>N-34(7/8)</v>
          </cell>
        </row>
        <row r="4222">
          <cell r="B4222" t="str">
            <v>B272-400-AS-210-SK-003</v>
          </cell>
          <cell r="E4222" t="str">
            <v>N-34(8/8)</v>
          </cell>
        </row>
        <row r="4223">
          <cell r="B4223" t="str">
            <v>B272-400-AS-210-SK-003</v>
          </cell>
          <cell r="E4223" t="str">
            <v>P-161(1/2)</v>
          </cell>
        </row>
        <row r="4224">
          <cell r="B4224" t="str">
            <v>B272-400-AS-210-SK-003</v>
          </cell>
          <cell r="E4224" t="str">
            <v>P-161(2/2)</v>
          </cell>
        </row>
        <row r="4225">
          <cell r="B4225" t="str">
            <v>B272-400-AS-210-SK-003</v>
          </cell>
          <cell r="E4225" t="str">
            <v>P-250</v>
          </cell>
        </row>
        <row r="4226">
          <cell r="B4226" t="str">
            <v>B272-400-AS-210-SK-003</v>
          </cell>
          <cell r="E4226" t="str">
            <v>P-250-A</v>
          </cell>
        </row>
        <row r="4227">
          <cell r="B4227" t="str">
            <v>B272-400-AS-210-SK-003</v>
          </cell>
          <cell r="E4227" t="str">
            <v>P-250-B</v>
          </cell>
        </row>
        <row r="4228">
          <cell r="B4228" t="str">
            <v>B272-400-AS-210-SK-003</v>
          </cell>
          <cell r="E4228" t="str">
            <v>P-282</v>
          </cell>
        </row>
        <row r="4229">
          <cell r="B4229" t="str">
            <v>B272-400-AS-210-SK-003</v>
          </cell>
          <cell r="E4229" t="str">
            <v>P-282-A-1</v>
          </cell>
        </row>
        <row r="4230">
          <cell r="B4230" t="str">
            <v>B272-400-AS-210-SK-003</v>
          </cell>
          <cell r="E4230" t="str">
            <v>P-282-A-2</v>
          </cell>
        </row>
        <row r="4231">
          <cell r="B4231" t="str">
            <v>B272-400-AS-210-SK-003</v>
          </cell>
          <cell r="E4231" t="str">
            <v>P-282-B-1</v>
          </cell>
        </row>
        <row r="4232">
          <cell r="B4232" t="str">
            <v>B272-400-AS-210-SK-003</v>
          </cell>
          <cell r="E4232" t="str">
            <v>P-282-B-2</v>
          </cell>
        </row>
        <row r="4233">
          <cell r="B4233" t="str">
            <v>B272-400-AS-210-SK-003</v>
          </cell>
          <cell r="E4233" t="str">
            <v>P-282-C-1</v>
          </cell>
        </row>
        <row r="4234">
          <cell r="B4234" t="str">
            <v>B272-400-AS-210-SK-003</v>
          </cell>
          <cell r="E4234" t="str">
            <v>P-282-C-2</v>
          </cell>
        </row>
        <row r="4235">
          <cell r="B4235" t="str">
            <v>B272-400-AS-210-SK-003</v>
          </cell>
          <cell r="E4235" t="str">
            <v>P-282-D-1</v>
          </cell>
        </row>
        <row r="4236">
          <cell r="B4236" t="str">
            <v>B272-400-AS-210-SK-003</v>
          </cell>
          <cell r="E4236" t="str">
            <v>P-282-D-2</v>
          </cell>
        </row>
        <row r="4237">
          <cell r="B4237" t="str">
            <v>B272-400-AS-210-SK-003</v>
          </cell>
          <cell r="E4237" t="str">
            <v>P-327(1/2)</v>
          </cell>
        </row>
        <row r="4238">
          <cell r="B4238" t="str">
            <v>B272-400-AS-210-SK-003</v>
          </cell>
          <cell r="E4238" t="str">
            <v>P-327(2/2)</v>
          </cell>
        </row>
        <row r="4239">
          <cell r="B4239" t="str">
            <v>B272-400-AS-210-SK-003</v>
          </cell>
          <cell r="E4239" t="str">
            <v>P-333</v>
          </cell>
        </row>
        <row r="4240">
          <cell r="B4240" t="str">
            <v>B272-400-AS-210-SK-003</v>
          </cell>
          <cell r="E4240" t="str">
            <v>P-527</v>
          </cell>
        </row>
        <row r="4241">
          <cell r="B4241" t="str">
            <v>B272-400-AS-210-SK-003</v>
          </cell>
          <cell r="E4241" t="str">
            <v>P-527-A</v>
          </cell>
        </row>
        <row r="4242">
          <cell r="B4242" t="str">
            <v>B272-400-AS-210-SK-003</v>
          </cell>
          <cell r="E4242" t="str">
            <v>P-527-B</v>
          </cell>
        </row>
        <row r="4243">
          <cell r="B4243" t="str">
            <v>B272-400-AS-210-SK-003</v>
          </cell>
          <cell r="E4243" t="str">
            <v>P-531</v>
          </cell>
        </row>
        <row r="4244">
          <cell r="B4244" t="str">
            <v>B272-400-AS-210-SK-003</v>
          </cell>
          <cell r="E4244" t="str">
            <v>P-531-A</v>
          </cell>
        </row>
        <row r="4245">
          <cell r="B4245" t="str">
            <v>B272-400-AS-210-SK-003</v>
          </cell>
          <cell r="E4245" t="str">
            <v>P-531-B</v>
          </cell>
        </row>
        <row r="4246">
          <cell r="B4246" t="str">
            <v>B272-400-AS-210-SK-003</v>
          </cell>
          <cell r="E4246" t="str">
            <v>P-564(1/4)</v>
          </cell>
        </row>
        <row r="4247">
          <cell r="B4247" t="str">
            <v>B272-400-AS-210-SK-003</v>
          </cell>
          <cell r="E4247" t="str">
            <v>P-564(2/4)</v>
          </cell>
        </row>
        <row r="4248">
          <cell r="B4248" t="str">
            <v>B272-400-AS-210-SK-003</v>
          </cell>
          <cell r="E4248" t="str">
            <v>P-564(3/4)</v>
          </cell>
        </row>
        <row r="4249">
          <cell r="B4249" t="str">
            <v>B272-400-AS-210-SK-003</v>
          </cell>
          <cell r="E4249" t="str">
            <v>P-564(4/4)</v>
          </cell>
        </row>
        <row r="4250">
          <cell r="B4250" t="str">
            <v>B272-400-AS-210-SK-003</v>
          </cell>
          <cell r="E4250" t="str">
            <v>P-625(1/52)</v>
          </cell>
        </row>
        <row r="4251">
          <cell r="B4251" t="str">
            <v>B272-400-AS-210-SK-003</v>
          </cell>
          <cell r="E4251" t="str">
            <v>P-625(2/52)</v>
          </cell>
        </row>
        <row r="4252">
          <cell r="B4252" t="str">
            <v>B272-400-AS-210-SK-003</v>
          </cell>
          <cell r="E4252" t="str">
            <v>P-625(3/52)</v>
          </cell>
        </row>
        <row r="4253">
          <cell r="B4253" t="str">
            <v>B272-400-AS-210-SK-003</v>
          </cell>
          <cell r="E4253" t="str">
            <v>P-625(4/52)</v>
          </cell>
        </row>
        <row r="4254">
          <cell r="B4254" t="str">
            <v>B272-400-AS-210-SK-003</v>
          </cell>
          <cell r="E4254" t="str">
            <v>P-625(5/52)</v>
          </cell>
        </row>
        <row r="4255">
          <cell r="B4255" t="str">
            <v>B272-400-AS-210-SK-003</v>
          </cell>
          <cell r="E4255" t="str">
            <v>P-625(6/52)</v>
          </cell>
        </row>
        <row r="4256">
          <cell r="B4256" t="str">
            <v>B272-400-AS-210-SK-003</v>
          </cell>
          <cell r="E4256" t="str">
            <v>P-625(7/52)</v>
          </cell>
        </row>
        <row r="4257">
          <cell r="B4257" t="str">
            <v>B272-400-AS-210-SK-003</v>
          </cell>
          <cell r="E4257" t="str">
            <v>P-625(8/52)</v>
          </cell>
        </row>
        <row r="4258">
          <cell r="B4258" t="str">
            <v>B272-400-AS-210-SK-003</v>
          </cell>
          <cell r="E4258" t="str">
            <v>P-625(9/52)</v>
          </cell>
        </row>
        <row r="4259">
          <cell r="B4259" t="str">
            <v>B272-400-AS-210-SK-003</v>
          </cell>
          <cell r="E4259" t="str">
            <v>P-625(10/52)</v>
          </cell>
        </row>
        <row r="4260">
          <cell r="B4260" t="str">
            <v>B272-400-AS-210-SK-003</v>
          </cell>
          <cell r="E4260" t="str">
            <v>P-625(11/52)</v>
          </cell>
        </row>
        <row r="4261">
          <cell r="B4261" t="str">
            <v>B272-400-AS-210-SK-003</v>
          </cell>
          <cell r="E4261" t="str">
            <v>P-625(12/52)</v>
          </cell>
        </row>
        <row r="4262">
          <cell r="B4262" t="str">
            <v>B272-400-AS-210-SK-003</v>
          </cell>
          <cell r="E4262" t="str">
            <v>P-625(13/52)</v>
          </cell>
        </row>
        <row r="4263">
          <cell r="B4263" t="str">
            <v>B272-400-AS-210-SK-003</v>
          </cell>
          <cell r="E4263" t="str">
            <v>P-625(14/52)</v>
          </cell>
        </row>
        <row r="4264">
          <cell r="B4264" t="str">
            <v>B272-400-AS-210-SK-003</v>
          </cell>
          <cell r="E4264" t="str">
            <v>P-625(15/52)</v>
          </cell>
        </row>
        <row r="4265">
          <cell r="B4265" t="str">
            <v>B272-400-AS-210-SK-003</v>
          </cell>
          <cell r="E4265" t="str">
            <v>P-625(16/52)</v>
          </cell>
        </row>
        <row r="4266">
          <cell r="B4266" t="str">
            <v>B272-400-AS-210-SK-003</v>
          </cell>
          <cell r="E4266" t="str">
            <v>P-625(17/52)</v>
          </cell>
        </row>
        <row r="4267">
          <cell r="B4267" t="str">
            <v>B272-400-AS-210-SK-003</v>
          </cell>
          <cell r="E4267" t="str">
            <v>P-625(18/52)</v>
          </cell>
        </row>
        <row r="4268">
          <cell r="B4268" t="str">
            <v>B272-400-AS-210-SK-003</v>
          </cell>
          <cell r="E4268" t="str">
            <v>P-625(19/52)</v>
          </cell>
        </row>
        <row r="4269">
          <cell r="B4269" t="str">
            <v>B272-400-AS-210-SK-003</v>
          </cell>
          <cell r="E4269" t="str">
            <v>P-625(20/52)</v>
          </cell>
        </row>
        <row r="4270">
          <cell r="B4270" t="str">
            <v>B272-400-AS-210-SK-003</v>
          </cell>
          <cell r="E4270" t="str">
            <v>P-625(21/52)</v>
          </cell>
        </row>
        <row r="4271">
          <cell r="B4271" t="str">
            <v>B272-400-AS-210-SK-003</v>
          </cell>
          <cell r="E4271" t="str">
            <v>P-625(22/52)</v>
          </cell>
        </row>
        <row r="4272">
          <cell r="B4272" t="str">
            <v>B272-400-AS-210-SK-003</v>
          </cell>
          <cell r="E4272" t="str">
            <v>P-625(23/52)</v>
          </cell>
        </row>
        <row r="4273">
          <cell r="B4273" t="str">
            <v>B272-400-AS-210-SK-003</v>
          </cell>
          <cell r="E4273" t="str">
            <v>P-625(24/52)</v>
          </cell>
        </row>
        <row r="4274">
          <cell r="B4274" t="str">
            <v>B272-400-AS-210-SK-003</v>
          </cell>
          <cell r="E4274" t="str">
            <v>P-625(25/52)</v>
          </cell>
        </row>
        <row r="4275">
          <cell r="B4275" t="str">
            <v>B272-400-AS-210-SK-003</v>
          </cell>
          <cell r="E4275" t="str">
            <v>P-625(26/52)</v>
          </cell>
        </row>
        <row r="4276">
          <cell r="B4276" t="str">
            <v>B272-400-AS-210-SK-003</v>
          </cell>
          <cell r="E4276" t="str">
            <v>P-625(27/52)</v>
          </cell>
        </row>
        <row r="4277">
          <cell r="B4277" t="str">
            <v>B272-400-AS-210-SK-003</v>
          </cell>
          <cell r="E4277" t="str">
            <v>P-625(28/52)</v>
          </cell>
        </row>
        <row r="4278">
          <cell r="B4278" t="str">
            <v>B272-400-AS-210-SK-003</v>
          </cell>
          <cell r="E4278" t="str">
            <v>P-625(29/52)</v>
          </cell>
        </row>
        <row r="4279">
          <cell r="B4279" t="str">
            <v>B272-400-AS-210-SK-003</v>
          </cell>
          <cell r="E4279" t="str">
            <v>P-625(30/52)</v>
          </cell>
        </row>
        <row r="4280">
          <cell r="B4280" t="str">
            <v>B272-400-AS-210-SK-003</v>
          </cell>
          <cell r="E4280" t="str">
            <v>P-625(31/52)</v>
          </cell>
        </row>
        <row r="4281">
          <cell r="B4281" t="str">
            <v>B272-400-AS-210-SK-003</v>
          </cell>
          <cell r="E4281" t="str">
            <v>P-625(32/52)</v>
          </cell>
        </row>
        <row r="4282">
          <cell r="B4282" t="str">
            <v>B272-400-AS-210-SK-003</v>
          </cell>
          <cell r="E4282" t="str">
            <v>P-625(33/52)</v>
          </cell>
        </row>
        <row r="4283">
          <cell r="B4283" t="str">
            <v>B272-400-AS-210-SK-003</v>
          </cell>
          <cell r="E4283" t="str">
            <v>P-625(34/52)</v>
          </cell>
        </row>
        <row r="4284">
          <cell r="B4284" t="str">
            <v>B272-400-AS-210-SK-003</v>
          </cell>
          <cell r="E4284" t="str">
            <v>P-625(35/52)</v>
          </cell>
        </row>
        <row r="4285">
          <cell r="B4285" t="str">
            <v>B272-400-AS-210-SK-003</v>
          </cell>
          <cell r="E4285" t="str">
            <v>P-625(36/52)</v>
          </cell>
        </row>
        <row r="4286">
          <cell r="B4286" t="str">
            <v>B272-400-AS-210-SK-003</v>
          </cell>
          <cell r="E4286" t="str">
            <v>P-625(37/52)</v>
          </cell>
        </row>
        <row r="4287">
          <cell r="B4287" t="str">
            <v>B272-400-AS-210-SK-003</v>
          </cell>
          <cell r="E4287" t="str">
            <v>P-625(38/52)</v>
          </cell>
        </row>
        <row r="4288">
          <cell r="B4288" t="str">
            <v>B272-400-AS-210-SK-003</v>
          </cell>
          <cell r="E4288" t="str">
            <v>P-625(39/52)</v>
          </cell>
        </row>
        <row r="4289">
          <cell r="B4289" t="str">
            <v>B272-400-AS-210-SK-003</v>
          </cell>
          <cell r="E4289" t="str">
            <v>P-625(40/52)</v>
          </cell>
        </row>
        <row r="4290">
          <cell r="B4290" t="str">
            <v>B272-400-AS-210-SK-003</v>
          </cell>
          <cell r="E4290" t="str">
            <v>P-625(41/52)</v>
          </cell>
        </row>
        <row r="4291">
          <cell r="B4291" t="str">
            <v>B272-400-AS-210-SK-003</v>
          </cell>
          <cell r="E4291" t="str">
            <v>P-625(42/52)</v>
          </cell>
        </row>
        <row r="4292">
          <cell r="B4292" t="str">
            <v>B272-400-AS-210-SK-003</v>
          </cell>
          <cell r="E4292" t="str">
            <v>P-625(43/52)</v>
          </cell>
        </row>
        <row r="4293">
          <cell r="B4293" t="str">
            <v>B272-400-AS-210-SK-003</v>
          </cell>
          <cell r="E4293" t="str">
            <v>P-625(44/52)</v>
          </cell>
        </row>
        <row r="4294">
          <cell r="B4294" t="str">
            <v>B272-400-AS-210-SK-003</v>
          </cell>
          <cell r="E4294" t="str">
            <v>P-625(45/52)</v>
          </cell>
        </row>
        <row r="4295">
          <cell r="B4295" t="str">
            <v>B272-400-AS-210-SK-003</v>
          </cell>
          <cell r="E4295" t="str">
            <v>P-625(46/52)</v>
          </cell>
        </row>
        <row r="4296">
          <cell r="B4296" t="str">
            <v>B272-400-AS-210-SK-003</v>
          </cell>
          <cell r="E4296" t="str">
            <v>P-625(47/52)</v>
          </cell>
        </row>
        <row r="4297">
          <cell r="B4297" t="str">
            <v>B272-400-AS-210-SK-003</v>
          </cell>
          <cell r="E4297" t="str">
            <v>P-625(48/52)</v>
          </cell>
        </row>
        <row r="4298">
          <cell r="B4298" t="str">
            <v>B272-400-AS-210-SK-003</v>
          </cell>
          <cell r="E4298" t="str">
            <v>P-625(49/52)</v>
          </cell>
        </row>
        <row r="4299">
          <cell r="B4299" t="str">
            <v>B272-400-AS-210-SK-003</v>
          </cell>
          <cell r="E4299" t="str">
            <v>P-625(50/52)</v>
          </cell>
        </row>
        <row r="4300">
          <cell r="B4300" t="str">
            <v>B272-400-AS-210-SK-003</v>
          </cell>
          <cell r="E4300" t="str">
            <v>P-625(51/52)</v>
          </cell>
        </row>
        <row r="4301">
          <cell r="B4301" t="str">
            <v>B272-400-AS-210-SK-003</v>
          </cell>
          <cell r="E4301" t="str">
            <v>P-625(52/52)</v>
          </cell>
        </row>
        <row r="4302">
          <cell r="B4302" t="str">
            <v>B272-400-AS-210-SK-003</v>
          </cell>
          <cell r="E4302" t="str">
            <v>P-744(1/43)</v>
          </cell>
        </row>
        <row r="4303">
          <cell r="B4303" t="str">
            <v>B272-400-AS-210-SK-003</v>
          </cell>
          <cell r="E4303" t="str">
            <v>P-744(2/43)</v>
          </cell>
        </row>
        <row r="4304">
          <cell r="B4304" t="str">
            <v>B272-400-AS-210-SK-003</v>
          </cell>
          <cell r="E4304" t="str">
            <v>P-744(3/43)</v>
          </cell>
        </row>
        <row r="4305">
          <cell r="B4305" t="str">
            <v>B272-400-AS-210-SK-003</v>
          </cell>
          <cell r="E4305" t="str">
            <v>P-744(4/43)</v>
          </cell>
        </row>
        <row r="4306">
          <cell r="B4306" t="str">
            <v>B272-400-AS-210-SK-003</v>
          </cell>
          <cell r="E4306" t="str">
            <v>P-744(5/43)</v>
          </cell>
        </row>
        <row r="4307">
          <cell r="B4307" t="str">
            <v>B272-400-AS-210-SK-003</v>
          </cell>
          <cell r="E4307" t="str">
            <v>P-744(6/43)</v>
          </cell>
        </row>
        <row r="4308">
          <cell r="B4308" t="str">
            <v>B272-400-AS-210-SK-003</v>
          </cell>
          <cell r="E4308" t="str">
            <v>P-744(7/43)</v>
          </cell>
        </row>
        <row r="4309">
          <cell r="B4309" t="str">
            <v>B272-400-AS-210-SK-003</v>
          </cell>
          <cell r="E4309" t="str">
            <v>P-744(8/43)</v>
          </cell>
        </row>
        <row r="4310">
          <cell r="B4310" t="str">
            <v>B272-400-AS-210-SK-003</v>
          </cell>
          <cell r="E4310" t="str">
            <v>P-744(9/43)</v>
          </cell>
        </row>
        <row r="4311">
          <cell r="B4311" t="str">
            <v>B272-400-AS-210-SK-003</v>
          </cell>
          <cell r="E4311" t="str">
            <v>P-744(10/43)</v>
          </cell>
        </row>
        <row r="4312">
          <cell r="B4312" t="str">
            <v>B272-400-AS-210-SK-003</v>
          </cell>
          <cell r="E4312" t="str">
            <v>P-744(11/43)</v>
          </cell>
        </row>
        <row r="4313">
          <cell r="B4313" t="str">
            <v>B272-400-AS-210-SK-003</v>
          </cell>
          <cell r="E4313" t="str">
            <v>P-744(12/43)</v>
          </cell>
        </row>
        <row r="4314">
          <cell r="B4314" t="str">
            <v>B272-400-AS-210-SK-003</v>
          </cell>
          <cell r="E4314" t="str">
            <v>P-744(13/43)</v>
          </cell>
        </row>
        <row r="4315">
          <cell r="B4315" t="str">
            <v>B272-400-AS-210-SK-003</v>
          </cell>
          <cell r="E4315" t="str">
            <v>P-744(14/43)</v>
          </cell>
        </row>
        <row r="4316">
          <cell r="B4316" t="str">
            <v>B272-400-AS-210-SK-003</v>
          </cell>
          <cell r="E4316" t="str">
            <v>P-744(15/43)</v>
          </cell>
        </row>
        <row r="4317">
          <cell r="B4317" t="str">
            <v>B272-400-AS-210-SK-003</v>
          </cell>
          <cell r="E4317" t="str">
            <v>P-744(16/43)</v>
          </cell>
        </row>
        <row r="4318">
          <cell r="B4318" t="str">
            <v>B272-400-AS-210-SK-003</v>
          </cell>
          <cell r="E4318" t="str">
            <v>P-744(17/43)</v>
          </cell>
        </row>
        <row r="4319">
          <cell r="B4319" t="str">
            <v>B272-400-AS-210-SK-003</v>
          </cell>
          <cell r="E4319" t="str">
            <v>P-744(18/43)</v>
          </cell>
        </row>
        <row r="4320">
          <cell r="B4320" t="str">
            <v>B272-400-AS-210-SK-003</v>
          </cell>
          <cell r="E4320" t="str">
            <v>P-744(19/43)</v>
          </cell>
        </row>
        <row r="4321">
          <cell r="B4321" t="str">
            <v>B272-400-AS-210-SK-003</v>
          </cell>
          <cell r="E4321" t="str">
            <v>P-744(20/43)</v>
          </cell>
        </row>
        <row r="4322">
          <cell r="B4322" t="str">
            <v>B272-400-AS-210-SK-003</v>
          </cell>
          <cell r="E4322" t="str">
            <v>P-744(21/43)</v>
          </cell>
        </row>
        <row r="4323">
          <cell r="B4323" t="str">
            <v>B272-400-AS-210-SK-003</v>
          </cell>
          <cell r="E4323" t="str">
            <v>P-744(22/43)</v>
          </cell>
        </row>
        <row r="4324">
          <cell r="B4324" t="str">
            <v>B272-400-AS-210-SK-003</v>
          </cell>
          <cell r="E4324" t="str">
            <v>P-744(23/43)</v>
          </cell>
        </row>
        <row r="4325">
          <cell r="B4325" t="str">
            <v>B272-400-AS-210-SK-003</v>
          </cell>
          <cell r="E4325" t="str">
            <v>P-744(24/43)</v>
          </cell>
        </row>
        <row r="4326">
          <cell r="B4326" t="str">
            <v>B272-400-AS-210-SK-003</v>
          </cell>
          <cell r="E4326" t="str">
            <v>P-744(25/43)</v>
          </cell>
        </row>
        <row r="4327">
          <cell r="B4327" t="str">
            <v>B272-400-AS-210-SK-003</v>
          </cell>
          <cell r="E4327" t="str">
            <v>P-744(26/43)</v>
          </cell>
        </row>
        <row r="4328">
          <cell r="B4328" t="str">
            <v>B272-400-AS-210-SK-003</v>
          </cell>
          <cell r="E4328" t="str">
            <v>P-744(27/43)</v>
          </cell>
        </row>
        <row r="4329">
          <cell r="B4329" t="str">
            <v>B272-400-AS-210-SK-003</v>
          </cell>
          <cell r="E4329" t="str">
            <v>P-744(28/43)</v>
          </cell>
        </row>
        <row r="4330">
          <cell r="B4330" t="str">
            <v>B272-400-AS-210-SK-003</v>
          </cell>
          <cell r="E4330" t="str">
            <v>P-744(29/43)</v>
          </cell>
        </row>
        <row r="4331">
          <cell r="B4331" t="str">
            <v>B272-400-AS-210-SK-003</v>
          </cell>
          <cell r="E4331" t="str">
            <v>P-744(30/43)</v>
          </cell>
        </row>
        <row r="4332">
          <cell r="B4332" t="str">
            <v>B272-400-AS-210-SK-003</v>
          </cell>
          <cell r="E4332" t="str">
            <v>P-744(31/43)</v>
          </cell>
        </row>
        <row r="4333">
          <cell r="B4333" t="str">
            <v>B272-400-AS-210-SK-003</v>
          </cell>
          <cell r="E4333" t="str">
            <v>P-744(32/43)</v>
          </cell>
        </row>
        <row r="4334">
          <cell r="B4334" t="str">
            <v>B272-400-AS-210-SK-003</v>
          </cell>
          <cell r="E4334" t="str">
            <v>P-744(33/43)</v>
          </cell>
        </row>
        <row r="4335">
          <cell r="B4335" t="str">
            <v>B272-400-AS-210-SK-003</v>
          </cell>
          <cell r="E4335" t="str">
            <v>P-744(34/43)</v>
          </cell>
        </row>
        <row r="4336">
          <cell r="B4336" t="str">
            <v>B272-400-AS-210-SK-003</v>
          </cell>
          <cell r="E4336" t="str">
            <v>P-744(35/43)</v>
          </cell>
        </row>
        <row r="4337">
          <cell r="B4337" t="str">
            <v>B272-400-AS-210-SK-003</v>
          </cell>
          <cell r="E4337" t="str">
            <v>P-744(36/43)</v>
          </cell>
        </row>
        <row r="4338">
          <cell r="B4338" t="str">
            <v>B272-400-AS-210-SK-003</v>
          </cell>
          <cell r="E4338" t="str">
            <v>P-744(37/43)</v>
          </cell>
        </row>
        <row r="4339">
          <cell r="B4339" t="str">
            <v>B272-400-AS-210-SK-003</v>
          </cell>
          <cell r="E4339" t="str">
            <v>P-744(38/43)</v>
          </cell>
        </row>
        <row r="4340">
          <cell r="B4340" t="str">
            <v>B272-400-AS-210-SK-003</v>
          </cell>
          <cell r="E4340" t="str">
            <v>P-744(39/43)</v>
          </cell>
        </row>
        <row r="4341">
          <cell r="B4341" t="str">
            <v>B272-400-AS-210-SK-003</v>
          </cell>
          <cell r="E4341" t="str">
            <v>P-744(40/43)</v>
          </cell>
        </row>
        <row r="4342">
          <cell r="B4342" t="str">
            <v>B272-400-AS-210-SK-003</v>
          </cell>
          <cell r="E4342" t="str">
            <v>P-744(41/43)</v>
          </cell>
        </row>
        <row r="4343">
          <cell r="B4343" t="str">
            <v>B272-400-AS-210-SK-003</v>
          </cell>
          <cell r="E4343" t="str">
            <v>P-744(42/43)</v>
          </cell>
        </row>
        <row r="4344">
          <cell r="B4344" t="str">
            <v>B272-400-AS-210-SK-003</v>
          </cell>
          <cell r="E4344" t="str">
            <v>P-744(43/43)</v>
          </cell>
        </row>
        <row r="4345">
          <cell r="B4345" t="str">
            <v>B272-400-AS-210-SK-003</v>
          </cell>
          <cell r="E4345" t="str">
            <v>P-1205</v>
          </cell>
        </row>
        <row r="4346">
          <cell r="B4346" t="str">
            <v>B272-400-AS-210-SK-003</v>
          </cell>
          <cell r="E4346" t="str">
            <v>P-897</v>
          </cell>
        </row>
        <row r="4347">
          <cell r="B4347" t="str">
            <v>B272-400-AS-210-SK-003</v>
          </cell>
          <cell r="E4347" t="str">
            <v>P-942</v>
          </cell>
        </row>
        <row r="4348">
          <cell r="B4348" t="str">
            <v>B272-400-AS-210-SK-003</v>
          </cell>
          <cell r="E4348" t="str">
            <v>P-943</v>
          </cell>
        </row>
        <row r="4349">
          <cell r="B4349" t="str">
            <v>B272-400-AS-210-SK-003</v>
          </cell>
          <cell r="E4349" t="str">
            <v>P-944(1/4)</v>
          </cell>
        </row>
        <row r="4350">
          <cell r="B4350" t="str">
            <v>B272-400-AS-210-SK-003</v>
          </cell>
          <cell r="E4350" t="str">
            <v>P-944(2/4)</v>
          </cell>
        </row>
        <row r="4351">
          <cell r="B4351" t="str">
            <v>B272-400-AS-210-SK-003</v>
          </cell>
          <cell r="E4351" t="str">
            <v>P-944(3/4)</v>
          </cell>
        </row>
        <row r="4352">
          <cell r="B4352" t="str">
            <v>B272-400-AS-210-SK-003</v>
          </cell>
          <cell r="E4352" t="str">
            <v>P-944(4/4)</v>
          </cell>
        </row>
        <row r="4353">
          <cell r="B4353" t="str">
            <v>B272-400-AS-210-SK-003</v>
          </cell>
          <cell r="E4353" t="str">
            <v>P-1043(1/2)</v>
          </cell>
        </row>
        <row r="4354">
          <cell r="B4354" t="str">
            <v>B272-400-AS-210-SK-003</v>
          </cell>
          <cell r="E4354" t="str">
            <v>P-1043(2/2)</v>
          </cell>
        </row>
        <row r="4355">
          <cell r="B4355" t="str">
            <v>B272-400-AS-210-SK-003</v>
          </cell>
          <cell r="E4355" t="str">
            <v>P-1044(1/2)</v>
          </cell>
        </row>
        <row r="4356">
          <cell r="B4356" t="str">
            <v>B272-400-AS-210-SK-003</v>
          </cell>
          <cell r="E4356" t="str">
            <v>P-1044(2/2)</v>
          </cell>
        </row>
        <row r="4357">
          <cell r="B4357" t="str">
            <v>B272-400-AS-210-SK-003</v>
          </cell>
          <cell r="E4357" t="str">
            <v>P-1046</v>
          </cell>
        </row>
        <row r="4358">
          <cell r="B4358" t="str">
            <v>B272-400-AS-210-SK-003</v>
          </cell>
          <cell r="E4358" t="str">
            <v>P-1047(1/2)</v>
          </cell>
        </row>
        <row r="4359">
          <cell r="B4359" t="str">
            <v>B272-400-AS-210-SK-003</v>
          </cell>
          <cell r="E4359" t="str">
            <v>P-1047(2/2)</v>
          </cell>
        </row>
        <row r="4360">
          <cell r="B4360" t="str">
            <v>B272-400-AS-210-SK-003</v>
          </cell>
          <cell r="E4360" t="str">
            <v>P-1048(1/59)</v>
          </cell>
        </row>
        <row r="4361">
          <cell r="B4361" t="str">
            <v>B272-400-AS-210-SK-003</v>
          </cell>
          <cell r="E4361" t="str">
            <v>P-1048(2/59)</v>
          </cell>
        </row>
        <row r="4362">
          <cell r="B4362" t="str">
            <v>B272-400-AS-210-SK-003</v>
          </cell>
          <cell r="E4362" t="str">
            <v>P-1048(3/59)</v>
          </cell>
        </row>
        <row r="4363">
          <cell r="B4363" t="str">
            <v>B272-400-AS-210-SK-003</v>
          </cell>
          <cell r="E4363" t="str">
            <v>P-1048(4/59)</v>
          </cell>
        </row>
        <row r="4364">
          <cell r="B4364" t="str">
            <v>B272-400-AS-210-SK-003</v>
          </cell>
          <cell r="E4364" t="str">
            <v>P-1048(5/59)</v>
          </cell>
        </row>
        <row r="4365">
          <cell r="B4365" t="str">
            <v>B272-400-AS-210-SK-003</v>
          </cell>
          <cell r="E4365" t="str">
            <v>P-1048(6/59)</v>
          </cell>
        </row>
        <row r="4366">
          <cell r="B4366" t="str">
            <v>B272-400-AS-210-SK-003</v>
          </cell>
          <cell r="E4366" t="str">
            <v>P-1048(7/59)</v>
          </cell>
        </row>
        <row r="4367">
          <cell r="B4367" t="str">
            <v>B272-400-AS-210-SK-003</v>
          </cell>
          <cell r="E4367" t="str">
            <v>P-1048(8/59)</v>
          </cell>
        </row>
        <row r="4368">
          <cell r="B4368" t="str">
            <v>B272-400-AS-210-SK-003</v>
          </cell>
          <cell r="E4368" t="str">
            <v>P-1048(9/59)</v>
          </cell>
        </row>
        <row r="4369">
          <cell r="B4369" t="str">
            <v>B272-400-AS-210-SK-003</v>
          </cell>
          <cell r="E4369" t="str">
            <v>P-1048(10/59)</v>
          </cell>
        </row>
        <row r="4370">
          <cell r="B4370" t="str">
            <v>B272-400-AS-210-SK-003</v>
          </cell>
          <cell r="E4370" t="str">
            <v>P-1048(11/59)</v>
          </cell>
        </row>
        <row r="4371">
          <cell r="B4371" t="str">
            <v>B272-400-AS-210-SK-003</v>
          </cell>
          <cell r="E4371" t="str">
            <v>P-1048(12/59)</v>
          </cell>
        </row>
        <row r="4372">
          <cell r="B4372" t="str">
            <v>B272-400-AS-210-SK-003</v>
          </cell>
          <cell r="E4372" t="str">
            <v>P-1048(13/59)</v>
          </cell>
        </row>
        <row r="4373">
          <cell r="B4373" t="str">
            <v>B272-400-AS-210-SK-003</v>
          </cell>
          <cell r="E4373" t="str">
            <v>P-1048(14/59)</v>
          </cell>
        </row>
        <row r="4374">
          <cell r="B4374" t="str">
            <v>B272-400-AS-210-SK-003</v>
          </cell>
          <cell r="E4374" t="str">
            <v>P-1048(15/59)</v>
          </cell>
        </row>
        <row r="4375">
          <cell r="B4375" t="str">
            <v>B272-400-AS-210-SK-003</v>
          </cell>
          <cell r="E4375" t="str">
            <v>P-1048(16/59)</v>
          </cell>
        </row>
        <row r="4376">
          <cell r="B4376" t="str">
            <v>B272-400-AS-210-SK-003</v>
          </cell>
          <cell r="E4376" t="str">
            <v>P-1048(17/59)</v>
          </cell>
        </row>
        <row r="4377">
          <cell r="B4377" t="str">
            <v>B272-400-AS-210-SK-003</v>
          </cell>
          <cell r="E4377" t="str">
            <v>P-1048(18/59)</v>
          </cell>
        </row>
        <row r="4378">
          <cell r="B4378" t="str">
            <v>B272-400-AS-210-SK-003</v>
          </cell>
          <cell r="E4378" t="str">
            <v>P-1048(19/59)</v>
          </cell>
        </row>
        <row r="4379">
          <cell r="B4379" t="str">
            <v>B272-400-AS-210-SK-003</v>
          </cell>
          <cell r="E4379" t="str">
            <v>P-1048(20/59)</v>
          </cell>
        </row>
        <row r="4380">
          <cell r="B4380" t="str">
            <v>B272-400-AS-210-SK-003</v>
          </cell>
          <cell r="E4380" t="str">
            <v>P-1048(21/59)</v>
          </cell>
        </row>
        <row r="4381">
          <cell r="B4381" t="str">
            <v>B272-400-AS-210-SK-003</v>
          </cell>
          <cell r="E4381" t="str">
            <v>P-1048(22/59)</v>
          </cell>
        </row>
        <row r="4382">
          <cell r="B4382" t="str">
            <v>B272-400-AS-210-SK-003</v>
          </cell>
          <cell r="E4382" t="str">
            <v>P-1048(23/59)</v>
          </cell>
        </row>
        <row r="4383">
          <cell r="B4383" t="str">
            <v>B272-400-AS-210-SK-003</v>
          </cell>
          <cell r="E4383" t="str">
            <v>P-1048(24/59)</v>
          </cell>
        </row>
        <row r="4384">
          <cell r="B4384" t="str">
            <v>B272-400-AS-210-SK-003</v>
          </cell>
          <cell r="E4384" t="str">
            <v>P-1048(25/59)</v>
          </cell>
        </row>
        <row r="4385">
          <cell r="B4385" t="str">
            <v>B272-400-AS-210-SK-003</v>
          </cell>
          <cell r="E4385" t="str">
            <v>P-1048(26/59)</v>
          </cell>
        </row>
        <row r="4386">
          <cell r="B4386" t="str">
            <v>B272-400-AS-210-SK-003</v>
          </cell>
          <cell r="E4386" t="str">
            <v>P-1048(27/59)</v>
          </cell>
        </row>
        <row r="4387">
          <cell r="B4387" t="str">
            <v>B272-400-AS-210-SK-003</v>
          </cell>
          <cell r="E4387" t="str">
            <v>P-1048(28/59)</v>
          </cell>
        </row>
        <row r="4388">
          <cell r="B4388" t="str">
            <v>B272-400-AS-210-SK-003</v>
          </cell>
          <cell r="E4388" t="str">
            <v>P-1048(29/59)</v>
          </cell>
        </row>
        <row r="4389">
          <cell r="B4389" t="str">
            <v>B272-400-AS-210-SK-003</v>
          </cell>
          <cell r="E4389" t="str">
            <v>P-1048(30/59)</v>
          </cell>
        </row>
        <row r="4390">
          <cell r="B4390" t="str">
            <v>B272-400-AS-210-SK-003</v>
          </cell>
          <cell r="E4390" t="str">
            <v>P-1048(31/59)</v>
          </cell>
        </row>
        <row r="4391">
          <cell r="B4391" t="str">
            <v>B272-400-AS-210-SK-003</v>
          </cell>
          <cell r="E4391" t="str">
            <v>P-1048(32/59)</v>
          </cell>
        </row>
        <row r="4392">
          <cell r="B4392" t="str">
            <v>B272-400-AS-210-SK-003</v>
          </cell>
          <cell r="E4392" t="str">
            <v>P-1048(33/59)</v>
          </cell>
        </row>
        <row r="4393">
          <cell r="B4393" t="str">
            <v>B272-400-AS-210-SK-003</v>
          </cell>
          <cell r="E4393" t="str">
            <v>P-1048(34/59)</v>
          </cell>
        </row>
        <row r="4394">
          <cell r="B4394" t="str">
            <v>B272-400-AS-210-SK-003</v>
          </cell>
          <cell r="E4394" t="str">
            <v>P-1048(35/59)</v>
          </cell>
        </row>
        <row r="4395">
          <cell r="B4395" t="str">
            <v>B272-400-AS-210-SK-003</v>
          </cell>
          <cell r="E4395" t="str">
            <v>P-1048(36/59)</v>
          </cell>
        </row>
        <row r="4396">
          <cell r="B4396" t="str">
            <v>B272-400-AS-210-SK-003</v>
          </cell>
          <cell r="E4396" t="str">
            <v>P-1048(37/59)</v>
          </cell>
        </row>
        <row r="4397">
          <cell r="B4397" t="str">
            <v>B272-400-AS-210-SK-003</v>
          </cell>
          <cell r="E4397" t="str">
            <v>P-1048(38/59)</v>
          </cell>
        </row>
        <row r="4398">
          <cell r="B4398" t="str">
            <v>B272-400-AS-210-SK-003</v>
          </cell>
          <cell r="E4398" t="str">
            <v>P-1048(39/59)</v>
          </cell>
        </row>
        <row r="4399">
          <cell r="B4399" t="str">
            <v>B272-400-AS-210-SK-003</v>
          </cell>
          <cell r="E4399" t="str">
            <v>P-1048(40/59)</v>
          </cell>
        </row>
        <row r="4400">
          <cell r="B4400" t="str">
            <v>B272-400-AS-210-SK-003</v>
          </cell>
          <cell r="E4400" t="str">
            <v>P-1048(41/59)</v>
          </cell>
        </row>
        <row r="4401">
          <cell r="B4401" t="str">
            <v>B272-400-AS-210-SK-003</v>
          </cell>
          <cell r="E4401" t="str">
            <v>P-1048(42/59)</v>
          </cell>
        </row>
        <row r="4402">
          <cell r="B4402" t="str">
            <v>B272-400-AS-210-SK-003</v>
          </cell>
          <cell r="E4402" t="str">
            <v>P-1048(43/59)</v>
          </cell>
        </row>
        <row r="4403">
          <cell r="B4403" t="str">
            <v>B272-400-AS-210-SK-003</v>
          </cell>
          <cell r="E4403" t="str">
            <v>P-1048(44/59)</v>
          </cell>
        </row>
        <row r="4404">
          <cell r="B4404" t="str">
            <v>B272-400-AS-210-SK-003</v>
          </cell>
          <cell r="E4404" t="str">
            <v>P-1048(45/59)</v>
          </cell>
        </row>
        <row r="4405">
          <cell r="B4405" t="str">
            <v>B272-400-AS-210-SK-003</v>
          </cell>
          <cell r="E4405" t="str">
            <v>P-1048(46/59)</v>
          </cell>
        </row>
        <row r="4406">
          <cell r="B4406" t="str">
            <v>B272-400-AS-210-SK-003</v>
          </cell>
          <cell r="E4406" t="str">
            <v>P-1048(47/59)</v>
          </cell>
        </row>
        <row r="4407">
          <cell r="B4407" t="str">
            <v>B272-400-AS-210-SK-003</v>
          </cell>
          <cell r="E4407" t="str">
            <v>P-1048(48/59)</v>
          </cell>
        </row>
        <row r="4408">
          <cell r="B4408" t="str">
            <v>B272-400-AS-210-SK-003</v>
          </cell>
          <cell r="E4408" t="str">
            <v>P-1048(49/59)</v>
          </cell>
        </row>
        <row r="4409">
          <cell r="B4409" t="str">
            <v>B272-400-AS-210-SK-003</v>
          </cell>
          <cell r="E4409" t="str">
            <v>P-1048(50/59)</v>
          </cell>
        </row>
        <row r="4410">
          <cell r="B4410" t="str">
            <v>B272-400-AS-210-SK-003</v>
          </cell>
          <cell r="E4410" t="str">
            <v>P-1048(51/59)</v>
          </cell>
        </row>
        <row r="4411">
          <cell r="B4411" t="str">
            <v>B272-400-AS-210-SK-003</v>
          </cell>
          <cell r="E4411" t="str">
            <v>P-1048(52/59)</v>
          </cell>
        </row>
        <row r="4412">
          <cell r="B4412" t="str">
            <v>B272-400-AS-210-SK-003</v>
          </cell>
          <cell r="E4412" t="str">
            <v>P-1048(53/59)</v>
          </cell>
        </row>
        <row r="4413">
          <cell r="B4413" t="str">
            <v>B272-400-AS-210-SK-003</v>
          </cell>
          <cell r="E4413" t="str">
            <v>P-1048(54/59)</v>
          </cell>
        </row>
        <row r="4414">
          <cell r="B4414" t="str">
            <v>B272-400-AS-210-SK-003</v>
          </cell>
          <cell r="E4414" t="str">
            <v>P-1048(55/59)</v>
          </cell>
        </row>
        <row r="4415">
          <cell r="B4415" t="str">
            <v>B272-400-AS-210-SK-003</v>
          </cell>
          <cell r="E4415" t="str">
            <v>P-1048(56/59)</v>
          </cell>
        </row>
        <row r="4416">
          <cell r="B4416" t="str">
            <v>B272-400-AS-210-SK-003</v>
          </cell>
          <cell r="E4416" t="str">
            <v>P-1048(57/59)</v>
          </cell>
        </row>
        <row r="4417">
          <cell r="B4417" t="str">
            <v>B272-400-AS-210-SK-003</v>
          </cell>
          <cell r="E4417" t="str">
            <v>P-1048(58/59)</v>
          </cell>
        </row>
        <row r="4418">
          <cell r="B4418" t="str">
            <v>B272-400-AS-210-SK-003</v>
          </cell>
          <cell r="E4418" t="str">
            <v>P-1048(59/59)</v>
          </cell>
        </row>
        <row r="4419">
          <cell r="B4419" t="str">
            <v>B272-400-AS-210-SK-003</v>
          </cell>
          <cell r="E4419" t="str">
            <v>P-1052(1/4)</v>
          </cell>
        </row>
        <row r="4420">
          <cell r="B4420" t="str">
            <v>B272-400-AS-210-SK-003</v>
          </cell>
          <cell r="E4420" t="str">
            <v>P-1052(2/4)</v>
          </cell>
        </row>
        <row r="4421">
          <cell r="B4421" t="str">
            <v>B272-400-AS-210-SK-003</v>
          </cell>
          <cell r="E4421" t="str">
            <v>P-1052(3/4)</v>
          </cell>
        </row>
        <row r="4422">
          <cell r="B4422" t="str">
            <v>B272-400-AS-210-SK-003</v>
          </cell>
          <cell r="E4422" t="str">
            <v>P-1052(4/4)</v>
          </cell>
        </row>
        <row r="4423">
          <cell r="B4423" t="str">
            <v>B272-400-AS-210-SK-003</v>
          </cell>
          <cell r="E4423" t="str">
            <v>P-1056(1/2)</v>
          </cell>
        </row>
        <row r="4424">
          <cell r="B4424" t="str">
            <v>B272-400-AS-210-SK-003</v>
          </cell>
          <cell r="E4424" t="str">
            <v>P-1056(2/2)</v>
          </cell>
        </row>
        <row r="4425">
          <cell r="B4425" t="str">
            <v>B272-400-AS-210-SK-003</v>
          </cell>
          <cell r="E4425" t="str">
            <v>P-1083(1/2)</v>
          </cell>
        </row>
        <row r="4426">
          <cell r="B4426" t="str">
            <v>B272-400-AS-210-SK-003</v>
          </cell>
          <cell r="E4426" t="str">
            <v>P-1083(2/2)</v>
          </cell>
        </row>
        <row r="4427">
          <cell r="B4427" t="str">
            <v>B272-400-AS-210-SK-003</v>
          </cell>
          <cell r="E4427" t="str">
            <v>P-1139(1/2)</v>
          </cell>
        </row>
        <row r="4428">
          <cell r="B4428" t="str">
            <v>B272-400-AS-210-SK-003</v>
          </cell>
          <cell r="E4428" t="str">
            <v>P-1139(2/2)</v>
          </cell>
        </row>
        <row r="4429">
          <cell r="B4429" t="str">
            <v>B272-400-AS-210-SK-003</v>
          </cell>
          <cell r="E4429" t="str">
            <v>P-1140</v>
          </cell>
        </row>
        <row r="4430">
          <cell r="B4430" t="str">
            <v>B272-400-AS-210-SK-003</v>
          </cell>
          <cell r="E4430" t="str">
            <v>P-1150(1/8)</v>
          </cell>
        </row>
        <row r="4431">
          <cell r="B4431" t="str">
            <v>B272-400-AS-210-SK-003</v>
          </cell>
          <cell r="E4431" t="str">
            <v>P-1150(2/8)</v>
          </cell>
        </row>
        <row r="4432">
          <cell r="B4432" t="str">
            <v>B272-400-AS-210-SK-003</v>
          </cell>
          <cell r="E4432" t="str">
            <v>P-1150(3/8)</v>
          </cell>
        </row>
        <row r="4433">
          <cell r="B4433" t="str">
            <v>B272-400-AS-210-SK-003</v>
          </cell>
          <cell r="E4433" t="str">
            <v>P-1150(4/8)</v>
          </cell>
        </row>
        <row r="4434">
          <cell r="B4434" t="str">
            <v>B272-400-AS-210-SK-003</v>
          </cell>
          <cell r="E4434" t="str">
            <v>P-1150(5/8)</v>
          </cell>
        </row>
        <row r="4435">
          <cell r="B4435" t="str">
            <v>B272-400-AS-210-SK-003</v>
          </cell>
          <cell r="E4435" t="str">
            <v>P-1150(6/8)</v>
          </cell>
        </row>
        <row r="4436">
          <cell r="B4436" t="str">
            <v>B272-400-AS-210-SK-003</v>
          </cell>
          <cell r="E4436" t="str">
            <v>P-1150(7/8)</v>
          </cell>
        </row>
        <row r="4437">
          <cell r="B4437" t="str">
            <v>B272-400-AS-210-SK-003</v>
          </cell>
          <cell r="E4437" t="str">
            <v>P-1150(8/8)</v>
          </cell>
        </row>
        <row r="4438">
          <cell r="B4438" t="str">
            <v>B272-400-AS-210-SK-003</v>
          </cell>
          <cell r="E4438" t="str">
            <v>P-1170</v>
          </cell>
        </row>
        <row r="4439">
          <cell r="B4439" t="str">
            <v>B272-400-AS-210-SK-003</v>
          </cell>
          <cell r="E4439" t="str">
            <v>P-1171</v>
          </cell>
        </row>
        <row r="4440">
          <cell r="B4440" t="str">
            <v>B272-400-AS-210-SK-003</v>
          </cell>
          <cell r="E4440" t="str">
            <v>PF-1</v>
          </cell>
        </row>
        <row r="4441">
          <cell r="B4441" t="str">
            <v>B272-400-AS-210-SK-003</v>
          </cell>
          <cell r="E4441" t="str">
            <v>PF-2</v>
          </cell>
        </row>
        <row r="4442">
          <cell r="B4442" t="str">
            <v>B272-400-AS-210-SK-003</v>
          </cell>
          <cell r="E4442" t="str">
            <v>PFY-1</v>
          </cell>
        </row>
        <row r="4443">
          <cell r="B4443" t="str">
            <v>B272-400-AS-210-SK-003</v>
          </cell>
          <cell r="E4443" t="str">
            <v>PFY-1-A</v>
          </cell>
        </row>
        <row r="4444">
          <cell r="B4444" t="str">
            <v>B272-400-AS-210-SK-003</v>
          </cell>
          <cell r="E4444" t="str">
            <v>PFY-1-B</v>
          </cell>
        </row>
        <row r="4445">
          <cell r="B4445" t="str">
            <v>B272-400-AS-210-SK-003</v>
          </cell>
          <cell r="E4445" t="str">
            <v>PX-29</v>
          </cell>
        </row>
        <row r="4446">
          <cell r="B4446" t="str">
            <v>B272-400-AS-210-SK-003</v>
          </cell>
          <cell r="E4446" t="str">
            <v>PX-30</v>
          </cell>
        </row>
        <row r="4447">
          <cell r="B4447" t="str">
            <v>B272-400-AS-210-SK-003</v>
          </cell>
          <cell r="E4447" t="str">
            <v>PX-31</v>
          </cell>
        </row>
        <row r="4448">
          <cell r="B4448" t="str">
            <v>B272-400-AS-210-SK-003</v>
          </cell>
          <cell r="E4448" t="str">
            <v>PX-32</v>
          </cell>
        </row>
        <row r="4449">
          <cell r="B4449" t="str">
            <v>B272-400-AS-210-SK-003</v>
          </cell>
          <cell r="E4449" t="str">
            <v>PX-33(1/4)</v>
          </cell>
        </row>
        <row r="4450">
          <cell r="B4450" t="str">
            <v>B272-400-AS-210-SK-003</v>
          </cell>
          <cell r="E4450" t="str">
            <v>PX-33(2/4)</v>
          </cell>
        </row>
        <row r="4451">
          <cell r="B4451" t="str">
            <v>B272-400-AS-210-SK-003</v>
          </cell>
          <cell r="E4451" t="str">
            <v>PX-33(3/4)</v>
          </cell>
        </row>
        <row r="4452">
          <cell r="B4452" t="str">
            <v>B272-400-AS-210-SK-003</v>
          </cell>
          <cell r="E4452" t="str">
            <v>PX-33(4/4)</v>
          </cell>
        </row>
        <row r="4453">
          <cell r="B4453" t="str">
            <v>B272-400-AS-210-SK-003</v>
          </cell>
          <cell r="E4453" t="str">
            <v>PX-34(1/4)</v>
          </cell>
        </row>
        <row r="4454">
          <cell r="B4454" t="str">
            <v>B272-400-AS-210-SK-003</v>
          </cell>
          <cell r="E4454" t="str">
            <v>PX-34(2/4)</v>
          </cell>
        </row>
        <row r="4455">
          <cell r="B4455" t="str">
            <v>B272-400-AS-210-SK-003</v>
          </cell>
          <cell r="E4455" t="str">
            <v>PX-34(3/4)</v>
          </cell>
        </row>
        <row r="4456">
          <cell r="B4456" t="str">
            <v>B272-400-AS-210-SK-003</v>
          </cell>
          <cell r="E4456" t="str">
            <v>PX-34(4/4)</v>
          </cell>
        </row>
        <row r="4457">
          <cell r="B4457" t="str">
            <v>B272-400-AS-210-SK-003</v>
          </cell>
          <cell r="E4457" t="str">
            <v>PX-35</v>
          </cell>
        </row>
        <row r="4458">
          <cell r="B4458" t="str">
            <v>B272-400-AS-210-SK-003</v>
          </cell>
          <cell r="E4458" t="str">
            <v>PX-36</v>
          </cell>
        </row>
        <row r="4459">
          <cell r="B4459" t="str">
            <v>B272-400-AS-210-SK-003</v>
          </cell>
          <cell r="E4459" t="str">
            <v>PX-111(1/9)</v>
          </cell>
        </row>
        <row r="4460">
          <cell r="B4460" t="str">
            <v>B272-400-AS-210-SK-003</v>
          </cell>
          <cell r="E4460" t="str">
            <v>PX-111(2/9)</v>
          </cell>
        </row>
        <row r="4461">
          <cell r="B4461" t="str">
            <v>B272-400-AS-210-SK-003</v>
          </cell>
          <cell r="E4461" t="str">
            <v>PX-111(3/9)</v>
          </cell>
        </row>
        <row r="4462">
          <cell r="B4462" t="str">
            <v>B272-400-AS-210-SK-003</v>
          </cell>
          <cell r="E4462" t="str">
            <v>PX-111(4/9)</v>
          </cell>
        </row>
        <row r="4463">
          <cell r="B4463" t="str">
            <v>B272-400-AS-210-SK-003</v>
          </cell>
          <cell r="E4463" t="str">
            <v>PX-111(5/9)</v>
          </cell>
        </row>
        <row r="4464">
          <cell r="B4464" t="str">
            <v>B272-400-AS-210-SK-003</v>
          </cell>
          <cell r="E4464" t="str">
            <v>PX-111(6/9)</v>
          </cell>
        </row>
        <row r="4465">
          <cell r="B4465" t="str">
            <v>B272-400-AS-210-SK-003</v>
          </cell>
          <cell r="E4465" t="str">
            <v>PX-111(7/9)</v>
          </cell>
        </row>
        <row r="4466">
          <cell r="B4466" t="str">
            <v>B272-400-AS-210-SK-003</v>
          </cell>
          <cell r="E4466" t="str">
            <v>PX-111(8/9)</v>
          </cell>
        </row>
        <row r="4467">
          <cell r="B4467" t="str">
            <v>B272-400-AS-210-SK-003</v>
          </cell>
          <cell r="E4467" t="str">
            <v>PX-111(9/9)</v>
          </cell>
        </row>
        <row r="4468">
          <cell r="B4468" t="str">
            <v>B272-400-AS-210-SK-003</v>
          </cell>
          <cell r="E4468" t="str">
            <v>PX-112</v>
          </cell>
        </row>
        <row r="4469">
          <cell r="B4469" t="str">
            <v>B272-400-AS-210-SK-003</v>
          </cell>
          <cell r="E4469" t="str">
            <v>PX-113</v>
          </cell>
        </row>
        <row r="4470">
          <cell r="B4470" t="str">
            <v>B272-400-AS-210-SK-003</v>
          </cell>
          <cell r="E4470" t="str">
            <v>PX-114(1/4)</v>
          </cell>
        </row>
        <row r="4471">
          <cell r="B4471" t="str">
            <v>B272-400-AS-210-SK-003</v>
          </cell>
          <cell r="E4471" t="str">
            <v>PX-114(2/4)</v>
          </cell>
        </row>
        <row r="4472">
          <cell r="B4472" t="str">
            <v>B272-400-AS-210-SK-003</v>
          </cell>
          <cell r="E4472" t="str">
            <v>PX-114(3/4)</v>
          </cell>
        </row>
        <row r="4473">
          <cell r="B4473" t="str">
            <v>B272-400-AS-210-SK-003</v>
          </cell>
          <cell r="E4473" t="str">
            <v>PX-114(4/4)</v>
          </cell>
        </row>
        <row r="4474">
          <cell r="B4474" t="str">
            <v>B272-400-AS-210-SK-003</v>
          </cell>
          <cell r="E4474" t="str">
            <v>PX-115(1/11)</v>
          </cell>
        </row>
        <row r="4475">
          <cell r="B4475" t="str">
            <v>B272-400-AS-210-SK-003</v>
          </cell>
          <cell r="E4475" t="str">
            <v>PX-115(2/11)</v>
          </cell>
        </row>
        <row r="4476">
          <cell r="B4476" t="str">
            <v>B272-400-AS-210-SK-003</v>
          </cell>
          <cell r="E4476" t="str">
            <v>PX-115(3/11)</v>
          </cell>
        </row>
        <row r="4477">
          <cell r="B4477" t="str">
            <v>B272-400-AS-210-SK-003</v>
          </cell>
          <cell r="E4477" t="str">
            <v>PX-115(4/11)</v>
          </cell>
        </row>
        <row r="4478">
          <cell r="B4478" t="str">
            <v>B272-400-AS-210-SK-003</v>
          </cell>
          <cell r="E4478" t="str">
            <v>PX-115(5/11)</v>
          </cell>
        </row>
        <row r="4479">
          <cell r="B4479" t="str">
            <v>B272-400-AS-210-SK-003</v>
          </cell>
          <cell r="E4479" t="str">
            <v>PX-115(6/11)</v>
          </cell>
        </row>
        <row r="4480">
          <cell r="B4480" t="str">
            <v>B272-400-AS-210-SK-003</v>
          </cell>
          <cell r="E4480" t="str">
            <v>PX-115(7/11)</v>
          </cell>
        </row>
        <row r="4481">
          <cell r="B4481" t="str">
            <v>B272-400-AS-210-SK-003</v>
          </cell>
          <cell r="E4481" t="str">
            <v>PX-115(8/11)</v>
          </cell>
        </row>
        <row r="4482">
          <cell r="B4482" t="str">
            <v>B272-400-AS-210-SK-003</v>
          </cell>
          <cell r="E4482" t="str">
            <v>PX-115(9/11)</v>
          </cell>
        </row>
        <row r="4483">
          <cell r="B4483" t="str">
            <v>B272-400-AS-210-SK-003</v>
          </cell>
          <cell r="E4483" t="str">
            <v>PX-115(10/11)</v>
          </cell>
        </row>
        <row r="4484">
          <cell r="B4484" t="str">
            <v>B272-400-AS-210-SK-003</v>
          </cell>
          <cell r="E4484" t="str">
            <v>PX-115(11/11)</v>
          </cell>
        </row>
        <row r="4485">
          <cell r="B4485" t="str">
            <v>B272-400-AS-210-SK-003</v>
          </cell>
          <cell r="E4485" t="str">
            <v>PX-118(1/3)</v>
          </cell>
        </row>
        <row r="4486">
          <cell r="B4486" t="str">
            <v>B272-400-AS-210-SK-003</v>
          </cell>
          <cell r="E4486" t="str">
            <v>PX-118(2/3)</v>
          </cell>
        </row>
        <row r="4487">
          <cell r="B4487" t="str">
            <v>B272-400-AS-210-SK-003</v>
          </cell>
          <cell r="E4487" t="str">
            <v>PX-118(3/3)</v>
          </cell>
        </row>
        <row r="4488">
          <cell r="B4488" t="str">
            <v>B272-400-AS-210-SK-003</v>
          </cell>
          <cell r="E4488" t="str">
            <v>PX-119(1/3)</v>
          </cell>
        </row>
        <row r="4489">
          <cell r="B4489" t="str">
            <v>B272-400-AS-210-SK-003</v>
          </cell>
          <cell r="E4489" t="str">
            <v>PX-119(2/3)</v>
          </cell>
        </row>
        <row r="4490">
          <cell r="B4490" t="str">
            <v>B272-400-AS-210-SK-003</v>
          </cell>
          <cell r="E4490" t="str">
            <v>PX-119(3/3)</v>
          </cell>
        </row>
        <row r="4491">
          <cell r="B4491" t="str">
            <v>B272-400-AS-210-SK-003</v>
          </cell>
          <cell r="E4491" t="str">
            <v>PX-120(1/2)</v>
          </cell>
        </row>
        <row r="4492">
          <cell r="B4492" t="str">
            <v>B272-400-AS-210-SK-003</v>
          </cell>
          <cell r="E4492" t="str">
            <v>PX-120(2/2)</v>
          </cell>
        </row>
        <row r="4493">
          <cell r="B4493" t="str">
            <v>B272-400-AS-210-SK-003</v>
          </cell>
          <cell r="E4493" t="str">
            <v>PX-121(1/2)</v>
          </cell>
        </row>
        <row r="4494">
          <cell r="B4494" t="str">
            <v>B272-400-AS-210-SK-003</v>
          </cell>
          <cell r="E4494" t="str">
            <v>PX-121(2/2)</v>
          </cell>
        </row>
        <row r="4495">
          <cell r="B4495" t="str">
            <v>B272-400-AS-210-SK-003</v>
          </cell>
          <cell r="E4495" t="str">
            <v>PX-122</v>
          </cell>
        </row>
        <row r="4496">
          <cell r="B4496" t="str">
            <v>B272-400-AS-210-SK-003</v>
          </cell>
          <cell r="E4496" t="str">
            <v>PX-123</v>
          </cell>
        </row>
        <row r="4497">
          <cell r="B4497" t="str">
            <v>B272-400-AS-210-SK-003</v>
          </cell>
          <cell r="E4497" t="str">
            <v>PX-124(1/4)</v>
          </cell>
        </row>
        <row r="4498">
          <cell r="B4498" t="str">
            <v>B272-400-AS-210-SK-003</v>
          </cell>
          <cell r="E4498" t="str">
            <v>PX-124(2/4)</v>
          </cell>
        </row>
        <row r="4499">
          <cell r="B4499" t="str">
            <v>B272-400-AS-210-SK-003</v>
          </cell>
          <cell r="E4499" t="str">
            <v>PX-124(3/4)</v>
          </cell>
        </row>
        <row r="4500">
          <cell r="B4500" t="str">
            <v>B272-400-AS-210-SK-003</v>
          </cell>
          <cell r="E4500" t="str">
            <v>PX-124(4/4)</v>
          </cell>
        </row>
        <row r="4501">
          <cell r="B4501" t="str">
            <v>B272-400-AS-210-SK-003</v>
          </cell>
          <cell r="E4501" t="str">
            <v>PX-125(1/3)</v>
          </cell>
        </row>
        <row r="4502">
          <cell r="B4502" t="str">
            <v>B272-400-AS-210-SK-003</v>
          </cell>
          <cell r="E4502" t="str">
            <v>PX-125(2/3)</v>
          </cell>
        </row>
        <row r="4503">
          <cell r="B4503" t="str">
            <v>B272-400-AS-210-SK-003</v>
          </cell>
          <cell r="E4503" t="str">
            <v>PX-125(3/3)</v>
          </cell>
        </row>
        <row r="4504">
          <cell r="B4504" t="str">
            <v>B272-400-AS-210-SK-003</v>
          </cell>
          <cell r="E4504" t="str">
            <v>PX-126</v>
          </cell>
        </row>
        <row r="4505">
          <cell r="B4505" t="str">
            <v>B272-400-AS-210-SK-003</v>
          </cell>
          <cell r="E4505" t="str">
            <v>PX-126-1</v>
          </cell>
        </row>
        <row r="4506">
          <cell r="B4506" t="str">
            <v>B272-400-AS-210-SK-003</v>
          </cell>
          <cell r="E4506" t="str">
            <v>PX-133</v>
          </cell>
        </row>
        <row r="4507">
          <cell r="B4507" t="str">
            <v>B272-400-AS-210-SK-003</v>
          </cell>
          <cell r="E4507" t="str">
            <v>PX-134(1/2)</v>
          </cell>
        </row>
        <row r="4508">
          <cell r="B4508" t="str">
            <v>B272-400-AS-210-SK-003</v>
          </cell>
          <cell r="E4508" t="str">
            <v>PX-134(2/2)</v>
          </cell>
        </row>
        <row r="4509">
          <cell r="B4509" t="str">
            <v>B272-400-AS-210-SK-003</v>
          </cell>
          <cell r="E4509" t="str">
            <v>PX-135</v>
          </cell>
        </row>
        <row r="4510">
          <cell r="B4510" t="str">
            <v>B272-400-AS-210-SK-003</v>
          </cell>
          <cell r="E4510" t="str">
            <v>PX-136</v>
          </cell>
        </row>
        <row r="4511">
          <cell r="B4511" t="str">
            <v>B272-400-AS-210-SK-003</v>
          </cell>
          <cell r="E4511" t="str">
            <v>PXY-1</v>
          </cell>
        </row>
        <row r="4512">
          <cell r="B4512" t="str">
            <v>B272-400-AS-210-SK-003</v>
          </cell>
          <cell r="E4512" t="str">
            <v>PXY-2</v>
          </cell>
        </row>
        <row r="4513">
          <cell r="B4513" t="str">
            <v>B272-400-AS-210-SK-003</v>
          </cell>
          <cell r="E4513" t="str">
            <v>PY-32(1/3)</v>
          </cell>
        </row>
        <row r="4514">
          <cell r="B4514" t="str">
            <v>B272-400-AS-210-SK-003</v>
          </cell>
          <cell r="E4514" t="str">
            <v>PY-32-A(1/3)</v>
          </cell>
        </row>
        <row r="4515">
          <cell r="B4515" t="str">
            <v>B272-400-AS-210-SK-003</v>
          </cell>
          <cell r="E4515" t="str">
            <v>PY-32-B(1/3)</v>
          </cell>
        </row>
        <row r="4516">
          <cell r="B4516" t="str">
            <v>B272-400-AS-210-SK-003</v>
          </cell>
          <cell r="E4516" t="str">
            <v>PY-32(2/3)</v>
          </cell>
        </row>
        <row r="4517">
          <cell r="B4517" t="str">
            <v>B272-400-AS-210-SK-003</v>
          </cell>
          <cell r="E4517" t="str">
            <v>PY-32-A(2/3)</v>
          </cell>
        </row>
        <row r="4518">
          <cell r="B4518" t="str">
            <v>B272-400-AS-210-SK-003</v>
          </cell>
          <cell r="E4518" t="str">
            <v>PY-32-B(2/3)</v>
          </cell>
        </row>
        <row r="4519">
          <cell r="B4519" t="str">
            <v>B272-400-AS-210-SK-003</v>
          </cell>
          <cell r="E4519" t="str">
            <v>PY-32(3/3)</v>
          </cell>
        </row>
        <row r="4520">
          <cell r="B4520" t="str">
            <v>B272-400-AS-210-SK-003</v>
          </cell>
          <cell r="E4520" t="str">
            <v>PY-32-A(3/3)</v>
          </cell>
        </row>
        <row r="4521">
          <cell r="B4521" t="str">
            <v>B272-400-AS-210-SK-003</v>
          </cell>
          <cell r="E4521" t="str">
            <v>PY-32-B(3/3)</v>
          </cell>
        </row>
        <row r="4522">
          <cell r="B4522" t="str">
            <v>B272-400-AS-210-SK-003</v>
          </cell>
          <cell r="E4522" t="str">
            <v>PY-33</v>
          </cell>
        </row>
        <row r="4523">
          <cell r="B4523" t="str">
            <v>B272-400-AS-210-SK-003</v>
          </cell>
          <cell r="E4523" t="str">
            <v>PY-33-A</v>
          </cell>
        </row>
        <row r="4524">
          <cell r="B4524" t="str">
            <v>B272-400-AS-210-SK-003</v>
          </cell>
          <cell r="E4524" t="str">
            <v>PY-33-B</v>
          </cell>
        </row>
        <row r="4525">
          <cell r="B4525" t="str">
            <v>B272-400-AS-210-SK-003</v>
          </cell>
          <cell r="E4525" t="str">
            <v>R-43(1/2)</v>
          </cell>
        </row>
        <row r="4526">
          <cell r="B4526" t="str">
            <v>B272-400-AS-210-SK-003</v>
          </cell>
          <cell r="E4526" t="str">
            <v>R-43(2/2)</v>
          </cell>
        </row>
        <row r="4527">
          <cell r="B4527" t="str">
            <v>B272-400-AS-210-SK-003</v>
          </cell>
          <cell r="E4527" t="str">
            <v>RZ-3(1/2)</v>
          </cell>
        </row>
        <row r="4528">
          <cell r="B4528" t="str">
            <v>B272-400-AS-210-SK-003</v>
          </cell>
          <cell r="E4528" t="str">
            <v>RZ-3(2/2)</v>
          </cell>
        </row>
        <row r="4529">
          <cell r="B4529" t="str">
            <v>B272-400-AS-210-SK-003</v>
          </cell>
          <cell r="E4529" t="str">
            <v>RZ-4(1/2)</v>
          </cell>
        </row>
        <row r="4530">
          <cell r="B4530" t="str">
            <v>B272-400-AS-210-SK-003</v>
          </cell>
          <cell r="E4530" t="str">
            <v>RZ-4(2/2)</v>
          </cell>
        </row>
        <row r="4531">
          <cell r="B4531" t="str">
            <v>B272-400-AS-210-SK-003</v>
          </cell>
          <cell r="E4531" t="str">
            <v>P-2011(1/2)</v>
          </cell>
        </row>
        <row r="4532">
          <cell r="B4532" t="str">
            <v>B272-400-AS-210-SK-003</v>
          </cell>
          <cell r="E4532" t="str">
            <v>P-2011(2/2)</v>
          </cell>
        </row>
        <row r="4533">
          <cell r="B4533" t="str">
            <v>B272-400-AS-210-SK-003</v>
          </cell>
          <cell r="E4533" t="str">
            <v>P-2012</v>
          </cell>
        </row>
        <row r="4534">
          <cell r="B4534" t="str">
            <v>B272-400-AS-210-SK-003</v>
          </cell>
          <cell r="E4534" t="str">
            <v>P-2013</v>
          </cell>
        </row>
        <row r="4535">
          <cell r="B4535" t="str">
            <v>B272-400-AS-210-SK-003</v>
          </cell>
          <cell r="E4535" t="str">
            <v>P-2014</v>
          </cell>
        </row>
        <row r="4536">
          <cell r="B4536" t="str">
            <v>B272-400-AS-210-SK-003</v>
          </cell>
          <cell r="E4536" t="str">
            <v>P-2022</v>
          </cell>
        </row>
        <row r="4537">
          <cell r="B4537" t="str">
            <v>B272-400-AS-210-SK-003</v>
          </cell>
          <cell r="E4537" t="str">
            <v>P-2023</v>
          </cell>
        </row>
        <row r="4538">
          <cell r="B4538" t="str">
            <v>B272-400-AS-210-SK-003</v>
          </cell>
          <cell r="E4538" t="str">
            <v>P-2024</v>
          </cell>
        </row>
        <row r="4539">
          <cell r="B4539" t="str">
            <v>B272-400-AS-210-SK-003</v>
          </cell>
          <cell r="E4539" t="str">
            <v>P-2025</v>
          </cell>
        </row>
        <row r="4540">
          <cell r="B4540" t="str">
            <v>B272-400-AS-210-SK-003</v>
          </cell>
          <cell r="E4540" t="str">
            <v>P-2026</v>
          </cell>
        </row>
        <row r="4541">
          <cell r="B4541" t="str">
            <v>B272-400-AS-210-SK-003</v>
          </cell>
          <cell r="E4541" t="str">
            <v>P-2056</v>
          </cell>
        </row>
        <row r="4542">
          <cell r="B4542" t="str">
            <v>B272-400-AS-210-SK-003</v>
          </cell>
          <cell r="E4542" t="str">
            <v>PX-2000</v>
          </cell>
        </row>
        <row r="4543">
          <cell r="B4543" t="str">
            <v>B272-400-AS-210-SK-003</v>
          </cell>
          <cell r="E4543" t="str">
            <v>PX-2003</v>
          </cell>
        </row>
        <row r="4544">
          <cell r="B4544" t="str">
            <v>B272-400-AS-210-SK-003</v>
          </cell>
          <cell r="E4544" t="str">
            <v>B1650</v>
          </cell>
        </row>
        <row r="4545">
          <cell r="B4545" t="str">
            <v>B272-400-AS-210-SK-003</v>
          </cell>
          <cell r="E4545" t="str">
            <v>B2060</v>
          </cell>
        </row>
        <row r="4546">
          <cell r="B4546" t="str">
            <v>B272-400-AS-210-SK-003</v>
          </cell>
          <cell r="E4546" t="str">
            <v>B20120</v>
          </cell>
        </row>
        <row r="4547">
          <cell r="B4547" t="str">
            <v>B272-400-AS-210-SK-004</v>
          </cell>
        </row>
        <row r="4548">
          <cell r="B4548" t="str">
            <v>B272-400-AS-210-SK-004</v>
          </cell>
          <cell r="E4548" t="str">
            <v>AF-4(1/2)</v>
          </cell>
        </row>
        <row r="4549">
          <cell r="B4549" t="str">
            <v>B272-400-AS-210-SK-004</v>
          </cell>
          <cell r="E4549" t="str">
            <v>AF-4(2/2)</v>
          </cell>
        </row>
        <row r="4550">
          <cell r="B4550" t="str">
            <v>B272-400-AS-210-SK-004</v>
          </cell>
          <cell r="E4550" t="str">
            <v>AF-5(1/2)</v>
          </cell>
        </row>
        <row r="4551">
          <cell r="B4551" t="str">
            <v>B272-400-AS-210-SK-004</v>
          </cell>
          <cell r="E4551" t="str">
            <v>AF-5(2/2)</v>
          </cell>
        </row>
        <row r="4552">
          <cell r="B4552" t="str">
            <v>B272-400-AS-210-SK-004</v>
          </cell>
          <cell r="E4552" t="str">
            <v>AF-7(1/2)</v>
          </cell>
        </row>
        <row r="4553">
          <cell r="B4553" t="str">
            <v>B272-400-AS-210-SK-004</v>
          </cell>
          <cell r="E4553" t="str">
            <v>AF-7(2/2)</v>
          </cell>
        </row>
        <row r="4554">
          <cell r="B4554" t="str">
            <v>B272-400-AS-210-SK-004</v>
          </cell>
          <cell r="E4554" t="str">
            <v>AY-56</v>
          </cell>
        </row>
        <row r="4555">
          <cell r="B4555" t="str">
            <v>B272-400-AS-210-SK-004</v>
          </cell>
          <cell r="E4555" t="str">
            <v>AY-60</v>
          </cell>
        </row>
        <row r="4556">
          <cell r="B4556" t="str">
            <v>B272-400-AS-210-SK-004</v>
          </cell>
          <cell r="E4556" t="str">
            <v>DY-3(1/2)</v>
          </cell>
        </row>
        <row r="4557">
          <cell r="B4557" t="str">
            <v>B272-400-AS-210-SK-004</v>
          </cell>
          <cell r="E4557" t="str">
            <v>DY-3(2/2)</v>
          </cell>
        </row>
        <row r="4558">
          <cell r="B4558" t="str">
            <v>B272-400-AS-210-SK-004</v>
          </cell>
          <cell r="E4558" t="str">
            <v>G-27(1/2)</v>
          </cell>
        </row>
        <row r="4559">
          <cell r="B4559" t="str">
            <v>B272-400-AS-210-SK-004</v>
          </cell>
          <cell r="E4559" t="str">
            <v>G-27(2/2)</v>
          </cell>
        </row>
        <row r="4560">
          <cell r="B4560" t="str">
            <v>B272-400-AS-210-SK-004</v>
          </cell>
          <cell r="E4560" t="str">
            <v>G-55(1/4)</v>
          </cell>
        </row>
        <row r="4561">
          <cell r="B4561" t="str">
            <v>B272-400-AS-210-SK-004</v>
          </cell>
          <cell r="E4561" t="str">
            <v>G-55(2/4)</v>
          </cell>
        </row>
        <row r="4562">
          <cell r="B4562" t="str">
            <v>B272-400-AS-210-SK-004</v>
          </cell>
          <cell r="E4562" t="str">
            <v>G-55(3/4)</v>
          </cell>
        </row>
        <row r="4563">
          <cell r="B4563" t="str">
            <v>B272-400-AS-210-SK-004</v>
          </cell>
          <cell r="E4563" t="str">
            <v>G-55(4/4)</v>
          </cell>
        </row>
        <row r="4564">
          <cell r="B4564" t="str">
            <v>B272-400-AS-210-SK-004</v>
          </cell>
          <cell r="E4564" t="str">
            <v>P-161(1/2)</v>
          </cell>
        </row>
        <row r="4565">
          <cell r="B4565" t="str">
            <v>B272-400-AS-210-SK-004</v>
          </cell>
          <cell r="E4565" t="str">
            <v>P-161(2/2)</v>
          </cell>
        </row>
        <row r="4566">
          <cell r="B4566" t="str">
            <v>B272-400-AS-210-SK-004</v>
          </cell>
          <cell r="E4566" t="str">
            <v>P-527</v>
          </cell>
        </row>
        <row r="4567">
          <cell r="B4567" t="str">
            <v>B272-400-AS-210-SK-004</v>
          </cell>
          <cell r="E4567" t="str">
            <v>P-527-A</v>
          </cell>
        </row>
        <row r="4568">
          <cell r="B4568" t="str">
            <v>B272-400-AS-210-SK-004</v>
          </cell>
          <cell r="E4568" t="str">
            <v>P-527-B</v>
          </cell>
        </row>
        <row r="4569">
          <cell r="B4569" t="str">
            <v>B272-400-AS-210-SK-004</v>
          </cell>
          <cell r="E4569" t="str">
            <v>P-531</v>
          </cell>
        </row>
        <row r="4570">
          <cell r="B4570" t="str">
            <v>B272-400-AS-210-SK-004</v>
          </cell>
          <cell r="E4570" t="str">
            <v>P-531-A</v>
          </cell>
        </row>
        <row r="4571">
          <cell r="B4571" t="str">
            <v>B272-400-AS-210-SK-004</v>
          </cell>
          <cell r="E4571" t="str">
            <v>P-531-B</v>
          </cell>
        </row>
        <row r="4572">
          <cell r="B4572" t="str">
            <v>B272-400-AS-210-SK-004</v>
          </cell>
          <cell r="E4572" t="str">
            <v>P-587</v>
          </cell>
        </row>
        <row r="4573">
          <cell r="B4573" t="str">
            <v>B272-400-AS-210-SK-004</v>
          </cell>
          <cell r="E4573" t="str">
            <v>P-1042</v>
          </cell>
        </row>
        <row r="4574">
          <cell r="B4574" t="str">
            <v>B272-400-AS-210-SK-004</v>
          </cell>
          <cell r="E4574" t="str">
            <v>P-1043(1/2)</v>
          </cell>
        </row>
        <row r="4575">
          <cell r="B4575" t="str">
            <v>B272-400-AS-210-SK-004</v>
          </cell>
          <cell r="E4575" t="str">
            <v>P-1043(2/2)</v>
          </cell>
        </row>
        <row r="4576">
          <cell r="B4576" t="str">
            <v>B272-400-AS-210-SK-004</v>
          </cell>
          <cell r="E4576" t="str">
            <v>P-1044(1/2)</v>
          </cell>
        </row>
        <row r="4577">
          <cell r="B4577" t="str">
            <v>B272-400-AS-210-SK-004</v>
          </cell>
          <cell r="E4577" t="str">
            <v>P-1044(2/2)</v>
          </cell>
        </row>
        <row r="4578">
          <cell r="B4578" t="str">
            <v>B272-400-AS-210-SK-004</v>
          </cell>
          <cell r="E4578" t="str">
            <v>P-1046</v>
          </cell>
        </row>
        <row r="4579">
          <cell r="B4579" t="str">
            <v>B272-400-AS-210-SK-004</v>
          </cell>
          <cell r="E4579" t="str">
            <v>P-1048(1/119)</v>
          </cell>
        </row>
        <row r="4580">
          <cell r="B4580" t="str">
            <v>B272-400-AS-210-SK-004</v>
          </cell>
          <cell r="E4580" t="str">
            <v>P-1048(2/119)</v>
          </cell>
        </row>
        <row r="4581">
          <cell r="B4581" t="str">
            <v>B272-400-AS-210-SK-004</v>
          </cell>
          <cell r="E4581" t="str">
            <v>P-1048(3/119)</v>
          </cell>
        </row>
        <row r="4582">
          <cell r="B4582" t="str">
            <v>B272-400-AS-210-SK-004</v>
          </cell>
          <cell r="E4582" t="str">
            <v>P-1048(4/119)</v>
          </cell>
        </row>
        <row r="4583">
          <cell r="B4583" t="str">
            <v>B272-400-AS-210-SK-004</v>
          </cell>
          <cell r="E4583" t="str">
            <v>P-1048(5/119)</v>
          </cell>
        </row>
        <row r="4584">
          <cell r="B4584" t="str">
            <v>B272-400-AS-210-SK-004</v>
          </cell>
          <cell r="E4584" t="str">
            <v>P-1048(6/119)</v>
          </cell>
        </row>
        <row r="4585">
          <cell r="B4585" t="str">
            <v>B272-400-AS-210-SK-004</v>
          </cell>
          <cell r="E4585" t="str">
            <v>P-1048(7/119)</v>
          </cell>
        </row>
        <row r="4586">
          <cell r="B4586" t="str">
            <v>B272-400-AS-210-SK-004</v>
          </cell>
          <cell r="E4586" t="str">
            <v>P-1048(8/119)</v>
          </cell>
        </row>
        <row r="4587">
          <cell r="B4587" t="str">
            <v>B272-400-AS-210-SK-004</v>
          </cell>
          <cell r="E4587" t="str">
            <v>P-1048(9/119)</v>
          </cell>
        </row>
        <row r="4588">
          <cell r="B4588" t="str">
            <v>B272-400-AS-210-SK-004</v>
          </cell>
          <cell r="E4588" t="str">
            <v>P-1048(10/119)</v>
          </cell>
        </row>
        <row r="4589">
          <cell r="B4589" t="str">
            <v>B272-400-AS-210-SK-004</v>
          </cell>
          <cell r="E4589" t="str">
            <v>P-1048(11/119)</v>
          </cell>
        </row>
        <row r="4590">
          <cell r="B4590" t="str">
            <v>B272-400-AS-210-SK-004</v>
          </cell>
          <cell r="E4590" t="str">
            <v>P-1048(12/119)</v>
          </cell>
        </row>
        <row r="4591">
          <cell r="B4591" t="str">
            <v>B272-400-AS-210-SK-004</v>
          </cell>
          <cell r="E4591" t="str">
            <v>P-1048(13/119)</v>
          </cell>
        </row>
        <row r="4592">
          <cell r="B4592" t="str">
            <v>B272-400-AS-210-SK-004</v>
          </cell>
          <cell r="E4592" t="str">
            <v>P-1048(14/119)</v>
          </cell>
        </row>
        <row r="4593">
          <cell r="B4593" t="str">
            <v>B272-400-AS-210-SK-004</v>
          </cell>
          <cell r="E4593" t="str">
            <v>P-1048(15/119)</v>
          </cell>
        </row>
        <row r="4594">
          <cell r="B4594" t="str">
            <v>B272-400-AS-210-SK-004</v>
          </cell>
          <cell r="E4594" t="str">
            <v>P-1048(16/119)</v>
          </cell>
        </row>
        <row r="4595">
          <cell r="B4595" t="str">
            <v>B272-400-AS-210-SK-004</v>
          </cell>
          <cell r="E4595" t="str">
            <v>P-1048(17/119)</v>
          </cell>
        </row>
        <row r="4596">
          <cell r="B4596" t="str">
            <v>B272-400-AS-210-SK-004</v>
          </cell>
          <cell r="E4596" t="str">
            <v>P-1048(18/119)</v>
          </cell>
        </row>
        <row r="4597">
          <cell r="B4597" t="str">
            <v>B272-400-AS-210-SK-004</v>
          </cell>
          <cell r="E4597" t="str">
            <v>P-1048(19/119)</v>
          </cell>
        </row>
        <row r="4598">
          <cell r="B4598" t="str">
            <v>B272-400-AS-210-SK-004</v>
          </cell>
          <cell r="E4598" t="str">
            <v>P-1048(20/119)</v>
          </cell>
        </row>
        <row r="4599">
          <cell r="B4599" t="str">
            <v>B272-400-AS-210-SK-004</v>
          </cell>
          <cell r="E4599" t="str">
            <v>P-1048(21/119)</v>
          </cell>
        </row>
        <row r="4600">
          <cell r="B4600" t="str">
            <v>B272-400-AS-210-SK-004</v>
          </cell>
          <cell r="E4600" t="str">
            <v>P-1048(22/119)</v>
          </cell>
        </row>
        <row r="4601">
          <cell r="B4601" t="str">
            <v>B272-400-AS-210-SK-004</v>
          </cell>
          <cell r="E4601" t="str">
            <v>P-1048(23/119)</v>
          </cell>
        </row>
        <row r="4602">
          <cell r="B4602" t="str">
            <v>B272-400-AS-210-SK-004</v>
          </cell>
          <cell r="E4602" t="str">
            <v>P-1048(24/119)</v>
          </cell>
        </row>
        <row r="4603">
          <cell r="B4603" t="str">
            <v>B272-400-AS-210-SK-004</v>
          </cell>
          <cell r="E4603" t="str">
            <v>P-1048(25/119)</v>
          </cell>
        </row>
        <row r="4604">
          <cell r="B4604" t="str">
            <v>B272-400-AS-210-SK-004</v>
          </cell>
          <cell r="E4604" t="str">
            <v>P-1048(26/119)</v>
          </cell>
        </row>
        <row r="4605">
          <cell r="B4605" t="str">
            <v>B272-400-AS-210-SK-004</v>
          </cell>
          <cell r="E4605" t="str">
            <v>P-1048(27/119)</v>
          </cell>
        </row>
        <row r="4606">
          <cell r="B4606" t="str">
            <v>B272-400-AS-210-SK-004</v>
          </cell>
          <cell r="E4606" t="str">
            <v>P-1048(28/119)</v>
          </cell>
        </row>
        <row r="4607">
          <cell r="B4607" t="str">
            <v>B272-400-AS-210-SK-004</v>
          </cell>
          <cell r="E4607" t="str">
            <v>P-1048(29/119)</v>
          </cell>
        </row>
        <row r="4608">
          <cell r="B4608" t="str">
            <v>B272-400-AS-210-SK-004</v>
          </cell>
          <cell r="E4608" t="str">
            <v>P-1048(30/119)</v>
          </cell>
        </row>
        <row r="4609">
          <cell r="B4609" t="str">
            <v>B272-400-AS-210-SK-004</v>
          </cell>
          <cell r="E4609" t="str">
            <v>P-1048(31/119)</v>
          </cell>
        </row>
        <row r="4610">
          <cell r="B4610" t="str">
            <v>B272-400-AS-210-SK-004</v>
          </cell>
          <cell r="E4610" t="str">
            <v>P-1048(32/119)</v>
          </cell>
        </row>
        <row r="4611">
          <cell r="B4611" t="str">
            <v>B272-400-AS-210-SK-004</v>
          </cell>
          <cell r="E4611" t="str">
            <v>P-1048(33/119)</v>
          </cell>
        </row>
        <row r="4612">
          <cell r="B4612" t="str">
            <v>B272-400-AS-210-SK-004</v>
          </cell>
          <cell r="E4612" t="str">
            <v>P-1048(34/119)</v>
          </cell>
        </row>
        <row r="4613">
          <cell r="B4613" t="str">
            <v>B272-400-AS-210-SK-004</v>
          </cell>
          <cell r="E4613" t="str">
            <v>P-1048(35/119)</v>
          </cell>
        </row>
        <row r="4614">
          <cell r="B4614" t="str">
            <v>B272-400-AS-210-SK-004</v>
          </cell>
          <cell r="E4614" t="str">
            <v>P-1048(36/119)</v>
          </cell>
        </row>
        <row r="4615">
          <cell r="B4615" t="str">
            <v>B272-400-AS-210-SK-004</v>
          </cell>
          <cell r="E4615" t="str">
            <v>P-1048(37/119)</v>
          </cell>
        </row>
        <row r="4616">
          <cell r="B4616" t="str">
            <v>B272-400-AS-210-SK-004</v>
          </cell>
          <cell r="E4616" t="str">
            <v>P-1048(38/119)</v>
          </cell>
        </row>
        <row r="4617">
          <cell r="B4617" t="str">
            <v>B272-400-AS-210-SK-004</v>
          </cell>
          <cell r="E4617" t="str">
            <v>P-1048(39/119)</v>
          </cell>
        </row>
        <row r="4618">
          <cell r="B4618" t="str">
            <v>B272-400-AS-210-SK-004</v>
          </cell>
          <cell r="E4618" t="str">
            <v>P-1048(40/119)</v>
          </cell>
        </row>
        <row r="4619">
          <cell r="B4619" t="str">
            <v>B272-400-AS-210-SK-004</v>
          </cell>
          <cell r="E4619" t="str">
            <v>P-1048(41/119)</v>
          </cell>
        </row>
        <row r="4620">
          <cell r="B4620" t="str">
            <v>B272-400-AS-210-SK-004</v>
          </cell>
          <cell r="E4620" t="str">
            <v>P-1048(42/119)</v>
          </cell>
        </row>
        <row r="4621">
          <cell r="B4621" t="str">
            <v>B272-400-AS-210-SK-004</v>
          </cell>
          <cell r="E4621" t="str">
            <v>P-1048(43/119)</v>
          </cell>
        </row>
        <row r="4622">
          <cell r="B4622" t="str">
            <v>B272-400-AS-210-SK-004</v>
          </cell>
          <cell r="E4622" t="str">
            <v>P-1048(44/119)</v>
          </cell>
        </row>
        <row r="4623">
          <cell r="B4623" t="str">
            <v>B272-400-AS-210-SK-004</v>
          </cell>
          <cell r="E4623" t="str">
            <v>P-1048(45/119)</v>
          </cell>
        </row>
        <row r="4624">
          <cell r="B4624" t="str">
            <v>B272-400-AS-210-SK-004</v>
          </cell>
          <cell r="E4624" t="str">
            <v>P-1048(46/119)</v>
          </cell>
        </row>
        <row r="4625">
          <cell r="B4625" t="str">
            <v>B272-400-AS-210-SK-004</v>
          </cell>
          <cell r="E4625" t="str">
            <v>P-1048(47/119)</v>
          </cell>
        </row>
        <row r="4626">
          <cell r="B4626" t="str">
            <v>B272-400-AS-210-SK-004</v>
          </cell>
          <cell r="E4626" t="str">
            <v>P-1048(48/119)</v>
          </cell>
        </row>
        <row r="4627">
          <cell r="B4627" t="str">
            <v>B272-400-AS-210-SK-004</v>
          </cell>
          <cell r="E4627" t="str">
            <v>P-1048(49/119)</v>
          </cell>
        </row>
        <row r="4628">
          <cell r="B4628" t="str">
            <v>B272-400-AS-210-SK-004</v>
          </cell>
          <cell r="E4628" t="str">
            <v>P-1048(50/119)</v>
          </cell>
        </row>
        <row r="4629">
          <cell r="B4629" t="str">
            <v>B272-400-AS-210-SK-004</v>
          </cell>
          <cell r="E4629" t="str">
            <v>P-1048(51/119)</v>
          </cell>
        </row>
        <row r="4630">
          <cell r="B4630" t="str">
            <v>B272-400-AS-210-SK-004</v>
          </cell>
          <cell r="E4630" t="str">
            <v>P-1048(52/119)</v>
          </cell>
        </row>
        <row r="4631">
          <cell r="B4631" t="str">
            <v>B272-400-AS-210-SK-004</v>
          </cell>
          <cell r="E4631" t="str">
            <v>P-1048(53/119)</v>
          </cell>
        </row>
        <row r="4632">
          <cell r="B4632" t="str">
            <v>B272-400-AS-210-SK-004</v>
          </cell>
          <cell r="E4632" t="str">
            <v>P-1048(54/119)</v>
          </cell>
        </row>
        <row r="4633">
          <cell r="B4633" t="str">
            <v>B272-400-AS-210-SK-004</v>
          </cell>
          <cell r="E4633" t="str">
            <v>P-1048(55/119)</v>
          </cell>
        </row>
        <row r="4634">
          <cell r="B4634" t="str">
            <v>B272-400-AS-210-SK-004</v>
          </cell>
          <cell r="E4634" t="str">
            <v>P-1048(56/119)</v>
          </cell>
        </row>
        <row r="4635">
          <cell r="B4635" t="str">
            <v>B272-400-AS-210-SK-004</v>
          </cell>
          <cell r="E4635" t="str">
            <v>P-1048(57/119)</v>
          </cell>
        </row>
        <row r="4636">
          <cell r="B4636" t="str">
            <v>B272-400-AS-210-SK-004</v>
          </cell>
          <cell r="E4636" t="str">
            <v>P-1048(58/119)</v>
          </cell>
        </row>
        <row r="4637">
          <cell r="B4637" t="str">
            <v>B272-400-AS-210-SK-004</v>
          </cell>
          <cell r="E4637" t="str">
            <v>P-1048(59/119)</v>
          </cell>
        </row>
        <row r="4638">
          <cell r="B4638" t="str">
            <v>B272-400-AS-210-SK-004</v>
          </cell>
          <cell r="E4638" t="str">
            <v>P-1048(60/119)</v>
          </cell>
        </row>
        <row r="4639">
          <cell r="B4639" t="str">
            <v>B272-400-AS-210-SK-004</v>
          </cell>
          <cell r="E4639" t="str">
            <v>P-1048(61/119)</v>
          </cell>
        </row>
        <row r="4640">
          <cell r="B4640" t="str">
            <v>B272-400-AS-210-SK-004</v>
          </cell>
          <cell r="E4640" t="str">
            <v>P-1048(62/119)</v>
          </cell>
        </row>
        <row r="4641">
          <cell r="B4641" t="str">
            <v>B272-400-AS-210-SK-004</v>
          </cell>
          <cell r="E4641" t="str">
            <v>P-1048(63/119)</v>
          </cell>
        </row>
        <row r="4642">
          <cell r="B4642" t="str">
            <v>B272-400-AS-210-SK-004</v>
          </cell>
          <cell r="E4642" t="str">
            <v>P-1048(64/119)</v>
          </cell>
        </row>
        <row r="4643">
          <cell r="B4643" t="str">
            <v>B272-400-AS-210-SK-004</v>
          </cell>
          <cell r="E4643" t="str">
            <v>P-1048(65/119)</v>
          </cell>
        </row>
        <row r="4644">
          <cell r="B4644" t="str">
            <v>B272-400-AS-210-SK-004</v>
          </cell>
          <cell r="E4644" t="str">
            <v>P-1048(66/119)</v>
          </cell>
        </row>
        <row r="4645">
          <cell r="B4645" t="str">
            <v>B272-400-AS-210-SK-004</v>
          </cell>
          <cell r="E4645" t="str">
            <v>P-1048(67/119)</v>
          </cell>
        </row>
        <row r="4646">
          <cell r="B4646" t="str">
            <v>B272-400-AS-210-SK-004</v>
          </cell>
          <cell r="E4646" t="str">
            <v>P-1048(68/119)</v>
          </cell>
        </row>
        <row r="4647">
          <cell r="B4647" t="str">
            <v>B272-400-AS-210-SK-004</v>
          </cell>
          <cell r="E4647" t="str">
            <v>P-1048(69/119)</v>
          </cell>
        </row>
        <row r="4648">
          <cell r="B4648" t="str">
            <v>B272-400-AS-210-SK-004</v>
          </cell>
          <cell r="E4648" t="str">
            <v>P-1048(70/119)</v>
          </cell>
        </row>
        <row r="4649">
          <cell r="B4649" t="str">
            <v>B272-400-AS-210-SK-004</v>
          </cell>
          <cell r="E4649" t="str">
            <v>P-1048(71/119)</v>
          </cell>
        </row>
        <row r="4650">
          <cell r="B4650" t="str">
            <v>B272-400-AS-210-SK-004</v>
          </cell>
          <cell r="E4650" t="str">
            <v>P-1048(72/119)</v>
          </cell>
        </row>
        <row r="4651">
          <cell r="B4651" t="str">
            <v>B272-400-AS-210-SK-004</v>
          </cell>
          <cell r="E4651" t="str">
            <v>P-1048(73/119)</v>
          </cell>
        </row>
        <row r="4652">
          <cell r="B4652" t="str">
            <v>B272-400-AS-210-SK-004</v>
          </cell>
          <cell r="E4652" t="str">
            <v>P-1048(74/119)</v>
          </cell>
        </row>
        <row r="4653">
          <cell r="B4653" t="str">
            <v>B272-400-AS-210-SK-004</v>
          </cell>
          <cell r="E4653" t="str">
            <v>P-1048(75/119)</v>
          </cell>
        </row>
        <row r="4654">
          <cell r="B4654" t="str">
            <v>B272-400-AS-210-SK-004</v>
          </cell>
          <cell r="E4654" t="str">
            <v>P-1048(76/119)</v>
          </cell>
        </row>
        <row r="4655">
          <cell r="B4655" t="str">
            <v>B272-400-AS-210-SK-004</v>
          </cell>
          <cell r="E4655" t="str">
            <v>P-1048(77/119)</v>
          </cell>
        </row>
        <row r="4656">
          <cell r="B4656" t="str">
            <v>B272-400-AS-210-SK-004</v>
          </cell>
          <cell r="E4656" t="str">
            <v>P-1048(78/119)</v>
          </cell>
        </row>
        <row r="4657">
          <cell r="B4657" t="str">
            <v>B272-400-AS-210-SK-004</v>
          </cell>
          <cell r="E4657" t="str">
            <v>P-1048(79/119)</v>
          </cell>
        </row>
        <row r="4658">
          <cell r="B4658" t="str">
            <v>B272-400-AS-210-SK-004</v>
          </cell>
          <cell r="E4658" t="str">
            <v>P-1048(80/119)</v>
          </cell>
        </row>
        <row r="4659">
          <cell r="B4659" t="str">
            <v>B272-400-AS-210-SK-004</v>
          </cell>
          <cell r="E4659" t="str">
            <v>P-1048(81/119)</v>
          </cell>
        </row>
        <row r="4660">
          <cell r="B4660" t="str">
            <v>B272-400-AS-210-SK-004</v>
          </cell>
          <cell r="E4660" t="str">
            <v>P-1048(82/119)</v>
          </cell>
        </row>
        <row r="4661">
          <cell r="B4661" t="str">
            <v>B272-400-AS-210-SK-004</v>
          </cell>
          <cell r="E4661" t="str">
            <v>P-1048(83/119)</v>
          </cell>
        </row>
        <row r="4662">
          <cell r="B4662" t="str">
            <v>B272-400-AS-210-SK-004</v>
          </cell>
          <cell r="E4662" t="str">
            <v>P-1048(84/119)</v>
          </cell>
        </row>
        <row r="4663">
          <cell r="B4663" t="str">
            <v>B272-400-AS-210-SK-004</v>
          </cell>
          <cell r="E4663" t="str">
            <v>P-1048(85/119)</v>
          </cell>
        </row>
        <row r="4664">
          <cell r="B4664" t="str">
            <v>B272-400-AS-210-SK-004</v>
          </cell>
          <cell r="E4664" t="str">
            <v>P-1048(86/119)</v>
          </cell>
        </row>
        <row r="4665">
          <cell r="B4665" t="str">
            <v>B272-400-AS-210-SK-004</v>
          </cell>
          <cell r="E4665" t="str">
            <v>P-1048(87/119)</v>
          </cell>
        </row>
        <row r="4666">
          <cell r="B4666" t="str">
            <v>B272-400-AS-210-SK-004</v>
          </cell>
          <cell r="E4666" t="str">
            <v>P-1048(88/119)</v>
          </cell>
        </row>
        <row r="4667">
          <cell r="B4667" t="str">
            <v>B272-400-AS-210-SK-004</v>
          </cell>
          <cell r="E4667" t="str">
            <v>P-1048(89/119)</v>
          </cell>
        </row>
        <row r="4668">
          <cell r="B4668" t="str">
            <v>B272-400-AS-210-SK-004</v>
          </cell>
          <cell r="E4668" t="str">
            <v>P-1048(90/119)</v>
          </cell>
        </row>
        <row r="4669">
          <cell r="B4669" t="str">
            <v>B272-400-AS-210-SK-004</v>
          </cell>
          <cell r="E4669" t="str">
            <v>P-1048(91/119)</v>
          </cell>
        </row>
        <row r="4670">
          <cell r="B4670" t="str">
            <v>B272-400-AS-210-SK-004</v>
          </cell>
          <cell r="E4670" t="str">
            <v>P-1048(92/119)</v>
          </cell>
        </row>
        <row r="4671">
          <cell r="B4671" t="str">
            <v>B272-400-AS-210-SK-004</v>
          </cell>
          <cell r="E4671" t="str">
            <v>P-1048(93/119)</v>
          </cell>
        </row>
        <row r="4672">
          <cell r="B4672" t="str">
            <v>B272-400-AS-210-SK-004</v>
          </cell>
          <cell r="E4672" t="str">
            <v>P-1048(94/119)</v>
          </cell>
        </row>
        <row r="4673">
          <cell r="B4673" t="str">
            <v>B272-400-AS-210-SK-004</v>
          </cell>
          <cell r="E4673" t="str">
            <v>P-1048(95/119)</v>
          </cell>
        </row>
        <row r="4674">
          <cell r="B4674" t="str">
            <v>B272-400-AS-210-SK-004</v>
          </cell>
          <cell r="E4674" t="str">
            <v>P-1048(96/119)</v>
          </cell>
        </row>
        <row r="4675">
          <cell r="B4675" t="str">
            <v>B272-400-AS-210-SK-004</v>
          </cell>
          <cell r="E4675" t="str">
            <v>P-1048(97/119)</v>
          </cell>
        </row>
        <row r="4676">
          <cell r="B4676" t="str">
            <v>B272-400-AS-210-SK-004</v>
          </cell>
          <cell r="E4676" t="str">
            <v>P-1048(98/119)</v>
          </cell>
        </row>
        <row r="4677">
          <cell r="B4677" t="str">
            <v>B272-400-AS-210-SK-004</v>
          </cell>
          <cell r="E4677" t="str">
            <v>P-1048(99/119)</v>
          </cell>
        </row>
        <row r="4678">
          <cell r="B4678" t="str">
            <v>B272-400-AS-210-SK-004</v>
          </cell>
          <cell r="E4678" t="str">
            <v>P-1048(100/119)</v>
          </cell>
        </row>
        <row r="4679">
          <cell r="B4679" t="str">
            <v>B272-400-AS-210-SK-004</v>
          </cell>
          <cell r="E4679" t="str">
            <v>P-1048(101/119)</v>
          </cell>
        </row>
        <row r="4680">
          <cell r="B4680" t="str">
            <v>B272-400-AS-210-SK-004</v>
          </cell>
          <cell r="E4680" t="str">
            <v>P-1048(102/119)</v>
          </cell>
        </row>
        <row r="4681">
          <cell r="B4681" t="str">
            <v>B272-400-AS-210-SK-004</v>
          </cell>
          <cell r="E4681" t="str">
            <v>P-1048(103/119)</v>
          </cell>
        </row>
        <row r="4682">
          <cell r="B4682" t="str">
            <v>B272-400-AS-210-SK-004</v>
          </cell>
          <cell r="E4682" t="str">
            <v>P-1048(104/119)</v>
          </cell>
        </row>
        <row r="4683">
          <cell r="B4683" t="str">
            <v>B272-400-AS-210-SK-004</v>
          </cell>
          <cell r="E4683" t="str">
            <v>P-1048(105/119)</v>
          </cell>
        </row>
        <row r="4684">
          <cell r="B4684" t="str">
            <v>B272-400-AS-210-SK-004</v>
          </cell>
          <cell r="E4684" t="str">
            <v>P-1048(106/119)</v>
          </cell>
        </row>
        <row r="4685">
          <cell r="B4685" t="str">
            <v>B272-400-AS-210-SK-004</v>
          </cell>
          <cell r="E4685" t="str">
            <v>P-1048(107/119)</v>
          </cell>
        </row>
        <row r="4686">
          <cell r="B4686" t="str">
            <v>B272-400-AS-210-SK-004</v>
          </cell>
          <cell r="E4686" t="str">
            <v>P-1048(108/119)</v>
          </cell>
        </row>
        <row r="4687">
          <cell r="B4687" t="str">
            <v>B272-400-AS-210-SK-004</v>
          </cell>
          <cell r="E4687" t="str">
            <v>P-1048(109/119)</v>
          </cell>
        </row>
        <row r="4688">
          <cell r="B4688" t="str">
            <v>B272-400-AS-210-SK-004</v>
          </cell>
          <cell r="E4688" t="str">
            <v>P-1048(110/119)</v>
          </cell>
        </row>
        <row r="4689">
          <cell r="B4689" t="str">
            <v>B272-400-AS-210-SK-004</v>
          </cell>
          <cell r="E4689" t="str">
            <v>P-1048(111/119)</v>
          </cell>
        </row>
        <row r="4690">
          <cell r="B4690" t="str">
            <v>B272-400-AS-210-SK-004</v>
          </cell>
          <cell r="E4690" t="str">
            <v>P-1048(112/119)</v>
          </cell>
        </row>
        <row r="4691">
          <cell r="B4691" t="str">
            <v>B272-400-AS-210-SK-004</v>
          </cell>
          <cell r="E4691" t="str">
            <v>P-1048(113/119)</v>
          </cell>
        </row>
        <row r="4692">
          <cell r="B4692" t="str">
            <v>B272-400-AS-210-SK-004</v>
          </cell>
          <cell r="E4692" t="str">
            <v>P-1048(114/119)</v>
          </cell>
        </row>
        <row r="4693">
          <cell r="B4693" t="str">
            <v>B272-400-AS-210-SK-004</v>
          </cell>
          <cell r="E4693" t="str">
            <v>P-1048(115/119)</v>
          </cell>
        </row>
        <row r="4694">
          <cell r="B4694" t="str">
            <v>B272-400-AS-210-SK-004</v>
          </cell>
          <cell r="E4694" t="str">
            <v>P-1048(116/119)</v>
          </cell>
        </row>
        <row r="4695">
          <cell r="B4695" t="str">
            <v>B272-400-AS-210-SK-004</v>
          </cell>
          <cell r="E4695" t="str">
            <v>P-1048(117/119)</v>
          </cell>
        </row>
        <row r="4696">
          <cell r="B4696" t="str">
            <v>B272-400-AS-210-SK-004</v>
          </cell>
          <cell r="E4696" t="str">
            <v>P-1048(118/119)</v>
          </cell>
        </row>
        <row r="4697">
          <cell r="B4697" t="str">
            <v>B272-400-AS-210-SK-004</v>
          </cell>
          <cell r="E4697" t="str">
            <v>P-1048(119/119)</v>
          </cell>
        </row>
        <row r="4698">
          <cell r="B4698" t="str">
            <v>B272-400-AS-210-SK-004</v>
          </cell>
          <cell r="E4698" t="str">
            <v>P-1049</v>
          </cell>
        </row>
        <row r="4699">
          <cell r="B4699" t="str">
            <v>B272-400-AS-210-SK-004</v>
          </cell>
          <cell r="E4699" t="str">
            <v>P-1118(1/4)</v>
          </cell>
        </row>
        <row r="4700">
          <cell r="B4700" t="str">
            <v>B272-400-AS-210-SK-004</v>
          </cell>
          <cell r="E4700" t="str">
            <v>P-1118(2/4)</v>
          </cell>
        </row>
        <row r="4701">
          <cell r="B4701" t="str">
            <v>B272-400-AS-210-SK-004</v>
          </cell>
          <cell r="E4701" t="str">
            <v>P-1118(3/4)</v>
          </cell>
        </row>
        <row r="4702">
          <cell r="B4702" t="str">
            <v>B272-400-AS-210-SK-004</v>
          </cell>
          <cell r="E4702" t="str">
            <v>P-1118(4/4)</v>
          </cell>
        </row>
        <row r="4703">
          <cell r="B4703" t="str">
            <v>B272-400-AS-210-SK-004</v>
          </cell>
          <cell r="E4703" t="str">
            <v>P-1145</v>
          </cell>
        </row>
        <row r="4704">
          <cell r="B4704" t="str">
            <v>B272-400-AS-210-SK-004</v>
          </cell>
          <cell r="E4704" t="str">
            <v>P-1145-A</v>
          </cell>
        </row>
        <row r="4705">
          <cell r="B4705" t="str">
            <v>B272-400-AS-210-SK-004</v>
          </cell>
          <cell r="E4705" t="str">
            <v>P-1145-B</v>
          </cell>
        </row>
        <row r="4706">
          <cell r="B4706" t="str">
            <v>B272-400-AS-210-SK-004</v>
          </cell>
          <cell r="E4706" t="str">
            <v>P-1146</v>
          </cell>
        </row>
        <row r="4707">
          <cell r="B4707" t="str">
            <v>B272-400-AS-210-SK-004</v>
          </cell>
          <cell r="E4707" t="str">
            <v>P-1146-A</v>
          </cell>
        </row>
        <row r="4708">
          <cell r="B4708" t="str">
            <v>B272-400-AS-210-SK-004</v>
          </cell>
          <cell r="E4708" t="str">
            <v>P-1146-B</v>
          </cell>
        </row>
        <row r="4709">
          <cell r="B4709" t="str">
            <v>B272-400-AS-210-SK-004</v>
          </cell>
          <cell r="E4709" t="str">
            <v>P-1147(1/4)</v>
          </cell>
        </row>
        <row r="4710">
          <cell r="B4710" t="str">
            <v>B272-400-AS-210-SK-004</v>
          </cell>
          <cell r="E4710" t="str">
            <v>P-1147(2/4)</v>
          </cell>
        </row>
        <row r="4711">
          <cell r="B4711" t="str">
            <v>B272-400-AS-210-SK-004</v>
          </cell>
          <cell r="E4711" t="str">
            <v>P-1147(3/4)</v>
          </cell>
        </row>
        <row r="4712">
          <cell r="B4712" t="str">
            <v>B272-400-AS-210-SK-004</v>
          </cell>
          <cell r="E4712" t="str">
            <v>P-1147(4/4)</v>
          </cell>
        </row>
        <row r="4713">
          <cell r="B4713" t="str">
            <v>B272-400-AS-210-SK-004</v>
          </cell>
          <cell r="E4713" t="str">
            <v>P-1148(1/2)</v>
          </cell>
        </row>
        <row r="4714">
          <cell r="B4714" t="str">
            <v>B272-400-AS-210-SK-004</v>
          </cell>
          <cell r="E4714" t="str">
            <v>P-1148(2/2)</v>
          </cell>
        </row>
        <row r="4715">
          <cell r="B4715" t="str">
            <v>B272-400-AS-210-SK-004</v>
          </cell>
          <cell r="E4715" t="str">
            <v>P-1149(1/2)</v>
          </cell>
        </row>
        <row r="4716">
          <cell r="B4716" t="str">
            <v>B272-400-AS-210-SK-004</v>
          </cell>
          <cell r="E4716" t="str">
            <v>P-1149(2/2)</v>
          </cell>
        </row>
        <row r="4717">
          <cell r="B4717" t="str">
            <v>B272-400-AS-210-SK-004</v>
          </cell>
          <cell r="E4717" t="str">
            <v>P-1171</v>
          </cell>
        </row>
        <row r="4718">
          <cell r="B4718" t="str">
            <v>B272-400-AS-210-SK-004</v>
          </cell>
          <cell r="E4718" t="str">
            <v>P-1174(1/2)</v>
          </cell>
        </row>
        <row r="4719">
          <cell r="B4719" t="str">
            <v>B272-400-AS-210-SK-004</v>
          </cell>
          <cell r="E4719" t="str">
            <v>P-1174(2/2)</v>
          </cell>
        </row>
        <row r="4720">
          <cell r="B4720" t="str">
            <v>B272-400-AS-210-SK-004</v>
          </cell>
          <cell r="E4720" t="str">
            <v>PFY-3</v>
          </cell>
        </row>
        <row r="4721">
          <cell r="B4721" t="str">
            <v>B272-400-AS-210-SK-004</v>
          </cell>
          <cell r="E4721" t="str">
            <v>PFY-3-A</v>
          </cell>
        </row>
        <row r="4722">
          <cell r="B4722" t="str">
            <v>B272-400-AS-210-SK-004</v>
          </cell>
          <cell r="E4722" t="str">
            <v>PFY-3-B</v>
          </cell>
        </row>
        <row r="4723">
          <cell r="B4723" t="str">
            <v>B272-400-AS-210-SK-004</v>
          </cell>
          <cell r="E4723" t="str">
            <v>PFY-3-C</v>
          </cell>
        </row>
        <row r="4724">
          <cell r="B4724" t="str">
            <v>B272-400-AS-210-SK-004</v>
          </cell>
          <cell r="E4724" t="str">
            <v>PFY-3-D</v>
          </cell>
        </row>
        <row r="4725">
          <cell r="B4725" t="str">
            <v>B272-400-AS-210-SK-004</v>
          </cell>
          <cell r="E4725" t="str">
            <v>PFY-8</v>
          </cell>
        </row>
        <row r="4726">
          <cell r="B4726" t="str">
            <v>B272-400-AS-210-SK-004</v>
          </cell>
          <cell r="E4726" t="str">
            <v>PFY-9</v>
          </cell>
        </row>
        <row r="4727">
          <cell r="B4727" t="str">
            <v>B272-400-AS-210-SK-004</v>
          </cell>
          <cell r="E4727" t="str">
            <v>PFY-9-A</v>
          </cell>
        </row>
        <row r="4728">
          <cell r="B4728" t="str">
            <v>B272-400-AS-210-SK-004</v>
          </cell>
          <cell r="E4728" t="str">
            <v>PFY-9-B</v>
          </cell>
        </row>
        <row r="4729">
          <cell r="B4729" t="str">
            <v>B272-400-AS-210-SK-004</v>
          </cell>
          <cell r="E4729" t="str">
            <v>PFY-9-C</v>
          </cell>
        </row>
        <row r="4730">
          <cell r="B4730" t="str">
            <v>B272-400-AS-210-SK-004</v>
          </cell>
          <cell r="E4730" t="str">
            <v>PX-37</v>
          </cell>
        </row>
        <row r="4731">
          <cell r="B4731" t="str">
            <v>B272-400-AS-210-SK-004</v>
          </cell>
          <cell r="E4731" t="str">
            <v>PX-38</v>
          </cell>
        </row>
        <row r="4732">
          <cell r="B4732" t="str">
            <v>B272-400-AS-210-SK-004</v>
          </cell>
          <cell r="E4732" t="str">
            <v>PX-40(1/4)</v>
          </cell>
        </row>
        <row r="4733">
          <cell r="B4733" t="str">
            <v>B272-400-AS-210-SK-004</v>
          </cell>
          <cell r="E4733" t="str">
            <v>PX-40(2/4)</v>
          </cell>
        </row>
        <row r="4734">
          <cell r="B4734" t="str">
            <v>B272-400-AS-210-SK-004</v>
          </cell>
          <cell r="E4734" t="str">
            <v>PX-40(3/4)</v>
          </cell>
        </row>
        <row r="4735">
          <cell r="B4735" t="str">
            <v>B272-400-AS-210-SK-004</v>
          </cell>
          <cell r="E4735" t="str">
            <v>PX-40(4/4)</v>
          </cell>
        </row>
        <row r="4736">
          <cell r="B4736" t="str">
            <v>B272-400-AS-210-SK-004</v>
          </cell>
          <cell r="E4736" t="str">
            <v>PX-99(1/6)</v>
          </cell>
        </row>
        <row r="4737">
          <cell r="B4737" t="str">
            <v>B272-400-AS-210-SK-004</v>
          </cell>
          <cell r="E4737" t="str">
            <v>PX-99(2/6)</v>
          </cell>
        </row>
        <row r="4738">
          <cell r="B4738" t="str">
            <v>B272-400-AS-210-SK-004</v>
          </cell>
          <cell r="E4738" t="str">
            <v>PX-99(3/6)</v>
          </cell>
        </row>
        <row r="4739">
          <cell r="B4739" t="str">
            <v>B272-400-AS-210-SK-004</v>
          </cell>
          <cell r="E4739" t="str">
            <v>PX-99(4/6)</v>
          </cell>
        </row>
        <row r="4740">
          <cell r="B4740" t="str">
            <v>B272-400-AS-210-SK-004</v>
          </cell>
          <cell r="E4740" t="str">
            <v>PX-99(5/6)</v>
          </cell>
        </row>
        <row r="4741">
          <cell r="B4741" t="str">
            <v>B272-400-AS-210-SK-004</v>
          </cell>
          <cell r="E4741" t="str">
            <v>PX-99(6/6)</v>
          </cell>
        </row>
        <row r="4742">
          <cell r="B4742" t="str">
            <v>B272-400-AS-210-SK-004</v>
          </cell>
          <cell r="E4742" t="str">
            <v>PX-100(1/3)</v>
          </cell>
        </row>
        <row r="4743">
          <cell r="B4743" t="str">
            <v>B272-400-AS-210-SK-004</v>
          </cell>
          <cell r="E4743" t="str">
            <v>PX-100(2/3)</v>
          </cell>
        </row>
        <row r="4744">
          <cell r="B4744" t="str">
            <v>B272-400-AS-210-SK-004</v>
          </cell>
          <cell r="E4744" t="str">
            <v>PX-100(3/3)</v>
          </cell>
        </row>
        <row r="4745">
          <cell r="B4745" t="str">
            <v>B272-400-AS-210-SK-004</v>
          </cell>
          <cell r="E4745" t="str">
            <v>PX-101(1/6)</v>
          </cell>
        </row>
        <row r="4746">
          <cell r="B4746" t="str">
            <v>B272-400-AS-210-SK-004</v>
          </cell>
          <cell r="E4746" t="str">
            <v>PX-101(2/6)</v>
          </cell>
        </row>
        <row r="4747">
          <cell r="B4747" t="str">
            <v>B272-400-AS-210-SK-004</v>
          </cell>
          <cell r="E4747" t="str">
            <v>PX-101(3/6)</v>
          </cell>
        </row>
        <row r="4748">
          <cell r="B4748" t="str">
            <v>B272-400-AS-210-SK-004</v>
          </cell>
          <cell r="E4748" t="str">
            <v>PX-101(4/6)</v>
          </cell>
        </row>
        <row r="4749">
          <cell r="B4749" t="str">
            <v>B272-400-AS-210-SK-004</v>
          </cell>
          <cell r="E4749" t="str">
            <v>PX-101(5/6)</v>
          </cell>
        </row>
        <row r="4750">
          <cell r="B4750" t="str">
            <v>B272-400-AS-210-SK-004</v>
          </cell>
          <cell r="E4750" t="str">
            <v>PX-101(6/6)</v>
          </cell>
        </row>
        <row r="4751">
          <cell r="B4751" t="str">
            <v>B272-400-AS-210-SK-004</v>
          </cell>
          <cell r="E4751" t="str">
            <v>PX-102(1/3)</v>
          </cell>
        </row>
        <row r="4752">
          <cell r="B4752" t="str">
            <v>B272-400-AS-210-SK-004</v>
          </cell>
          <cell r="E4752" t="str">
            <v>PX-102(2/3)</v>
          </cell>
        </row>
        <row r="4753">
          <cell r="B4753" t="str">
            <v>B272-400-AS-210-SK-004</v>
          </cell>
          <cell r="E4753" t="str">
            <v>PX-102(3/3)</v>
          </cell>
        </row>
        <row r="4754">
          <cell r="B4754" t="str">
            <v>B272-400-AS-210-SK-004</v>
          </cell>
          <cell r="E4754" t="str">
            <v>PX-103(1/9)</v>
          </cell>
        </row>
        <row r="4755">
          <cell r="B4755" t="str">
            <v>B272-400-AS-210-SK-004</v>
          </cell>
          <cell r="E4755" t="str">
            <v>PX-103(2/9)</v>
          </cell>
        </row>
        <row r="4756">
          <cell r="B4756" t="str">
            <v>B272-400-AS-210-SK-004</v>
          </cell>
          <cell r="E4756" t="str">
            <v>PX-103(3/9)</v>
          </cell>
        </row>
        <row r="4757">
          <cell r="B4757" t="str">
            <v>B272-400-AS-210-SK-004</v>
          </cell>
          <cell r="E4757" t="str">
            <v>PX-103(4/9)</v>
          </cell>
        </row>
        <row r="4758">
          <cell r="B4758" t="str">
            <v>B272-400-AS-210-SK-004</v>
          </cell>
          <cell r="E4758" t="str">
            <v>PX-103(5/9)</v>
          </cell>
        </row>
        <row r="4759">
          <cell r="B4759" t="str">
            <v>B272-400-AS-210-SK-004</v>
          </cell>
          <cell r="E4759" t="str">
            <v>PX-103(6/9)</v>
          </cell>
        </row>
        <row r="4760">
          <cell r="B4760" t="str">
            <v>B272-400-AS-210-SK-004</v>
          </cell>
          <cell r="E4760" t="str">
            <v>PX-103(7/9)</v>
          </cell>
        </row>
        <row r="4761">
          <cell r="B4761" t="str">
            <v>B272-400-AS-210-SK-004</v>
          </cell>
          <cell r="E4761" t="str">
            <v>PX-103(8/9)</v>
          </cell>
        </row>
        <row r="4762">
          <cell r="B4762" t="str">
            <v>B272-400-AS-210-SK-004</v>
          </cell>
          <cell r="E4762" t="str">
            <v>PX-103(9/9)</v>
          </cell>
        </row>
        <row r="4763">
          <cell r="B4763" t="str">
            <v>B272-400-AS-210-SK-004</v>
          </cell>
          <cell r="E4763" t="str">
            <v>PX-130</v>
          </cell>
        </row>
        <row r="4764">
          <cell r="B4764" t="str">
            <v>B272-400-AS-210-SK-004</v>
          </cell>
          <cell r="E4764" t="str">
            <v>P-2011(1/2)</v>
          </cell>
        </row>
        <row r="4765">
          <cell r="B4765" t="str">
            <v>B272-400-AS-210-SK-004</v>
          </cell>
          <cell r="E4765" t="str">
            <v>P-2011(2/2)</v>
          </cell>
        </row>
        <row r="4766">
          <cell r="B4766" t="str">
            <v>B272-400-AS-210-SK-004</v>
          </cell>
          <cell r="E4766" t="str">
            <v>A-1001</v>
          </cell>
        </row>
        <row r="4767">
          <cell r="B4767" t="str">
            <v>B272-400-AS-210-SK-004</v>
          </cell>
          <cell r="E4767" t="str">
            <v>A-1005</v>
          </cell>
        </row>
        <row r="4768">
          <cell r="B4768" t="str">
            <v>B272-400-AS-210-SK-004</v>
          </cell>
          <cell r="E4768" t="str">
            <v>P-2024</v>
          </cell>
        </row>
        <row r="4769">
          <cell r="B4769" t="str">
            <v>B272-400-AS-210-SK-004</v>
          </cell>
          <cell r="E4769" t="str">
            <v>P-2027</v>
          </cell>
        </row>
        <row r="4770">
          <cell r="B4770" t="str">
            <v>B272-400-AS-210-SK-004</v>
          </cell>
          <cell r="E4770" t="str">
            <v>P-2028</v>
          </cell>
        </row>
        <row r="4771">
          <cell r="B4771" t="str">
            <v>B272-400-AS-210-SK-004</v>
          </cell>
          <cell r="E4771" t="str">
            <v>P-2056</v>
          </cell>
        </row>
        <row r="4772">
          <cell r="B4772" t="str">
            <v>B272-400-AS-210-SK-004</v>
          </cell>
          <cell r="E4772" t="str">
            <v>P-2058</v>
          </cell>
        </row>
        <row r="4773">
          <cell r="B4773" t="str">
            <v>B272-400-AS-210-SK-004</v>
          </cell>
          <cell r="E4773" t="str">
            <v>PX-2001</v>
          </cell>
        </row>
        <row r="4774">
          <cell r="B4774" t="str">
            <v>B272-400-AS-210-SK-004</v>
          </cell>
          <cell r="E4774" t="str">
            <v>PX-2004</v>
          </cell>
        </row>
        <row r="4775">
          <cell r="B4775" t="str">
            <v>B272-400-AS-210-SK-004</v>
          </cell>
          <cell r="E4775" t="str">
            <v>B20120</v>
          </cell>
        </row>
        <row r="4776">
          <cell r="B4776" t="str">
            <v>B272-400-AS-210-SK-005</v>
          </cell>
        </row>
        <row r="4777">
          <cell r="B4777" t="str">
            <v>B272-400-AS-210-SK-005</v>
          </cell>
          <cell r="E4777" t="str">
            <v>AF-6(1/9)</v>
          </cell>
        </row>
        <row r="4778">
          <cell r="B4778" t="str">
            <v>B272-400-AS-210-SK-005</v>
          </cell>
          <cell r="E4778" t="str">
            <v>AF-6(2/9)</v>
          </cell>
        </row>
        <row r="4779">
          <cell r="B4779" t="str">
            <v>B272-400-AS-210-SK-005</v>
          </cell>
          <cell r="E4779" t="str">
            <v>AF-6(3/9)</v>
          </cell>
        </row>
        <row r="4780">
          <cell r="B4780" t="str">
            <v>B272-400-AS-210-SK-005</v>
          </cell>
          <cell r="E4780" t="str">
            <v>AF-6(4/9)</v>
          </cell>
        </row>
        <row r="4781">
          <cell r="B4781" t="str">
            <v>B272-400-AS-210-SK-005</v>
          </cell>
          <cell r="E4781" t="str">
            <v>AF-6(5/9)</v>
          </cell>
        </row>
        <row r="4782">
          <cell r="B4782" t="str">
            <v>B272-400-AS-210-SK-005</v>
          </cell>
          <cell r="E4782" t="str">
            <v>AF-6(6/9)</v>
          </cell>
        </row>
        <row r="4783">
          <cell r="B4783" t="str">
            <v>B272-400-AS-210-SK-005</v>
          </cell>
          <cell r="E4783" t="str">
            <v>AF-6(7/9)</v>
          </cell>
        </row>
        <row r="4784">
          <cell r="B4784" t="str">
            <v>B272-400-AS-210-SK-005</v>
          </cell>
          <cell r="E4784" t="str">
            <v>AF-6(8/9)</v>
          </cell>
        </row>
        <row r="4785">
          <cell r="B4785" t="str">
            <v>B272-400-AS-210-SK-005</v>
          </cell>
          <cell r="E4785" t="str">
            <v>AF-6(9/9)</v>
          </cell>
        </row>
        <row r="4786">
          <cell r="B4786" t="str">
            <v>B272-400-AS-210-SK-005</v>
          </cell>
          <cell r="E4786" t="str">
            <v>AY-33</v>
          </cell>
        </row>
        <row r="4787">
          <cell r="B4787" t="str">
            <v>B272-400-AS-210-SK-005</v>
          </cell>
          <cell r="E4787" t="str">
            <v>AY-34</v>
          </cell>
        </row>
        <row r="4788">
          <cell r="B4788" t="str">
            <v>B272-400-AS-210-SK-005</v>
          </cell>
          <cell r="E4788" t="str">
            <v>AY-66</v>
          </cell>
        </row>
        <row r="4789">
          <cell r="B4789" t="str">
            <v>B272-400-AS-210-SK-005</v>
          </cell>
          <cell r="E4789" t="str">
            <v>AY-67</v>
          </cell>
        </row>
        <row r="4790">
          <cell r="B4790" t="str">
            <v>B272-400-AS-210-SK-005</v>
          </cell>
          <cell r="E4790" t="str">
            <v>DY-3(1/2)</v>
          </cell>
        </row>
        <row r="4791">
          <cell r="B4791" t="str">
            <v>B272-400-AS-210-SK-005</v>
          </cell>
          <cell r="E4791" t="str">
            <v>DY-3(2/2)</v>
          </cell>
        </row>
        <row r="4792">
          <cell r="B4792" t="str">
            <v>B272-400-AS-210-SK-005</v>
          </cell>
          <cell r="E4792" t="str">
            <v>G-55(1/11)</v>
          </cell>
        </row>
        <row r="4793">
          <cell r="B4793" t="str">
            <v>B272-400-AS-210-SK-005</v>
          </cell>
          <cell r="E4793" t="str">
            <v>G-55(2/11)</v>
          </cell>
        </row>
        <row r="4794">
          <cell r="B4794" t="str">
            <v>B272-400-AS-210-SK-005</v>
          </cell>
          <cell r="E4794" t="str">
            <v>G-55(3/11)</v>
          </cell>
        </row>
        <row r="4795">
          <cell r="B4795" t="str">
            <v>B272-400-AS-210-SK-005</v>
          </cell>
          <cell r="E4795" t="str">
            <v>G-55(4/11)</v>
          </cell>
        </row>
        <row r="4796">
          <cell r="B4796" t="str">
            <v>B272-400-AS-210-SK-005</v>
          </cell>
          <cell r="E4796" t="str">
            <v>G-55(5/11)</v>
          </cell>
        </row>
        <row r="4797">
          <cell r="B4797" t="str">
            <v>B272-400-AS-210-SK-005</v>
          </cell>
          <cell r="E4797" t="str">
            <v>G-55(6/11)</v>
          </cell>
        </row>
        <row r="4798">
          <cell r="B4798" t="str">
            <v>B272-400-AS-210-SK-005</v>
          </cell>
          <cell r="E4798" t="str">
            <v>G-55(7/11)</v>
          </cell>
        </row>
        <row r="4799">
          <cell r="B4799" t="str">
            <v>B272-400-AS-210-SK-005</v>
          </cell>
          <cell r="E4799" t="str">
            <v>G-55(8/11)</v>
          </cell>
        </row>
        <row r="4800">
          <cell r="B4800" t="str">
            <v>B272-400-AS-210-SK-005</v>
          </cell>
          <cell r="E4800" t="str">
            <v>G-55(9/11)</v>
          </cell>
        </row>
        <row r="4801">
          <cell r="B4801" t="str">
            <v>B272-400-AS-210-SK-005</v>
          </cell>
          <cell r="E4801" t="str">
            <v>G-55(10/11)</v>
          </cell>
        </row>
        <row r="4802">
          <cell r="B4802" t="str">
            <v>B272-400-AS-210-SK-005</v>
          </cell>
          <cell r="E4802" t="str">
            <v>G-55(11/11)</v>
          </cell>
        </row>
        <row r="4803">
          <cell r="B4803" t="str">
            <v>B272-400-AS-210-SK-005</v>
          </cell>
          <cell r="E4803" t="str">
            <v>P-161(1/2)</v>
          </cell>
        </row>
        <row r="4804">
          <cell r="B4804" t="str">
            <v>B272-400-AS-210-SK-005</v>
          </cell>
          <cell r="E4804" t="str">
            <v>P-161(2/2)</v>
          </cell>
        </row>
        <row r="4805">
          <cell r="B4805" t="str">
            <v>B272-400-AS-210-SK-005</v>
          </cell>
          <cell r="E4805" t="str">
            <v>P-334(1/2)</v>
          </cell>
        </row>
        <row r="4806">
          <cell r="B4806" t="str">
            <v>B272-400-AS-210-SK-005</v>
          </cell>
          <cell r="E4806" t="str">
            <v>P-334(2/2)</v>
          </cell>
        </row>
        <row r="4807">
          <cell r="B4807" t="str">
            <v>B272-400-AS-210-SK-005</v>
          </cell>
          <cell r="E4807" t="str">
            <v>P-587</v>
          </cell>
        </row>
        <row r="4808">
          <cell r="B4808" t="str">
            <v>B272-400-AS-210-SK-005</v>
          </cell>
          <cell r="E4808" t="str">
            <v>P-916</v>
          </cell>
        </row>
        <row r="4809">
          <cell r="B4809" t="str">
            <v>B272-400-AS-210-SK-005</v>
          </cell>
          <cell r="E4809" t="str">
            <v>P-916-A</v>
          </cell>
        </row>
        <row r="4810">
          <cell r="B4810" t="str">
            <v>B272-400-AS-210-SK-005</v>
          </cell>
          <cell r="E4810" t="str">
            <v>P-916-B</v>
          </cell>
        </row>
        <row r="4811">
          <cell r="B4811" t="str">
            <v>B272-400-AS-210-SK-005</v>
          </cell>
          <cell r="E4811" t="str">
            <v>P-961</v>
          </cell>
        </row>
        <row r="4812">
          <cell r="B4812" t="str">
            <v>B272-400-AS-210-SK-005</v>
          </cell>
          <cell r="E4812" t="str">
            <v>P-961-A</v>
          </cell>
        </row>
        <row r="4813">
          <cell r="B4813" t="str">
            <v>B272-400-AS-210-SK-005</v>
          </cell>
          <cell r="E4813" t="str">
            <v>P-961-B</v>
          </cell>
        </row>
        <row r="4814">
          <cell r="B4814" t="str">
            <v>B272-400-AS-210-SK-005</v>
          </cell>
          <cell r="E4814" t="str">
            <v>P-1042</v>
          </cell>
        </row>
        <row r="4815">
          <cell r="B4815" t="str">
            <v>B272-400-AS-210-SK-005</v>
          </cell>
          <cell r="E4815" t="str">
            <v>P-1043(1/2)</v>
          </cell>
        </row>
        <row r="4816">
          <cell r="B4816" t="str">
            <v>B272-400-AS-210-SK-005</v>
          </cell>
          <cell r="E4816" t="str">
            <v>P-1043(2/2)</v>
          </cell>
        </row>
        <row r="4817">
          <cell r="B4817" t="str">
            <v>B272-400-AS-210-SK-005</v>
          </cell>
          <cell r="E4817" t="str">
            <v>P-1044(1/2)</v>
          </cell>
        </row>
        <row r="4818">
          <cell r="B4818" t="str">
            <v>B272-400-AS-210-SK-005</v>
          </cell>
          <cell r="E4818" t="str">
            <v>P-1044(2/2)</v>
          </cell>
        </row>
        <row r="4819">
          <cell r="B4819" t="str">
            <v>B272-400-AS-210-SK-005</v>
          </cell>
          <cell r="E4819" t="str">
            <v>P-1048(1/57)</v>
          </cell>
        </row>
        <row r="4820">
          <cell r="B4820" t="str">
            <v>B272-400-AS-210-SK-005</v>
          </cell>
          <cell r="E4820" t="str">
            <v>P-1048(2/57)</v>
          </cell>
        </row>
        <row r="4821">
          <cell r="B4821" t="str">
            <v>B272-400-AS-210-SK-005</v>
          </cell>
          <cell r="E4821" t="str">
            <v>P-1048(3/57)</v>
          </cell>
        </row>
        <row r="4822">
          <cell r="B4822" t="str">
            <v>B272-400-AS-210-SK-005</v>
          </cell>
          <cell r="E4822" t="str">
            <v>P-1048(4/57)</v>
          </cell>
        </row>
        <row r="4823">
          <cell r="B4823" t="str">
            <v>B272-400-AS-210-SK-005</v>
          </cell>
          <cell r="E4823" t="str">
            <v>P-1048(5/57)</v>
          </cell>
        </row>
        <row r="4824">
          <cell r="B4824" t="str">
            <v>B272-400-AS-210-SK-005</v>
          </cell>
          <cell r="E4824" t="str">
            <v>P-1048(6/57)</v>
          </cell>
        </row>
        <row r="4825">
          <cell r="B4825" t="str">
            <v>B272-400-AS-210-SK-005</v>
          </cell>
          <cell r="E4825" t="str">
            <v>P-1048(7/57)</v>
          </cell>
        </row>
        <row r="4826">
          <cell r="B4826" t="str">
            <v>B272-400-AS-210-SK-005</v>
          </cell>
          <cell r="E4826" t="str">
            <v>P-1048(8/57)</v>
          </cell>
        </row>
        <row r="4827">
          <cell r="B4827" t="str">
            <v>B272-400-AS-210-SK-005</v>
          </cell>
          <cell r="E4827" t="str">
            <v>P-1048(9/57)</v>
          </cell>
        </row>
        <row r="4828">
          <cell r="B4828" t="str">
            <v>B272-400-AS-210-SK-005</v>
          </cell>
          <cell r="E4828" t="str">
            <v>P-1048(10/57)</v>
          </cell>
        </row>
        <row r="4829">
          <cell r="B4829" t="str">
            <v>B272-400-AS-210-SK-005</v>
          </cell>
          <cell r="E4829" t="str">
            <v>P-1048(11/57)</v>
          </cell>
        </row>
        <row r="4830">
          <cell r="B4830" t="str">
            <v>B272-400-AS-210-SK-005</v>
          </cell>
          <cell r="E4830" t="str">
            <v>P-1048(12/57)</v>
          </cell>
        </row>
        <row r="4831">
          <cell r="B4831" t="str">
            <v>B272-400-AS-210-SK-005</v>
          </cell>
          <cell r="E4831" t="str">
            <v>P-1048(13/57)</v>
          </cell>
        </row>
        <row r="4832">
          <cell r="B4832" t="str">
            <v>B272-400-AS-210-SK-005</v>
          </cell>
          <cell r="E4832" t="str">
            <v>P-1048(14/57)</v>
          </cell>
        </row>
        <row r="4833">
          <cell r="B4833" t="str">
            <v>B272-400-AS-210-SK-005</v>
          </cell>
          <cell r="E4833" t="str">
            <v>P-1048(15/57)</v>
          </cell>
        </row>
        <row r="4834">
          <cell r="B4834" t="str">
            <v>B272-400-AS-210-SK-005</v>
          </cell>
          <cell r="E4834" t="str">
            <v>P-1048(16/57)</v>
          </cell>
        </row>
        <row r="4835">
          <cell r="B4835" t="str">
            <v>B272-400-AS-210-SK-005</v>
          </cell>
          <cell r="E4835" t="str">
            <v>P-1048(17/57)</v>
          </cell>
        </row>
        <row r="4836">
          <cell r="B4836" t="str">
            <v>B272-400-AS-210-SK-005</v>
          </cell>
          <cell r="E4836" t="str">
            <v>P-1048(18/57)</v>
          </cell>
        </row>
        <row r="4837">
          <cell r="B4837" t="str">
            <v>B272-400-AS-210-SK-005</v>
          </cell>
          <cell r="E4837" t="str">
            <v>P-1048(19/57)</v>
          </cell>
        </row>
        <row r="4838">
          <cell r="B4838" t="str">
            <v>B272-400-AS-210-SK-005</v>
          </cell>
          <cell r="E4838" t="str">
            <v>P-1048(20/57)</v>
          </cell>
        </row>
        <row r="4839">
          <cell r="B4839" t="str">
            <v>B272-400-AS-210-SK-005</v>
          </cell>
          <cell r="E4839" t="str">
            <v>P-1048(21/57)</v>
          </cell>
        </row>
        <row r="4840">
          <cell r="B4840" t="str">
            <v>B272-400-AS-210-SK-005</v>
          </cell>
          <cell r="E4840" t="str">
            <v>P-1048(22/57)</v>
          </cell>
        </row>
        <row r="4841">
          <cell r="B4841" t="str">
            <v>B272-400-AS-210-SK-005</v>
          </cell>
          <cell r="E4841" t="str">
            <v>P-1048(23/57)</v>
          </cell>
        </row>
        <row r="4842">
          <cell r="B4842" t="str">
            <v>B272-400-AS-210-SK-005</v>
          </cell>
          <cell r="E4842" t="str">
            <v>P-1048(24/57)</v>
          </cell>
        </row>
        <row r="4843">
          <cell r="B4843" t="str">
            <v>B272-400-AS-210-SK-005</v>
          </cell>
          <cell r="E4843" t="str">
            <v>P-1048(25/57)</v>
          </cell>
        </row>
        <row r="4844">
          <cell r="B4844" t="str">
            <v>B272-400-AS-210-SK-005</v>
          </cell>
          <cell r="E4844" t="str">
            <v>P-1048(26/57)</v>
          </cell>
        </row>
        <row r="4845">
          <cell r="B4845" t="str">
            <v>B272-400-AS-210-SK-005</v>
          </cell>
          <cell r="E4845" t="str">
            <v>P-1048(27/57)</v>
          </cell>
        </row>
        <row r="4846">
          <cell r="B4846" t="str">
            <v>B272-400-AS-210-SK-005</v>
          </cell>
          <cell r="E4846" t="str">
            <v>P-1048(28/57)</v>
          </cell>
        </row>
        <row r="4847">
          <cell r="B4847" t="str">
            <v>B272-400-AS-210-SK-005</v>
          </cell>
          <cell r="E4847" t="str">
            <v>P-1048(29/57)</v>
          </cell>
        </row>
        <row r="4848">
          <cell r="B4848" t="str">
            <v>B272-400-AS-210-SK-005</v>
          </cell>
          <cell r="E4848" t="str">
            <v>P-1048(30/57)</v>
          </cell>
        </row>
        <row r="4849">
          <cell r="B4849" t="str">
            <v>B272-400-AS-210-SK-005</v>
          </cell>
          <cell r="E4849" t="str">
            <v>P-1048(31/57)</v>
          </cell>
        </row>
        <row r="4850">
          <cell r="B4850" t="str">
            <v>B272-400-AS-210-SK-005</v>
          </cell>
          <cell r="E4850" t="str">
            <v>P-1048(32/57)</v>
          </cell>
        </row>
        <row r="4851">
          <cell r="B4851" t="str">
            <v>B272-400-AS-210-SK-005</v>
          </cell>
          <cell r="E4851" t="str">
            <v>P-1048(33/57)</v>
          </cell>
        </row>
        <row r="4852">
          <cell r="B4852" t="str">
            <v>B272-400-AS-210-SK-005</v>
          </cell>
          <cell r="E4852" t="str">
            <v>P-1048(34/57)</v>
          </cell>
        </row>
        <row r="4853">
          <cell r="B4853" t="str">
            <v>B272-400-AS-210-SK-005</v>
          </cell>
          <cell r="E4853" t="str">
            <v>P-1048(35/57)</v>
          </cell>
        </row>
        <row r="4854">
          <cell r="B4854" t="str">
            <v>B272-400-AS-210-SK-005</v>
          </cell>
          <cell r="E4854" t="str">
            <v>P-1048(36/57)</v>
          </cell>
        </row>
        <row r="4855">
          <cell r="B4855" t="str">
            <v>B272-400-AS-210-SK-005</v>
          </cell>
          <cell r="E4855" t="str">
            <v>P-1048(37/57)</v>
          </cell>
        </row>
        <row r="4856">
          <cell r="B4856" t="str">
            <v>B272-400-AS-210-SK-005</v>
          </cell>
          <cell r="E4856" t="str">
            <v>P-1048(38/57)</v>
          </cell>
        </row>
        <row r="4857">
          <cell r="B4857" t="str">
            <v>B272-400-AS-210-SK-005</v>
          </cell>
          <cell r="E4857" t="str">
            <v>P-1048(39/57)</v>
          </cell>
        </row>
        <row r="4858">
          <cell r="B4858" t="str">
            <v>B272-400-AS-210-SK-005</v>
          </cell>
          <cell r="E4858" t="str">
            <v>P-1048(40/57)</v>
          </cell>
        </row>
        <row r="4859">
          <cell r="B4859" t="str">
            <v>B272-400-AS-210-SK-005</v>
          </cell>
          <cell r="E4859" t="str">
            <v>P-1048(41/57)</v>
          </cell>
        </row>
        <row r="4860">
          <cell r="B4860" t="str">
            <v>B272-400-AS-210-SK-005</v>
          </cell>
          <cell r="E4860" t="str">
            <v>P-1048(42/57)</v>
          </cell>
        </row>
        <row r="4861">
          <cell r="B4861" t="str">
            <v>B272-400-AS-210-SK-005</v>
          </cell>
          <cell r="E4861" t="str">
            <v>P-1048(43/57)</v>
          </cell>
        </row>
        <row r="4862">
          <cell r="B4862" t="str">
            <v>B272-400-AS-210-SK-005</v>
          </cell>
          <cell r="E4862" t="str">
            <v>P-1048(44/57)</v>
          </cell>
        </row>
        <row r="4863">
          <cell r="B4863" t="str">
            <v>B272-400-AS-210-SK-005</v>
          </cell>
          <cell r="E4863" t="str">
            <v>P-1048(45/57)</v>
          </cell>
        </row>
        <row r="4864">
          <cell r="B4864" t="str">
            <v>B272-400-AS-210-SK-005</v>
          </cell>
          <cell r="E4864" t="str">
            <v>P-1048(46/57)</v>
          </cell>
        </row>
        <row r="4865">
          <cell r="B4865" t="str">
            <v>B272-400-AS-210-SK-005</v>
          </cell>
          <cell r="E4865" t="str">
            <v>P-1048(47/57)</v>
          </cell>
        </row>
        <row r="4866">
          <cell r="B4866" t="str">
            <v>B272-400-AS-210-SK-005</v>
          </cell>
          <cell r="E4866" t="str">
            <v>P-1048(48/57)</v>
          </cell>
        </row>
        <row r="4867">
          <cell r="B4867" t="str">
            <v>B272-400-AS-210-SK-005</v>
          </cell>
          <cell r="E4867" t="str">
            <v>P-1048(49/57)</v>
          </cell>
        </row>
        <row r="4868">
          <cell r="B4868" t="str">
            <v>B272-400-AS-210-SK-005</v>
          </cell>
          <cell r="E4868" t="str">
            <v>P-1048(50/57)</v>
          </cell>
        </row>
        <row r="4869">
          <cell r="B4869" t="str">
            <v>B272-400-AS-210-SK-005</v>
          </cell>
          <cell r="E4869" t="str">
            <v>P-1048(51/57)</v>
          </cell>
        </row>
        <row r="4870">
          <cell r="B4870" t="str">
            <v>B272-400-AS-210-SK-005</v>
          </cell>
          <cell r="E4870" t="str">
            <v>P-1048(52/57)</v>
          </cell>
        </row>
        <row r="4871">
          <cell r="B4871" t="str">
            <v>B272-400-AS-210-SK-005</v>
          </cell>
          <cell r="E4871" t="str">
            <v>P-1048(53/57)</v>
          </cell>
        </row>
        <row r="4872">
          <cell r="B4872" t="str">
            <v>B272-400-AS-210-SK-005</v>
          </cell>
          <cell r="E4872" t="str">
            <v>P-1048(54/57)</v>
          </cell>
        </row>
        <row r="4873">
          <cell r="B4873" t="str">
            <v>B272-400-AS-210-SK-005</v>
          </cell>
          <cell r="E4873" t="str">
            <v>P-1048(55/57)</v>
          </cell>
        </row>
        <row r="4874">
          <cell r="B4874" t="str">
            <v>B272-400-AS-210-SK-005</v>
          </cell>
          <cell r="E4874" t="str">
            <v>P-1048(56/57)</v>
          </cell>
        </row>
        <row r="4875">
          <cell r="B4875" t="str">
            <v>B272-400-AS-210-SK-005</v>
          </cell>
          <cell r="E4875" t="str">
            <v>P-1048(57/57)</v>
          </cell>
        </row>
        <row r="4876">
          <cell r="B4876" t="str">
            <v>B272-400-AS-210-SK-005</v>
          </cell>
          <cell r="E4876" t="str">
            <v>P-1049</v>
          </cell>
        </row>
        <row r="4877">
          <cell r="B4877" t="str">
            <v>B272-400-AS-210-SK-005</v>
          </cell>
          <cell r="E4877" t="str">
            <v>P-1118(1/4)</v>
          </cell>
        </row>
        <row r="4878">
          <cell r="B4878" t="str">
            <v>B272-400-AS-210-SK-005</v>
          </cell>
          <cell r="E4878" t="str">
            <v>P-1118(2/4)</v>
          </cell>
        </row>
        <row r="4879">
          <cell r="B4879" t="str">
            <v>B272-400-AS-210-SK-005</v>
          </cell>
          <cell r="E4879" t="str">
            <v>P-1118(3/4)</v>
          </cell>
        </row>
        <row r="4880">
          <cell r="B4880" t="str">
            <v>B272-400-AS-210-SK-005</v>
          </cell>
          <cell r="E4880" t="str">
            <v>P-1118(4/4)</v>
          </cell>
        </row>
        <row r="4881">
          <cell r="B4881" t="str">
            <v>B272-400-AS-210-SK-005</v>
          </cell>
          <cell r="E4881" t="str">
            <v>P-1145</v>
          </cell>
        </row>
        <row r="4882">
          <cell r="B4882" t="str">
            <v>B272-400-AS-210-SK-005</v>
          </cell>
          <cell r="E4882" t="str">
            <v>P-1145-A</v>
          </cell>
        </row>
        <row r="4883">
          <cell r="B4883" t="str">
            <v>B272-400-AS-210-SK-005</v>
          </cell>
          <cell r="E4883" t="str">
            <v>P-1145-B</v>
          </cell>
        </row>
        <row r="4884">
          <cell r="B4884" t="str">
            <v>B272-400-AS-210-SK-005</v>
          </cell>
          <cell r="E4884" t="str">
            <v>P-1146</v>
          </cell>
        </row>
        <row r="4885">
          <cell r="B4885" t="str">
            <v>B272-400-AS-210-SK-005</v>
          </cell>
          <cell r="E4885" t="str">
            <v>P-1146-A</v>
          </cell>
        </row>
        <row r="4886">
          <cell r="B4886" t="str">
            <v>B272-400-AS-210-SK-005</v>
          </cell>
          <cell r="E4886" t="str">
            <v>P-1146-B</v>
          </cell>
        </row>
        <row r="4887">
          <cell r="B4887" t="str">
            <v>B272-400-AS-210-SK-005</v>
          </cell>
          <cell r="E4887" t="str">
            <v>P-1174(1/2)</v>
          </cell>
        </row>
        <row r="4888">
          <cell r="B4888" t="str">
            <v>B272-400-AS-210-SK-005</v>
          </cell>
          <cell r="E4888" t="str">
            <v>P-1174(2/2)</v>
          </cell>
        </row>
        <row r="4889">
          <cell r="B4889" t="str">
            <v>B272-400-AS-210-SK-005</v>
          </cell>
          <cell r="E4889" t="str">
            <v>PFY-7</v>
          </cell>
        </row>
        <row r="4890">
          <cell r="B4890" t="str">
            <v>B272-400-AS-210-SK-005</v>
          </cell>
          <cell r="E4890" t="str">
            <v>PFY-7-A</v>
          </cell>
        </row>
        <row r="4891">
          <cell r="B4891" t="str">
            <v>B272-400-AS-210-SK-005</v>
          </cell>
          <cell r="E4891" t="str">
            <v>PFY-7-B</v>
          </cell>
        </row>
        <row r="4892">
          <cell r="B4892" t="str">
            <v>B272-400-AS-210-SK-005</v>
          </cell>
          <cell r="E4892" t="str">
            <v>PFY-7-C</v>
          </cell>
        </row>
        <row r="4893">
          <cell r="B4893" t="str">
            <v>B272-400-AS-210-SK-005</v>
          </cell>
          <cell r="E4893" t="str">
            <v>PFY-7-D</v>
          </cell>
        </row>
        <row r="4894">
          <cell r="B4894" t="str">
            <v>B272-400-AS-210-SK-005</v>
          </cell>
          <cell r="E4894" t="str">
            <v>PX-37</v>
          </cell>
        </row>
        <row r="4895">
          <cell r="B4895" t="str">
            <v>B272-400-AS-210-SK-005</v>
          </cell>
          <cell r="E4895" t="str">
            <v>PX-38</v>
          </cell>
        </row>
        <row r="4896">
          <cell r="B4896" t="str">
            <v>B272-400-AS-210-SK-005</v>
          </cell>
          <cell r="E4896" t="str">
            <v>PX-41(1/11)</v>
          </cell>
        </row>
        <row r="4897">
          <cell r="B4897" t="str">
            <v>B272-400-AS-210-SK-005</v>
          </cell>
          <cell r="E4897" t="str">
            <v>PX-41(2/11)</v>
          </cell>
        </row>
        <row r="4898">
          <cell r="B4898" t="str">
            <v>B272-400-AS-210-SK-005</v>
          </cell>
          <cell r="E4898" t="str">
            <v>PX-41(3/11)</v>
          </cell>
        </row>
        <row r="4899">
          <cell r="B4899" t="str">
            <v>B272-400-AS-210-SK-005</v>
          </cell>
          <cell r="E4899" t="str">
            <v>PX-41(4/11)</v>
          </cell>
        </row>
        <row r="4900">
          <cell r="B4900" t="str">
            <v>B272-400-AS-210-SK-005</v>
          </cell>
          <cell r="E4900" t="str">
            <v>PX-41(5/11)</v>
          </cell>
        </row>
        <row r="4901">
          <cell r="B4901" t="str">
            <v>B272-400-AS-210-SK-005</v>
          </cell>
          <cell r="E4901" t="str">
            <v>PX-41(6/11)</v>
          </cell>
        </row>
        <row r="4902">
          <cell r="B4902" t="str">
            <v>B272-400-AS-210-SK-005</v>
          </cell>
          <cell r="E4902" t="str">
            <v>PX-41(7/11)</v>
          </cell>
        </row>
        <row r="4903">
          <cell r="B4903" t="str">
            <v>B272-400-AS-210-SK-005</v>
          </cell>
          <cell r="E4903" t="str">
            <v>PX-41(8/11)</v>
          </cell>
        </row>
        <row r="4904">
          <cell r="B4904" t="str">
            <v>B272-400-AS-210-SK-005</v>
          </cell>
          <cell r="E4904" t="str">
            <v>PX-41(9/11)</v>
          </cell>
        </row>
        <row r="4905">
          <cell r="B4905" t="str">
            <v>B272-400-AS-210-SK-005</v>
          </cell>
          <cell r="E4905" t="str">
            <v>PX-41(10/11)</v>
          </cell>
        </row>
        <row r="4906">
          <cell r="B4906" t="str">
            <v>B272-400-AS-210-SK-005</v>
          </cell>
          <cell r="E4906" t="str">
            <v>PX-41(11/11)</v>
          </cell>
        </row>
        <row r="4907">
          <cell r="B4907" t="str">
            <v>B272-400-AS-210-SK-005</v>
          </cell>
          <cell r="E4907" t="str">
            <v>PX-104(1/38)</v>
          </cell>
        </row>
        <row r="4908">
          <cell r="B4908" t="str">
            <v>B272-400-AS-210-SK-005</v>
          </cell>
          <cell r="E4908" t="str">
            <v>PX-104(2/38)</v>
          </cell>
        </row>
        <row r="4909">
          <cell r="B4909" t="str">
            <v>B272-400-AS-210-SK-005</v>
          </cell>
          <cell r="E4909" t="str">
            <v>PX-104(3/38)</v>
          </cell>
        </row>
        <row r="4910">
          <cell r="B4910" t="str">
            <v>B272-400-AS-210-SK-005</v>
          </cell>
          <cell r="E4910" t="str">
            <v>PX-104(4/38)</v>
          </cell>
        </row>
        <row r="4911">
          <cell r="B4911" t="str">
            <v>B272-400-AS-210-SK-005</v>
          </cell>
          <cell r="E4911" t="str">
            <v>PX-104(5/38)</v>
          </cell>
        </row>
        <row r="4912">
          <cell r="B4912" t="str">
            <v>B272-400-AS-210-SK-005</v>
          </cell>
          <cell r="E4912" t="str">
            <v>PX-104(6/38)</v>
          </cell>
        </row>
        <row r="4913">
          <cell r="B4913" t="str">
            <v>B272-400-AS-210-SK-005</v>
          </cell>
          <cell r="E4913" t="str">
            <v>PX-104(7/38)</v>
          </cell>
        </row>
        <row r="4914">
          <cell r="B4914" t="str">
            <v>B272-400-AS-210-SK-005</v>
          </cell>
          <cell r="E4914" t="str">
            <v>PX-104(8/38)</v>
          </cell>
        </row>
        <row r="4915">
          <cell r="B4915" t="str">
            <v>B272-400-AS-210-SK-005</v>
          </cell>
          <cell r="E4915" t="str">
            <v>PX-104(9/38)</v>
          </cell>
        </row>
        <row r="4916">
          <cell r="B4916" t="str">
            <v>B272-400-AS-210-SK-005</v>
          </cell>
          <cell r="E4916" t="str">
            <v>PX-104(10/38)</v>
          </cell>
        </row>
        <row r="4917">
          <cell r="B4917" t="str">
            <v>B272-400-AS-210-SK-005</v>
          </cell>
          <cell r="E4917" t="str">
            <v>PX-104(11/38)</v>
          </cell>
        </row>
        <row r="4918">
          <cell r="B4918" t="str">
            <v>B272-400-AS-210-SK-005</v>
          </cell>
          <cell r="E4918" t="str">
            <v>PX-104(12/38)</v>
          </cell>
        </row>
        <row r="4919">
          <cell r="B4919" t="str">
            <v>B272-400-AS-210-SK-005</v>
          </cell>
          <cell r="E4919" t="str">
            <v>PX-104(13/38)</v>
          </cell>
        </row>
        <row r="4920">
          <cell r="B4920" t="str">
            <v>B272-400-AS-210-SK-005</v>
          </cell>
          <cell r="E4920" t="str">
            <v>PX-104(14/38)</v>
          </cell>
        </row>
        <row r="4921">
          <cell r="B4921" t="str">
            <v>B272-400-AS-210-SK-005</v>
          </cell>
          <cell r="E4921" t="str">
            <v>PX-104(15/38)</v>
          </cell>
        </row>
        <row r="4922">
          <cell r="B4922" t="str">
            <v>B272-400-AS-210-SK-005</v>
          </cell>
          <cell r="E4922" t="str">
            <v>PX-104(16/38)</v>
          </cell>
        </row>
        <row r="4923">
          <cell r="B4923" t="str">
            <v>B272-400-AS-210-SK-005</v>
          </cell>
          <cell r="E4923" t="str">
            <v>PX-104(17/38)</v>
          </cell>
        </row>
        <row r="4924">
          <cell r="B4924" t="str">
            <v>B272-400-AS-210-SK-005</v>
          </cell>
          <cell r="E4924" t="str">
            <v>PX-104(18/38)</v>
          </cell>
        </row>
        <row r="4925">
          <cell r="B4925" t="str">
            <v>B272-400-AS-210-SK-005</v>
          </cell>
          <cell r="E4925" t="str">
            <v>PX-104(19/38)</v>
          </cell>
        </row>
        <row r="4926">
          <cell r="B4926" t="str">
            <v>B272-400-AS-210-SK-005</v>
          </cell>
          <cell r="E4926" t="str">
            <v>PX-104(20/38)</v>
          </cell>
        </row>
        <row r="4927">
          <cell r="B4927" t="str">
            <v>B272-400-AS-210-SK-005</v>
          </cell>
          <cell r="E4927" t="str">
            <v>PX-104(21/38)</v>
          </cell>
        </row>
        <row r="4928">
          <cell r="B4928" t="str">
            <v>B272-400-AS-210-SK-005</v>
          </cell>
          <cell r="E4928" t="str">
            <v>PX-104(22/38)</v>
          </cell>
        </row>
        <row r="4929">
          <cell r="B4929" t="str">
            <v>B272-400-AS-210-SK-005</v>
          </cell>
          <cell r="E4929" t="str">
            <v>PX-104(23/38)</v>
          </cell>
        </row>
        <row r="4930">
          <cell r="B4930" t="str">
            <v>B272-400-AS-210-SK-005</v>
          </cell>
          <cell r="E4930" t="str">
            <v>PX-104(24/38)</v>
          </cell>
        </row>
        <row r="4931">
          <cell r="B4931" t="str">
            <v>B272-400-AS-210-SK-005</v>
          </cell>
          <cell r="E4931" t="str">
            <v>PX-104(25/38)</v>
          </cell>
        </row>
        <row r="4932">
          <cell r="B4932" t="str">
            <v>B272-400-AS-210-SK-005</v>
          </cell>
          <cell r="E4932" t="str">
            <v>PX-104(26/38)</v>
          </cell>
        </row>
        <row r="4933">
          <cell r="B4933" t="str">
            <v>B272-400-AS-210-SK-005</v>
          </cell>
          <cell r="E4933" t="str">
            <v>PX-104(27/38)</v>
          </cell>
        </row>
        <row r="4934">
          <cell r="B4934" t="str">
            <v>B272-400-AS-210-SK-005</v>
          </cell>
          <cell r="E4934" t="str">
            <v>PX-104(28/38)</v>
          </cell>
        </row>
        <row r="4935">
          <cell r="B4935" t="str">
            <v>B272-400-AS-210-SK-005</v>
          </cell>
          <cell r="E4935" t="str">
            <v>PX-104(29/38)</v>
          </cell>
        </row>
        <row r="4936">
          <cell r="B4936" t="str">
            <v>B272-400-AS-210-SK-005</v>
          </cell>
          <cell r="E4936" t="str">
            <v>PX-104(30/38)</v>
          </cell>
        </row>
        <row r="4937">
          <cell r="B4937" t="str">
            <v>B272-400-AS-210-SK-005</v>
          </cell>
          <cell r="E4937" t="str">
            <v>PX-104(31/38)</v>
          </cell>
        </row>
        <row r="4938">
          <cell r="B4938" t="str">
            <v>B272-400-AS-210-SK-005</v>
          </cell>
          <cell r="E4938" t="str">
            <v>PX-104(32/38)</v>
          </cell>
        </row>
        <row r="4939">
          <cell r="B4939" t="str">
            <v>B272-400-AS-210-SK-005</v>
          </cell>
          <cell r="E4939" t="str">
            <v>PX-104(33/38)</v>
          </cell>
        </row>
        <row r="4940">
          <cell r="B4940" t="str">
            <v>B272-400-AS-210-SK-005</v>
          </cell>
          <cell r="E4940" t="str">
            <v>PX-104(34/38)</v>
          </cell>
        </row>
        <row r="4941">
          <cell r="B4941" t="str">
            <v>B272-400-AS-210-SK-005</v>
          </cell>
          <cell r="E4941" t="str">
            <v>PX-104(35/38)</v>
          </cell>
        </row>
        <row r="4942">
          <cell r="B4942" t="str">
            <v>B272-400-AS-210-SK-005</v>
          </cell>
          <cell r="E4942" t="str">
            <v>PX-104(36/38)</v>
          </cell>
        </row>
        <row r="4943">
          <cell r="B4943" t="str">
            <v>B272-400-AS-210-SK-005</v>
          </cell>
          <cell r="E4943" t="str">
            <v>PX-104(37/38)</v>
          </cell>
        </row>
        <row r="4944">
          <cell r="B4944" t="str">
            <v>B272-400-AS-210-SK-005</v>
          </cell>
          <cell r="E4944" t="str">
            <v>PX-104(38/38)</v>
          </cell>
        </row>
        <row r="4945">
          <cell r="B4945" t="str">
            <v>B272-400-AS-210-SK-005</v>
          </cell>
          <cell r="E4945" t="str">
            <v>PX-109(1/2)</v>
          </cell>
        </row>
        <row r="4946">
          <cell r="B4946" t="str">
            <v>B272-400-AS-210-SK-005</v>
          </cell>
          <cell r="E4946" t="str">
            <v>PX-109(1/2)</v>
          </cell>
        </row>
        <row r="4947">
          <cell r="B4947" t="str">
            <v>B272-400-AS-210-SK-005</v>
          </cell>
          <cell r="E4947" t="str">
            <v>PX-109(1/2)</v>
          </cell>
        </row>
        <row r="4948">
          <cell r="B4948" t="str">
            <v>B272-400-AS-210-SK-005</v>
          </cell>
          <cell r="E4948" t="str">
            <v>PX-109(1/2)</v>
          </cell>
        </row>
        <row r="4949">
          <cell r="B4949" t="str">
            <v>B272-400-AS-210-SK-005</v>
          </cell>
          <cell r="E4949" t="str">
            <v>PX-109(1/2)</v>
          </cell>
        </row>
        <row r="4950">
          <cell r="B4950" t="str">
            <v>B272-400-AS-210-SK-005</v>
          </cell>
          <cell r="E4950" t="str">
            <v>PX-109(2/2)</v>
          </cell>
        </row>
        <row r="4951">
          <cell r="B4951" t="str">
            <v>B272-400-AS-210-SK-005</v>
          </cell>
          <cell r="E4951" t="str">
            <v>PX-109(2/2)</v>
          </cell>
        </row>
        <row r="4952">
          <cell r="B4952" t="str">
            <v>B272-400-AS-210-SK-005</v>
          </cell>
          <cell r="E4952" t="str">
            <v>PX-109(2/2)</v>
          </cell>
        </row>
        <row r="4953">
          <cell r="B4953" t="str">
            <v>B272-400-AS-210-SK-005</v>
          </cell>
          <cell r="E4953" t="str">
            <v>PX-109(2/2)</v>
          </cell>
        </row>
        <row r="4954">
          <cell r="B4954" t="str">
            <v>B272-400-AS-210-SK-005</v>
          </cell>
          <cell r="E4954" t="str">
            <v>PX-109(2/2)</v>
          </cell>
        </row>
        <row r="4955">
          <cell r="B4955" t="str">
            <v>B272-400-AS-210-SK-005</v>
          </cell>
          <cell r="E4955" t="str">
            <v>PX-110</v>
          </cell>
        </row>
        <row r="4956">
          <cell r="B4956" t="str">
            <v>B272-400-AS-210-SK-005</v>
          </cell>
          <cell r="E4956" t="str">
            <v>PX-110</v>
          </cell>
        </row>
        <row r="4957">
          <cell r="B4957" t="str">
            <v>B272-400-AS-210-SK-005</v>
          </cell>
          <cell r="E4957" t="str">
            <v>PX-110</v>
          </cell>
        </row>
        <row r="4958">
          <cell r="B4958" t="str">
            <v>B272-400-AS-210-SK-005</v>
          </cell>
          <cell r="E4958" t="str">
            <v>PX-110</v>
          </cell>
        </row>
        <row r="4959">
          <cell r="B4959" t="str">
            <v>B272-400-AS-210-SK-005</v>
          </cell>
          <cell r="E4959" t="str">
            <v>PX-110</v>
          </cell>
        </row>
        <row r="4960">
          <cell r="B4960" t="str">
            <v>B272-400-AS-210-SK-005</v>
          </cell>
          <cell r="E4960" t="str">
            <v>P-867(1/30)</v>
          </cell>
        </row>
        <row r="4961">
          <cell r="B4961" t="str">
            <v>B272-400-AS-210-SK-005</v>
          </cell>
          <cell r="E4961" t="str">
            <v>P-867(2/30)</v>
          </cell>
        </row>
        <row r="4962">
          <cell r="B4962" t="str">
            <v>B272-400-AS-210-SK-005</v>
          </cell>
          <cell r="E4962" t="str">
            <v>P-867(3/30)</v>
          </cell>
        </row>
        <row r="4963">
          <cell r="B4963" t="str">
            <v>B272-400-AS-210-SK-005</v>
          </cell>
          <cell r="E4963" t="str">
            <v>P-867(4/30)</v>
          </cell>
        </row>
        <row r="4964">
          <cell r="B4964" t="str">
            <v>B272-400-AS-210-SK-005</v>
          </cell>
          <cell r="E4964" t="str">
            <v>P-867(5/30)</v>
          </cell>
        </row>
        <row r="4965">
          <cell r="B4965" t="str">
            <v>B272-400-AS-210-SK-005</v>
          </cell>
          <cell r="E4965" t="str">
            <v>P-867(6/30)</v>
          </cell>
        </row>
        <row r="4966">
          <cell r="B4966" t="str">
            <v>B272-400-AS-210-SK-005</v>
          </cell>
          <cell r="E4966" t="str">
            <v>P-867(7/30)</v>
          </cell>
        </row>
        <row r="4967">
          <cell r="B4967" t="str">
            <v>B272-400-AS-210-SK-005</v>
          </cell>
          <cell r="E4967" t="str">
            <v>P-867(8/30)</v>
          </cell>
        </row>
        <row r="4968">
          <cell r="B4968" t="str">
            <v>B272-400-AS-210-SK-005</v>
          </cell>
          <cell r="E4968" t="str">
            <v>P-867(9/30)</v>
          </cell>
        </row>
        <row r="4969">
          <cell r="B4969" t="str">
            <v>B272-400-AS-210-SK-005</v>
          </cell>
          <cell r="E4969" t="str">
            <v>P-867(10/30)</v>
          </cell>
        </row>
        <row r="4970">
          <cell r="B4970" t="str">
            <v>B272-400-AS-210-SK-005</v>
          </cell>
          <cell r="E4970" t="str">
            <v>P-867(11/30)</v>
          </cell>
        </row>
        <row r="4971">
          <cell r="B4971" t="str">
            <v>B272-400-AS-210-SK-005</v>
          </cell>
          <cell r="E4971" t="str">
            <v>P-867(12/30)</v>
          </cell>
        </row>
        <row r="4972">
          <cell r="B4972" t="str">
            <v>B272-400-AS-210-SK-005</v>
          </cell>
          <cell r="E4972" t="str">
            <v>P-867(13/30)</v>
          </cell>
        </row>
        <row r="4973">
          <cell r="B4973" t="str">
            <v>B272-400-AS-210-SK-005</v>
          </cell>
          <cell r="E4973" t="str">
            <v>P-867(14/30)</v>
          </cell>
        </row>
        <row r="4974">
          <cell r="B4974" t="str">
            <v>B272-400-AS-210-SK-005</v>
          </cell>
          <cell r="E4974" t="str">
            <v>P-867(15/30)</v>
          </cell>
        </row>
        <row r="4975">
          <cell r="B4975" t="str">
            <v>B272-400-AS-210-SK-005</v>
          </cell>
          <cell r="E4975" t="str">
            <v>P-867(16/30)</v>
          </cell>
        </row>
        <row r="4976">
          <cell r="B4976" t="str">
            <v>B272-400-AS-210-SK-005</v>
          </cell>
          <cell r="E4976" t="str">
            <v>P-867(17/30)</v>
          </cell>
        </row>
        <row r="4977">
          <cell r="B4977" t="str">
            <v>B272-400-AS-210-SK-005</v>
          </cell>
          <cell r="E4977" t="str">
            <v>P-867(18/30)</v>
          </cell>
        </row>
        <row r="4978">
          <cell r="B4978" t="str">
            <v>B272-400-AS-210-SK-005</v>
          </cell>
          <cell r="E4978" t="str">
            <v>P-867(19/30)</v>
          </cell>
        </row>
        <row r="4979">
          <cell r="B4979" t="str">
            <v>B272-400-AS-210-SK-005</v>
          </cell>
          <cell r="E4979" t="str">
            <v>P-867(20/30)</v>
          </cell>
        </row>
        <row r="4980">
          <cell r="B4980" t="str">
            <v>B272-400-AS-210-SK-005</v>
          </cell>
          <cell r="E4980" t="str">
            <v>P-867(21/30)</v>
          </cell>
        </row>
        <row r="4981">
          <cell r="B4981" t="str">
            <v>B272-400-AS-210-SK-005</v>
          </cell>
          <cell r="E4981" t="str">
            <v>P-867(22/30)</v>
          </cell>
        </row>
        <row r="4982">
          <cell r="B4982" t="str">
            <v>B272-400-AS-210-SK-005</v>
          </cell>
          <cell r="E4982" t="str">
            <v>P-867(23/30)</v>
          </cell>
        </row>
        <row r="4983">
          <cell r="B4983" t="str">
            <v>B272-400-AS-210-SK-005</v>
          </cell>
          <cell r="E4983" t="str">
            <v>P-867(24/30)</v>
          </cell>
        </row>
        <row r="4984">
          <cell r="B4984" t="str">
            <v>B272-400-AS-210-SK-005</v>
          </cell>
          <cell r="E4984" t="str">
            <v>P-867(25/30)</v>
          </cell>
        </row>
        <row r="4985">
          <cell r="B4985" t="str">
            <v>B272-400-AS-210-SK-005</v>
          </cell>
          <cell r="E4985" t="str">
            <v>P-867(26/30)</v>
          </cell>
        </row>
        <row r="4986">
          <cell r="B4986" t="str">
            <v>B272-400-AS-210-SK-005</v>
          </cell>
          <cell r="E4986" t="str">
            <v>P-867(27/30)</v>
          </cell>
        </row>
        <row r="4987">
          <cell r="B4987" t="str">
            <v>B272-400-AS-210-SK-005</v>
          </cell>
          <cell r="E4987" t="str">
            <v>P-867(28/30)</v>
          </cell>
        </row>
        <row r="4988">
          <cell r="B4988" t="str">
            <v>B272-400-AS-210-SK-005</v>
          </cell>
          <cell r="E4988" t="str">
            <v>P-867(29/30)</v>
          </cell>
        </row>
        <row r="4989">
          <cell r="B4989" t="str">
            <v>B272-400-AS-210-SK-005</v>
          </cell>
          <cell r="E4989" t="str">
            <v>P-867(30/30)</v>
          </cell>
        </row>
        <row r="4990">
          <cell r="B4990" t="str">
            <v>B272-400-AS-210-SK-005</v>
          </cell>
          <cell r="E4990" t="str">
            <v>P-2011(1/2)</v>
          </cell>
        </row>
        <row r="4991">
          <cell r="B4991" t="str">
            <v>B272-400-AS-210-SK-005</v>
          </cell>
          <cell r="E4991" t="str">
            <v>P-2011(2/2)</v>
          </cell>
        </row>
        <row r="4992">
          <cell r="B4992" t="str">
            <v>B272-400-AS-210-SK-005</v>
          </cell>
          <cell r="E4992" t="str">
            <v>P-2027</v>
          </cell>
        </row>
        <row r="4993">
          <cell r="B4993" t="str">
            <v>B272-400-AS-210-SK-005</v>
          </cell>
          <cell r="E4993" t="str">
            <v>P-2028</v>
          </cell>
        </row>
        <row r="4994">
          <cell r="B4994" t="str">
            <v>B272-400-AS-210-SK-005</v>
          </cell>
          <cell r="E4994" t="str">
            <v>PX-2001</v>
          </cell>
        </row>
        <row r="4995">
          <cell r="B4995" t="str">
            <v>B272-400-AS-210-SK-005</v>
          </cell>
          <cell r="E4995" t="str">
            <v>PX-2004</v>
          </cell>
        </row>
        <row r="4996">
          <cell r="B4996" t="str">
            <v>B272-400-AS-210-SK-005</v>
          </cell>
          <cell r="E4996" t="str">
            <v>PX-131</v>
          </cell>
        </row>
        <row r="4997">
          <cell r="B4997" t="str">
            <v>B272-400-AS-210-SK-006</v>
          </cell>
        </row>
        <row r="4998">
          <cell r="B4998" t="str">
            <v>B272-400-AS-210-SK-006</v>
          </cell>
          <cell r="E4998" t="str">
            <v>AF-6(1/6)</v>
          </cell>
        </row>
        <row r="4999">
          <cell r="B4999" t="str">
            <v>B272-400-AS-210-SK-006</v>
          </cell>
          <cell r="E4999" t="str">
            <v>AF-6(2/6)</v>
          </cell>
        </row>
        <row r="5000">
          <cell r="B5000" t="str">
            <v>B272-400-AS-210-SK-006</v>
          </cell>
          <cell r="E5000" t="str">
            <v>AF-6(3/6)</v>
          </cell>
        </row>
        <row r="5001">
          <cell r="B5001" t="str">
            <v>B272-400-AS-210-SK-006</v>
          </cell>
          <cell r="E5001" t="str">
            <v>AF-6(4/6)</v>
          </cell>
        </row>
        <row r="5002">
          <cell r="B5002" t="str">
            <v>B272-400-AS-210-SK-006</v>
          </cell>
          <cell r="E5002" t="str">
            <v>AF-6(5/6)</v>
          </cell>
        </row>
        <row r="5003">
          <cell r="B5003" t="str">
            <v>B272-400-AS-210-SK-006</v>
          </cell>
          <cell r="E5003" t="str">
            <v>AF-6(6/6)</v>
          </cell>
        </row>
        <row r="5004">
          <cell r="B5004" t="str">
            <v>B272-400-AS-210-SK-006</v>
          </cell>
          <cell r="E5004" t="str">
            <v>AY-21</v>
          </cell>
        </row>
        <row r="5005">
          <cell r="B5005" t="str">
            <v>B272-400-AS-210-SK-006</v>
          </cell>
          <cell r="E5005" t="str">
            <v>AY-32</v>
          </cell>
        </row>
        <row r="5006">
          <cell r="B5006" t="str">
            <v>B272-400-AS-210-SK-006</v>
          </cell>
          <cell r="E5006" t="str">
            <v>AY-61</v>
          </cell>
        </row>
        <row r="5007">
          <cell r="B5007" t="str">
            <v>B272-400-AS-210-SK-006</v>
          </cell>
          <cell r="E5007" t="str">
            <v>AY-62</v>
          </cell>
        </row>
        <row r="5008">
          <cell r="B5008" t="str">
            <v>B272-400-AS-210-SK-006</v>
          </cell>
          <cell r="E5008" t="str">
            <v>AY-64</v>
          </cell>
        </row>
        <row r="5009">
          <cell r="B5009" t="str">
            <v>B272-400-AS-210-SK-006</v>
          </cell>
          <cell r="E5009" t="str">
            <v>AY-65</v>
          </cell>
        </row>
        <row r="5010">
          <cell r="B5010" t="str">
            <v>B272-400-AS-210-SK-006</v>
          </cell>
          <cell r="E5010" t="str">
            <v>DY-3(1/2)</v>
          </cell>
        </row>
        <row r="5011">
          <cell r="B5011" t="str">
            <v>B272-400-AS-210-SK-006</v>
          </cell>
          <cell r="E5011" t="str">
            <v>DY-3(2/2)</v>
          </cell>
        </row>
        <row r="5012">
          <cell r="B5012" t="str">
            <v>B272-400-AS-210-SK-006</v>
          </cell>
          <cell r="E5012" t="str">
            <v>G-55(1/3)</v>
          </cell>
        </row>
        <row r="5013">
          <cell r="B5013" t="str">
            <v>B272-400-AS-210-SK-006</v>
          </cell>
          <cell r="E5013" t="str">
            <v>G-55(2/3)</v>
          </cell>
        </row>
        <row r="5014">
          <cell r="B5014" t="str">
            <v>B272-400-AS-210-SK-006</v>
          </cell>
          <cell r="E5014" t="str">
            <v>G-55(3/3)</v>
          </cell>
        </row>
        <row r="5015">
          <cell r="B5015" t="str">
            <v>B272-400-AS-210-SK-006</v>
          </cell>
          <cell r="E5015" t="str">
            <v>P-161(1/2)</v>
          </cell>
        </row>
        <row r="5016">
          <cell r="B5016" t="str">
            <v>B272-400-AS-210-SK-006</v>
          </cell>
          <cell r="E5016" t="str">
            <v>P-161(2/2)</v>
          </cell>
        </row>
        <row r="5017">
          <cell r="B5017" t="str">
            <v>B272-400-AS-210-SK-006</v>
          </cell>
          <cell r="E5017" t="str">
            <v>P-587</v>
          </cell>
        </row>
        <row r="5018">
          <cell r="B5018" t="str">
            <v>B272-400-AS-210-SK-006</v>
          </cell>
          <cell r="E5018" t="str">
            <v>P-1042</v>
          </cell>
        </row>
        <row r="5019">
          <cell r="B5019" t="str">
            <v>B272-400-AS-210-SK-006</v>
          </cell>
          <cell r="E5019" t="str">
            <v>P-1043(1/2)</v>
          </cell>
        </row>
        <row r="5020">
          <cell r="B5020" t="str">
            <v>B272-400-AS-210-SK-006</v>
          </cell>
          <cell r="E5020" t="str">
            <v>P-1043(2/2)</v>
          </cell>
        </row>
        <row r="5021">
          <cell r="B5021" t="str">
            <v>B272-400-AS-210-SK-006</v>
          </cell>
          <cell r="E5021" t="str">
            <v>P-1044(1/2)</v>
          </cell>
        </row>
        <row r="5022">
          <cell r="B5022" t="str">
            <v>B272-400-AS-210-SK-006</v>
          </cell>
          <cell r="E5022" t="str">
            <v>P-1044(2/2)</v>
          </cell>
        </row>
        <row r="5023">
          <cell r="B5023" t="str">
            <v>B272-400-AS-210-SK-006</v>
          </cell>
          <cell r="E5023" t="str">
            <v>P-1046</v>
          </cell>
        </row>
        <row r="5024">
          <cell r="B5024" t="str">
            <v>B272-400-AS-210-SK-006</v>
          </cell>
          <cell r="E5024" t="str">
            <v>P-1048(1/107)</v>
          </cell>
        </row>
        <row r="5025">
          <cell r="B5025" t="str">
            <v>B272-400-AS-210-SK-006</v>
          </cell>
          <cell r="E5025" t="str">
            <v>P-1048(2/107)</v>
          </cell>
        </row>
        <row r="5026">
          <cell r="B5026" t="str">
            <v>B272-400-AS-210-SK-006</v>
          </cell>
          <cell r="E5026" t="str">
            <v>P-1048(3/107)</v>
          </cell>
        </row>
        <row r="5027">
          <cell r="B5027" t="str">
            <v>B272-400-AS-210-SK-006</v>
          </cell>
          <cell r="E5027" t="str">
            <v>P-1048(4/107)</v>
          </cell>
        </row>
        <row r="5028">
          <cell r="B5028" t="str">
            <v>B272-400-AS-210-SK-006</v>
          </cell>
          <cell r="E5028" t="str">
            <v>P-1048(5/107)</v>
          </cell>
        </row>
        <row r="5029">
          <cell r="B5029" t="str">
            <v>B272-400-AS-210-SK-006</v>
          </cell>
          <cell r="E5029" t="str">
            <v>P-1048(6/107)</v>
          </cell>
        </row>
        <row r="5030">
          <cell r="B5030" t="str">
            <v>B272-400-AS-210-SK-006</v>
          </cell>
          <cell r="E5030" t="str">
            <v>P-1048(7/107)</v>
          </cell>
        </row>
        <row r="5031">
          <cell r="B5031" t="str">
            <v>B272-400-AS-210-SK-006</v>
          </cell>
          <cell r="E5031" t="str">
            <v>P-1048(8/107)</v>
          </cell>
        </row>
        <row r="5032">
          <cell r="B5032" t="str">
            <v>B272-400-AS-210-SK-006</v>
          </cell>
          <cell r="E5032" t="str">
            <v>P-1048(9/107)</v>
          </cell>
        </row>
        <row r="5033">
          <cell r="B5033" t="str">
            <v>B272-400-AS-210-SK-006</v>
          </cell>
          <cell r="E5033" t="str">
            <v>P-1048(10/107)</v>
          </cell>
        </row>
        <row r="5034">
          <cell r="B5034" t="str">
            <v>B272-400-AS-210-SK-006</v>
          </cell>
          <cell r="E5034" t="str">
            <v>P-1048(11/107)</v>
          </cell>
        </row>
        <row r="5035">
          <cell r="B5035" t="str">
            <v>B272-400-AS-210-SK-006</v>
          </cell>
          <cell r="E5035" t="str">
            <v>P-1048(12/107)</v>
          </cell>
        </row>
        <row r="5036">
          <cell r="B5036" t="str">
            <v>B272-400-AS-210-SK-006</v>
          </cell>
          <cell r="E5036" t="str">
            <v>P-1048(13/107)</v>
          </cell>
        </row>
        <row r="5037">
          <cell r="B5037" t="str">
            <v>B272-400-AS-210-SK-006</v>
          </cell>
          <cell r="E5037" t="str">
            <v>P-1048(14/107)</v>
          </cell>
        </row>
        <row r="5038">
          <cell r="B5038" t="str">
            <v>B272-400-AS-210-SK-006</v>
          </cell>
          <cell r="E5038" t="str">
            <v>P-1048(15/107)</v>
          </cell>
        </row>
        <row r="5039">
          <cell r="B5039" t="str">
            <v>B272-400-AS-210-SK-006</v>
          </cell>
          <cell r="E5039" t="str">
            <v>P-1048(16/107)</v>
          </cell>
        </row>
        <row r="5040">
          <cell r="B5040" t="str">
            <v>B272-400-AS-210-SK-006</v>
          </cell>
          <cell r="E5040" t="str">
            <v>P-1048(17/107)</v>
          </cell>
        </row>
        <row r="5041">
          <cell r="B5041" t="str">
            <v>B272-400-AS-210-SK-006</v>
          </cell>
          <cell r="E5041" t="str">
            <v>P-1048(18/107)</v>
          </cell>
        </row>
        <row r="5042">
          <cell r="B5042" t="str">
            <v>B272-400-AS-210-SK-006</v>
          </cell>
          <cell r="E5042" t="str">
            <v>P-1048(19/107)</v>
          </cell>
        </row>
        <row r="5043">
          <cell r="B5043" t="str">
            <v>B272-400-AS-210-SK-006</v>
          </cell>
          <cell r="E5043" t="str">
            <v>P-1048(20/107)</v>
          </cell>
        </row>
        <row r="5044">
          <cell r="B5044" t="str">
            <v>B272-400-AS-210-SK-006</v>
          </cell>
          <cell r="E5044" t="str">
            <v>P-1048(21/107)</v>
          </cell>
        </row>
        <row r="5045">
          <cell r="B5045" t="str">
            <v>B272-400-AS-210-SK-006</v>
          </cell>
          <cell r="E5045" t="str">
            <v>P-1048(22/107)</v>
          </cell>
        </row>
        <row r="5046">
          <cell r="B5046" t="str">
            <v>B272-400-AS-210-SK-006</v>
          </cell>
          <cell r="E5046" t="str">
            <v>P-1048(23/107)</v>
          </cell>
        </row>
        <row r="5047">
          <cell r="B5047" t="str">
            <v>B272-400-AS-210-SK-006</v>
          </cell>
          <cell r="E5047" t="str">
            <v>P-1048(24/107)</v>
          </cell>
        </row>
        <row r="5048">
          <cell r="B5048" t="str">
            <v>B272-400-AS-210-SK-006</v>
          </cell>
          <cell r="E5048" t="str">
            <v>P-1048(25/107)</v>
          </cell>
        </row>
        <row r="5049">
          <cell r="B5049" t="str">
            <v>B272-400-AS-210-SK-006</v>
          </cell>
          <cell r="E5049" t="str">
            <v>P-1048(26/107)</v>
          </cell>
        </row>
        <row r="5050">
          <cell r="B5050" t="str">
            <v>B272-400-AS-210-SK-006</v>
          </cell>
          <cell r="E5050" t="str">
            <v>P-1048(27/107)</v>
          </cell>
        </row>
        <row r="5051">
          <cell r="B5051" t="str">
            <v>B272-400-AS-210-SK-006</v>
          </cell>
          <cell r="E5051" t="str">
            <v>P-1048(28/107)</v>
          </cell>
        </row>
        <row r="5052">
          <cell r="B5052" t="str">
            <v>B272-400-AS-210-SK-006</v>
          </cell>
          <cell r="E5052" t="str">
            <v>P-1048(29/107)</v>
          </cell>
        </row>
        <row r="5053">
          <cell r="B5053" t="str">
            <v>B272-400-AS-210-SK-006</v>
          </cell>
          <cell r="E5053" t="str">
            <v>P-1048(30/107)</v>
          </cell>
        </row>
        <row r="5054">
          <cell r="B5054" t="str">
            <v>B272-400-AS-210-SK-006</v>
          </cell>
          <cell r="E5054" t="str">
            <v>P-1048(31/107)</v>
          </cell>
        </row>
        <row r="5055">
          <cell r="B5055" t="str">
            <v>B272-400-AS-210-SK-006</v>
          </cell>
          <cell r="E5055" t="str">
            <v>P-1048(32/107)</v>
          </cell>
        </row>
        <row r="5056">
          <cell r="B5056" t="str">
            <v>B272-400-AS-210-SK-006</v>
          </cell>
          <cell r="E5056" t="str">
            <v>P-1048(33/107)</v>
          </cell>
        </row>
        <row r="5057">
          <cell r="B5057" t="str">
            <v>B272-400-AS-210-SK-006</v>
          </cell>
          <cell r="E5057" t="str">
            <v>P-1048(34/107)</v>
          </cell>
        </row>
        <row r="5058">
          <cell r="B5058" t="str">
            <v>B272-400-AS-210-SK-006</v>
          </cell>
          <cell r="E5058" t="str">
            <v>P-1048(35/107)</v>
          </cell>
        </row>
        <row r="5059">
          <cell r="B5059" t="str">
            <v>B272-400-AS-210-SK-006</v>
          </cell>
          <cell r="E5059" t="str">
            <v>P-1048(36/107)</v>
          </cell>
        </row>
        <row r="5060">
          <cell r="B5060" t="str">
            <v>B272-400-AS-210-SK-006</v>
          </cell>
          <cell r="E5060" t="str">
            <v>P-1048(37/107)</v>
          </cell>
        </row>
        <row r="5061">
          <cell r="B5061" t="str">
            <v>B272-400-AS-210-SK-006</v>
          </cell>
          <cell r="E5061" t="str">
            <v>P-1048(38/107)</v>
          </cell>
        </row>
        <row r="5062">
          <cell r="B5062" t="str">
            <v>B272-400-AS-210-SK-006</v>
          </cell>
          <cell r="E5062" t="str">
            <v>P-1048(39/107)</v>
          </cell>
        </row>
        <row r="5063">
          <cell r="B5063" t="str">
            <v>B272-400-AS-210-SK-006</v>
          </cell>
          <cell r="E5063" t="str">
            <v>P-1048(40/107)</v>
          </cell>
        </row>
        <row r="5064">
          <cell r="B5064" t="str">
            <v>B272-400-AS-210-SK-006</v>
          </cell>
          <cell r="E5064" t="str">
            <v>P-1048(41/107)</v>
          </cell>
        </row>
        <row r="5065">
          <cell r="B5065" t="str">
            <v>B272-400-AS-210-SK-006</v>
          </cell>
          <cell r="E5065" t="str">
            <v>P-1048(42/107)</v>
          </cell>
        </row>
        <row r="5066">
          <cell r="B5066" t="str">
            <v>B272-400-AS-210-SK-006</v>
          </cell>
          <cell r="E5066" t="str">
            <v>P-1048(43/107)</v>
          </cell>
        </row>
        <row r="5067">
          <cell r="B5067" t="str">
            <v>B272-400-AS-210-SK-006</v>
          </cell>
          <cell r="E5067" t="str">
            <v>P-1048(44/107)</v>
          </cell>
        </row>
        <row r="5068">
          <cell r="B5068" t="str">
            <v>B272-400-AS-210-SK-006</v>
          </cell>
          <cell r="E5068" t="str">
            <v>P-1048(45/107)</v>
          </cell>
        </row>
        <row r="5069">
          <cell r="B5069" t="str">
            <v>B272-400-AS-210-SK-006</v>
          </cell>
          <cell r="E5069" t="str">
            <v>P-1048(46/107)</v>
          </cell>
        </row>
        <row r="5070">
          <cell r="B5070" t="str">
            <v>B272-400-AS-210-SK-006</v>
          </cell>
          <cell r="E5070" t="str">
            <v>P-1048(47/107)</v>
          </cell>
        </row>
        <row r="5071">
          <cell r="B5071" t="str">
            <v>B272-400-AS-210-SK-006</v>
          </cell>
          <cell r="E5071" t="str">
            <v>P-1048(48/107)</v>
          </cell>
        </row>
        <row r="5072">
          <cell r="B5072" t="str">
            <v>B272-400-AS-210-SK-006</v>
          </cell>
          <cell r="E5072" t="str">
            <v>P-1048(49/107)</v>
          </cell>
        </row>
        <row r="5073">
          <cell r="B5073" t="str">
            <v>B272-400-AS-210-SK-006</v>
          </cell>
          <cell r="E5073" t="str">
            <v>P-1048(50/107)</v>
          </cell>
        </row>
        <row r="5074">
          <cell r="B5074" t="str">
            <v>B272-400-AS-210-SK-006</v>
          </cell>
          <cell r="E5074" t="str">
            <v>P-1048(51/107)</v>
          </cell>
        </row>
        <row r="5075">
          <cell r="B5075" t="str">
            <v>B272-400-AS-210-SK-006</v>
          </cell>
          <cell r="E5075" t="str">
            <v>P-1048(52/107)</v>
          </cell>
        </row>
        <row r="5076">
          <cell r="B5076" t="str">
            <v>B272-400-AS-210-SK-006</v>
          </cell>
          <cell r="E5076" t="str">
            <v>P-1048(53/107)</v>
          </cell>
        </row>
        <row r="5077">
          <cell r="B5077" t="str">
            <v>B272-400-AS-210-SK-006</v>
          </cell>
          <cell r="E5077" t="str">
            <v>P-1048(54/107)</v>
          </cell>
        </row>
        <row r="5078">
          <cell r="B5078" t="str">
            <v>B272-400-AS-210-SK-006</v>
          </cell>
          <cell r="E5078" t="str">
            <v>P-1048(55/107)</v>
          </cell>
        </row>
        <row r="5079">
          <cell r="B5079" t="str">
            <v>B272-400-AS-210-SK-006</v>
          </cell>
          <cell r="E5079" t="str">
            <v>P-1048(56/107)</v>
          </cell>
        </row>
        <row r="5080">
          <cell r="B5080" t="str">
            <v>B272-400-AS-210-SK-006</v>
          </cell>
          <cell r="E5080" t="str">
            <v>P-1048(57/107)</v>
          </cell>
        </row>
        <row r="5081">
          <cell r="B5081" t="str">
            <v>B272-400-AS-210-SK-006</v>
          </cell>
          <cell r="E5081" t="str">
            <v>P-1048(58/107)</v>
          </cell>
        </row>
        <row r="5082">
          <cell r="B5082" t="str">
            <v>B272-400-AS-210-SK-006</v>
          </cell>
          <cell r="E5082" t="str">
            <v>P-1048(59/107)</v>
          </cell>
        </row>
        <row r="5083">
          <cell r="B5083" t="str">
            <v>B272-400-AS-210-SK-006</v>
          </cell>
          <cell r="E5083" t="str">
            <v>P-1048(60/107)</v>
          </cell>
        </row>
        <row r="5084">
          <cell r="B5084" t="str">
            <v>B272-400-AS-210-SK-006</v>
          </cell>
          <cell r="E5084" t="str">
            <v>P-1048(61/107)</v>
          </cell>
        </row>
        <row r="5085">
          <cell r="B5085" t="str">
            <v>B272-400-AS-210-SK-006</v>
          </cell>
          <cell r="E5085" t="str">
            <v>P-1048(62/107)</v>
          </cell>
        </row>
        <row r="5086">
          <cell r="B5086" t="str">
            <v>B272-400-AS-210-SK-006</v>
          </cell>
          <cell r="E5086" t="str">
            <v>P-1048(63/107)</v>
          </cell>
        </row>
        <row r="5087">
          <cell r="B5087" t="str">
            <v>B272-400-AS-210-SK-006</v>
          </cell>
          <cell r="E5087" t="str">
            <v>P-1048(64/107)</v>
          </cell>
        </row>
        <row r="5088">
          <cell r="B5088" t="str">
            <v>B272-400-AS-210-SK-006</v>
          </cell>
          <cell r="E5088" t="str">
            <v>P-1048(65/107)</v>
          </cell>
        </row>
        <row r="5089">
          <cell r="B5089" t="str">
            <v>B272-400-AS-210-SK-006</v>
          </cell>
          <cell r="E5089" t="str">
            <v>P-1048(66/107)</v>
          </cell>
        </row>
        <row r="5090">
          <cell r="B5090" t="str">
            <v>B272-400-AS-210-SK-006</v>
          </cell>
          <cell r="E5090" t="str">
            <v>P-1048(67/107)</v>
          </cell>
        </row>
        <row r="5091">
          <cell r="B5091" t="str">
            <v>B272-400-AS-210-SK-006</v>
          </cell>
          <cell r="E5091" t="str">
            <v>P-1048(68/107)</v>
          </cell>
        </row>
        <row r="5092">
          <cell r="B5092" t="str">
            <v>B272-400-AS-210-SK-006</v>
          </cell>
          <cell r="E5092" t="str">
            <v>P-1048(69/107)</v>
          </cell>
        </row>
        <row r="5093">
          <cell r="B5093" t="str">
            <v>B272-400-AS-210-SK-006</v>
          </cell>
          <cell r="E5093" t="str">
            <v>P-1048(70/107)</v>
          </cell>
        </row>
        <row r="5094">
          <cell r="B5094" t="str">
            <v>B272-400-AS-210-SK-006</v>
          </cell>
          <cell r="E5094" t="str">
            <v>P-1048(71/107)</v>
          </cell>
        </row>
        <row r="5095">
          <cell r="B5095" t="str">
            <v>B272-400-AS-210-SK-006</v>
          </cell>
          <cell r="E5095" t="str">
            <v>P-1048(72/107)</v>
          </cell>
        </row>
        <row r="5096">
          <cell r="B5096" t="str">
            <v>B272-400-AS-210-SK-006</v>
          </cell>
          <cell r="E5096" t="str">
            <v>P-1048(73/107)</v>
          </cell>
        </row>
        <row r="5097">
          <cell r="B5097" t="str">
            <v>B272-400-AS-210-SK-006</v>
          </cell>
          <cell r="E5097" t="str">
            <v>P-1048(74/107)</v>
          </cell>
        </row>
        <row r="5098">
          <cell r="B5098" t="str">
            <v>B272-400-AS-210-SK-006</v>
          </cell>
          <cell r="E5098" t="str">
            <v>P-1048(75/107)</v>
          </cell>
        </row>
        <row r="5099">
          <cell r="B5099" t="str">
            <v>B272-400-AS-210-SK-006</v>
          </cell>
          <cell r="E5099" t="str">
            <v>P-1048(76/107)</v>
          </cell>
        </row>
        <row r="5100">
          <cell r="B5100" t="str">
            <v>B272-400-AS-210-SK-006</v>
          </cell>
          <cell r="E5100" t="str">
            <v>P-1048(77/107)</v>
          </cell>
        </row>
        <row r="5101">
          <cell r="B5101" t="str">
            <v>B272-400-AS-210-SK-006</v>
          </cell>
          <cell r="E5101" t="str">
            <v>P-1048(78/107)</v>
          </cell>
        </row>
        <row r="5102">
          <cell r="B5102" t="str">
            <v>B272-400-AS-210-SK-006</v>
          </cell>
          <cell r="E5102" t="str">
            <v>P-1048(79/107)</v>
          </cell>
        </row>
        <row r="5103">
          <cell r="B5103" t="str">
            <v>B272-400-AS-210-SK-006</v>
          </cell>
          <cell r="E5103" t="str">
            <v>P-1048(80/107)</v>
          </cell>
        </row>
        <row r="5104">
          <cell r="B5104" t="str">
            <v>B272-400-AS-210-SK-006</v>
          </cell>
          <cell r="E5104" t="str">
            <v>P-1048(81/107)</v>
          </cell>
        </row>
        <row r="5105">
          <cell r="B5105" t="str">
            <v>B272-400-AS-210-SK-006</v>
          </cell>
          <cell r="E5105" t="str">
            <v>P-1048(82/107)</v>
          </cell>
        </row>
        <row r="5106">
          <cell r="B5106" t="str">
            <v>B272-400-AS-210-SK-006</v>
          </cell>
          <cell r="E5106" t="str">
            <v>P-1048(83/107)</v>
          </cell>
        </row>
        <row r="5107">
          <cell r="B5107" t="str">
            <v>B272-400-AS-210-SK-006</v>
          </cell>
          <cell r="E5107" t="str">
            <v>P-1048(84/107)</v>
          </cell>
        </row>
        <row r="5108">
          <cell r="B5108" t="str">
            <v>B272-400-AS-210-SK-006</v>
          </cell>
          <cell r="E5108" t="str">
            <v>P-1048(85/107)</v>
          </cell>
        </row>
        <row r="5109">
          <cell r="B5109" t="str">
            <v>B272-400-AS-210-SK-006</v>
          </cell>
          <cell r="E5109" t="str">
            <v>P-1048(86/107)</v>
          </cell>
        </row>
        <row r="5110">
          <cell r="B5110" t="str">
            <v>B272-400-AS-210-SK-006</v>
          </cell>
          <cell r="E5110" t="str">
            <v>P-1048(87/107)</v>
          </cell>
        </row>
        <row r="5111">
          <cell r="B5111" t="str">
            <v>B272-400-AS-210-SK-006</v>
          </cell>
          <cell r="E5111" t="str">
            <v>P-1048(88/107)</v>
          </cell>
        </row>
        <row r="5112">
          <cell r="B5112" t="str">
            <v>B272-400-AS-210-SK-006</v>
          </cell>
          <cell r="E5112" t="str">
            <v>P-1048(89/107)</v>
          </cell>
        </row>
        <row r="5113">
          <cell r="B5113" t="str">
            <v>B272-400-AS-210-SK-006</v>
          </cell>
          <cell r="E5113" t="str">
            <v>P-1048(90/107)</v>
          </cell>
        </row>
        <row r="5114">
          <cell r="B5114" t="str">
            <v>B272-400-AS-210-SK-006</v>
          </cell>
          <cell r="E5114" t="str">
            <v>P-1048(91/107)</v>
          </cell>
        </row>
        <row r="5115">
          <cell r="B5115" t="str">
            <v>B272-400-AS-210-SK-006</v>
          </cell>
          <cell r="E5115" t="str">
            <v>P-1048(92/107)</v>
          </cell>
        </row>
        <row r="5116">
          <cell r="B5116" t="str">
            <v>B272-400-AS-210-SK-006</v>
          </cell>
          <cell r="E5116" t="str">
            <v>P-1048(93/107)</v>
          </cell>
        </row>
        <row r="5117">
          <cell r="B5117" t="str">
            <v>B272-400-AS-210-SK-006</v>
          </cell>
          <cell r="E5117" t="str">
            <v>P-1048(94/107)</v>
          </cell>
        </row>
        <row r="5118">
          <cell r="B5118" t="str">
            <v>B272-400-AS-210-SK-006</v>
          </cell>
          <cell r="E5118" t="str">
            <v>P-1048(95/107)</v>
          </cell>
        </row>
        <row r="5119">
          <cell r="B5119" t="str">
            <v>B272-400-AS-210-SK-006</v>
          </cell>
          <cell r="E5119" t="str">
            <v>P-1048(96/107)</v>
          </cell>
        </row>
        <row r="5120">
          <cell r="B5120" t="str">
            <v>B272-400-AS-210-SK-006</v>
          </cell>
          <cell r="E5120" t="str">
            <v>P-1048(97/107)</v>
          </cell>
        </row>
        <row r="5121">
          <cell r="B5121" t="str">
            <v>B272-400-AS-210-SK-006</v>
          </cell>
          <cell r="E5121" t="str">
            <v>P-1048(98/107)</v>
          </cell>
        </row>
        <row r="5122">
          <cell r="B5122" t="str">
            <v>B272-400-AS-210-SK-006</v>
          </cell>
          <cell r="E5122" t="str">
            <v>P-1048(99/107)</v>
          </cell>
        </row>
        <row r="5123">
          <cell r="B5123" t="str">
            <v>B272-400-AS-210-SK-006</v>
          </cell>
          <cell r="E5123" t="str">
            <v>P-1048(100/107)</v>
          </cell>
        </row>
        <row r="5124">
          <cell r="B5124" t="str">
            <v>B272-400-AS-210-SK-006</v>
          </cell>
          <cell r="E5124" t="str">
            <v>P-1048(101/107)</v>
          </cell>
        </row>
        <row r="5125">
          <cell r="B5125" t="str">
            <v>B272-400-AS-210-SK-006</v>
          </cell>
          <cell r="E5125" t="str">
            <v>P-1048(102/107)</v>
          </cell>
        </row>
        <row r="5126">
          <cell r="B5126" t="str">
            <v>B272-400-AS-210-SK-006</v>
          </cell>
          <cell r="E5126" t="str">
            <v>P-1048(103/107)</v>
          </cell>
        </row>
        <row r="5127">
          <cell r="B5127" t="str">
            <v>B272-400-AS-210-SK-006</v>
          </cell>
          <cell r="E5127" t="str">
            <v>P-1048(104/107)</v>
          </cell>
        </row>
        <row r="5128">
          <cell r="B5128" t="str">
            <v>B272-400-AS-210-SK-006</v>
          </cell>
          <cell r="E5128" t="str">
            <v>P-1048(105/107)</v>
          </cell>
        </row>
        <row r="5129">
          <cell r="B5129" t="str">
            <v>B272-400-AS-210-SK-006</v>
          </cell>
          <cell r="E5129" t="str">
            <v>P-1048(106/107)</v>
          </cell>
        </row>
        <row r="5130">
          <cell r="B5130" t="str">
            <v>B272-400-AS-210-SK-006</v>
          </cell>
          <cell r="E5130" t="str">
            <v>P-1048(107/107)</v>
          </cell>
        </row>
        <row r="5131">
          <cell r="B5131" t="str">
            <v>B272-400-AS-210-SK-006</v>
          </cell>
          <cell r="E5131" t="str">
            <v>P-1049</v>
          </cell>
        </row>
        <row r="5132">
          <cell r="B5132" t="str">
            <v>B272-400-AS-210-SK-006</v>
          </cell>
          <cell r="E5132" t="str">
            <v>P-1118(1/4)</v>
          </cell>
        </row>
        <row r="5133">
          <cell r="B5133" t="str">
            <v>B272-400-AS-210-SK-006</v>
          </cell>
          <cell r="E5133" t="str">
            <v>P-1118(2/4)</v>
          </cell>
        </row>
        <row r="5134">
          <cell r="B5134" t="str">
            <v>B272-400-AS-210-SK-006</v>
          </cell>
          <cell r="E5134" t="str">
            <v>P-1118(3/4)</v>
          </cell>
        </row>
        <row r="5135">
          <cell r="B5135" t="str">
            <v>B272-400-AS-210-SK-006</v>
          </cell>
          <cell r="E5135" t="str">
            <v>P-1118(4/4)</v>
          </cell>
        </row>
        <row r="5136">
          <cell r="B5136" t="str">
            <v>B272-400-AS-210-SK-006</v>
          </cell>
          <cell r="E5136" t="str">
            <v>P-1145(1/2)</v>
          </cell>
        </row>
        <row r="5137">
          <cell r="B5137" t="str">
            <v>B272-400-AS-210-SK-006</v>
          </cell>
          <cell r="E5137" t="str">
            <v>P-1145-A(1/2)</v>
          </cell>
        </row>
        <row r="5138">
          <cell r="B5138" t="str">
            <v>B272-400-AS-210-SK-006</v>
          </cell>
          <cell r="E5138" t="str">
            <v>P-1145-B(1/2)</v>
          </cell>
        </row>
        <row r="5139">
          <cell r="B5139" t="str">
            <v>B272-400-AS-210-SK-006</v>
          </cell>
          <cell r="E5139" t="str">
            <v>P-1145(2/2)</v>
          </cell>
        </row>
        <row r="5140">
          <cell r="B5140" t="str">
            <v>B272-400-AS-210-SK-006</v>
          </cell>
          <cell r="E5140" t="str">
            <v>P-1145-A(2/2)</v>
          </cell>
        </row>
        <row r="5141">
          <cell r="B5141" t="str">
            <v>B272-400-AS-210-SK-006</v>
          </cell>
          <cell r="E5141" t="str">
            <v>P-1145-B(2/2)</v>
          </cell>
        </row>
        <row r="5142">
          <cell r="B5142" t="str">
            <v>B272-400-AS-210-SK-006</v>
          </cell>
          <cell r="E5142" t="str">
            <v>P-1146(1/2)</v>
          </cell>
        </row>
        <row r="5143">
          <cell r="B5143" t="str">
            <v>B272-400-AS-210-SK-006</v>
          </cell>
          <cell r="E5143" t="str">
            <v>P-1146-A(1/2)</v>
          </cell>
        </row>
        <row r="5144">
          <cell r="B5144" t="str">
            <v>B272-400-AS-210-SK-006</v>
          </cell>
          <cell r="E5144" t="str">
            <v>P-1146-B(1/2)</v>
          </cell>
        </row>
        <row r="5145">
          <cell r="B5145" t="str">
            <v>B272-400-AS-210-SK-006</v>
          </cell>
          <cell r="E5145" t="str">
            <v>P-1146(2/2)</v>
          </cell>
        </row>
        <row r="5146">
          <cell r="B5146" t="str">
            <v>B272-400-AS-210-SK-006</v>
          </cell>
          <cell r="E5146" t="str">
            <v>P-1146-A(2/2)</v>
          </cell>
        </row>
        <row r="5147">
          <cell r="B5147" t="str">
            <v>B272-400-AS-210-SK-006</v>
          </cell>
          <cell r="E5147" t="str">
            <v>P-1146-B(2/2)</v>
          </cell>
        </row>
        <row r="5148">
          <cell r="B5148" t="str">
            <v>B272-400-AS-210-SK-006</v>
          </cell>
          <cell r="E5148" t="str">
            <v>P-1147(1/4)</v>
          </cell>
        </row>
        <row r="5149">
          <cell r="B5149" t="str">
            <v>B272-400-AS-210-SK-006</v>
          </cell>
          <cell r="E5149" t="str">
            <v>P-1147(2/4)</v>
          </cell>
        </row>
        <row r="5150">
          <cell r="B5150" t="str">
            <v>B272-400-AS-210-SK-006</v>
          </cell>
          <cell r="E5150" t="str">
            <v>P-1147(3/4)</v>
          </cell>
        </row>
        <row r="5151">
          <cell r="B5151" t="str">
            <v>B272-400-AS-210-SK-006</v>
          </cell>
          <cell r="E5151" t="str">
            <v>P-1147(4/4)</v>
          </cell>
        </row>
        <row r="5152">
          <cell r="B5152" t="str">
            <v>B272-400-AS-210-SK-006</v>
          </cell>
          <cell r="E5152" t="str">
            <v>P-1148(1/2)</v>
          </cell>
        </row>
        <row r="5153">
          <cell r="B5153" t="str">
            <v>B272-400-AS-210-SK-006</v>
          </cell>
          <cell r="E5153" t="str">
            <v>P-1148(2/2)</v>
          </cell>
        </row>
        <row r="5154">
          <cell r="B5154" t="str">
            <v>B272-400-AS-210-SK-006</v>
          </cell>
          <cell r="E5154" t="str">
            <v>P-1149(1/2)</v>
          </cell>
        </row>
        <row r="5155">
          <cell r="B5155" t="str">
            <v>B272-400-AS-210-SK-006</v>
          </cell>
          <cell r="E5155" t="str">
            <v>P-1149(2/2)</v>
          </cell>
        </row>
        <row r="5156">
          <cell r="B5156" t="str">
            <v>B272-400-AS-210-SK-006</v>
          </cell>
          <cell r="E5156" t="str">
            <v>P-1171</v>
          </cell>
        </row>
        <row r="5157">
          <cell r="B5157" t="str">
            <v>B272-400-AS-210-SK-006</v>
          </cell>
          <cell r="E5157" t="str">
            <v>P-1174(1/2)</v>
          </cell>
        </row>
        <row r="5158">
          <cell r="B5158" t="str">
            <v>B272-400-AS-210-SK-006</v>
          </cell>
          <cell r="E5158" t="str">
            <v>P-1174(2/2)</v>
          </cell>
        </row>
        <row r="5159">
          <cell r="B5159" t="str">
            <v>B272-400-AS-210-SK-006</v>
          </cell>
          <cell r="E5159" t="str">
            <v>PFY-6</v>
          </cell>
        </row>
        <row r="5160">
          <cell r="B5160" t="str">
            <v>B272-400-AS-210-SK-006</v>
          </cell>
          <cell r="E5160" t="str">
            <v>PFY-6-A</v>
          </cell>
        </row>
        <row r="5161">
          <cell r="B5161" t="str">
            <v>B272-400-AS-210-SK-006</v>
          </cell>
          <cell r="E5161" t="str">
            <v>PFY-6-B</v>
          </cell>
        </row>
        <row r="5162">
          <cell r="B5162" t="str">
            <v>B272-400-AS-210-SK-006</v>
          </cell>
          <cell r="E5162" t="str">
            <v>PFY-6-C</v>
          </cell>
        </row>
        <row r="5163">
          <cell r="B5163" t="str">
            <v>B272-400-AS-210-SK-006</v>
          </cell>
          <cell r="E5163" t="str">
            <v>PFY-6-D</v>
          </cell>
        </row>
        <row r="5164">
          <cell r="B5164" t="str">
            <v>B272-400-AS-210-SK-006</v>
          </cell>
          <cell r="E5164" t="str">
            <v>PX-37</v>
          </cell>
        </row>
        <row r="5165">
          <cell r="B5165" t="str">
            <v>B272-400-AS-210-SK-006</v>
          </cell>
          <cell r="E5165" t="str">
            <v>PX-38</v>
          </cell>
        </row>
        <row r="5166">
          <cell r="B5166" t="str">
            <v>B272-400-AS-210-SK-006</v>
          </cell>
          <cell r="E5166" t="str">
            <v>PX-41(1/3)</v>
          </cell>
        </row>
        <row r="5167">
          <cell r="B5167" t="str">
            <v>B272-400-AS-210-SK-006</v>
          </cell>
          <cell r="E5167" t="str">
            <v>PX-41(2/3)</v>
          </cell>
        </row>
        <row r="5168">
          <cell r="B5168" t="str">
            <v>B272-400-AS-210-SK-006</v>
          </cell>
          <cell r="E5168" t="str">
            <v>PX-41(3/3)</v>
          </cell>
        </row>
        <row r="5169">
          <cell r="B5169" t="str">
            <v>B272-400-AS-210-SK-006</v>
          </cell>
          <cell r="E5169" t="str">
            <v>PX-104(1/20)</v>
          </cell>
        </row>
        <row r="5170">
          <cell r="B5170" t="str">
            <v>B272-400-AS-210-SK-006</v>
          </cell>
          <cell r="E5170" t="str">
            <v>PX-104(2/20)</v>
          </cell>
        </row>
        <row r="5171">
          <cell r="B5171" t="str">
            <v>B272-400-AS-210-SK-006</v>
          </cell>
          <cell r="E5171" t="str">
            <v>PX-104(3/20)</v>
          </cell>
        </row>
        <row r="5172">
          <cell r="B5172" t="str">
            <v>B272-400-AS-210-SK-006</v>
          </cell>
          <cell r="E5172" t="str">
            <v>PX-104(4/20)</v>
          </cell>
        </row>
        <row r="5173">
          <cell r="B5173" t="str">
            <v>B272-400-AS-210-SK-006</v>
          </cell>
          <cell r="E5173" t="str">
            <v>PX-104(5/20)</v>
          </cell>
        </row>
        <row r="5174">
          <cell r="B5174" t="str">
            <v>B272-400-AS-210-SK-006</v>
          </cell>
          <cell r="E5174" t="str">
            <v>PX-104(6/20)</v>
          </cell>
        </row>
        <row r="5175">
          <cell r="B5175" t="str">
            <v>B272-400-AS-210-SK-006</v>
          </cell>
          <cell r="E5175" t="str">
            <v>PX-104(7/20)</v>
          </cell>
        </row>
        <row r="5176">
          <cell r="B5176" t="str">
            <v>B272-400-AS-210-SK-006</v>
          </cell>
          <cell r="E5176" t="str">
            <v>PX-104(8/20)</v>
          </cell>
        </row>
        <row r="5177">
          <cell r="B5177" t="str">
            <v>B272-400-AS-210-SK-006</v>
          </cell>
          <cell r="E5177" t="str">
            <v>PX-104(9/20)</v>
          </cell>
        </row>
        <row r="5178">
          <cell r="B5178" t="str">
            <v>B272-400-AS-210-SK-006</v>
          </cell>
          <cell r="E5178" t="str">
            <v>PX-104(10/20)</v>
          </cell>
        </row>
        <row r="5179">
          <cell r="B5179" t="str">
            <v>B272-400-AS-210-SK-006</v>
          </cell>
          <cell r="E5179" t="str">
            <v>PX-104(11/20)</v>
          </cell>
        </row>
        <row r="5180">
          <cell r="B5180" t="str">
            <v>B272-400-AS-210-SK-006</v>
          </cell>
          <cell r="E5180" t="str">
            <v>PX-104(12/20)</v>
          </cell>
        </row>
        <row r="5181">
          <cell r="B5181" t="str">
            <v>B272-400-AS-210-SK-006</v>
          </cell>
          <cell r="E5181" t="str">
            <v>PX-104(13/20)</v>
          </cell>
        </row>
        <row r="5182">
          <cell r="B5182" t="str">
            <v>B272-400-AS-210-SK-006</v>
          </cell>
          <cell r="E5182" t="str">
            <v>PX-104(14/20)</v>
          </cell>
        </row>
        <row r="5183">
          <cell r="B5183" t="str">
            <v>B272-400-AS-210-SK-006</v>
          </cell>
          <cell r="E5183" t="str">
            <v>PX-104(15/20)</v>
          </cell>
        </row>
        <row r="5184">
          <cell r="B5184" t="str">
            <v>B272-400-AS-210-SK-006</v>
          </cell>
          <cell r="E5184" t="str">
            <v>PX-104(16/20)</v>
          </cell>
        </row>
        <row r="5185">
          <cell r="B5185" t="str">
            <v>B272-400-AS-210-SK-006</v>
          </cell>
          <cell r="E5185" t="str">
            <v>PX-104(17/20)</v>
          </cell>
        </row>
        <row r="5186">
          <cell r="B5186" t="str">
            <v>B272-400-AS-210-SK-006</v>
          </cell>
          <cell r="E5186" t="str">
            <v>PX-104(18/20)</v>
          </cell>
        </row>
        <row r="5187">
          <cell r="B5187" t="str">
            <v>B272-400-AS-210-SK-006</v>
          </cell>
          <cell r="E5187" t="str">
            <v>PX-104(19/20)</v>
          </cell>
        </row>
        <row r="5188">
          <cell r="B5188" t="str">
            <v>B272-400-AS-210-SK-006</v>
          </cell>
          <cell r="E5188" t="str">
            <v>PX-104(20/20)</v>
          </cell>
        </row>
        <row r="5189">
          <cell r="B5189" t="str">
            <v>B272-400-AS-210-SK-006</v>
          </cell>
          <cell r="E5189" t="str">
            <v>PX-106</v>
          </cell>
        </row>
        <row r="5190">
          <cell r="B5190" t="str">
            <v>B272-400-AS-210-SK-006</v>
          </cell>
          <cell r="E5190" t="str">
            <v>PX-106</v>
          </cell>
        </row>
        <row r="5191">
          <cell r="B5191" t="str">
            <v>B272-400-AS-210-SK-006</v>
          </cell>
          <cell r="E5191" t="str">
            <v>PX-106</v>
          </cell>
        </row>
        <row r="5192">
          <cell r="B5192" t="str">
            <v>B272-400-AS-210-SK-006</v>
          </cell>
          <cell r="E5192" t="str">
            <v>PX-106</v>
          </cell>
        </row>
        <row r="5193">
          <cell r="B5193" t="str">
            <v>B272-400-AS-210-SK-006</v>
          </cell>
          <cell r="E5193" t="str">
            <v>PX-106</v>
          </cell>
        </row>
        <row r="5194">
          <cell r="B5194" t="str">
            <v>B272-400-AS-210-SK-006</v>
          </cell>
          <cell r="E5194" t="str">
            <v>PX-107</v>
          </cell>
        </row>
        <row r="5195">
          <cell r="B5195" t="str">
            <v>B272-400-AS-210-SK-006</v>
          </cell>
          <cell r="E5195" t="str">
            <v>PX-107</v>
          </cell>
        </row>
        <row r="5196">
          <cell r="B5196" t="str">
            <v>B272-400-AS-210-SK-006</v>
          </cell>
          <cell r="E5196" t="str">
            <v>PX-107</v>
          </cell>
        </row>
        <row r="5197">
          <cell r="B5197" t="str">
            <v>B272-400-AS-210-SK-006</v>
          </cell>
          <cell r="E5197" t="str">
            <v>PX-107</v>
          </cell>
        </row>
        <row r="5198">
          <cell r="B5198" t="str">
            <v>B272-400-AS-210-SK-006</v>
          </cell>
          <cell r="E5198" t="str">
            <v>PX-107</v>
          </cell>
        </row>
        <row r="5199">
          <cell r="B5199" t="str">
            <v>B272-400-AS-210-SK-006</v>
          </cell>
          <cell r="E5199" t="str">
            <v>PX-108</v>
          </cell>
        </row>
        <row r="5200">
          <cell r="B5200" t="str">
            <v>B272-400-AS-210-SK-006</v>
          </cell>
          <cell r="E5200" t="str">
            <v>PX-108</v>
          </cell>
        </row>
        <row r="5201">
          <cell r="B5201" t="str">
            <v>B272-400-AS-210-SK-006</v>
          </cell>
          <cell r="E5201" t="str">
            <v>PX-108</v>
          </cell>
        </row>
        <row r="5202">
          <cell r="B5202" t="str">
            <v>B272-400-AS-210-SK-006</v>
          </cell>
          <cell r="E5202" t="str">
            <v>PX-108</v>
          </cell>
        </row>
        <row r="5203">
          <cell r="B5203" t="str">
            <v>B272-400-AS-210-SK-006</v>
          </cell>
          <cell r="E5203" t="str">
            <v>PX-108</v>
          </cell>
        </row>
        <row r="5204">
          <cell r="B5204" t="str">
            <v>B272-400-AS-210-SK-006</v>
          </cell>
          <cell r="E5204" t="str">
            <v>PX-131</v>
          </cell>
        </row>
        <row r="5205">
          <cell r="B5205" t="str">
            <v>B272-400-AS-210-SK-006</v>
          </cell>
          <cell r="E5205" t="str">
            <v>P-867(1/25)</v>
          </cell>
        </row>
        <row r="5206">
          <cell r="B5206" t="str">
            <v>B272-400-AS-210-SK-006</v>
          </cell>
          <cell r="E5206" t="str">
            <v>P-867(2/25)</v>
          </cell>
        </row>
        <row r="5207">
          <cell r="B5207" t="str">
            <v>B272-400-AS-210-SK-006</v>
          </cell>
          <cell r="E5207" t="str">
            <v>P-867(3/25)</v>
          </cell>
        </row>
        <row r="5208">
          <cell r="B5208" t="str">
            <v>B272-400-AS-210-SK-006</v>
          </cell>
          <cell r="E5208" t="str">
            <v>P-867(4/25)</v>
          </cell>
        </row>
        <row r="5209">
          <cell r="B5209" t="str">
            <v>B272-400-AS-210-SK-006</v>
          </cell>
          <cell r="E5209" t="str">
            <v>P-867(5/25)</v>
          </cell>
        </row>
        <row r="5210">
          <cell r="B5210" t="str">
            <v>B272-400-AS-210-SK-006</v>
          </cell>
          <cell r="E5210" t="str">
            <v>P-867(6/25)</v>
          </cell>
        </row>
        <row r="5211">
          <cell r="B5211" t="str">
            <v>B272-400-AS-210-SK-006</v>
          </cell>
          <cell r="E5211" t="str">
            <v>P-867(7/25)</v>
          </cell>
        </row>
        <row r="5212">
          <cell r="B5212" t="str">
            <v>B272-400-AS-210-SK-006</v>
          </cell>
          <cell r="E5212" t="str">
            <v>P-867(8/25)</v>
          </cell>
        </row>
        <row r="5213">
          <cell r="B5213" t="str">
            <v>B272-400-AS-210-SK-006</v>
          </cell>
          <cell r="E5213" t="str">
            <v>P-867(9/25)</v>
          </cell>
        </row>
        <row r="5214">
          <cell r="B5214" t="str">
            <v>B272-400-AS-210-SK-006</v>
          </cell>
          <cell r="E5214" t="str">
            <v>P-867(10/25)</v>
          </cell>
        </row>
        <row r="5215">
          <cell r="B5215" t="str">
            <v>B272-400-AS-210-SK-006</v>
          </cell>
          <cell r="E5215" t="str">
            <v>P-867(11/25)</v>
          </cell>
        </row>
        <row r="5216">
          <cell r="B5216" t="str">
            <v>B272-400-AS-210-SK-006</v>
          </cell>
          <cell r="E5216" t="str">
            <v>P-867(12/25)</v>
          </cell>
        </row>
        <row r="5217">
          <cell r="B5217" t="str">
            <v>B272-400-AS-210-SK-006</v>
          </cell>
          <cell r="E5217" t="str">
            <v>P-867(13/25)</v>
          </cell>
        </row>
        <row r="5218">
          <cell r="B5218" t="str">
            <v>B272-400-AS-210-SK-006</v>
          </cell>
          <cell r="E5218" t="str">
            <v>P-867(14/25)</v>
          </cell>
        </row>
        <row r="5219">
          <cell r="B5219" t="str">
            <v>B272-400-AS-210-SK-006</v>
          </cell>
          <cell r="E5219" t="str">
            <v>P-867(15/25)</v>
          </cell>
        </row>
        <row r="5220">
          <cell r="B5220" t="str">
            <v>B272-400-AS-210-SK-006</v>
          </cell>
          <cell r="E5220" t="str">
            <v>P-867(16/25)</v>
          </cell>
        </row>
        <row r="5221">
          <cell r="B5221" t="str">
            <v>B272-400-AS-210-SK-006</v>
          </cell>
          <cell r="E5221" t="str">
            <v>P-867(17/25)</v>
          </cell>
        </row>
        <row r="5222">
          <cell r="B5222" t="str">
            <v>B272-400-AS-210-SK-006</v>
          </cell>
          <cell r="E5222" t="str">
            <v>P-867(18/25)</v>
          </cell>
        </row>
        <row r="5223">
          <cell r="B5223" t="str">
            <v>B272-400-AS-210-SK-006</v>
          </cell>
          <cell r="E5223" t="str">
            <v>P-867(19/25)</v>
          </cell>
        </row>
        <row r="5224">
          <cell r="B5224" t="str">
            <v>B272-400-AS-210-SK-006</v>
          </cell>
          <cell r="E5224" t="str">
            <v>P-867(20/25)</v>
          </cell>
        </row>
        <row r="5225">
          <cell r="B5225" t="str">
            <v>B272-400-AS-210-SK-006</v>
          </cell>
          <cell r="E5225" t="str">
            <v>P-867(21/25)</v>
          </cell>
        </row>
        <row r="5226">
          <cell r="B5226" t="str">
            <v>B272-400-AS-210-SK-006</v>
          </cell>
          <cell r="E5226" t="str">
            <v>P-867(22/25)</v>
          </cell>
        </row>
        <row r="5227">
          <cell r="B5227" t="str">
            <v>B272-400-AS-210-SK-006</v>
          </cell>
          <cell r="E5227" t="str">
            <v>P-867(23/25)</v>
          </cell>
        </row>
        <row r="5228">
          <cell r="B5228" t="str">
            <v>B272-400-AS-210-SK-006</v>
          </cell>
          <cell r="E5228" t="str">
            <v>P-867(24/25)</v>
          </cell>
        </row>
        <row r="5229">
          <cell r="B5229" t="str">
            <v>B272-400-AS-210-SK-006</v>
          </cell>
          <cell r="E5229" t="str">
            <v>P-867(25/25)</v>
          </cell>
        </row>
        <row r="5230">
          <cell r="B5230" t="str">
            <v>B272-400-AS-210-SK-006</v>
          </cell>
          <cell r="E5230" t="str">
            <v>P-2011(1/2)</v>
          </cell>
        </row>
        <row r="5231">
          <cell r="B5231" t="str">
            <v>B272-400-AS-210-SK-006</v>
          </cell>
          <cell r="E5231" t="str">
            <v>P-2011(2/2)</v>
          </cell>
        </row>
        <row r="5232">
          <cell r="B5232" t="str">
            <v>B272-400-AS-210-SK-006</v>
          </cell>
          <cell r="E5232" t="str">
            <v>P-2024</v>
          </cell>
        </row>
        <row r="5233">
          <cell r="B5233" t="str">
            <v>B272-400-AS-210-SK-006</v>
          </cell>
          <cell r="E5233" t="str">
            <v>P-2027</v>
          </cell>
        </row>
        <row r="5234">
          <cell r="B5234" t="str">
            <v>B272-400-AS-210-SK-006</v>
          </cell>
          <cell r="E5234" t="str">
            <v>P-2028</v>
          </cell>
        </row>
        <row r="5235">
          <cell r="B5235" t="str">
            <v>B272-400-AS-210-SK-006</v>
          </cell>
          <cell r="E5235" t="str">
            <v>P-2056</v>
          </cell>
        </row>
        <row r="5236">
          <cell r="B5236" t="str">
            <v>B272-400-AS-210-SK-006</v>
          </cell>
          <cell r="E5236" t="str">
            <v>P-2058</v>
          </cell>
        </row>
        <row r="5237">
          <cell r="B5237" t="str">
            <v>B272-400-AS-210-SK-006</v>
          </cell>
          <cell r="E5237" t="str">
            <v>PX-2001</v>
          </cell>
        </row>
        <row r="5238">
          <cell r="B5238" t="str">
            <v>B272-400-AS-210-SK-006</v>
          </cell>
          <cell r="E5238" t="str">
            <v>PX-2004</v>
          </cell>
        </row>
        <row r="5239">
          <cell r="B5239" t="str">
            <v>B272-400-AS-210-SK-006</v>
          </cell>
          <cell r="E5239" t="str">
            <v>B20120</v>
          </cell>
        </row>
        <row r="5240">
          <cell r="B5240" t="str">
            <v>B272-400-AS-210-SK-014</v>
          </cell>
        </row>
        <row r="5241">
          <cell r="B5241" t="str">
            <v>B272-400-AS-210-SK-014</v>
          </cell>
          <cell r="E5241" t="str">
            <v>N-31</v>
          </cell>
        </row>
        <row r="5242">
          <cell r="B5242" t="str">
            <v>B272-400-AS-210-SK-014</v>
          </cell>
          <cell r="E5242" t="str">
            <v>R-15</v>
          </cell>
        </row>
        <row r="5243">
          <cell r="B5243" t="str">
            <v>B272-400-AS-210-SK-014</v>
          </cell>
          <cell r="E5243" t="str">
            <v>W-75</v>
          </cell>
        </row>
        <row r="5244">
          <cell r="B5244" t="str">
            <v>B272-400-AS-210-SK-014</v>
          </cell>
        </row>
        <row r="5245">
          <cell r="B5245" t="str">
            <v>B272-400-AS-210-SK-014</v>
          </cell>
          <cell r="E5245" t="str">
            <v>N-31</v>
          </cell>
        </row>
        <row r="5246">
          <cell r="B5246" t="str">
            <v>B272-400-AS-210-SK-014</v>
          </cell>
          <cell r="E5246" t="str">
            <v>R-15</v>
          </cell>
        </row>
        <row r="5247">
          <cell r="B5247" t="str">
            <v>B272-400-AS-210-SK-014</v>
          </cell>
          <cell r="E5247" t="str">
            <v>W-75</v>
          </cell>
        </row>
        <row r="5248">
          <cell r="B5248" t="str">
            <v>B272-400-AS-210-SK-014</v>
          </cell>
        </row>
        <row r="5249">
          <cell r="B5249" t="str">
            <v>B272-400-AS-210-SK-014</v>
          </cell>
          <cell r="E5249" t="str">
            <v>N-31</v>
          </cell>
        </row>
        <row r="5250">
          <cell r="B5250" t="str">
            <v>B272-400-AS-210-SK-014</v>
          </cell>
          <cell r="E5250" t="str">
            <v>R-15</v>
          </cell>
        </row>
        <row r="5251">
          <cell r="B5251" t="str">
            <v>B272-400-AS-210-SK-014</v>
          </cell>
          <cell r="E5251" t="str">
            <v>W-75</v>
          </cell>
        </row>
        <row r="5252">
          <cell r="B5252" t="str">
            <v>B272-400-AS-210-SK-014</v>
          </cell>
        </row>
        <row r="5253">
          <cell r="B5253" t="str">
            <v>B272-400-AS-210-SK-014</v>
          </cell>
          <cell r="E5253" t="str">
            <v>N-31</v>
          </cell>
        </row>
        <row r="5254">
          <cell r="B5254" t="str">
            <v>B272-400-AS-210-SK-014</v>
          </cell>
          <cell r="E5254" t="str">
            <v>R-15</v>
          </cell>
        </row>
        <row r="5255">
          <cell r="B5255" t="str">
            <v>B272-400-AS-210-SK-014</v>
          </cell>
          <cell r="E5255" t="str">
            <v>W-75</v>
          </cell>
        </row>
        <row r="5256">
          <cell r="B5256" t="str">
            <v>B272-400-AS-210-SK-014</v>
          </cell>
        </row>
        <row r="5257">
          <cell r="B5257" t="str">
            <v>B272-400-AS-210-SK-014</v>
          </cell>
          <cell r="E5257" t="str">
            <v>N-31</v>
          </cell>
        </row>
        <row r="5258">
          <cell r="B5258" t="str">
            <v>B272-400-AS-210-SK-014</v>
          </cell>
          <cell r="E5258" t="str">
            <v>R-15</v>
          </cell>
        </row>
        <row r="5259">
          <cell r="B5259" t="str">
            <v>B272-400-AS-210-SK-014</v>
          </cell>
          <cell r="E5259" t="str">
            <v>W-75</v>
          </cell>
        </row>
        <row r="5260">
          <cell r="B5260" t="str">
            <v>B272-400-AS-210-SK-014</v>
          </cell>
        </row>
        <row r="5261">
          <cell r="B5261" t="str">
            <v>B272-400-AS-210-SK-014</v>
          </cell>
          <cell r="E5261" t="str">
            <v>N-31</v>
          </cell>
        </row>
        <row r="5262">
          <cell r="B5262" t="str">
            <v>B272-400-AS-210-SK-014</v>
          </cell>
          <cell r="E5262" t="str">
            <v>R-15</v>
          </cell>
        </row>
        <row r="5263">
          <cell r="B5263" t="str">
            <v>B272-400-AS-210-SK-014</v>
          </cell>
          <cell r="E5263" t="str">
            <v>W-75</v>
          </cell>
        </row>
        <row r="5264">
          <cell r="B5264" t="str">
            <v>B272-400-AS-210-SK-014</v>
          </cell>
        </row>
        <row r="5265">
          <cell r="B5265" t="str">
            <v>B272-400-AS-210-SK-014</v>
          </cell>
          <cell r="E5265" t="str">
            <v>N-31</v>
          </cell>
        </row>
        <row r="5266">
          <cell r="B5266" t="str">
            <v>B272-400-AS-210-SK-014</v>
          </cell>
          <cell r="E5266" t="str">
            <v>R-15</v>
          </cell>
        </row>
        <row r="5267">
          <cell r="B5267" t="str">
            <v>B272-400-AS-210-SK-014</v>
          </cell>
          <cell r="E5267" t="str">
            <v>W-75</v>
          </cell>
        </row>
        <row r="5268">
          <cell r="B5268" t="str">
            <v>B272-400-AS-210-SK-014</v>
          </cell>
        </row>
        <row r="5269">
          <cell r="B5269" t="str">
            <v>B272-400-AS-210-SK-014</v>
          </cell>
          <cell r="E5269" t="str">
            <v>N-31</v>
          </cell>
        </row>
        <row r="5270">
          <cell r="B5270" t="str">
            <v>B272-400-AS-210-SK-014</v>
          </cell>
          <cell r="E5270" t="str">
            <v>R-15</v>
          </cell>
        </row>
        <row r="5271">
          <cell r="B5271" t="str">
            <v>B272-400-AS-210-SK-014</v>
          </cell>
          <cell r="E5271" t="str">
            <v>W-75</v>
          </cell>
        </row>
        <row r="5272">
          <cell r="B5272" t="str">
            <v>B272-400-AS-210-SK-014</v>
          </cell>
        </row>
        <row r="5273">
          <cell r="B5273" t="str">
            <v>B272-400-AS-210-SK-014</v>
          </cell>
          <cell r="E5273" t="str">
            <v>N-31</v>
          </cell>
        </row>
        <row r="5274">
          <cell r="B5274" t="str">
            <v>B272-400-AS-210-SK-014</v>
          </cell>
          <cell r="E5274" t="str">
            <v>R-15</v>
          </cell>
        </row>
        <row r="5275">
          <cell r="B5275" t="str">
            <v>B272-400-AS-210-SK-014</v>
          </cell>
          <cell r="E5275" t="str">
            <v>W-75</v>
          </cell>
        </row>
        <row r="5276">
          <cell r="B5276" t="str">
            <v>B272-400-AS-210-SK-014</v>
          </cell>
        </row>
        <row r="5277">
          <cell r="B5277" t="str">
            <v>B272-400-AS-210-SK-014</v>
          </cell>
          <cell r="E5277" t="str">
            <v>N-31</v>
          </cell>
        </row>
        <row r="5278">
          <cell r="B5278" t="str">
            <v>B272-400-AS-210-SK-014</v>
          </cell>
          <cell r="E5278" t="str">
            <v>R-15</v>
          </cell>
        </row>
        <row r="5279">
          <cell r="B5279" t="str">
            <v>B272-400-AS-210-SK-014</v>
          </cell>
          <cell r="E5279" t="str">
            <v>W-75</v>
          </cell>
        </row>
        <row r="5280">
          <cell r="B5280" t="str">
            <v>B272-400-AS-210-SK-014</v>
          </cell>
        </row>
        <row r="5281">
          <cell r="B5281" t="str">
            <v>B272-400-AS-210-SK-014</v>
          </cell>
          <cell r="E5281" t="str">
            <v>N-31</v>
          </cell>
        </row>
        <row r="5282">
          <cell r="B5282" t="str">
            <v>B272-400-AS-210-SK-014</v>
          </cell>
          <cell r="E5282" t="str">
            <v>R-15</v>
          </cell>
        </row>
        <row r="5283">
          <cell r="B5283" t="str">
            <v>B272-400-AS-210-SK-014</v>
          </cell>
          <cell r="E5283" t="str">
            <v>W-75</v>
          </cell>
        </row>
        <row r="5284">
          <cell r="B5284" t="str">
            <v>B272-400-AS-210-SK-014</v>
          </cell>
        </row>
        <row r="5285">
          <cell r="B5285" t="str">
            <v>B272-400-AS-210-SK-014</v>
          </cell>
          <cell r="E5285" t="str">
            <v>N-31</v>
          </cell>
        </row>
        <row r="5286">
          <cell r="B5286" t="str">
            <v>B272-400-AS-210-SK-014</v>
          </cell>
          <cell r="E5286" t="str">
            <v>R-15</v>
          </cell>
        </row>
        <row r="5287">
          <cell r="B5287" t="str">
            <v>B272-400-AS-210-SK-014</v>
          </cell>
          <cell r="E5287" t="str">
            <v>W-75</v>
          </cell>
        </row>
        <row r="5288">
          <cell r="B5288" t="str">
            <v>B272-400-AS-210-SK-014</v>
          </cell>
        </row>
        <row r="5289">
          <cell r="B5289" t="str">
            <v>B272-400-AS-210-SK-014</v>
          </cell>
          <cell r="E5289" t="str">
            <v>N-31</v>
          </cell>
        </row>
        <row r="5290">
          <cell r="B5290" t="str">
            <v>B272-400-AS-210-SK-014</v>
          </cell>
          <cell r="E5290" t="str">
            <v>R-15</v>
          </cell>
        </row>
        <row r="5291">
          <cell r="B5291" t="str">
            <v>B272-400-AS-210-SK-014</v>
          </cell>
          <cell r="E5291" t="str">
            <v>W-75</v>
          </cell>
        </row>
        <row r="5292">
          <cell r="B5292" t="str">
            <v>B272-400-AS-210-SK-014</v>
          </cell>
        </row>
        <row r="5293">
          <cell r="B5293" t="str">
            <v>B272-400-AS-210-SK-014</v>
          </cell>
          <cell r="E5293" t="str">
            <v>N-31</v>
          </cell>
        </row>
        <row r="5294">
          <cell r="B5294" t="str">
            <v>B272-400-AS-210-SK-014</v>
          </cell>
          <cell r="E5294" t="str">
            <v>R-15</v>
          </cell>
        </row>
        <row r="5295">
          <cell r="B5295" t="str">
            <v>B272-400-AS-210-SK-014</v>
          </cell>
          <cell r="E5295" t="str">
            <v>W-75</v>
          </cell>
        </row>
        <row r="5296">
          <cell r="B5296" t="str">
            <v>B272-400-AS-210-SK-014</v>
          </cell>
        </row>
        <row r="5297">
          <cell r="B5297" t="str">
            <v>B272-400-AS-210-SK-014</v>
          </cell>
          <cell r="E5297" t="str">
            <v>N-31</v>
          </cell>
        </row>
        <row r="5298">
          <cell r="B5298" t="str">
            <v>B272-400-AS-210-SK-014</v>
          </cell>
          <cell r="E5298" t="str">
            <v>R-15</v>
          </cell>
        </row>
        <row r="5299">
          <cell r="B5299" t="str">
            <v>B272-400-AS-210-SK-014</v>
          </cell>
          <cell r="E5299" t="str">
            <v>W-75</v>
          </cell>
        </row>
        <row r="5300">
          <cell r="B5300" t="str">
            <v>B272-400-AS-210-SK-014</v>
          </cell>
        </row>
        <row r="5301">
          <cell r="B5301" t="str">
            <v>B272-400-AS-210-SK-014</v>
          </cell>
          <cell r="E5301" t="str">
            <v>N-31</v>
          </cell>
        </row>
        <row r="5302">
          <cell r="B5302" t="str">
            <v>B272-400-AS-210-SK-014</v>
          </cell>
          <cell r="E5302" t="str">
            <v>R-15</v>
          </cell>
        </row>
        <row r="5303">
          <cell r="B5303" t="str">
            <v>B272-400-AS-210-SK-014</v>
          </cell>
          <cell r="E5303" t="str">
            <v>W-75</v>
          </cell>
        </row>
        <row r="5304">
          <cell r="B5304" t="str">
            <v>B272-400-AS-210-SK-014</v>
          </cell>
        </row>
        <row r="5305">
          <cell r="B5305" t="str">
            <v>B272-400-AS-210-SK-014</v>
          </cell>
          <cell r="E5305" t="str">
            <v>N-31</v>
          </cell>
        </row>
        <row r="5306">
          <cell r="B5306" t="str">
            <v>B272-400-AS-210-SK-014</v>
          </cell>
          <cell r="E5306" t="str">
            <v>R-15</v>
          </cell>
        </row>
        <row r="5307">
          <cell r="B5307" t="str">
            <v>B272-400-AS-210-SK-014</v>
          </cell>
          <cell r="E5307" t="str">
            <v>W-75</v>
          </cell>
        </row>
        <row r="5308">
          <cell r="B5308" t="str">
            <v>B272-400-AS-210-SK-014</v>
          </cell>
        </row>
        <row r="5309">
          <cell r="B5309" t="str">
            <v>B272-400-AS-210-SK-014</v>
          </cell>
          <cell r="E5309" t="str">
            <v>N-31</v>
          </cell>
        </row>
        <row r="5310">
          <cell r="B5310" t="str">
            <v>B272-400-AS-210-SK-014</v>
          </cell>
          <cell r="E5310" t="str">
            <v>R-15</v>
          </cell>
        </row>
        <row r="5311">
          <cell r="B5311" t="str">
            <v>B272-400-AS-210-SK-014</v>
          </cell>
          <cell r="E5311" t="str">
            <v>W-75</v>
          </cell>
        </row>
        <row r="5312">
          <cell r="B5312" t="str">
            <v>B272-400-AS-210-SK-014</v>
          </cell>
        </row>
        <row r="5313">
          <cell r="B5313" t="str">
            <v>B272-400-AS-210-SK-014</v>
          </cell>
          <cell r="E5313" t="str">
            <v>N-31</v>
          </cell>
        </row>
        <row r="5314">
          <cell r="B5314" t="str">
            <v>B272-400-AS-210-SK-014</v>
          </cell>
          <cell r="E5314" t="str">
            <v>R-15</v>
          </cell>
        </row>
        <row r="5315">
          <cell r="B5315" t="str">
            <v>B272-400-AS-210-SK-014</v>
          </cell>
          <cell r="E5315" t="str">
            <v>W-75</v>
          </cell>
        </row>
        <row r="5316">
          <cell r="B5316" t="str">
            <v>B272-400-AS-210-SK-014</v>
          </cell>
        </row>
        <row r="5317">
          <cell r="B5317" t="str">
            <v>B272-400-AS-210-SK-014</v>
          </cell>
          <cell r="E5317" t="str">
            <v>N-31</v>
          </cell>
        </row>
        <row r="5318">
          <cell r="B5318" t="str">
            <v>B272-400-AS-210-SK-014</v>
          </cell>
          <cell r="E5318" t="str">
            <v>R-15</v>
          </cell>
        </row>
        <row r="5319">
          <cell r="B5319" t="str">
            <v>B272-400-AS-210-SK-014</v>
          </cell>
          <cell r="E5319" t="str">
            <v>W-75</v>
          </cell>
        </row>
        <row r="5320">
          <cell r="B5320" t="str">
            <v>B272-400-AS-210-SK-014</v>
          </cell>
        </row>
        <row r="5321">
          <cell r="B5321" t="str">
            <v>B272-400-AS-210-SK-014</v>
          </cell>
          <cell r="E5321" t="str">
            <v>N-31</v>
          </cell>
        </row>
        <row r="5322">
          <cell r="B5322" t="str">
            <v>B272-400-AS-210-SK-014</v>
          </cell>
          <cell r="E5322" t="str">
            <v>R-15</v>
          </cell>
        </row>
        <row r="5323">
          <cell r="B5323" t="str">
            <v>B272-400-AS-210-SK-014</v>
          </cell>
          <cell r="E5323" t="str">
            <v>W-75</v>
          </cell>
        </row>
        <row r="5324">
          <cell r="B5324" t="str">
            <v>B272-400-AS-210-SK-014</v>
          </cell>
        </row>
        <row r="5325">
          <cell r="B5325" t="str">
            <v>B272-400-AS-210-SK-014</v>
          </cell>
          <cell r="E5325" t="str">
            <v>N-31</v>
          </cell>
        </row>
        <row r="5326">
          <cell r="B5326" t="str">
            <v>B272-400-AS-210-SK-014</v>
          </cell>
          <cell r="E5326" t="str">
            <v>R-15</v>
          </cell>
        </row>
        <row r="5327">
          <cell r="B5327" t="str">
            <v>B272-400-AS-210-SK-014</v>
          </cell>
          <cell r="E5327" t="str">
            <v>W-75</v>
          </cell>
        </row>
        <row r="5328">
          <cell r="B5328" t="str">
            <v>B272-400-AS-210-SK-014</v>
          </cell>
        </row>
        <row r="5329">
          <cell r="B5329" t="str">
            <v>B272-400-AS-210-SK-014</v>
          </cell>
          <cell r="E5329" t="str">
            <v>N-31</v>
          </cell>
        </row>
        <row r="5330">
          <cell r="B5330" t="str">
            <v>B272-400-AS-210-SK-014</v>
          </cell>
          <cell r="E5330" t="str">
            <v>R-15</v>
          </cell>
        </row>
        <row r="5331">
          <cell r="B5331" t="str">
            <v>B272-400-AS-210-SK-014</v>
          </cell>
          <cell r="E5331" t="str">
            <v>W-75</v>
          </cell>
        </row>
        <row r="5332">
          <cell r="B5332" t="str">
            <v>B272-400-AS-210-SK-014</v>
          </cell>
        </row>
        <row r="5333">
          <cell r="B5333" t="str">
            <v>B272-400-AS-210-SK-014</v>
          </cell>
          <cell r="E5333" t="str">
            <v>N-31</v>
          </cell>
        </row>
        <row r="5334">
          <cell r="B5334" t="str">
            <v>B272-400-AS-210-SK-014</v>
          </cell>
          <cell r="E5334" t="str">
            <v>R-15</v>
          </cell>
        </row>
        <row r="5335">
          <cell r="B5335" t="str">
            <v>B272-400-AS-210-SK-014</v>
          </cell>
          <cell r="E5335" t="str">
            <v>W-75</v>
          </cell>
        </row>
        <row r="5336">
          <cell r="B5336" t="str">
            <v>B272-400-AS-210-SK-014</v>
          </cell>
        </row>
        <row r="5337">
          <cell r="B5337" t="str">
            <v>B272-400-AS-210-SK-014</v>
          </cell>
          <cell r="E5337" t="str">
            <v>N-31</v>
          </cell>
        </row>
        <row r="5338">
          <cell r="B5338" t="str">
            <v>B272-400-AS-210-SK-014</v>
          </cell>
          <cell r="E5338" t="str">
            <v>R-15</v>
          </cell>
        </row>
        <row r="5339">
          <cell r="B5339" t="str">
            <v>B272-400-AS-210-SK-014</v>
          </cell>
          <cell r="E5339" t="str">
            <v>W-75</v>
          </cell>
        </row>
        <row r="5340">
          <cell r="B5340" t="str">
            <v>B272-400-AS-210-SK-014</v>
          </cell>
        </row>
        <row r="5341">
          <cell r="B5341" t="str">
            <v>B272-400-AS-210-SK-014</v>
          </cell>
          <cell r="E5341" t="str">
            <v>N-31</v>
          </cell>
        </row>
        <row r="5342">
          <cell r="B5342" t="str">
            <v>B272-400-AS-210-SK-014</v>
          </cell>
          <cell r="E5342" t="str">
            <v>R-15</v>
          </cell>
        </row>
        <row r="5343">
          <cell r="B5343" t="str">
            <v>B272-400-AS-210-SK-014</v>
          </cell>
          <cell r="E5343" t="str">
            <v>W-75</v>
          </cell>
        </row>
        <row r="5344">
          <cell r="B5344" t="str">
            <v>B272-400-AS-210-SK-014</v>
          </cell>
        </row>
        <row r="5345">
          <cell r="B5345" t="str">
            <v>B272-400-AS-210-SK-014</v>
          </cell>
          <cell r="E5345" t="str">
            <v>N-31</v>
          </cell>
        </row>
        <row r="5346">
          <cell r="B5346" t="str">
            <v>B272-400-AS-210-SK-014</v>
          </cell>
          <cell r="E5346" t="str">
            <v>R-15</v>
          </cell>
        </row>
        <row r="5347">
          <cell r="B5347" t="str">
            <v>B272-400-AS-210-SK-014</v>
          </cell>
          <cell r="E5347" t="str">
            <v>W-75</v>
          </cell>
        </row>
        <row r="5348">
          <cell r="B5348" t="str">
            <v>B272-400-AS-210-SK-014</v>
          </cell>
        </row>
        <row r="5349">
          <cell r="B5349" t="str">
            <v>B272-400-AS-210-SK-014</v>
          </cell>
          <cell r="E5349" t="str">
            <v>N-31</v>
          </cell>
        </row>
        <row r="5350">
          <cell r="B5350" t="str">
            <v>B272-400-AS-210-SK-014</v>
          </cell>
          <cell r="E5350" t="str">
            <v>R-15</v>
          </cell>
        </row>
        <row r="5351">
          <cell r="B5351" t="str">
            <v>B272-400-AS-210-SK-014</v>
          </cell>
          <cell r="E5351" t="str">
            <v>W-75</v>
          </cell>
        </row>
        <row r="5352">
          <cell r="B5352" t="str">
            <v>B272-400-AS-210-SK-014</v>
          </cell>
        </row>
        <row r="5353">
          <cell r="B5353" t="str">
            <v>B272-400-AS-210-SK-014</v>
          </cell>
          <cell r="E5353" t="str">
            <v>N-31</v>
          </cell>
        </row>
        <row r="5354">
          <cell r="B5354" t="str">
            <v>B272-400-AS-210-SK-014</v>
          </cell>
          <cell r="E5354" t="str">
            <v>R-15</v>
          </cell>
        </row>
        <row r="5355">
          <cell r="B5355" t="str">
            <v>B272-400-AS-210-SK-014</v>
          </cell>
          <cell r="E5355" t="str">
            <v>W-75</v>
          </cell>
        </row>
        <row r="5356">
          <cell r="B5356" t="str">
            <v>B272-400-AS-210-SK-014</v>
          </cell>
        </row>
        <row r="5357">
          <cell r="B5357" t="str">
            <v>B272-400-AS-210-SK-014</v>
          </cell>
          <cell r="E5357" t="str">
            <v>N-31</v>
          </cell>
        </row>
        <row r="5358">
          <cell r="B5358" t="str">
            <v>B272-400-AS-210-SK-014</v>
          </cell>
          <cell r="E5358" t="str">
            <v>R-15</v>
          </cell>
        </row>
        <row r="5359">
          <cell r="B5359" t="str">
            <v>B272-400-AS-210-SK-014</v>
          </cell>
          <cell r="E5359" t="str">
            <v>W-75</v>
          </cell>
        </row>
        <row r="5360">
          <cell r="B5360" t="str">
            <v>B272-400-AS-210-SK-014</v>
          </cell>
        </row>
        <row r="5361">
          <cell r="B5361" t="str">
            <v>B272-400-AS-210-SK-014</v>
          </cell>
          <cell r="E5361" t="str">
            <v>N-31</v>
          </cell>
        </row>
        <row r="5362">
          <cell r="B5362" t="str">
            <v>B272-400-AS-210-SK-014</v>
          </cell>
          <cell r="E5362" t="str">
            <v>R-15</v>
          </cell>
        </row>
        <row r="5363">
          <cell r="B5363" t="str">
            <v>B272-400-AS-210-SK-014</v>
          </cell>
          <cell r="E5363" t="str">
            <v>W-75</v>
          </cell>
        </row>
        <row r="5364">
          <cell r="B5364" t="str">
            <v>B272-400-AS-210-SK-014</v>
          </cell>
        </row>
        <row r="5365">
          <cell r="B5365" t="str">
            <v>B272-400-AS-210-SK-014</v>
          </cell>
          <cell r="E5365" t="str">
            <v>N-31</v>
          </cell>
        </row>
        <row r="5366">
          <cell r="B5366" t="str">
            <v>B272-400-AS-210-SK-014</v>
          </cell>
          <cell r="E5366" t="str">
            <v>R-15</v>
          </cell>
        </row>
        <row r="5367">
          <cell r="B5367" t="str">
            <v>B272-400-AS-210-SK-014</v>
          </cell>
          <cell r="E5367" t="str">
            <v>W-75</v>
          </cell>
        </row>
        <row r="5368">
          <cell r="B5368" t="str">
            <v>B272-400-AS-210-SK-014</v>
          </cell>
        </row>
        <row r="5369">
          <cell r="B5369" t="str">
            <v>B272-400-AS-210-SK-014</v>
          </cell>
          <cell r="E5369" t="str">
            <v>N-31</v>
          </cell>
        </row>
        <row r="5370">
          <cell r="B5370" t="str">
            <v>B272-400-AS-210-SK-014</v>
          </cell>
          <cell r="E5370" t="str">
            <v>R-15</v>
          </cell>
        </row>
        <row r="5371">
          <cell r="B5371" t="str">
            <v>B272-400-AS-210-SK-014</v>
          </cell>
          <cell r="E5371" t="str">
            <v>W-75</v>
          </cell>
        </row>
        <row r="5372">
          <cell r="B5372" t="str">
            <v>B272-400-AS-210-SK-014</v>
          </cell>
        </row>
        <row r="5373">
          <cell r="B5373" t="str">
            <v>B272-400-AS-210-SK-014</v>
          </cell>
          <cell r="E5373" t="str">
            <v>N-31</v>
          </cell>
        </row>
        <row r="5374">
          <cell r="B5374" t="str">
            <v>B272-400-AS-210-SK-014</v>
          </cell>
          <cell r="E5374" t="str">
            <v>R-15</v>
          </cell>
        </row>
        <row r="5375">
          <cell r="B5375" t="str">
            <v>B272-400-AS-210-SK-014</v>
          </cell>
          <cell r="E5375" t="str">
            <v>W-75</v>
          </cell>
        </row>
        <row r="5376">
          <cell r="B5376" t="str">
            <v>B272-400-AS-210-SK-014</v>
          </cell>
        </row>
        <row r="5377">
          <cell r="B5377" t="str">
            <v>B272-400-AS-210-SK-014</v>
          </cell>
          <cell r="E5377" t="str">
            <v>N-31</v>
          </cell>
        </row>
        <row r="5378">
          <cell r="B5378" t="str">
            <v>B272-400-AS-210-SK-014</v>
          </cell>
          <cell r="E5378" t="str">
            <v>R-15</v>
          </cell>
        </row>
        <row r="5379">
          <cell r="B5379" t="str">
            <v>B272-400-AS-210-SK-014</v>
          </cell>
          <cell r="E5379" t="str">
            <v>W-75</v>
          </cell>
        </row>
        <row r="5380">
          <cell r="B5380" t="str">
            <v>B272-400-AS-210-SK-014</v>
          </cell>
        </row>
        <row r="5381">
          <cell r="B5381" t="str">
            <v>B272-400-AS-210-SK-014</v>
          </cell>
          <cell r="E5381" t="str">
            <v>N-31</v>
          </cell>
        </row>
        <row r="5382">
          <cell r="B5382" t="str">
            <v>B272-400-AS-210-SK-014</v>
          </cell>
          <cell r="E5382" t="str">
            <v>R-15</v>
          </cell>
        </row>
        <row r="5383">
          <cell r="B5383" t="str">
            <v>B272-400-AS-210-SK-014</v>
          </cell>
          <cell r="E5383" t="str">
            <v>W-75</v>
          </cell>
        </row>
        <row r="5384">
          <cell r="B5384" t="str">
            <v>B272-400-AS-210-SK-014</v>
          </cell>
        </row>
        <row r="5385">
          <cell r="B5385" t="str">
            <v>B272-400-AS-210-SK-014</v>
          </cell>
          <cell r="E5385" t="str">
            <v>N-31</v>
          </cell>
        </row>
        <row r="5386">
          <cell r="B5386" t="str">
            <v>B272-400-AS-210-SK-014</v>
          </cell>
          <cell r="E5386" t="str">
            <v>R-15</v>
          </cell>
        </row>
        <row r="5387">
          <cell r="B5387" t="str">
            <v>B272-400-AS-210-SK-014</v>
          </cell>
          <cell r="E5387" t="str">
            <v>W-75</v>
          </cell>
        </row>
        <row r="5388">
          <cell r="B5388" t="str">
            <v>B272-400-AS-210-SK-014</v>
          </cell>
        </row>
        <row r="5389">
          <cell r="B5389" t="str">
            <v>B272-400-AS-210-SK-014</v>
          </cell>
          <cell r="E5389" t="str">
            <v>N-31</v>
          </cell>
        </row>
        <row r="5390">
          <cell r="B5390" t="str">
            <v>B272-400-AS-210-SK-014</v>
          </cell>
          <cell r="E5390" t="str">
            <v>R-15</v>
          </cell>
        </row>
        <row r="5391">
          <cell r="B5391" t="str">
            <v>B272-400-AS-210-SK-014</v>
          </cell>
          <cell r="E5391" t="str">
            <v>W-75</v>
          </cell>
        </row>
        <row r="5392">
          <cell r="B5392" t="str">
            <v>B272-400-AS-210-SK-014</v>
          </cell>
        </row>
        <row r="5393">
          <cell r="B5393" t="str">
            <v>B272-400-AS-210-SK-014</v>
          </cell>
          <cell r="E5393" t="str">
            <v>N-31</v>
          </cell>
        </row>
        <row r="5394">
          <cell r="B5394" t="str">
            <v>B272-400-AS-210-SK-014</v>
          </cell>
          <cell r="E5394" t="str">
            <v>R-15</v>
          </cell>
        </row>
        <row r="5395">
          <cell r="B5395" t="str">
            <v>B272-400-AS-210-SK-014</v>
          </cell>
          <cell r="E5395" t="str">
            <v>W-75</v>
          </cell>
        </row>
        <row r="5396">
          <cell r="B5396" t="str">
            <v>B272-400-AS-210-SK-014</v>
          </cell>
        </row>
        <row r="5397">
          <cell r="B5397" t="str">
            <v>B272-400-AS-210-SK-014</v>
          </cell>
          <cell r="E5397" t="str">
            <v>N-31</v>
          </cell>
        </row>
        <row r="5398">
          <cell r="B5398" t="str">
            <v>B272-400-AS-210-SK-014</v>
          </cell>
          <cell r="E5398" t="str">
            <v>R-15</v>
          </cell>
        </row>
        <row r="5399">
          <cell r="B5399" t="str">
            <v>B272-400-AS-210-SK-014</v>
          </cell>
          <cell r="E5399" t="str">
            <v>W-75</v>
          </cell>
        </row>
        <row r="5400">
          <cell r="B5400" t="str">
            <v>B272-400-AS-210-SK-014</v>
          </cell>
        </row>
        <row r="5401">
          <cell r="B5401" t="str">
            <v>B272-400-AS-210-SK-014</v>
          </cell>
          <cell r="E5401" t="str">
            <v>N-31</v>
          </cell>
        </row>
        <row r="5402">
          <cell r="B5402" t="str">
            <v>B272-400-AS-210-SK-014</v>
          </cell>
          <cell r="E5402" t="str">
            <v>R-15</v>
          </cell>
        </row>
        <row r="5403">
          <cell r="B5403" t="str">
            <v>B272-400-AS-210-SK-014</v>
          </cell>
          <cell r="E5403" t="str">
            <v>W-75</v>
          </cell>
        </row>
        <row r="5404">
          <cell r="B5404" t="str">
            <v>B272-400-AS-210-SK-014</v>
          </cell>
        </row>
        <row r="5405">
          <cell r="B5405" t="str">
            <v>B272-400-AS-210-SK-014</v>
          </cell>
          <cell r="E5405" t="str">
            <v>N-31</v>
          </cell>
        </row>
        <row r="5406">
          <cell r="B5406" t="str">
            <v>B272-400-AS-210-SK-014</v>
          </cell>
          <cell r="E5406" t="str">
            <v>R-15</v>
          </cell>
        </row>
        <row r="5407">
          <cell r="B5407" t="str">
            <v>B272-400-AS-210-SK-014</v>
          </cell>
          <cell r="E5407" t="str">
            <v>W-75</v>
          </cell>
        </row>
        <row r="5408">
          <cell r="B5408" t="str">
            <v>B272-400-AS-210-SK-014</v>
          </cell>
        </row>
        <row r="5409">
          <cell r="B5409" t="str">
            <v>B272-400-AS-210-SK-014</v>
          </cell>
          <cell r="E5409" t="str">
            <v>N-31</v>
          </cell>
        </row>
        <row r="5410">
          <cell r="B5410" t="str">
            <v>B272-400-AS-210-SK-014</v>
          </cell>
          <cell r="E5410" t="str">
            <v>R-15</v>
          </cell>
        </row>
        <row r="5411">
          <cell r="B5411" t="str">
            <v>B272-400-AS-210-SK-014</v>
          </cell>
          <cell r="E5411" t="str">
            <v>W-75</v>
          </cell>
        </row>
        <row r="5412">
          <cell r="B5412" t="str">
            <v>B272-400-AS-210-SK-014</v>
          </cell>
        </row>
        <row r="5413">
          <cell r="B5413" t="str">
            <v>B272-400-AS-210-SK-014</v>
          </cell>
          <cell r="E5413" t="str">
            <v>N-31</v>
          </cell>
        </row>
        <row r="5414">
          <cell r="B5414" t="str">
            <v>B272-400-AS-210-SK-014</v>
          </cell>
          <cell r="E5414" t="str">
            <v>R-15</v>
          </cell>
        </row>
        <row r="5415">
          <cell r="B5415" t="str">
            <v>B272-400-AS-210-SK-014</v>
          </cell>
          <cell r="E5415" t="str">
            <v>W-75</v>
          </cell>
        </row>
        <row r="5416">
          <cell r="B5416" t="str">
            <v>B272-400-AS-210-SK-014</v>
          </cell>
        </row>
        <row r="5417">
          <cell r="B5417" t="str">
            <v>B272-400-AS-210-SK-014</v>
          </cell>
          <cell r="E5417" t="str">
            <v>N-31</v>
          </cell>
        </row>
        <row r="5418">
          <cell r="B5418" t="str">
            <v>B272-400-AS-210-SK-014</v>
          </cell>
          <cell r="E5418" t="str">
            <v>R-15</v>
          </cell>
        </row>
        <row r="5419">
          <cell r="B5419" t="str">
            <v>B272-400-AS-210-SK-014</v>
          </cell>
          <cell r="E5419" t="str">
            <v>W-75</v>
          </cell>
        </row>
        <row r="5420">
          <cell r="B5420" t="str">
            <v>B272-400-AS-210-SK-014</v>
          </cell>
        </row>
        <row r="5421">
          <cell r="B5421" t="str">
            <v>B272-400-AS-210-SK-014</v>
          </cell>
          <cell r="E5421" t="str">
            <v>N-31</v>
          </cell>
        </row>
        <row r="5422">
          <cell r="B5422" t="str">
            <v>B272-400-AS-210-SK-014</v>
          </cell>
          <cell r="E5422" t="str">
            <v>R-15</v>
          </cell>
        </row>
        <row r="5423">
          <cell r="B5423" t="str">
            <v>B272-400-AS-210-SK-014</v>
          </cell>
          <cell r="E5423" t="str">
            <v>W-75</v>
          </cell>
        </row>
        <row r="5424">
          <cell r="B5424" t="str">
            <v>B272-400-AS-210-SK-014</v>
          </cell>
        </row>
        <row r="5425">
          <cell r="B5425" t="str">
            <v>B272-400-AS-210-SK-014</v>
          </cell>
          <cell r="E5425" t="str">
            <v>N-31</v>
          </cell>
        </row>
        <row r="5426">
          <cell r="B5426" t="str">
            <v>B272-400-AS-210-SK-014</v>
          </cell>
          <cell r="E5426" t="str">
            <v>R-15</v>
          </cell>
        </row>
        <row r="5427">
          <cell r="B5427" t="str">
            <v>B272-400-AS-210-SK-014</v>
          </cell>
          <cell r="E5427" t="str">
            <v>W-75</v>
          </cell>
        </row>
        <row r="5428">
          <cell r="B5428" t="str">
            <v>B272-400-AS-210-SK-014</v>
          </cell>
        </row>
        <row r="5429">
          <cell r="B5429" t="str">
            <v>B272-400-AS-210-SK-014</v>
          </cell>
          <cell r="E5429" t="str">
            <v>N-31</v>
          </cell>
        </row>
        <row r="5430">
          <cell r="B5430" t="str">
            <v>B272-400-AS-210-SK-014</v>
          </cell>
          <cell r="E5430" t="str">
            <v>R-15</v>
          </cell>
        </row>
        <row r="5431">
          <cell r="B5431" t="str">
            <v>B272-400-AS-210-SK-014</v>
          </cell>
          <cell r="E5431" t="str">
            <v>W-75</v>
          </cell>
        </row>
        <row r="5432">
          <cell r="B5432" t="str">
            <v>B272-400-AS-210-SK-014</v>
          </cell>
        </row>
        <row r="5433">
          <cell r="B5433" t="str">
            <v>B272-400-AS-210-SK-014</v>
          </cell>
          <cell r="E5433" t="str">
            <v>N-31</v>
          </cell>
        </row>
        <row r="5434">
          <cell r="B5434" t="str">
            <v>B272-400-AS-210-SK-014</v>
          </cell>
          <cell r="E5434" t="str">
            <v>R-15</v>
          </cell>
        </row>
        <row r="5435">
          <cell r="B5435" t="str">
            <v>B272-400-AS-210-SK-014</v>
          </cell>
          <cell r="E5435" t="str">
            <v>W-75</v>
          </cell>
        </row>
        <row r="5436">
          <cell r="B5436" t="str">
            <v>B272-400-AS-210-SK-014</v>
          </cell>
        </row>
        <row r="5437">
          <cell r="B5437" t="str">
            <v>B272-400-AS-210-SK-014</v>
          </cell>
          <cell r="E5437" t="str">
            <v>N-31</v>
          </cell>
        </row>
        <row r="5438">
          <cell r="B5438" t="str">
            <v>B272-400-AS-210-SK-014</v>
          </cell>
          <cell r="E5438" t="str">
            <v>R-15</v>
          </cell>
        </row>
        <row r="5439">
          <cell r="B5439" t="str">
            <v>B272-400-AS-210-SK-014</v>
          </cell>
          <cell r="E5439" t="str">
            <v>W-75</v>
          </cell>
        </row>
        <row r="5440">
          <cell r="B5440" t="str">
            <v>B272-400-AS-210-SK-014</v>
          </cell>
        </row>
        <row r="5441">
          <cell r="B5441" t="str">
            <v>B272-400-AS-210-SK-014</v>
          </cell>
          <cell r="E5441" t="str">
            <v>N-31</v>
          </cell>
        </row>
        <row r="5442">
          <cell r="B5442" t="str">
            <v>B272-400-AS-210-SK-014</v>
          </cell>
          <cell r="E5442" t="str">
            <v>R-15</v>
          </cell>
        </row>
        <row r="5443">
          <cell r="B5443" t="str">
            <v>B272-400-AS-210-SK-014</v>
          </cell>
          <cell r="E5443" t="str">
            <v>W-75</v>
          </cell>
        </row>
        <row r="5444">
          <cell r="B5444" t="str">
            <v>B272-400-AS-210-SK-014</v>
          </cell>
        </row>
        <row r="5445">
          <cell r="B5445" t="str">
            <v>B272-400-AS-210-SK-014</v>
          </cell>
          <cell r="E5445" t="str">
            <v>N-31</v>
          </cell>
        </row>
        <row r="5446">
          <cell r="B5446" t="str">
            <v>B272-400-AS-210-SK-014</v>
          </cell>
          <cell r="E5446" t="str">
            <v>R-15</v>
          </cell>
        </row>
        <row r="5447">
          <cell r="B5447" t="str">
            <v>B272-400-AS-210-SK-014</v>
          </cell>
          <cell r="E5447" t="str">
            <v>W-75</v>
          </cell>
        </row>
        <row r="5448">
          <cell r="B5448" t="str">
            <v>B272-400-AS-210-SK-014</v>
          </cell>
        </row>
        <row r="5449">
          <cell r="B5449" t="str">
            <v>B272-400-AS-210-SK-014</v>
          </cell>
          <cell r="E5449" t="str">
            <v>N-31</v>
          </cell>
        </row>
        <row r="5450">
          <cell r="B5450" t="str">
            <v>B272-400-AS-210-SK-014</v>
          </cell>
          <cell r="E5450" t="str">
            <v>R-15</v>
          </cell>
        </row>
        <row r="5451">
          <cell r="B5451" t="str">
            <v>B272-400-AS-210-SK-014</v>
          </cell>
          <cell r="E5451" t="str">
            <v>W-75</v>
          </cell>
        </row>
        <row r="5452">
          <cell r="B5452" t="str">
            <v>B272-400-AS-210-SK-014</v>
          </cell>
        </row>
        <row r="5453">
          <cell r="B5453" t="str">
            <v>B272-400-AS-210-SK-014</v>
          </cell>
          <cell r="E5453" t="str">
            <v>N-31</v>
          </cell>
        </row>
        <row r="5454">
          <cell r="B5454" t="str">
            <v>B272-400-AS-210-SK-014</v>
          </cell>
          <cell r="E5454" t="str">
            <v>R-15</v>
          </cell>
        </row>
        <row r="5455">
          <cell r="B5455" t="str">
            <v>B272-400-AS-210-SK-014</v>
          </cell>
          <cell r="E5455" t="str">
            <v>W-75</v>
          </cell>
        </row>
        <row r="5456">
          <cell r="B5456" t="str">
            <v>B272-400-AS-210-SK-014</v>
          </cell>
        </row>
        <row r="5457">
          <cell r="B5457" t="str">
            <v>B272-400-AS-210-SK-014</v>
          </cell>
          <cell r="E5457" t="str">
            <v>N-31</v>
          </cell>
        </row>
        <row r="5458">
          <cell r="B5458" t="str">
            <v>B272-400-AS-210-SK-014</v>
          </cell>
          <cell r="E5458" t="str">
            <v>R-15</v>
          </cell>
        </row>
        <row r="5459">
          <cell r="B5459" t="str">
            <v>B272-400-AS-210-SK-014</v>
          </cell>
          <cell r="E5459" t="str">
            <v>W-75</v>
          </cell>
        </row>
        <row r="5460">
          <cell r="B5460" t="str">
            <v>B272-400-AS-210-SK-014</v>
          </cell>
        </row>
        <row r="5461">
          <cell r="B5461" t="str">
            <v>B272-400-AS-210-SK-014</v>
          </cell>
          <cell r="E5461" t="str">
            <v>N-31</v>
          </cell>
        </row>
        <row r="5462">
          <cell r="B5462" t="str">
            <v>B272-400-AS-210-SK-014</v>
          </cell>
          <cell r="E5462" t="str">
            <v>R-15</v>
          </cell>
        </row>
        <row r="5463">
          <cell r="B5463" t="str">
            <v>B272-400-AS-210-SK-014</v>
          </cell>
          <cell r="E5463" t="str">
            <v>W-75</v>
          </cell>
        </row>
        <row r="5464">
          <cell r="B5464" t="str">
            <v>B272-400-AS-210-SK-014</v>
          </cell>
        </row>
        <row r="5465">
          <cell r="B5465" t="str">
            <v>B272-400-AS-210-SK-014</v>
          </cell>
          <cell r="E5465" t="str">
            <v>N-31</v>
          </cell>
        </row>
        <row r="5466">
          <cell r="B5466" t="str">
            <v>B272-400-AS-210-SK-014</v>
          </cell>
          <cell r="E5466" t="str">
            <v>R-15</v>
          </cell>
        </row>
        <row r="5467">
          <cell r="B5467" t="str">
            <v>B272-400-AS-210-SK-014</v>
          </cell>
          <cell r="E5467" t="str">
            <v>W-75</v>
          </cell>
        </row>
        <row r="5468">
          <cell r="B5468" t="str">
            <v>B272-400-AS-210-SK-014</v>
          </cell>
        </row>
        <row r="5469">
          <cell r="B5469" t="str">
            <v>B272-400-AS-210-SK-014</v>
          </cell>
          <cell r="E5469" t="str">
            <v>N-31</v>
          </cell>
        </row>
        <row r="5470">
          <cell r="B5470" t="str">
            <v>B272-400-AS-210-SK-014</v>
          </cell>
          <cell r="E5470" t="str">
            <v>R-15</v>
          </cell>
        </row>
        <row r="5471">
          <cell r="B5471" t="str">
            <v>B272-400-AS-210-SK-014</v>
          </cell>
          <cell r="E5471" t="str">
            <v>W-75</v>
          </cell>
        </row>
        <row r="5472">
          <cell r="B5472" t="str">
            <v>B272-400-AS-210-SK-014</v>
          </cell>
        </row>
        <row r="5473">
          <cell r="B5473" t="str">
            <v>B272-400-AS-210-SK-014</v>
          </cell>
          <cell r="E5473" t="str">
            <v>N-31</v>
          </cell>
        </row>
        <row r="5474">
          <cell r="B5474" t="str">
            <v>B272-400-AS-210-SK-014</v>
          </cell>
          <cell r="E5474" t="str">
            <v>R-15</v>
          </cell>
        </row>
        <row r="5475">
          <cell r="B5475" t="str">
            <v>B272-400-AS-210-SK-014</v>
          </cell>
          <cell r="E5475" t="str">
            <v>W-75</v>
          </cell>
        </row>
        <row r="5476">
          <cell r="B5476" t="str">
            <v>B272-400-AS-210-SK-014</v>
          </cell>
        </row>
        <row r="5477">
          <cell r="B5477" t="str">
            <v>B272-400-AS-210-SK-014</v>
          </cell>
          <cell r="E5477" t="str">
            <v>N-31</v>
          </cell>
        </row>
        <row r="5478">
          <cell r="B5478" t="str">
            <v>B272-400-AS-210-SK-014</v>
          </cell>
          <cell r="E5478" t="str">
            <v>R-15</v>
          </cell>
        </row>
        <row r="5479">
          <cell r="B5479" t="str">
            <v>B272-400-AS-210-SK-014</v>
          </cell>
          <cell r="E5479" t="str">
            <v>W-75</v>
          </cell>
        </row>
        <row r="5480">
          <cell r="B5480" t="str">
            <v>B272-400-AS-150-BK-001</v>
          </cell>
        </row>
        <row r="5481">
          <cell r="B5481" t="str">
            <v>B272-400-AS-150-BK-001</v>
          </cell>
          <cell r="E5481" t="str">
            <v>H-1</v>
          </cell>
        </row>
        <row r="5482">
          <cell r="B5482" t="str">
            <v>B272-400-AS-150-BK-001</v>
          </cell>
          <cell r="E5482" t="str">
            <v>H-75</v>
          </cell>
        </row>
        <row r="5483">
          <cell r="B5483" t="str">
            <v>B272-400-AS-150-BK-001</v>
          </cell>
          <cell r="E5483" t="str">
            <v>P-201</v>
          </cell>
        </row>
        <row r="5484">
          <cell r="B5484" t="str">
            <v>B272-400-AS-150-BK-001</v>
          </cell>
          <cell r="E5484" t="str">
            <v>B2080</v>
          </cell>
        </row>
        <row r="5485">
          <cell r="B5485" t="str">
            <v>B272-400-AS-150-BK-001</v>
          </cell>
        </row>
        <row r="5486">
          <cell r="B5486" t="str">
            <v>B272-400-AS-150-BK-001</v>
          </cell>
          <cell r="E5486" t="str">
            <v>H-1</v>
          </cell>
        </row>
        <row r="5487">
          <cell r="B5487" t="str">
            <v>B272-400-AS-150-BK-001</v>
          </cell>
          <cell r="E5487" t="str">
            <v>H-75</v>
          </cell>
        </row>
        <row r="5488">
          <cell r="B5488" t="str">
            <v>B272-400-AS-150-BK-001</v>
          </cell>
          <cell r="E5488" t="str">
            <v>P-201</v>
          </cell>
        </row>
        <row r="5489">
          <cell r="B5489" t="str">
            <v>B272-400-AS-150-BK-001</v>
          </cell>
          <cell r="E5489" t="str">
            <v>B2080</v>
          </cell>
        </row>
        <row r="5490">
          <cell r="B5490" t="str">
            <v>B272-400-AS-150-BK-002</v>
          </cell>
        </row>
        <row r="5491">
          <cell r="B5491" t="str">
            <v>B272-400-AS-150-BK-002</v>
          </cell>
          <cell r="E5491" t="str">
            <v>H-1</v>
          </cell>
        </row>
        <row r="5492">
          <cell r="B5492" t="str">
            <v>B272-400-AS-150-BK-002</v>
          </cell>
          <cell r="E5492" t="str">
            <v>H-75</v>
          </cell>
        </row>
        <row r="5493">
          <cell r="B5493" t="str">
            <v>B272-400-AS-150-BK-002</v>
          </cell>
          <cell r="E5493" t="str">
            <v>P-1175</v>
          </cell>
        </row>
        <row r="5494">
          <cell r="B5494" t="str">
            <v>B272-400-AS-150-BK-002</v>
          </cell>
          <cell r="E5494" t="str">
            <v>B2080</v>
          </cell>
        </row>
        <row r="5495">
          <cell r="B5495" t="str">
            <v>B272-400-AS-150-BK-003</v>
          </cell>
        </row>
        <row r="5496">
          <cell r="B5496" t="str">
            <v>B272-400-AS-150-BK-003</v>
          </cell>
          <cell r="E5496" t="str">
            <v>H-1</v>
          </cell>
        </row>
        <row r="5497">
          <cell r="B5497" t="str">
            <v>B272-400-AS-150-BK-003</v>
          </cell>
          <cell r="E5497" t="str">
            <v>H-76</v>
          </cell>
        </row>
        <row r="5498">
          <cell r="B5498" t="str">
            <v>B272-400-AS-150-BK-003</v>
          </cell>
          <cell r="E5498" t="str">
            <v>P-201</v>
          </cell>
        </row>
        <row r="5499">
          <cell r="B5499" t="str">
            <v>B272-400-AS-150-BK-003</v>
          </cell>
          <cell r="E5499" t="str">
            <v>B2080</v>
          </cell>
        </row>
        <row r="5500">
          <cell r="B5500" t="str">
            <v>B272-400-AS-150-BK-004</v>
          </cell>
        </row>
        <row r="5501">
          <cell r="B5501" t="str">
            <v>B272-400-AS-150-BK-004</v>
          </cell>
          <cell r="E5501" t="str">
            <v>H-1</v>
          </cell>
        </row>
        <row r="5502">
          <cell r="B5502" t="str">
            <v>B272-400-AS-150-BK-004</v>
          </cell>
          <cell r="E5502" t="str">
            <v>H-89</v>
          </cell>
        </row>
        <row r="5503">
          <cell r="B5503" t="str">
            <v>B272-400-AS-150-BK-004</v>
          </cell>
          <cell r="E5503" t="str">
            <v>P-629</v>
          </cell>
        </row>
        <row r="5504">
          <cell r="B5504" t="str">
            <v>B272-400-AS-150-BK-004</v>
          </cell>
          <cell r="E5504" t="str">
            <v>B2080</v>
          </cell>
        </row>
        <row r="5505">
          <cell r="B5505" t="str">
            <v>B272-400-AS-150-BK-005</v>
          </cell>
        </row>
        <row r="5506">
          <cell r="B5506" t="str">
            <v>B272-400-AS-150-BK-005</v>
          </cell>
          <cell r="E5506" t="str">
            <v>H-1</v>
          </cell>
        </row>
        <row r="5507">
          <cell r="B5507" t="str">
            <v>B272-400-AS-150-BK-005</v>
          </cell>
          <cell r="E5507" t="str">
            <v>H-90</v>
          </cell>
        </row>
        <row r="5508">
          <cell r="B5508" t="str">
            <v>B272-400-AS-150-BK-005</v>
          </cell>
          <cell r="E5508" t="str">
            <v>P-629</v>
          </cell>
        </row>
        <row r="5509">
          <cell r="B5509" t="str">
            <v>B272-400-AS-150-BK-005</v>
          </cell>
          <cell r="E5509" t="str">
            <v>B2080</v>
          </cell>
        </row>
        <row r="5510">
          <cell r="B5510" t="str">
            <v>B272-400-AS-150-BK-006</v>
          </cell>
        </row>
        <row r="5511">
          <cell r="B5511" t="str">
            <v>B272-400-AS-150-BK-006</v>
          </cell>
          <cell r="E5511" t="str">
            <v>H-1</v>
          </cell>
        </row>
        <row r="5512">
          <cell r="B5512" t="str">
            <v>B272-400-AS-150-BK-006</v>
          </cell>
          <cell r="E5512" t="str">
            <v>HY-10</v>
          </cell>
        </row>
        <row r="5513">
          <cell r="B5513" t="str">
            <v>B272-400-AS-150-BK-006</v>
          </cell>
          <cell r="E5513" t="str">
            <v>P-201</v>
          </cell>
        </row>
        <row r="5514">
          <cell r="B5514" t="str">
            <v>B272-400-AS-150-BK-006</v>
          </cell>
          <cell r="E5514" t="str">
            <v>B2080</v>
          </cell>
        </row>
        <row r="5515">
          <cell r="B5515" t="str">
            <v>B272-400-AS-150-BK-006</v>
          </cell>
        </row>
        <row r="5516">
          <cell r="B5516" t="str">
            <v>B272-400-AS-150-BK-006</v>
          </cell>
          <cell r="E5516" t="str">
            <v>H-1</v>
          </cell>
        </row>
        <row r="5517">
          <cell r="B5517" t="str">
            <v>B272-400-AS-150-BK-006</v>
          </cell>
          <cell r="E5517" t="str">
            <v>HY-10</v>
          </cell>
        </row>
        <row r="5518">
          <cell r="B5518" t="str">
            <v>B272-400-AS-150-BK-006</v>
          </cell>
          <cell r="E5518" t="str">
            <v>P-201</v>
          </cell>
        </row>
        <row r="5519">
          <cell r="B5519" t="str">
            <v>B272-400-AS-150-BK-006</v>
          </cell>
          <cell r="E5519" t="str">
            <v>B2080</v>
          </cell>
        </row>
        <row r="5520">
          <cell r="B5520" t="str">
            <v>B272-400-AS-150-BK-006</v>
          </cell>
        </row>
        <row r="5521">
          <cell r="B5521" t="str">
            <v>B272-400-AS-150-BK-006</v>
          </cell>
          <cell r="E5521" t="str">
            <v>H-1</v>
          </cell>
        </row>
        <row r="5522">
          <cell r="B5522" t="str">
            <v>B272-400-AS-150-BK-006</v>
          </cell>
          <cell r="E5522" t="str">
            <v>HY-10</v>
          </cell>
        </row>
        <row r="5523">
          <cell r="B5523" t="str">
            <v>B272-400-AS-150-BK-006</v>
          </cell>
          <cell r="E5523" t="str">
            <v>P-201</v>
          </cell>
        </row>
        <row r="5524">
          <cell r="B5524" t="str">
            <v>B272-400-AS-150-BK-006</v>
          </cell>
          <cell r="E5524" t="str">
            <v>B2080</v>
          </cell>
        </row>
        <row r="5525">
          <cell r="B5525" t="str">
            <v>B272-400-AS-150-BK-007</v>
          </cell>
        </row>
        <row r="5526">
          <cell r="B5526" t="str">
            <v>B272-400-AS-150-BK-007</v>
          </cell>
          <cell r="E5526" t="str">
            <v>H-1</v>
          </cell>
        </row>
        <row r="5527">
          <cell r="B5527" t="str">
            <v>B272-400-AS-150-BK-007</v>
          </cell>
          <cell r="E5527" t="str">
            <v>HY-11</v>
          </cell>
        </row>
        <row r="5528">
          <cell r="B5528" t="str">
            <v>B272-400-AS-150-BK-007</v>
          </cell>
          <cell r="E5528" t="str">
            <v>HY-12</v>
          </cell>
        </row>
        <row r="5529">
          <cell r="B5529" t="str">
            <v>B272-400-AS-150-BK-007</v>
          </cell>
          <cell r="E5529" t="str">
            <v>P-140</v>
          </cell>
        </row>
        <row r="5530">
          <cell r="B5530" t="str">
            <v>B272-400-AS-150-BK-007</v>
          </cell>
          <cell r="E5530" t="str">
            <v>P-306</v>
          </cell>
        </row>
        <row r="5531">
          <cell r="B5531" t="str">
            <v>B272-400-AS-150-BK-007</v>
          </cell>
          <cell r="E5531" t="str">
            <v>P-858(1/4)</v>
          </cell>
        </row>
        <row r="5532">
          <cell r="B5532" t="str">
            <v>B272-400-AS-150-BK-007</v>
          </cell>
          <cell r="E5532" t="str">
            <v>P-858(2/4)</v>
          </cell>
        </row>
        <row r="5533">
          <cell r="B5533" t="str">
            <v>B272-400-AS-150-BK-007</v>
          </cell>
          <cell r="E5533" t="str">
            <v>P-858(3/4)</v>
          </cell>
        </row>
        <row r="5534">
          <cell r="B5534" t="str">
            <v>B272-400-AS-150-BK-007</v>
          </cell>
          <cell r="E5534" t="str">
            <v>P-858(4/4)</v>
          </cell>
        </row>
        <row r="5535">
          <cell r="B5535" t="str">
            <v>B272-400-AS-150-BK-007</v>
          </cell>
          <cell r="E5535" t="str">
            <v>B2065</v>
          </cell>
        </row>
        <row r="5536">
          <cell r="B5536" t="str">
            <v>B272-400-AS-150-BK-008</v>
          </cell>
        </row>
        <row r="5537">
          <cell r="B5537" t="str">
            <v>B272-400-AS-150-BK-008</v>
          </cell>
          <cell r="E5537" t="str">
            <v>H-5</v>
          </cell>
        </row>
        <row r="5538">
          <cell r="B5538" t="str">
            <v>B272-400-AS-150-BK-008</v>
          </cell>
          <cell r="E5538" t="str">
            <v>HY-10</v>
          </cell>
        </row>
        <row r="5539">
          <cell r="B5539" t="str">
            <v>B272-400-AS-150-BK-008</v>
          </cell>
          <cell r="E5539" t="str">
            <v>P-1176</v>
          </cell>
        </row>
        <row r="5540">
          <cell r="B5540" t="str">
            <v>B272-400-AS-150-BK-008</v>
          </cell>
          <cell r="E5540" t="str">
            <v>B2080</v>
          </cell>
        </row>
        <row r="5541">
          <cell r="B5541" t="str">
            <v>B272-400-AS-150-BK-009</v>
          </cell>
        </row>
        <row r="5542">
          <cell r="B5542" t="str">
            <v>B272-400-AS-150-BK-009</v>
          </cell>
          <cell r="E5542" t="str">
            <v>H-1</v>
          </cell>
        </row>
        <row r="5543">
          <cell r="B5543" t="str">
            <v>B272-400-AS-150-BK-009</v>
          </cell>
          <cell r="E5543" t="str">
            <v>H-93</v>
          </cell>
        </row>
        <row r="5544">
          <cell r="B5544" t="str">
            <v>B272-400-AS-150-BK-009</v>
          </cell>
          <cell r="E5544" t="str">
            <v>H-105</v>
          </cell>
        </row>
        <row r="5545">
          <cell r="B5545" t="str">
            <v>B272-400-AS-150-BK-009</v>
          </cell>
          <cell r="E5545" t="str">
            <v>P-140</v>
          </cell>
        </row>
        <row r="5546">
          <cell r="B5546" t="str">
            <v>B272-400-AS-150-BK-009</v>
          </cell>
          <cell r="E5546" t="str">
            <v>P-306</v>
          </cell>
        </row>
        <row r="5547">
          <cell r="B5547" t="str">
            <v>B272-400-AS-150-BK-009</v>
          </cell>
          <cell r="E5547" t="str">
            <v>P-1196(1/4)</v>
          </cell>
        </row>
        <row r="5548">
          <cell r="B5548" t="str">
            <v>B272-400-AS-150-BK-009</v>
          </cell>
          <cell r="E5548" t="str">
            <v>P-1196(2/4)</v>
          </cell>
        </row>
        <row r="5549">
          <cell r="B5549" t="str">
            <v>B272-400-AS-150-BK-009</v>
          </cell>
          <cell r="E5549" t="str">
            <v>P-1196(3/4)</v>
          </cell>
        </row>
        <row r="5550">
          <cell r="B5550" t="str">
            <v>B272-400-AS-150-BK-009</v>
          </cell>
          <cell r="E5550" t="str">
            <v>P-1196(4/4)</v>
          </cell>
        </row>
        <row r="5551">
          <cell r="B5551" t="str">
            <v>B272-400-AS-150-BK-009</v>
          </cell>
          <cell r="E5551" t="str">
            <v>B2065</v>
          </cell>
        </row>
        <row r="5552">
          <cell r="B5552" t="str">
            <v>B272-400-AS-150-BK-010</v>
          </cell>
        </row>
        <row r="5553">
          <cell r="B5553" t="str">
            <v>B272-400-AS-150-BK-010</v>
          </cell>
          <cell r="E5553" t="str">
            <v>H-100</v>
          </cell>
        </row>
        <row r="5554">
          <cell r="B5554" t="str">
            <v>B272-400-AS-150-BK-010</v>
          </cell>
          <cell r="E5554" t="str">
            <v>P-381(1/2)</v>
          </cell>
        </row>
        <row r="5555">
          <cell r="B5555" t="str">
            <v>B272-400-AS-150-BK-010</v>
          </cell>
          <cell r="E5555" t="str">
            <v>P-381(2/2)</v>
          </cell>
        </row>
        <row r="5556">
          <cell r="B5556" t="str">
            <v>B272-400-AS-150-BK-010</v>
          </cell>
          <cell r="E5556" t="str">
            <v>B2060</v>
          </cell>
        </row>
        <row r="5557">
          <cell r="B5557" t="str">
            <v>B272-400-AS-150-BK-010</v>
          </cell>
        </row>
        <row r="5558">
          <cell r="B5558" t="str">
            <v>B272-400-AS-150-BK-010</v>
          </cell>
          <cell r="E5558" t="str">
            <v>H-100</v>
          </cell>
        </row>
        <row r="5559">
          <cell r="B5559" t="str">
            <v>B272-400-AS-150-BK-010</v>
          </cell>
          <cell r="E5559" t="str">
            <v>P-381(1/2)</v>
          </cell>
        </row>
        <row r="5560">
          <cell r="B5560" t="str">
            <v>B272-400-AS-150-BK-010</v>
          </cell>
          <cell r="E5560" t="str">
            <v>P-381(2/2)</v>
          </cell>
        </row>
        <row r="5561">
          <cell r="B5561" t="str">
            <v>B272-400-AS-150-BK-010</v>
          </cell>
          <cell r="E5561" t="str">
            <v>B2060</v>
          </cell>
        </row>
        <row r="5562">
          <cell r="B5562" t="str">
            <v>B272-400-AS-150-BK-011</v>
          </cell>
        </row>
        <row r="5563">
          <cell r="B5563" t="str">
            <v>B272-400-AS-150-BK-011</v>
          </cell>
          <cell r="E5563" t="str">
            <v>H-102</v>
          </cell>
        </row>
        <row r="5564">
          <cell r="B5564" t="str">
            <v>B272-400-AS-150-BK-011</v>
          </cell>
          <cell r="E5564" t="str">
            <v>P-381(1/2)</v>
          </cell>
        </row>
        <row r="5565">
          <cell r="B5565" t="str">
            <v>B272-400-AS-150-BK-011</v>
          </cell>
          <cell r="E5565" t="str">
            <v>P-381(2/2)</v>
          </cell>
        </row>
        <row r="5566">
          <cell r="B5566" t="str">
            <v>B272-400-AS-150-BK-011</v>
          </cell>
          <cell r="E5566" t="str">
            <v>B2060</v>
          </cell>
        </row>
        <row r="5567">
          <cell r="B5567" t="str">
            <v>B272-400-AS-150-BK-011</v>
          </cell>
        </row>
        <row r="5568">
          <cell r="B5568" t="str">
            <v>B272-400-AS-150-BK-011</v>
          </cell>
          <cell r="E5568" t="str">
            <v>H-102</v>
          </cell>
        </row>
        <row r="5569">
          <cell r="B5569" t="str">
            <v>B272-400-AS-150-BK-011</v>
          </cell>
          <cell r="E5569" t="str">
            <v>P-381(1/2)</v>
          </cell>
        </row>
        <row r="5570">
          <cell r="B5570" t="str">
            <v>B272-400-AS-150-BK-011</v>
          </cell>
          <cell r="E5570" t="str">
            <v>P-381(2/2)</v>
          </cell>
        </row>
        <row r="5571">
          <cell r="B5571" t="str">
            <v>B272-400-AS-150-BK-011</v>
          </cell>
          <cell r="E5571" t="str">
            <v>B2060</v>
          </cell>
        </row>
        <row r="5572">
          <cell r="B5572" t="str">
            <v>B272-400-AS-150-PF-001</v>
          </cell>
        </row>
        <row r="5573">
          <cell r="B5573" t="str">
            <v>B272-400-AS-150-PF-001</v>
          </cell>
          <cell r="E5573" t="str">
            <v>A-169(1/3)</v>
          </cell>
        </row>
        <row r="5574">
          <cell r="B5574" t="str">
            <v>B272-400-AS-150-PF-001</v>
          </cell>
          <cell r="E5574" t="str">
            <v>A-169(2/3)</v>
          </cell>
        </row>
        <row r="5575">
          <cell r="B5575" t="str">
            <v>B272-400-AS-150-PF-001</v>
          </cell>
          <cell r="E5575" t="str">
            <v>A-169(3/3)</v>
          </cell>
        </row>
        <row r="5576">
          <cell r="B5576" t="str">
            <v>B272-400-AS-150-PF-001</v>
          </cell>
          <cell r="E5576" t="str">
            <v>A-172</v>
          </cell>
        </row>
        <row r="5577">
          <cell r="B5577" t="str">
            <v>B272-400-AS-150-PF-001</v>
          </cell>
          <cell r="E5577" t="str">
            <v>CY-32</v>
          </cell>
        </row>
        <row r="5578">
          <cell r="B5578" t="str">
            <v>B272-400-AS-150-PF-001</v>
          </cell>
          <cell r="E5578" t="str">
            <v>CY-34</v>
          </cell>
        </row>
        <row r="5579">
          <cell r="B5579" t="str">
            <v>B272-400-AS-150-PF-001</v>
          </cell>
          <cell r="E5579" t="str">
            <v>CY-40</v>
          </cell>
        </row>
        <row r="5580">
          <cell r="B5580" t="str">
            <v>B272-400-AS-150-PF-001</v>
          </cell>
          <cell r="E5580" t="str">
            <v>CY-92</v>
          </cell>
        </row>
        <row r="5581">
          <cell r="B5581" t="str">
            <v>B272-400-AS-150-PF-001</v>
          </cell>
          <cell r="E5581" t="str">
            <v>G-13</v>
          </cell>
        </row>
        <row r="5582">
          <cell r="B5582" t="str">
            <v>B272-400-AS-150-PF-001</v>
          </cell>
          <cell r="E5582" t="str">
            <v>G-18(1/6)</v>
          </cell>
        </row>
        <row r="5583">
          <cell r="B5583" t="str">
            <v>B272-400-AS-150-PF-001</v>
          </cell>
          <cell r="E5583" t="str">
            <v>G-18(2/6)</v>
          </cell>
        </row>
        <row r="5584">
          <cell r="B5584" t="str">
            <v>B272-400-AS-150-PF-001</v>
          </cell>
          <cell r="E5584" t="str">
            <v>G-18(3/6)</v>
          </cell>
        </row>
        <row r="5585">
          <cell r="B5585" t="str">
            <v>B272-400-AS-150-PF-001</v>
          </cell>
          <cell r="E5585" t="str">
            <v>G-18(4/6)</v>
          </cell>
        </row>
        <row r="5586">
          <cell r="B5586" t="str">
            <v>B272-400-AS-150-PF-001</v>
          </cell>
          <cell r="E5586" t="str">
            <v>G-18(5/6)</v>
          </cell>
        </row>
        <row r="5587">
          <cell r="B5587" t="str">
            <v>B272-400-AS-150-PF-001</v>
          </cell>
          <cell r="E5587" t="str">
            <v>G-18(6/6)</v>
          </cell>
        </row>
        <row r="5588">
          <cell r="B5588" t="str">
            <v>B272-400-AS-150-PF-001</v>
          </cell>
          <cell r="E5588" t="str">
            <v>IY-1(1/3)</v>
          </cell>
        </row>
        <row r="5589">
          <cell r="B5589" t="str">
            <v>B272-400-AS-150-PF-001</v>
          </cell>
          <cell r="E5589" t="str">
            <v>IY-1(2/3)</v>
          </cell>
        </row>
        <row r="5590">
          <cell r="B5590" t="str">
            <v>B272-400-AS-150-PF-001</v>
          </cell>
          <cell r="E5590" t="str">
            <v>IY-1(3/3)</v>
          </cell>
        </row>
        <row r="5591">
          <cell r="B5591" t="str">
            <v>B272-400-AS-150-PF-001</v>
          </cell>
          <cell r="E5591" t="str">
            <v>P-495</v>
          </cell>
        </row>
        <row r="5592">
          <cell r="B5592" t="str">
            <v>B272-400-AS-150-PF-001</v>
          </cell>
          <cell r="E5592" t="str">
            <v>P-504(1/6)</v>
          </cell>
        </row>
        <row r="5593">
          <cell r="B5593" t="str">
            <v>B272-400-AS-150-PF-001</v>
          </cell>
          <cell r="E5593" t="str">
            <v>P-504(2/6)</v>
          </cell>
        </row>
        <row r="5594">
          <cell r="B5594" t="str">
            <v>B272-400-AS-150-PF-001</v>
          </cell>
          <cell r="E5594" t="str">
            <v>P-504(3/6)</v>
          </cell>
        </row>
        <row r="5595">
          <cell r="B5595" t="str">
            <v>B272-400-AS-150-PF-001</v>
          </cell>
          <cell r="E5595" t="str">
            <v>P-504(4/6)</v>
          </cell>
        </row>
        <row r="5596">
          <cell r="B5596" t="str">
            <v>B272-400-AS-150-PF-001</v>
          </cell>
          <cell r="E5596" t="str">
            <v>P-504(5/6)</v>
          </cell>
        </row>
        <row r="5597">
          <cell r="B5597" t="str">
            <v>B272-400-AS-150-PF-001</v>
          </cell>
          <cell r="E5597" t="str">
            <v>P-504(6/6)</v>
          </cell>
        </row>
        <row r="5598">
          <cell r="B5598" t="str">
            <v>B272-400-AS-150-PF-001</v>
          </cell>
          <cell r="E5598" t="str">
            <v>P-1165(1/2)</v>
          </cell>
        </row>
        <row r="5599">
          <cell r="B5599" t="str">
            <v>B272-400-AS-150-PF-001</v>
          </cell>
          <cell r="E5599" t="str">
            <v>P-1165(2/2)</v>
          </cell>
        </row>
        <row r="5600">
          <cell r="B5600" t="str">
            <v>B272-400-AS-150-PF-001</v>
          </cell>
          <cell r="E5600" t="str">
            <v>P-1211</v>
          </cell>
        </row>
        <row r="5601">
          <cell r="B5601" t="str">
            <v>B272-400-AS-150-PF-001</v>
          </cell>
          <cell r="E5601" t="str">
            <v>B1650</v>
          </cell>
        </row>
        <row r="5602">
          <cell r="B5602" t="str">
            <v>B272-400-AS-150-PF-001</v>
          </cell>
          <cell r="E5602" t="str">
            <v>B2050</v>
          </cell>
        </row>
        <row r="5603">
          <cell r="B5603" t="str">
            <v>B272-400-AS-150-PF-001</v>
          </cell>
          <cell r="E5603" t="str">
            <v>B1245</v>
          </cell>
        </row>
        <row r="5604">
          <cell r="B5604" t="str">
            <v>B272-400-AS-150-PF-002</v>
          </cell>
        </row>
        <row r="5605">
          <cell r="B5605" t="str">
            <v>B272-400-AS-150-PF-002</v>
          </cell>
          <cell r="E5605" t="str">
            <v>A-169</v>
          </cell>
        </row>
        <row r="5606">
          <cell r="B5606" t="str">
            <v>B272-400-AS-150-PF-002</v>
          </cell>
          <cell r="E5606" t="str">
            <v>A-171(1/3)</v>
          </cell>
        </row>
        <row r="5607">
          <cell r="B5607" t="str">
            <v>B272-400-AS-150-PF-002</v>
          </cell>
          <cell r="E5607" t="str">
            <v>A-171(2/3)</v>
          </cell>
        </row>
        <row r="5608">
          <cell r="B5608" t="str">
            <v>B272-400-AS-150-PF-002</v>
          </cell>
          <cell r="E5608" t="str">
            <v>A-171(3/3)</v>
          </cell>
        </row>
        <row r="5609">
          <cell r="B5609" t="str">
            <v>B272-400-AS-150-PF-002</v>
          </cell>
          <cell r="E5609" t="str">
            <v>C-74</v>
          </cell>
        </row>
        <row r="5610">
          <cell r="B5610" t="str">
            <v>B272-400-AS-150-PF-002</v>
          </cell>
          <cell r="E5610" t="str">
            <v>C-115</v>
          </cell>
        </row>
        <row r="5611">
          <cell r="B5611" t="str">
            <v>B272-400-AS-150-PF-002</v>
          </cell>
          <cell r="E5611" t="str">
            <v>C-117(1/2)</v>
          </cell>
        </row>
        <row r="5612">
          <cell r="B5612" t="str">
            <v>B272-400-AS-150-PF-002</v>
          </cell>
          <cell r="E5612" t="str">
            <v>C-117(2/2)</v>
          </cell>
        </row>
        <row r="5613">
          <cell r="B5613" t="str">
            <v>B272-400-AS-150-PF-002</v>
          </cell>
          <cell r="E5613" t="str">
            <v>C-119</v>
          </cell>
        </row>
        <row r="5614">
          <cell r="B5614" t="str">
            <v>B272-400-AS-150-PF-002</v>
          </cell>
          <cell r="E5614" t="str">
            <v>C-129</v>
          </cell>
        </row>
        <row r="5615">
          <cell r="B5615" t="str">
            <v>B272-400-AS-150-PF-002</v>
          </cell>
          <cell r="E5615" t="str">
            <v>C-153</v>
          </cell>
        </row>
        <row r="5616">
          <cell r="B5616" t="str">
            <v>B272-400-AS-150-PF-002</v>
          </cell>
          <cell r="E5616" t="str">
            <v>C-154</v>
          </cell>
        </row>
        <row r="5617">
          <cell r="B5617" t="str">
            <v>B272-400-AS-150-PF-002</v>
          </cell>
          <cell r="E5617" t="str">
            <v>C-155</v>
          </cell>
        </row>
        <row r="5618">
          <cell r="B5618" t="str">
            <v>B272-400-AS-150-PF-002</v>
          </cell>
          <cell r="E5618" t="str">
            <v>C-156</v>
          </cell>
        </row>
        <row r="5619">
          <cell r="B5619" t="str">
            <v>B272-400-AS-150-PF-002</v>
          </cell>
          <cell r="E5619" t="str">
            <v>C-159</v>
          </cell>
        </row>
        <row r="5620">
          <cell r="B5620" t="str">
            <v>B272-400-AS-150-PF-002</v>
          </cell>
          <cell r="E5620" t="str">
            <v>C-160</v>
          </cell>
        </row>
        <row r="5621">
          <cell r="B5621" t="str">
            <v>B272-400-AS-150-PF-002</v>
          </cell>
          <cell r="E5621" t="str">
            <v>G-18(1/3)</v>
          </cell>
        </row>
        <row r="5622">
          <cell r="B5622" t="str">
            <v>B272-400-AS-150-PF-002</v>
          </cell>
          <cell r="E5622" t="str">
            <v>G-18(2/3)</v>
          </cell>
        </row>
        <row r="5623">
          <cell r="B5623" t="str">
            <v>B272-400-AS-150-PF-002</v>
          </cell>
          <cell r="E5623" t="str">
            <v>G-18(3/3)</v>
          </cell>
        </row>
        <row r="5624">
          <cell r="B5624" t="str">
            <v>B272-400-AS-150-PF-002</v>
          </cell>
          <cell r="E5624" t="str">
            <v>IY-1(1/3)</v>
          </cell>
        </row>
        <row r="5625">
          <cell r="B5625" t="str">
            <v>B272-400-AS-150-PF-002</v>
          </cell>
          <cell r="E5625" t="str">
            <v>IY-1(2/3)</v>
          </cell>
        </row>
        <row r="5626">
          <cell r="B5626" t="str">
            <v>B272-400-AS-150-PF-002</v>
          </cell>
          <cell r="E5626" t="str">
            <v>IY-1(3/3)</v>
          </cell>
        </row>
        <row r="5627">
          <cell r="B5627" t="str">
            <v>B272-400-AS-150-PF-002</v>
          </cell>
          <cell r="E5627" t="str">
            <v>P-383</v>
          </cell>
        </row>
        <row r="5628">
          <cell r="B5628" t="str">
            <v>B272-400-AS-150-PF-002</v>
          </cell>
          <cell r="E5628" t="str">
            <v>P-450(1/5)</v>
          </cell>
        </row>
        <row r="5629">
          <cell r="B5629" t="str">
            <v>B272-400-AS-150-PF-002</v>
          </cell>
          <cell r="E5629" t="str">
            <v>P-450(2/5)</v>
          </cell>
        </row>
        <row r="5630">
          <cell r="B5630" t="str">
            <v>B272-400-AS-150-PF-002</v>
          </cell>
          <cell r="E5630" t="str">
            <v>P-450(3/5)</v>
          </cell>
        </row>
        <row r="5631">
          <cell r="B5631" t="str">
            <v>B272-400-AS-150-PF-002</v>
          </cell>
          <cell r="E5631" t="str">
            <v>P-450(4/5)</v>
          </cell>
        </row>
        <row r="5632">
          <cell r="B5632" t="str">
            <v>B272-400-AS-150-PF-002</v>
          </cell>
          <cell r="E5632" t="str">
            <v>P-450(5/5)</v>
          </cell>
        </row>
        <row r="5633">
          <cell r="B5633" t="str">
            <v>B272-400-AS-150-PF-002</v>
          </cell>
          <cell r="E5633" t="str">
            <v>P-504</v>
          </cell>
        </row>
        <row r="5634">
          <cell r="B5634" t="str">
            <v>B272-400-AS-150-PF-002</v>
          </cell>
          <cell r="E5634" t="str">
            <v>P-506</v>
          </cell>
        </row>
        <row r="5635">
          <cell r="B5635" t="str">
            <v>B272-400-AS-150-PF-002</v>
          </cell>
          <cell r="E5635" t="str">
            <v>P-548</v>
          </cell>
        </row>
        <row r="5636">
          <cell r="B5636" t="str">
            <v>B272-400-AS-150-PF-002</v>
          </cell>
          <cell r="E5636" t="str">
            <v>P-1164</v>
          </cell>
        </row>
        <row r="5637">
          <cell r="B5637" t="str">
            <v>B272-400-AS-150-PF-002</v>
          </cell>
          <cell r="E5637" t="str">
            <v>P-1222(1/3)</v>
          </cell>
        </row>
        <row r="5638">
          <cell r="B5638" t="str">
            <v>B272-400-AS-150-PF-002</v>
          </cell>
          <cell r="E5638" t="str">
            <v>P-1222(2/3)</v>
          </cell>
        </row>
        <row r="5639">
          <cell r="B5639" t="str">
            <v>B272-400-AS-150-PF-002</v>
          </cell>
          <cell r="E5639" t="str">
            <v>P-1222(3/3)</v>
          </cell>
        </row>
        <row r="5640">
          <cell r="B5640" t="str">
            <v>B272-400-AS-150-PF-002</v>
          </cell>
          <cell r="E5640" t="str">
            <v>B2050</v>
          </cell>
        </row>
        <row r="5641">
          <cell r="B5641" t="str">
            <v>B272-400-AS-150-PF-002</v>
          </cell>
          <cell r="E5641" t="str">
            <v>B2060</v>
          </cell>
        </row>
        <row r="5642">
          <cell r="B5642" t="str">
            <v>B272-400-AS-150-PF-002</v>
          </cell>
          <cell r="E5642" t="str">
            <v>B1245</v>
          </cell>
        </row>
        <row r="5643">
          <cell r="B5643" t="str">
            <v>B272-400-AS-150-PF-002</v>
          </cell>
          <cell r="E5643" t="str">
            <v>B1655</v>
          </cell>
        </row>
        <row r="5644">
          <cell r="B5644" t="str">
            <v>B272-400-AS-150-PF-003</v>
          </cell>
        </row>
        <row r="5645">
          <cell r="B5645" t="str">
            <v>B272-400-AS-150-PF-003</v>
          </cell>
          <cell r="E5645" t="str">
            <v>A-34(1/2)</v>
          </cell>
        </row>
        <row r="5646">
          <cell r="B5646" t="str">
            <v>B272-400-AS-150-PF-003</v>
          </cell>
          <cell r="E5646" t="str">
            <v>A-34(2/2)</v>
          </cell>
        </row>
        <row r="5647">
          <cell r="B5647" t="str">
            <v>B272-400-AS-150-PF-003</v>
          </cell>
          <cell r="E5647" t="str">
            <v>H-6</v>
          </cell>
        </row>
        <row r="5648">
          <cell r="B5648" t="str">
            <v>B272-400-AS-150-PF-003</v>
          </cell>
          <cell r="E5648" t="str">
            <v>H-7</v>
          </cell>
        </row>
        <row r="5649">
          <cell r="B5649" t="str">
            <v>B272-400-AS-150-PF-003</v>
          </cell>
          <cell r="E5649" t="str">
            <v>H-79</v>
          </cell>
        </row>
        <row r="5650">
          <cell r="B5650" t="str">
            <v>B272-400-AS-150-PF-003</v>
          </cell>
          <cell r="E5650" t="str">
            <v>H-80</v>
          </cell>
        </row>
        <row r="5651">
          <cell r="B5651" t="str">
            <v>B272-400-AS-150-PF-003</v>
          </cell>
          <cell r="E5651" t="str">
            <v>H-82</v>
          </cell>
        </row>
        <row r="5652">
          <cell r="B5652" t="str">
            <v>B272-400-AS-150-PF-003</v>
          </cell>
          <cell r="E5652" t="str">
            <v>H-83</v>
          </cell>
        </row>
        <row r="5653">
          <cell r="B5653" t="str">
            <v>B272-400-AS-150-PF-003</v>
          </cell>
          <cell r="E5653" t="str">
            <v>H-84</v>
          </cell>
        </row>
        <row r="5654">
          <cell r="B5654" t="str">
            <v>B272-400-AS-150-PF-003</v>
          </cell>
          <cell r="E5654" t="str">
            <v>H-85</v>
          </cell>
        </row>
        <row r="5655">
          <cell r="B5655" t="str">
            <v>B272-400-AS-150-PF-003</v>
          </cell>
          <cell r="E5655" t="str">
            <v>H-86</v>
          </cell>
        </row>
        <row r="5656">
          <cell r="B5656" t="str">
            <v>B272-400-AS-150-PF-003</v>
          </cell>
          <cell r="E5656" t="str">
            <v>H-99(1/2)</v>
          </cell>
        </row>
        <row r="5657">
          <cell r="B5657" t="str">
            <v>B272-400-AS-150-PF-003</v>
          </cell>
          <cell r="E5657" t="str">
            <v>H-99(2/2)</v>
          </cell>
        </row>
        <row r="5658">
          <cell r="B5658" t="str">
            <v>B272-400-AS-150-PF-003</v>
          </cell>
          <cell r="E5658" t="str">
            <v>P-181(1/2)</v>
          </cell>
        </row>
        <row r="5659">
          <cell r="B5659" t="str">
            <v>B272-400-AS-150-PF-003</v>
          </cell>
          <cell r="E5659" t="str">
            <v>P-181(2/2)</v>
          </cell>
        </row>
        <row r="5660">
          <cell r="B5660" t="str">
            <v>B272-400-AS-150-PF-003</v>
          </cell>
          <cell r="E5660" t="str">
            <v>P-381(1/2)</v>
          </cell>
        </row>
        <row r="5661">
          <cell r="B5661" t="str">
            <v>B272-400-AS-150-PF-003</v>
          </cell>
          <cell r="E5661" t="str">
            <v>P-381(2/2)</v>
          </cell>
        </row>
        <row r="5662">
          <cell r="B5662" t="str">
            <v>B272-400-AS-150-PF-003</v>
          </cell>
          <cell r="E5662" t="str">
            <v>P-432(1/2)</v>
          </cell>
        </row>
        <row r="5663">
          <cell r="B5663" t="str">
            <v>B272-400-AS-150-PF-003</v>
          </cell>
          <cell r="E5663" t="str">
            <v>P-432(2/2)</v>
          </cell>
        </row>
        <row r="5664">
          <cell r="B5664" t="str">
            <v>B272-400-AS-150-PF-003</v>
          </cell>
          <cell r="E5664" t="str">
            <v>P-608(1/11)</v>
          </cell>
        </row>
        <row r="5665">
          <cell r="B5665" t="str">
            <v>B272-400-AS-150-PF-003</v>
          </cell>
          <cell r="E5665" t="str">
            <v>P-608(2/11)</v>
          </cell>
        </row>
        <row r="5666">
          <cell r="B5666" t="str">
            <v>B272-400-AS-150-PF-003</v>
          </cell>
          <cell r="E5666" t="str">
            <v>P-608(3/11)</v>
          </cell>
        </row>
        <row r="5667">
          <cell r="B5667" t="str">
            <v>B272-400-AS-150-PF-003</v>
          </cell>
          <cell r="E5667" t="str">
            <v>P-608(4/11)</v>
          </cell>
        </row>
        <row r="5668">
          <cell r="B5668" t="str">
            <v>B272-400-AS-150-PF-003</v>
          </cell>
          <cell r="E5668" t="str">
            <v>P-608(5/11)</v>
          </cell>
        </row>
        <row r="5669">
          <cell r="B5669" t="str">
            <v>B272-400-AS-150-PF-003</v>
          </cell>
          <cell r="E5669" t="str">
            <v>P-608(6/11)</v>
          </cell>
        </row>
        <row r="5670">
          <cell r="B5670" t="str">
            <v>B272-400-AS-150-PF-003</v>
          </cell>
          <cell r="E5670" t="str">
            <v>P-608(7/11)</v>
          </cell>
        </row>
        <row r="5671">
          <cell r="B5671" t="str">
            <v>B272-400-AS-150-PF-003</v>
          </cell>
          <cell r="E5671" t="str">
            <v>P-608(8/11)</v>
          </cell>
        </row>
        <row r="5672">
          <cell r="B5672" t="str">
            <v>B272-400-AS-150-PF-003</v>
          </cell>
          <cell r="E5672" t="str">
            <v>P-608(9/11)</v>
          </cell>
        </row>
        <row r="5673">
          <cell r="B5673" t="str">
            <v>B272-400-AS-150-PF-003</v>
          </cell>
          <cell r="E5673" t="str">
            <v>P-608(10/11)</v>
          </cell>
        </row>
        <row r="5674">
          <cell r="B5674" t="str">
            <v>B272-400-AS-150-PF-003</v>
          </cell>
          <cell r="E5674" t="str">
            <v>P-608(11/11)</v>
          </cell>
        </row>
        <row r="5675">
          <cell r="B5675" t="str">
            <v>B272-400-AS-150-PF-003</v>
          </cell>
          <cell r="E5675" t="str">
            <v>P-788(1/2)</v>
          </cell>
        </row>
        <row r="5676">
          <cell r="B5676" t="str">
            <v>B272-400-AS-150-PF-003</v>
          </cell>
          <cell r="E5676" t="str">
            <v>P-788(2/2)</v>
          </cell>
        </row>
        <row r="5677">
          <cell r="B5677" t="str">
            <v>B272-400-AS-150-PF-003</v>
          </cell>
          <cell r="E5677" t="str">
            <v>P-789</v>
          </cell>
        </row>
        <row r="5678">
          <cell r="B5678" t="str">
            <v>B272-400-AS-150-PF-003</v>
          </cell>
          <cell r="E5678" t="str">
            <v>P-790</v>
          </cell>
        </row>
        <row r="5679">
          <cell r="B5679" t="str">
            <v>B272-400-AS-150-PF-003</v>
          </cell>
          <cell r="E5679" t="str">
            <v>P-838</v>
          </cell>
        </row>
        <row r="5680">
          <cell r="B5680" t="str">
            <v>B272-400-AS-150-PF-003</v>
          </cell>
          <cell r="E5680" t="str">
            <v>P-856(1/4)</v>
          </cell>
        </row>
        <row r="5681">
          <cell r="B5681" t="str">
            <v>B272-400-AS-150-PF-003</v>
          </cell>
          <cell r="E5681" t="str">
            <v>P-856(2/4)</v>
          </cell>
        </row>
        <row r="5682">
          <cell r="B5682" t="str">
            <v>B272-400-AS-150-PF-003</v>
          </cell>
          <cell r="E5682" t="str">
            <v>P-856(3/4)</v>
          </cell>
        </row>
        <row r="5683">
          <cell r="B5683" t="str">
            <v>B272-400-AS-150-PF-003</v>
          </cell>
          <cell r="E5683" t="str">
            <v>P-856(4/4)</v>
          </cell>
        </row>
        <row r="5684">
          <cell r="B5684" t="str">
            <v>B272-400-AS-150-PF-003</v>
          </cell>
          <cell r="E5684" t="str">
            <v>B2065</v>
          </cell>
        </row>
        <row r="5685">
          <cell r="B5685" t="str">
            <v>B272-400-AS-150-PF-004</v>
          </cell>
        </row>
        <row r="5686">
          <cell r="B5686" t="str">
            <v>B272-400-AS-150-PF-004</v>
          </cell>
          <cell r="E5686" t="str">
            <v>A-84</v>
          </cell>
        </row>
        <row r="5687">
          <cell r="B5687" t="str">
            <v>B272-400-AS-150-PF-004</v>
          </cell>
          <cell r="E5687" t="str">
            <v>A-135(2/2)</v>
          </cell>
        </row>
        <row r="5688">
          <cell r="B5688" t="str">
            <v>B272-400-AS-150-PF-004</v>
          </cell>
          <cell r="E5688" t="str">
            <v>H-29</v>
          </cell>
        </row>
        <row r="5689">
          <cell r="B5689" t="str">
            <v>B272-400-AS-150-PF-004</v>
          </cell>
          <cell r="E5689" t="str">
            <v>H-25</v>
          </cell>
        </row>
        <row r="5690">
          <cell r="B5690" t="str">
            <v>B272-400-AS-150-PF-004</v>
          </cell>
          <cell r="E5690" t="str">
            <v>H-30(2/2)</v>
          </cell>
        </row>
        <row r="5691">
          <cell r="B5691" t="str">
            <v>B272-400-AS-150-PF-004</v>
          </cell>
          <cell r="E5691" t="str">
            <v>H-74</v>
          </cell>
        </row>
        <row r="5692">
          <cell r="B5692" t="str">
            <v>B272-400-AS-150-PF-004</v>
          </cell>
          <cell r="E5692" t="str">
            <v>H-77</v>
          </cell>
        </row>
        <row r="5693">
          <cell r="B5693" t="str">
            <v>B272-400-AS-150-PF-004</v>
          </cell>
          <cell r="E5693" t="str">
            <v>H-78(1/2)</v>
          </cell>
        </row>
        <row r="5694">
          <cell r="B5694" t="str">
            <v>B272-400-AS-150-PF-004</v>
          </cell>
          <cell r="E5694" t="str">
            <v>H-78(2/2)</v>
          </cell>
        </row>
        <row r="5695">
          <cell r="B5695" t="str">
            <v>B272-400-AS-150-PF-004</v>
          </cell>
          <cell r="E5695" t="str">
            <v>H-87</v>
          </cell>
        </row>
        <row r="5696">
          <cell r="B5696" t="str">
            <v>B272-400-AS-150-PF-004</v>
          </cell>
          <cell r="E5696" t="str">
            <v>H-98</v>
          </cell>
        </row>
        <row r="5697">
          <cell r="B5697" t="str">
            <v>B272-400-AS-150-PF-004</v>
          </cell>
          <cell r="E5697" t="str">
            <v>H-103(1/2)</v>
          </cell>
        </row>
        <row r="5698">
          <cell r="B5698" t="str">
            <v>B272-400-AS-150-PF-004</v>
          </cell>
          <cell r="E5698" t="str">
            <v>H-103(2/2)</v>
          </cell>
        </row>
        <row r="5699">
          <cell r="B5699" t="str">
            <v>B272-400-AS-150-PF-004</v>
          </cell>
          <cell r="E5699" t="str">
            <v>P-181(1/2)</v>
          </cell>
        </row>
        <row r="5700">
          <cell r="B5700" t="str">
            <v>B272-400-AS-150-PF-004</v>
          </cell>
          <cell r="E5700" t="str">
            <v>P-181(2/2)</v>
          </cell>
        </row>
        <row r="5701">
          <cell r="B5701" t="str">
            <v>B272-400-AS-150-PF-004</v>
          </cell>
          <cell r="E5701" t="str">
            <v>P-381(1/2)</v>
          </cell>
        </row>
        <row r="5702">
          <cell r="B5702" t="str">
            <v>B272-400-AS-150-PF-004</v>
          </cell>
          <cell r="E5702" t="str">
            <v>P-381(2/2)</v>
          </cell>
        </row>
        <row r="5703">
          <cell r="B5703" t="str">
            <v>B272-400-AS-150-PF-004</v>
          </cell>
          <cell r="E5703" t="str">
            <v>P-432(1/2)</v>
          </cell>
        </row>
        <row r="5704">
          <cell r="B5704" t="str">
            <v>B272-400-AS-150-PF-004</v>
          </cell>
          <cell r="E5704" t="str">
            <v>P-432(2/2)</v>
          </cell>
        </row>
        <row r="5705">
          <cell r="B5705" t="str">
            <v>B272-400-AS-150-PF-004</v>
          </cell>
          <cell r="E5705" t="str">
            <v>P-608(1/11)</v>
          </cell>
        </row>
        <row r="5706">
          <cell r="B5706" t="str">
            <v>B272-400-AS-150-PF-004</v>
          </cell>
          <cell r="E5706" t="str">
            <v>P-608(2/11)</v>
          </cell>
        </row>
        <row r="5707">
          <cell r="B5707" t="str">
            <v>B272-400-AS-150-PF-004</v>
          </cell>
          <cell r="E5707" t="str">
            <v>P-608(3/11)</v>
          </cell>
        </row>
        <row r="5708">
          <cell r="B5708" t="str">
            <v>B272-400-AS-150-PF-004</v>
          </cell>
          <cell r="E5708" t="str">
            <v>P-608(4/11)</v>
          </cell>
        </row>
        <row r="5709">
          <cell r="B5709" t="str">
            <v>B272-400-AS-150-PF-004</v>
          </cell>
          <cell r="E5709" t="str">
            <v>P-608(5/11)</v>
          </cell>
        </row>
        <row r="5710">
          <cell r="B5710" t="str">
            <v>B272-400-AS-150-PF-004</v>
          </cell>
          <cell r="E5710" t="str">
            <v>P-608(6/11)</v>
          </cell>
        </row>
        <row r="5711">
          <cell r="B5711" t="str">
            <v>B272-400-AS-150-PF-004</v>
          </cell>
          <cell r="E5711" t="str">
            <v>P-608(7/11)</v>
          </cell>
        </row>
        <row r="5712">
          <cell r="B5712" t="str">
            <v>B272-400-AS-150-PF-004</v>
          </cell>
          <cell r="E5712" t="str">
            <v>P-608(8/11)</v>
          </cell>
        </row>
        <row r="5713">
          <cell r="B5713" t="str">
            <v>B272-400-AS-150-PF-004</v>
          </cell>
          <cell r="E5713" t="str">
            <v>P-608(9/11)</v>
          </cell>
        </row>
        <row r="5714">
          <cell r="B5714" t="str">
            <v>B272-400-AS-150-PF-004</v>
          </cell>
          <cell r="E5714" t="str">
            <v>P-608(10/11)</v>
          </cell>
        </row>
        <row r="5715">
          <cell r="B5715" t="str">
            <v>B272-400-AS-150-PF-004</v>
          </cell>
          <cell r="E5715" t="str">
            <v>P-608(11/11)</v>
          </cell>
        </row>
        <row r="5716">
          <cell r="B5716" t="str">
            <v>B272-400-AS-150-PF-004</v>
          </cell>
          <cell r="E5716" t="str">
            <v>P-621</v>
          </cell>
        </row>
        <row r="5717">
          <cell r="B5717" t="str">
            <v>B272-400-AS-150-PF-004</v>
          </cell>
          <cell r="E5717" t="str">
            <v>P-647(1/8)</v>
          </cell>
        </row>
        <row r="5718">
          <cell r="B5718" t="str">
            <v>B272-400-AS-150-PF-004</v>
          </cell>
          <cell r="E5718" t="str">
            <v>P-647(2/8)</v>
          </cell>
        </row>
        <row r="5719">
          <cell r="B5719" t="str">
            <v>B272-400-AS-150-PF-004</v>
          </cell>
          <cell r="E5719" t="str">
            <v>P-647(3/8)</v>
          </cell>
        </row>
        <row r="5720">
          <cell r="B5720" t="str">
            <v>B272-400-AS-150-PF-004</v>
          </cell>
          <cell r="E5720" t="str">
            <v>P-647(4/8)</v>
          </cell>
        </row>
        <row r="5721">
          <cell r="B5721" t="str">
            <v>B272-400-AS-150-PF-004</v>
          </cell>
          <cell r="E5721" t="str">
            <v>P-647(5/8)</v>
          </cell>
        </row>
        <row r="5722">
          <cell r="B5722" t="str">
            <v>B272-400-AS-150-PF-004</v>
          </cell>
          <cell r="E5722" t="str">
            <v>P-647(6/8)</v>
          </cell>
        </row>
        <row r="5723">
          <cell r="B5723" t="str">
            <v>B272-400-AS-150-PF-004</v>
          </cell>
          <cell r="E5723" t="str">
            <v>P-647(7/8)</v>
          </cell>
        </row>
        <row r="5724">
          <cell r="B5724" t="str">
            <v>B272-400-AS-150-PF-004</v>
          </cell>
          <cell r="E5724" t="str">
            <v>P-647(8/8)</v>
          </cell>
        </row>
        <row r="5725">
          <cell r="B5725" t="str">
            <v>B272-400-AS-150-PF-004</v>
          </cell>
          <cell r="E5725" t="str">
            <v>P-835(1/2)</v>
          </cell>
        </row>
        <row r="5726">
          <cell r="B5726" t="str">
            <v>B272-400-AS-150-PF-004</v>
          </cell>
          <cell r="E5726" t="str">
            <v>P-835(2/2)</v>
          </cell>
        </row>
        <row r="5727">
          <cell r="B5727" t="str">
            <v>B272-400-AS-150-PF-004</v>
          </cell>
          <cell r="E5727" t="str">
            <v>P-837</v>
          </cell>
        </row>
        <row r="5728">
          <cell r="B5728" t="str">
            <v>B272-400-AS-150-PF-004</v>
          </cell>
          <cell r="E5728" t="str">
            <v>P-838</v>
          </cell>
        </row>
        <row r="5729">
          <cell r="B5729" t="str">
            <v>B272-400-AS-150-PF-004</v>
          </cell>
          <cell r="E5729" t="str">
            <v>G-2003</v>
          </cell>
        </row>
        <row r="5730">
          <cell r="B5730" t="str">
            <v>B272-400-AS-150-PF-004</v>
          </cell>
          <cell r="E5730" t="str">
            <v>P-2052</v>
          </cell>
        </row>
        <row r="5731">
          <cell r="B5731" t="str">
            <v>B272-400-AS-150-PF-004</v>
          </cell>
          <cell r="E5731" t="str">
            <v>P-2053</v>
          </cell>
        </row>
        <row r="5732">
          <cell r="B5732" t="str">
            <v>B272-400-AS-150-PF-004</v>
          </cell>
          <cell r="E5732" t="str">
            <v>P-2054</v>
          </cell>
        </row>
        <row r="5733">
          <cell r="B5733" t="str">
            <v>B272-400-AS-150-PF-004</v>
          </cell>
          <cell r="E5733" t="str">
            <v>P-2055</v>
          </cell>
        </row>
        <row r="5734">
          <cell r="B5734" t="str">
            <v>B272-400-AS-150-PF-004</v>
          </cell>
          <cell r="E5734" t="str">
            <v>B2060</v>
          </cell>
        </row>
        <row r="5735">
          <cell r="B5735" t="str">
            <v>B272-400-AS-150-PF-004</v>
          </cell>
          <cell r="E5735" t="str">
            <v>B2065</v>
          </cell>
        </row>
        <row r="5736">
          <cell r="B5736" t="str">
            <v>B272-400-AS-150-PF-004</v>
          </cell>
          <cell r="E5736" t="str">
            <v>B1245</v>
          </cell>
        </row>
        <row r="5737">
          <cell r="B5737" t="str">
            <v>B272-400-AS-150-PF-005</v>
          </cell>
        </row>
        <row r="5738">
          <cell r="B5738" t="str">
            <v>B272-400-AS-150-PF-005</v>
          </cell>
          <cell r="E5738" t="str">
            <v>A-170</v>
          </cell>
        </row>
        <row r="5739">
          <cell r="B5739" t="str">
            <v>B272-400-AS-150-PF-005</v>
          </cell>
          <cell r="E5739" t="str">
            <v>A-171(1/4)</v>
          </cell>
        </row>
        <row r="5740">
          <cell r="B5740" t="str">
            <v>B272-400-AS-150-PF-005</v>
          </cell>
          <cell r="E5740" t="str">
            <v>A-171(2/4)</v>
          </cell>
        </row>
        <row r="5741">
          <cell r="B5741" t="str">
            <v>B272-400-AS-150-PF-005</v>
          </cell>
          <cell r="E5741" t="str">
            <v>A-171(3/4)</v>
          </cell>
        </row>
        <row r="5742">
          <cell r="B5742" t="str">
            <v>B272-400-AS-150-PF-005</v>
          </cell>
          <cell r="E5742" t="str">
            <v>A-171(4/4)</v>
          </cell>
        </row>
        <row r="5743">
          <cell r="B5743" t="str">
            <v>B272-400-AS-150-PF-005</v>
          </cell>
          <cell r="E5743" t="str">
            <v>C-117(1/2)</v>
          </cell>
        </row>
        <row r="5744">
          <cell r="B5744" t="str">
            <v>B272-400-AS-150-PF-005</v>
          </cell>
          <cell r="E5744" t="str">
            <v>C-117(2/2)</v>
          </cell>
        </row>
        <row r="5745">
          <cell r="B5745" t="str">
            <v>B272-400-AS-150-PF-005</v>
          </cell>
          <cell r="E5745" t="str">
            <v>C-118</v>
          </cell>
        </row>
        <row r="5746">
          <cell r="B5746" t="str">
            <v>B272-400-AS-150-PF-005</v>
          </cell>
          <cell r="E5746" t="str">
            <v>C-120</v>
          </cell>
        </row>
        <row r="5747">
          <cell r="B5747" t="str">
            <v>B272-400-AS-150-PF-005</v>
          </cell>
          <cell r="E5747" t="str">
            <v>C-128</v>
          </cell>
        </row>
        <row r="5748">
          <cell r="B5748" t="str">
            <v>B272-400-AS-150-PF-005</v>
          </cell>
          <cell r="E5748" t="str">
            <v>C-152</v>
          </cell>
        </row>
        <row r="5749">
          <cell r="B5749" t="str">
            <v>B272-400-AS-150-PF-005</v>
          </cell>
          <cell r="E5749" t="str">
            <v>C-157</v>
          </cell>
        </row>
        <row r="5750">
          <cell r="B5750" t="str">
            <v>B272-400-AS-150-PF-005</v>
          </cell>
          <cell r="E5750" t="str">
            <v>C-158</v>
          </cell>
        </row>
        <row r="5751">
          <cell r="B5751" t="str">
            <v>B272-400-AS-150-PF-005</v>
          </cell>
          <cell r="E5751" t="str">
            <v>C-205</v>
          </cell>
        </row>
        <row r="5752">
          <cell r="B5752" t="str">
            <v>B272-400-AS-150-PF-005</v>
          </cell>
          <cell r="E5752" t="str">
            <v>C-224</v>
          </cell>
        </row>
        <row r="5753">
          <cell r="B5753" t="str">
            <v>B272-400-AS-150-PF-005</v>
          </cell>
          <cell r="E5753" t="str">
            <v>G-18(1/6)</v>
          </cell>
        </row>
        <row r="5754">
          <cell r="B5754" t="str">
            <v>B272-400-AS-150-PF-005</v>
          </cell>
          <cell r="E5754" t="str">
            <v>G-18(2/6)</v>
          </cell>
        </row>
        <row r="5755">
          <cell r="B5755" t="str">
            <v>B272-400-AS-150-PF-005</v>
          </cell>
          <cell r="E5755" t="str">
            <v>G-18(3/6)</v>
          </cell>
        </row>
        <row r="5756">
          <cell r="B5756" t="str">
            <v>B272-400-AS-150-PF-005</v>
          </cell>
          <cell r="E5756" t="str">
            <v>G-18(4/6)</v>
          </cell>
        </row>
        <row r="5757">
          <cell r="B5757" t="str">
            <v>B272-400-AS-150-PF-005</v>
          </cell>
          <cell r="E5757" t="str">
            <v>G-18(5/6)</v>
          </cell>
        </row>
        <row r="5758">
          <cell r="B5758" t="str">
            <v>B272-400-AS-150-PF-005</v>
          </cell>
          <cell r="E5758" t="str">
            <v>G-18(6/6)</v>
          </cell>
        </row>
        <row r="5759">
          <cell r="B5759" t="str">
            <v>B272-400-AS-150-PF-005</v>
          </cell>
          <cell r="E5759" t="str">
            <v>G-42(1/2)</v>
          </cell>
        </row>
        <row r="5760">
          <cell r="B5760" t="str">
            <v>B272-400-AS-150-PF-005</v>
          </cell>
          <cell r="E5760" t="str">
            <v>G-42(2/2)</v>
          </cell>
        </row>
        <row r="5761">
          <cell r="B5761" t="str">
            <v>B272-400-AS-150-PF-005</v>
          </cell>
          <cell r="E5761" t="str">
            <v>G-73</v>
          </cell>
        </row>
        <row r="5762">
          <cell r="B5762" t="str">
            <v>B272-400-AS-150-PF-005</v>
          </cell>
          <cell r="E5762" t="str">
            <v>IY-1(1/4)</v>
          </cell>
        </row>
        <row r="5763">
          <cell r="B5763" t="str">
            <v>B272-400-AS-150-PF-005</v>
          </cell>
          <cell r="E5763" t="str">
            <v>IY-1(2/4)</v>
          </cell>
        </row>
        <row r="5764">
          <cell r="B5764" t="str">
            <v>B272-400-AS-150-PF-005</v>
          </cell>
          <cell r="E5764" t="str">
            <v>IY-1(3/4)</v>
          </cell>
        </row>
        <row r="5765">
          <cell r="B5765" t="str">
            <v>B272-400-AS-150-PF-005</v>
          </cell>
          <cell r="E5765" t="str">
            <v>IY-1(4/4)</v>
          </cell>
        </row>
        <row r="5766">
          <cell r="B5766" t="str">
            <v>B272-400-AS-150-PF-005</v>
          </cell>
          <cell r="E5766" t="str">
            <v>P-382(1/2)</v>
          </cell>
        </row>
        <row r="5767">
          <cell r="B5767" t="str">
            <v>B272-400-AS-150-PF-005</v>
          </cell>
          <cell r="E5767" t="str">
            <v>P-382(2/2)</v>
          </cell>
        </row>
        <row r="5768">
          <cell r="B5768" t="str">
            <v>B272-400-AS-150-PF-005</v>
          </cell>
          <cell r="E5768" t="str">
            <v>P-450(1/8)</v>
          </cell>
        </row>
        <row r="5769">
          <cell r="B5769" t="str">
            <v>B272-400-AS-150-PF-005</v>
          </cell>
          <cell r="E5769" t="str">
            <v>P-450(2/8)</v>
          </cell>
        </row>
        <row r="5770">
          <cell r="B5770" t="str">
            <v>B272-400-AS-150-PF-005</v>
          </cell>
          <cell r="E5770" t="str">
            <v>P-450(3/8)</v>
          </cell>
        </row>
        <row r="5771">
          <cell r="B5771" t="str">
            <v>B272-400-AS-150-PF-005</v>
          </cell>
          <cell r="E5771" t="str">
            <v>P-450(4/8)</v>
          </cell>
        </row>
        <row r="5772">
          <cell r="B5772" t="str">
            <v>B272-400-AS-150-PF-005</v>
          </cell>
          <cell r="E5772" t="str">
            <v>P-450(5/8)</v>
          </cell>
        </row>
        <row r="5773">
          <cell r="B5773" t="str">
            <v>B272-400-AS-150-PF-005</v>
          </cell>
          <cell r="E5773" t="str">
            <v>P-450(6/8)</v>
          </cell>
        </row>
        <row r="5774">
          <cell r="B5774" t="str">
            <v>B272-400-AS-150-PF-005</v>
          </cell>
          <cell r="E5774" t="str">
            <v>P-450(7/8)</v>
          </cell>
        </row>
        <row r="5775">
          <cell r="B5775" t="str">
            <v>B272-400-AS-150-PF-005</v>
          </cell>
          <cell r="E5775" t="str">
            <v>P-450(8/8)</v>
          </cell>
        </row>
        <row r="5776">
          <cell r="B5776" t="str">
            <v>B272-400-AS-150-PF-005</v>
          </cell>
          <cell r="E5776" t="str">
            <v>P-548(1/2)</v>
          </cell>
        </row>
        <row r="5777">
          <cell r="B5777" t="str">
            <v>B272-400-AS-150-PF-005</v>
          </cell>
          <cell r="E5777" t="str">
            <v>P-548(2/2)</v>
          </cell>
        </row>
        <row r="5778">
          <cell r="B5778" t="str">
            <v>B272-400-AS-150-PF-005</v>
          </cell>
          <cell r="E5778" t="str">
            <v>P-739</v>
          </cell>
        </row>
        <row r="5779">
          <cell r="B5779" t="str">
            <v>B272-400-AS-150-PF-005</v>
          </cell>
          <cell r="E5779" t="str">
            <v>P-1222(1/2)</v>
          </cell>
        </row>
        <row r="5780">
          <cell r="B5780" t="str">
            <v>B272-400-AS-150-PF-005</v>
          </cell>
          <cell r="E5780" t="str">
            <v>P-1222(2/2)</v>
          </cell>
        </row>
        <row r="5781">
          <cell r="B5781" t="str">
            <v>B272-400-AS-150-PF-005</v>
          </cell>
          <cell r="E5781" t="str">
            <v>B1680</v>
          </cell>
        </row>
        <row r="5782">
          <cell r="B5782" t="str">
            <v>B272-400-AS-150-PF-005</v>
          </cell>
          <cell r="E5782" t="str">
            <v>B2050</v>
          </cell>
        </row>
        <row r="5783">
          <cell r="B5783" t="str">
            <v>B272-400-AS-150-PF-005</v>
          </cell>
          <cell r="E5783" t="str">
            <v>B1245</v>
          </cell>
        </row>
        <row r="5784">
          <cell r="B5784" t="str">
            <v>B272-400-AS-150-PF-006</v>
          </cell>
        </row>
        <row r="5785">
          <cell r="B5785" t="str">
            <v>B272-400-AS-150-PF-006</v>
          </cell>
          <cell r="E5785" t="str">
            <v>A-173</v>
          </cell>
        </row>
        <row r="5786">
          <cell r="B5786" t="str">
            <v>B272-400-AS-150-PF-006</v>
          </cell>
          <cell r="E5786" t="str">
            <v>A-174(1/4)</v>
          </cell>
        </row>
        <row r="5787">
          <cell r="B5787" t="str">
            <v>B272-400-AS-150-PF-006</v>
          </cell>
          <cell r="E5787" t="str">
            <v>A-174(2/4)</v>
          </cell>
        </row>
        <row r="5788">
          <cell r="B5788" t="str">
            <v>B272-400-AS-150-PF-006</v>
          </cell>
          <cell r="E5788" t="str">
            <v>A-174(3/4)</v>
          </cell>
        </row>
        <row r="5789">
          <cell r="B5789" t="str">
            <v>B272-400-AS-150-PF-006</v>
          </cell>
          <cell r="E5789" t="str">
            <v>A-174(4/4)</v>
          </cell>
        </row>
        <row r="5790">
          <cell r="B5790" t="str">
            <v>B272-400-AS-150-PF-006</v>
          </cell>
          <cell r="E5790" t="str">
            <v>CY-26</v>
          </cell>
        </row>
        <row r="5791">
          <cell r="B5791" t="str">
            <v>B272-400-AS-150-PF-006</v>
          </cell>
          <cell r="E5791" t="str">
            <v>CY-33</v>
          </cell>
        </row>
        <row r="5792">
          <cell r="B5792" t="str">
            <v>B272-400-AS-150-PF-006</v>
          </cell>
          <cell r="E5792" t="str">
            <v>CY-35</v>
          </cell>
        </row>
        <row r="5793">
          <cell r="B5793" t="str">
            <v>B272-400-AS-150-PF-006</v>
          </cell>
          <cell r="E5793" t="str">
            <v>CY-39</v>
          </cell>
        </row>
        <row r="5794">
          <cell r="B5794" t="str">
            <v>B272-400-AS-150-PF-006</v>
          </cell>
          <cell r="E5794" t="str">
            <v>CY-41</v>
          </cell>
        </row>
        <row r="5795">
          <cell r="B5795" t="str">
            <v>B272-400-AS-150-PF-006</v>
          </cell>
          <cell r="E5795" t="str">
            <v>G-13</v>
          </cell>
        </row>
        <row r="5796">
          <cell r="B5796" t="str">
            <v>B272-400-AS-150-PF-006</v>
          </cell>
          <cell r="E5796" t="str">
            <v>G-18(1/7)</v>
          </cell>
        </row>
        <row r="5797">
          <cell r="B5797" t="str">
            <v>B272-400-AS-150-PF-006</v>
          </cell>
          <cell r="E5797" t="str">
            <v>G-18(2/7)</v>
          </cell>
        </row>
        <row r="5798">
          <cell r="B5798" t="str">
            <v>B272-400-AS-150-PF-006</v>
          </cell>
          <cell r="E5798" t="str">
            <v>G-18(3/7)</v>
          </cell>
        </row>
        <row r="5799">
          <cell r="B5799" t="str">
            <v>B272-400-AS-150-PF-006</v>
          </cell>
          <cell r="E5799" t="str">
            <v>G-18(4/7)</v>
          </cell>
        </row>
        <row r="5800">
          <cell r="B5800" t="str">
            <v>B272-400-AS-150-PF-006</v>
          </cell>
          <cell r="E5800" t="str">
            <v>G-18(5/7)</v>
          </cell>
        </row>
        <row r="5801">
          <cell r="B5801" t="str">
            <v>B272-400-AS-150-PF-006</v>
          </cell>
          <cell r="E5801" t="str">
            <v>G-18(6/7)</v>
          </cell>
        </row>
        <row r="5802">
          <cell r="B5802" t="str">
            <v>B272-400-AS-150-PF-006</v>
          </cell>
          <cell r="E5802" t="str">
            <v>G-18(7/7)</v>
          </cell>
        </row>
        <row r="5803">
          <cell r="B5803" t="str">
            <v>B272-400-AS-150-PF-006</v>
          </cell>
          <cell r="E5803" t="str">
            <v>G-30</v>
          </cell>
        </row>
        <row r="5804">
          <cell r="B5804" t="str">
            <v>B272-400-AS-150-PF-006</v>
          </cell>
          <cell r="E5804" t="str">
            <v>G-64</v>
          </cell>
        </row>
        <row r="5805">
          <cell r="B5805" t="str">
            <v>B272-400-AS-150-PF-006</v>
          </cell>
          <cell r="E5805" t="str">
            <v>IY-1(1/4)</v>
          </cell>
        </row>
        <row r="5806">
          <cell r="B5806" t="str">
            <v>B272-400-AS-150-PF-006</v>
          </cell>
          <cell r="E5806" t="str">
            <v>IY-1(2/4)</v>
          </cell>
        </row>
        <row r="5807">
          <cell r="B5807" t="str">
            <v>B272-400-AS-150-PF-006</v>
          </cell>
          <cell r="E5807" t="str">
            <v>IY-1(3/4)</v>
          </cell>
        </row>
        <row r="5808">
          <cell r="B5808" t="str">
            <v>B272-400-AS-150-PF-006</v>
          </cell>
          <cell r="E5808" t="str">
            <v>IY-1(4/4)</v>
          </cell>
        </row>
        <row r="5809">
          <cell r="B5809" t="str">
            <v>B272-400-AS-150-PF-006</v>
          </cell>
          <cell r="E5809" t="str">
            <v>P-508(1/6)</v>
          </cell>
        </row>
        <row r="5810">
          <cell r="B5810" t="str">
            <v>B272-400-AS-150-PF-006</v>
          </cell>
          <cell r="E5810" t="str">
            <v>P-508(2/6)</v>
          </cell>
        </row>
        <row r="5811">
          <cell r="B5811" t="str">
            <v>B272-400-AS-150-PF-006</v>
          </cell>
          <cell r="E5811" t="str">
            <v>P-508(3/6)</v>
          </cell>
        </row>
        <row r="5812">
          <cell r="B5812" t="str">
            <v>B272-400-AS-150-PF-006</v>
          </cell>
          <cell r="E5812" t="str">
            <v>P-508(4/6)</v>
          </cell>
        </row>
        <row r="5813">
          <cell r="B5813" t="str">
            <v>B272-400-AS-150-PF-006</v>
          </cell>
          <cell r="E5813" t="str">
            <v>P-508(5/6)</v>
          </cell>
        </row>
        <row r="5814">
          <cell r="B5814" t="str">
            <v>B272-400-AS-150-PF-006</v>
          </cell>
          <cell r="E5814" t="str">
            <v>P-508(6/6)</v>
          </cell>
        </row>
        <row r="5815">
          <cell r="B5815" t="str">
            <v>B272-400-AS-150-PF-006</v>
          </cell>
          <cell r="E5815" t="str">
            <v>P-510</v>
          </cell>
        </row>
        <row r="5816">
          <cell r="B5816" t="str">
            <v>B272-400-AS-150-PF-006</v>
          </cell>
          <cell r="E5816" t="str">
            <v>P-512</v>
          </cell>
        </row>
        <row r="5817">
          <cell r="B5817" t="str">
            <v>B272-400-AS-150-PF-006</v>
          </cell>
          <cell r="E5817" t="str">
            <v>P-632</v>
          </cell>
        </row>
        <row r="5818">
          <cell r="B5818" t="str">
            <v>B272-400-AS-150-PF-006</v>
          </cell>
          <cell r="E5818" t="str">
            <v>P-633(1/2)</v>
          </cell>
        </row>
        <row r="5819">
          <cell r="B5819" t="str">
            <v>B272-400-AS-150-PF-006</v>
          </cell>
          <cell r="E5819" t="str">
            <v>P-633(2/2)</v>
          </cell>
        </row>
        <row r="5820">
          <cell r="B5820" t="str">
            <v>B272-400-AS-150-PF-006</v>
          </cell>
          <cell r="E5820" t="str">
            <v>P-1086</v>
          </cell>
        </row>
        <row r="5821">
          <cell r="B5821" t="str">
            <v>B272-400-AS-150-PF-006</v>
          </cell>
          <cell r="E5821" t="str">
            <v>P-1224</v>
          </cell>
        </row>
        <row r="5822">
          <cell r="B5822" t="str">
            <v>B272-400-AS-150-PF-006</v>
          </cell>
          <cell r="E5822" t="str">
            <v>B1650</v>
          </cell>
        </row>
        <row r="5823">
          <cell r="B5823" t="str">
            <v>B272-400-AS-150-PF-006</v>
          </cell>
          <cell r="E5823" t="str">
            <v>B2050</v>
          </cell>
        </row>
        <row r="5824">
          <cell r="B5824" t="str">
            <v>B272-400-AS-150-PF-006</v>
          </cell>
          <cell r="E5824" t="str">
            <v>B1245</v>
          </cell>
        </row>
        <row r="5825">
          <cell r="B5825" t="str">
            <v>B272-400-AS-150-PF-007</v>
          </cell>
        </row>
        <row r="5826">
          <cell r="B5826" t="str">
            <v>B272-400-AS-150-PF-007</v>
          </cell>
          <cell r="E5826" t="str">
            <v>A-175(1/3)</v>
          </cell>
        </row>
        <row r="5827">
          <cell r="B5827" t="str">
            <v>B272-400-AS-150-PF-007</v>
          </cell>
          <cell r="E5827" t="str">
            <v>A-175(2/3)</v>
          </cell>
        </row>
        <row r="5828">
          <cell r="B5828" t="str">
            <v>B272-400-AS-150-PF-007</v>
          </cell>
          <cell r="E5828" t="str">
            <v>A-175(3/3)</v>
          </cell>
        </row>
        <row r="5829">
          <cell r="B5829" t="str">
            <v>B272-400-AS-150-PF-007</v>
          </cell>
          <cell r="E5829" t="str">
            <v>A-176</v>
          </cell>
        </row>
        <row r="5830">
          <cell r="B5830" t="str">
            <v>B272-400-AS-150-PF-007</v>
          </cell>
          <cell r="E5830" t="str">
            <v>C-16</v>
          </cell>
        </row>
        <row r="5831">
          <cell r="B5831" t="str">
            <v>B272-400-AS-150-PF-007</v>
          </cell>
          <cell r="E5831" t="str">
            <v>C-99</v>
          </cell>
        </row>
        <row r="5832">
          <cell r="B5832" t="str">
            <v>B272-400-AS-150-PF-007</v>
          </cell>
          <cell r="E5832" t="str">
            <v>C-113(1/2)</v>
          </cell>
        </row>
        <row r="5833">
          <cell r="B5833" t="str">
            <v>B272-400-AS-150-PF-007</v>
          </cell>
          <cell r="E5833" t="str">
            <v>C-113(2/2)</v>
          </cell>
        </row>
        <row r="5834">
          <cell r="B5834" t="str">
            <v>B272-400-AS-150-PF-007</v>
          </cell>
          <cell r="E5834" t="str">
            <v>C-114</v>
          </cell>
        </row>
        <row r="5835">
          <cell r="B5835" t="str">
            <v>B272-400-AS-150-PF-007</v>
          </cell>
          <cell r="E5835" t="str">
            <v>C-115</v>
          </cell>
        </row>
        <row r="5836">
          <cell r="B5836" t="str">
            <v>B272-400-AS-150-PF-007</v>
          </cell>
          <cell r="E5836" t="str">
            <v>C-127</v>
          </cell>
        </row>
        <row r="5837">
          <cell r="B5837" t="str">
            <v>B272-400-AS-150-PF-007</v>
          </cell>
          <cell r="E5837" t="str">
            <v>C-180</v>
          </cell>
        </row>
        <row r="5838">
          <cell r="B5838" t="str">
            <v>B272-400-AS-150-PF-007</v>
          </cell>
          <cell r="E5838" t="str">
            <v>G-18(1/4)</v>
          </cell>
        </row>
        <row r="5839">
          <cell r="B5839" t="str">
            <v>B272-400-AS-150-PF-007</v>
          </cell>
          <cell r="E5839" t="str">
            <v>G-18(2/4)</v>
          </cell>
        </row>
        <row r="5840">
          <cell r="B5840" t="str">
            <v>B272-400-AS-150-PF-007</v>
          </cell>
          <cell r="E5840" t="str">
            <v>G-18(3/4)</v>
          </cell>
        </row>
        <row r="5841">
          <cell r="B5841" t="str">
            <v>B272-400-AS-150-PF-007</v>
          </cell>
          <cell r="E5841" t="str">
            <v>G-18(4/4)</v>
          </cell>
        </row>
        <row r="5842">
          <cell r="B5842" t="str">
            <v>B272-400-AS-150-PF-007</v>
          </cell>
          <cell r="E5842" t="str">
            <v>IY-1(1/3)</v>
          </cell>
        </row>
        <row r="5843">
          <cell r="B5843" t="str">
            <v>B272-400-AS-150-PF-007</v>
          </cell>
          <cell r="E5843" t="str">
            <v>IY-1(2/3)</v>
          </cell>
        </row>
        <row r="5844">
          <cell r="B5844" t="str">
            <v>B272-400-AS-150-PF-007</v>
          </cell>
          <cell r="E5844" t="str">
            <v>IY-1(3/3)</v>
          </cell>
        </row>
        <row r="5845">
          <cell r="B5845" t="str">
            <v>B272-400-AS-150-PF-007</v>
          </cell>
          <cell r="E5845" t="str">
            <v>P-514(1/5)</v>
          </cell>
        </row>
        <row r="5846">
          <cell r="B5846" t="str">
            <v>B272-400-AS-150-PF-007</v>
          </cell>
          <cell r="E5846" t="str">
            <v>P-514(2/5)</v>
          </cell>
        </row>
        <row r="5847">
          <cell r="B5847" t="str">
            <v>B272-400-AS-150-PF-007</v>
          </cell>
          <cell r="E5847" t="str">
            <v>P-514(3/5)</v>
          </cell>
        </row>
        <row r="5848">
          <cell r="B5848" t="str">
            <v>B272-400-AS-150-PF-007</v>
          </cell>
          <cell r="E5848" t="str">
            <v>P-514(4/5)</v>
          </cell>
        </row>
        <row r="5849">
          <cell r="B5849" t="str">
            <v>B272-400-AS-150-PF-007</v>
          </cell>
          <cell r="E5849" t="str">
            <v>P-514(5/5)</v>
          </cell>
        </row>
        <row r="5850">
          <cell r="B5850" t="str">
            <v>B272-400-AS-150-PF-007</v>
          </cell>
          <cell r="E5850" t="str">
            <v>P-515</v>
          </cell>
        </row>
        <row r="5851">
          <cell r="B5851" t="str">
            <v>B272-400-AS-150-PF-007</v>
          </cell>
          <cell r="E5851" t="str">
            <v>P-517</v>
          </cell>
        </row>
        <row r="5852">
          <cell r="B5852" t="str">
            <v>B272-400-AS-150-PF-007</v>
          </cell>
          <cell r="E5852" t="str">
            <v>P-518</v>
          </cell>
        </row>
        <row r="5853">
          <cell r="B5853" t="str">
            <v>B272-400-AS-150-PF-007</v>
          </cell>
          <cell r="E5853" t="str">
            <v>P-1222(1/2)</v>
          </cell>
        </row>
        <row r="5854">
          <cell r="B5854" t="str">
            <v>B272-400-AS-150-PF-007</v>
          </cell>
          <cell r="E5854" t="str">
            <v>P-1222(2/2)</v>
          </cell>
        </row>
        <row r="5855">
          <cell r="B5855" t="str">
            <v>B272-400-AS-150-PF-007</v>
          </cell>
          <cell r="E5855" t="str">
            <v>B2050</v>
          </cell>
        </row>
        <row r="5856">
          <cell r="B5856" t="str">
            <v>B272-400-AS-150-PF-008</v>
          </cell>
        </row>
        <row r="5857">
          <cell r="B5857" t="str">
            <v>B272-400-AS-150-PF-008</v>
          </cell>
          <cell r="E5857" t="str">
            <v>A-175(1/3)</v>
          </cell>
        </row>
        <row r="5858">
          <cell r="B5858" t="str">
            <v>B272-400-AS-150-PF-008</v>
          </cell>
          <cell r="E5858" t="str">
            <v>A-175(2/3)</v>
          </cell>
        </row>
        <row r="5859">
          <cell r="B5859" t="str">
            <v>B272-400-AS-150-PF-008</v>
          </cell>
          <cell r="E5859" t="str">
            <v>A-175(3/3)</v>
          </cell>
        </row>
        <row r="5860">
          <cell r="B5860" t="str">
            <v>B272-400-AS-150-PF-008</v>
          </cell>
          <cell r="E5860" t="str">
            <v>A-176</v>
          </cell>
        </row>
        <row r="5861">
          <cell r="B5861" t="str">
            <v>B272-400-AS-150-PF-008</v>
          </cell>
          <cell r="E5861" t="str">
            <v>C-16</v>
          </cell>
        </row>
        <row r="5862">
          <cell r="B5862" t="str">
            <v>B272-400-AS-150-PF-008</v>
          </cell>
          <cell r="E5862" t="str">
            <v>C-113(1/2)</v>
          </cell>
        </row>
        <row r="5863">
          <cell r="B5863" t="str">
            <v>B272-400-AS-150-PF-008</v>
          </cell>
          <cell r="E5863" t="str">
            <v>C-113(2/2)</v>
          </cell>
        </row>
        <row r="5864">
          <cell r="B5864" t="str">
            <v>B272-400-AS-150-PF-008</v>
          </cell>
          <cell r="E5864" t="str">
            <v>C-115</v>
          </cell>
        </row>
        <row r="5865">
          <cell r="B5865" t="str">
            <v>B272-400-AS-150-PF-008</v>
          </cell>
          <cell r="E5865" t="str">
            <v>C-116</v>
          </cell>
        </row>
        <row r="5866">
          <cell r="B5866" t="str">
            <v>B272-400-AS-150-PF-008</v>
          </cell>
          <cell r="E5866" t="str">
            <v>C-126</v>
          </cell>
        </row>
        <row r="5867">
          <cell r="B5867" t="str">
            <v>B272-400-AS-150-PF-008</v>
          </cell>
          <cell r="E5867" t="str">
            <v>C-175</v>
          </cell>
        </row>
        <row r="5868">
          <cell r="B5868" t="str">
            <v>B272-400-AS-150-PF-008</v>
          </cell>
          <cell r="E5868" t="str">
            <v>C-179</v>
          </cell>
        </row>
        <row r="5869">
          <cell r="B5869" t="str">
            <v>B272-400-AS-150-PF-008</v>
          </cell>
          <cell r="E5869" t="str">
            <v>G-18(1/4)</v>
          </cell>
        </row>
        <row r="5870">
          <cell r="B5870" t="str">
            <v>B272-400-AS-150-PF-008</v>
          </cell>
          <cell r="E5870" t="str">
            <v>G-18(2/4)</v>
          </cell>
        </row>
        <row r="5871">
          <cell r="B5871" t="str">
            <v>B272-400-AS-150-PF-008</v>
          </cell>
          <cell r="E5871" t="str">
            <v>G-18(3/4)</v>
          </cell>
        </row>
        <row r="5872">
          <cell r="B5872" t="str">
            <v>B272-400-AS-150-PF-008</v>
          </cell>
          <cell r="E5872" t="str">
            <v>G-18(4/4)</v>
          </cell>
        </row>
        <row r="5873">
          <cell r="B5873" t="str">
            <v>B272-400-AS-150-PF-008</v>
          </cell>
          <cell r="E5873" t="str">
            <v>IY-1(1/3)</v>
          </cell>
        </row>
        <row r="5874">
          <cell r="B5874" t="str">
            <v>B272-400-AS-150-PF-008</v>
          </cell>
          <cell r="E5874" t="str">
            <v>IY-1(2/3)</v>
          </cell>
        </row>
        <row r="5875">
          <cell r="B5875" t="str">
            <v>B272-400-AS-150-PF-008</v>
          </cell>
          <cell r="E5875" t="str">
            <v>IY-1(3/3)</v>
          </cell>
        </row>
        <row r="5876">
          <cell r="B5876" t="str">
            <v>B272-400-AS-150-PF-008</v>
          </cell>
          <cell r="E5876" t="str">
            <v>P-449(1/2)</v>
          </cell>
        </row>
        <row r="5877">
          <cell r="B5877" t="str">
            <v>B272-400-AS-150-PF-008</v>
          </cell>
          <cell r="E5877" t="str">
            <v>P-449(2/2)</v>
          </cell>
        </row>
        <row r="5878">
          <cell r="B5878" t="str">
            <v>B272-400-AS-150-PF-008</v>
          </cell>
          <cell r="E5878" t="str">
            <v>P-514(1/5)</v>
          </cell>
        </row>
        <row r="5879">
          <cell r="B5879" t="str">
            <v>B272-400-AS-150-PF-008</v>
          </cell>
          <cell r="E5879" t="str">
            <v>P-514(2/5)</v>
          </cell>
        </row>
        <row r="5880">
          <cell r="B5880" t="str">
            <v>B272-400-AS-150-PF-008</v>
          </cell>
          <cell r="E5880" t="str">
            <v>P-514(3/5)</v>
          </cell>
        </row>
        <row r="5881">
          <cell r="B5881" t="str">
            <v>B272-400-AS-150-PF-008</v>
          </cell>
          <cell r="E5881" t="str">
            <v>P-514(4/5)</v>
          </cell>
        </row>
        <row r="5882">
          <cell r="B5882" t="str">
            <v>B272-400-AS-150-PF-008</v>
          </cell>
          <cell r="E5882" t="str">
            <v>P-514(5/5)</v>
          </cell>
        </row>
        <row r="5883">
          <cell r="B5883" t="str">
            <v>B272-400-AS-150-PF-008</v>
          </cell>
          <cell r="E5883" t="str">
            <v>P-515</v>
          </cell>
        </row>
        <row r="5884">
          <cell r="B5884" t="str">
            <v>B272-400-AS-150-PF-008</v>
          </cell>
          <cell r="E5884" t="str">
            <v>P-517</v>
          </cell>
        </row>
        <row r="5885">
          <cell r="B5885" t="str">
            <v>B272-400-AS-150-PF-008</v>
          </cell>
          <cell r="E5885" t="str">
            <v>P-518</v>
          </cell>
        </row>
        <row r="5886">
          <cell r="B5886" t="str">
            <v>B272-400-AS-150-PF-008</v>
          </cell>
          <cell r="E5886" t="str">
            <v>P-1222(1/2)</v>
          </cell>
        </row>
        <row r="5887">
          <cell r="B5887" t="str">
            <v>B272-400-AS-150-PF-008</v>
          </cell>
          <cell r="E5887" t="str">
            <v>P-1222(2/2)</v>
          </cell>
        </row>
        <row r="5888">
          <cell r="B5888" t="str">
            <v>B272-400-AS-150-PF-008</v>
          </cell>
          <cell r="E5888" t="str">
            <v>B2050</v>
          </cell>
        </row>
        <row r="5889">
          <cell r="B5889" t="str">
            <v>B272-400-AS-150-PF-008</v>
          </cell>
          <cell r="E5889" t="str">
            <v>B1250</v>
          </cell>
        </row>
        <row r="5890">
          <cell r="B5890" t="str">
            <v>B272-400-AS-150-PF-009</v>
          </cell>
        </row>
        <row r="5891">
          <cell r="B5891" t="str">
            <v>B272-400-AS-150-PF-009</v>
          </cell>
          <cell r="E5891" t="str">
            <v>A-177</v>
          </cell>
        </row>
        <row r="5892">
          <cell r="B5892" t="str">
            <v>B272-400-AS-150-PF-009</v>
          </cell>
          <cell r="E5892" t="str">
            <v>A-178</v>
          </cell>
        </row>
        <row r="5893">
          <cell r="B5893" t="str">
            <v>B272-400-AS-150-PF-009</v>
          </cell>
          <cell r="E5893" t="str">
            <v>C-54</v>
          </cell>
        </row>
        <row r="5894">
          <cell r="B5894" t="str">
            <v>B272-400-AS-150-PF-009</v>
          </cell>
          <cell r="E5894" t="str">
            <v>C-101</v>
          </cell>
        </row>
        <row r="5895">
          <cell r="B5895" t="str">
            <v>B272-400-AS-150-PF-009</v>
          </cell>
          <cell r="E5895" t="str">
            <v>C-181</v>
          </cell>
        </row>
        <row r="5896">
          <cell r="B5896" t="str">
            <v>B272-400-AS-150-PF-009</v>
          </cell>
          <cell r="E5896" t="str">
            <v>C-182</v>
          </cell>
        </row>
        <row r="5897">
          <cell r="B5897" t="str">
            <v>B272-400-AS-150-PF-009</v>
          </cell>
          <cell r="E5897" t="str">
            <v>CY-111</v>
          </cell>
        </row>
        <row r="5898">
          <cell r="B5898" t="str">
            <v>B272-400-AS-150-PF-009</v>
          </cell>
          <cell r="E5898" t="str">
            <v>G-18(1/6)</v>
          </cell>
        </row>
        <row r="5899">
          <cell r="B5899" t="str">
            <v>B272-400-AS-150-PF-009</v>
          </cell>
          <cell r="E5899" t="str">
            <v>G-18(2/6)</v>
          </cell>
        </row>
        <row r="5900">
          <cell r="B5900" t="str">
            <v>B272-400-AS-150-PF-009</v>
          </cell>
          <cell r="E5900" t="str">
            <v>G-18(3/6)</v>
          </cell>
        </row>
        <row r="5901">
          <cell r="B5901" t="str">
            <v>B272-400-AS-150-PF-009</v>
          </cell>
          <cell r="E5901" t="str">
            <v>G-18(4/6)</v>
          </cell>
        </row>
        <row r="5902">
          <cell r="B5902" t="str">
            <v>B272-400-AS-150-PF-009</v>
          </cell>
          <cell r="E5902" t="str">
            <v>G-18(5/6)</v>
          </cell>
        </row>
        <row r="5903">
          <cell r="B5903" t="str">
            <v>B272-400-AS-150-PF-009</v>
          </cell>
          <cell r="E5903" t="str">
            <v>G-18(6/6)</v>
          </cell>
        </row>
        <row r="5904">
          <cell r="B5904" t="str">
            <v>B272-400-AS-150-PF-009</v>
          </cell>
          <cell r="E5904" t="str">
            <v>IY-1</v>
          </cell>
        </row>
        <row r="5905">
          <cell r="B5905" t="str">
            <v>B272-400-AS-150-PF-009</v>
          </cell>
          <cell r="E5905" t="str">
            <v>P-413(1/2)</v>
          </cell>
        </row>
        <row r="5906">
          <cell r="B5906" t="str">
            <v>B272-400-AS-150-PF-009</v>
          </cell>
          <cell r="E5906" t="str">
            <v>P-413(2/2)</v>
          </cell>
        </row>
        <row r="5907">
          <cell r="B5907" t="str">
            <v>B272-400-AS-150-PF-009</v>
          </cell>
          <cell r="E5907" t="str">
            <v>P-526(1/2)</v>
          </cell>
        </row>
        <row r="5908">
          <cell r="B5908" t="str">
            <v>B272-400-AS-150-PF-009</v>
          </cell>
          <cell r="E5908" t="str">
            <v>P-526(2/2)</v>
          </cell>
        </row>
        <row r="5909">
          <cell r="B5909" t="str">
            <v>B272-400-AS-150-PF-009</v>
          </cell>
          <cell r="E5909" t="str">
            <v>P-685</v>
          </cell>
        </row>
        <row r="5910">
          <cell r="B5910" t="str">
            <v>B272-400-AS-150-PF-009</v>
          </cell>
          <cell r="E5910" t="str">
            <v>P-1037(1/2)</v>
          </cell>
        </row>
        <row r="5911">
          <cell r="B5911" t="str">
            <v>B272-400-AS-150-PF-009</v>
          </cell>
          <cell r="E5911" t="str">
            <v>P-1037(2/2)</v>
          </cell>
        </row>
        <row r="5912">
          <cell r="B5912" t="str">
            <v>B272-400-AS-150-PF-009</v>
          </cell>
          <cell r="E5912" t="str">
            <v>P-1214</v>
          </cell>
        </row>
        <row r="5913">
          <cell r="B5913" t="str">
            <v>B272-400-AS-150-PF-010</v>
          </cell>
        </row>
        <row r="5914">
          <cell r="B5914" t="str">
            <v>B272-400-AS-150-PF-010</v>
          </cell>
          <cell r="E5914" t="str">
            <v>A-188</v>
          </cell>
        </row>
        <row r="5915">
          <cell r="B5915" t="str">
            <v>B272-400-AS-150-PF-010</v>
          </cell>
          <cell r="E5915" t="str">
            <v>A-189(1/2)</v>
          </cell>
        </row>
        <row r="5916">
          <cell r="B5916" t="str">
            <v>B272-400-AS-150-PF-010</v>
          </cell>
          <cell r="E5916" t="str">
            <v>A-189(2/2)</v>
          </cell>
        </row>
        <row r="5917">
          <cell r="B5917" t="str">
            <v>B272-400-AS-150-PF-010</v>
          </cell>
          <cell r="E5917" t="str">
            <v>A-190</v>
          </cell>
        </row>
        <row r="5918">
          <cell r="B5918" t="str">
            <v>B272-400-AS-150-PF-010</v>
          </cell>
          <cell r="E5918" t="str">
            <v>C-164</v>
          </cell>
        </row>
        <row r="5919">
          <cell r="B5919" t="str">
            <v>B272-400-AS-150-PF-010</v>
          </cell>
          <cell r="E5919" t="str">
            <v>C-165</v>
          </cell>
        </row>
        <row r="5920">
          <cell r="B5920" t="str">
            <v>B272-400-AS-150-PF-010</v>
          </cell>
          <cell r="E5920" t="str">
            <v>C-166</v>
          </cell>
        </row>
        <row r="5921">
          <cell r="B5921" t="str">
            <v>B272-400-AS-150-PF-010</v>
          </cell>
          <cell r="E5921" t="str">
            <v>C-167</v>
          </cell>
        </row>
        <row r="5922">
          <cell r="B5922" t="str">
            <v>B272-400-AS-150-PF-010</v>
          </cell>
          <cell r="E5922" t="str">
            <v>C-168</v>
          </cell>
        </row>
        <row r="5923">
          <cell r="B5923" t="str">
            <v>B272-400-AS-150-PF-010</v>
          </cell>
          <cell r="E5923" t="str">
            <v>CY-28</v>
          </cell>
        </row>
        <row r="5924">
          <cell r="B5924" t="str">
            <v>B272-400-AS-150-PF-010</v>
          </cell>
          <cell r="E5924" t="str">
            <v>G-13(1/2)</v>
          </cell>
        </row>
        <row r="5925">
          <cell r="B5925" t="str">
            <v>B272-400-AS-150-PF-010</v>
          </cell>
          <cell r="E5925" t="str">
            <v>G-13(2/2)</v>
          </cell>
        </row>
        <row r="5926">
          <cell r="B5926" t="str">
            <v>B272-400-AS-150-PF-010</v>
          </cell>
          <cell r="E5926" t="str">
            <v>G-18(1/8)</v>
          </cell>
        </row>
        <row r="5927">
          <cell r="B5927" t="str">
            <v>B272-400-AS-150-PF-010</v>
          </cell>
          <cell r="E5927" t="str">
            <v>G-18(2/8)</v>
          </cell>
        </row>
        <row r="5928">
          <cell r="B5928" t="str">
            <v>B272-400-AS-150-PF-010</v>
          </cell>
          <cell r="E5928" t="str">
            <v>G-18(3/8)</v>
          </cell>
        </row>
        <row r="5929">
          <cell r="B5929" t="str">
            <v>B272-400-AS-150-PF-010</v>
          </cell>
          <cell r="E5929" t="str">
            <v>G-18(4/8)</v>
          </cell>
        </row>
        <row r="5930">
          <cell r="B5930" t="str">
            <v>B272-400-AS-150-PF-010</v>
          </cell>
          <cell r="E5930" t="str">
            <v>G-18(5/8)</v>
          </cell>
        </row>
        <row r="5931">
          <cell r="B5931" t="str">
            <v>B272-400-AS-150-PF-010</v>
          </cell>
          <cell r="E5931" t="str">
            <v>G-18(6/8)</v>
          </cell>
        </row>
        <row r="5932">
          <cell r="B5932" t="str">
            <v>B272-400-AS-150-PF-010</v>
          </cell>
          <cell r="E5932" t="str">
            <v>G-18(7/8)</v>
          </cell>
        </row>
        <row r="5933">
          <cell r="B5933" t="str">
            <v>B272-400-AS-150-PF-010</v>
          </cell>
          <cell r="E5933" t="str">
            <v>G-18(8/8)</v>
          </cell>
        </row>
        <row r="5934">
          <cell r="B5934" t="str">
            <v>B272-400-AS-150-PF-010</v>
          </cell>
          <cell r="E5934" t="str">
            <v>IY-5</v>
          </cell>
        </row>
        <row r="5935">
          <cell r="B5935" t="str">
            <v>B272-400-AS-150-PF-010</v>
          </cell>
          <cell r="E5935" t="str">
            <v>IY-6(1/2)</v>
          </cell>
        </row>
        <row r="5936">
          <cell r="B5936" t="str">
            <v>B272-400-AS-150-PF-010</v>
          </cell>
          <cell r="E5936" t="str">
            <v>IY-6(2/2)</v>
          </cell>
        </row>
        <row r="5937">
          <cell r="B5937" t="str">
            <v>B272-400-AS-150-PF-010</v>
          </cell>
          <cell r="E5937" t="str">
            <v>IY-17</v>
          </cell>
        </row>
        <row r="5938">
          <cell r="B5938" t="str">
            <v>B272-400-AS-150-PF-010</v>
          </cell>
          <cell r="E5938" t="str">
            <v>IY-18</v>
          </cell>
        </row>
        <row r="5939">
          <cell r="B5939" t="str">
            <v>B272-400-AS-150-PF-010</v>
          </cell>
          <cell r="E5939" t="str">
            <v>IY-19(1/2)</v>
          </cell>
        </row>
        <row r="5940">
          <cell r="B5940" t="str">
            <v>B272-400-AS-150-PF-010</v>
          </cell>
          <cell r="E5940" t="str">
            <v>IY-19(2/2)</v>
          </cell>
        </row>
        <row r="5941">
          <cell r="B5941" t="str">
            <v>B272-400-AS-150-PF-010</v>
          </cell>
          <cell r="E5941" t="str">
            <v>P-636(1/4)</v>
          </cell>
        </row>
        <row r="5942">
          <cell r="B5942" t="str">
            <v>B272-400-AS-150-PF-010</v>
          </cell>
          <cell r="E5942" t="str">
            <v>P-636(2/4)</v>
          </cell>
        </row>
        <row r="5943">
          <cell r="B5943" t="str">
            <v>B272-400-AS-150-PF-010</v>
          </cell>
          <cell r="E5943" t="str">
            <v>P-636(3/4)</v>
          </cell>
        </row>
        <row r="5944">
          <cell r="B5944" t="str">
            <v>B272-400-AS-150-PF-010</v>
          </cell>
          <cell r="E5944" t="str">
            <v>P-636(4/4)</v>
          </cell>
        </row>
        <row r="5945">
          <cell r="B5945" t="str">
            <v>B272-400-AS-150-PF-010</v>
          </cell>
          <cell r="E5945" t="str">
            <v>P-637</v>
          </cell>
        </row>
        <row r="5946">
          <cell r="B5946" t="str">
            <v>B272-400-AS-150-PF-010</v>
          </cell>
          <cell r="E5946" t="str">
            <v>P-638</v>
          </cell>
        </row>
        <row r="5947">
          <cell r="B5947" t="str">
            <v>B272-400-AS-150-PF-010</v>
          </cell>
          <cell r="E5947" t="str">
            <v>P-1127(1/2)</v>
          </cell>
        </row>
        <row r="5948">
          <cell r="B5948" t="str">
            <v>B272-400-AS-150-PF-010</v>
          </cell>
          <cell r="E5948" t="str">
            <v>P-1127(2/2)</v>
          </cell>
        </row>
        <row r="5949">
          <cell r="B5949" t="str">
            <v>B272-400-AS-150-PF-010</v>
          </cell>
          <cell r="E5949" t="str">
            <v>P-1129</v>
          </cell>
        </row>
        <row r="5950">
          <cell r="B5950" t="str">
            <v>B272-400-AS-150-PF-010</v>
          </cell>
          <cell r="E5950" t="str">
            <v>P-1130</v>
          </cell>
        </row>
        <row r="5951">
          <cell r="B5951" t="str">
            <v>B272-400-AS-150-PF-010</v>
          </cell>
          <cell r="E5951" t="str">
            <v>P-1212(1/6)</v>
          </cell>
        </row>
        <row r="5952">
          <cell r="B5952" t="str">
            <v>B272-400-AS-150-PF-010</v>
          </cell>
          <cell r="E5952" t="str">
            <v>P-1212(2/6)</v>
          </cell>
        </row>
        <row r="5953">
          <cell r="B5953" t="str">
            <v>B272-400-AS-150-PF-010</v>
          </cell>
          <cell r="E5953" t="str">
            <v>P-1212(3/6)</v>
          </cell>
        </row>
        <row r="5954">
          <cell r="B5954" t="str">
            <v>B272-400-AS-150-PF-010</v>
          </cell>
          <cell r="E5954" t="str">
            <v>P-1212(4/6)</v>
          </cell>
        </row>
        <row r="5955">
          <cell r="B5955" t="str">
            <v>B272-400-AS-150-PF-010</v>
          </cell>
          <cell r="E5955" t="str">
            <v>P-1212(5/6)</v>
          </cell>
        </row>
        <row r="5956">
          <cell r="B5956" t="str">
            <v>B272-400-AS-150-PF-010</v>
          </cell>
          <cell r="E5956" t="str">
            <v>P-1212(6/6)</v>
          </cell>
        </row>
        <row r="5957">
          <cell r="B5957" t="str">
            <v>B272-400-AS-150-PF-010</v>
          </cell>
          <cell r="E5957" t="str">
            <v>IY-1001</v>
          </cell>
        </row>
        <row r="5958">
          <cell r="B5958" t="str">
            <v>B272-400-AS-150-PF-010</v>
          </cell>
          <cell r="E5958" t="str">
            <v>P-2019</v>
          </cell>
        </row>
        <row r="5959">
          <cell r="B5959" t="str">
            <v>B272-400-AS-150-PF-010</v>
          </cell>
          <cell r="E5959" t="str">
            <v>P-2020</v>
          </cell>
        </row>
        <row r="5960">
          <cell r="B5960" t="str">
            <v>B272-400-AS-150-PF-010</v>
          </cell>
          <cell r="E5960" t="str">
            <v>P-2061</v>
          </cell>
        </row>
        <row r="5961">
          <cell r="B5961" t="str">
            <v>B272-400-AS-150-PF-010</v>
          </cell>
          <cell r="E5961" t="str">
            <v>B1650</v>
          </cell>
        </row>
        <row r="5962">
          <cell r="B5962" t="str">
            <v>B272-400-AS-150-PF-010</v>
          </cell>
          <cell r="E5962" t="str">
            <v>B2050</v>
          </cell>
        </row>
        <row r="5963">
          <cell r="B5963" t="str">
            <v>B272-400-AS-150-PF-010</v>
          </cell>
          <cell r="E5963" t="str">
            <v>B1245</v>
          </cell>
        </row>
        <row r="5964">
          <cell r="B5964" t="str">
            <v>B272-400-AS-150-PF-011</v>
          </cell>
        </row>
        <row r="5965">
          <cell r="B5965" t="str">
            <v>B272-400-AS-150-PF-011</v>
          </cell>
          <cell r="E5965" t="str">
            <v>A-191(1/2)</v>
          </cell>
        </row>
        <row r="5966">
          <cell r="B5966" t="str">
            <v>B272-400-AS-150-PF-011</v>
          </cell>
          <cell r="E5966" t="str">
            <v>A-191(2/2)</v>
          </cell>
        </row>
        <row r="5967">
          <cell r="B5967" t="str">
            <v>B272-400-AS-150-PF-011</v>
          </cell>
          <cell r="E5967" t="str">
            <v>C-12</v>
          </cell>
        </row>
        <row r="5968">
          <cell r="B5968" t="str">
            <v>B272-400-AS-150-PF-011</v>
          </cell>
          <cell r="E5968" t="str">
            <v>C-161</v>
          </cell>
        </row>
        <row r="5969">
          <cell r="B5969" t="str">
            <v>B272-400-AS-150-PF-011</v>
          </cell>
          <cell r="E5969" t="str">
            <v>C-162</v>
          </cell>
        </row>
        <row r="5970">
          <cell r="B5970" t="str">
            <v>B272-400-AS-150-PF-011</v>
          </cell>
          <cell r="E5970" t="str">
            <v>C-163</v>
          </cell>
        </row>
        <row r="5971">
          <cell r="B5971" t="str">
            <v>B272-400-AS-150-PF-011</v>
          </cell>
          <cell r="E5971" t="str">
            <v>G-13(1/2)</v>
          </cell>
        </row>
        <row r="5972">
          <cell r="B5972" t="str">
            <v>B272-400-AS-150-PF-011</v>
          </cell>
          <cell r="E5972" t="str">
            <v>G-13(2/2)</v>
          </cell>
        </row>
        <row r="5973">
          <cell r="B5973" t="str">
            <v>B272-400-AS-150-PF-011</v>
          </cell>
          <cell r="E5973" t="str">
            <v>G-18(1/4)</v>
          </cell>
        </row>
        <row r="5974">
          <cell r="B5974" t="str">
            <v>B272-400-AS-150-PF-011</v>
          </cell>
          <cell r="E5974" t="str">
            <v>G-18(2/4)</v>
          </cell>
        </row>
        <row r="5975">
          <cell r="B5975" t="str">
            <v>B272-400-AS-150-PF-011</v>
          </cell>
          <cell r="E5975" t="str">
            <v>G-18(3/4)</v>
          </cell>
        </row>
        <row r="5976">
          <cell r="B5976" t="str">
            <v>B272-400-AS-150-PF-011</v>
          </cell>
          <cell r="E5976" t="str">
            <v>G-18(4/4)</v>
          </cell>
        </row>
        <row r="5977">
          <cell r="B5977" t="str">
            <v>B272-400-AS-150-PF-011</v>
          </cell>
          <cell r="E5977" t="str">
            <v>IY-7</v>
          </cell>
        </row>
        <row r="5978">
          <cell r="B5978" t="str">
            <v>B272-400-AS-150-PF-011</v>
          </cell>
          <cell r="E5978" t="str">
            <v>P-640(1/2)</v>
          </cell>
        </row>
        <row r="5979">
          <cell r="B5979" t="str">
            <v>B272-400-AS-150-PF-011</v>
          </cell>
          <cell r="E5979" t="str">
            <v>P-640(2/2)</v>
          </cell>
        </row>
        <row r="5980">
          <cell r="B5980" t="str">
            <v>B272-400-AS-150-PF-011</v>
          </cell>
          <cell r="E5980" t="str">
            <v>P-917(1/2)</v>
          </cell>
        </row>
        <row r="5981">
          <cell r="B5981" t="str">
            <v>B272-400-AS-150-PF-011</v>
          </cell>
          <cell r="E5981" t="str">
            <v>P-917(2/2)</v>
          </cell>
        </row>
        <row r="5982">
          <cell r="B5982" t="str">
            <v>B272-400-AS-150-PF-011</v>
          </cell>
          <cell r="E5982" t="str">
            <v>P-1189</v>
          </cell>
        </row>
        <row r="5983">
          <cell r="B5983" t="str">
            <v>B272-400-AS-150-PF-011</v>
          </cell>
          <cell r="E5983" t="str">
            <v>P-1213</v>
          </cell>
        </row>
        <row r="5984">
          <cell r="B5984" t="str">
            <v>B272-400-AS-150-PF-011</v>
          </cell>
          <cell r="E5984" t="str">
            <v>B1650</v>
          </cell>
        </row>
        <row r="5985">
          <cell r="B5985" t="str">
            <v>B272-400-AS-150-PF-011</v>
          </cell>
          <cell r="E5985" t="str">
            <v>B1245</v>
          </cell>
        </row>
        <row r="5986">
          <cell r="B5986" t="str">
            <v>B272-400-AS-150-PF-012</v>
          </cell>
        </row>
        <row r="5987">
          <cell r="B5987" t="str">
            <v>B272-400-AS-150-PF-012</v>
          </cell>
          <cell r="E5987" t="str">
            <v>A-192</v>
          </cell>
        </row>
        <row r="5988">
          <cell r="B5988" t="str">
            <v>B272-400-AS-150-PF-012</v>
          </cell>
          <cell r="E5988" t="str">
            <v>C-54</v>
          </cell>
        </row>
        <row r="5989">
          <cell r="B5989" t="str">
            <v>B272-400-AS-150-PF-012</v>
          </cell>
          <cell r="E5989" t="str">
            <v>C-169</v>
          </cell>
        </row>
        <row r="5990">
          <cell r="B5990" t="str">
            <v>B272-400-AS-150-PF-012</v>
          </cell>
          <cell r="E5990" t="str">
            <v>C-170</v>
          </cell>
        </row>
        <row r="5991">
          <cell r="B5991" t="str">
            <v>B272-400-AS-150-PF-012</v>
          </cell>
          <cell r="E5991" t="str">
            <v>C-171</v>
          </cell>
        </row>
        <row r="5992">
          <cell r="B5992" t="str">
            <v>B272-400-AS-150-PF-012</v>
          </cell>
          <cell r="E5992" t="str">
            <v>G-18(1/6)</v>
          </cell>
        </row>
        <row r="5993">
          <cell r="B5993" t="str">
            <v>B272-400-AS-150-PF-012</v>
          </cell>
          <cell r="E5993" t="str">
            <v>G-18(2/6)</v>
          </cell>
        </row>
        <row r="5994">
          <cell r="B5994" t="str">
            <v>B272-400-AS-150-PF-012</v>
          </cell>
          <cell r="E5994" t="str">
            <v>G-18(3/6)</v>
          </cell>
        </row>
        <row r="5995">
          <cell r="B5995" t="str">
            <v>B272-400-AS-150-PF-012</v>
          </cell>
          <cell r="E5995" t="str">
            <v>G-18(4/6)</v>
          </cell>
        </row>
        <row r="5996">
          <cell r="B5996" t="str">
            <v>B272-400-AS-150-PF-012</v>
          </cell>
          <cell r="E5996" t="str">
            <v>G-18(5/6)</v>
          </cell>
        </row>
        <row r="5997">
          <cell r="B5997" t="str">
            <v>B272-400-AS-150-PF-012</v>
          </cell>
          <cell r="E5997" t="str">
            <v>G-18(6/6)</v>
          </cell>
        </row>
        <row r="5998">
          <cell r="B5998" t="str">
            <v>B272-400-AS-150-PF-012</v>
          </cell>
          <cell r="E5998" t="str">
            <v>P-422(1/2)</v>
          </cell>
        </row>
        <row r="5999">
          <cell r="B5999" t="str">
            <v>B272-400-AS-150-PF-012</v>
          </cell>
          <cell r="E5999" t="str">
            <v>P-422(2/2)</v>
          </cell>
        </row>
        <row r="6000">
          <cell r="B6000" t="str">
            <v>B272-400-AS-150-PF-012</v>
          </cell>
          <cell r="E6000" t="str">
            <v>B1245</v>
          </cell>
        </row>
        <row r="6001">
          <cell r="B6001" t="str">
            <v>B272-400-AS-150-PF-013</v>
          </cell>
        </row>
        <row r="6002">
          <cell r="B6002" t="str">
            <v>B272-400-AS-150-PF-013</v>
          </cell>
          <cell r="E6002" t="str">
            <v>A-193(1/2)</v>
          </cell>
        </row>
        <row r="6003">
          <cell r="B6003" t="str">
            <v>B272-400-AS-150-PF-013</v>
          </cell>
          <cell r="E6003" t="str">
            <v>A-193(2/2)</v>
          </cell>
        </row>
        <row r="6004">
          <cell r="B6004" t="str">
            <v>B272-400-AS-150-PF-013</v>
          </cell>
          <cell r="E6004" t="str">
            <v>A-194</v>
          </cell>
        </row>
        <row r="6005">
          <cell r="B6005" t="str">
            <v>B272-400-AS-150-PF-013</v>
          </cell>
          <cell r="E6005" t="str">
            <v>C-88</v>
          </cell>
        </row>
        <row r="6006">
          <cell r="B6006" t="str">
            <v>B272-400-AS-150-PF-013</v>
          </cell>
          <cell r="E6006" t="str">
            <v>C-172</v>
          </cell>
        </row>
        <row r="6007">
          <cell r="B6007" t="str">
            <v>B272-400-AS-150-PF-013</v>
          </cell>
          <cell r="E6007" t="str">
            <v>C-173</v>
          </cell>
        </row>
        <row r="6008">
          <cell r="B6008" t="str">
            <v>B272-400-AS-150-PF-013</v>
          </cell>
          <cell r="E6008" t="str">
            <v>C-174</v>
          </cell>
        </row>
        <row r="6009">
          <cell r="B6009" t="str">
            <v>B272-400-AS-150-PF-013</v>
          </cell>
          <cell r="E6009" t="str">
            <v>G-13</v>
          </cell>
        </row>
        <row r="6010">
          <cell r="B6010" t="str">
            <v>B272-400-AS-150-PF-013</v>
          </cell>
          <cell r="E6010" t="str">
            <v>G-18(1/8)</v>
          </cell>
        </row>
        <row r="6011">
          <cell r="B6011" t="str">
            <v>B272-400-AS-150-PF-013</v>
          </cell>
          <cell r="E6011" t="str">
            <v>G-18(2/8)</v>
          </cell>
        </row>
        <row r="6012">
          <cell r="B6012" t="str">
            <v>B272-400-AS-150-PF-013</v>
          </cell>
          <cell r="E6012" t="str">
            <v>G-18(3/8)</v>
          </cell>
        </row>
        <row r="6013">
          <cell r="B6013" t="str">
            <v>B272-400-AS-150-PF-013</v>
          </cell>
          <cell r="E6013" t="str">
            <v>G-18(4/8)</v>
          </cell>
        </row>
        <row r="6014">
          <cell r="B6014" t="str">
            <v>B272-400-AS-150-PF-013</v>
          </cell>
          <cell r="E6014" t="str">
            <v>G-18(5/8)</v>
          </cell>
        </row>
        <row r="6015">
          <cell r="B6015" t="str">
            <v>B272-400-AS-150-PF-013</v>
          </cell>
          <cell r="E6015" t="str">
            <v>G-18(6/8)</v>
          </cell>
        </row>
        <row r="6016">
          <cell r="B6016" t="str">
            <v>B272-400-AS-150-PF-013</v>
          </cell>
          <cell r="E6016" t="str">
            <v>G-18(7/8)</v>
          </cell>
        </row>
        <row r="6017">
          <cell r="B6017" t="str">
            <v>B272-400-AS-150-PF-013</v>
          </cell>
          <cell r="E6017" t="str">
            <v>G-18(8/8)</v>
          </cell>
        </row>
        <row r="6018">
          <cell r="B6018" t="str">
            <v>B272-400-AS-150-PF-013</v>
          </cell>
          <cell r="E6018" t="str">
            <v>IY-8(1/2)</v>
          </cell>
        </row>
        <row r="6019">
          <cell r="B6019" t="str">
            <v>B272-400-AS-150-PF-013</v>
          </cell>
          <cell r="E6019" t="str">
            <v>IY-8(2/2)</v>
          </cell>
        </row>
        <row r="6020">
          <cell r="B6020" t="str">
            <v>B272-400-AS-150-PF-013</v>
          </cell>
          <cell r="E6020" t="str">
            <v>IY-15(1/2)</v>
          </cell>
        </row>
        <row r="6021">
          <cell r="B6021" t="str">
            <v>B272-400-AS-150-PF-013</v>
          </cell>
          <cell r="E6021" t="str">
            <v>IY-15(2/2)</v>
          </cell>
        </row>
        <row r="6022">
          <cell r="B6022" t="str">
            <v>B272-400-AS-150-PF-013</v>
          </cell>
          <cell r="E6022" t="str">
            <v>IY-16</v>
          </cell>
        </row>
        <row r="6023">
          <cell r="B6023" t="str">
            <v>B272-400-AS-150-PF-013</v>
          </cell>
          <cell r="E6023" t="str">
            <v>P-449</v>
          </cell>
        </row>
        <row r="6024">
          <cell r="B6024" t="str">
            <v>B272-400-AS-150-PF-013</v>
          </cell>
          <cell r="E6024" t="str">
            <v>P-681(1/2)</v>
          </cell>
        </row>
        <row r="6025">
          <cell r="B6025" t="str">
            <v>B272-400-AS-150-PF-013</v>
          </cell>
          <cell r="E6025" t="str">
            <v>P-681(2/2)</v>
          </cell>
        </row>
        <row r="6026">
          <cell r="B6026" t="str">
            <v>B272-400-AS-150-PF-013</v>
          </cell>
          <cell r="E6026" t="str">
            <v>P-683(1/2)</v>
          </cell>
        </row>
        <row r="6027">
          <cell r="B6027" t="str">
            <v>B272-400-AS-150-PF-013</v>
          </cell>
          <cell r="E6027" t="str">
            <v>P-683(2/2)</v>
          </cell>
        </row>
        <row r="6028">
          <cell r="B6028" t="str">
            <v>B272-400-AS-150-PF-013</v>
          </cell>
          <cell r="E6028" t="str">
            <v>P-1127(1/2)</v>
          </cell>
        </row>
        <row r="6029">
          <cell r="B6029" t="str">
            <v>B272-400-AS-150-PF-013</v>
          </cell>
          <cell r="E6029" t="str">
            <v>P-1127(2/2)</v>
          </cell>
        </row>
        <row r="6030">
          <cell r="B6030" t="str">
            <v>B272-400-AS-150-PF-013</v>
          </cell>
          <cell r="E6030" t="str">
            <v>P-1210(1/2)</v>
          </cell>
        </row>
        <row r="6031">
          <cell r="B6031" t="str">
            <v>B272-400-AS-150-PF-013</v>
          </cell>
          <cell r="E6031" t="str">
            <v>P-1210(2/2)</v>
          </cell>
        </row>
        <row r="6032">
          <cell r="B6032" t="str">
            <v>B272-400-AS-150-PF-013</v>
          </cell>
          <cell r="E6032" t="str">
            <v>P-1212(1/4)</v>
          </cell>
        </row>
        <row r="6033">
          <cell r="B6033" t="str">
            <v>B272-400-AS-150-PF-013</v>
          </cell>
          <cell r="E6033" t="str">
            <v>P-1212(2/4)</v>
          </cell>
        </row>
        <row r="6034">
          <cell r="B6034" t="str">
            <v>B272-400-AS-150-PF-013</v>
          </cell>
          <cell r="E6034" t="str">
            <v>P-1212(3/4)</v>
          </cell>
        </row>
        <row r="6035">
          <cell r="B6035" t="str">
            <v>B272-400-AS-150-PF-013</v>
          </cell>
          <cell r="E6035" t="str">
            <v>P-1212(4/4)</v>
          </cell>
        </row>
        <row r="6036">
          <cell r="B6036" t="str">
            <v>B272-400-AS-150-PF-013</v>
          </cell>
          <cell r="E6036" t="str">
            <v>IY-1000</v>
          </cell>
        </row>
        <row r="6037">
          <cell r="B6037" t="str">
            <v>B272-400-AS-150-PF-013</v>
          </cell>
          <cell r="E6037" t="str">
            <v>P-2061</v>
          </cell>
        </row>
        <row r="6038">
          <cell r="B6038" t="str">
            <v>B272-400-AS-150-PF-013</v>
          </cell>
          <cell r="E6038" t="str">
            <v>P-2062</v>
          </cell>
        </row>
        <row r="6039">
          <cell r="B6039" t="str">
            <v>B272-400-AS-150-PF-013</v>
          </cell>
          <cell r="E6039" t="str">
            <v>P-2068</v>
          </cell>
        </row>
        <row r="6040">
          <cell r="B6040" t="str">
            <v>B272-400-AS-150-PF-013</v>
          </cell>
          <cell r="E6040" t="str">
            <v>P-2069</v>
          </cell>
        </row>
        <row r="6041">
          <cell r="B6041" t="str">
            <v>B272-400-AS-150-PF-013</v>
          </cell>
          <cell r="E6041" t="str">
            <v>P-2070</v>
          </cell>
        </row>
        <row r="6042">
          <cell r="B6042" t="str">
            <v>B272-400-AS-150-PF-013</v>
          </cell>
          <cell r="E6042" t="str">
            <v>B2050</v>
          </cell>
        </row>
        <row r="6043">
          <cell r="B6043" t="str">
            <v>B272-400-AS-150-PF-013</v>
          </cell>
          <cell r="E6043" t="str">
            <v>B1245</v>
          </cell>
        </row>
        <row r="6044">
          <cell r="B6044" t="str">
            <v>B272-400-AS-150-PF-014</v>
          </cell>
        </row>
        <row r="6045">
          <cell r="B6045" t="str">
            <v>B272-400-AS-150-PF-014</v>
          </cell>
          <cell r="E6045" t="str">
            <v>A-195</v>
          </cell>
        </row>
        <row r="6046">
          <cell r="B6046" t="str">
            <v>B272-400-AS-150-PF-014</v>
          </cell>
          <cell r="E6046" t="str">
            <v>C-121</v>
          </cell>
        </row>
        <row r="6047">
          <cell r="B6047" t="str">
            <v>B272-400-AS-150-PF-014</v>
          </cell>
          <cell r="E6047" t="str">
            <v>C-176</v>
          </cell>
        </row>
        <row r="6048">
          <cell r="B6048" t="str">
            <v>B272-400-AS-150-PF-014</v>
          </cell>
          <cell r="E6048" t="str">
            <v>C-177</v>
          </cell>
        </row>
        <row r="6049">
          <cell r="B6049" t="str">
            <v>B272-400-AS-150-PF-014</v>
          </cell>
          <cell r="E6049" t="str">
            <v>C-178</v>
          </cell>
        </row>
        <row r="6050">
          <cell r="B6050" t="str">
            <v>B272-400-AS-150-PF-014</v>
          </cell>
          <cell r="E6050" t="str">
            <v>G-13</v>
          </cell>
        </row>
        <row r="6051">
          <cell r="B6051" t="str">
            <v>B272-400-AS-150-PF-014</v>
          </cell>
          <cell r="E6051" t="str">
            <v>G-18(1/4)</v>
          </cell>
        </row>
        <row r="6052">
          <cell r="B6052" t="str">
            <v>B272-400-AS-150-PF-014</v>
          </cell>
          <cell r="E6052" t="str">
            <v>G-18(2/4)</v>
          </cell>
        </row>
        <row r="6053">
          <cell r="B6053" t="str">
            <v>B272-400-AS-150-PF-014</v>
          </cell>
          <cell r="E6053" t="str">
            <v>G-18(3/4)</v>
          </cell>
        </row>
        <row r="6054">
          <cell r="B6054" t="str">
            <v>B272-400-AS-150-PF-014</v>
          </cell>
          <cell r="E6054" t="str">
            <v>G-18(4/4)</v>
          </cell>
        </row>
        <row r="6055">
          <cell r="B6055" t="str">
            <v>B272-400-AS-150-PF-014</v>
          </cell>
          <cell r="E6055" t="str">
            <v>G-50(1/2)</v>
          </cell>
        </row>
        <row r="6056">
          <cell r="B6056" t="str">
            <v>B272-400-AS-150-PF-014</v>
          </cell>
          <cell r="E6056" t="str">
            <v>G-50(2/2)</v>
          </cell>
        </row>
        <row r="6057">
          <cell r="B6057" t="str">
            <v>B272-400-AS-150-PF-014</v>
          </cell>
          <cell r="E6057" t="str">
            <v>P-684(1/2)</v>
          </cell>
        </row>
        <row r="6058">
          <cell r="B6058" t="str">
            <v>B272-400-AS-150-PF-014</v>
          </cell>
          <cell r="E6058" t="str">
            <v>P-684(2/2)</v>
          </cell>
        </row>
        <row r="6059">
          <cell r="B6059" t="str">
            <v>B272-400-AS-150-PF-014</v>
          </cell>
          <cell r="E6059" t="str">
            <v>P-1199(1/2)</v>
          </cell>
        </row>
        <row r="6060">
          <cell r="B6060" t="str">
            <v>B272-400-AS-150-PF-014</v>
          </cell>
          <cell r="E6060" t="str">
            <v>P-1199(2/2)</v>
          </cell>
        </row>
        <row r="6061">
          <cell r="B6061" t="str">
            <v>B272-400-AS-150-PF-014</v>
          </cell>
          <cell r="E6061" t="str">
            <v>B1650</v>
          </cell>
        </row>
        <row r="6062">
          <cell r="B6062" t="str">
            <v>B272-400-AS-150-PF-014</v>
          </cell>
          <cell r="E6062" t="str">
            <v>B1245</v>
          </cell>
        </row>
        <row r="6063">
          <cell r="B6063" t="str">
            <v>B272-400-AS-150-PF-015</v>
          </cell>
        </row>
        <row r="6064">
          <cell r="B6064" t="str">
            <v>B272-400-AS-150-PF-015</v>
          </cell>
          <cell r="E6064" t="str">
            <v>A-199(1/2)</v>
          </cell>
        </row>
        <row r="6065">
          <cell r="B6065" t="str">
            <v>B272-400-AS-150-PF-015</v>
          </cell>
          <cell r="E6065" t="str">
            <v>A-199(2/2)</v>
          </cell>
        </row>
        <row r="6066">
          <cell r="B6066" t="str">
            <v>B272-400-AS-150-PF-015</v>
          </cell>
          <cell r="E6066" t="str">
            <v>A-200(1/2)</v>
          </cell>
        </row>
        <row r="6067">
          <cell r="B6067" t="str">
            <v>B272-400-AS-150-PF-015</v>
          </cell>
          <cell r="E6067" t="str">
            <v>A-200(2/2)</v>
          </cell>
        </row>
        <row r="6068">
          <cell r="B6068" t="str">
            <v>B272-400-AS-150-PF-015</v>
          </cell>
          <cell r="E6068" t="str">
            <v>CY-27(1/2)</v>
          </cell>
        </row>
        <row r="6069">
          <cell r="B6069" t="str">
            <v>B272-400-AS-150-PF-015</v>
          </cell>
          <cell r="E6069" t="str">
            <v>CY-27(2/2)</v>
          </cell>
        </row>
        <row r="6070">
          <cell r="B6070" t="str">
            <v>B272-400-AS-150-PF-015</v>
          </cell>
          <cell r="E6070" t="str">
            <v>CY-36</v>
          </cell>
        </row>
        <row r="6071">
          <cell r="B6071" t="str">
            <v>B272-400-AS-150-PF-015</v>
          </cell>
          <cell r="E6071" t="str">
            <v>CY-37</v>
          </cell>
        </row>
        <row r="6072">
          <cell r="B6072" t="str">
            <v>B272-400-AS-150-PF-015</v>
          </cell>
          <cell r="E6072" t="str">
            <v>G-18(1/6)</v>
          </cell>
        </row>
        <row r="6073">
          <cell r="B6073" t="str">
            <v>B272-400-AS-150-PF-015</v>
          </cell>
          <cell r="E6073" t="str">
            <v>G-18(2/6)</v>
          </cell>
        </row>
        <row r="6074">
          <cell r="B6074" t="str">
            <v>B272-400-AS-150-PF-015</v>
          </cell>
          <cell r="E6074" t="str">
            <v>G-18(3/6)</v>
          </cell>
        </row>
        <row r="6075">
          <cell r="B6075" t="str">
            <v>B272-400-AS-150-PF-015</v>
          </cell>
          <cell r="E6075" t="str">
            <v>G-18(4/6)</v>
          </cell>
        </row>
        <row r="6076">
          <cell r="B6076" t="str">
            <v>B272-400-AS-150-PF-015</v>
          </cell>
          <cell r="E6076" t="str">
            <v>G-18(5/6)</v>
          </cell>
        </row>
        <row r="6077">
          <cell r="B6077" t="str">
            <v>B272-400-AS-150-PF-015</v>
          </cell>
          <cell r="E6077" t="str">
            <v>G-18(6/6)</v>
          </cell>
        </row>
        <row r="6078">
          <cell r="B6078" t="str">
            <v>B272-400-AS-150-PF-015</v>
          </cell>
          <cell r="E6078" t="str">
            <v>IY-9</v>
          </cell>
        </row>
        <row r="6079">
          <cell r="B6079" t="str">
            <v>B272-400-AS-150-PF-015</v>
          </cell>
          <cell r="E6079" t="str">
            <v>P-505(1/2)</v>
          </cell>
        </row>
        <row r="6080">
          <cell r="B6080" t="str">
            <v>B272-400-AS-150-PF-015</v>
          </cell>
          <cell r="E6080" t="str">
            <v>P-505(2/2)</v>
          </cell>
        </row>
        <row r="6081">
          <cell r="B6081" t="str">
            <v>B272-400-AS-150-PF-015</v>
          </cell>
          <cell r="E6081" t="str">
            <v>P-1084</v>
          </cell>
        </row>
        <row r="6082">
          <cell r="B6082" t="str">
            <v>B272-400-AS-150-PF-015</v>
          </cell>
          <cell r="E6082" t="str">
            <v>P-1085</v>
          </cell>
        </row>
        <row r="6083">
          <cell r="B6083" t="str">
            <v>B272-400-AS-150-PF-015</v>
          </cell>
          <cell r="E6083" t="str">
            <v>P-1223(1/2)</v>
          </cell>
        </row>
        <row r="6084">
          <cell r="B6084" t="str">
            <v>B272-400-AS-150-PF-015</v>
          </cell>
          <cell r="E6084" t="str">
            <v>P-1223(2/2)</v>
          </cell>
        </row>
        <row r="6085">
          <cell r="B6085" t="str">
            <v>B272-400-AS-150-PF-015</v>
          </cell>
          <cell r="E6085" t="str">
            <v>B1245</v>
          </cell>
        </row>
        <row r="6086">
          <cell r="B6086" t="str">
            <v>B272-400-AS-160-HR-001</v>
          </cell>
        </row>
        <row r="6087">
          <cell r="B6087" t="str">
            <v>B272-400-AS-160-HR-001</v>
          </cell>
          <cell r="E6087" t="str">
            <v>A-198</v>
          </cell>
        </row>
        <row r="6088">
          <cell r="B6088" t="str">
            <v>B272-400-AS-160-HR-001</v>
          </cell>
          <cell r="E6088" t="str">
            <v>B1650</v>
          </cell>
        </row>
        <row r="6089">
          <cell r="B6089" t="str">
            <v>B272-400-AS-160-HR-002</v>
          </cell>
        </row>
        <row r="6090">
          <cell r="B6090" t="str">
            <v>B272-400-AS-160-HR-002</v>
          </cell>
          <cell r="E6090" t="str">
            <v>A-39(1/4)</v>
          </cell>
        </row>
        <row r="6091">
          <cell r="B6091" t="str">
            <v>B272-400-AS-160-HR-002</v>
          </cell>
          <cell r="E6091" t="str">
            <v>A-39(2/4)</v>
          </cell>
        </row>
        <row r="6092">
          <cell r="B6092" t="str">
            <v>B272-400-AS-160-HR-002</v>
          </cell>
          <cell r="E6092" t="str">
            <v>A-39(3/4)</v>
          </cell>
        </row>
        <row r="6093">
          <cell r="B6093" t="str">
            <v>B272-400-AS-160-HR-002</v>
          </cell>
          <cell r="E6093" t="str">
            <v>A-39(4/4)</v>
          </cell>
        </row>
        <row r="6094">
          <cell r="B6094" t="str">
            <v>B272-400-AS-160-HR-002</v>
          </cell>
          <cell r="E6094" t="str">
            <v>A-45</v>
          </cell>
        </row>
        <row r="6095">
          <cell r="B6095" t="str">
            <v>B272-400-AS-160-HR-002</v>
          </cell>
          <cell r="E6095" t="str">
            <v>A-68</v>
          </cell>
        </row>
        <row r="6096">
          <cell r="B6096" t="str">
            <v>B272-400-AS-160-HR-002</v>
          </cell>
          <cell r="E6096" t="str">
            <v>A-69</v>
          </cell>
        </row>
        <row r="6097">
          <cell r="B6097" t="str">
            <v>B272-400-AS-160-HR-002</v>
          </cell>
          <cell r="E6097" t="str">
            <v>D-64</v>
          </cell>
        </row>
        <row r="6098">
          <cell r="B6098" t="str">
            <v>B272-400-AS-160-HR-002</v>
          </cell>
          <cell r="E6098" t="str">
            <v>GX-165</v>
          </cell>
        </row>
        <row r="6099">
          <cell r="B6099" t="str">
            <v>B272-400-AS-160-HR-002</v>
          </cell>
          <cell r="E6099" t="str">
            <v>GX-166</v>
          </cell>
        </row>
        <row r="6100">
          <cell r="B6100" t="str">
            <v>B272-400-AS-160-HR-002</v>
          </cell>
          <cell r="E6100" t="str">
            <v>P-224</v>
          </cell>
        </row>
        <row r="6101">
          <cell r="B6101" t="str">
            <v>B272-400-AS-160-HR-002</v>
          </cell>
          <cell r="E6101" t="str">
            <v>P-290</v>
          </cell>
        </row>
        <row r="6102">
          <cell r="B6102" t="str">
            <v>B272-400-AS-160-HR-002</v>
          </cell>
          <cell r="E6102" t="str">
            <v>P-367</v>
          </cell>
        </row>
        <row r="6103">
          <cell r="B6103" t="str">
            <v>B272-400-AS-160-HR-002</v>
          </cell>
          <cell r="E6103" t="str">
            <v>R-6</v>
          </cell>
        </row>
        <row r="6104">
          <cell r="B6104" t="str">
            <v>B272-400-AS-160-HR-002</v>
          </cell>
          <cell r="E6104" t="str">
            <v>B1645</v>
          </cell>
        </row>
        <row r="6105">
          <cell r="B6105" t="str">
            <v>B272-400-AS-160-HR-003</v>
          </cell>
        </row>
        <row r="6106">
          <cell r="B6106" t="str">
            <v>B272-400-AS-160-HR-003</v>
          </cell>
          <cell r="E6106" t="str">
            <v>A-39(1/4)</v>
          </cell>
        </row>
        <row r="6107">
          <cell r="B6107" t="str">
            <v>B272-400-AS-160-HR-003</v>
          </cell>
          <cell r="E6107" t="str">
            <v>A-39(2/4)</v>
          </cell>
        </row>
        <row r="6108">
          <cell r="B6108" t="str">
            <v>B272-400-AS-160-HR-003</v>
          </cell>
          <cell r="E6108" t="str">
            <v>A-39(3/4)</v>
          </cell>
        </row>
        <row r="6109">
          <cell r="B6109" t="str">
            <v>B272-400-AS-160-HR-003</v>
          </cell>
          <cell r="E6109" t="str">
            <v>A-39(4/4)</v>
          </cell>
        </row>
        <row r="6110">
          <cell r="B6110" t="str">
            <v>B272-400-AS-160-HR-003</v>
          </cell>
          <cell r="E6110" t="str">
            <v>A-68</v>
          </cell>
        </row>
        <row r="6111">
          <cell r="B6111" t="str">
            <v>B272-400-AS-160-HR-003</v>
          </cell>
          <cell r="E6111" t="str">
            <v>A-69</v>
          </cell>
        </row>
        <row r="6112">
          <cell r="B6112" t="str">
            <v>B272-400-AS-160-HR-003</v>
          </cell>
          <cell r="E6112" t="str">
            <v>D-65</v>
          </cell>
        </row>
        <row r="6113">
          <cell r="B6113" t="str">
            <v>B272-400-AS-160-HR-003</v>
          </cell>
          <cell r="E6113" t="str">
            <v>P-770</v>
          </cell>
        </row>
        <row r="6114">
          <cell r="B6114" t="str">
            <v>B272-400-AS-160-HR-003</v>
          </cell>
          <cell r="E6114" t="str">
            <v>P-771</v>
          </cell>
        </row>
        <row r="6115">
          <cell r="B6115" t="str">
            <v>B272-400-AS-160-HR-003</v>
          </cell>
          <cell r="E6115" t="str">
            <v>R-20</v>
          </cell>
        </row>
        <row r="6116">
          <cell r="B6116" t="str">
            <v>B272-400-AS-160-HR-003</v>
          </cell>
          <cell r="E6116" t="str">
            <v>B1645</v>
          </cell>
        </row>
        <row r="6117">
          <cell r="B6117" t="str">
            <v>B272-400-AS-160-HR-004</v>
          </cell>
        </row>
        <row r="6118">
          <cell r="B6118" t="str">
            <v>B272-400-AS-160-HR-004</v>
          </cell>
          <cell r="E6118" t="str">
            <v>A-39(1/3)</v>
          </cell>
        </row>
        <row r="6119">
          <cell r="B6119" t="str">
            <v>B272-400-AS-160-HR-004</v>
          </cell>
          <cell r="E6119" t="str">
            <v>A-39(2/3)</v>
          </cell>
        </row>
        <row r="6120">
          <cell r="B6120" t="str">
            <v>B272-400-AS-160-HR-004</v>
          </cell>
          <cell r="E6120" t="str">
            <v>A-39(3/3)</v>
          </cell>
        </row>
        <row r="6121">
          <cell r="B6121" t="str">
            <v>B272-400-AS-160-HR-004</v>
          </cell>
          <cell r="E6121" t="str">
            <v>A-41</v>
          </cell>
        </row>
        <row r="6122">
          <cell r="B6122" t="str">
            <v>B272-400-AS-160-HR-004</v>
          </cell>
          <cell r="E6122" t="str">
            <v>A-68</v>
          </cell>
        </row>
        <row r="6123">
          <cell r="B6123" t="str">
            <v>B272-400-AS-160-HR-004</v>
          </cell>
          <cell r="E6123" t="str">
            <v>A-69</v>
          </cell>
        </row>
        <row r="6124">
          <cell r="B6124" t="str">
            <v>B272-400-AS-160-HR-004</v>
          </cell>
          <cell r="E6124" t="str">
            <v>D-17</v>
          </cell>
        </row>
        <row r="6125">
          <cell r="B6125" t="str">
            <v>B272-400-AS-160-HR-004</v>
          </cell>
          <cell r="E6125" t="str">
            <v>GX-22</v>
          </cell>
        </row>
        <row r="6126">
          <cell r="B6126" t="str">
            <v>B272-400-AS-160-HR-004</v>
          </cell>
          <cell r="E6126" t="str">
            <v>P-455</v>
          </cell>
        </row>
        <row r="6127">
          <cell r="B6127" t="str">
            <v>B272-400-AS-160-HR-004</v>
          </cell>
          <cell r="E6127" t="str">
            <v>P-617</v>
          </cell>
        </row>
        <row r="6128">
          <cell r="B6128" t="str">
            <v>B272-400-AS-160-HR-004</v>
          </cell>
          <cell r="E6128" t="str">
            <v>P-777(1/3)</v>
          </cell>
        </row>
        <row r="6129">
          <cell r="B6129" t="str">
            <v>B272-400-AS-160-HR-004</v>
          </cell>
          <cell r="E6129" t="str">
            <v>P-777(2/3)</v>
          </cell>
        </row>
        <row r="6130">
          <cell r="B6130" t="str">
            <v>B272-400-AS-160-HR-004</v>
          </cell>
          <cell r="E6130" t="str">
            <v>P-777(3/3)</v>
          </cell>
        </row>
        <row r="6131">
          <cell r="B6131" t="str">
            <v>B272-400-AS-160-HR-004</v>
          </cell>
          <cell r="E6131" t="str">
            <v>R-20</v>
          </cell>
        </row>
        <row r="6132">
          <cell r="B6132" t="str">
            <v>B272-400-AS-160-HR-004</v>
          </cell>
          <cell r="E6132" t="str">
            <v>B1645</v>
          </cell>
        </row>
        <row r="6133">
          <cell r="B6133" t="str">
            <v>B272-400-AS-160-HR-005</v>
          </cell>
        </row>
        <row r="6134">
          <cell r="B6134" t="str">
            <v>B272-400-AS-160-HR-005</v>
          </cell>
          <cell r="E6134" t="str">
            <v>A-39(1/3)</v>
          </cell>
        </row>
        <row r="6135">
          <cell r="B6135" t="str">
            <v>B272-400-AS-160-HR-005</v>
          </cell>
          <cell r="E6135" t="str">
            <v>A-39(2/3)</v>
          </cell>
        </row>
        <row r="6136">
          <cell r="B6136" t="str">
            <v>B272-400-AS-160-HR-005</v>
          </cell>
          <cell r="E6136" t="str">
            <v>A-39(3/3)</v>
          </cell>
        </row>
        <row r="6137">
          <cell r="B6137" t="str">
            <v>B272-400-AS-160-HR-005</v>
          </cell>
          <cell r="E6137" t="str">
            <v>A-41</v>
          </cell>
        </row>
        <row r="6138">
          <cell r="B6138" t="str">
            <v>B272-400-AS-160-HR-005</v>
          </cell>
          <cell r="E6138" t="str">
            <v>A-68</v>
          </cell>
        </row>
        <row r="6139">
          <cell r="B6139" t="str">
            <v>B272-400-AS-160-HR-005</v>
          </cell>
          <cell r="E6139" t="str">
            <v>A-69</v>
          </cell>
        </row>
        <row r="6140">
          <cell r="B6140" t="str">
            <v>B272-400-AS-160-HR-005</v>
          </cell>
          <cell r="E6140" t="str">
            <v>D-79</v>
          </cell>
        </row>
        <row r="6141">
          <cell r="B6141" t="str">
            <v>B272-400-AS-160-HR-005</v>
          </cell>
          <cell r="E6141" t="str">
            <v>P-224</v>
          </cell>
        </row>
        <row r="6142">
          <cell r="B6142" t="str">
            <v>B272-400-AS-160-HR-005</v>
          </cell>
          <cell r="E6142" t="str">
            <v>P-290</v>
          </cell>
        </row>
        <row r="6143">
          <cell r="B6143" t="str">
            <v>B272-400-AS-160-HR-005</v>
          </cell>
          <cell r="E6143" t="str">
            <v>P-367</v>
          </cell>
        </row>
        <row r="6144">
          <cell r="B6144" t="str">
            <v>B272-400-AS-160-HR-005</v>
          </cell>
          <cell r="E6144" t="str">
            <v>P-1184</v>
          </cell>
        </row>
        <row r="6145">
          <cell r="B6145" t="str">
            <v>B272-400-AS-160-HR-005</v>
          </cell>
          <cell r="E6145" t="str">
            <v>P-1187</v>
          </cell>
        </row>
        <row r="6146">
          <cell r="B6146" t="str">
            <v>B272-400-AS-160-HR-005</v>
          </cell>
          <cell r="E6146" t="str">
            <v>R-20</v>
          </cell>
        </row>
        <row r="6147">
          <cell r="B6147" t="str">
            <v>B272-400-AS-160-HR-005</v>
          </cell>
          <cell r="E6147" t="str">
            <v>B1645</v>
          </cell>
        </row>
        <row r="6148">
          <cell r="B6148" t="str">
            <v>B272-400-AS-160-HR-006</v>
          </cell>
        </row>
        <row r="6149">
          <cell r="B6149" t="str">
            <v>B272-400-AS-160-HR-006</v>
          </cell>
          <cell r="E6149" t="str">
            <v>A-39(1/3)</v>
          </cell>
        </row>
        <row r="6150">
          <cell r="B6150" t="str">
            <v>B272-400-AS-160-HR-006</v>
          </cell>
          <cell r="E6150" t="str">
            <v>A-39(2/3)</v>
          </cell>
        </row>
        <row r="6151">
          <cell r="B6151" t="str">
            <v>B272-400-AS-160-HR-006</v>
          </cell>
          <cell r="E6151" t="str">
            <v>A-39(3/3)</v>
          </cell>
        </row>
        <row r="6152">
          <cell r="B6152" t="str">
            <v>B272-400-AS-160-HR-006</v>
          </cell>
          <cell r="E6152" t="str">
            <v>D-26</v>
          </cell>
        </row>
        <row r="6153">
          <cell r="B6153" t="str">
            <v>B272-400-AS-160-HR-006</v>
          </cell>
          <cell r="E6153" t="str">
            <v>P-455(1/2)</v>
          </cell>
        </row>
        <row r="6154">
          <cell r="B6154" t="str">
            <v>B272-400-AS-160-HR-006</v>
          </cell>
          <cell r="E6154" t="str">
            <v>P-455(2/2)</v>
          </cell>
        </row>
        <row r="6155">
          <cell r="B6155" t="str">
            <v>B272-400-AS-160-HR-006</v>
          </cell>
          <cell r="E6155" t="str">
            <v>P-554</v>
          </cell>
        </row>
        <row r="6156">
          <cell r="B6156" t="str">
            <v>B272-400-AS-160-HR-006</v>
          </cell>
          <cell r="E6156" t="str">
            <v>P-555</v>
          </cell>
        </row>
        <row r="6157">
          <cell r="B6157" t="str">
            <v>B272-400-AS-160-HR-006</v>
          </cell>
          <cell r="E6157" t="str">
            <v>P-777(1/5)</v>
          </cell>
        </row>
        <row r="6158">
          <cell r="B6158" t="str">
            <v>B272-400-AS-160-HR-006</v>
          </cell>
          <cell r="E6158" t="str">
            <v>P-777(2/5)</v>
          </cell>
        </row>
        <row r="6159">
          <cell r="B6159" t="str">
            <v>B272-400-AS-160-HR-006</v>
          </cell>
          <cell r="E6159" t="str">
            <v>P-777(3/5)</v>
          </cell>
        </row>
        <row r="6160">
          <cell r="B6160" t="str">
            <v>B272-400-AS-160-HR-006</v>
          </cell>
          <cell r="E6160" t="str">
            <v>P-777(4/5)</v>
          </cell>
        </row>
        <row r="6161">
          <cell r="B6161" t="str">
            <v>B272-400-AS-160-HR-006</v>
          </cell>
          <cell r="E6161" t="str">
            <v>P-777(5/5)</v>
          </cell>
        </row>
        <row r="6162">
          <cell r="B6162" t="str">
            <v>B272-400-AS-160-HR-006</v>
          </cell>
          <cell r="E6162" t="str">
            <v>B1645</v>
          </cell>
        </row>
        <row r="6163">
          <cell r="B6163" t="str">
            <v>B272-400-AS-160-HR-007</v>
          </cell>
        </row>
        <row r="6164">
          <cell r="B6164" t="str">
            <v>B272-400-AS-160-HR-007</v>
          </cell>
          <cell r="E6164" t="str">
            <v>A-39(1/3)</v>
          </cell>
        </row>
        <row r="6165">
          <cell r="B6165" t="str">
            <v>B272-400-AS-160-HR-007</v>
          </cell>
          <cell r="E6165" t="str">
            <v>A-39(2/3)</v>
          </cell>
        </row>
        <row r="6166">
          <cell r="B6166" t="str">
            <v>B272-400-AS-160-HR-007</v>
          </cell>
          <cell r="E6166" t="str">
            <v>A-39(3/3)</v>
          </cell>
        </row>
        <row r="6167">
          <cell r="B6167" t="str">
            <v>B272-400-AS-160-HR-007</v>
          </cell>
          <cell r="E6167" t="str">
            <v>D-33</v>
          </cell>
        </row>
        <row r="6168">
          <cell r="B6168" t="str">
            <v>B272-400-AS-160-HR-007</v>
          </cell>
          <cell r="E6168" t="str">
            <v>D-111</v>
          </cell>
        </row>
        <row r="6169">
          <cell r="B6169" t="str">
            <v>B272-400-AS-160-HR-007</v>
          </cell>
          <cell r="E6169" t="str">
            <v>D-160</v>
          </cell>
        </row>
        <row r="6170">
          <cell r="B6170" t="str">
            <v>B272-400-AS-160-HR-007</v>
          </cell>
          <cell r="E6170" t="str">
            <v>P-364</v>
          </cell>
        </row>
        <row r="6171">
          <cell r="B6171" t="str">
            <v>B272-400-AS-160-HR-007</v>
          </cell>
          <cell r="E6171" t="str">
            <v>P-455</v>
          </cell>
        </row>
        <row r="6172">
          <cell r="B6172" t="str">
            <v>B272-400-AS-160-HR-007</v>
          </cell>
          <cell r="E6172" t="str">
            <v>P-960</v>
          </cell>
        </row>
        <row r="6173">
          <cell r="B6173" t="str">
            <v>B272-400-AS-160-HR-007</v>
          </cell>
          <cell r="E6173" t="str">
            <v>B1645</v>
          </cell>
        </row>
        <row r="6174">
          <cell r="B6174" t="str">
            <v>B272-400-AS-160-HR-008</v>
          </cell>
        </row>
        <row r="6175">
          <cell r="B6175" t="str">
            <v>B272-400-AS-160-HR-008</v>
          </cell>
          <cell r="E6175" t="str">
            <v>A-39(1/2)</v>
          </cell>
        </row>
        <row r="6176">
          <cell r="B6176" t="str">
            <v>B272-400-AS-160-HR-008</v>
          </cell>
          <cell r="E6176" t="str">
            <v>A-39(2/2)</v>
          </cell>
        </row>
        <row r="6177">
          <cell r="B6177" t="str">
            <v>B272-400-AS-160-HR-008</v>
          </cell>
          <cell r="E6177" t="str">
            <v>A-45</v>
          </cell>
        </row>
        <row r="6178">
          <cell r="B6178" t="str">
            <v>B272-400-AS-160-HR-008</v>
          </cell>
          <cell r="E6178" t="str">
            <v>A-68</v>
          </cell>
        </row>
        <row r="6179">
          <cell r="B6179" t="str">
            <v>B272-400-AS-160-HR-008</v>
          </cell>
          <cell r="E6179" t="str">
            <v>A-69</v>
          </cell>
        </row>
        <row r="6180">
          <cell r="B6180" t="str">
            <v>B272-400-AS-160-HR-008</v>
          </cell>
          <cell r="E6180" t="str">
            <v>D-47</v>
          </cell>
        </row>
        <row r="6181">
          <cell r="B6181" t="str">
            <v>B272-400-AS-160-HR-008</v>
          </cell>
          <cell r="E6181" t="str">
            <v>GX-34</v>
          </cell>
        </row>
        <row r="6182">
          <cell r="B6182" t="str">
            <v>B272-400-AS-160-HR-008</v>
          </cell>
          <cell r="E6182" t="str">
            <v>P-224</v>
          </cell>
        </row>
        <row r="6183">
          <cell r="B6183" t="str">
            <v>B272-400-AS-160-HR-008</v>
          </cell>
          <cell r="E6183" t="str">
            <v>P-290</v>
          </cell>
        </row>
        <row r="6184">
          <cell r="B6184" t="str">
            <v>B272-400-AS-160-HR-008</v>
          </cell>
          <cell r="E6184" t="str">
            <v>P-367</v>
          </cell>
        </row>
        <row r="6185">
          <cell r="B6185" t="str">
            <v>B272-400-AS-160-HR-008</v>
          </cell>
          <cell r="E6185" t="str">
            <v>P-565</v>
          </cell>
        </row>
        <row r="6186">
          <cell r="B6186" t="str">
            <v>B272-400-AS-160-HR-008</v>
          </cell>
          <cell r="E6186" t="str">
            <v>R-6</v>
          </cell>
        </row>
        <row r="6187">
          <cell r="B6187" t="str">
            <v>B272-400-AS-160-HR-008</v>
          </cell>
          <cell r="E6187" t="str">
            <v>B1645</v>
          </cell>
        </row>
        <row r="6188">
          <cell r="B6188" t="str">
            <v>B272-400-AS-160-HR-009</v>
          </cell>
        </row>
        <row r="6189">
          <cell r="B6189" t="str">
            <v>B272-400-AS-160-HR-009</v>
          </cell>
          <cell r="E6189" t="str">
            <v>A-39(1/2)</v>
          </cell>
        </row>
        <row r="6190">
          <cell r="B6190" t="str">
            <v>B272-400-AS-160-HR-009</v>
          </cell>
          <cell r="E6190" t="str">
            <v>A-39(2/2)</v>
          </cell>
        </row>
        <row r="6191">
          <cell r="B6191" t="str">
            <v>B272-400-AS-160-HR-009</v>
          </cell>
          <cell r="E6191" t="str">
            <v>A-68</v>
          </cell>
        </row>
        <row r="6192">
          <cell r="B6192" t="str">
            <v>B272-400-AS-160-HR-009</v>
          </cell>
          <cell r="E6192" t="str">
            <v>A-69</v>
          </cell>
        </row>
        <row r="6193">
          <cell r="B6193" t="str">
            <v>B272-400-AS-160-HR-009</v>
          </cell>
          <cell r="E6193" t="str">
            <v>D-22</v>
          </cell>
        </row>
        <row r="6194">
          <cell r="B6194" t="str">
            <v>B272-400-AS-160-HR-009</v>
          </cell>
          <cell r="E6194" t="str">
            <v>P-546</v>
          </cell>
        </row>
        <row r="6195">
          <cell r="B6195" t="str">
            <v>B272-400-AS-160-HR-009</v>
          </cell>
          <cell r="E6195" t="str">
            <v>P-547</v>
          </cell>
        </row>
        <row r="6196">
          <cell r="B6196" t="str">
            <v>B272-400-AS-160-HR-009</v>
          </cell>
          <cell r="E6196" t="str">
            <v>R-20</v>
          </cell>
        </row>
        <row r="6197">
          <cell r="B6197" t="str">
            <v>B272-400-AS-160-HR-009</v>
          </cell>
          <cell r="E6197" t="str">
            <v>B1645</v>
          </cell>
        </row>
        <row r="6198">
          <cell r="B6198" t="str">
            <v>B272-400-AS-160-HR-010</v>
          </cell>
        </row>
        <row r="6199">
          <cell r="B6199" t="str">
            <v>B272-400-AS-160-HR-010</v>
          </cell>
          <cell r="E6199" t="str">
            <v>A-39(1/2)</v>
          </cell>
        </row>
        <row r="6200">
          <cell r="B6200" t="str">
            <v>B272-400-AS-160-HR-010</v>
          </cell>
          <cell r="E6200" t="str">
            <v>A-39(2/2)</v>
          </cell>
        </row>
        <row r="6201">
          <cell r="B6201" t="str">
            <v>B272-400-AS-160-HR-010</v>
          </cell>
          <cell r="E6201" t="str">
            <v>A-68</v>
          </cell>
        </row>
        <row r="6202">
          <cell r="B6202" t="str">
            <v>B272-400-AS-160-HR-010</v>
          </cell>
          <cell r="E6202" t="str">
            <v>A-69</v>
          </cell>
        </row>
        <row r="6203">
          <cell r="B6203" t="str">
            <v>B272-400-AS-160-HR-010</v>
          </cell>
          <cell r="E6203" t="str">
            <v>D-30</v>
          </cell>
        </row>
        <row r="6204">
          <cell r="B6204" t="str">
            <v>B272-400-AS-160-HR-010</v>
          </cell>
          <cell r="E6204" t="str">
            <v>GX-23</v>
          </cell>
        </row>
        <row r="6205">
          <cell r="B6205" t="str">
            <v>B272-400-AS-160-HR-010</v>
          </cell>
          <cell r="E6205" t="str">
            <v>P-560</v>
          </cell>
        </row>
        <row r="6206">
          <cell r="B6206" t="str">
            <v>B272-400-AS-160-HR-010</v>
          </cell>
          <cell r="E6206" t="str">
            <v>R-20</v>
          </cell>
        </row>
        <row r="6207">
          <cell r="B6207" t="str">
            <v>B272-400-AS-160-HR-010</v>
          </cell>
          <cell r="E6207" t="str">
            <v>B1645</v>
          </cell>
        </row>
        <row r="6208">
          <cell r="B6208" t="str">
            <v>B272-400-AS-160-HR-011</v>
          </cell>
        </row>
        <row r="6209">
          <cell r="B6209" t="str">
            <v>B272-400-AS-160-HR-011</v>
          </cell>
          <cell r="E6209" t="str">
            <v>A-39(1/2)</v>
          </cell>
        </row>
        <row r="6210">
          <cell r="B6210" t="str">
            <v>B272-400-AS-160-HR-011</v>
          </cell>
          <cell r="E6210" t="str">
            <v>A-39(2/2)</v>
          </cell>
        </row>
        <row r="6211">
          <cell r="B6211" t="str">
            <v>B272-400-AS-160-HR-011</v>
          </cell>
          <cell r="E6211" t="str">
            <v>A-68</v>
          </cell>
        </row>
        <row r="6212">
          <cell r="B6212" t="str">
            <v>B272-400-AS-160-HR-011</v>
          </cell>
          <cell r="E6212" t="str">
            <v>A-69</v>
          </cell>
        </row>
        <row r="6213">
          <cell r="B6213" t="str">
            <v>B272-400-AS-160-HR-011</v>
          </cell>
          <cell r="E6213" t="str">
            <v>D-48</v>
          </cell>
        </row>
        <row r="6214">
          <cell r="B6214" t="str">
            <v>B272-400-AS-160-HR-011</v>
          </cell>
          <cell r="E6214" t="str">
            <v>GX-163</v>
          </cell>
        </row>
        <row r="6215">
          <cell r="B6215" t="str">
            <v>B272-400-AS-160-HR-011</v>
          </cell>
          <cell r="E6215" t="str">
            <v>P-549</v>
          </cell>
        </row>
        <row r="6216">
          <cell r="B6216" t="str">
            <v>B272-400-AS-160-HR-011</v>
          </cell>
          <cell r="E6216" t="str">
            <v>R-6</v>
          </cell>
        </row>
        <row r="6217">
          <cell r="B6217" t="str">
            <v>B272-400-AS-160-HR-011</v>
          </cell>
          <cell r="E6217" t="str">
            <v>B1645</v>
          </cell>
        </row>
        <row r="6218">
          <cell r="B6218" t="str">
            <v>B272-400-AS-160-HR-012</v>
          </cell>
        </row>
        <row r="6219">
          <cell r="B6219" t="str">
            <v>B272-400-AS-160-HR-012</v>
          </cell>
          <cell r="E6219" t="str">
            <v>A-39(1/2)</v>
          </cell>
        </row>
        <row r="6220">
          <cell r="B6220" t="str">
            <v>B272-400-AS-160-HR-012</v>
          </cell>
          <cell r="E6220" t="str">
            <v>A-39(2/2)</v>
          </cell>
        </row>
        <row r="6221">
          <cell r="B6221" t="str">
            <v>B272-400-AS-160-HR-012</v>
          </cell>
          <cell r="E6221" t="str">
            <v>A-68</v>
          </cell>
        </row>
        <row r="6222">
          <cell r="B6222" t="str">
            <v>B272-400-AS-160-HR-012</v>
          </cell>
          <cell r="E6222" t="str">
            <v>A-69</v>
          </cell>
        </row>
        <row r="6223">
          <cell r="B6223" t="str">
            <v>B272-400-AS-160-HR-012</v>
          </cell>
          <cell r="E6223" t="str">
            <v>D-49</v>
          </cell>
        </row>
        <row r="6224">
          <cell r="B6224" t="str">
            <v>B272-400-AS-160-HR-012</v>
          </cell>
          <cell r="E6224" t="str">
            <v>GX-164</v>
          </cell>
        </row>
        <row r="6225">
          <cell r="B6225" t="str">
            <v>B272-400-AS-160-HR-012</v>
          </cell>
          <cell r="E6225" t="str">
            <v>P-563</v>
          </cell>
        </row>
        <row r="6226">
          <cell r="B6226" t="str">
            <v>B272-400-AS-160-HR-012</v>
          </cell>
          <cell r="E6226" t="str">
            <v>P-777(1/5)</v>
          </cell>
        </row>
        <row r="6227">
          <cell r="B6227" t="str">
            <v>B272-400-AS-160-HR-012</v>
          </cell>
          <cell r="E6227" t="str">
            <v>P-777(2/5)</v>
          </cell>
        </row>
        <row r="6228">
          <cell r="B6228" t="str">
            <v>B272-400-AS-160-HR-012</v>
          </cell>
          <cell r="E6228" t="str">
            <v>P-777(3/5)</v>
          </cell>
        </row>
        <row r="6229">
          <cell r="B6229" t="str">
            <v>B272-400-AS-160-HR-012</v>
          </cell>
          <cell r="E6229" t="str">
            <v>P-777(4/5)</v>
          </cell>
        </row>
        <row r="6230">
          <cell r="B6230" t="str">
            <v>B272-400-AS-160-HR-012</v>
          </cell>
          <cell r="E6230" t="str">
            <v>P-777(5/5)</v>
          </cell>
        </row>
        <row r="6231">
          <cell r="B6231" t="str">
            <v>B272-400-AS-160-HR-012</v>
          </cell>
          <cell r="E6231" t="str">
            <v>R-6</v>
          </cell>
        </row>
        <row r="6232">
          <cell r="B6232" t="str">
            <v>B272-400-AS-160-HR-012</v>
          </cell>
          <cell r="E6232" t="str">
            <v>B1645</v>
          </cell>
        </row>
        <row r="6233">
          <cell r="B6233" t="str">
            <v>B272-400-AS-160-HR-013</v>
          </cell>
        </row>
        <row r="6234">
          <cell r="B6234" t="str">
            <v>B272-400-AS-160-HR-013</v>
          </cell>
          <cell r="E6234" t="str">
            <v>A-39(1/2)</v>
          </cell>
        </row>
        <row r="6235">
          <cell r="B6235" t="str">
            <v>B272-400-AS-160-HR-013</v>
          </cell>
          <cell r="E6235" t="str">
            <v>A-39(2/2)</v>
          </cell>
        </row>
        <row r="6236">
          <cell r="B6236" t="str">
            <v>B272-400-AS-160-HR-013</v>
          </cell>
          <cell r="E6236" t="str">
            <v>A-68</v>
          </cell>
        </row>
        <row r="6237">
          <cell r="B6237" t="str">
            <v>B272-400-AS-160-HR-013</v>
          </cell>
          <cell r="E6237" t="str">
            <v>A-69</v>
          </cell>
        </row>
        <row r="6238">
          <cell r="B6238" t="str">
            <v>B272-400-AS-160-HR-013</v>
          </cell>
          <cell r="E6238" t="str">
            <v>D-50</v>
          </cell>
        </row>
        <row r="6239">
          <cell r="B6239" t="str">
            <v>B272-400-AS-160-HR-013</v>
          </cell>
          <cell r="E6239" t="str">
            <v>GX-61</v>
          </cell>
        </row>
        <row r="6240">
          <cell r="B6240" t="str">
            <v>B272-400-AS-160-HR-013</v>
          </cell>
          <cell r="E6240" t="str">
            <v>GX-62</v>
          </cell>
        </row>
        <row r="6241">
          <cell r="B6241" t="str">
            <v>B272-400-AS-160-HR-013</v>
          </cell>
          <cell r="E6241" t="str">
            <v>P-777(1/3)</v>
          </cell>
        </row>
        <row r="6242">
          <cell r="B6242" t="str">
            <v>B272-400-AS-160-HR-013</v>
          </cell>
          <cell r="E6242" t="str">
            <v>P-777(2/3)</v>
          </cell>
        </row>
        <row r="6243">
          <cell r="B6243" t="str">
            <v>B272-400-AS-160-HR-013</v>
          </cell>
          <cell r="E6243" t="str">
            <v>P-777(3/3)</v>
          </cell>
        </row>
        <row r="6244">
          <cell r="B6244" t="str">
            <v>B272-400-AS-160-HR-013</v>
          </cell>
          <cell r="E6244" t="str">
            <v>R-6</v>
          </cell>
        </row>
        <row r="6245">
          <cell r="B6245" t="str">
            <v>B272-400-AS-160-HR-013</v>
          </cell>
          <cell r="E6245" t="str">
            <v>B1645</v>
          </cell>
        </row>
        <row r="6246">
          <cell r="B6246" t="str">
            <v>B272-400-AS-160-HR-014</v>
          </cell>
        </row>
        <row r="6247">
          <cell r="B6247" t="str">
            <v>B272-400-AS-160-HR-014</v>
          </cell>
          <cell r="E6247" t="str">
            <v>A-39(1/2)</v>
          </cell>
        </row>
        <row r="6248">
          <cell r="B6248" t="str">
            <v>B272-400-AS-160-HR-014</v>
          </cell>
          <cell r="E6248" t="str">
            <v>A-39(2/2)</v>
          </cell>
        </row>
        <row r="6249">
          <cell r="B6249" t="str">
            <v>B272-400-AS-160-HR-014</v>
          </cell>
          <cell r="E6249" t="str">
            <v>A-68</v>
          </cell>
        </row>
        <row r="6250">
          <cell r="B6250" t="str">
            <v>B272-400-AS-160-HR-014</v>
          </cell>
          <cell r="E6250" t="str">
            <v>A-69</v>
          </cell>
        </row>
        <row r="6251">
          <cell r="B6251" t="str">
            <v>B272-400-AS-160-HR-014</v>
          </cell>
          <cell r="E6251" t="str">
            <v>D-153</v>
          </cell>
        </row>
        <row r="6252">
          <cell r="B6252" t="str">
            <v>B272-400-AS-160-HR-014</v>
          </cell>
          <cell r="E6252" t="str">
            <v>GX-26</v>
          </cell>
        </row>
        <row r="6253">
          <cell r="B6253" t="str">
            <v>B272-400-AS-160-HR-014</v>
          </cell>
          <cell r="E6253" t="str">
            <v>P-559</v>
          </cell>
        </row>
        <row r="6254">
          <cell r="B6254" t="str">
            <v>B272-400-AS-160-HR-014</v>
          </cell>
          <cell r="E6254" t="str">
            <v>R-20</v>
          </cell>
        </row>
        <row r="6255">
          <cell r="B6255" t="str">
            <v>B272-400-AS-160-HR-014</v>
          </cell>
          <cell r="E6255" t="str">
            <v>B1645</v>
          </cell>
        </row>
        <row r="6256">
          <cell r="B6256" t="str">
            <v>B272-400-AS-160-HR-015</v>
          </cell>
        </row>
        <row r="6257">
          <cell r="B6257" t="str">
            <v>B272-400-AS-160-HR-015</v>
          </cell>
          <cell r="E6257" t="str">
            <v>A-39(1/2)</v>
          </cell>
        </row>
        <row r="6258">
          <cell r="B6258" t="str">
            <v>B272-400-AS-160-HR-015</v>
          </cell>
          <cell r="E6258" t="str">
            <v>A-39(2/2)</v>
          </cell>
        </row>
        <row r="6259">
          <cell r="B6259" t="str">
            <v>B272-400-AS-160-HR-015</v>
          </cell>
          <cell r="E6259" t="str">
            <v>A-68</v>
          </cell>
        </row>
        <row r="6260">
          <cell r="B6260" t="str">
            <v>B272-400-AS-160-HR-015</v>
          </cell>
          <cell r="E6260" t="str">
            <v>A-69</v>
          </cell>
        </row>
        <row r="6261">
          <cell r="B6261" t="str">
            <v>B272-400-AS-160-HR-015</v>
          </cell>
          <cell r="E6261" t="str">
            <v>D-155</v>
          </cell>
        </row>
        <row r="6262">
          <cell r="B6262" t="str">
            <v>B272-400-AS-160-HR-015</v>
          </cell>
          <cell r="E6262" t="str">
            <v>GX-27</v>
          </cell>
        </row>
        <row r="6263">
          <cell r="B6263" t="str">
            <v>B272-400-AS-160-HR-015</v>
          </cell>
          <cell r="E6263" t="str">
            <v>P-561</v>
          </cell>
        </row>
        <row r="6264">
          <cell r="B6264" t="str">
            <v>B272-400-AS-160-HR-015</v>
          </cell>
          <cell r="E6264" t="str">
            <v>P-777(1/4)</v>
          </cell>
        </row>
        <row r="6265">
          <cell r="B6265" t="str">
            <v>B272-400-AS-160-HR-015</v>
          </cell>
          <cell r="E6265" t="str">
            <v>P-777(2/4)</v>
          </cell>
        </row>
        <row r="6266">
          <cell r="B6266" t="str">
            <v>B272-400-AS-160-HR-015</v>
          </cell>
          <cell r="E6266" t="str">
            <v>P-777(3/4)</v>
          </cell>
        </row>
        <row r="6267">
          <cell r="B6267" t="str">
            <v>B272-400-AS-160-HR-015</v>
          </cell>
          <cell r="E6267" t="str">
            <v>P-777(4/4)</v>
          </cell>
        </row>
        <row r="6268">
          <cell r="B6268" t="str">
            <v>B272-400-AS-160-HR-015</v>
          </cell>
          <cell r="E6268" t="str">
            <v>R-20</v>
          </cell>
        </row>
        <row r="6269">
          <cell r="B6269" t="str">
            <v>B272-400-AS-160-HR-015</v>
          </cell>
          <cell r="E6269" t="str">
            <v>B1645</v>
          </cell>
        </row>
        <row r="6270">
          <cell r="B6270" t="str">
            <v>B272-400-AS-160-HR-016</v>
          </cell>
        </row>
        <row r="6271">
          <cell r="B6271" t="str">
            <v>B272-400-AS-160-HR-016</v>
          </cell>
          <cell r="E6271" t="str">
            <v>A-39(1/2)</v>
          </cell>
        </row>
        <row r="6272">
          <cell r="B6272" t="str">
            <v>B272-400-AS-160-HR-016</v>
          </cell>
          <cell r="E6272" t="str">
            <v>A-39(2/2)</v>
          </cell>
        </row>
        <row r="6273">
          <cell r="B6273" t="str">
            <v>B272-400-AS-160-HR-016</v>
          </cell>
          <cell r="E6273" t="str">
            <v>A-68</v>
          </cell>
        </row>
        <row r="6274">
          <cell r="B6274" t="str">
            <v>B272-400-AS-160-HR-016</v>
          </cell>
          <cell r="E6274" t="str">
            <v>A-69</v>
          </cell>
        </row>
        <row r="6275">
          <cell r="B6275" t="str">
            <v>B272-400-AS-160-HR-016</v>
          </cell>
          <cell r="E6275" t="str">
            <v>D-156</v>
          </cell>
        </row>
        <row r="6276">
          <cell r="B6276" t="str">
            <v>B272-400-AS-160-HR-016</v>
          </cell>
          <cell r="E6276" t="str">
            <v>GX-28</v>
          </cell>
        </row>
        <row r="6277">
          <cell r="B6277" t="str">
            <v>B272-400-AS-160-HR-016</v>
          </cell>
          <cell r="E6277" t="str">
            <v>GX-29</v>
          </cell>
        </row>
        <row r="6278">
          <cell r="B6278" t="str">
            <v>B272-400-AS-160-HR-016</v>
          </cell>
          <cell r="E6278" t="str">
            <v>P-777(1/2)</v>
          </cell>
        </row>
        <row r="6279">
          <cell r="B6279" t="str">
            <v>B272-400-AS-160-HR-016</v>
          </cell>
          <cell r="E6279" t="str">
            <v>P-777(2/2)</v>
          </cell>
        </row>
        <row r="6280">
          <cell r="B6280" t="str">
            <v>B272-400-AS-160-HR-016</v>
          </cell>
          <cell r="E6280" t="str">
            <v>R-20</v>
          </cell>
        </row>
        <row r="6281">
          <cell r="B6281" t="str">
            <v>B272-400-AS-160-HR-016</v>
          </cell>
          <cell r="E6281" t="str">
            <v>B1645</v>
          </cell>
        </row>
        <row r="6282">
          <cell r="B6282" t="str">
            <v>B272-400-AS-160-HR-017</v>
          </cell>
        </row>
        <row r="6283">
          <cell r="B6283" t="str">
            <v>B272-400-AS-160-HR-017</v>
          </cell>
          <cell r="E6283" t="str">
            <v>A-39(1/2)</v>
          </cell>
        </row>
        <row r="6284">
          <cell r="B6284" t="str">
            <v>B272-400-AS-160-HR-017</v>
          </cell>
          <cell r="E6284" t="str">
            <v>A-39(2/2)</v>
          </cell>
        </row>
        <row r="6285">
          <cell r="B6285" t="str">
            <v>B272-400-AS-160-HR-017</v>
          </cell>
          <cell r="E6285" t="str">
            <v>A-71</v>
          </cell>
        </row>
        <row r="6286">
          <cell r="B6286" t="str">
            <v>B272-400-AS-160-HR-017</v>
          </cell>
          <cell r="E6286" t="str">
            <v>D-33</v>
          </cell>
        </row>
        <row r="6287">
          <cell r="B6287" t="str">
            <v>B272-400-AS-160-HR-017</v>
          </cell>
          <cell r="E6287" t="str">
            <v>D-96</v>
          </cell>
        </row>
        <row r="6288">
          <cell r="B6288" t="str">
            <v>B272-400-AS-160-HR-017</v>
          </cell>
          <cell r="E6288" t="str">
            <v>D-97</v>
          </cell>
        </row>
        <row r="6289">
          <cell r="B6289" t="str">
            <v>B272-400-AS-160-HR-017</v>
          </cell>
          <cell r="E6289" t="str">
            <v>P-455(1/2)</v>
          </cell>
        </row>
        <row r="6290">
          <cell r="B6290" t="str">
            <v>B272-400-AS-160-HR-017</v>
          </cell>
          <cell r="E6290" t="str">
            <v>P-455(2/2)</v>
          </cell>
        </row>
        <row r="6291">
          <cell r="B6291" t="str">
            <v>B272-400-AS-160-HR-017</v>
          </cell>
          <cell r="E6291" t="str">
            <v>P-904</v>
          </cell>
        </row>
        <row r="6292">
          <cell r="B6292" t="str">
            <v>B272-400-AS-160-HR-017</v>
          </cell>
          <cell r="E6292" t="str">
            <v>P-905</v>
          </cell>
        </row>
        <row r="6293">
          <cell r="B6293" t="str">
            <v>B272-400-AS-160-HR-017</v>
          </cell>
          <cell r="E6293" t="str">
            <v>B1645</v>
          </cell>
        </row>
        <row r="6294">
          <cell r="B6294" t="str">
            <v>B272-400-AS-160-HR-018</v>
          </cell>
        </row>
        <row r="6295">
          <cell r="B6295" t="str">
            <v>B272-400-AS-160-HR-018</v>
          </cell>
          <cell r="E6295" t="str">
            <v>A-39(1/2)</v>
          </cell>
        </row>
        <row r="6296">
          <cell r="B6296" t="str">
            <v>B272-400-AS-160-HR-018</v>
          </cell>
          <cell r="E6296" t="str">
            <v>A-39(2/2)</v>
          </cell>
        </row>
        <row r="6297">
          <cell r="B6297" t="str">
            <v>B272-400-AS-160-HR-018</v>
          </cell>
          <cell r="E6297" t="str">
            <v>D-23</v>
          </cell>
        </row>
        <row r="6298">
          <cell r="B6298" t="str">
            <v>B272-400-AS-160-HR-018</v>
          </cell>
          <cell r="E6298" t="str">
            <v>GX-161</v>
          </cell>
        </row>
        <row r="6299">
          <cell r="B6299" t="str">
            <v>B272-400-AS-160-HR-018</v>
          </cell>
          <cell r="E6299" t="str">
            <v>GX-162</v>
          </cell>
        </row>
        <row r="6300">
          <cell r="B6300" t="str">
            <v>B272-400-AS-160-HR-018</v>
          </cell>
          <cell r="E6300" t="str">
            <v>P-455</v>
          </cell>
        </row>
        <row r="6301">
          <cell r="B6301" t="str">
            <v>B272-400-AS-160-HR-018</v>
          </cell>
          <cell r="E6301" t="str">
            <v>B1645</v>
          </cell>
        </row>
        <row r="6302">
          <cell r="B6302" t="str">
            <v>B272-400-AS-160-HR-019</v>
          </cell>
        </row>
        <row r="6303">
          <cell r="B6303" t="str">
            <v>B272-400-AS-160-HR-019</v>
          </cell>
          <cell r="E6303" t="str">
            <v>A-39</v>
          </cell>
        </row>
        <row r="6304">
          <cell r="B6304" t="str">
            <v>B272-400-AS-160-HR-019</v>
          </cell>
          <cell r="E6304" t="str">
            <v>A-41</v>
          </cell>
        </row>
        <row r="6305">
          <cell r="B6305" t="str">
            <v>B272-400-AS-160-HR-019</v>
          </cell>
          <cell r="E6305" t="str">
            <v>D-33</v>
          </cell>
        </row>
        <row r="6306">
          <cell r="B6306" t="str">
            <v>B272-400-AS-160-HR-019</v>
          </cell>
          <cell r="E6306" t="str">
            <v>D-81</v>
          </cell>
        </row>
        <row r="6307">
          <cell r="B6307" t="str">
            <v>B272-400-AS-160-HR-019</v>
          </cell>
          <cell r="E6307" t="str">
            <v>D-111</v>
          </cell>
        </row>
        <row r="6308">
          <cell r="B6308" t="str">
            <v>B272-400-AS-160-HR-019</v>
          </cell>
          <cell r="E6308" t="str">
            <v>GX-63</v>
          </cell>
        </row>
        <row r="6309">
          <cell r="B6309" t="str">
            <v>B272-400-AS-160-HR-019</v>
          </cell>
          <cell r="E6309" t="str">
            <v>P-455(1/2)</v>
          </cell>
        </row>
        <row r="6310">
          <cell r="B6310" t="str">
            <v>B272-400-AS-160-HR-019</v>
          </cell>
          <cell r="E6310" t="str">
            <v>P-455(2/2)</v>
          </cell>
        </row>
        <row r="6311">
          <cell r="B6311" t="str">
            <v>B272-400-AS-160-HR-019</v>
          </cell>
          <cell r="E6311" t="str">
            <v>P-750</v>
          </cell>
        </row>
        <row r="6312">
          <cell r="B6312" t="str">
            <v>B272-400-AS-160-HR-019</v>
          </cell>
          <cell r="E6312" t="str">
            <v>P-959</v>
          </cell>
        </row>
        <row r="6313">
          <cell r="B6313" t="str">
            <v>B272-400-AS-160-HR-019</v>
          </cell>
          <cell r="E6313" t="str">
            <v>B1645</v>
          </cell>
        </row>
        <row r="6314">
          <cell r="B6314" t="str">
            <v>B272-400-AS-160-HR-020</v>
          </cell>
        </row>
        <row r="6315">
          <cell r="B6315" t="str">
            <v>B272-400-AS-160-HR-020</v>
          </cell>
          <cell r="E6315" t="str">
            <v>A-39</v>
          </cell>
        </row>
        <row r="6316">
          <cell r="B6316" t="str">
            <v>B272-400-AS-160-HR-020</v>
          </cell>
          <cell r="E6316" t="str">
            <v>A-50</v>
          </cell>
        </row>
        <row r="6317">
          <cell r="B6317" t="str">
            <v>B272-400-AS-160-HR-020</v>
          </cell>
          <cell r="E6317" t="str">
            <v>D-28</v>
          </cell>
        </row>
        <row r="6318">
          <cell r="B6318" t="str">
            <v>B272-400-AS-160-HR-020</v>
          </cell>
          <cell r="E6318" t="str">
            <v>D-29</v>
          </cell>
        </row>
        <row r="6319">
          <cell r="B6319" t="str">
            <v>B272-400-AS-160-HR-020</v>
          </cell>
          <cell r="E6319" t="str">
            <v>GX-25</v>
          </cell>
        </row>
        <row r="6320">
          <cell r="B6320" t="str">
            <v>B272-400-AS-160-HR-020</v>
          </cell>
          <cell r="E6320" t="str">
            <v>P-224</v>
          </cell>
        </row>
        <row r="6321">
          <cell r="B6321" t="str">
            <v>B272-400-AS-160-HR-020</v>
          </cell>
          <cell r="E6321" t="str">
            <v>P-290</v>
          </cell>
        </row>
        <row r="6322">
          <cell r="B6322" t="str">
            <v>B272-400-AS-160-HR-020</v>
          </cell>
          <cell r="E6322" t="str">
            <v>P-367</v>
          </cell>
        </row>
        <row r="6323">
          <cell r="B6323" t="str">
            <v>B272-400-AS-160-HR-020</v>
          </cell>
          <cell r="E6323" t="str">
            <v>P-957</v>
          </cell>
        </row>
        <row r="6324">
          <cell r="B6324" t="str">
            <v>B272-400-AS-160-HR-020</v>
          </cell>
          <cell r="E6324" t="str">
            <v>B1645</v>
          </cell>
        </row>
        <row r="6325">
          <cell r="B6325" t="str">
            <v>B272-400-AS-160-HR-021</v>
          </cell>
        </row>
        <row r="6326">
          <cell r="B6326" t="str">
            <v>B272-400-AS-160-HR-021</v>
          </cell>
          <cell r="E6326" t="str">
            <v>A-41(1/4)</v>
          </cell>
        </row>
        <row r="6327">
          <cell r="B6327" t="str">
            <v>B272-400-AS-160-HR-021</v>
          </cell>
          <cell r="E6327" t="str">
            <v>A-41(2/4)</v>
          </cell>
        </row>
        <row r="6328">
          <cell r="B6328" t="str">
            <v>B272-400-AS-160-HR-021</v>
          </cell>
          <cell r="E6328" t="str">
            <v>A-41(3/4)</v>
          </cell>
        </row>
        <row r="6329">
          <cell r="B6329" t="str">
            <v>B272-400-AS-160-HR-021</v>
          </cell>
          <cell r="E6329" t="str">
            <v>A-41(4/4)</v>
          </cell>
        </row>
        <row r="6330">
          <cell r="B6330" t="str">
            <v>B272-400-AS-160-HR-021</v>
          </cell>
          <cell r="E6330" t="str">
            <v>D-33(1/2)</v>
          </cell>
        </row>
        <row r="6331">
          <cell r="B6331" t="str">
            <v>B272-400-AS-160-HR-021</v>
          </cell>
          <cell r="E6331" t="str">
            <v>D-33(2/2)</v>
          </cell>
        </row>
        <row r="6332">
          <cell r="B6332" t="str">
            <v>B272-400-AS-160-HR-021</v>
          </cell>
          <cell r="E6332" t="str">
            <v>D-61</v>
          </cell>
        </row>
        <row r="6333">
          <cell r="B6333" t="str">
            <v>B272-400-AS-160-HR-021</v>
          </cell>
          <cell r="E6333" t="str">
            <v>D-98</v>
          </cell>
        </row>
        <row r="6334">
          <cell r="B6334" t="str">
            <v>B272-400-AS-160-HR-021</v>
          </cell>
          <cell r="E6334" t="str">
            <v>D-99</v>
          </cell>
        </row>
        <row r="6335">
          <cell r="B6335" t="str">
            <v>B272-400-AS-160-HR-021</v>
          </cell>
          <cell r="E6335" t="str">
            <v>GX-133</v>
          </cell>
        </row>
        <row r="6336">
          <cell r="B6336" t="str">
            <v>B272-400-AS-160-HR-021</v>
          </cell>
          <cell r="E6336" t="str">
            <v>P-455(1/2)</v>
          </cell>
        </row>
        <row r="6337">
          <cell r="B6337" t="str">
            <v>B272-400-AS-160-HR-021</v>
          </cell>
          <cell r="E6337" t="str">
            <v>P-455(2/2)</v>
          </cell>
        </row>
        <row r="6338">
          <cell r="B6338" t="str">
            <v>B272-400-AS-160-HR-021</v>
          </cell>
          <cell r="E6338" t="str">
            <v>P-908</v>
          </cell>
        </row>
        <row r="6339">
          <cell r="B6339" t="str">
            <v>B272-400-AS-160-HR-021</v>
          </cell>
          <cell r="E6339" t="str">
            <v>B1645</v>
          </cell>
        </row>
        <row r="6340">
          <cell r="B6340" t="str">
            <v>B272-400-AS-160-HR-022</v>
          </cell>
        </row>
        <row r="6341">
          <cell r="B6341" t="str">
            <v>B272-400-AS-160-HR-022</v>
          </cell>
          <cell r="E6341" t="str">
            <v>A-41(1/3)</v>
          </cell>
        </row>
        <row r="6342">
          <cell r="B6342" t="str">
            <v>B272-400-AS-160-HR-022</v>
          </cell>
          <cell r="E6342" t="str">
            <v>A-41(2/3)</v>
          </cell>
        </row>
        <row r="6343">
          <cell r="B6343" t="str">
            <v>B272-400-AS-160-HR-022</v>
          </cell>
          <cell r="E6343" t="str">
            <v>A-41(3/3)</v>
          </cell>
        </row>
        <row r="6344">
          <cell r="B6344" t="str">
            <v>B272-400-AS-160-HR-022</v>
          </cell>
          <cell r="E6344" t="str">
            <v>A-50</v>
          </cell>
        </row>
        <row r="6345">
          <cell r="B6345" t="str">
            <v>B272-400-AS-160-HR-022</v>
          </cell>
          <cell r="E6345" t="str">
            <v>A-68</v>
          </cell>
        </row>
        <row r="6346">
          <cell r="B6346" t="str">
            <v>B272-400-AS-160-HR-022</v>
          </cell>
          <cell r="E6346" t="str">
            <v>A-69</v>
          </cell>
        </row>
        <row r="6347">
          <cell r="B6347" t="str">
            <v>B272-400-AS-160-HR-022</v>
          </cell>
          <cell r="E6347" t="str">
            <v>A-71</v>
          </cell>
        </row>
        <row r="6348">
          <cell r="B6348" t="str">
            <v>B272-400-AS-160-HR-022</v>
          </cell>
          <cell r="E6348" t="str">
            <v>D-46</v>
          </cell>
        </row>
        <row r="6349">
          <cell r="B6349" t="str">
            <v>B272-400-AS-160-HR-022</v>
          </cell>
          <cell r="E6349" t="str">
            <v>GX-160</v>
          </cell>
        </row>
        <row r="6350">
          <cell r="B6350" t="str">
            <v>B272-400-AS-160-HR-022</v>
          </cell>
          <cell r="E6350" t="str">
            <v>P-224</v>
          </cell>
        </row>
        <row r="6351">
          <cell r="B6351" t="str">
            <v>B272-400-AS-160-HR-022</v>
          </cell>
          <cell r="E6351" t="str">
            <v>P-290</v>
          </cell>
        </row>
        <row r="6352">
          <cell r="B6352" t="str">
            <v>B272-400-AS-160-HR-022</v>
          </cell>
          <cell r="E6352" t="str">
            <v>P-321</v>
          </cell>
        </row>
        <row r="6353">
          <cell r="B6353" t="str">
            <v>B272-400-AS-160-HR-022</v>
          </cell>
          <cell r="E6353" t="str">
            <v>P-367</v>
          </cell>
        </row>
        <row r="6354">
          <cell r="B6354" t="str">
            <v>B272-400-AS-160-HR-022</v>
          </cell>
          <cell r="E6354" t="str">
            <v>R-20</v>
          </cell>
        </row>
        <row r="6355">
          <cell r="B6355" t="str">
            <v>B272-400-AS-160-HR-022</v>
          </cell>
          <cell r="E6355" t="str">
            <v>B1645</v>
          </cell>
        </row>
        <row r="6356">
          <cell r="B6356" t="str">
            <v>B272-400-AS-160-HR-023</v>
          </cell>
        </row>
        <row r="6357">
          <cell r="B6357" t="str">
            <v>B272-400-AS-160-HR-023</v>
          </cell>
          <cell r="E6357" t="str">
            <v>A-68</v>
          </cell>
        </row>
        <row r="6358">
          <cell r="B6358" t="str">
            <v>B272-400-AS-160-HR-023</v>
          </cell>
          <cell r="E6358" t="str">
            <v>A-69</v>
          </cell>
        </row>
        <row r="6359">
          <cell r="B6359" t="str">
            <v>B272-400-AS-160-HR-023</v>
          </cell>
          <cell r="E6359" t="str">
            <v>A-71(1/4)</v>
          </cell>
        </row>
        <row r="6360">
          <cell r="B6360" t="str">
            <v>B272-400-AS-160-HR-023</v>
          </cell>
          <cell r="E6360" t="str">
            <v>A-71(2/4)</v>
          </cell>
        </row>
        <row r="6361">
          <cell r="B6361" t="str">
            <v>B272-400-AS-160-HR-023</v>
          </cell>
          <cell r="E6361" t="str">
            <v>A-71(3/4)</v>
          </cell>
        </row>
        <row r="6362">
          <cell r="B6362" t="str">
            <v>B272-400-AS-160-HR-023</v>
          </cell>
          <cell r="E6362" t="str">
            <v>A-71(4/4)</v>
          </cell>
        </row>
        <row r="6363">
          <cell r="B6363" t="str">
            <v>B272-400-AS-160-HR-023</v>
          </cell>
          <cell r="E6363" t="str">
            <v>D-60</v>
          </cell>
        </row>
        <row r="6364">
          <cell r="B6364" t="str">
            <v>B272-400-AS-160-HR-023</v>
          </cell>
          <cell r="E6364" t="str">
            <v>GX-54</v>
          </cell>
        </row>
        <row r="6365">
          <cell r="B6365" t="str">
            <v>B272-400-AS-160-HR-023</v>
          </cell>
          <cell r="E6365" t="str">
            <v>P-748</v>
          </cell>
        </row>
        <row r="6366">
          <cell r="B6366" t="str">
            <v>B272-400-AS-160-HR-023</v>
          </cell>
          <cell r="E6366" t="str">
            <v>R-20</v>
          </cell>
        </row>
        <row r="6367">
          <cell r="B6367" t="str">
            <v>B272-400-AS-160-HR-023</v>
          </cell>
          <cell r="E6367" t="str">
            <v>B1645</v>
          </cell>
        </row>
        <row r="6368">
          <cell r="B6368" t="str">
            <v>B272-400-AS-160-HR-024</v>
          </cell>
        </row>
        <row r="6369">
          <cell r="B6369" t="str">
            <v>B272-400-AS-160-HR-024</v>
          </cell>
          <cell r="E6369" t="str">
            <v>A-68</v>
          </cell>
        </row>
        <row r="6370">
          <cell r="B6370" t="str">
            <v>B272-400-AS-160-HR-024</v>
          </cell>
          <cell r="E6370" t="str">
            <v>A-69</v>
          </cell>
        </row>
        <row r="6371">
          <cell r="B6371" t="str">
            <v>B272-400-AS-160-HR-024</v>
          </cell>
          <cell r="E6371" t="str">
            <v>A-71(1/2)</v>
          </cell>
        </row>
        <row r="6372">
          <cell r="B6372" t="str">
            <v>B272-400-AS-160-HR-024</v>
          </cell>
          <cell r="E6372" t="str">
            <v>A-71(2/2)</v>
          </cell>
        </row>
        <row r="6373">
          <cell r="B6373" t="str">
            <v>B272-400-AS-160-HR-024</v>
          </cell>
          <cell r="E6373" t="str">
            <v>D-44</v>
          </cell>
        </row>
        <row r="6374">
          <cell r="B6374" t="str">
            <v>B272-400-AS-160-HR-024</v>
          </cell>
          <cell r="E6374" t="str">
            <v>GX-31</v>
          </cell>
        </row>
        <row r="6375">
          <cell r="B6375" t="str">
            <v>B272-400-AS-160-HR-024</v>
          </cell>
          <cell r="E6375" t="str">
            <v>P-562</v>
          </cell>
        </row>
        <row r="6376">
          <cell r="B6376" t="str">
            <v>B272-400-AS-160-HR-024</v>
          </cell>
          <cell r="E6376" t="str">
            <v>R-20</v>
          </cell>
        </row>
        <row r="6377">
          <cell r="B6377" t="str">
            <v>B272-400-AS-160-HR-024</v>
          </cell>
          <cell r="E6377" t="str">
            <v>B1645</v>
          </cell>
        </row>
        <row r="6378">
          <cell r="B6378" t="str">
            <v>B272-400-AS-160-HR-025</v>
          </cell>
        </row>
        <row r="6379">
          <cell r="B6379" t="str">
            <v>B272-400-AS-160-HR-025</v>
          </cell>
          <cell r="E6379" t="str">
            <v>A-39(1/2)</v>
          </cell>
        </row>
        <row r="6380">
          <cell r="B6380" t="str">
            <v>B272-400-AS-160-HR-025</v>
          </cell>
          <cell r="E6380" t="str">
            <v>A-39(2/2)</v>
          </cell>
        </row>
        <row r="6381">
          <cell r="B6381" t="str">
            <v>B272-400-AS-160-HR-025</v>
          </cell>
          <cell r="E6381" t="str">
            <v>A-62</v>
          </cell>
        </row>
        <row r="6382">
          <cell r="B6382" t="str">
            <v>B272-400-AS-160-HR-025</v>
          </cell>
          <cell r="E6382" t="str">
            <v>A-114</v>
          </cell>
        </row>
        <row r="6383">
          <cell r="B6383" t="str">
            <v>B272-400-AS-160-HR-025</v>
          </cell>
          <cell r="E6383" t="str">
            <v>D-32</v>
          </cell>
        </row>
        <row r="6384">
          <cell r="B6384" t="str">
            <v>B272-400-AS-160-HR-025</v>
          </cell>
          <cell r="E6384" t="str">
            <v>D-33(1/2)</v>
          </cell>
        </row>
        <row r="6385">
          <cell r="B6385" t="str">
            <v>B272-400-AS-160-HR-025</v>
          </cell>
          <cell r="E6385" t="str">
            <v>D-33(2/2)</v>
          </cell>
        </row>
        <row r="6386">
          <cell r="B6386" t="str">
            <v>B272-400-AS-160-HR-025</v>
          </cell>
          <cell r="E6386" t="str">
            <v>D-92</v>
          </cell>
        </row>
        <row r="6387">
          <cell r="B6387" t="str">
            <v>B272-400-AS-160-HR-025</v>
          </cell>
          <cell r="E6387" t="str">
            <v>D-93</v>
          </cell>
        </row>
        <row r="6388">
          <cell r="B6388" t="str">
            <v>B272-400-AS-160-HR-025</v>
          </cell>
          <cell r="E6388" t="str">
            <v>P-455(1/2)</v>
          </cell>
        </row>
        <row r="6389">
          <cell r="B6389" t="str">
            <v>B272-400-AS-160-HR-025</v>
          </cell>
          <cell r="E6389" t="str">
            <v>P-455(2/2)</v>
          </cell>
        </row>
        <row r="6390">
          <cell r="B6390" t="str">
            <v>B272-400-AS-160-HR-025</v>
          </cell>
          <cell r="E6390" t="str">
            <v>P-901</v>
          </cell>
        </row>
        <row r="6391">
          <cell r="B6391" t="str">
            <v>B272-400-AS-160-HR-025</v>
          </cell>
          <cell r="E6391" t="str">
            <v>P-902</v>
          </cell>
        </row>
        <row r="6392">
          <cell r="B6392" t="str">
            <v>B272-400-AS-160-HR-025</v>
          </cell>
          <cell r="E6392" t="str">
            <v>B1645</v>
          </cell>
        </row>
        <row r="6393">
          <cell r="B6393" t="str">
            <v>B272-400-AS-160-HR-026</v>
          </cell>
        </row>
        <row r="6394">
          <cell r="B6394" t="str">
            <v>B272-400-AS-160-HR-026</v>
          </cell>
          <cell r="E6394" t="str">
            <v>A-39(1/4)</v>
          </cell>
        </row>
        <row r="6395">
          <cell r="B6395" t="str">
            <v>B272-400-AS-160-HR-026</v>
          </cell>
          <cell r="E6395" t="str">
            <v>A-39(2/4)</v>
          </cell>
        </row>
        <row r="6396">
          <cell r="B6396" t="str">
            <v>B272-400-AS-160-HR-026</v>
          </cell>
          <cell r="E6396" t="str">
            <v>A-39(3/4)</v>
          </cell>
        </row>
        <row r="6397">
          <cell r="B6397" t="str">
            <v>B272-400-AS-160-HR-026</v>
          </cell>
          <cell r="E6397" t="str">
            <v>A-39(4/4)</v>
          </cell>
        </row>
        <row r="6398">
          <cell r="B6398" t="str">
            <v>B272-400-AS-160-HR-026</v>
          </cell>
          <cell r="E6398" t="str">
            <v>A-68</v>
          </cell>
        </row>
        <row r="6399">
          <cell r="B6399" t="str">
            <v>B272-400-AS-160-HR-026</v>
          </cell>
          <cell r="E6399" t="str">
            <v>A-69</v>
          </cell>
        </row>
        <row r="6400">
          <cell r="B6400" t="str">
            <v>B272-400-AS-160-HR-026</v>
          </cell>
          <cell r="E6400" t="str">
            <v>A-115</v>
          </cell>
        </row>
        <row r="6401">
          <cell r="B6401" t="str">
            <v>B272-400-AS-160-HR-026</v>
          </cell>
          <cell r="E6401" t="str">
            <v>A-116</v>
          </cell>
        </row>
        <row r="6402">
          <cell r="B6402" t="str">
            <v>B272-400-AS-160-HR-026</v>
          </cell>
          <cell r="E6402" t="str">
            <v>D-24</v>
          </cell>
        </row>
        <row r="6403">
          <cell r="B6403" t="str">
            <v>B272-400-AS-160-HR-026</v>
          </cell>
          <cell r="E6403" t="str">
            <v>D-34(1/2)</v>
          </cell>
        </row>
        <row r="6404">
          <cell r="B6404" t="str">
            <v>B272-400-AS-160-HR-026</v>
          </cell>
          <cell r="E6404" t="str">
            <v>D-34(2/2)</v>
          </cell>
        </row>
        <row r="6405">
          <cell r="B6405" t="str">
            <v>B272-400-AS-160-HR-026</v>
          </cell>
          <cell r="E6405" t="str">
            <v>D-107</v>
          </cell>
        </row>
        <row r="6406">
          <cell r="B6406" t="str">
            <v>B272-400-AS-160-HR-026</v>
          </cell>
          <cell r="E6406" t="str">
            <v>D-108</v>
          </cell>
        </row>
        <row r="6407">
          <cell r="B6407" t="str">
            <v>B272-400-AS-160-HR-026</v>
          </cell>
          <cell r="E6407" t="str">
            <v>D-109</v>
          </cell>
        </row>
        <row r="6408">
          <cell r="B6408" t="str">
            <v>B272-400-AS-160-HR-026</v>
          </cell>
          <cell r="E6408" t="str">
            <v>D-113</v>
          </cell>
        </row>
        <row r="6409">
          <cell r="B6409" t="str">
            <v>B272-400-AS-160-HR-026</v>
          </cell>
          <cell r="E6409" t="str">
            <v>GX-19</v>
          </cell>
        </row>
        <row r="6410">
          <cell r="B6410" t="str">
            <v>B272-400-AS-160-HR-026</v>
          </cell>
          <cell r="E6410" t="str">
            <v>GX-139</v>
          </cell>
        </row>
        <row r="6411">
          <cell r="B6411" t="str">
            <v>B272-400-AS-160-HR-026</v>
          </cell>
          <cell r="E6411" t="str">
            <v>P-455</v>
          </cell>
        </row>
        <row r="6412">
          <cell r="B6412" t="str">
            <v>B272-400-AS-160-HR-026</v>
          </cell>
          <cell r="E6412" t="str">
            <v>P-553</v>
          </cell>
        </row>
        <row r="6413">
          <cell r="B6413" t="str">
            <v>B272-400-AS-160-HR-026</v>
          </cell>
          <cell r="E6413" t="str">
            <v>B1645</v>
          </cell>
        </row>
        <row r="6414">
          <cell r="B6414" t="str">
            <v>B272-400-AS-160-HR-026</v>
          </cell>
          <cell r="E6414" t="str">
            <v>B1650</v>
          </cell>
        </row>
        <row r="6415">
          <cell r="B6415" t="str">
            <v>B272-400-AS-160-HR-027</v>
          </cell>
        </row>
        <row r="6416">
          <cell r="B6416" t="str">
            <v>B272-400-AS-160-HR-027</v>
          </cell>
          <cell r="E6416" t="str">
            <v>A-54</v>
          </cell>
        </row>
        <row r="6417">
          <cell r="B6417" t="str">
            <v>B272-400-AS-160-HR-027</v>
          </cell>
          <cell r="E6417" t="str">
            <v>A-117</v>
          </cell>
        </row>
        <row r="6418">
          <cell r="B6418" t="str">
            <v>B272-400-AS-160-HR-027</v>
          </cell>
          <cell r="E6418" t="str">
            <v>D-66</v>
          </cell>
        </row>
        <row r="6419">
          <cell r="B6419" t="str">
            <v>B272-400-AS-160-HR-027</v>
          </cell>
          <cell r="E6419" t="str">
            <v>GX-24</v>
          </cell>
        </row>
        <row r="6420">
          <cell r="B6420" t="str">
            <v>B272-400-AS-160-HR-027</v>
          </cell>
          <cell r="E6420" t="str">
            <v>P-455(1/2)</v>
          </cell>
        </row>
        <row r="6421">
          <cell r="B6421" t="str">
            <v>B272-400-AS-160-HR-027</v>
          </cell>
          <cell r="E6421" t="str">
            <v>P-455(2/2)</v>
          </cell>
        </row>
        <row r="6422">
          <cell r="B6422" t="str">
            <v>B272-400-AS-160-HR-027</v>
          </cell>
          <cell r="E6422" t="str">
            <v>P-558</v>
          </cell>
        </row>
        <row r="6423">
          <cell r="B6423" t="str">
            <v>B272-400-AS-160-HR-027</v>
          </cell>
          <cell r="E6423" t="str">
            <v>B1645</v>
          </cell>
        </row>
        <row r="6424">
          <cell r="B6424" t="str">
            <v>B272-400-AS-160-HR-028</v>
          </cell>
        </row>
        <row r="6425">
          <cell r="B6425" t="str">
            <v>B272-400-AS-160-HR-028</v>
          </cell>
          <cell r="E6425" t="str">
            <v>A-39(1/2)</v>
          </cell>
        </row>
        <row r="6426">
          <cell r="B6426" t="str">
            <v>B272-400-AS-160-HR-028</v>
          </cell>
          <cell r="E6426" t="str">
            <v>A-39(2/2)</v>
          </cell>
        </row>
        <row r="6427">
          <cell r="B6427" t="str">
            <v>B272-400-AS-160-HR-028</v>
          </cell>
          <cell r="E6427" t="str">
            <v>A-68</v>
          </cell>
        </row>
        <row r="6428">
          <cell r="B6428" t="str">
            <v>B272-400-AS-160-HR-028</v>
          </cell>
          <cell r="E6428" t="str">
            <v>A-69</v>
          </cell>
        </row>
        <row r="6429">
          <cell r="B6429" t="str">
            <v>B272-400-AS-160-HR-028</v>
          </cell>
          <cell r="E6429" t="str">
            <v>A-128</v>
          </cell>
        </row>
        <row r="6430">
          <cell r="B6430" t="str">
            <v>B272-400-AS-160-HR-028</v>
          </cell>
          <cell r="E6430" t="str">
            <v>D-59</v>
          </cell>
        </row>
        <row r="6431">
          <cell r="B6431" t="str">
            <v>B272-400-AS-160-HR-028</v>
          </cell>
          <cell r="E6431" t="str">
            <v>P-224</v>
          </cell>
        </row>
        <row r="6432">
          <cell r="B6432" t="str">
            <v>B272-400-AS-160-HR-028</v>
          </cell>
          <cell r="E6432" t="str">
            <v>P-290</v>
          </cell>
        </row>
        <row r="6433">
          <cell r="B6433" t="str">
            <v>B272-400-AS-160-HR-028</v>
          </cell>
          <cell r="E6433" t="str">
            <v>P-367</v>
          </cell>
        </row>
        <row r="6434">
          <cell r="B6434" t="str">
            <v>B272-400-AS-160-HR-028</v>
          </cell>
          <cell r="E6434" t="str">
            <v>P-732</v>
          </cell>
        </row>
        <row r="6435">
          <cell r="B6435" t="str">
            <v>B272-400-AS-160-HR-028</v>
          </cell>
          <cell r="E6435" t="str">
            <v>P-733</v>
          </cell>
        </row>
        <row r="6436">
          <cell r="B6436" t="str">
            <v>B272-400-AS-160-HR-028</v>
          </cell>
          <cell r="E6436" t="str">
            <v>R-20</v>
          </cell>
        </row>
        <row r="6437">
          <cell r="B6437" t="str">
            <v>B272-400-AS-160-HR-028</v>
          </cell>
          <cell r="E6437" t="str">
            <v>B1645</v>
          </cell>
        </row>
        <row r="6438">
          <cell r="B6438" t="str">
            <v>B272-400-AS-170-GR-001</v>
          </cell>
        </row>
        <row r="6439">
          <cell r="B6439" t="str">
            <v>B272-400-AS-170-GR-001</v>
          </cell>
          <cell r="E6439" t="str">
            <v>CKX-3</v>
          </cell>
        </row>
        <row r="6440">
          <cell r="B6440" t="str">
            <v>B272-400-AS-170-GR-001</v>
          </cell>
          <cell r="E6440" t="str">
            <v>K-8</v>
          </cell>
        </row>
        <row r="6441">
          <cell r="B6441" t="str">
            <v>B272-400-AS-170-GR-002</v>
          </cell>
        </row>
        <row r="6442">
          <cell r="B6442" t="str">
            <v>B272-400-AS-170-GR-002</v>
          </cell>
          <cell r="E6442" t="str">
            <v>CKX-8</v>
          </cell>
        </row>
        <row r="6443">
          <cell r="B6443" t="str">
            <v>B272-400-AS-170-GR-002</v>
          </cell>
          <cell r="E6443" t="str">
            <v>P-2059</v>
          </cell>
        </row>
        <row r="6444">
          <cell r="B6444" t="str">
            <v>B272-400-AS-170-GR-002</v>
          </cell>
          <cell r="E6444" t="str">
            <v>K-23</v>
          </cell>
        </row>
        <row r="6445">
          <cell r="B6445" t="str">
            <v>B272-400-AS-170-GR-003</v>
          </cell>
        </row>
        <row r="6446">
          <cell r="B6446" t="str">
            <v>B272-400-AS-170-GR-003</v>
          </cell>
          <cell r="E6446" t="str">
            <v>K-5</v>
          </cell>
        </row>
        <row r="6447">
          <cell r="B6447" t="str">
            <v>B272-400-AS-170-GR-003</v>
          </cell>
          <cell r="E6447" t="str">
            <v>P-813</v>
          </cell>
        </row>
        <row r="6448">
          <cell r="B6448" t="str">
            <v>B272-400-AS-170-GR-004</v>
          </cell>
        </row>
        <row r="6449">
          <cell r="B6449" t="str">
            <v>B272-400-AS-170-GR-004</v>
          </cell>
          <cell r="E6449" t="str">
            <v>CKX-10</v>
          </cell>
        </row>
        <row r="6450">
          <cell r="B6450" t="str">
            <v>B272-400-AS-170-GR-004</v>
          </cell>
          <cell r="E6450" t="str">
            <v>K-6</v>
          </cell>
        </row>
        <row r="6451">
          <cell r="B6451" t="str">
            <v>B272-400-AS-170-GR-005</v>
          </cell>
        </row>
        <row r="6452">
          <cell r="B6452" t="str">
            <v>B272-400-AS-170-GR-005</v>
          </cell>
          <cell r="E6452" t="str">
            <v>K-7</v>
          </cell>
        </row>
        <row r="6453">
          <cell r="B6453" t="str">
            <v>B272-400-AS-170-GR-006</v>
          </cell>
        </row>
        <row r="6454">
          <cell r="B6454" t="str">
            <v>B272-400-AS-170-GR-006</v>
          </cell>
          <cell r="E6454" t="str">
            <v>K-9</v>
          </cell>
        </row>
        <row r="6455">
          <cell r="B6455" t="str">
            <v>B272-400-AS-170-GR-006</v>
          </cell>
          <cell r="E6455" t="str">
            <v>P-791</v>
          </cell>
        </row>
        <row r="6456">
          <cell r="B6456" t="str">
            <v>B272-400-AS-170-GR-007</v>
          </cell>
        </row>
        <row r="6457">
          <cell r="B6457" t="str">
            <v>B272-400-AS-170-GR-007</v>
          </cell>
          <cell r="E6457" t="str">
            <v>K-13</v>
          </cell>
        </row>
        <row r="6458">
          <cell r="B6458" t="str">
            <v>B272-400-AS-170-GR-008</v>
          </cell>
        </row>
        <row r="6459">
          <cell r="B6459" t="str">
            <v>B272-400-AS-170-GR-008</v>
          </cell>
          <cell r="E6459" t="str">
            <v>CKX-4</v>
          </cell>
        </row>
        <row r="6460">
          <cell r="B6460" t="str">
            <v>B272-400-AS-170-GR-008</v>
          </cell>
          <cell r="E6460" t="str">
            <v>K-14</v>
          </cell>
        </row>
        <row r="6461">
          <cell r="B6461" t="str">
            <v>B272-400-AS-170-GR-009</v>
          </cell>
        </row>
        <row r="6462">
          <cell r="B6462" t="str">
            <v>B272-400-AS-170-GR-009</v>
          </cell>
          <cell r="E6462" t="str">
            <v>K-15</v>
          </cell>
        </row>
        <row r="6463">
          <cell r="B6463" t="str">
            <v>B272-400-AS-170-GR-009</v>
          </cell>
          <cell r="E6463" t="str">
            <v>P-819</v>
          </cell>
        </row>
        <row r="6464">
          <cell r="B6464" t="str">
            <v>B272-400-AS-170-GR-010</v>
          </cell>
        </row>
        <row r="6465">
          <cell r="B6465" t="str">
            <v>B272-400-AS-170-GR-010</v>
          </cell>
          <cell r="E6465" t="str">
            <v>K-16</v>
          </cell>
        </row>
        <row r="6466">
          <cell r="B6466" t="str">
            <v>B272-400-AS-170-GR-010</v>
          </cell>
          <cell r="E6466" t="str">
            <v>P-820</v>
          </cell>
        </row>
        <row r="6467">
          <cell r="B6467" t="str">
            <v>B272-400-AS-170-GR-011</v>
          </cell>
        </row>
        <row r="6468">
          <cell r="B6468" t="str">
            <v>B272-400-AS-170-GR-011</v>
          </cell>
          <cell r="E6468" t="str">
            <v>K-17</v>
          </cell>
        </row>
        <row r="6469">
          <cell r="B6469" t="str">
            <v>B272-400-AS-170-GR-011</v>
          </cell>
          <cell r="E6469" t="str">
            <v>P-821</v>
          </cell>
        </row>
        <row r="6470">
          <cell r="B6470" t="str">
            <v>B272-400-AS-170-GR-012</v>
          </cell>
        </row>
        <row r="6471">
          <cell r="B6471" t="str">
            <v>B272-400-AS-170-GR-012</v>
          </cell>
          <cell r="E6471" t="str">
            <v>K-18</v>
          </cell>
        </row>
        <row r="6472">
          <cell r="B6472" t="str">
            <v>B272-400-AS-170-GR-012</v>
          </cell>
          <cell r="E6472" t="str">
            <v>P-822</v>
          </cell>
        </row>
        <row r="6473">
          <cell r="B6473" t="str">
            <v>B272-400-AS-170-GR-013</v>
          </cell>
        </row>
        <row r="6474">
          <cell r="B6474" t="str">
            <v>B272-400-AS-170-GR-013</v>
          </cell>
          <cell r="E6474" t="str">
            <v>K-19</v>
          </cell>
        </row>
        <row r="6475">
          <cell r="B6475" t="str">
            <v>B272-400-AS-170-GR-013</v>
          </cell>
          <cell r="E6475" t="str">
            <v>P-823</v>
          </cell>
        </row>
        <row r="6476">
          <cell r="B6476" t="str">
            <v>B272-400-AS-170-GR-014</v>
          </cell>
        </row>
        <row r="6477">
          <cell r="B6477" t="str">
            <v>B272-400-AS-170-GR-014</v>
          </cell>
          <cell r="E6477" t="str">
            <v>K-20</v>
          </cell>
        </row>
        <row r="6478">
          <cell r="B6478" t="str">
            <v>B272-400-AS-170-GR-014</v>
          </cell>
          <cell r="E6478" t="str">
            <v>P-824</v>
          </cell>
        </row>
        <row r="6479">
          <cell r="B6479" t="str">
            <v>B272-400-AS-170-GR-015</v>
          </cell>
        </row>
        <row r="6480">
          <cell r="B6480" t="str">
            <v>B272-400-AS-170-GR-015</v>
          </cell>
          <cell r="E6480" t="str">
            <v>K-21</v>
          </cell>
        </row>
        <row r="6481">
          <cell r="B6481" t="str">
            <v>B272-400-AS-170-GR-015</v>
          </cell>
          <cell r="E6481" t="str">
            <v>PF-2002</v>
          </cell>
        </row>
        <row r="6482">
          <cell r="B6482" t="str">
            <v>B272-400-AS-170-GR-016</v>
          </cell>
        </row>
        <row r="6483">
          <cell r="B6483" t="str">
            <v>B272-400-AS-170-GR-016</v>
          </cell>
          <cell r="E6483" t="str">
            <v>K-22</v>
          </cell>
        </row>
        <row r="6484">
          <cell r="B6484" t="str">
            <v>B272-400-AS-170-GR-016</v>
          </cell>
          <cell r="E6484" t="str">
            <v>P-903</v>
          </cell>
        </row>
        <row r="6485">
          <cell r="B6485" t="str">
            <v>B272-400-AS-170-GR-016</v>
          </cell>
          <cell r="E6485" t="str">
            <v>PF-2003</v>
          </cell>
        </row>
        <row r="6486">
          <cell r="B6486" t="str">
            <v>B272-400-AS-170-GR-017</v>
          </cell>
        </row>
        <row r="6487">
          <cell r="B6487" t="str">
            <v>B272-400-AS-170-GR-017</v>
          </cell>
          <cell r="E6487" t="str">
            <v>CKX-9</v>
          </cell>
        </row>
        <row r="6488">
          <cell r="B6488" t="str">
            <v>B272-400-AS-170-GR-017</v>
          </cell>
          <cell r="E6488" t="str">
            <v>K-4</v>
          </cell>
        </row>
        <row r="6489">
          <cell r="B6489" t="str">
            <v>B272-400-AS-170-GR-017</v>
          </cell>
          <cell r="E6489" t="str">
            <v>P-906</v>
          </cell>
        </row>
        <row r="6490">
          <cell r="B6490" t="str">
            <v>B272-400-AS-170-GR-018</v>
          </cell>
        </row>
        <row r="6491">
          <cell r="B6491" t="str">
            <v>B272-400-AS-170-GR-018</v>
          </cell>
          <cell r="E6491" t="str">
            <v>K-24</v>
          </cell>
        </row>
        <row r="6492">
          <cell r="B6492" t="str">
            <v>B272-400-AS-170-GR-018</v>
          </cell>
          <cell r="E6492" t="str">
            <v>P-808</v>
          </cell>
        </row>
        <row r="6493">
          <cell r="B6493" t="str">
            <v>B272-400-AS-170-GR-018</v>
          </cell>
          <cell r="E6493" t="str">
            <v>P-2060</v>
          </cell>
        </row>
        <row r="6494">
          <cell r="B6494" t="str">
            <v>B272-400-AS-170-GR-019</v>
          </cell>
        </row>
        <row r="6495">
          <cell r="B6495" t="str">
            <v>B272-400-AS-170-GR-019</v>
          </cell>
          <cell r="E6495" t="str">
            <v>K-25</v>
          </cell>
        </row>
        <row r="6496">
          <cell r="B6496" t="str">
            <v>B272-400-AS-170-GR-019</v>
          </cell>
          <cell r="E6496" t="str">
            <v>P-811</v>
          </cell>
        </row>
        <row r="6497">
          <cell r="B6497" t="str">
            <v>B272-400-AS-170-GR-020</v>
          </cell>
        </row>
        <row r="6498">
          <cell r="B6498" t="str">
            <v>B272-400-AS-170-GR-020</v>
          </cell>
          <cell r="E6498" t="str">
            <v>K-26</v>
          </cell>
        </row>
        <row r="6499">
          <cell r="B6499" t="str">
            <v>B272-400-AS-170-GR-020</v>
          </cell>
          <cell r="E6499" t="str">
            <v>P-810</v>
          </cell>
        </row>
        <row r="6500">
          <cell r="B6500" t="str">
            <v>B272-400-AS-170-GR-021</v>
          </cell>
        </row>
        <row r="6501">
          <cell r="B6501" t="str">
            <v>B272-400-AS-170-GR-021</v>
          </cell>
          <cell r="E6501" t="str">
            <v>CKX-6</v>
          </cell>
        </row>
        <row r="6502">
          <cell r="B6502" t="str">
            <v>B272-400-AS-170-GR-021</v>
          </cell>
          <cell r="E6502" t="str">
            <v>K-27</v>
          </cell>
        </row>
        <row r="6503">
          <cell r="B6503" t="str">
            <v>B272-400-AS-170-GR-021</v>
          </cell>
          <cell r="E6503" t="str">
            <v>P-590</v>
          </cell>
        </row>
        <row r="6504">
          <cell r="B6504" t="str">
            <v>B272-400-AS-170-GR-022</v>
          </cell>
        </row>
        <row r="6505">
          <cell r="B6505" t="str">
            <v>B272-400-AS-170-GR-022</v>
          </cell>
          <cell r="E6505" t="str">
            <v>K-28</v>
          </cell>
        </row>
        <row r="6506">
          <cell r="B6506" t="str">
            <v>B272-400-AS-170-GR-022</v>
          </cell>
          <cell r="E6506" t="str">
            <v>P-594</v>
          </cell>
        </row>
        <row r="6507">
          <cell r="B6507" t="str">
            <v>B272-400-AS-170-GR-023</v>
          </cell>
        </row>
        <row r="6508">
          <cell r="B6508" t="str">
            <v>B272-400-AS-170-GR-023</v>
          </cell>
          <cell r="E6508" t="str">
            <v>K-29</v>
          </cell>
        </row>
        <row r="6509">
          <cell r="B6509" t="str">
            <v>B272-400-AS-170-GR-023</v>
          </cell>
          <cell r="E6509" t="str">
            <v>P-815</v>
          </cell>
        </row>
        <row r="6510">
          <cell r="B6510" t="str">
            <v>B272-400-AS-170-GR-023</v>
          </cell>
          <cell r="E6510" t="str">
            <v>P-958</v>
          </cell>
        </row>
        <row r="6511">
          <cell r="B6511" t="str">
            <v>B272-400-AS-170-GR-024</v>
          </cell>
        </row>
        <row r="6512">
          <cell r="B6512" t="str">
            <v>B272-400-AS-170-GR-024</v>
          </cell>
          <cell r="E6512" t="str">
            <v>K-49</v>
          </cell>
        </row>
        <row r="6513">
          <cell r="B6513" t="str">
            <v>B272-400-AS-170-GR-024</v>
          </cell>
          <cell r="E6513" t="str">
            <v>P-592</v>
          </cell>
        </row>
        <row r="6514">
          <cell r="B6514" t="str">
            <v>B272-400-AS-170-GR-025</v>
          </cell>
        </row>
        <row r="6515">
          <cell r="B6515" t="str">
            <v>B272-400-AS-170-GR-025</v>
          </cell>
          <cell r="E6515" t="str">
            <v>K-31</v>
          </cell>
        </row>
        <row r="6516">
          <cell r="B6516" t="str">
            <v>B272-400-AS-170-GR-025</v>
          </cell>
          <cell r="E6516" t="str">
            <v>P-482</v>
          </cell>
        </row>
        <row r="6517">
          <cell r="B6517" t="str">
            <v>B272-400-AS-170-GR-026</v>
          </cell>
        </row>
        <row r="6518">
          <cell r="B6518" t="str">
            <v>B272-400-AS-170-GR-026</v>
          </cell>
          <cell r="E6518" t="str">
            <v>K-31</v>
          </cell>
        </row>
        <row r="6519">
          <cell r="B6519" t="str">
            <v>B272-400-AS-170-GR-026</v>
          </cell>
          <cell r="E6519" t="str">
            <v>P-622</v>
          </cell>
        </row>
        <row r="6520">
          <cell r="B6520" t="str">
            <v>B272-400-AS-170-GR-027</v>
          </cell>
        </row>
        <row r="6521">
          <cell r="B6521" t="str">
            <v>B272-400-AS-170-GR-027</v>
          </cell>
          <cell r="E6521" t="str">
            <v>K-31</v>
          </cell>
        </row>
        <row r="6522">
          <cell r="B6522" t="str">
            <v>B272-400-AS-170-GR-027</v>
          </cell>
          <cell r="E6522" t="str">
            <v>P-791</v>
          </cell>
        </row>
        <row r="6523">
          <cell r="B6523" t="str">
            <v>B272-400-AS-170-GR-028</v>
          </cell>
        </row>
        <row r="6524">
          <cell r="B6524" t="str">
            <v>B272-400-AS-170-GR-028</v>
          </cell>
          <cell r="E6524" t="str">
            <v>K-31</v>
          </cell>
        </row>
        <row r="6525">
          <cell r="B6525" t="str">
            <v>B272-400-AS-170-GR-028</v>
          </cell>
          <cell r="E6525" t="str">
            <v>P-812</v>
          </cell>
        </row>
        <row r="6526">
          <cell r="B6526" t="str">
            <v>B272-400-AS-170-GR-029</v>
          </cell>
        </row>
        <row r="6527">
          <cell r="B6527" t="str">
            <v>B272-400-AS-170-GR-029</v>
          </cell>
          <cell r="E6527" t="str">
            <v>K-32</v>
          </cell>
        </row>
        <row r="6528">
          <cell r="B6528" t="str">
            <v>B272-400-AS-170-GR-029</v>
          </cell>
          <cell r="E6528" t="str">
            <v>P-816</v>
          </cell>
        </row>
        <row r="6529">
          <cell r="B6529" t="str">
            <v>B272-400-AS-170-GR-029</v>
          </cell>
          <cell r="E6529" t="str">
            <v>PF-2004</v>
          </cell>
        </row>
        <row r="6530">
          <cell r="B6530" t="str">
            <v>B272-400-AS-170-GR-030</v>
          </cell>
        </row>
        <row r="6531">
          <cell r="B6531" t="str">
            <v>B272-400-AS-170-GR-030</v>
          </cell>
          <cell r="E6531" t="str">
            <v>K-33</v>
          </cell>
        </row>
        <row r="6532">
          <cell r="B6532" t="str">
            <v>B272-400-AS-170-GR-031</v>
          </cell>
        </row>
        <row r="6533">
          <cell r="B6533" t="str">
            <v>B272-400-AS-170-GR-031</v>
          </cell>
          <cell r="E6533" t="str">
            <v>K-34</v>
          </cell>
        </row>
        <row r="6534">
          <cell r="B6534" t="str">
            <v>B272-400-AS-170-GR-031</v>
          </cell>
          <cell r="E6534" t="str">
            <v>P-303</v>
          </cell>
        </row>
        <row r="6535">
          <cell r="B6535" t="str">
            <v>B272-400-AS-170-GR-031</v>
          </cell>
          <cell r="E6535" t="str">
            <v>PF-2005</v>
          </cell>
        </row>
        <row r="6536">
          <cell r="B6536" t="str">
            <v>B272-400-AS-170-GR-031</v>
          </cell>
          <cell r="E6536" t="str">
            <v>PF-2007</v>
          </cell>
        </row>
        <row r="6537">
          <cell r="B6537" t="str">
            <v>B272-400-AS-170-GR-032</v>
          </cell>
        </row>
        <row r="6538">
          <cell r="B6538" t="str">
            <v>B272-400-AS-170-GR-032</v>
          </cell>
          <cell r="E6538" t="str">
            <v>K-35</v>
          </cell>
        </row>
        <row r="6539">
          <cell r="B6539" t="str">
            <v>B272-400-AS-170-GR-032</v>
          </cell>
          <cell r="E6539" t="str">
            <v>P-817</v>
          </cell>
        </row>
        <row r="6540">
          <cell r="B6540" t="str">
            <v>B272-400-AS-170-GR-032</v>
          </cell>
          <cell r="E6540" t="str">
            <v>PF-2006</v>
          </cell>
        </row>
        <row r="6541">
          <cell r="B6541" t="str">
            <v>B272-400-AS-170-GR-033</v>
          </cell>
        </row>
        <row r="6542">
          <cell r="B6542" t="str">
            <v>B272-400-AS-170-GR-033</v>
          </cell>
          <cell r="E6542" t="str">
            <v>K-36</v>
          </cell>
        </row>
        <row r="6543">
          <cell r="B6543" t="str">
            <v>B272-400-AS-170-GR-034</v>
          </cell>
        </row>
        <row r="6544">
          <cell r="B6544" t="str">
            <v>B272-400-AS-170-GR-034</v>
          </cell>
          <cell r="E6544" t="str">
            <v>CKX-4</v>
          </cell>
        </row>
        <row r="6545">
          <cell r="B6545" t="str">
            <v>B272-400-AS-170-GR-034</v>
          </cell>
          <cell r="E6545" t="str">
            <v>K-37</v>
          </cell>
        </row>
        <row r="6546">
          <cell r="B6546" t="str">
            <v>B272-400-AS-170-GR-034</v>
          </cell>
          <cell r="E6546" t="str">
            <v>P-589</v>
          </cell>
        </row>
        <row r="6547">
          <cell r="B6547" t="str">
            <v>B272-400-AS-170-GR-035</v>
          </cell>
        </row>
        <row r="6548">
          <cell r="B6548" t="str">
            <v>B272-400-AS-170-GR-035</v>
          </cell>
          <cell r="E6548" t="str">
            <v>K-49</v>
          </cell>
        </row>
        <row r="6549">
          <cell r="B6549" t="str">
            <v>B272-400-AS-170-GR-035</v>
          </cell>
          <cell r="E6549" t="str">
            <v>P-482</v>
          </cell>
        </row>
        <row r="6550">
          <cell r="B6550" t="str">
            <v>B272-400-AS-170-GR-036</v>
          </cell>
        </row>
        <row r="6551">
          <cell r="B6551" t="str">
            <v>B272-400-AS-170-GR-036</v>
          </cell>
          <cell r="E6551" t="str">
            <v>CKX-7</v>
          </cell>
        </row>
        <row r="6552">
          <cell r="B6552" t="str">
            <v>B272-400-AS-170-GR-036</v>
          </cell>
          <cell r="E6552" t="str">
            <v>K-43</v>
          </cell>
        </row>
        <row r="6553">
          <cell r="B6553" t="str">
            <v>B272-400-AS-170-GR-036</v>
          </cell>
          <cell r="E6553" t="str">
            <v>P-595</v>
          </cell>
        </row>
        <row r="6554">
          <cell r="B6554" t="str">
            <v>B272-400-AS-170-GR-037</v>
          </cell>
        </row>
        <row r="6555">
          <cell r="B6555" t="str">
            <v>B272-400-AS-170-GR-037</v>
          </cell>
          <cell r="E6555" t="str">
            <v>K-50</v>
          </cell>
        </row>
        <row r="6556">
          <cell r="B6556" t="str">
            <v>B272-400-AS-170-GR-037</v>
          </cell>
          <cell r="E6556" t="str">
            <v>P-596</v>
          </cell>
        </row>
        <row r="6557">
          <cell r="B6557" t="str">
            <v>B272-400-AS-170-GR-038</v>
          </cell>
        </row>
        <row r="6558">
          <cell r="B6558" t="str">
            <v>B272-400-AS-170-GR-038</v>
          </cell>
          <cell r="E6558" t="str">
            <v>K-53</v>
          </cell>
        </row>
        <row r="6559">
          <cell r="B6559" t="str">
            <v>B272-400-AS-170-GR-038</v>
          </cell>
          <cell r="E6559" t="str">
            <v>P-807</v>
          </cell>
        </row>
        <row r="6560">
          <cell r="B6560" t="str">
            <v>B272-400-AS-170-GR-039</v>
          </cell>
        </row>
        <row r="6561">
          <cell r="B6561" t="str">
            <v>B272-400-AS-170-GR-039</v>
          </cell>
          <cell r="E6561" t="str">
            <v>K-77</v>
          </cell>
        </row>
        <row r="6562">
          <cell r="B6562" t="str">
            <v>B272-400-AS-170-GR-040</v>
          </cell>
        </row>
        <row r="6563">
          <cell r="B6563" t="str">
            <v>B272-400-AS-170-GR-040</v>
          </cell>
          <cell r="E6563" t="str">
            <v>K-79</v>
          </cell>
        </row>
        <row r="6564">
          <cell r="B6564" t="str">
            <v>B272-400-AS-170-GR-041</v>
          </cell>
        </row>
        <row r="6565">
          <cell r="B6565" t="str">
            <v>B272-400-AS-170-GR-041</v>
          </cell>
          <cell r="E6565" t="str">
            <v>CKX-4</v>
          </cell>
        </row>
        <row r="6566">
          <cell r="B6566" t="str">
            <v>B272-400-AS-170-GR-041</v>
          </cell>
          <cell r="E6566" t="str">
            <v>K-80</v>
          </cell>
        </row>
        <row r="6567">
          <cell r="B6567" t="str">
            <v>B272-400-AS-170-GR-042</v>
          </cell>
        </row>
        <row r="6568">
          <cell r="B6568" t="str">
            <v>B272-400-AS-170-GR-042</v>
          </cell>
          <cell r="E6568" t="str">
            <v>K-81</v>
          </cell>
        </row>
        <row r="6569">
          <cell r="B6569" t="str">
            <v>B272-400-AS-170-GR-043</v>
          </cell>
        </row>
        <row r="6570">
          <cell r="B6570" t="str">
            <v>B272-400-AS-170-GR-043</v>
          </cell>
          <cell r="E6570" t="str">
            <v>K-30</v>
          </cell>
        </row>
        <row r="6571">
          <cell r="B6571" t="str">
            <v>B272-400-AS-170-GR-043</v>
          </cell>
          <cell r="E6571" t="str">
            <v>P-588</v>
          </cell>
        </row>
        <row r="6572">
          <cell r="B6572" t="str">
            <v>B272-400-AS-180-LD-001</v>
          </cell>
        </row>
        <row r="6573">
          <cell r="B6573" t="str">
            <v>B272-400-AS-180-LD-001</v>
          </cell>
          <cell r="E6573" t="str">
            <v>A-2(1/2)</v>
          </cell>
        </row>
        <row r="6574">
          <cell r="B6574" t="str">
            <v>B272-400-AS-180-LD-001</v>
          </cell>
          <cell r="E6574" t="str">
            <v>A-2(2/2)</v>
          </cell>
        </row>
        <row r="6575">
          <cell r="B6575" t="str">
            <v>B272-400-AS-180-LD-001</v>
          </cell>
          <cell r="E6575" t="str">
            <v>D-78(1/2)</v>
          </cell>
        </row>
        <row r="6576">
          <cell r="B6576" t="str">
            <v>B272-400-AS-180-LD-001</v>
          </cell>
          <cell r="E6576" t="str">
            <v>D-78(2/2)</v>
          </cell>
        </row>
        <row r="6577">
          <cell r="B6577" t="str">
            <v>B272-400-AS-180-LD-001</v>
          </cell>
          <cell r="E6577" t="str">
            <v>G-46</v>
          </cell>
        </row>
        <row r="6578">
          <cell r="B6578" t="str">
            <v>B272-400-AS-180-LD-001</v>
          </cell>
          <cell r="E6578" t="str">
            <v>G-47</v>
          </cell>
        </row>
        <row r="6579">
          <cell r="B6579" t="str">
            <v>B272-400-AS-180-LD-001</v>
          </cell>
          <cell r="E6579" t="str">
            <v>GX-55</v>
          </cell>
        </row>
        <row r="6580">
          <cell r="B6580" t="str">
            <v>B272-400-AS-180-LD-001</v>
          </cell>
          <cell r="E6580" t="str">
            <v>GX-56(1/2)</v>
          </cell>
        </row>
        <row r="6581">
          <cell r="B6581" t="str">
            <v>B272-400-AS-180-LD-001</v>
          </cell>
          <cell r="E6581" t="str">
            <v>GX-56(2/2)</v>
          </cell>
        </row>
        <row r="6582">
          <cell r="B6582" t="str">
            <v>B272-400-AS-180-LD-001</v>
          </cell>
          <cell r="E6582" t="str">
            <v>GX-57</v>
          </cell>
        </row>
        <row r="6583">
          <cell r="B6583" t="str">
            <v>B272-400-AS-180-LD-001</v>
          </cell>
          <cell r="E6583" t="str">
            <v>P-275(1/2)</v>
          </cell>
        </row>
        <row r="6584">
          <cell r="B6584" t="str">
            <v>B272-400-AS-180-LD-001</v>
          </cell>
          <cell r="E6584" t="str">
            <v>P-275(2/2)</v>
          </cell>
        </row>
        <row r="6585">
          <cell r="B6585" t="str">
            <v>B272-400-AS-180-LD-001</v>
          </cell>
          <cell r="E6585" t="str">
            <v>P-665</v>
          </cell>
        </row>
        <row r="6586">
          <cell r="B6586" t="str">
            <v>B272-400-AS-180-LD-001</v>
          </cell>
          <cell r="E6586" t="str">
            <v>P-754</v>
          </cell>
        </row>
        <row r="6587">
          <cell r="B6587" t="str">
            <v>B272-400-AS-180-LD-001</v>
          </cell>
          <cell r="E6587" t="str">
            <v>P-755</v>
          </cell>
        </row>
        <row r="6588">
          <cell r="B6588" t="str">
            <v>B272-400-AS-180-LD-001</v>
          </cell>
          <cell r="E6588" t="str">
            <v>P-756</v>
          </cell>
        </row>
        <row r="6589">
          <cell r="B6589" t="str">
            <v>B272-400-AS-180-LD-001</v>
          </cell>
          <cell r="E6589" t="str">
            <v>P-757(1/2)</v>
          </cell>
        </row>
        <row r="6590">
          <cell r="B6590" t="str">
            <v>B272-400-AS-180-LD-001</v>
          </cell>
          <cell r="E6590" t="str">
            <v>P-757(2/2)</v>
          </cell>
        </row>
        <row r="6591">
          <cell r="B6591" t="str">
            <v>B272-400-AS-180-LD-001</v>
          </cell>
          <cell r="E6591" t="str">
            <v>P-1034</v>
          </cell>
        </row>
        <row r="6592">
          <cell r="B6592" t="str">
            <v>B272-400-AS-180-LD-001</v>
          </cell>
          <cell r="E6592" t="str">
            <v>PX-53</v>
          </cell>
        </row>
        <row r="6593">
          <cell r="B6593" t="str">
            <v>B272-400-AS-180-LD-001</v>
          </cell>
          <cell r="E6593" t="str">
            <v>R-7(1/15)</v>
          </cell>
        </row>
        <row r="6594">
          <cell r="B6594" t="str">
            <v>B272-400-AS-180-LD-001</v>
          </cell>
          <cell r="E6594" t="str">
            <v>R-7(2/15)</v>
          </cell>
        </row>
        <row r="6595">
          <cell r="B6595" t="str">
            <v>B272-400-AS-180-LD-001</v>
          </cell>
          <cell r="E6595" t="str">
            <v>R-7(3/15)</v>
          </cell>
        </row>
        <row r="6596">
          <cell r="B6596" t="str">
            <v>B272-400-AS-180-LD-001</v>
          </cell>
          <cell r="E6596" t="str">
            <v>R-7(4/15)</v>
          </cell>
        </row>
        <row r="6597">
          <cell r="B6597" t="str">
            <v>B272-400-AS-180-LD-001</v>
          </cell>
          <cell r="E6597" t="str">
            <v>R-7(5/15)</v>
          </cell>
        </row>
        <row r="6598">
          <cell r="B6598" t="str">
            <v>B272-400-AS-180-LD-001</v>
          </cell>
          <cell r="E6598" t="str">
            <v>R-7(6/15)</v>
          </cell>
        </row>
        <row r="6599">
          <cell r="B6599" t="str">
            <v>B272-400-AS-180-LD-001</v>
          </cell>
          <cell r="E6599" t="str">
            <v>R-7(7/15)</v>
          </cell>
        </row>
        <row r="6600">
          <cell r="B6600" t="str">
            <v>B272-400-AS-180-LD-001</v>
          </cell>
          <cell r="E6600" t="str">
            <v>R-7(8/15)</v>
          </cell>
        </row>
        <row r="6601">
          <cell r="B6601" t="str">
            <v>B272-400-AS-180-LD-001</v>
          </cell>
          <cell r="E6601" t="str">
            <v>R-7(9/15)</v>
          </cell>
        </row>
        <row r="6602">
          <cell r="B6602" t="str">
            <v>B272-400-AS-180-LD-001</v>
          </cell>
          <cell r="E6602" t="str">
            <v>R-7(10/15)</v>
          </cell>
        </row>
        <row r="6603">
          <cell r="B6603" t="str">
            <v>B272-400-AS-180-LD-001</v>
          </cell>
          <cell r="E6603" t="str">
            <v>R-7(11/15)</v>
          </cell>
        </row>
        <row r="6604">
          <cell r="B6604" t="str">
            <v>B272-400-AS-180-LD-001</v>
          </cell>
          <cell r="E6604" t="str">
            <v>R-7(12/15)</v>
          </cell>
        </row>
        <row r="6605">
          <cell r="B6605" t="str">
            <v>B272-400-AS-180-LD-001</v>
          </cell>
          <cell r="E6605" t="str">
            <v>R-7(13/15)</v>
          </cell>
        </row>
        <row r="6606">
          <cell r="B6606" t="str">
            <v>B272-400-AS-180-LD-001</v>
          </cell>
          <cell r="E6606" t="str">
            <v>R-7(14/15)</v>
          </cell>
        </row>
        <row r="6607">
          <cell r="B6607" t="str">
            <v>B272-400-AS-180-LD-001</v>
          </cell>
          <cell r="E6607" t="str">
            <v>R-7(15/15)</v>
          </cell>
        </row>
        <row r="6608">
          <cell r="B6608" t="str">
            <v>B272-400-AS-180-LD-001</v>
          </cell>
          <cell r="E6608" t="str">
            <v>W-69(1/4)</v>
          </cell>
        </row>
        <row r="6609">
          <cell r="B6609" t="str">
            <v>B272-400-AS-180-LD-001</v>
          </cell>
          <cell r="E6609" t="str">
            <v>W-69(2/4)</v>
          </cell>
        </row>
        <row r="6610">
          <cell r="B6610" t="str">
            <v>B272-400-AS-180-LD-001</v>
          </cell>
          <cell r="E6610" t="str">
            <v>W-69(3/4)</v>
          </cell>
        </row>
        <row r="6611">
          <cell r="B6611" t="str">
            <v>B272-400-AS-180-LD-001</v>
          </cell>
          <cell r="E6611" t="str">
            <v>W-69(4/4)</v>
          </cell>
        </row>
        <row r="6612">
          <cell r="B6612" t="str">
            <v>B272-400-AS-180-LD-001</v>
          </cell>
          <cell r="E6612" t="str">
            <v>B1240</v>
          </cell>
        </row>
        <row r="6613">
          <cell r="B6613" t="str">
            <v>B272-400-AS-180-LD-001</v>
          </cell>
          <cell r="E6613" t="str">
            <v>B1245</v>
          </cell>
        </row>
        <row r="6614">
          <cell r="B6614" t="str">
            <v>B272-400-AS-180-LD-001</v>
          </cell>
          <cell r="E6614" t="str">
            <v>B1655</v>
          </cell>
        </row>
        <row r="6615">
          <cell r="B6615" t="str">
            <v>B272-400-AS-180-LD-001</v>
          </cell>
          <cell r="E6615" t="str">
            <v>B1680</v>
          </cell>
        </row>
        <row r="6616">
          <cell r="B6616" t="str">
            <v>B272-400-AS-180-LD-002</v>
          </cell>
        </row>
        <row r="6617">
          <cell r="B6617" t="str">
            <v>B272-400-AS-180-LD-002</v>
          </cell>
          <cell r="E6617" t="str">
            <v>A-2(1/2)</v>
          </cell>
        </row>
        <row r="6618">
          <cell r="B6618" t="str">
            <v>B272-400-AS-180-LD-002</v>
          </cell>
          <cell r="E6618" t="str">
            <v>A-2(2/2)</v>
          </cell>
        </row>
        <row r="6619">
          <cell r="B6619" t="str">
            <v>B272-400-AS-180-LD-002</v>
          </cell>
          <cell r="E6619" t="str">
            <v>D-78(1/2)</v>
          </cell>
        </row>
        <row r="6620">
          <cell r="B6620" t="str">
            <v>B272-400-AS-180-LD-002</v>
          </cell>
          <cell r="E6620" t="str">
            <v>D-78(2/2)</v>
          </cell>
        </row>
        <row r="6621">
          <cell r="B6621" t="str">
            <v>B272-400-AS-180-LD-002</v>
          </cell>
          <cell r="E6621" t="str">
            <v>G-48</v>
          </cell>
        </row>
        <row r="6622">
          <cell r="B6622" t="str">
            <v>B272-400-AS-180-LD-002</v>
          </cell>
          <cell r="E6622" t="str">
            <v>G-49</v>
          </cell>
        </row>
        <row r="6623">
          <cell r="B6623" t="str">
            <v>B272-400-AS-180-LD-002</v>
          </cell>
          <cell r="E6623" t="str">
            <v>GX-9</v>
          </cell>
        </row>
        <row r="6624">
          <cell r="B6624" t="str">
            <v>B272-400-AS-180-LD-002</v>
          </cell>
          <cell r="E6624" t="str">
            <v>GX-58</v>
          </cell>
        </row>
        <row r="6625">
          <cell r="B6625" t="str">
            <v>B272-400-AS-180-LD-002</v>
          </cell>
          <cell r="E6625" t="str">
            <v>GX-59</v>
          </cell>
        </row>
        <row r="6626">
          <cell r="B6626" t="str">
            <v>B272-400-AS-180-LD-002</v>
          </cell>
          <cell r="E6626" t="str">
            <v>GX-60</v>
          </cell>
        </row>
        <row r="6627">
          <cell r="B6627" t="str">
            <v>B272-400-AS-180-LD-002</v>
          </cell>
          <cell r="E6627" t="str">
            <v>P-275(1/2)</v>
          </cell>
        </row>
        <row r="6628">
          <cell r="B6628" t="str">
            <v>B272-400-AS-180-LD-002</v>
          </cell>
          <cell r="E6628" t="str">
            <v>P-275(2/2)</v>
          </cell>
        </row>
        <row r="6629">
          <cell r="B6629" t="str">
            <v>B272-400-AS-180-LD-002</v>
          </cell>
          <cell r="E6629" t="str">
            <v>P-665</v>
          </cell>
        </row>
        <row r="6630">
          <cell r="B6630" t="str">
            <v>B272-400-AS-180-LD-002</v>
          </cell>
          <cell r="E6630" t="str">
            <v>P-758</v>
          </cell>
        </row>
        <row r="6631">
          <cell r="B6631" t="str">
            <v>B272-400-AS-180-LD-002</v>
          </cell>
          <cell r="E6631" t="str">
            <v>P-779(1/3)</v>
          </cell>
        </row>
        <row r="6632">
          <cell r="B6632" t="str">
            <v>B272-400-AS-180-LD-002</v>
          </cell>
          <cell r="E6632" t="str">
            <v>P-779(2/3)</v>
          </cell>
        </row>
        <row r="6633">
          <cell r="B6633" t="str">
            <v>B272-400-AS-180-LD-002</v>
          </cell>
          <cell r="E6633" t="str">
            <v>P-779(3/3)</v>
          </cell>
        </row>
        <row r="6634">
          <cell r="B6634" t="str">
            <v>B272-400-AS-180-LD-002</v>
          </cell>
          <cell r="E6634" t="str">
            <v>P-1064(1/2)</v>
          </cell>
        </row>
        <row r="6635">
          <cell r="B6635" t="str">
            <v>B272-400-AS-180-LD-002</v>
          </cell>
          <cell r="E6635" t="str">
            <v>P-1064(2/2)</v>
          </cell>
        </row>
        <row r="6636">
          <cell r="B6636" t="str">
            <v>B272-400-AS-180-LD-002</v>
          </cell>
          <cell r="E6636" t="str">
            <v>PX-52</v>
          </cell>
        </row>
        <row r="6637">
          <cell r="B6637" t="str">
            <v>B272-400-AS-180-LD-002</v>
          </cell>
          <cell r="E6637" t="str">
            <v>R-7(1/15)</v>
          </cell>
        </row>
        <row r="6638">
          <cell r="B6638" t="str">
            <v>B272-400-AS-180-LD-002</v>
          </cell>
          <cell r="E6638" t="str">
            <v>R-7(2/15)</v>
          </cell>
        </row>
        <row r="6639">
          <cell r="B6639" t="str">
            <v>B272-400-AS-180-LD-002</v>
          </cell>
          <cell r="E6639" t="str">
            <v>R-7(3/15)</v>
          </cell>
        </row>
        <row r="6640">
          <cell r="B6640" t="str">
            <v>B272-400-AS-180-LD-002</v>
          </cell>
          <cell r="E6640" t="str">
            <v>R-7(4/15)</v>
          </cell>
        </row>
        <row r="6641">
          <cell r="B6641" t="str">
            <v>B272-400-AS-180-LD-002</v>
          </cell>
          <cell r="E6641" t="str">
            <v>R-7(5/15)</v>
          </cell>
        </row>
        <row r="6642">
          <cell r="B6642" t="str">
            <v>B272-400-AS-180-LD-002</v>
          </cell>
          <cell r="E6642" t="str">
            <v>R-7(6/15)</v>
          </cell>
        </row>
        <row r="6643">
          <cell r="B6643" t="str">
            <v>B272-400-AS-180-LD-002</v>
          </cell>
          <cell r="E6643" t="str">
            <v>R-7(7/15)</v>
          </cell>
        </row>
        <row r="6644">
          <cell r="B6644" t="str">
            <v>B272-400-AS-180-LD-002</v>
          </cell>
          <cell r="E6644" t="str">
            <v>R-7(8/15)</v>
          </cell>
        </row>
        <row r="6645">
          <cell r="B6645" t="str">
            <v>B272-400-AS-180-LD-002</v>
          </cell>
          <cell r="E6645" t="str">
            <v>R-7(9/15)</v>
          </cell>
        </row>
        <row r="6646">
          <cell r="B6646" t="str">
            <v>B272-400-AS-180-LD-002</v>
          </cell>
          <cell r="E6646" t="str">
            <v>R-7(10/15)</v>
          </cell>
        </row>
        <row r="6647">
          <cell r="B6647" t="str">
            <v>B272-400-AS-180-LD-002</v>
          </cell>
          <cell r="E6647" t="str">
            <v>R-7(11/15)</v>
          </cell>
        </row>
        <row r="6648">
          <cell r="B6648" t="str">
            <v>B272-400-AS-180-LD-002</v>
          </cell>
          <cell r="E6648" t="str">
            <v>R-7(12/15)</v>
          </cell>
        </row>
        <row r="6649">
          <cell r="B6649" t="str">
            <v>B272-400-AS-180-LD-002</v>
          </cell>
          <cell r="E6649" t="str">
            <v>R-7(13/15)</v>
          </cell>
        </row>
        <row r="6650">
          <cell r="B6650" t="str">
            <v>B272-400-AS-180-LD-002</v>
          </cell>
          <cell r="E6650" t="str">
            <v>R-7(14/15)</v>
          </cell>
        </row>
        <row r="6651">
          <cell r="B6651" t="str">
            <v>B272-400-AS-180-LD-002</v>
          </cell>
          <cell r="E6651" t="str">
            <v>R-7(15/15)</v>
          </cell>
        </row>
        <row r="6652">
          <cell r="B6652" t="str">
            <v>B272-400-AS-180-LD-002</v>
          </cell>
          <cell r="E6652" t="str">
            <v>W-69(1/4)</v>
          </cell>
        </row>
        <row r="6653">
          <cell r="B6653" t="str">
            <v>B272-400-AS-180-LD-002</v>
          </cell>
          <cell r="E6653" t="str">
            <v>W-69(2/4)</v>
          </cell>
        </row>
        <row r="6654">
          <cell r="B6654" t="str">
            <v>B272-400-AS-180-LD-002</v>
          </cell>
          <cell r="E6654" t="str">
            <v>W-69(3/4)</v>
          </cell>
        </row>
        <row r="6655">
          <cell r="B6655" t="str">
            <v>B272-400-AS-180-LD-002</v>
          </cell>
          <cell r="E6655" t="str">
            <v>W-69(4/4)</v>
          </cell>
        </row>
        <row r="6656">
          <cell r="B6656" t="str">
            <v>B272-400-AS-180-LD-002</v>
          </cell>
          <cell r="E6656" t="str">
            <v>B1240</v>
          </cell>
        </row>
        <row r="6657">
          <cell r="B6657" t="str">
            <v>B272-400-AS-180-LD-002</v>
          </cell>
          <cell r="E6657" t="str">
            <v>B1245</v>
          </cell>
        </row>
        <row r="6658">
          <cell r="B6658" t="str">
            <v>B272-400-AS-180-LD-002</v>
          </cell>
          <cell r="E6658" t="str">
            <v>B1655</v>
          </cell>
        </row>
        <row r="6659">
          <cell r="B6659" t="str">
            <v>B272-400-AS-180-LD-003</v>
          </cell>
        </row>
        <row r="6660">
          <cell r="B6660" t="str">
            <v>B272-400-AS-180-LD-003</v>
          </cell>
          <cell r="E6660" t="str">
            <v>A-48</v>
          </cell>
        </row>
        <row r="6661">
          <cell r="B6661" t="str">
            <v>B272-400-AS-180-LD-003</v>
          </cell>
          <cell r="E6661" t="str">
            <v>A-48-A</v>
          </cell>
        </row>
        <row r="6662">
          <cell r="B6662" t="str">
            <v>B272-400-AS-180-LD-003</v>
          </cell>
          <cell r="E6662" t="str">
            <v>A-48-B</v>
          </cell>
        </row>
        <row r="6663">
          <cell r="B6663" t="str">
            <v>B272-400-AS-180-LD-003</v>
          </cell>
          <cell r="E6663" t="str">
            <v>A-49</v>
          </cell>
        </row>
        <row r="6664">
          <cell r="B6664" t="str">
            <v>B272-400-AS-180-LD-003</v>
          </cell>
          <cell r="E6664" t="str">
            <v>A-49-A</v>
          </cell>
        </row>
        <row r="6665">
          <cell r="B6665" t="str">
            <v>B272-400-AS-180-LD-003</v>
          </cell>
          <cell r="E6665" t="str">
            <v>A-49-B</v>
          </cell>
        </row>
        <row r="6666">
          <cell r="B6666" t="str">
            <v>B272-400-AS-180-LD-003</v>
          </cell>
          <cell r="E6666" t="str">
            <v>A-126(1/2)</v>
          </cell>
        </row>
        <row r="6667">
          <cell r="B6667" t="str">
            <v>B272-400-AS-180-LD-003</v>
          </cell>
          <cell r="E6667" t="str">
            <v>A-126(2/2)</v>
          </cell>
        </row>
        <row r="6668">
          <cell r="B6668" t="str">
            <v>B272-400-AS-180-LD-003</v>
          </cell>
          <cell r="E6668" t="str">
            <v>D-78(1/2)</v>
          </cell>
        </row>
        <row r="6669">
          <cell r="B6669" t="str">
            <v>B272-400-AS-180-LD-003</v>
          </cell>
          <cell r="E6669" t="str">
            <v>D-78(2/2)</v>
          </cell>
        </row>
        <row r="6670">
          <cell r="B6670" t="str">
            <v>B272-400-AS-180-LD-003</v>
          </cell>
          <cell r="E6670" t="str">
            <v>GX-49</v>
          </cell>
        </row>
        <row r="6671">
          <cell r="B6671" t="str">
            <v>B272-400-AS-180-LD-003</v>
          </cell>
          <cell r="E6671" t="str">
            <v>GX-50(1/4)</v>
          </cell>
        </row>
        <row r="6672">
          <cell r="B6672" t="str">
            <v>B272-400-AS-180-LD-003</v>
          </cell>
          <cell r="E6672" t="str">
            <v>GX-50(2/4)</v>
          </cell>
        </row>
        <row r="6673">
          <cell r="B6673" t="str">
            <v>B272-400-AS-180-LD-003</v>
          </cell>
          <cell r="E6673" t="str">
            <v>GX-50(3/4)</v>
          </cell>
        </row>
        <row r="6674">
          <cell r="B6674" t="str">
            <v>B272-400-AS-180-LD-003</v>
          </cell>
          <cell r="E6674" t="str">
            <v>GX-50(4/4)</v>
          </cell>
        </row>
        <row r="6675">
          <cell r="B6675" t="str">
            <v>B272-400-AS-180-LD-003</v>
          </cell>
          <cell r="E6675" t="str">
            <v>GX-51(1/2)</v>
          </cell>
        </row>
        <row r="6676">
          <cell r="B6676" t="str">
            <v>B272-400-AS-180-LD-003</v>
          </cell>
          <cell r="E6676" t="str">
            <v>GX-51(2/2)</v>
          </cell>
        </row>
        <row r="6677">
          <cell r="B6677" t="str">
            <v>B272-400-AS-180-LD-003</v>
          </cell>
          <cell r="E6677" t="str">
            <v>P-275(1/2)</v>
          </cell>
        </row>
        <row r="6678">
          <cell r="B6678" t="str">
            <v>B272-400-AS-180-LD-003</v>
          </cell>
          <cell r="E6678" t="str">
            <v>P-275(2/2)</v>
          </cell>
        </row>
        <row r="6679">
          <cell r="B6679" t="str">
            <v>B272-400-AS-180-LD-003</v>
          </cell>
          <cell r="E6679" t="str">
            <v>P-665</v>
          </cell>
        </row>
        <row r="6680">
          <cell r="B6680" t="str">
            <v>B272-400-AS-180-LD-003</v>
          </cell>
          <cell r="E6680" t="str">
            <v>P-735(1/2)</v>
          </cell>
        </row>
        <row r="6681">
          <cell r="B6681" t="str">
            <v>B272-400-AS-180-LD-003</v>
          </cell>
          <cell r="E6681" t="str">
            <v>P-735(2/2)</v>
          </cell>
        </row>
        <row r="6682">
          <cell r="B6682" t="str">
            <v>B272-400-AS-180-LD-003</v>
          </cell>
          <cell r="E6682" t="str">
            <v>P-736</v>
          </cell>
        </row>
        <row r="6683">
          <cell r="B6683" t="str">
            <v>B272-400-AS-180-LD-003</v>
          </cell>
          <cell r="E6683" t="str">
            <v>P-737</v>
          </cell>
        </row>
        <row r="6684">
          <cell r="B6684" t="str">
            <v>B272-400-AS-180-LD-003</v>
          </cell>
          <cell r="E6684" t="str">
            <v>P-738(1/2)</v>
          </cell>
        </row>
        <row r="6685">
          <cell r="B6685" t="str">
            <v>B272-400-AS-180-LD-003</v>
          </cell>
          <cell r="E6685" t="str">
            <v>P-738(2/2)</v>
          </cell>
        </row>
        <row r="6686">
          <cell r="B6686" t="str">
            <v>B272-400-AS-180-LD-003</v>
          </cell>
          <cell r="E6686" t="str">
            <v>PX-50</v>
          </cell>
        </row>
        <row r="6687">
          <cell r="B6687" t="str">
            <v>B272-400-AS-180-LD-003</v>
          </cell>
          <cell r="E6687" t="str">
            <v>R-18(1/22)</v>
          </cell>
        </row>
        <row r="6688">
          <cell r="B6688" t="str">
            <v>B272-400-AS-180-LD-003</v>
          </cell>
          <cell r="E6688" t="str">
            <v>R-18(2/22)</v>
          </cell>
        </row>
        <row r="6689">
          <cell r="B6689" t="str">
            <v>B272-400-AS-180-LD-003</v>
          </cell>
          <cell r="E6689" t="str">
            <v>R-18(3/22)</v>
          </cell>
        </row>
        <row r="6690">
          <cell r="B6690" t="str">
            <v>B272-400-AS-180-LD-003</v>
          </cell>
          <cell r="E6690" t="str">
            <v>R-18(4/22)</v>
          </cell>
        </row>
        <row r="6691">
          <cell r="B6691" t="str">
            <v>B272-400-AS-180-LD-003</v>
          </cell>
          <cell r="E6691" t="str">
            <v>R-18(5/22)</v>
          </cell>
        </row>
        <row r="6692">
          <cell r="B6692" t="str">
            <v>B272-400-AS-180-LD-003</v>
          </cell>
          <cell r="E6692" t="str">
            <v>R-18(6/22)</v>
          </cell>
        </row>
        <row r="6693">
          <cell r="B6693" t="str">
            <v>B272-400-AS-180-LD-003</v>
          </cell>
          <cell r="E6693" t="str">
            <v>R-18(7/22)</v>
          </cell>
        </row>
        <row r="6694">
          <cell r="B6694" t="str">
            <v>B272-400-AS-180-LD-003</v>
          </cell>
          <cell r="E6694" t="str">
            <v>R-18(8/22)</v>
          </cell>
        </row>
        <row r="6695">
          <cell r="B6695" t="str">
            <v>B272-400-AS-180-LD-003</v>
          </cell>
          <cell r="E6695" t="str">
            <v>R-18(9/22)</v>
          </cell>
        </row>
        <row r="6696">
          <cell r="B6696" t="str">
            <v>B272-400-AS-180-LD-003</v>
          </cell>
          <cell r="E6696" t="str">
            <v>R-18(10/22)</v>
          </cell>
        </row>
        <row r="6697">
          <cell r="B6697" t="str">
            <v>B272-400-AS-180-LD-003</v>
          </cell>
          <cell r="E6697" t="str">
            <v>R-18(11/22)</v>
          </cell>
        </row>
        <row r="6698">
          <cell r="B6698" t="str">
            <v>B272-400-AS-180-LD-003</v>
          </cell>
          <cell r="E6698" t="str">
            <v>R-18(12/22)</v>
          </cell>
        </row>
        <row r="6699">
          <cell r="B6699" t="str">
            <v>B272-400-AS-180-LD-003</v>
          </cell>
          <cell r="E6699" t="str">
            <v>R-18(13/22)</v>
          </cell>
        </row>
        <row r="6700">
          <cell r="B6700" t="str">
            <v>B272-400-AS-180-LD-003</v>
          </cell>
          <cell r="E6700" t="str">
            <v>R-18(14/22)</v>
          </cell>
        </row>
        <row r="6701">
          <cell r="B6701" t="str">
            <v>B272-400-AS-180-LD-003</v>
          </cell>
          <cell r="E6701" t="str">
            <v>R-18(15/22)</v>
          </cell>
        </row>
        <row r="6702">
          <cell r="B6702" t="str">
            <v>B272-400-AS-180-LD-003</v>
          </cell>
          <cell r="E6702" t="str">
            <v>R-18(16/22)</v>
          </cell>
        </row>
        <row r="6703">
          <cell r="B6703" t="str">
            <v>B272-400-AS-180-LD-003</v>
          </cell>
          <cell r="E6703" t="str">
            <v>R-18(17/22)</v>
          </cell>
        </row>
        <row r="6704">
          <cell r="B6704" t="str">
            <v>B272-400-AS-180-LD-003</v>
          </cell>
          <cell r="E6704" t="str">
            <v>R-18(18/22)</v>
          </cell>
        </row>
        <row r="6705">
          <cell r="B6705" t="str">
            <v>B272-400-AS-180-LD-003</v>
          </cell>
          <cell r="E6705" t="str">
            <v>R-18(19/22)</v>
          </cell>
        </row>
        <row r="6706">
          <cell r="B6706" t="str">
            <v>B272-400-AS-180-LD-003</v>
          </cell>
          <cell r="E6706" t="str">
            <v>R-18(20/22)</v>
          </cell>
        </row>
        <row r="6707">
          <cell r="B6707" t="str">
            <v>B272-400-AS-180-LD-003</v>
          </cell>
          <cell r="E6707" t="str">
            <v>R-18(21/22)</v>
          </cell>
        </row>
        <row r="6708">
          <cell r="B6708" t="str">
            <v>B272-400-AS-180-LD-003</v>
          </cell>
          <cell r="E6708" t="str">
            <v>R-18(22/22)</v>
          </cell>
        </row>
        <row r="6709">
          <cell r="B6709" t="str">
            <v>B272-400-AS-180-LD-003</v>
          </cell>
          <cell r="E6709" t="str">
            <v>W-69(1/4)</v>
          </cell>
        </row>
        <row r="6710">
          <cell r="B6710" t="str">
            <v>B272-400-AS-180-LD-003</v>
          </cell>
          <cell r="E6710" t="str">
            <v>W-69(2/4)</v>
          </cell>
        </row>
        <row r="6711">
          <cell r="B6711" t="str">
            <v>B272-400-AS-180-LD-003</v>
          </cell>
          <cell r="E6711" t="str">
            <v>W-69(3/4)</v>
          </cell>
        </row>
        <row r="6712">
          <cell r="B6712" t="str">
            <v>B272-400-AS-180-LD-003</v>
          </cell>
          <cell r="E6712" t="str">
            <v>W-69(4/4)</v>
          </cell>
        </row>
        <row r="6713">
          <cell r="B6713" t="str">
            <v>B272-400-AS-180-LD-003</v>
          </cell>
          <cell r="E6713" t="str">
            <v>B1240</v>
          </cell>
        </row>
        <row r="6714">
          <cell r="B6714" t="str">
            <v>B272-400-AS-180-LD-003</v>
          </cell>
          <cell r="E6714" t="str">
            <v>B1245</v>
          </cell>
        </row>
        <row r="6715">
          <cell r="B6715" t="str">
            <v>B272-400-AS-180-LD-003</v>
          </cell>
          <cell r="E6715" t="str">
            <v>B1650</v>
          </cell>
        </row>
        <row r="6716">
          <cell r="B6716" t="str">
            <v>B272-400-AS-180-LD-003</v>
          </cell>
          <cell r="E6716" t="str">
            <v>B1655</v>
          </cell>
        </row>
        <row r="6717">
          <cell r="B6717" t="str">
            <v>B272-400-AS-180-LD-004</v>
          </cell>
        </row>
        <row r="6718">
          <cell r="B6718" t="str">
            <v>B272-400-AS-180-LD-004</v>
          </cell>
          <cell r="E6718" t="str">
            <v>A-126(1/2)</v>
          </cell>
        </row>
        <row r="6719">
          <cell r="B6719" t="str">
            <v>B272-400-AS-180-LD-004</v>
          </cell>
          <cell r="E6719" t="str">
            <v>A-126(2/2)</v>
          </cell>
        </row>
        <row r="6720">
          <cell r="B6720" t="str">
            <v>B272-400-AS-180-LD-004</v>
          </cell>
          <cell r="E6720" t="str">
            <v>D-78(1/2)</v>
          </cell>
        </row>
        <row r="6721">
          <cell r="B6721" t="str">
            <v>B272-400-AS-180-LD-004</v>
          </cell>
          <cell r="E6721" t="str">
            <v>D-78(2/2)</v>
          </cell>
        </row>
        <row r="6722">
          <cell r="B6722" t="str">
            <v>B272-400-AS-180-LD-004</v>
          </cell>
          <cell r="E6722" t="str">
            <v>G-43</v>
          </cell>
        </row>
        <row r="6723">
          <cell r="B6723" t="str">
            <v>B272-400-AS-180-LD-004</v>
          </cell>
          <cell r="E6723" t="str">
            <v>G-54</v>
          </cell>
        </row>
        <row r="6724">
          <cell r="B6724" t="str">
            <v>B272-400-AS-180-LD-004</v>
          </cell>
          <cell r="E6724" t="str">
            <v>GX-38(1/2)</v>
          </cell>
        </row>
        <row r="6725">
          <cell r="B6725" t="str">
            <v>B272-400-AS-180-LD-004</v>
          </cell>
          <cell r="E6725" t="str">
            <v>GX-38(2/2)</v>
          </cell>
        </row>
        <row r="6726">
          <cell r="B6726" t="str">
            <v>B272-400-AS-180-LD-004</v>
          </cell>
          <cell r="E6726" t="str">
            <v>GX-45(1/3)</v>
          </cell>
        </row>
        <row r="6727">
          <cell r="B6727" t="str">
            <v>B272-400-AS-180-LD-004</v>
          </cell>
          <cell r="E6727" t="str">
            <v>GX-45(2/3)</v>
          </cell>
        </row>
        <row r="6728">
          <cell r="B6728" t="str">
            <v>B272-400-AS-180-LD-004</v>
          </cell>
          <cell r="E6728" t="str">
            <v>GX-45(3/3)</v>
          </cell>
        </row>
        <row r="6729">
          <cell r="B6729" t="str">
            <v>B272-400-AS-180-LD-004</v>
          </cell>
          <cell r="E6729" t="str">
            <v>GX-146</v>
          </cell>
        </row>
        <row r="6730">
          <cell r="B6730" t="str">
            <v>B272-400-AS-180-LD-004</v>
          </cell>
          <cell r="E6730" t="str">
            <v>P-275(1/2)</v>
          </cell>
        </row>
        <row r="6731">
          <cell r="B6731" t="str">
            <v>B272-400-AS-180-LD-004</v>
          </cell>
          <cell r="E6731" t="str">
            <v>P-275(2/2)</v>
          </cell>
        </row>
        <row r="6732">
          <cell r="B6732" t="str">
            <v>B272-400-AS-180-LD-004</v>
          </cell>
          <cell r="E6732" t="str">
            <v>P-665</v>
          </cell>
        </row>
        <row r="6733">
          <cell r="B6733" t="str">
            <v>B272-400-AS-180-LD-004</v>
          </cell>
          <cell r="E6733" t="str">
            <v>P-1027(1/2)</v>
          </cell>
        </row>
        <row r="6734">
          <cell r="B6734" t="str">
            <v>B272-400-AS-180-LD-004</v>
          </cell>
          <cell r="E6734" t="str">
            <v>P-1027(2/2)</v>
          </cell>
        </row>
        <row r="6735">
          <cell r="B6735" t="str">
            <v>B272-400-AS-180-LD-004</v>
          </cell>
          <cell r="E6735" t="str">
            <v>P-1029</v>
          </cell>
        </row>
        <row r="6736">
          <cell r="B6736" t="str">
            <v>B272-400-AS-180-LD-004</v>
          </cell>
          <cell r="E6736" t="str">
            <v>P-1035</v>
          </cell>
        </row>
        <row r="6737">
          <cell r="B6737" t="str">
            <v>B272-400-AS-180-LD-004</v>
          </cell>
          <cell r="E6737" t="str">
            <v>P-1036(1/2)</v>
          </cell>
        </row>
        <row r="6738">
          <cell r="B6738" t="str">
            <v>B272-400-AS-180-LD-004</v>
          </cell>
          <cell r="E6738" t="str">
            <v>P-1036(2/2)</v>
          </cell>
        </row>
        <row r="6739">
          <cell r="B6739" t="str">
            <v>B272-400-AS-180-LD-004</v>
          </cell>
          <cell r="E6739" t="str">
            <v>PX-73</v>
          </cell>
        </row>
        <row r="6740">
          <cell r="B6740" t="str">
            <v>B272-400-AS-180-LD-004</v>
          </cell>
          <cell r="E6740" t="str">
            <v>R-7(1/19)</v>
          </cell>
        </row>
        <row r="6741">
          <cell r="B6741" t="str">
            <v>B272-400-AS-180-LD-004</v>
          </cell>
          <cell r="E6741" t="str">
            <v>R-7(2/19)</v>
          </cell>
        </row>
        <row r="6742">
          <cell r="B6742" t="str">
            <v>B272-400-AS-180-LD-004</v>
          </cell>
          <cell r="E6742" t="str">
            <v>R-7(3/19)</v>
          </cell>
        </row>
        <row r="6743">
          <cell r="B6743" t="str">
            <v>B272-400-AS-180-LD-004</v>
          </cell>
          <cell r="E6743" t="str">
            <v>R-7(4/19)</v>
          </cell>
        </row>
        <row r="6744">
          <cell r="B6744" t="str">
            <v>B272-400-AS-180-LD-004</v>
          </cell>
          <cell r="E6744" t="str">
            <v>R-7(5/19)</v>
          </cell>
        </row>
        <row r="6745">
          <cell r="B6745" t="str">
            <v>B272-400-AS-180-LD-004</v>
          </cell>
          <cell r="E6745" t="str">
            <v>R-7(6/19)</v>
          </cell>
        </row>
        <row r="6746">
          <cell r="B6746" t="str">
            <v>B272-400-AS-180-LD-004</v>
          </cell>
          <cell r="E6746" t="str">
            <v>R-7(7/19)</v>
          </cell>
        </row>
        <row r="6747">
          <cell r="B6747" t="str">
            <v>B272-400-AS-180-LD-004</v>
          </cell>
          <cell r="E6747" t="str">
            <v>R-7(8/19)</v>
          </cell>
        </row>
        <row r="6748">
          <cell r="B6748" t="str">
            <v>B272-400-AS-180-LD-004</v>
          </cell>
          <cell r="E6748" t="str">
            <v>R-7(9/19)</v>
          </cell>
        </row>
        <row r="6749">
          <cell r="B6749" t="str">
            <v>B272-400-AS-180-LD-004</v>
          </cell>
          <cell r="E6749" t="str">
            <v>R-7(10/19)</v>
          </cell>
        </row>
        <row r="6750">
          <cell r="B6750" t="str">
            <v>B272-400-AS-180-LD-004</v>
          </cell>
          <cell r="E6750" t="str">
            <v>R-7(11/19)</v>
          </cell>
        </row>
        <row r="6751">
          <cell r="B6751" t="str">
            <v>B272-400-AS-180-LD-004</v>
          </cell>
          <cell r="E6751" t="str">
            <v>R-7(12/19)</v>
          </cell>
        </row>
        <row r="6752">
          <cell r="B6752" t="str">
            <v>B272-400-AS-180-LD-004</v>
          </cell>
          <cell r="E6752" t="str">
            <v>R-7(13/19)</v>
          </cell>
        </row>
        <row r="6753">
          <cell r="B6753" t="str">
            <v>B272-400-AS-180-LD-004</v>
          </cell>
          <cell r="E6753" t="str">
            <v>R-7(14/19)</v>
          </cell>
        </row>
        <row r="6754">
          <cell r="B6754" t="str">
            <v>B272-400-AS-180-LD-004</v>
          </cell>
          <cell r="E6754" t="str">
            <v>R-7(15/19)</v>
          </cell>
        </row>
        <row r="6755">
          <cell r="B6755" t="str">
            <v>B272-400-AS-180-LD-004</v>
          </cell>
          <cell r="E6755" t="str">
            <v>R-7(16/19)</v>
          </cell>
        </row>
        <row r="6756">
          <cell r="B6756" t="str">
            <v>B272-400-AS-180-LD-004</v>
          </cell>
          <cell r="E6756" t="str">
            <v>R-7(17/19)</v>
          </cell>
        </row>
        <row r="6757">
          <cell r="B6757" t="str">
            <v>B272-400-AS-180-LD-004</v>
          </cell>
          <cell r="E6757" t="str">
            <v>R-7(18/19)</v>
          </cell>
        </row>
        <row r="6758">
          <cell r="B6758" t="str">
            <v>B272-400-AS-180-LD-004</v>
          </cell>
          <cell r="E6758" t="str">
            <v>R-7(19/19)</v>
          </cell>
        </row>
        <row r="6759">
          <cell r="B6759" t="str">
            <v>B272-400-AS-180-LD-004</v>
          </cell>
          <cell r="E6759" t="str">
            <v>W-69(1/4)</v>
          </cell>
        </row>
        <row r="6760">
          <cell r="B6760" t="str">
            <v>B272-400-AS-180-LD-004</v>
          </cell>
          <cell r="E6760" t="str">
            <v>W-69(2/4)</v>
          </cell>
        </row>
        <row r="6761">
          <cell r="B6761" t="str">
            <v>B272-400-AS-180-LD-004</v>
          </cell>
          <cell r="E6761" t="str">
            <v>W-69(3/4)</v>
          </cell>
        </row>
        <row r="6762">
          <cell r="B6762" t="str">
            <v>B272-400-AS-180-LD-004</v>
          </cell>
          <cell r="E6762" t="str">
            <v>W-69(4/4)</v>
          </cell>
        </row>
        <row r="6763">
          <cell r="B6763" t="str">
            <v>B272-400-AS-180-LD-004</v>
          </cell>
          <cell r="E6763" t="str">
            <v>B1240</v>
          </cell>
        </row>
        <row r="6764">
          <cell r="B6764" t="str">
            <v>B272-400-AS-180-LD-004</v>
          </cell>
          <cell r="E6764" t="str">
            <v>B1245</v>
          </cell>
        </row>
        <row r="6765">
          <cell r="B6765" t="str">
            <v>B272-400-AS-180-LD-004</v>
          </cell>
          <cell r="E6765" t="str">
            <v>B1650</v>
          </cell>
        </row>
        <row r="6766">
          <cell r="B6766" t="str">
            <v>B272-400-AS-180-LD-004</v>
          </cell>
          <cell r="E6766" t="str">
            <v>B1655</v>
          </cell>
        </row>
        <row r="6767">
          <cell r="B6767" t="str">
            <v>B272-400-AS-180-LD-005</v>
          </cell>
        </row>
        <row r="6768">
          <cell r="B6768" t="str">
            <v>B272-400-AS-180-LD-005</v>
          </cell>
          <cell r="E6768" t="str">
            <v>A-126(1/2)</v>
          </cell>
        </row>
        <row r="6769">
          <cell r="B6769" t="str">
            <v>B272-400-AS-180-LD-005</v>
          </cell>
          <cell r="E6769" t="str">
            <v>A-126(2/2)</v>
          </cell>
        </row>
        <row r="6770">
          <cell r="B6770" t="str">
            <v>B272-400-AS-180-LD-005</v>
          </cell>
          <cell r="E6770" t="str">
            <v>D-78(1/2)</v>
          </cell>
        </row>
        <row r="6771">
          <cell r="B6771" t="str">
            <v>B272-400-AS-180-LD-005</v>
          </cell>
          <cell r="E6771" t="str">
            <v>D-78(2/2)</v>
          </cell>
        </row>
        <row r="6772">
          <cell r="B6772" t="str">
            <v>B272-400-AS-180-LD-005</v>
          </cell>
          <cell r="E6772" t="str">
            <v>G-44</v>
          </cell>
        </row>
        <row r="6773">
          <cell r="B6773" t="str">
            <v>B272-400-AS-180-LD-005</v>
          </cell>
          <cell r="E6773" t="str">
            <v>G-45</v>
          </cell>
        </row>
        <row r="6774">
          <cell r="B6774" t="str">
            <v>B272-400-AS-180-LD-005</v>
          </cell>
          <cell r="E6774" t="str">
            <v>GX-52(1/2)</v>
          </cell>
        </row>
        <row r="6775">
          <cell r="B6775" t="str">
            <v>B272-400-AS-180-LD-005</v>
          </cell>
          <cell r="E6775" t="str">
            <v>GX-52(2/2)</v>
          </cell>
        </row>
        <row r="6776">
          <cell r="B6776" t="str">
            <v>B272-400-AS-180-LD-005</v>
          </cell>
          <cell r="E6776" t="str">
            <v>GX-53</v>
          </cell>
        </row>
        <row r="6777">
          <cell r="B6777" t="str">
            <v>B272-400-AS-180-LD-005</v>
          </cell>
          <cell r="E6777" t="str">
            <v>P-275(1/2)</v>
          </cell>
        </row>
        <row r="6778">
          <cell r="B6778" t="str">
            <v>B272-400-AS-180-LD-005</v>
          </cell>
          <cell r="E6778" t="str">
            <v>P-275(2/2)</v>
          </cell>
        </row>
        <row r="6779">
          <cell r="B6779" t="str">
            <v>B272-400-AS-180-LD-005</v>
          </cell>
          <cell r="E6779" t="str">
            <v>P-665</v>
          </cell>
        </row>
        <row r="6780">
          <cell r="B6780" t="str">
            <v>B272-400-AS-180-LD-005</v>
          </cell>
          <cell r="E6780" t="str">
            <v>P-745(1/3)</v>
          </cell>
        </row>
        <row r="6781">
          <cell r="B6781" t="str">
            <v>B272-400-AS-180-LD-005</v>
          </cell>
          <cell r="E6781" t="str">
            <v>P-745(2/3)</v>
          </cell>
        </row>
        <row r="6782">
          <cell r="B6782" t="str">
            <v>B272-400-AS-180-LD-005</v>
          </cell>
          <cell r="E6782" t="str">
            <v>P-745(3/3)</v>
          </cell>
        </row>
        <row r="6783">
          <cell r="B6783" t="str">
            <v>B272-400-AS-180-LD-005</v>
          </cell>
          <cell r="E6783" t="str">
            <v>P-1206</v>
          </cell>
        </row>
        <row r="6784">
          <cell r="B6784" t="str">
            <v>B272-400-AS-180-LD-005</v>
          </cell>
          <cell r="E6784" t="str">
            <v>PX-51</v>
          </cell>
        </row>
        <row r="6785">
          <cell r="B6785" t="str">
            <v>B272-400-AS-180-LD-005</v>
          </cell>
          <cell r="E6785" t="str">
            <v>R-7(1/13)</v>
          </cell>
        </row>
        <row r="6786">
          <cell r="B6786" t="str">
            <v>B272-400-AS-180-LD-005</v>
          </cell>
          <cell r="E6786" t="str">
            <v>R-7(2/13)</v>
          </cell>
        </row>
        <row r="6787">
          <cell r="B6787" t="str">
            <v>B272-400-AS-180-LD-005</v>
          </cell>
          <cell r="E6787" t="str">
            <v>R-7(3/13)</v>
          </cell>
        </row>
        <row r="6788">
          <cell r="B6788" t="str">
            <v>B272-400-AS-180-LD-005</v>
          </cell>
          <cell r="E6788" t="str">
            <v>R-7(4/13)</v>
          </cell>
        </row>
        <row r="6789">
          <cell r="B6789" t="str">
            <v>B272-400-AS-180-LD-005</v>
          </cell>
          <cell r="E6789" t="str">
            <v>R-7(5/13)</v>
          </cell>
        </row>
        <row r="6790">
          <cell r="B6790" t="str">
            <v>B272-400-AS-180-LD-005</v>
          </cell>
          <cell r="E6790" t="str">
            <v>R-7(6/13)</v>
          </cell>
        </row>
        <row r="6791">
          <cell r="B6791" t="str">
            <v>B272-400-AS-180-LD-005</v>
          </cell>
          <cell r="E6791" t="str">
            <v>R-7(7/13)</v>
          </cell>
        </row>
        <row r="6792">
          <cell r="B6792" t="str">
            <v>B272-400-AS-180-LD-005</v>
          </cell>
          <cell r="E6792" t="str">
            <v>R-7(8/13)</v>
          </cell>
        </row>
        <row r="6793">
          <cell r="B6793" t="str">
            <v>B272-400-AS-180-LD-005</v>
          </cell>
          <cell r="E6793" t="str">
            <v>R-7(9/13)</v>
          </cell>
        </row>
        <row r="6794">
          <cell r="B6794" t="str">
            <v>B272-400-AS-180-LD-005</v>
          </cell>
          <cell r="E6794" t="str">
            <v>R-7(10/13)</v>
          </cell>
        </row>
        <row r="6795">
          <cell r="B6795" t="str">
            <v>B272-400-AS-180-LD-005</v>
          </cell>
          <cell r="E6795" t="str">
            <v>R-7(11/13)</v>
          </cell>
        </row>
        <row r="6796">
          <cell r="B6796" t="str">
            <v>B272-400-AS-180-LD-005</v>
          </cell>
          <cell r="E6796" t="str">
            <v>R-7(12/13)</v>
          </cell>
        </row>
        <row r="6797">
          <cell r="B6797" t="str">
            <v>B272-400-AS-180-LD-005</v>
          </cell>
          <cell r="E6797" t="str">
            <v>R-7(13/13)</v>
          </cell>
        </row>
        <row r="6798">
          <cell r="B6798" t="str">
            <v>B272-400-AS-180-LD-005</v>
          </cell>
          <cell r="E6798" t="str">
            <v>W-69(1/4)</v>
          </cell>
        </row>
        <row r="6799">
          <cell r="B6799" t="str">
            <v>B272-400-AS-180-LD-005</v>
          </cell>
          <cell r="E6799" t="str">
            <v>W-69(2/4)</v>
          </cell>
        </row>
        <row r="6800">
          <cell r="B6800" t="str">
            <v>B272-400-AS-180-LD-005</v>
          </cell>
          <cell r="E6800" t="str">
            <v>W-69(3/4)</v>
          </cell>
        </row>
        <row r="6801">
          <cell r="B6801" t="str">
            <v>B272-400-AS-180-LD-005</v>
          </cell>
          <cell r="E6801" t="str">
            <v>W-69(4/4)</v>
          </cell>
        </row>
        <row r="6802">
          <cell r="B6802" t="str">
            <v>B272-400-AS-180-LD-005</v>
          </cell>
          <cell r="E6802" t="str">
            <v>B1240</v>
          </cell>
        </row>
        <row r="6803">
          <cell r="B6803" t="str">
            <v>B272-400-AS-180-LD-005</v>
          </cell>
          <cell r="E6803" t="str">
            <v>B1655</v>
          </cell>
        </row>
        <row r="6804">
          <cell r="B6804" t="str">
            <v>B272-400-AS-180-LD-006</v>
          </cell>
        </row>
        <row r="6805">
          <cell r="B6805" t="str">
            <v>B272-400-AS-180-LD-006</v>
          </cell>
          <cell r="E6805" t="str">
            <v>A-126(1/2)</v>
          </cell>
        </row>
        <row r="6806">
          <cell r="B6806" t="str">
            <v>B272-400-AS-180-LD-006</v>
          </cell>
          <cell r="E6806" t="str">
            <v>A-126(2/2)</v>
          </cell>
        </row>
        <row r="6807">
          <cell r="B6807" t="str">
            <v>B272-400-AS-180-LD-006</v>
          </cell>
          <cell r="E6807" t="str">
            <v>D-78(1/2)</v>
          </cell>
        </row>
        <row r="6808">
          <cell r="B6808" t="str">
            <v>B272-400-AS-180-LD-006</v>
          </cell>
          <cell r="E6808" t="str">
            <v>D-78(2/2)</v>
          </cell>
        </row>
        <row r="6809">
          <cell r="B6809" t="str">
            <v>B272-400-AS-180-LD-006</v>
          </cell>
          <cell r="E6809" t="str">
            <v>GX-66</v>
          </cell>
        </row>
        <row r="6810">
          <cell r="B6810" t="str">
            <v>B272-400-AS-180-LD-006</v>
          </cell>
          <cell r="E6810" t="str">
            <v>GX-67</v>
          </cell>
        </row>
        <row r="6811">
          <cell r="B6811" t="str">
            <v>B272-400-AS-180-LD-006</v>
          </cell>
          <cell r="E6811" t="str">
            <v>R-7(1/4)</v>
          </cell>
        </row>
        <row r="6812">
          <cell r="B6812" t="str">
            <v>B272-400-AS-180-LD-006</v>
          </cell>
          <cell r="E6812" t="str">
            <v>R-7(2/4)</v>
          </cell>
        </row>
        <row r="6813">
          <cell r="B6813" t="str">
            <v>B272-400-AS-180-LD-006</v>
          </cell>
          <cell r="E6813" t="str">
            <v>R-7(3/4)</v>
          </cell>
        </row>
        <row r="6814">
          <cell r="B6814" t="str">
            <v>B272-400-AS-180-LD-006</v>
          </cell>
          <cell r="E6814" t="str">
            <v>R-7(4/4)</v>
          </cell>
        </row>
        <row r="6815">
          <cell r="B6815" t="str">
            <v>B272-400-AS-180-LD-006</v>
          </cell>
          <cell r="E6815" t="str">
            <v>W-69(1/4)</v>
          </cell>
        </row>
        <row r="6816">
          <cell r="B6816" t="str">
            <v>B272-400-AS-180-LD-006</v>
          </cell>
          <cell r="E6816" t="str">
            <v>W-69(2/4)</v>
          </cell>
        </row>
        <row r="6817">
          <cell r="B6817" t="str">
            <v>B272-400-AS-180-LD-006</v>
          </cell>
          <cell r="E6817" t="str">
            <v>W-69(3/4)</v>
          </cell>
        </row>
        <row r="6818">
          <cell r="B6818" t="str">
            <v>B272-400-AS-180-LD-006</v>
          </cell>
          <cell r="E6818" t="str">
            <v>W-69(4/4)</v>
          </cell>
        </row>
        <row r="6819">
          <cell r="B6819" t="str">
            <v>B272-400-AS-180-LD-006</v>
          </cell>
          <cell r="E6819" t="str">
            <v>B1655</v>
          </cell>
        </row>
        <row r="6820">
          <cell r="B6820" t="str">
            <v>B272-400-AS-180-LD-007</v>
          </cell>
        </row>
        <row r="6821">
          <cell r="B6821" t="str">
            <v>B272-400-AS-180-LD-007</v>
          </cell>
          <cell r="E6821" t="str">
            <v>G-22</v>
          </cell>
        </row>
        <row r="6822">
          <cell r="B6822" t="str">
            <v>B272-400-AS-180-LD-007</v>
          </cell>
          <cell r="E6822" t="str">
            <v>B1680</v>
          </cell>
        </row>
        <row r="6823">
          <cell r="B6823" t="str">
            <v>B272-400-AS-180-LD-007</v>
          </cell>
        </row>
        <row r="6824">
          <cell r="B6824" t="str">
            <v>B272-400-AS-180-LD-007</v>
          </cell>
          <cell r="E6824" t="str">
            <v>G-22</v>
          </cell>
        </row>
        <row r="6825">
          <cell r="B6825" t="str">
            <v>B272-400-AS-180-LD-007</v>
          </cell>
        </row>
        <row r="6826">
          <cell r="B6826" t="str">
            <v>B272-400-AS-180-LD-007</v>
          </cell>
          <cell r="E6826" t="str">
            <v>G-22</v>
          </cell>
        </row>
        <row r="6827">
          <cell r="B6827" t="str">
            <v>B272-400-AS-180-LD-008</v>
          </cell>
        </row>
        <row r="6828">
          <cell r="B6828" t="str">
            <v>B272-400-AS-180-LD-008</v>
          </cell>
          <cell r="E6828" t="str">
            <v>G-29</v>
          </cell>
        </row>
        <row r="6829">
          <cell r="B6829" t="str">
            <v>B272-400-AS-180-LD-008</v>
          </cell>
          <cell r="E6829" t="str">
            <v>B1680</v>
          </cell>
        </row>
        <row r="6830">
          <cell r="B6830" t="str">
            <v>B272-400-AS-180-LD-008</v>
          </cell>
        </row>
        <row r="6831">
          <cell r="B6831" t="str">
            <v>B272-400-AS-180-LD-008</v>
          </cell>
          <cell r="E6831" t="str">
            <v>G-29</v>
          </cell>
        </row>
        <row r="6832">
          <cell r="B6832" t="str">
            <v>B272-400-AS-180-LD-008</v>
          </cell>
          <cell r="E6832" t="str">
            <v>B1680</v>
          </cell>
        </row>
        <row r="6833">
          <cell r="B6833" t="str">
            <v>B272-400-AS-180-LD-008</v>
          </cell>
        </row>
        <row r="6834">
          <cell r="B6834" t="str">
            <v>B272-400-AS-180-LD-008</v>
          </cell>
          <cell r="E6834" t="str">
            <v>G-29</v>
          </cell>
        </row>
        <row r="6835">
          <cell r="B6835" t="str">
            <v>B272-400-AS-180-LD-008</v>
          </cell>
          <cell r="E6835" t="str">
            <v>B1680</v>
          </cell>
        </row>
        <row r="6836">
          <cell r="B6836" t="str">
            <v>B272-400-AS-180-LD-008</v>
          </cell>
        </row>
        <row r="6837">
          <cell r="B6837" t="str">
            <v>B272-400-AS-180-LD-008</v>
          </cell>
          <cell r="E6837" t="str">
            <v>G-29</v>
          </cell>
        </row>
        <row r="6838">
          <cell r="B6838" t="str">
            <v>B272-400-AS-180-LD-008</v>
          </cell>
          <cell r="E6838" t="str">
            <v>B1680</v>
          </cell>
        </row>
        <row r="6839">
          <cell r="B6839" t="str">
            <v>B272-400-AS-180-LD-008</v>
          </cell>
        </row>
        <row r="6840">
          <cell r="B6840" t="str">
            <v>B272-400-AS-180-LD-008</v>
          </cell>
          <cell r="E6840" t="str">
            <v>G-29</v>
          </cell>
        </row>
        <row r="6841">
          <cell r="B6841" t="str">
            <v>B272-400-AS-180-LD-008</v>
          </cell>
          <cell r="E6841" t="str">
            <v>B1680</v>
          </cell>
        </row>
        <row r="6842">
          <cell r="B6842" t="str">
            <v>B272-400-AS-180-LD-008</v>
          </cell>
        </row>
        <row r="6843">
          <cell r="B6843" t="str">
            <v>B272-400-AS-180-LD-008</v>
          </cell>
          <cell r="E6843" t="str">
            <v>G-29</v>
          </cell>
        </row>
        <row r="6844">
          <cell r="B6844" t="str">
            <v>B272-400-AS-180-LD-008</v>
          </cell>
          <cell r="E6844" t="str">
            <v>B1680</v>
          </cell>
        </row>
        <row r="6845">
          <cell r="B6845" t="str">
            <v>B272-400-AS-180-LD-008</v>
          </cell>
        </row>
        <row r="6846">
          <cell r="B6846" t="str">
            <v>B272-400-AS-180-LD-008</v>
          </cell>
          <cell r="E6846" t="str">
            <v>G-29</v>
          </cell>
        </row>
        <row r="6847">
          <cell r="B6847" t="str">
            <v>B272-400-AS-180-LD-008</v>
          </cell>
          <cell r="E6847" t="str">
            <v>B1680</v>
          </cell>
        </row>
        <row r="6848">
          <cell r="B6848" t="str">
            <v>B272-400-AS-180-LD-009</v>
          </cell>
        </row>
        <row r="6849">
          <cell r="B6849" t="str">
            <v>B272-400-AS-180-LD-009</v>
          </cell>
          <cell r="E6849" t="str">
            <v>G-41</v>
          </cell>
        </row>
        <row r="6850">
          <cell r="B6850" t="str">
            <v>B272-400-AS-180-LD-009</v>
          </cell>
          <cell r="E6850" t="str">
            <v>B1680</v>
          </cell>
        </row>
        <row r="6851">
          <cell r="B6851" t="str">
            <v>B272-400-AS-180-LC-001</v>
          </cell>
        </row>
        <row r="6852">
          <cell r="B6852" t="str">
            <v>B272-400-AS-180-LC-001</v>
          </cell>
          <cell r="E6852" t="str">
            <v>GX-17</v>
          </cell>
        </row>
        <row r="6853">
          <cell r="B6853" t="str">
            <v>B272-400-AS-180-LC-001</v>
          </cell>
          <cell r="E6853" t="str">
            <v>B1235</v>
          </cell>
        </row>
        <row r="6854">
          <cell r="B6854" t="str">
            <v>B272-400-AS-180-LC-002</v>
          </cell>
        </row>
        <row r="6855">
          <cell r="B6855" t="str">
            <v>B272-400-AS-180-LC-002</v>
          </cell>
          <cell r="E6855" t="str">
            <v>GX-76</v>
          </cell>
        </row>
        <row r="6856">
          <cell r="B6856" t="str">
            <v>B272-400-AS-180-LC-002</v>
          </cell>
          <cell r="E6856" t="str">
            <v>B1235</v>
          </cell>
        </row>
        <row r="6857">
          <cell r="B6857" t="str">
            <v>B272-400-AS-180-LC-002</v>
          </cell>
        </row>
        <row r="6858">
          <cell r="B6858" t="str">
            <v>B272-400-AS-180-LC-002</v>
          </cell>
          <cell r="E6858" t="str">
            <v>GX-76</v>
          </cell>
        </row>
        <row r="6859">
          <cell r="B6859" t="str">
            <v>B272-400-AS-180-LC-002</v>
          </cell>
          <cell r="E6859" t="str">
            <v>B1235</v>
          </cell>
        </row>
        <row r="6860">
          <cell r="B6860" t="str">
            <v>B272-400-AS-180-LC-003</v>
          </cell>
        </row>
        <row r="6861">
          <cell r="B6861" t="str">
            <v>B272-400-AS-180-LC-003</v>
          </cell>
          <cell r="E6861" t="str">
            <v>GX-77</v>
          </cell>
        </row>
        <row r="6862">
          <cell r="B6862" t="str">
            <v>B272-400-AS-180-LC-003</v>
          </cell>
          <cell r="E6862" t="str">
            <v>B1235</v>
          </cell>
        </row>
        <row r="6863">
          <cell r="B6863" t="str">
            <v>B272-400-AS-180-LC-003</v>
          </cell>
        </row>
        <row r="6864">
          <cell r="B6864" t="str">
            <v>B272-400-AS-180-LC-003</v>
          </cell>
          <cell r="E6864" t="str">
            <v>GX-77</v>
          </cell>
        </row>
        <row r="6865">
          <cell r="B6865" t="str">
            <v>B272-400-AS-180-LC-003</v>
          </cell>
          <cell r="E6865" t="str">
            <v>B1235</v>
          </cell>
        </row>
        <row r="6866">
          <cell r="B6866" t="str">
            <v>B272-400-AS-180-LC-004</v>
          </cell>
        </row>
        <row r="6867">
          <cell r="B6867" t="str">
            <v>B272-400-AS-180-LC-004</v>
          </cell>
          <cell r="E6867" t="str">
            <v>GX-78</v>
          </cell>
        </row>
        <row r="6868">
          <cell r="B6868" t="str">
            <v>B272-400-AS-180-LC-004</v>
          </cell>
          <cell r="E6868" t="str">
            <v>B1235</v>
          </cell>
        </row>
        <row r="6869">
          <cell r="B6869" t="str">
            <v>B272-400-AS-180-LC-005</v>
          </cell>
        </row>
        <row r="6870">
          <cell r="B6870" t="str">
            <v>B272-400-AS-180-LC-005</v>
          </cell>
          <cell r="E6870" t="str">
            <v>GX-81</v>
          </cell>
        </row>
        <row r="6871">
          <cell r="B6871" t="str">
            <v>B272-400-AS-180-LC-005</v>
          </cell>
          <cell r="E6871" t="str">
            <v>B1235</v>
          </cell>
        </row>
        <row r="6872">
          <cell r="B6872" t="str">
            <v>B272-400-AS-180-LC-006</v>
          </cell>
        </row>
        <row r="6873">
          <cell r="B6873" t="str">
            <v>B272-400-AS-180-LC-006</v>
          </cell>
          <cell r="E6873" t="str">
            <v>GX-82</v>
          </cell>
        </row>
        <row r="6874">
          <cell r="B6874" t="str">
            <v>B272-400-AS-180-LC-006</v>
          </cell>
          <cell r="E6874" t="str">
            <v>B1235</v>
          </cell>
        </row>
        <row r="6875">
          <cell r="B6875" t="str">
            <v>B272-400-AS-180-LC-006</v>
          </cell>
        </row>
        <row r="6876">
          <cell r="B6876" t="str">
            <v>B272-400-AS-180-LC-006</v>
          </cell>
          <cell r="E6876" t="str">
            <v>GX-82</v>
          </cell>
        </row>
        <row r="6877">
          <cell r="B6877" t="str">
            <v>B272-400-AS-180-LC-007</v>
          </cell>
        </row>
        <row r="6878">
          <cell r="B6878" t="str">
            <v>B272-400-AS-180-LC-007</v>
          </cell>
          <cell r="E6878" t="str">
            <v>GX-83</v>
          </cell>
        </row>
        <row r="6879">
          <cell r="B6879" t="str">
            <v>B272-400-AS-180-LC-007</v>
          </cell>
          <cell r="E6879" t="str">
            <v>B1235</v>
          </cell>
        </row>
        <row r="6880">
          <cell r="B6880" t="str">
            <v>B272-400-AS-180-LC-008</v>
          </cell>
        </row>
        <row r="6881">
          <cell r="B6881" t="str">
            <v>B272-400-AS-180-LC-008</v>
          </cell>
          <cell r="E6881" t="str">
            <v>GX-91</v>
          </cell>
        </row>
        <row r="6882">
          <cell r="B6882" t="str">
            <v>B272-400-AS-180-LC-008</v>
          </cell>
          <cell r="E6882" t="str">
            <v>B1235</v>
          </cell>
        </row>
        <row r="6883">
          <cell r="B6883" t="str">
            <v>B272-400-AS-180-LC-009</v>
          </cell>
        </row>
        <row r="6884">
          <cell r="B6884" t="str">
            <v>B272-400-AS-180-LC-009</v>
          </cell>
          <cell r="E6884" t="str">
            <v>GX-98</v>
          </cell>
        </row>
        <row r="6885">
          <cell r="B6885" t="str">
            <v>B272-400-AS-180-LC-009</v>
          </cell>
          <cell r="E6885" t="str">
            <v>B1235</v>
          </cell>
        </row>
        <row r="6886">
          <cell r="B6886" t="str">
            <v>B272-400-AS-180-LC-009</v>
          </cell>
        </row>
        <row r="6887">
          <cell r="B6887" t="str">
            <v>B272-400-AS-180-LC-009</v>
          </cell>
          <cell r="E6887" t="str">
            <v>GX-98</v>
          </cell>
        </row>
        <row r="6888">
          <cell r="B6888" t="str">
            <v>B272-400-AS-180-LC-009</v>
          </cell>
          <cell r="E6888" t="str">
            <v>B1235</v>
          </cell>
        </row>
        <row r="6889">
          <cell r="B6889" t="str">
            <v>B272-400-AS-180-LC-010</v>
          </cell>
        </row>
        <row r="6890">
          <cell r="B6890" t="str">
            <v>B272-400-AS-180-LC-010</v>
          </cell>
          <cell r="E6890" t="str">
            <v>GX-99</v>
          </cell>
        </row>
        <row r="6891">
          <cell r="B6891" t="str">
            <v>B272-400-AS-180-LC-010</v>
          </cell>
          <cell r="E6891" t="str">
            <v>B1235</v>
          </cell>
        </row>
        <row r="6892">
          <cell r="B6892" t="str">
            <v>B272-400-AS-180-LC-022</v>
          </cell>
        </row>
        <row r="6893">
          <cell r="B6893" t="str">
            <v>B272-400-AS-180-LC-022</v>
          </cell>
          <cell r="E6893" t="str">
            <v>GX-99</v>
          </cell>
        </row>
        <row r="6894">
          <cell r="B6894" t="str">
            <v>B272-400-AS-180-LC-022</v>
          </cell>
          <cell r="E6894" t="str">
            <v>B1235</v>
          </cell>
        </row>
        <row r="6895">
          <cell r="B6895" t="str">
            <v>B272-400-AS-180-LC-011</v>
          </cell>
        </row>
        <row r="6896">
          <cell r="B6896" t="str">
            <v>B272-400-AS-180-LC-011</v>
          </cell>
          <cell r="E6896" t="str">
            <v>GX-100</v>
          </cell>
        </row>
        <row r="6897">
          <cell r="B6897" t="str">
            <v>B272-400-AS-180-LC-011</v>
          </cell>
          <cell r="E6897" t="str">
            <v>B1235</v>
          </cell>
        </row>
        <row r="6898">
          <cell r="B6898" t="str">
            <v>B272-400-AS-180-LC-012</v>
          </cell>
        </row>
        <row r="6899">
          <cell r="B6899" t="str">
            <v>B272-400-AS-180-LC-012</v>
          </cell>
          <cell r="E6899" t="str">
            <v>GX-101</v>
          </cell>
        </row>
        <row r="6900">
          <cell r="B6900" t="str">
            <v>B272-400-AS-180-LC-012</v>
          </cell>
          <cell r="E6900" t="str">
            <v>B1235</v>
          </cell>
        </row>
        <row r="6901">
          <cell r="B6901" t="str">
            <v>B272-400-AS-180-LC-013</v>
          </cell>
        </row>
        <row r="6902">
          <cell r="B6902" t="str">
            <v>B272-400-AS-180-LC-013</v>
          </cell>
          <cell r="E6902" t="str">
            <v>GX-102</v>
          </cell>
        </row>
        <row r="6903">
          <cell r="B6903" t="str">
            <v>B272-400-AS-180-LC-013</v>
          </cell>
          <cell r="E6903" t="str">
            <v>B1235</v>
          </cell>
        </row>
        <row r="6904">
          <cell r="B6904" t="str">
            <v>B272-400-AS-180-LC-013</v>
          </cell>
        </row>
        <row r="6905">
          <cell r="B6905" t="str">
            <v>B272-400-AS-180-LC-013</v>
          </cell>
          <cell r="E6905" t="str">
            <v>GX-102</v>
          </cell>
        </row>
        <row r="6906">
          <cell r="B6906" t="str">
            <v>B272-400-AS-180-LC-014</v>
          </cell>
        </row>
        <row r="6907">
          <cell r="B6907" t="str">
            <v>B272-400-AS-180-LC-014</v>
          </cell>
          <cell r="E6907" t="str">
            <v>GX-103</v>
          </cell>
        </row>
        <row r="6908">
          <cell r="B6908" t="str">
            <v>B272-400-AS-180-LC-014</v>
          </cell>
          <cell r="E6908" t="str">
            <v>B1235</v>
          </cell>
        </row>
        <row r="6909">
          <cell r="B6909" t="str">
            <v>B272-400-AS-180-LC-014</v>
          </cell>
        </row>
        <row r="6910">
          <cell r="B6910" t="str">
            <v>B272-400-AS-180-LC-014</v>
          </cell>
          <cell r="E6910" t="str">
            <v>GX-103</v>
          </cell>
        </row>
        <row r="6911">
          <cell r="B6911" t="str">
            <v>B272-400-AS-180-LC-015</v>
          </cell>
        </row>
        <row r="6912">
          <cell r="B6912" t="str">
            <v>B272-400-AS-180-LC-015</v>
          </cell>
          <cell r="E6912" t="str">
            <v>GX-104</v>
          </cell>
        </row>
        <row r="6913">
          <cell r="B6913" t="str">
            <v>B272-400-AS-180-LC-015</v>
          </cell>
          <cell r="E6913" t="str">
            <v>B1235</v>
          </cell>
        </row>
        <row r="6914">
          <cell r="B6914" t="str">
            <v>B272-400-AS-180-LC-016</v>
          </cell>
        </row>
        <row r="6915">
          <cell r="B6915" t="str">
            <v>B272-400-AS-180-LC-016</v>
          </cell>
          <cell r="E6915" t="str">
            <v>GX-108</v>
          </cell>
        </row>
        <row r="6916">
          <cell r="B6916" t="str">
            <v>B272-400-AS-180-LC-016</v>
          </cell>
          <cell r="E6916" t="str">
            <v>B1235</v>
          </cell>
        </row>
        <row r="6917">
          <cell r="B6917" t="str">
            <v>B272-400-AS-180-LC-017</v>
          </cell>
        </row>
        <row r="6918">
          <cell r="B6918" t="str">
            <v>B272-400-AS-180-LC-017</v>
          </cell>
          <cell r="E6918" t="str">
            <v>GX-109</v>
          </cell>
        </row>
        <row r="6919">
          <cell r="B6919" t="str">
            <v>B272-400-AS-180-LC-017</v>
          </cell>
          <cell r="E6919" t="str">
            <v>B1235</v>
          </cell>
        </row>
        <row r="6920">
          <cell r="B6920" t="str">
            <v>B272-400-AS-180-LC-018</v>
          </cell>
        </row>
        <row r="6921">
          <cell r="B6921" t="str">
            <v>B272-400-AS-180-LC-018</v>
          </cell>
          <cell r="E6921" t="str">
            <v>GX-147</v>
          </cell>
        </row>
        <row r="6922">
          <cell r="B6922" t="str">
            <v>B272-400-AS-180-LC-018</v>
          </cell>
          <cell r="E6922" t="str">
            <v>B1235</v>
          </cell>
        </row>
        <row r="6923">
          <cell r="B6923" t="str">
            <v>B272-400-AS-180-LC-018</v>
          </cell>
        </row>
        <row r="6924">
          <cell r="B6924" t="str">
            <v>B272-400-AS-180-LC-018</v>
          </cell>
          <cell r="E6924" t="str">
            <v>GX-147</v>
          </cell>
        </row>
        <row r="6925">
          <cell r="B6925" t="str">
            <v>B272-400-AS-180-LC-018</v>
          </cell>
          <cell r="E6925" t="str">
            <v>B1235</v>
          </cell>
        </row>
        <row r="6926">
          <cell r="B6926" t="str">
            <v>B272-400-AS-180-LC-019</v>
          </cell>
        </row>
        <row r="6927">
          <cell r="B6927" t="str">
            <v>B272-400-AS-180-LC-019</v>
          </cell>
          <cell r="E6927" t="str">
            <v>GX-148</v>
          </cell>
        </row>
        <row r="6928">
          <cell r="B6928" t="str">
            <v>B272-400-AS-180-LC-019</v>
          </cell>
          <cell r="E6928" t="str">
            <v>B1235</v>
          </cell>
        </row>
        <row r="6929">
          <cell r="B6929" t="str">
            <v>B272-400-AS-180-LC-019</v>
          </cell>
        </row>
        <row r="6930">
          <cell r="B6930" t="str">
            <v>B272-400-AS-180-LC-019</v>
          </cell>
          <cell r="E6930" t="str">
            <v>GX-148</v>
          </cell>
        </row>
        <row r="6931">
          <cell r="B6931" t="str">
            <v>B272-400-AS-180-LC-019</v>
          </cell>
          <cell r="E6931" t="str">
            <v>B1235</v>
          </cell>
        </row>
        <row r="6932">
          <cell r="B6932" t="str">
            <v>B272-400-AS-180-LC-020</v>
          </cell>
        </row>
        <row r="6933">
          <cell r="B6933" t="str">
            <v>B272-400-AS-180-LC-020</v>
          </cell>
          <cell r="E6933" t="str">
            <v>GX-149</v>
          </cell>
        </row>
        <row r="6934">
          <cell r="B6934" t="str">
            <v>B272-400-AS-180-LC-020</v>
          </cell>
          <cell r="E6934" t="str">
            <v>B1235</v>
          </cell>
        </row>
        <row r="6935">
          <cell r="B6935" t="str">
            <v>B272-400-AS-180-LC-020</v>
          </cell>
        </row>
        <row r="6936">
          <cell r="B6936" t="str">
            <v>B272-400-AS-180-LC-020</v>
          </cell>
          <cell r="E6936" t="str">
            <v>GX-149</v>
          </cell>
        </row>
        <row r="6937">
          <cell r="B6937" t="str">
            <v>B272-400-AS-180-LC-021</v>
          </cell>
        </row>
        <row r="6938">
          <cell r="B6938" t="str">
            <v>B272-400-AS-180-LC-021</v>
          </cell>
          <cell r="E6938" t="str">
            <v>GX-150</v>
          </cell>
        </row>
        <row r="6939">
          <cell r="B6939" t="str">
            <v>B272-400-AS-180-LC-021</v>
          </cell>
          <cell r="E6939" t="str">
            <v>B1235</v>
          </cell>
        </row>
        <row r="6940">
          <cell r="B6940" t="str">
            <v>B272-400-AS-180-LC-021</v>
          </cell>
        </row>
        <row r="6941">
          <cell r="B6941" t="str">
            <v>B272-400-AS-180-LC-021</v>
          </cell>
          <cell r="E6941" t="str">
            <v>GX-150</v>
          </cell>
        </row>
        <row r="6942">
          <cell r="B6942" t="str">
            <v>B272-400-AS-180-LD-031</v>
          </cell>
        </row>
        <row r="6943">
          <cell r="B6943" t="str">
            <v>B272-400-AS-180-LD-031</v>
          </cell>
          <cell r="E6943" t="str">
            <v>PX-26</v>
          </cell>
        </row>
        <row r="6944">
          <cell r="B6944" t="str">
            <v>B272-400-AS-180-LD-031</v>
          </cell>
        </row>
        <row r="6945">
          <cell r="B6945" t="str">
            <v>B272-400-AS-180-LD-031</v>
          </cell>
          <cell r="E6945" t="str">
            <v>PX-26</v>
          </cell>
        </row>
        <row r="6946">
          <cell r="B6946" t="str">
            <v>B272-400-AS-180-LD-031</v>
          </cell>
        </row>
        <row r="6947">
          <cell r="B6947" t="str">
            <v>B272-400-AS-180-LD-031</v>
          </cell>
          <cell r="E6947" t="str">
            <v>PX-26</v>
          </cell>
        </row>
        <row r="6948">
          <cell r="B6948" t="str">
            <v>B272-400-AS-180-LD-031</v>
          </cell>
        </row>
        <row r="6949">
          <cell r="B6949" t="str">
            <v>B272-400-AS-180-LD-031</v>
          </cell>
          <cell r="E6949" t="str">
            <v>PX-26</v>
          </cell>
        </row>
        <row r="6950">
          <cell r="B6950" t="str">
            <v>B272-400-AS-180-LD-031</v>
          </cell>
        </row>
        <row r="6951">
          <cell r="B6951" t="str">
            <v>B272-400-AS-180-LD-031</v>
          </cell>
          <cell r="E6951" t="str">
            <v>PX-26</v>
          </cell>
        </row>
        <row r="6952">
          <cell r="B6952" t="str">
            <v>B272-400-AS-180-LD-031</v>
          </cell>
        </row>
        <row r="6953">
          <cell r="B6953" t="str">
            <v>B272-400-AS-180-LD-031</v>
          </cell>
          <cell r="E6953" t="str">
            <v>PX-26</v>
          </cell>
        </row>
        <row r="6954">
          <cell r="B6954" t="str">
            <v>B272-400-AS-180-LD-031</v>
          </cell>
        </row>
        <row r="6955">
          <cell r="B6955" t="str">
            <v>B272-400-AS-180-LD-031</v>
          </cell>
          <cell r="E6955" t="str">
            <v>PX-26</v>
          </cell>
        </row>
        <row r="6956">
          <cell r="B6956" t="str">
            <v>B272-400-AS-180-LD-031</v>
          </cell>
        </row>
        <row r="6957">
          <cell r="B6957" t="str">
            <v>B272-400-AS-180-LD-031</v>
          </cell>
          <cell r="E6957" t="str">
            <v>PX-26</v>
          </cell>
        </row>
        <row r="6958">
          <cell r="B6958" t="str">
            <v>B272-400-AS-180-LD-031</v>
          </cell>
        </row>
        <row r="6959">
          <cell r="B6959" t="str">
            <v>B272-400-AS-180-LD-031</v>
          </cell>
          <cell r="E6959" t="str">
            <v>PX-26</v>
          </cell>
        </row>
        <row r="6960">
          <cell r="B6960" t="str">
            <v>B272-400-AS-180-LD-031</v>
          </cell>
        </row>
        <row r="6961">
          <cell r="B6961" t="str">
            <v>B272-400-AS-180-LD-031</v>
          </cell>
          <cell r="E6961" t="str">
            <v>PX-26</v>
          </cell>
        </row>
        <row r="6962">
          <cell r="B6962" t="str">
            <v>B272-400-AS-180-LD-032</v>
          </cell>
        </row>
        <row r="6963">
          <cell r="B6963" t="str">
            <v>B272-400-AS-180-LD-032</v>
          </cell>
          <cell r="E6963" t="str">
            <v>W-70</v>
          </cell>
        </row>
        <row r="6964">
          <cell r="B6964" t="str">
            <v>B272-400-AS-180-LD-032</v>
          </cell>
          <cell r="E6964" t="str">
            <v>B1240</v>
          </cell>
        </row>
        <row r="6965">
          <cell r="B6965" t="str">
            <v>B272-400-AS-180-LD-032</v>
          </cell>
        </row>
        <row r="6966">
          <cell r="B6966" t="str">
            <v>B272-400-AS-180-LD-032</v>
          </cell>
          <cell r="E6966" t="str">
            <v>W-70</v>
          </cell>
        </row>
        <row r="6967">
          <cell r="B6967" t="str">
            <v>B272-400-AS-180-LD-032</v>
          </cell>
        </row>
        <row r="6968">
          <cell r="B6968" t="str">
            <v>B272-400-AS-180-LD-032</v>
          </cell>
          <cell r="E6968" t="str">
            <v>W-70</v>
          </cell>
        </row>
        <row r="6969">
          <cell r="B6969" t="str">
            <v>B272-400-AS-180-LD-032</v>
          </cell>
        </row>
        <row r="6970">
          <cell r="B6970" t="str">
            <v>B272-400-AS-180-LD-032</v>
          </cell>
          <cell r="E6970" t="str">
            <v>W-70</v>
          </cell>
        </row>
        <row r="6971">
          <cell r="B6971" t="str">
            <v>B272-400-AS-180-LD-032</v>
          </cell>
        </row>
        <row r="6972">
          <cell r="B6972" t="str">
            <v>B272-400-AS-180-LD-032</v>
          </cell>
          <cell r="E6972" t="str">
            <v>W-70</v>
          </cell>
        </row>
        <row r="6973">
          <cell r="B6973" t="str">
            <v>B272-400-AS-180-LD-032</v>
          </cell>
        </row>
        <row r="6974">
          <cell r="B6974" t="str">
            <v>B272-400-AS-180-LD-032</v>
          </cell>
          <cell r="E6974" t="str">
            <v>W-70</v>
          </cell>
        </row>
        <row r="6975">
          <cell r="B6975" t="str">
            <v>B272-400-AS-180-LD-032</v>
          </cell>
        </row>
        <row r="6976">
          <cell r="B6976" t="str">
            <v>B272-400-AS-180-LD-032</v>
          </cell>
          <cell r="E6976" t="str">
            <v>W-70</v>
          </cell>
        </row>
        <row r="6977">
          <cell r="B6977" t="str">
            <v>B272-400-AS-180-LD-032</v>
          </cell>
        </row>
        <row r="6978">
          <cell r="B6978" t="str">
            <v>B272-400-AS-180-LD-032</v>
          </cell>
          <cell r="E6978" t="str">
            <v>W-70</v>
          </cell>
        </row>
        <row r="6979">
          <cell r="B6979" t="str">
            <v>B272-400-AS-180-LD-032</v>
          </cell>
        </row>
        <row r="6980">
          <cell r="B6980" t="str">
            <v>B272-400-AS-180-LD-032</v>
          </cell>
          <cell r="E6980" t="str">
            <v>W-70</v>
          </cell>
        </row>
        <row r="6981">
          <cell r="B6981" t="str">
            <v>B272-400-AS-180-LD-032</v>
          </cell>
        </row>
        <row r="6982">
          <cell r="B6982" t="str">
            <v>B272-400-AS-180-LD-032</v>
          </cell>
          <cell r="E6982" t="str">
            <v>W-70</v>
          </cell>
        </row>
        <row r="6983">
          <cell r="B6983" t="str">
            <v>B272-400-AS-180-LD-032</v>
          </cell>
        </row>
        <row r="6984">
          <cell r="B6984" t="str">
            <v>B272-400-AS-180-LD-032</v>
          </cell>
          <cell r="E6984" t="str">
            <v>W-70</v>
          </cell>
        </row>
        <row r="6985">
          <cell r="B6985" t="str">
            <v>B272-400-AS-180-LD-032</v>
          </cell>
        </row>
        <row r="6986">
          <cell r="B6986" t="str">
            <v>B272-400-AS-180-LD-032</v>
          </cell>
          <cell r="E6986" t="str">
            <v>W-70</v>
          </cell>
        </row>
        <row r="6987">
          <cell r="B6987" t="str">
            <v>B272-400-AS-180-LD-032</v>
          </cell>
        </row>
        <row r="6988">
          <cell r="B6988" t="str">
            <v>B272-400-AS-180-LD-032</v>
          </cell>
          <cell r="E6988" t="str">
            <v>W-70</v>
          </cell>
        </row>
        <row r="6989">
          <cell r="B6989" t="str">
            <v>B272-400-AS-180-LD-032</v>
          </cell>
        </row>
        <row r="6990">
          <cell r="B6990" t="str">
            <v>B272-400-AS-180-LD-032</v>
          </cell>
          <cell r="E6990" t="str">
            <v>W-70</v>
          </cell>
        </row>
        <row r="6991">
          <cell r="B6991" t="str">
            <v>B272-400-AS-180-LD-032</v>
          </cell>
        </row>
        <row r="6992">
          <cell r="B6992" t="str">
            <v>B272-400-AS-180-LD-032</v>
          </cell>
          <cell r="E6992" t="str">
            <v>W-70</v>
          </cell>
        </row>
        <row r="6993">
          <cell r="B6993" t="str">
            <v>B272-400-AS-180-LD-032</v>
          </cell>
        </row>
        <row r="6994">
          <cell r="B6994" t="str">
            <v>B272-400-AS-180-LD-032</v>
          </cell>
          <cell r="E6994" t="str">
            <v>W-70</v>
          </cell>
        </row>
        <row r="6995">
          <cell r="B6995" t="str">
            <v>B272-400-AS-180-LD-032</v>
          </cell>
        </row>
        <row r="6996">
          <cell r="B6996" t="str">
            <v>B272-400-AS-180-LD-032</v>
          </cell>
          <cell r="E6996" t="str">
            <v>W-70</v>
          </cell>
        </row>
        <row r="6997">
          <cell r="B6997" t="str">
            <v>B272-400-AS-180-LD-032</v>
          </cell>
        </row>
        <row r="6998">
          <cell r="B6998" t="str">
            <v>B272-400-AS-180-LD-032</v>
          </cell>
          <cell r="E6998" t="str">
            <v>W-70</v>
          </cell>
        </row>
        <row r="6999">
          <cell r="B6999" t="str">
            <v>B272-400-AS-180-LD-032</v>
          </cell>
        </row>
        <row r="7000">
          <cell r="B7000" t="str">
            <v>B272-400-AS-180-LD-032</v>
          </cell>
          <cell r="E7000" t="str">
            <v>W-70</v>
          </cell>
        </row>
        <row r="7001">
          <cell r="B7001" t="str">
            <v>B272-400-AS-180-LD-032</v>
          </cell>
        </row>
        <row r="7002">
          <cell r="B7002" t="str">
            <v>B272-400-AS-180-LD-032</v>
          </cell>
          <cell r="E7002" t="str">
            <v>W-70</v>
          </cell>
        </row>
        <row r="7003">
          <cell r="B7003" t="str">
            <v>B272-400-AS-180-SG-001</v>
          </cell>
        </row>
        <row r="7004">
          <cell r="B7004" t="str">
            <v>B272-400-AS-180-SG-001</v>
          </cell>
          <cell r="E7004" t="str">
            <v>D-31</v>
          </cell>
        </row>
        <row r="7005">
          <cell r="B7005" t="str">
            <v>B272-400-AS-180-SG-001</v>
          </cell>
          <cell r="E7005" t="str">
            <v>P-362</v>
          </cell>
        </row>
        <row r="7006">
          <cell r="B7006" t="str">
            <v>B272-400-AS-180-SG-001</v>
          </cell>
          <cell r="E7006" t="str">
            <v>P-363</v>
          </cell>
        </row>
        <row r="7007">
          <cell r="B7007" t="str">
            <v>B272-400-AS-180-SG-001</v>
          </cell>
          <cell r="E7007" t="str">
            <v>P-366</v>
          </cell>
        </row>
        <row r="7008">
          <cell r="B7008" t="str">
            <v>B272-400-AS-180-SG-001</v>
          </cell>
          <cell r="E7008" t="str">
            <v>P-368</v>
          </cell>
        </row>
        <row r="7009">
          <cell r="B7009" t="str">
            <v>B272-400-AS-180-SG-001</v>
          </cell>
          <cell r="E7009" t="str">
            <v>P-369</v>
          </cell>
        </row>
        <row r="7010">
          <cell r="B7010" t="str">
            <v>B272-400-AS-180-SG-001</v>
          </cell>
          <cell r="E7010" t="str">
            <v>P-455(1/2)</v>
          </cell>
        </row>
        <row r="7011">
          <cell r="B7011" t="str">
            <v>B272-400-AS-180-SG-001</v>
          </cell>
          <cell r="E7011" t="str">
            <v>P-455(2/2)</v>
          </cell>
        </row>
        <row r="7012">
          <cell r="B7012" t="str">
            <v>B272-400-AS-180-SG-001</v>
          </cell>
          <cell r="E7012" t="str">
            <v>R-10</v>
          </cell>
        </row>
        <row r="7013">
          <cell r="B7013" t="str">
            <v>B272-400-AS-180-SG-002</v>
          </cell>
        </row>
        <row r="7014">
          <cell r="B7014" t="str">
            <v>B272-400-AS-180-SG-002</v>
          </cell>
          <cell r="E7014" t="str">
            <v>D-31</v>
          </cell>
        </row>
        <row r="7015">
          <cell r="B7015" t="str">
            <v>B272-400-AS-180-SG-002</v>
          </cell>
          <cell r="E7015" t="str">
            <v>P-362</v>
          </cell>
        </row>
        <row r="7016">
          <cell r="B7016" t="str">
            <v>B272-400-AS-180-SG-002</v>
          </cell>
          <cell r="E7016" t="str">
            <v>P-363</v>
          </cell>
        </row>
        <row r="7017">
          <cell r="B7017" t="str">
            <v>B272-400-AS-180-SG-002</v>
          </cell>
          <cell r="E7017" t="str">
            <v>P-366</v>
          </cell>
        </row>
        <row r="7018">
          <cell r="B7018" t="str">
            <v>B272-400-AS-180-SG-002</v>
          </cell>
          <cell r="E7018" t="str">
            <v>P-368</v>
          </cell>
        </row>
        <row r="7019">
          <cell r="B7019" t="str">
            <v>B272-400-AS-180-SG-002</v>
          </cell>
          <cell r="E7019" t="str">
            <v>P-369</v>
          </cell>
        </row>
        <row r="7020">
          <cell r="B7020" t="str">
            <v>B272-400-AS-180-SG-002</v>
          </cell>
          <cell r="E7020" t="str">
            <v>P-455(1/2)</v>
          </cell>
        </row>
        <row r="7021">
          <cell r="B7021" t="str">
            <v>B272-400-AS-180-SG-002</v>
          </cell>
          <cell r="E7021" t="str">
            <v>P-455(2/2)</v>
          </cell>
        </row>
        <row r="7022">
          <cell r="B7022" t="str">
            <v>B272-400-AS-180-SG-002</v>
          </cell>
          <cell r="E7022" t="str">
            <v>R-10</v>
          </cell>
        </row>
        <row r="7023">
          <cell r="B7023" t="str">
            <v>B272-400-AS-180-SG-002</v>
          </cell>
        </row>
        <row r="7024">
          <cell r="B7024" t="str">
            <v>B272-400-AS-180-SG-002</v>
          </cell>
          <cell r="E7024" t="str">
            <v>D-31</v>
          </cell>
        </row>
        <row r="7025">
          <cell r="B7025" t="str">
            <v>B272-400-AS-180-SG-002</v>
          </cell>
          <cell r="E7025" t="str">
            <v>P-362</v>
          </cell>
        </row>
        <row r="7026">
          <cell r="B7026" t="str">
            <v>B272-400-AS-180-SG-002</v>
          </cell>
          <cell r="E7026" t="str">
            <v>P-363</v>
          </cell>
        </row>
        <row r="7027">
          <cell r="B7027" t="str">
            <v>B272-400-AS-180-SG-002</v>
          </cell>
          <cell r="E7027" t="str">
            <v>P-366</v>
          </cell>
        </row>
        <row r="7028">
          <cell r="B7028" t="str">
            <v>B272-400-AS-180-SG-002</v>
          </cell>
          <cell r="E7028" t="str">
            <v>P-368</v>
          </cell>
        </row>
        <row r="7029">
          <cell r="B7029" t="str">
            <v>B272-400-AS-180-SG-002</v>
          </cell>
          <cell r="E7029" t="str">
            <v>P-369</v>
          </cell>
        </row>
        <row r="7030">
          <cell r="B7030" t="str">
            <v>B272-400-AS-180-SG-002</v>
          </cell>
          <cell r="E7030" t="str">
            <v>P-455(1/2)</v>
          </cell>
        </row>
        <row r="7031">
          <cell r="B7031" t="str">
            <v>B272-400-AS-180-SG-002</v>
          </cell>
          <cell r="E7031" t="str">
            <v>P-455(2/2)</v>
          </cell>
        </row>
        <row r="7032">
          <cell r="B7032" t="str">
            <v>B272-400-AS-180-SG-002</v>
          </cell>
          <cell r="E7032" t="str">
            <v>R-10</v>
          </cell>
        </row>
        <row r="7033">
          <cell r="B7033" t="str">
            <v>B272-400-AS-180-SG-003</v>
          </cell>
        </row>
        <row r="7034">
          <cell r="B7034" t="str">
            <v>B272-400-AS-180-SG-003</v>
          </cell>
          <cell r="E7034" t="str">
            <v>D-31</v>
          </cell>
        </row>
        <row r="7035">
          <cell r="B7035" t="str">
            <v>B272-400-AS-180-SG-003</v>
          </cell>
          <cell r="E7035" t="str">
            <v>P-362</v>
          </cell>
        </row>
        <row r="7036">
          <cell r="B7036" t="str">
            <v>B272-400-AS-180-SG-003</v>
          </cell>
          <cell r="E7036" t="str">
            <v>P-363</v>
          </cell>
        </row>
        <row r="7037">
          <cell r="B7037" t="str">
            <v>B272-400-AS-180-SG-003</v>
          </cell>
          <cell r="E7037" t="str">
            <v>P-366</v>
          </cell>
        </row>
        <row r="7038">
          <cell r="B7038" t="str">
            <v>B272-400-AS-180-SG-003</v>
          </cell>
          <cell r="E7038" t="str">
            <v>P-368</v>
          </cell>
        </row>
        <row r="7039">
          <cell r="B7039" t="str">
            <v>B272-400-AS-180-SG-003</v>
          </cell>
          <cell r="E7039" t="str">
            <v>P-370</v>
          </cell>
        </row>
        <row r="7040">
          <cell r="B7040" t="str">
            <v>B272-400-AS-180-SG-003</v>
          </cell>
          <cell r="E7040" t="str">
            <v>P-455(1/2)</v>
          </cell>
        </row>
        <row r="7041">
          <cell r="B7041" t="str">
            <v>B272-400-AS-180-SG-003</v>
          </cell>
          <cell r="E7041" t="str">
            <v>P-455(2/2)</v>
          </cell>
        </row>
        <row r="7042">
          <cell r="B7042" t="str">
            <v>B272-400-AS-180-SG-003</v>
          </cell>
          <cell r="E7042" t="str">
            <v>R-10</v>
          </cell>
        </row>
        <row r="7043">
          <cell r="B7043" t="str">
            <v>B272-400-AS-180-SG-004</v>
          </cell>
        </row>
        <row r="7044">
          <cell r="B7044" t="str">
            <v>B272-400-AS-180-SG-004</v>
          </cell>
          <cell r="E7044" t="str">
            <v>D-31</v>
          </cell>
        </row>
        <row r="7045">
          <cell r="B7045" t="str">
            <v>B272-400-AS-180-SG-004</v>
          </cell>
          <cell r="E7045" t="str">
            <v>P-362</v>
          </cell>
        </row>
        <row r="7046">
          <cell r="B7046" t="str">
            <v>B272-400-AS-180-SG-004</v>
          </cell>
          <cell r="E7046" t="str">
            <v>P-363</v>
          </cell>
        </row>
        <row r="7047">
          <cell r="B7047" t="str">
            <v>B272-400-AS-180-SG-004</v>
          </cell>
          <cell r="E7047" t="str">
            <v>P-368</v>
          </cell>
        </row>
        <row r="7048">
          <cell r="B7048" t="str">
            <v>B272-400-AS-180-SG-004</v>
          </cell>
          <cell r="E7048" t="str">
            <v>P-369</v>
          </cell>
        </row>
        <row r="7049">
          <cell r="B7049" t="str">
            <v>B272-400-AS-180-SG-004</v>
          </cell>
          <cell r="E7049" t="str">
            <v>P-373</v>
          </cell>
        </row>
        <row r="7050">
          <cell r="B7050" t="str">
            <v>B272-400-AS-180-SG-004</v>
          </cell>
          <cell r="E7050" t="str">
            <v>P-455(1/2)</v>
          </cell>
        </row>
        <row r="7051">
          <cell r="B7051" t="str">
            <v>B272-400-AS-180-SG-004</v>
          </cell>
          <cell r="E7051" t="str">
            <v>P-455(2/2)</v>
          </cell>
        </row>
        <row r="7052">
          <cell r="B7052" t="str">
            <v>B272-400-AS-180-SG-004</v>
          </cell>
          <cell r="E7052" t="str">
            <v>R-10</v>
          </cell>
        </row>
        <row r="7053">
          <cell r="B7053" t="str">
            <v>B272-400-AS-180-SG-005</v>
          </cell>
        </row>
        <row r="7054">
          <cell r="B7054" t="str">
            <v>B272-400-AS-180-SG-005</v>
          </cell>
          <cell r="E7054" t="str">
            <v>D-84</v>
          </cell>
        </row>
        <row r="7055">
          <cell r="B7055" t="str">
            <v>B272-400-AS-180-SG-005</v>
          </cell>
          <cell r="E7055" t="str">
            <v>P-366</v>
          </cell>
        </row>
        <row r="7056">
          <cell r="B7056" t="str">
            <v>B272-400-AS-180-SG-005</v>
          </cell>
          <cell r="E7056" t="str">
            <v>P-368</v>
          </cell>
        </row>
        <row r="7057">
          <cell r="B7057" t="str">
            <v>B272-400-AS-180-SG-005</v>
          </cell>
          <cell r="E7057" t="str">
            <v>P-369</v>
          </cell>
        </row>
        <row r="7058">
          <cell r="B7058" t="str">
            <v>B272-400-AS-180-SG-005</v>
          </cell>
          <cell r="E7058" t="str">
            <v>P-371</v>
          </cell>
        </row>
        <row r="7059">
          <cell r="B7059" t="str">
            <v>B272-400-AS-180-SG-005</v>
          </cell>
          <cell r="E7059" t="str">
            <v>P-372</v>
          </cell>
        </row>
        <row r="7060">
          <cell r="B7060" t="str">
            <v>B272-400-AS-180-SG-005</v>
          </cell>
          <cell r="E7060" t="str">
            <v>P-455(1/2)</v>
          </cell>
        </row>
        <row r="7061">
          <cell r="B7061" t="str">
            <v>B272-400-AS-180-SG-005</v>
          </cell>
          <cell r="E7061" t="str">
            <v>P-455(2/2)</v>
          </cell>
        </row>
        <row r="7062">
          <cell r="B7062" t="str">
            <v>B272-400-AS-180-SG-005</v>
          </cell>
          <cell r="E7062" t="str">
            <v>R-10</v>
          </cell>
        </row>
        <row r="7063">
          <cell r="B7063" t="str">
            <v>B272-400-AS-180-SG-006</v>
          </cell>
        </row>
        <row r="7064">
          <cell r="B7064" t="str">
            <v>B272-400-AS-180-SG-006</v>
          </cell>
          <cell r="E7064" t="str">
            <v>W-71</v>
          </cell>
        </row>
        <row r="7065">
          <cell r="B7065" t="str">
            <v>B272-400-AS-180-SG-006</v>
          </cell>
          <cell r="E7065" t="str">
            <v>B1665</v>
          </cell>
        </row>
        <row r="7066">
          <cell r="B7066" t="str">
            <v>B272-400-AS-180-SG-006</v>
          </cell>
        </row>
        <row r="7067">
          <cell r="B7067" t="str">
            <v>B272-400-AS-180-SG-006</v>
          </cell>
          <cell r="E7067" t="str">
            <v>W-71</v>
          </cell>
        </row>
        <row r="7068">
          <cell r="B7068" t="str">
            <v>B272-400-AS-180-SG-006</v>
          </cell>
        </row>
        <row r="7069">
          <cell r="B7069" t="str">
            <v>B272-400-AS-180-SG-006</v>
          </cell>
          <cell r="E7069" t="str">
            <v>W-71</v>
          </cell>
        </row>
        <row r="7070">
          <cell r="B7070" t="str">
            <v>B272-400-AS-180-SG-006</v>
          </cell>
        </row>
        <row r="7071">
          <cell r="B7071" t="str">
            <v>B272-400-AS-180-SG-006</v>
          </cell>
          <cell r="E7071" t="str">
            <v>W-71</v>
          </cell>
        </row>
        <row r="7072">
          <cell r="B7072" t="str">
            <v>B272-400-AS-180-SG-006</v>
          </cell>
        </row>
        <row r="7073">
          <cell r="B7073" t="str">
            <v>B272-400-AS-180-SG-006</v>
          </cell>
          <cell r="E7073" t="str">
            <v>W-71</v>
          </cell>
        </row>
        <row r="7074">
          <cell r="B7074" t="str">
            <v>B272-400-AS-180-SG-006</v>
          </cell>
        </row>
        <row r="7075">
          <cell r="B7075" t="str">
            <v>B272-400-AS-180-SG-006</v>
          </cell>
          <cell r="E7075" t="str">
            <v>W-71</v>
          </cell>
        </row>
        <row r="7076">
          <cell r="B7076" t="str">
            <v>B272-400-AS-180-SG-006</v>
          </cell>
        </row>
        <row r="7077">
          <cell r="B7077" t="str">
            <v>B272-400-AS-180-SG-006</v>
          </cell>
          <cell r="E7077" t="str">
            <v>W-71</v>
          </cell>
        </row>
        <row r="7078">
          <cell r="B7078" t="str">
            <v>B272-400-AS-180-SG-006</v>
          </cell>
        </row>
        <row r="7079">
          <cell r="B7079" t="str">
            <v>B272-400-AS-180-SG-006</v>
          </cell>
          <cell r="E7079" t="str">
            <v>W-71</v>
          </cell>
        </row>
        <row r="7080">
          <cell r="B7080" t="str">
            <v>B272-400-AS-180-SG-006</v>
          </cell>
        </row>
        <row r="7081">
          <cell r="B7081" t="str">
            <v>B272-400-AS-180-SG-006</v>
          </cell>
          <cell r="E7081" t="str">
            <v>W-71</v>
          </cell>
        </row>
        <row r="7082">
          <cell r="B7082" t="str">
            <v>B272-400-AS-180-SG-006</v>
          </cell>
        </row>
        <row r="7083">
          <cell r="B7083" t="str">
            <v>B272-400-AS-180-SG-006</v>
          </cell>
          <cell r="E7083" t="str">
            <v>W-71</v>
          </cell>
        </row>
        <row r="7084">
          <cell r="B7084" t="str">
            <v>B272-400-AS-180-SG-006</v>
          </cell>
        </row>
        <row r="7085">
          <cell r="B7085" t="str">
            <v>B272-400-AS-180-SG-006</v>
          </cell>
          <cell r="E7085" t="str">
            <v>W-71</v>
          </cell>
        </row>
        <row r="7086">
          <cell r="B7086" t="str">
            <v>B272-400-AS-180-SG-006</v>
          </cell>
        </row>
        <row r="7087">
          <cell r="B7087" t="str">
            <v>B272-400-AS-180-SG-006</v>
          </cell>
          <cell r="E7087" t="str">
            <v>W-71</v>
          </cell>
        </row>
        <row r="7088">
          <cell r="B7088" t="str">
            <v>B272-400-AS-180-SG-006</v>
          </cell>
        </row>
        <row r="7089">
          <cell r="B7089" t="str">
            <v>B272-400-AS-180-SG-006</v>
          </cell>
          <cell r="E7089" t="str">
            <v>W-71</v>
          </cell>
        </row>
        <row r="7090">
          <cell r="B7090" t="str">
            <v>B272-400-AS-180-SG-006</v>
          </cell>
        </row>
        <row r="7091">
          <cell r="B7091" t="str">
            <v>B272-400-AS-180-SG-006</v>
          </cell>
          <cell r="E7091" t="str">
            <v>W-71</v>
          </cell>
        </row>
        <row r="7092">
          <cell r="B7092" t="str">
            <v>B272-400-AS-180-SG-006</v>
          </cell>
        </row>
        <row r="7093">
          <cell r="B7093" t="str">
            <v>B272-400-AS-180-SG-006</v>
          </cell>
          <cell r="E7093" t="str">
            <v>W-71</v>
          </cell>
        </row>
        <row r="7094">
          <cell r="B7094" t="str">
            <v>B272-400-AS-180-SG-006</v>
          </cell>
        </row>
        <row r="7095">
          <cell r="B7095" t="str">
            <v>B272-400-AS-180-SG-006</v>
          </cell>
          <cell r="E7095" t="str">
            <v>W-71</v>
          </cell>
        </row>
        <row r="7096">
          <cell r="B7096" t="str">
            <v>B272-400-AS-180-SG-006</v>
          </cell>
        </row>
        <row r="7097">
          <cell r="B7097" t="str">
            <v>B272-400-AS-180-SG-006</v>
          </cell>
          <cell r="E7097" t="str">
            <v>W-71</v>
          </cell>
        </row>
        <row r="7098">
          <cell r="B7098" t="str">
            <v>B272-400-AS-180-SG-006</v>
          </cell>
        </row>
        <row r="7099">
          <cell r="B7099" t="str">
            <v>B272-400-AS-180-SG-006</v>
          </cell>
          <cell r="E7099" t="str">
            <v>W-71</v>
          </cell>
        </row>
        <row r="7100">
          <cell r="B7100" t="str">
            <v>B272-400-AS-200-LS-001</v>
          </cell>
        </row>
        <row r="7101">
          <cell r="B7101" t="str">
            <v>B272-400-AS-200-LS-001</v>
          </cell>
          <cell r="E7101" t="str">
            <v>G-19</v>
          </cell>
        </row>
        <row r="7102">
          <cell r="B7102" t="str">
            <v>B272-400-AS-200-LS-001</v>
          </cell>
          <cell r="E7102" t="str">
            <v>G-74</v>
          </cell>
        </row>
        <row r="7103">
          <cell r="B7103" t="str">
            <v>B272-400-AS-200-LS-001</v>
          </cell>
          <cell r="E7103" t="str">
            <v>H-2</v>
          </cell>
        </row>
        <row r="7104">
          <cell r="B7104" t="str">
            <v>B272-400-AS-200-LS-001</v>
          </cell>
          <cell r="E7104" t="str">
            <v>H-2-A</v>
          </cell>
        </row>
        <row r="7105">
          <cell r="B7105" t="str">
            <v>B272-400-AS-200-LS-001</v>
          </cell>
          <cell r="E7105" t="str">
            <v>H-2-B</v>
          </cell>
        </row>
        <row r="7106">
          <cell r="B7106" t="str">
            <v>B272-400-AS-200-LS-001</v>
          </cell>
          <cell r="E7106" t="str">
            <v>P-469</v>
          </cell>
        </row>
        <row r="7107">
          <cell r="B7107" t="str">
            <v>B272-400-AS-200-LS-001</v>
          </cell>
          <cell r="E7107" t="str">
            <v>P-513</v>
          </cell>
        </row>
        <row r="7108">
          <cell r="B7108" t="str">
            <v>B272-400-AS-200-LS-001</v>
          </cell>
          <cell r="E7108" t="str">
            <v>B2480</v>
          </cell>
        </row>
        <row r="7109">
          <cell r="B7109" t="str">
            <v>B272-400-AS-200-LS-001</v>
          </cell>
          <cell r="E7109" t="str">
            <v>B2480</v>
          </cell>
        </row>
        <row r="7110">
          <cell r="B7110" t="str">
            <v>B272-400-AS-200-LS-002</v>
          </cell>
        </row>
        <row r="7111">
          <cell r="B7111" t="str">
            <v>B272-400-AS-200-LS-002</v>
          </cell>
          <cell r="E7111" t="str">
            <v>G-19</v>
          </cell>
        </row>
        <row r="7112">
          <cell r="B7112" t="str">
            <v>B272-400-AS-200-LS-002</v>
          </cell>
          <cell r="E7112" t="str">
            <v>G-74</v>
          </cell>
        </row>
        <row r="7113">
          <cell r="B7113" t="str">
            <v>B272-400-AS-200-LS-002</v>
          </cell>
          <cell r="E7113" t="str">
            <v>H-3</v>
          </cell>
        </row>
        <row r="7114">
          <cell r="B7114" t="str">
            <v>B272-400-AS-200-LS-002</v>
          </cell>
          <cell r="E7114" t="str">
            <v>H-3-A</v>
          </cell>
        </row>
        <row r="7115">
          <cell r="B7115" t="str">
            <v>B272-400-AS-200-LS-002</v>
          </cell>
          <cell r="E7115" t="str">
            <v>H-3-B</v>
          </cell>
        </row>
        <row r="7116">
          <cell r="B7116" t="str">
            <v>B272-400-AS-200-LS-002</v>
          </cell>
          <cell r="E7116" t="str">
            <v>P-463</v>
          </cell>
        </row>
        <row r="7117">
          <cell r="B7117" t="str">
            <v>B272-400-AS-200-LS-002</v>
          </cell>
          <cell r="E7117" t="str">
            <v>P-469</v>
          </cell>
        </row>
        <row r="7118">
          <cell r="B7118" t="str">
            <v>B272-400-AS-200-LS-002</v>
          </cell>
          <cell r="E7118" t="str">
            <v>B2480</v>
          </cell>
        </row>
        <row r="7119">
          <cell r="B7119" t="str">
            <v>B272-400-AS-200-LS-002</v>
          </cell>
          <cell r="E7119" t="str">
            <v>B2480</v>
          </cell>
        </row>
        <row r="7120">
          <cell r="B7120" t="str">
            <v>B272-400-AS-200-LS-002</v>
          </cell>
        </row>
        <row r="7121">
          <cell r="B7121" t="str">
            <v>B272-400-AS-200-LS-002</v>
          </cell>
          <cell r="E7121" t="str">
            <v>G-19</v>
          </cell>
        </row>
        <row r="7122">
          <cell r="B7122" t="str">
            <v>B272-400-AS-200-LS-002</v>
          </cell>
          <cell r="E7122" t="str">
            <v>G-74</v>
          </cell>
        </row>
        <row r="7123">
          <cell r="B7123" t="str">
            <v>B272-400-AS-200-LS-002</v>
          </cell>
          <cell r="E7123" t="str">
            <v>H-3</v>
          </cell>
        </row>
        <row r="7124">
          <cell r="B7124" t="str">
            <v>B272-400-AS-200-LS-002</v>
          </cell>
          <cell r="E7124" t="str">
            <v>P-463</v>
          </cell>
        </row>
        <row r="7125">
          <cell r="B7125" t="str">
            <v>B272-400-AS-200-LS-002</v>
          </cell>
          <cell r="E7125" t="str">
            <v>P-469</v>
          </cell>
        </row>
        <row r="7126">
          <cell r="B7126" t="str">
            <v>B272-400-AS-200-LS-002</v>
          </cell>
          <cell r="E7126" t="str">
            <v>B2480</v>
          </cell>
        </row>
        <row r="7127">
          <cell r="B7127" t="str">
            <v>B272-400-AS-200-LS-002</v>
          </cell>
          <cell r="E7127" t="str">
            <v>B2480</v>
          </cell>
        </row>
        <row r="7128">
          <cell r="B7128" t="str">
            <v>B272-400-AS-200-LS-002</v>
          </cell>
        </row>
        <row r="7129">
          <cell r="B7129" t="str">
            <v>B272-400-AS-200-LS-002</v>
          </cell>
          <cell r="E7129" t="str">
            <v>G-19</v>
          </cell>
        </row>
        <row r="7130">
          <cell r="B7130" t="str">
            <v>B272-400-AS-200-LS-002</v>
          </cell>
          <cell r="E7130" t="str">
            <v>G-74</v>
          </cell>
        </row>
        <row r="7131">
          <cell r="B7131" t="str">
            <v>B272-400-AS-200-LS-002</v>
          </cell>
          <cell r="E7131" t="str">
            <v>H-3</v>
          </cell>
        </row>
        <row r="7132">
          <cell r="B7132" t="str">
            <v>B272-400-AS-200-LS-002</v>
          </cell>
          <cell r="E7132" t="str">
            <v>P-463</v>
          </cell>
        </row>
        <row r="7133">
          <cell r="B7133" t="str">
            <v>B272-400-AS-200-LS-002</v>
          </cell>
          <cell r="E7133" t="str">
            <v>P-469</v>
          </cell>
        </row>
        <row r="7134">
          <cell r="B7134" t="str">
            <v>B272-400-AS-200-LS-002</v>
          </cell>
          <cell r="E7134" t="str">
            <v>B2480</v>
          </cell>
        </row>
        <row r="7135">
          <cell r="B7135" t="str">
            <v>B272-400-AS-200-LS-002</v>
          </cell>
          <cell r="E7135" t="str">
            <v>B2480</v>
          </cell>
        </row>
        <row r="7136">
          <cell r="B7136" t="str">
            <v>B272-400-AS-200-LS-003</v>
          </cell>
        </row>
        <row r="7137">
          <cell r="B7137" t="str">
            <v>B272-400-AS-200-LS-003</v>
          </cell>
          <cell r="E7137" t="str">
            <v>H-92</v>
          </cell>
        </row>
        <row r="7138">
          <cell r="B7138" t="str">
            <v>B272-400-AS-200-LS-003</v>
          </cell>
          <cell r="E7138" t="str">
            <v>P-306(1/2)</v>
          </cell>
        </row>
        <row r="7139">
          <cell r="B7139" t="str">
            <v>B272-400-AS-200-LS-003</v>
          </cell>
          <cell r="E7139" t="str">
            <v>P-306(2/2)</v>
          </cell>
        </row>
        <row r="7140">
          <cell r="B7140" t="str">
            <v>B272-400-AS-200-LS-003</v>
          </cell>
          <cell r="E7140" t="str">
            <v>B2065</v>
          </cell>
        </row>
        <row r="7141">
          <cell r="B7141" t="str">
            <v>B272-400-AS-200-LS-004</v>
          </cell>
        </row>
        <row r="7142">
          <cell r="B7142" t="str">
            <v>B272-400-AS-200-LS-004</v>
          </cell>
          <cell r="E7142" t="str">
            <v>G-85(1/2)</v>
          </cell>
        </row>
        <row r="7143">
          <cell r="B7143" t="str">
            <v>B272-400-AS-200-LS-004</v>
          </cell>
          <cell r="E7143" t="str">
            <v>G-85(2/2)</v>
          </cell>
        </row>
        <row r="7144">
          <cell r="B7144" t="str">
            <v>B272-400-AS-200-LS-004</v>
          </cell>
          <cell r="E7144" t="str">
            <v>HY-72</v>
          </cell>
        </row>
        <row r="7145">
          <cell r="B7145" t="str">
            <v>B272-400-AS-200-LS-004</v>
          </cell>
          <cell r="E7145" t="str">
            <v>HY-73</v>
          </cell>
        </row>
        <row r="7146">
          <cell r="B7146" t="str">
            <v>B272-400-AS-200-LS-004</v>
          </cell>
          <cell r="E7146" t="str">
            <v>HY-75</v>
          </cell>
        </row>
        <row r="7147">
          <cell r="B7147" t="str">
            <v>B272-400-AS-200-LS-004</v>
          </cell>
          <cell r="E7147" t="str">
            <v>P-1229</v>
          </cell>
        </row>
        <row r="7148">
          <cell r="B7148" t="str">
            <v>B272-400-AS-200-LS-004</v>
          </cell>
          <cell r="E7148" t="str">
            <v>P-1238</v>
          </cell>
        </row>
        <row r="7149">
          <cell r="B7149" t="str">
            <v>B272-400-AS-200-LS-004</v>
          </cell>
          <cell r="E7149" t="str">
            <v>P-1239(1/2)</v>
          </cell>
        </row>
        <row r="7150">
          <cell r="B7150" t="str">
            <v>B272-400-AS-200-LS-004</v>
          </cell>
          <cell r="E7150" t="str">
            <v>P-1239(2/2)</v>
          </cell>
        </row>
        <row r="7151">
          <cell r="B7151" t="str">
            <v>B272-400-AS-200-LS-004</v>
          </cell>
          <cell r="E7151" t="str">
            <v>P-1241(1/6)</v>
          </cell>
        </row>
        <row r="7152">
          <cell r="B7152" t="str">
            <v>B272-400-AS-200-LS-004</v>
          </cell>
          <cell r="E7152" t="str">
            <v>P-1241(2/6)</v>
          </cell>
        </row>
        <row r="7153">
          <cell r="B7153" t="str">
            <v>B272-400-AS-200-LS-004</v>
          </cell>
          <cell r="E7153" t="str">
            <v>P-966(3/6)</v>
          </cell>
        </row>
        <row r="7154">
          <cell r="B7154" t="str">
            <v>B272-400-AS-200-LS-004</v>
          </cell>
          <cell r="E7154" t="str">
            <v>P-966(4/6)</v>
          </cell>
        </row>
        <row r="7155">
          <cell r="B7155" t="str">
            <v>B272-400-AS-200-LS-004</v>
          </cell>
          <cell r="E7155" t="str">
            <v>P-966(5/6)</v>
          </cell>
        </row>
        <row r="7156">
          <cell r="B7156" t="str">
            <v>B272-400-AS-200-LS-004</v>
          </cell>
          <cell r="E7156" t="str">
            <v>P-966(6/6)</v>
          </cell>
        </row>
        <row r="7157">
          <cell r="B7157" t="str">
            <v>B272-400-AS-200-LS-004</v>
          </cell>
          <cell r="E7157" t="str">
            <v>P-1256(1/2)</v>
          </cell>
        </row>
        <row r="7158">
          <cell r="B7158" t="str">
            <v>B272-400-AS-200-LS-004</v>
          </cell>
          <cell r="E7158" t="str">
            <v>P-1256(2/2)</v>
          </cell>
        </row>
        <row r="7159">
          <cell r="B7159" t="str">
            <v>B272-400-AS-200-LS-004</v>
          </cell>
          <cell r="E7159" t="str">
            <v>P-2042</v>
          </cell>
        </row>
        <row r="7160">
          <cell r="B7160" t="str">
            <v>B272-400-AS-200-LS-004</v>
          </cell>
          <cell r="E7160" t="str">
            <v>P-2043</v>
          </cell>
        </row>
        <row r="7161">
          <cell r="B7161" t="str">
            <v>B272-400-AS-200-LS-004</v>
          </cell>
          <cell r="E7161" t="str">
            <v>P-2044</v>
          </cell>
        </row>
        <row r="7162">
          <cell r="B7162" t="str">
            <v>B272-400-AS-200-LS-004</v>
          </cell>
          <cell r="E7162" t="str">
            <v>P-2045</v>
          </cell>
        </row>
        <row r="7163">
          <cell r="B7163" t="str">
            <v>B272-400-AS-200-LS-004</v>
          </cell>
          <cell r="E7163" t="str">
            <v>B2070</v>
          </cell>
        </row>
        <row r="7164">
          <cell r="B7164" t="str">
            <v>B272-400-AS-200-LS-004</v>
          </cell>
          <cell r="E7164" t="str">
            <v>B2070</v>
          </cell>
        </row>
        <row r="7165">
          <cell r="B7165" t="str">
            <v>B272-400-AS-200-LS-005</v>
          </cell>
        </row>
        <row r="7166">
          <cell r="B7166" t="str">
            <v>B272-400-AS-200-LS-005</v>
          </cell>
          <cell r="E7166" t="str">
            <v>G-87</v>
          </cell>
        </row>
        <row r="7167">
          <cell r="B7167" t="str">
            <v>B272-400-AS-200-LS-005</v>
          </cell>
          <cell r="E7167" t="str">
            <v>HY-74</v>
          </cell>
        </row>
        <row r="7168">
          <cell r="B7168" t="str">
            <v>B272-400-AS-200-LS-005</v>
          </cell>
          <cell r="E7168" t="str">
            <v>P-1240</v>
          </cell>
        </row>
        <row r="7169">
          <cell r="B7169" t="str">
            <v>B272-400-AS-200-LS-005</v>
          </cell>
          <cell r="E7169" t="str">
            <v>P-1241(1/2)</v>
          </cell>
        </row>
        <row r="7170">
          <cell r="B7170" t="str">
            <v>B272-400-AS-200-LS-005</v>
          </cell>
          <cell r="E7170" t="str">
            <v>P-1241(2/2)</v>
          </cell>
        </row>
        <row r="7171">
          <cell r="B7171" t="str">
            <v>B272-400-AS-200-LS-005</v>
          </cell>
          <cell r="E7171" t="str">
            <v>P-1242</v>
          </cell>
        </row>
        <row r="7172">
          <cell r="B7172" t="str">
            <v>B272-400-AS-200-LS-005</v>
          </cell>
          <cell r="E7172" t="str">
            <v>P-1256(1/2)</v>
          </cell>
        </row>
        <row r="7173">
          <cell r="B7173" t="str">
            <v>B272-400-AS-200-LS-005</v>
          </cell>
          <cell r="E7173" t="str">
            <v>P-1256(2/2)</v>
          </cell>
        </row>
        <row r="7174">
          <cell r="B7174" t="str">
            <v>B272-400-AS-200-LS-005</v>
          </cell>
          <cell r="E7174" t="str">
            <v>P-2029</v>
          </cell>
        </row>
        <row r="7175">
          <cell r="B7175" t="str">
            <v>B272-400-AS-200-LS-005</v>
          </cell>
          <cell r="E7175" t="str">
            <v>P-2040</v>
          </cell>
        </row>
        <row r="7176">
          <cell r="B7176" t="str">
            <v>B272-400-AS-200-LS-005</v>
          </cell>
          <cell r="E7176" t="str">
            <v>P-2041</v>
          </cell>
        </row>
        <row r="7177">
          <cell r="B7177" t="str">
            <v>B272-400-AS-200-LS-005</v>
          </cell>
          <cell r="E7177" t="str">
            <v>B2070</v>
          </cell>
        </row>
        <row r="7178">
          <cell r="B7178" t="str">
            <v>B272-400-AS-200-LS-006</v>
          </cell>
        </row>
        <row r="7179">
          <cell r="B7179" t="str">
            <v>B272-400-AS-200-LS-006</v>
          </cell>
          <cell r="E7179" t="str">
            <v>H-106</v>
          </cell>
        </row>
        <row r="7180">
          <cell r="B7180" t="str">
            <v>B272-400-AS-200-LS-006</v>
          </cell>
          <cell r="E7180" t="str">
            <v>P-306(1/2)</v>
          </cell>
        </row>
        <row r="7181">
          <cell r="B7181" t="str">
            <v>B272-400-AS-200-LS-006</v>
          </cell>
          <cell r="E7181" t="str">
            <v>P-306(2/2)</v>
          </cell>
        </row>
        <row r="7182">
          <cell r="B7182" t="str">
            <v>B272-400-AS-200-LS-006</v>
          </cell>
          <cell r="E7182" t="str">
            <v>B2065</v>
          </cell>
        </row>
        <row r="7183">
          <cell r="B7183" t="str">
            <v>B272-400-AS-200-LS-007</v>
          </cell>
        </row>
        <row r="7184">
          <cell r="B7184" t="str">
            <v>B272-400-AS-200-LS-007</v>
          </cell>
          <cell r="E7184" t="str">
            <v>A-73</v>
          </cell>
        </row>
        <row r="7185">
          <cell r="B7185" t="str">
            <v>B272-400-AS-200-LS-007</v>
          </cell>
          <cell r="E7185" t="str">
            <v>B2055</v>
          </cell>
        </row>
        <row r="7186">
          <cell r="B7186" t="str">
            <v>B272-400-AS-200-LS-008</v>
          </cell>
        </row>
        <row r="7187">
          <cell r="B7187" t="str">
            <v>B272-400-AS-200-LS-008</v>
          </cell>
          <cell r="E7187" t="str">
            <v>A-74</v>
          </cell>
        </row>
        <row r="7188">
          <cell r="B7188" t="str">
            <v>B272-400-AS-200-LS-008</v>
          </cell>
          <cell r="E7188" t="str">
            <v>B2055</v>
          </cell>
        </row>
        <row r="7189">
          <cell r="B7189" t="str">
            <v>B272-400-AS-200-LS-009</v>
          </cell>
        </row>
        <row r="7190">
          <cell r="B7190" t="str">
            <v>B272-400-AS-200-LS-009</v>
          </cell>
          <cell r="E7190" t="str">
            <v>A-75</v>
          </cell>
        </row>
        <row r="7191">
          <cell r="B7191" t="str">
            <v>B272-400-AS-200-LS-009</v>
          </cell>
          <cell r="E7191" t="str">
            <v>G-84</v>
          </cell>
        </row>
        <row r="7192">
          <cell r="B7192" t="str">
            <v>B272-400-AS-200-LS-009</v>
          </cell>
          <cell r="E7192" t="str">
            <v>B2055</v>
          </cell>
        </row>
        <row r="7193">
          <cell r="B7193" t="str">
            <v>B272-400-AS-200-LS-010</v>
          </cell>
        </row>
        <row r="7194">
          <cell r="B7194" t="str">
            <v>B272-400-AS-200-LS-010</v>
          </cell>
          <cell r="E7194" t="str">
            <v>A-76</v>
          </cell>
        </row>
        <row r="7195">
          <cell r="B7195" t="str">
            <v>B272-400-AS-200-LS-010</v>
          </cell>
          <cell r="E7195" t="str">
            <v>B2055</v>
          </cell>
        </row>
        <row r="7196">
          <cell r="B7196" t="str">
            <v>B272-400-AS-200-LS-011</v>
          </cell>
        </row>
        <row r="7197">
          <cell r="B7197" t="str">
            <v>B272-400-AS-200-LS-011</v>
          </cell>
          <cell r="E7197" t="str">
            <v>A-79</v>
          </cell>
        </row>
        <row r="7198">
          <cell r="B7198" t="str">
            <v>B272-400-AS-200-LS-011</v>
          </cell>
          <cell r="E7198" t="str">
            <v>B2055</v>
          </cell>
        </row>
        <row r="7199">
          <cell r="B7199" t="str">
            <v>B272-400-AS-200-LS-012</v>
          </cell>
        </row>
        <row r="7200">
          <cell r="B7200" t="str">
            <v>B272-400-AS-200-LS-012</v>
          </cell>
          <cell r="E7200" t="str">
            <v>A-80</v>
          </cell>
        </row>
        <row r="7201">
          <cell r="B7201" t="str">
            <v>B272-400-AS-200-LS-012</v>
          </cell>
          <cell r="E7201" t="str">
            <v>B2055</v>
          </cell>
        </row>
        <row r="7202">
          <cell r="B7202" t="str">
            <v>B272-400-AS-200-LS-013</v>
          </cell>
        </row>
        <row r="7203">
          <cell r="B7203" t="str">
            <v>B272-400-AS-200-LS-013</v>
          </cell>
          <cell r="E7203" t="str">
            <v>G-88</v>
          </cell>
        </row>
        <row r="7204">
          <cell r="B7204" t="str">
            <v>B272-400-AS-200-LS-013</v>
          </cell>
          <cell r="E7204" t="str">
            <v>HY-76</v>
          </cell>
        </row>
        <row r="7205">
          <cell r="B7205" t="str">
            <v>B272-400-AS-200-LS-013</v>
          </cell>
          <cell r="E7205" t="str">
            <v>P-1241(1/2)</v>
          </cell>
        </row>
        <row r="7206">
          <cell r="B7206" t="str">
            <v>B272-400-AS-200-LS-013</v>
          </cell>
          <cell r="E7206" t="str">
            <v>P-1241(2/2)</v>
          </cell>
        </row>
        <row r="7207">
          <cell r="B7207" t="str">
            <v>B272-400-AS-200-LS-013</v>
          </cell>
          <cell r="E7207" t="str">
            <v>P-1242</v>
          </cell>
        </row>
        <row r="7208">
          <cell r="B7208" t="str">
            <v>B272-400-AS-200-LS-013</v>
          </cell>
          <cell r="E7208" t="str">
            <v>P-1244(1/2)</v>
          </cell>
        </row>
        <row r="7209">
          <cell r="B7209" t="str">
            <v>B272-400-AS-200-LS-013</v>
          </cell>
          <cell r="E7209" t="str">
            <v>P-1244(2/2)</v>
          </cell>
        </row>
        <row r="7210">
          <cell r="B7210" t="str">
            <v>B272-400-AS-200-LS-013</v>
          </cell>
          <cell r="E7210" t="str">
            <v>P-1247</v>
          </cell>
        </row>
        <row r="7211">
          <cell r="B7211" t="str">
            <v>B272-400-AS-200-LS-013</v>
          </cell>
          <cell r="E7211" t="str">
            <v>P-2029</v>
          </cell>
        </row>
        <row r="7212">
          <cell r="B7212" t="str">
            <v>B272-400-AS-200-LS-013</v>
          </cell>
          <cell r="E7212" t="str">
            <v>P-2039</v>
          </cell>
        </row>
        <row r="7213">
          <cell r="B7213" t="str">
            <v>B272-400-AS-200-LS-013</v>
          </cell>
          <cell r="E7213" t="str">
            <v>B2070</v>
          </cell>
        </row>
        <row r="7214">
          <cell r="B7214" t="str">
            <v>B272-400-AS-220-BK-001</v>
          </cell>
        </row>
        <row r="7215">
          <cell r="B7215" t="str">
            <v>B272-400-AS-220-BK-001</v>
          </cell>
          <cell r="E7215" t="str">
            <v>A-27</v>
          </cell>
        </row>
        <row r="7216">
          <cell r="B7216" t="str">
            <v>B272-400-AS-220-BK-001</v>
          </cell>
          <cell r="E7216" t="str">
            <v>B2060</v>
          </cell>
        </row>
        <row r="7217">
          <cell r="B7217" t="str">
            <v>B272-400-AS-220-BK-001</v>
          </cell>
        </row>
        <row r="7218">
          <cell r="B7218" t="str">
            <v>B272-400-AS-220-BK-001</v>
          </cell>
          <cell r="E7218" t="str">
            <v>A-27</v>
          </cell>
        </row>
        <row r="7219">
          <cell r="B7219" t="str">
            <v>B272-400-AS-220-BK-001</v>
          </cell>
          <cell r="E7219" t="str">
            <v>B2060</v>
          </cell>
        </row>
        <row r="7220">
          <cell r="B7220" t="str">
            <v>B272-400-AS-220-BK-001</v>
          </cell>
        </row>
        <row r="7221">
          <cell r="B7221" t="str">
            <v>B272-400-AS-220-BK-001</v>
          </cell>
          <cell r="E7221" t="str">
            <v>A-27</v>
          </cell>
        </row>
        <row r="7222">
          <cell r="B7222" t="str">
            <v>B272-400-AS-220-BK-001</v>
          </cell>
          <cell r="E7222" t="str">
            <v>B2060</v>
          </cell>
        </row>
        <row r="7223">
          <cell r="B7223" t="str">
            <v>B272-400-AS-220-BK-001</v>
          </cell>
        </row>
        <row r="7224">
          <cell r="B7224" t="str">
            <v>B272-400-AS-220-BK-001</v>
          </cell>
          <cell r="E7224" t="str">
            <v>A-27</v>
          </cell>
        </row>
        <row r="7225">
          <cell r="B7225" t="str">
            <v>B272-400-AS-220-BK-001</v>
          </cell>
          <cell r="E7225" t="str">
            <v>B2060</v>
          </cell>
        </row>
        <row r="7226">
          <cell r="B7226" t="str">
            <v>B272-400-AS-220-BK-001</v>
          </cell>
        </row>
        <row r="7227">
          <cell r="B7227" t="str">
            <v>B272-400-AS-220-BK-001</v>
          </cell>
          <cell r="E7227" t="str">
            <v>A-27</v>
          </cell>
        </row>
        <row r="7228">
          <cell r="B7228" t="str">
            <v>B272-400-AS-220-BK-001</v>
          </cell>
          <cell r="E7228" t="str">
            <v>B2060</v>
          </cell>
        </row>
        <row r="7229">
          <cell r="B7229" t="str">
            <v>B272-400-AS-220-BK-001</v>
          </cell>
        </row>
        <row r="7230">
          <cell r="B7230" t="str">
            <v>B272-400-AS-220-BK-001</v>
          </cell>
          <cell r="E7230" t="str">
            <v>A-27</v>
          </cell>
        </row>
        <row r="7231">
          <cell r="B7231" t="str">
            <v>B272-400-AS-220-BK-001</v>
          </cell>
          <cell r="E7231" t="str">
            <v>B2060</v>
          </cell>
        </row>
        <row r="7232">
          <cell r="B7232" t="str">
            <v>B272-400-AS-220-BK-001</v>
          </cell>
        </row>
        <row r="7233">
          <cell r="B7233" t="str">
            <v>B272-400-AS-220-BK-001</v>
          </cell>
          <cell r="E7233" t="str">
            <v>A-27</v>
          </cell>
        </row>
        <row r="7234">
          <cell r="B7234" t="str">
            <v>B272-400-AS-220-BK-001</v>
          </cell>
          <cell r="E7234" t="str">
            <v>B2060</v>
          </cell>
        </row>
        <row r="7235">
          <cell r="B7235" t="str">
            <v>B272-400-AS-220-BK-001</v>
          </cell>
        </row>
        <row r="7236">
          <cell r="B7236" t="str">
            <v>B272-400-AS-220-BK-001</v>
          </cell>
          <cell r="E7236" t="str">
            <v>A-27</v>
          </cell>
        </row>
        <row r="7237">
          <cell r="B7237" t="str">
            <v>B272-400-AS-220-BK-001</v>
          </cell>
          <cell r="E7237" t="str">
            <v>B2060</v>
          </cell>
        </row>
        <row r="7238">
          <cell r="B7238" t="str">
            <v>B272-400-AS-220-BK-001</v>
          </cell>
        </row>
        <row r="7239">
          <cell r="B7239" t="str">
            <v>B272-400-AS-220-BK-001</v>
          </cell>
          <cell r="E7239" t="str">
            <v>A-27</v>
          </cell>
        </row>
        <row r="7240">
          <cell r="B7240" t="str">
            <v>B272-400-AS-220-BK-001</v>
          </cell>
          <cell r="E7240" t="str">
            <v>B2060</v>
          </cell>
        </row>
        <row r="7241">
          <cell r="B7241" t="str">
            <v>B272-400-AS-220-BK-001</v>
          </cell>
        </row>
        <row r="7242">
          <cell r="B7242" t="str">
            <v>B272-400-AS-220-BK-001</v>
          </cell>
          <cell r="E7242" t="str">
            <v>A-27</v>
          </cell>
        </row>
        <row r="7243">
          <cell r="B7243" t="str">
            <v>B272-400-AS-220-BK-001</v>
          </cell>
          <cell r="E7243" t="str">
            <v>B2060</v>
          </cell>
        </row>
        <row r="7244">
          <cell r="B7244" t="str">
            <v>B272-400-AS-220-BK-001</v>
          </cell>
        </row>
        <row r="7245">
          <cell r="B7245" t="str">
            <v>B272-400-AS-220-BK-001</v>
          </cell>
          <cell r="E7245" t="str">
            <v>A-27</v>
          </cell>
        </row>
        <row r="7246">
          <cell r="B7246" t="str">
            <v>B272-400-AS-220-BK-001</v>
          </cell>
          <cell r="E7246" t="str">
            <v>B2060</v>
          </cell>
        </row>
        <row r="7247">
          <cell r="B7247" t="str">
            <v>B272-400-AS-220-BK-002</v>
          </cell>
        </row>
        <row r="7248">
          <cell r="B7248" t="str">
            <v>B272-400-AS-220-BK-002</v>
          </cell>
          <cell r="E7248" t="str">
            <v>C-17</v>
          </cell>
        </row>
        <row r="7249">
          <cell r="B7249" t="str">
            <v>B272-400-AS-220-BK-002</v>
          </cell>
          <cell r="E7249" t="str">
            <v>P-1006(1/2)</v>
          </cell>
        </row>
        <row r="7250">
          <cell r="B7250" t="str">
            <v>B272-400-AS-220-BK-002</v>
          </cell>
          <cell r="E7250" t="str">
            <v>P-1006(2/2)</v>
          </cell>
        </row>
        <row r="7251">
          <cell r="B7251" t="str">
            <v>B272-400-AS-220-BK-002</v>
          </cell>
          <cell r="E7251" t="str">
            <v>PY-28</v>
          </cell>
        </row>
        <row r="7252">
          <cell r="B7252" t="str">
            <v>B272-400-AS-220-BK-002</v>
          </cell>
          <cell r="E7252" t="str">
            <v>B1645</v>
          </cell>
        </row>
        <row r="7253">
          <cell r="B7253" t="str">
            <v>B272-400-AS-220-BK-002</v>
          </cell>
          <cell r="E7253" t="str">
            <v>B2060</v>
          </cell>
        </row>
        <row r="7254">
          <cell r="B7254" t="str">
            <v>B272-400-AS-220-BK-002</v>
          </cell>
          <cell r="E7254" t="str">
            <v>B2065</v>
          </cell>
        </row>
        <row r="7255">
          <cell r="B7255" t="str">
            <v>B272-400-AS-220-BK-002</v>
          </cell>
          <cell r="E7255" t="str">
            <v>B1660</v>
          </cell>
        </row>
        <row r="7256">
          <cell r="B7256" t="str">
            <v>B272-400-AS-220-BK-002</v>
          </cell>
        </row>
        <row r="7257">
          <cell r="B7257" t="str">
            <v>B272-400-AS-220-BK-002</v>
          </cell>
          <cell r="E7257" t="str">
            <v>C-17</v>
          </cell>
        </row>
        <row r="7258">
          <cell r="B7258" t="str">
            <v>B272-400-AS-220-BK-002</v>
          </cell>
          <cell r="E7258" t="str">
            <v>P-1006(1/2)</v>
          </cell>
        </row>
        <row r="7259">
          <cell r="B7259" t="str">
            <v>B272-400-AS-220-BK-002</v>
          </cell>
          <cell r="E7259" t="str">
            <v>P-1006(2/2)</v>
          </cell>
        </row>
        <row r="7260">
          <cell r="B7260" t="str">
            <v>B272-400-AS-220-BK-002</v>
          </cell>
          <cell r="E7260" t="str">
            <v>PY-28</v>
          </cell>
        </row>
        <row r="7261">
          <cell r="B7261" t="str">
            <v>B272-400-AS-220-BK-002</v>
          </cell>
          <cell r="E7261" t="str">
            <v>B1645</v>
          </cell>
        </row>
        <row r="7262">
          <cell r="B7262" t="str">
            <v>B272-400-AS-220-BK-002</v>
          </cell>
          <cell r="E7262" t="str">
            <v>B2060</v>
          </cell>
        </row>
        <row r="7263">
          <cell r="B7263" t="str">
            <v>B272-400-AS-220-BK-002</v>
          </cell>
          <cell r="E7263" t="str">
            <v>B2065</v>
          </cell>
        </row>
        <row r="7264">
          <cell r="B7264" t="str">
            <v>B272-400-AS-220-BK-002</v>
          </cell>
          <cell r="E7264" t="str">
            <v>B1660</v>
          </cell>
        </row>
        <row r="7265">
          <cell r="B7265" t="str">
            <v>B272-400-AS-220-BK-002</v>
          </cell>
        </row>
        <row r="7266">
          <cell r="B7266" t="str">
            <v>B272-400-AS-220-BK-002</v>
          </cell>
          <cell r="E7266" t="str">
            <v>C-17</v>
          </cell>
        </row>
        <row r="7267">
          <cell r="B7267" t="str">
            <v>B272-400-AS-220-BK-002</v>
          </cell>
          <cell r="E7267" t="str">
            <v>P-1006(1/2)</v>
          </cell>
        </row>
        <row r="7268">
          <cell r="B7268" t="str">
            <v>B272-400-AS-220-BK-002</v>
          </cell>
          <cell r="E7268" t="str">
            <v>P-1006(2/2)</v>
          </cell>
        </row>
        <row r="7269">
          <cell r="B7269" t="str">
            <v>B272-400-AS-220-BK-002</v>
          </cell>
          <cell r="E7269" t="str">
            <v>PY-28</v>
          </cell>
        </row>
        <row r="7270">
          <cell r="B7270" t="str">
            <v>B272-400-AS-220-BK-002</v>
          </cell>
          <cell r="E7270" t="str">
            <v>B1645</v>
          </cell>
        </row>
        <row r="7271">
          <cell r="B7271" t="str">
            <v>B272-400-AS-220-BK-002</v>
          </cell>
          <cell r="E7271" t="str">
            <v>B2060</v>
          </cell>
        </row>
        <row r="7272">
          <cell r="B7272" t="str">
            <v>B272-400-AS-220-BK-002</v>
          </cell>
          <cell r="E7272" t="str">
            <v>B2065</v>
          </cell>
        </row>
        <row r="7273">
          <cell r="B7273" t="str">
            <v>B272-400-AS-220-BK-002</v>
          </cell>
          <cell r="E7273" t="str">
            <v>B1660</v>
          </cell>
        </row>
        <row r="7274">
          <cell r="B7274" t="str">
            <v>B272-400-AS-220-BK-003</v>
          </cell>
        </row>
        <row r="7275">
          <cell r="B7275" t="str">
            <v>B272-400-AS-220-BK-003</v>
          </cell>
          <cell r="E7275" t="str">
            <v>C-39</v>
          </cell>
        </row>
        <row r="7276">
          <cell r="B7276" t="str">
            <v>B272-400-AS-220-BK-003</v>
          </cell>
          <cell r="E7276" t="str">
            <v>G-56</v>
          </cell>
        </row>
        <row r="7277">
          <cell r="B7277" t="str">
            <v>B272-400-AS-220-BK-003</v>
          </cell>
          <cell r="E7277" t="str">
            <v>G-58</v>
          </cell>
        </row>
        <row r="7278">
          <cell r="B7278" t="str">
            <v>B272-400-AS-220-BK-003</v>
          </cell>
          <cell r="E7278" t="str">
            <v>P-1005(1/2)</v>
          </cell>
        </row>
        <row r="7279">
          <cell r="B7279" t="str">
            <v>B272-400-AS-220-BK-003</v>
          </cell>
          <cell r="E7279" t="str">
            <v>P-1005(2/2)</v>
          </cell>
        </row>
        <row r="7280">
          <cell r="B7280" t="str">
            <v>B272-400-AS-220-BK-003</v>
          </cell>
          <cell r="E7280" t="str">
            <v>PY-27</v>
          </cell>
        </row>
        <row r="7281">
          <cell r="B7281" t="str">
            <v>B272-400-AS-220-BK-003</v>
          </cell>
          <cell r="E7281" t="str">
            <v>B1645</v>
          </cell>
        </row>
        <row r="7282">
          <cell r="B7282" t="str">
            <v>B272-400-AS-220-BK-003</v>
          </cell>
          <cell r="E7282" t="str">
            <v>B2065</v>
          </cell>
        </row>
        <row r="7283">
          <cell r="B7283" t="str">
            <v>B272-400-AS-220-BK-003</v>
          </cell>
          <cell r="E7283" t="str">
            <v>B1660</v>
          </cell>
        </row>
        <row r="7284">
          <cell r="B7284" t="str">
            <v>B272-400-AS-220-BK-003</v>
          </cell>
        </row>
        <row r="7285">
          <cell r="B7285" t="str">
            <v>B272-400-AS-220-BK-003</v>
          </cell>
          <cell r="E7285" t="str">
            <v>C-39</v>
          </cell>
        </row>
        <row r="7286">
          <cell r="B7286" t="str">
            <v>B272-400-AS-220-BK-003</v>
          </cell>
          <cell r="E7286" t="str">
            <v>G-56</v>
          </cell>
        </row>
        <row r="7287">
          <cell r="B7287" t="str">
            <v>B272-400-AS-220-BK-003</v>
          </cell>
          <cell r="E7287" t="str">
            <v>G-58</v>
          </cell>
        </row>
        <row r="7288">
          <cell r="B7288" t="str">
            <v>B272-400-AS-220-BK-003</v>
          </cell>
          <cell r="E7288" t="str">
            <v>P-1005(1/2)</v>
          </cell>
        </row>
        <row r="7289">
          <cell r="B7289" t="str">
            <v>B272-400-AS-220-BK-003</v>
          </cell>
          <cell r="E7289" t="str">
            <v>P-1005(2/2)</v>
          </cell>
        </row>
        <row r="7290">
          <cell r="B7290" t="str">
            <v>B272-400-AS-220-BK-003</v>
          </cell>
          <cell r="E7290" t="str">
            <v>PY-27</v>
          </cell>
        </row>
        <row r="7291">
          <cell r="B7291" t="str">
            <v>B272-400-AS-220-BK-003</v>
          </cell>
          <cell r="E7291" t="str">
            <v>B1645</v>
          </cell>
        </row>
        <row r="7292">
          <cell r="B7292" t="str">
            <v>B272-400-AS-220-BK-003</v>
          </cell>
          <cell r="E7292" t="str">
            <v>B2065</v>
          </cell>
        </row>
        <row r="7293">
          <cell r="B7293" t="str">
            <v>B272-400-AS-220-BK-003</v>
          </cell>
          <cell r="E7293" t="str">
            <v>B1660</v>
          </cell>
        </row>
        <row r="7294">
          <cell r="B7294" t="str">
            <v>B272-400-AS-220-BK-004</v>
          </cell>
        </row>
        <row r="7295">
          <cell r="B7295" t="str">
            <v>B272-400-AS-220-BK-004</v>
          </cell>
          <cell r="E7295" t="str">
            <v>C-40</v>
          </cell>
        </row>
        <row r="7296">
          <cell r="B7296" t="str">
            <v>B272-400-AS-220-BK-004</v>
          </cell>
          <cell r="E7296" t="str">
            <v>G-56</v>
          </cell>
        </row>
        <row r="7297">
          <cell r="B7297" t="str">
            <v>B272-400-AS-220-BK-004</v>
          </cell>
          <cell r="E7297" t="str">
            <v>G-58(1/2)</v>
          </cell>
        </row>
        <row r="7298">
          <cell r="B7298" t="str">
            <v>B272-400-AS-220-BK-004</v>
          </cell>
          <cell r="E7298" t="str">
            <v>G-58(2/2)</v>
          </cell>
        </row>
        <row r="7299">
          <cell r="B7299" t="str">
            <v>B272-400-AS-220-BK-004</v>
          </cell>
          <cell r="E7299" t="str">
            <v>P-1005(1/2)</v>
          </cell>
        </row>
        <row r="7300">
          <cell r="B7300" t="str">
            <v>B272-400-AS-220-BK-004</v>
          </cell>
          <cell r="E7300" t="str">
            <v>P-1005(2/2)</v>
          </cell>
        </row>
        <row r="7301">
          <cell r="B7301" t="str">
            <v>B272-400-AS-220-BK-004</v>
          </cell>
          <cell r="E7301" t="str">
            <v>PY-28</v>
          </cell>
        </row>
        <row r="7302">
          <cell r="B7302" t="str">
            <v>B272-400-AS-220-BK-004</v>
          </cell>
          <cell r="E7302" t="str">
            <v>B1645</v>
          </cell>
        </row>
        <row r="7303">
          <cell r="B7303" t="str">
            <v>B272-400-AS-220-BK-004</v>
          </cell>
          <cell r="E7303" t="str">
            <v>B2065</v>
          </cell>
        </row>
        <row r="7304">
          <cell r="B7304" t="str">
            <v>B272-400-AS-220-BK-004</v>
          </cell>
          <cell r="E7304" t="str">
            <v>B1660</v>
          </cell>
        </row>
        <row r="7305">
          <cell r="B7305" t="str">
            <v>B272-400-AS-220-BK-005</v>
          </cell>
        </row>
        <row r="7306">
          <cell r="B7306" t="str">
            <v>B272-400-AS-220-BK-005</v>
          </cell>
          <cell r="E7306" t="str">
            <v>C-40</v>
          </cell>
        </row>
        <row r="7307">
          <cell r="B7307" t="str">
            <v>B272-400-AS-220-BK-005</v>
          </cell>
          <cell r="E7307" t="str">
            <v>G-56</v>
          </cell>
        </row>
        <row r="7308">
          <cell r="B7308" t="str">
            <v>B272-400-AS-220-BK-005</v>
          </cell>
          <cell r="E7308" t="str">
            <v>G-58</v>
          </cell>
        </row>
        <row r="7309">
          <cell r="B7309" t="str">
            <v>B272-400-AS-220-BK-005</v>
          </cell>
          <cell r="E7309" t="str">
            <v>P-1005(1/2)</v>
          </cell>
        </row>
        <row r="7310">
          <cell r="B7310" t="str">
            <v>B272-400-AS-220-BK-005</v>
          </cell>
          <cell r="E7310" t="str">
            <v>P-1005(2/2)</v>
          </cell>
        </row>
        <row r="7311">
          <cell r="B7311" t="str">
            <v>B272-400-AS-220-BK-005</v>
          </cell>
          <cell r="E7311" t="str">
            <v>PY-28</v>
          </cell>
        </row>
        <row r="7312">
          <cell r="B7312" t="str">
            <v>B272-400-AS-220-BK-005</v>
          </cell>
          <cell r="E7312" t="str">
            <v>B1645</v>
          </cell>
        </row>
        <row r="7313">
          <cell r="B7313" t="str">
            <v>B272-400-AS-220-BK-005</v>
          </cell>
          <cell r="E7313" t="str">
            <v>B2065</v>
          </cell>
        </row>
        <row r="7314">
          <cell r="B7314" t="str">
            <v>B272-400-AS-220-BK-005</v>
          </cell>
          <cell r="E7314" t="str">
            <v>B1660</v>
          </cell>
        </row>
        <row r="7315">
          <cell r="B7315" t="str">
            <v>B272-400-AS-220-BK-006</v>
          </cell>
        </row>
        <row r="7316">
          <cell r="B7316" t="str">
            <v>B272-400-AS-220-BK-006</v>
          </cell>
          <cell r="E7316" t="str">
            <v>C-40</v>
          </cell>
        </row>
        <row r="7317">
          <cell r="B7317" t="str">
            <v>B272-400-AS-220-BK-006</v>
          </cell>
          <cell r="E7317" t="str">
            <v>G-56</v>
          </cell>
        </row>
        <row r="7318">
          <cell r="B7318" t="str">
            <v>B272-400-AS-220-BK-006</v>
          </cell>
          <cell r="E7318" t="str">
            <v>G-58</v>
          </cell>
        </row>
        <row r="7319">
          <cell r="B7319" t="str">
            <v>B272-400-AS-220-BK-006</v>
          </cell>
          <cell r="E7319" t="str">
            <v>P-1005(1/2)</v>
          </cell>
        </row>
        <row r="7320">
          <cell r="B7320" t="str">
            <v>B272-400-AS-220-BK-006</v>
          </cell>
          <cell r="E7320" t="str">
            <v>P-1005(2/2)</v>
          </cell>
        </row>
        <row r="7321">
          <cell r="B7321" t="str">
            <v>B272-400-AS-220-BK-006</v>
          </cell>
          <cell r="E7321" t="str">
            <v>PY-28</v>
          </cell>
        </row>
        <row r="7322">
          <cell r="B7322" t="str">
            <v>B272-400-AS-220-BK-006</v>
          </cell>
          <cell r="E7322" t="str">
            <v>B1645</v>
          </cell>
        </row>
        <row r="7323">
          <cell r="B7323" t="str">
            <v>B272-400-AS-220-BK-006</v>
          </cell>
          <cell r="E7323" t="str">
            <v>B2065</v>
          </cell>
        </row>
        <row r="7324">
          <cell r="B7324" t="str">
            <v>B272-400-AS-220-BK-006</v>
          </cell>
          <cell r="E7324" t="str">
            <v>B1660</v>
          </cell>
        </row>
        <row r="7325">
          <cell r="B7325" t="str">
            <v>B272-400-AS-220-BK-006</v>
          </cell>
        </row>
        <row r="7326">
          <cell r="B7326" t="str">
            <v>B272-400-AS-220-BK-006</v>
          </cell>
          <cell r="E7326" t="str">
            <v>C-40</v>
          </cell>
        </row>
        <row r="7327">
          <cell r="B7327" t="str">
            <v>B272-400-AS-220-BK-006</v>
          </cell>
          <cell r="E7327" t="str">
            <v>G-56</v>
          </cell>
        </row>
        <row r="7328">
          <cell r="B7328" t="str">
            <v>B272-400-AS-220-BK-006</v>
          </cell>
          <cell r="E7328" t="str">
            <v>G-58</v>
          </cell>
        </row>
        <row r="7329">
          <cell r="B7329" t="str">
            <v>B272-400-AS-220-BK-006</v>
          </cell>
          <cell r="E7329" t="str">
            <v>P-1005(1/2)</v>
          </cell>
        </row>
        <row r="7330">
          <cell r="B7330" t="str">
            <v>B272-400-AS-220-BK-006</v>
          </cell>
          <cell r="E7330" t="str">
            <v>P-1005(2/2)</v>
          </cell>
        </row>
        <row r="7331">
          <cell r="B7331" t="str">
            <v>B272-400-AS-220-BK-006</v>
          </cell>
          <cell r="E7331" t="str">
            <v>PY-28</v>
          </cell>
        </row>
        <row r="7332">
          <cell r="B7332" t="str">
            <v>B272-400-AS-220-BK-006</v>
          </cell>
          <cell r="E7332" t="str">
            <v>B1645</v>
          </cell>
        </row>
        <row r="7333">
          <cell r="B7333" t="str">
            <v>B272-400-AS-220-BK-006</v>
          </cell>
          <cell r="E7333" t="str">
            <v>B2065</v>
          </cell>
        </row>
        <row r="7334">
          <cell r="B7334" t="str">
            <v>B272-400-AS-220-BK-006</v>
          </cell>
          <cell r="E7334" t="str">
            <v>B1660</v>
          </cell>
        </row>
        <row r="7335">
          <cell r="B7335" t="str">
            <v>B272-400-AS-220-BK-007</v>
          </cell>
        </row>
        <row r="7336">
          <cell r="B7336" t="str">
            <v>B272-400-AS-220-BK-007</v>
          </cell>
          <cell r="E7336" t="str">
            <v>C-41</v>
          </cell>
        </row>
        <row r="7337">
          <cell r="B7337" t="str">
            <v>B272-400-AS-220-BK-007</v>
          </cell>
          <cell r="E7337" t="str">
            <v>CY-104</v>
          </cell>
        </row>
        <row r="7338">
          <cell r="B7338" t="str">
            <v>B272-400-AS-220-BK-007</v>
          </cell>
          <cell r="E7338" t="str">
            <v>G-56</v>
          </cell>
        </row>
        <row r="7339">
          <cell r="B7339" t="str">
            <v>B272-400-AS-220-BK-007</v>
          </cell>
          <cell r="E7339" t="str">
            <v>G-58(1/2)</v>
          </cell>
        </row>
        <row r="7340">
          <cell r="B7340" t="str">
            <v>B272-400-AS-220-BK-007</v>
          </cell>
          <cell r="E7340" t="str">
            <v>G-58(2/2)</v>
          </cell>
        </row>
        <row r="7341">
          <cell r="B7341" t="str">
            <v>B272-400-AS-220-BK-007</v>
          </cell>
          <cell r="E7341" t="str">
            <v>G-59</v>
          </cell>
        </row>
        <row r="7342">
          <cell r="B7342" t="str">
            <v>B272-400-AS-220-BK-007</v>
          </cell>
          <cell r="E7342" t="str">
            <v>G-61</v>
          </cell>
        </row>
        <row r="7343">
          <cell r="B7343" t="str">
            <v>B272-400-AS-220-BK-007</v>
          </cell>
          <cell r="E7343" t="str">
            <v>P-1005(1/4)</v>
          </cell>
        </row>
        <row r="7344">
          <cell r="B7344" t="str">
            <v>B272-400-AS-220-BK-007</v>
          </cell>
          <cell r="E7344" t="str">
            <v>P-1005(2/4)</v>
          </cell>
        </row>
        <row r="7345">
          <cell r="B7345" t="str">
            <v>B272-400-AS-220-BK-007</v>
          </cell>
          <cell r="E7345" t="str">
            <v>P-1005(3/4)</v>
          </cell>
        </row>
        <row r="7346">
          <cell r="B7346" t="str">
            <v>B272-400-AS-220-BK-007</v>
          </cell>
          <cell r="E7346" t="str">
            <v>P-1005(4/4)</v>
          </cell>
        </row>
        <row r="7347">
          <cell r="B7347" t="str">
            <v>B272-400-AS-220-BK-007</v>
          </cell>
          <cell r="E7347" t="str">
            <v>P-1076</v>
          </cell>
        </row>
        <row r="7348">
          <cell r="B7348" t="str">
            <v>B272-400-AS-220-BK-007</v>
          </cell>
          <cell r="E7348" t="str">
            <v>PY-27</v>
          </cell>
        </row>
        <row r="7349">
          <cell r="B7349" t="str">
            <v>B272-400-AS-220-BK-007</v>
          </cell>
          <cell r="E7349" t="str">
            <v>B1645</v>
          </cell>
        </row>
        <row r="7350">
          <cell r="B7350" t="str">
            <v>B272-400-AS-220-BK-007</v>
          </cell>
          <cell r="E7350" t="str">
            <v>B2065</v>
          </cell>
        </row>
        <row r="7351">
          <cell r="B7351" t="str">
            <v>B272-400-AS-220-BK-007</v>
          </cell>
          <cell r="E7351" t="str">
            <v>B1660</v>
          </cell>
        </row>
        <row r="7352">
          <cell r="B7352" t="str">
            <v>B272-400-AS-220-BK-008</v>
          </cell>
        </row>
        <row r="7353">
          <cell r="B7353" t="str">
            <v>B272-400-AS-220-BK-008</v>
          </cell>
          <cell r="E7353" t="str">
            <v>C-43</v>
          </cell>
        </row>
        <row r="7354">
          <cell r="B7354" t="str">
            <v>B272-400-AS-220-BK-008</v>
          </cell>
          <cell r="E7354" t="str">
            <v>G-57</v>
          </cell>
        </row>
        <row r="7355">
          <cell r="B7355" t="str">
            <v>B272-400-AS-220-BK-008</v>
          </cell>
          <cell r="E7355" t="str">
            <v>G-58</v>
          </cell>
        </row>
        <row r="7356">
          <cell r="B7356" t="str">
            <v>B272-400-AS-220-BK-008</v>
          </cell>
          <cell r="E7356" t="str">
            <v>P-1005(1/2)</v>
          </cell>
        </row>
        <row r="7357">
          <cell r="B7357" t="str">
            <v>B272-400-AS-220-BK-008</v>
          </cell>
          <cell r="E7357" t="str">
            <v>P-1005(2/2)</v>
          </cell>
        </row>
        <row r="7358">
          <cell r="B7358" t="str">
            <v>B272-400-AS-220-BK-008</v>
          </cell>
          <cell r="E7358" t="str">
            <v>PY-1</v>
          </cell>
        </row>
        <row r="7359">
          <cell r="B7359" t="str">
            <v>B272-400-AS-220-BK-008</v>
          </cell>
          <cell r="E7359" t="str">
            <v>B1645</v>
          </cell>
        </row>
        <row r="7360">
          <cell r="B7360" t="str">
            <v>B272-400-AS-220-BK-008</v>
          </cell>
          <cell r="E7360" t="str">
            <v>B2060</v>
          </cell>
        </row>
        <row r="7361">
          <cell r="B7361" t="str">
            <v>B272-400-AS-220-BK-008</v>
          </cell>
          <cell r="E7361" t="str">
            <v>B2065</v>
          </cell>
        </row>
        <row r="7362">
          <cell r="B7362" t="str">
            <v>B272-400-AS-220-BK-008</v>
          </cell>
          <cell r="E7362" t="str">
            <v>B1660</v>
          </cell>
        </row>
        <row r="7363">
          <cell r="B7363" t="str">
            <v>B272-400-AS-220-BK-009</v>
          </cell>
        </row>
        <row r="7364">
          <cell r="B7364" t="str">
            <v>B272-400-AS-220-BK-009</v>
          </cell>
          <cell r="E7364" t="str">
            <v>C-44</v>
          </cell>
        </row>
        <row r="7365">
          <cell r="B7365" t="str">
            <v>B272-400-AS-220-BK-009</v>
          </cell>
          <cell r="E7365" t="str">
            <v>CY-103</v>
          </cell>
        </row>
        <row r="7366">
          <cell r="B7366" t="str">
            <v>B272-400-AS-220-BK-009</v>
          </cell>
          <cell r="E7366" t="str">
            <v>G-57</v>
          </cell>
        </row>
        <row r="7367">
          <cell r="B7367" t="str">
            <v>B272-400-AS-220-BK-009</v>
          </cell>
          <cell r="E7367" t="str">
            <v>G-58</v>
          </cell>
        </row>
        <row r="7368">
          <cell r="B7368" t="str">
            <v>B272-400-AS-220-BK-009</v>
          </cell>
          <cell r="E7368" t="str">
            <v>G-69</v>
          </cell>
        </row>
        <row r="7369">
          <cell r="B7369" t="str">
            <v>B272-400-AS-220-BK-009</v>
          </cell>
          <cell r="E7369" t="str">
            <v>P-1005(1/2)</v>
          </cell>
        </row>
        <row r="7370">
          <cell r="B7370" t="str">
            <v>B272-400-AS-220-BK-009</v>
          </cell>
          <cell r="E7370" t="str">
            <v>P-1005(2/2)</v>
          </cell>
        </row>
        <row r="7371">
          <cell r="B7371" t="str">
            <v>B272-400-AS-220-BK-009</v>
          </cell>
          <cell r="E7371" t="str">
            <v>PY-2</v>
          </cell>
        </row>
        <row r="7372">
          <cell r="B7372" t="str">
            <v>B272-400-AS-220-BK-009</v>
          </cell>
          <cell r="E7372" t="str">
            <v>B1645</v>
          </cell>
        </row>
        <row r="7373">
          <cell r="B7373" t="str">
            <v>B272-400-AS-220-BK-009</v>
          </cell>
          <cell r="E7373" t="str">
            <v>B2060</v>
          </cell>
        </row>
        <row r="7374">
          <cell r="B7374" t="str">
            <v>B272-400-AS-220-BK-009</v>
          </cell>
          <cell r="E7374" t="str">
            <v>B2065</v>
          </cell>
        </row>
        <row r="7375">
          <cell r="B7375" t="str">
            <v>B272-400-AS-220-BK-009</v>
          </cell>
          <cell r="E7375" t="str">
            <v>B1660</v>
          </cell>
        </row>
        <row r="7376">
          <cell r="B7376" t="str">
            <v>B272-400-AS-220-BK-010</v>
          </cell>
        </row>
        <row r="7377">
          <cell r="B7377" t="str">
            <v>B272-400-AS-220-BK-010</v>
          </cell>
          <cell r="E7377" t="str">
            <v>C-45</v>
          </cell>
        </row>
        <row r="7378">
          <cell r="B7378" t="str">
            <v>B272-400-AS-220-BK-010</v>
          </cell>
          <cell r="E7378" t="str">
            <v>G-57</v>
          </cell>
        </row>
        <row r="7379">
          <cell r="B7379" t="str">
            <v>B272-400-AS-220-BK-010</v>
          </cell>
          <cell r="E7379" t="str">
            <v>G-58</v>
          </cell>
        </row>
        <row r="7380">
          <cell r="B7380" t="str">
            <v>B272-400-AS-220-BK-010</v>
          </cell>
          <cell r="E7380" t="str">
            <v>P-1005(1/2)</v>
          </cell>
        </row>
        <row r="7381">
          <cell r="B7381" t="str">
            <v>B272-400-AS-220-BK-010</v>
          </cell>
          <cell r="E7381" t="str">
            <v>P-1005(2/2)</v>
          </cell>
        </row>
        <row r="7382">
          <cell r="B7382" t="str">
            <v>B272-400-AS-220-BK-010</v>
          </cell>
          <cell r="E7382" t="str">
            <v>PY-31</v>
          </cell>
        </row>
        <row r="7383">
          <cell r="B7383" t="str">
            <v>B272-400-AS-220-BK-010</v>
          </cell>
          <cell r="E7383" t="str">
            <v>B1645</v>
          </cell>
        </row>
        <row r="7384">
          <cell r="B7384" t="str">
            <v>B272-400-AS-220-BK-010</v>
          </cell>
          <cell r="E7384" t="str">
            <v>B2060</v>
          </cell>
        </row>
        <row r="7385">
          <cell r="B7385" t="str">
            <v>B272-400-AS-220-BK-010</v>
          </cell>
          <cell r="E7385" t="str">
            <v>B2065</v>
          </cell>
        </row>
        <row r="7386">
          <cell r="B7386" t="str">
            <v>B272-400-AS-220-BK-010</v>
          </cell>
          <cell r="E7386" t="str">
            <v>B1660</v>
          </cell>
        </row>
        <row r="7387">
          <cell r="B7387" t="str">
            <v>B272-400-AS-220-BK-011</v>
          </cell>
        </row>
        <row r="7388">
          <cell r="B7388" t="str">
            <v>B272-400-AS-220-BK-011</v>
          </cell>
          <cell r="E7388" t="str">
            <v>C-46</v>
          </cell>
        </row>
        <row r="7389">
          <cell r="B7389" t="str">
            <v>B272-400-AS-220-BK-011</v>
          </cell>
          <cell r="E7389" t="str">
            <v>CY-105</v>
          </cell>
        </row>
        <row r="7390">
          <cell r="B7390" t="str">
            <v>B272-400-AS-220-BK-011</v>
          </cell>
          <cell r="E7390" t="str">
            <v>CY-109</v>
          </cell>
        </row>
        <row r="7391">
          <cell r="B7391" t="str">
            <v>B272-400-AS-220-BK-011</v>
          </cell>
          <cell r="E7391" t="str">
            <v>G-58</v>
          </cell>
        </row>
        <row r="7392">
          <cell r="B7392" t="str">
            <v>B272-400-AS-220-BK-011</v>
          </cell>
          <cell r="E7392" t="str">
            <v>G-70</v>
          </cell>
        </row>
        <row r="7393">
          <cell r="B7393" t="str">
            <v>B272-400-AS-220-BK-011</v>
          </cell>
          <cell r="E7393" t="str">
            <v>GY-3</v>
          </cell>
        </row>
        <row r="7394">
          <cell r="B7394" t="str">
            <v>B272-400-AS-220-BK-011</v>
          </cell>
          <cell r="E7394" t="str">
            <v>HY-69</v>
          </cell>
        </row>
        <row r="7395">
          <cell r="B7395" t="str">
            <v>B272-400-AS-220-BK-011</v>
          </cell>
          <cell r="E7395" t="str">
            <v>P-1005(1/4)</v>
          </cell>
        </row>
        <row r="7396">
          <cell r="B7396" t="str">
            <v>B272-400-AS-220-BK-011</v>
          </cell>
          <cell r="E7396" t="str">
            <v>P-1005(2/4)</v>
          </cell>
        </row>
        <row r="7397">
          <cell r="B7397" t="str">
            <v>B272-400-AS-220-BK-011</v>
          </cell>
          <cell r="E7397" t="str">
            <v>P-1005(3/4)</v>
          </cell>
        </row>
        <row r="7398">
          <cell r="B7398" t="str">
            <v>B272-400-AS-220-BK-011</v>
          </cell>
          <cell r="E7398" t="str">
            <v>P-1005(4/4)</v>
          </cell>
        </row>
        <row r="7399">
          <cell r="B7399" t="str">
            <v>B272-400-AS-220-BK-011</v>
          </cell>
          <cell r="E7399" t="str">
            <v>P-1017</v>
          </cell>
        </row>
        <row r="7400">
          <cell r="B7400" t="str">
            <v>B272-400-AS-220-BK-011</v>
          </cell>
          <cell r="E7400" t="str">
            <v>PY-25</v>
          </cell>
        </row>
        <row r="7401">
          <cell r="B7401" t="str">
            <v>B272-400-AS-220-BK-011</v>
          </cell>
          <cell r="E7401" t="str">
            <v>B1645</v>
          </cell>
        </row>
        <row r="7402">
          <cell r="B7402" t="str">
            <v>B272-400-AS-220-BK-011</v>
          </cell>
          <cell r="E7402" t="str">
            <v>B2060</v>
          </cell>
        </row>
        <row r="7403">
          <cell r="B7403" t="str">
            <v>B272-400-AS-220-BK-011</v>
          </cell>
          <cell r="E7403" t="str">
            <v>B2065</v>
          </cell>
        </row>
        <row r="7404">
          <cell r="B7404" t="str">
            <v>B272-400-AS-220-BK-011</v>
          </cell>
          <cell r="E7404" t="str">
            <v>B1660</v>
          </cell>
        </row>
        <row r="7405">
          <cell r="B7405" t="str">
            <v>B272-400-AS-220-BK-012</v>
          </cell>
        </row>
        <row r="7406">
          <cell r="B7406" t="str">
            <v>B272-400-AS-220-BK-012</v>
          </cell>
          <cell r="E7406" t="str">
            <v>C-46</v>
          </cell>
        </row>
        <row r="7407">
          <cell r="B7407" t="str">
            <v>B272-400-AS-220-BK-012</v>
          </cell>
          <cell r="E7407" t="str">
            <v>CY-106</v>
          </cell>
        </row>
        <row r="7408">
          <cell r="B7408" t="str">
            <v>B272-400-AS-220-BK-012</v>
          </cell>
          <cell r="E7408" t="str">
            <v>CY-108</v>
          </cell>
        </row>
        <row r="7409">
          <cell r="B7409" t="str">
            <v>B272-400-AS-220-BK-012</v>
          </cell>
          <cell r="E7409" t="str">
            <v>G-57(1/2)</v>
          </cell>
        </row>
        <row r="7410">
          <cell r="B7410" t="str">
            <v>B272-400-AS-220-BK-012</v>
          </cell>
          <cell r="E7410" t="str">
            <v>G-57(2/2)</v>
          </cell>
        </row>
        <row r="7411">
          <cell r="B7411" t="str">
            <v>B272-400-AS-220-BK-012</v>
          </cell>
          <cell r="E7411" t="str">
            <v>GY-3</v>
          </cell>
        </row>
        <row r="7412">
          <cell r="B7412" t="str">
            <v>B272-400-AS-220-BK-012</v>
          </cell>
          <cell r="E7412" t="str">
            <v>HY-67</v>
          </cell>
        </row>
        <row r="7413">
          <cell r="B7413" t="str">
            <v>B272-400-AS-220-BK-012</v>
          </cell>
          <cell r="E7413" t="str">
            <v>P-1005(1/4)</v>
          </cell>
        </row>
        <row r="7414">
          <cell r="B7414" t="str">
            <v>B272-400-AS-220-BK-012</v>
          </cell>
          <cell r="E7414" t="str">
            <v>P-1005(2/4)</v>
          </cell>
        </row>
        <row r="7415">
          <cell r="B7415" t="str">
            <v>B272-400-AS-220-BK-012</v>
          </cell>
          <cell r="E7415" t="str">
            <v>P-1005(3/4)</v>
          </cell>
        </row>
        <row r="7416">
          <cell r="B7416" t="str">
            <v>B272-400-AS-220-BK-012</v>
          </cell>
          <cell r="E7416" t="str">
            <v>P-1005(4/4)</v>
          </cell>
        </row>
        <row r="7417">
          <cell r="B7417" t="str">
            <v>B272-400-AS-220-BK-012</v>
          </cell>
          <cell r="E7417" t="str">
            <v>P-1017(1/3)</v>
          </cell>
        </row>
        <row r="7418">
          <cell r="B7418" t="str">
            <v>B272-400-AS-220-BK-012</v>
          </cell>
          <cell r="E7418" t="str">
            <v>P-1017(2/3)</v>
          </cell>
        </row>
        <row r="7419">
          <cell r="B7419" t="str">
            <v>B272-400-AS-220-BK-012</v>
          </cell>
          <cell r="E7419" t="str">
            <v>P-1017(3/3)</v>
          </cell>
        </row>
        <row r="7420">
          <cell r="B7420" t="str">
            <v>B272-400-AS-220-BK-012</v>
          </cell>
          <cell r="E7420" t="str">
            <v>PY-25</v>
          </cell>
        </row>
        <row r="7421">
          <cell r="B7421" t="str">
            <v>B272-400-AS-220-BK-012</v>
          </cell>
          <cell r="E7421" t="str">
            <v>B1645</v>
          </cell>
        </row>
        <row r="7422">
          <cell r="B7422" t="str">
            <v>B272-400-AS-220-BK-012</v>
          </cell>
          <cell r="E7422" t="str">
            <v>B2060</v>
          </cell>
        </row>
        <row r="7423">
          <cell r="B7423" t="str">
            <v>B272-400-AS-220-BK-012</v>
          </cell>
          <cell r="E7423" t="str">
            <v>B2065</v>
          </cell>
        </row>
        <row r="7424">
          <cell r="B7424" t="str">
            <v>B272-400-AS-220-BK-012</v>
          </cell>
          <cell r="E7424" t="str">
            <v>B1660</v>
          </cell>
        </row>
        <row r="7425">
          <cell r="B7425" t="str">
            <v>B272-400-AS-220-BK-013</v>
          </cell>
        </row>
        <row r="7426">
          <cell r="B7426" t="str">
            <v>B272-400-AS-220-BK-013</v>
          </cell>
          <cell r="E7426" t="str">
            <v>C-46</v>
          </cell>
        </row>
        <row r="7427">
          <cell r="B7427" t="str">
            <v>B272-400-AS-220-BK-013</v>
          </cell>
          <cell r="E7427" t="str">
            <v>G-57</v>
          </cell>
        </row>
        <row r="7428">
          <cell r="B7428" t="str">
            <v>B272-400-AS-220-BK-013</v>
          </cell>
          <cell r="E7428" t="str">
            <v>G-58</v>
          </cell>
        </row>
        <row r="7429">
          <cell r="B7429" t="str">
            <v>B272-400-AS-220-BK-013</v>
          </cell>
          <cell r="E7429" t="str">
            <v>GY-3</v>
          </cell>
        </row>
        <row r="7430">
          <cell r="B7430" t="str">
            <v>B272-400-AS-220-BK-013</v>
          </cell>
          <cell r="E7430" t="str">
            <v>P-1005(1/2)</v>
          </cell>
        </row>
        <row r="7431">
          <cell r="B7431" t="str">
            <v>B272-400-AS-220-BK-013</v>
          </cell>
          <cell r="E7431" t="str">
            <v>P-1005(2/2)</v>
          </cell>
        </row>
        <row r="7432">
          <cell r="B7432" t="str">
            <v>B272-400-AS-220-BK-013</v>
          </cell>
          <cell r="E7432" t="str">
            <v>PY-25</v>
          </cell>
        </row>
        <row r="7433">
          <cell r="B7433" t="str">
            <v>B272-400-AS-220-BK-013</v>
          </cell>
          <cell r="E7433" t="str">
            <v>B1645</v>
          </cell>
        </row>
        <row r="7434">
          <cell r="B7434" t="str">
            <v>B272-400-AS-220-BK-013</v>
          </cell>
          <cell r="E7434" t="str">
            <v>B2060</v>
          </cell>
        </row>
        <row r="7435">
          <cell r="B7435" t="str">
            <v>B272-400-AS-220-BK-013</v>
          </cell>
          <cell r="E7435" t="str">
            <v>B2065</v>
          </cell>
        </row>
        <row r="7436">
          <cell r="B7436" t="str">
            <v>B272-400-AS-220-BK-013</v>
          </cell>
          <cell r="E7436" t="str">
            <v>B1660</v>
          </cell>
        </row>
        <row r="7437">
          <cell r="B7437" t="str">
            <v>B272-400-AS-220-BK-013</v>
          </cell>
        </row>
        <row r="7438">
          <cell r="B7438" t="str">
            <v>B272-400-AS-220-BK-013</v>
          </cell>
          <cell r="E7438" t="str">
            <v>C-46</v>
          </cell>
        </row>
        <row r="7439">
          <cell r="B7439" t="str">
            <v>B272-400-AS-220-BK-013</v>
          </cell>
          <cell r="E7439" t="str">
            <v>G-57</v>
          </cell>
        </row>
        <row r="7440">
          <cell r="B7440" t="str">
            <v>B272-400-AS-220-BK-013</v>
          </cell>
          <cell r="E7440" t="str">
            <v>G-58</v>
          </cell>
        </row>
        <row r="7441">
          <cell r="B7441" t="str">
            <v>B272-400-AS-220-BK-013</v>
          </cell>
          <cell r="E7441" t="str">
            <v>GY-3</v>
          </cell>
        </row>
        <row r="7442">
          <cell r="B7442" t="str">
            <v>B272-400-AS-220-BK-013</v>
          </cell>
          <cell r="E7442" t="str">
            <v>P-1005(1/2)</v>
          </cell>
        </row>
        <row r="7443">
          <cell r="B7443" t="str">
            <v>B272-400-AS-220-BK-013</v>
          </cell>
          <cell r="E7443" t="str">
            <v>P-1005(2/2)</v>
          </cell>
        </row>
        <row r="7444">
          <cell r="B7444" t="str">
            <v>B272-400-AS-220-BK-013</v>
          </cell>
          <cell r="E7444" t="str">
            <v>PY-25</v>
          </cell>
        </row>
        <row r="7445">
          <cell r="B7445" t="str">
            <v>B272-400-AS-220-BK-013</v>
          </cell>
          <cell r="E7445" t="str">
            <v>B1645</v>
          </cell>
        </row>
        <row r="7446">
          <cell r="B7446" t="str">
            <v>B272-400-AS-220-BK-013</v>
          </cell>
          <cell r="E7446" t="str">
            <v>B2060</v>
          </cell>
        </row>
        <row r="7447">
          <cell r="B7447" t="str">
            <v>B272-400-AS-220-BK-013</v>
          </cell>
          <cell r="E7447" t="str">
            <v>B2065</v>
          </cell>
        </row>
        <row r="7448">
          <cell r="B7448" t="str">
            <v>B272-400-AS-220-BK-013</v>
          </cell>
          <cell r="E7448" t="str">
            <v>B1660</v>
          </cell>
        </row>
        <row r="7449">
          <cell r="B7449" t="str">
            <v>B272-400-AS-220-BK-013</v>
          </cell>
        </row>
        <row r="7450">
          <cell r="B7450" t="str">
            <v>B272-400-AS-220-BK-013</v>
          </cell>
          <cell r="E7450" t="str">
            <v>C-46</v>
          </cell>
        </row>
        <row r="7451">
          <cell r="B7451" t="str">
            <v>B272-400-AS-220-BK-013</v>
          </cell>
          <cell r="E7451" t="str">
            <v>G-57</v>
          </cell>
        </row>
        <row r="7452">
          <cell r="B7452" t="str">
            <v>B272-400-AS-220-BK-013</v>
          </cell>
          <cell r="E7452" t="str">
            <v>G-58</v>
          </cell>
        </row>
        <row r="7453">
          <cell r="B7453" t="str">
            <v>B272-400-AS-220-BK-013</v>
          </cell>
          <cell r="E7453" t="str">
            <v>GY-3</v>
          </cell>
        </row>
        <row r="7454">
          <cell r="B7454" t="str">
            <v>B272-400-AS-220-BK-013</v>
          </cell>
          <cell r="E7454" t="str">
            <v>P-1005(1/2)</v>
          </cell>
        </row>
        <row r="7455">
          <cell r="B7455" t="str">
            <v>B272-400-AS-220-BK-013</v>
          </cell>
          <cell r="E7455" t="str">
            <v>P-1005(2/2)</v>
          </cell>
        </row>
        <row r="7456">
          <cell r="B7456" t="str">
            <v>B272-400-AS-220-BK-013</v>
          </cell>
          <cell r="E7456" t="str">
            <v>PY-25</v>
          </cell>
        </row>
        <row r="7457">
          <cell r="B7457" t="str">
            <v>B272-400-AS-220-BK-013</v>
          </cell>
          <cell r="E7457" t="str">
            <v>B1645</v>
          </cell>
        </row>
        <row r="7458">
          <cell r="B7458" t="str">
            <v>B272-400-AS-220-BK-013</v>
          </cell>
          <cell r="E7458" t="str">
            <v>B2060</v>
          </cell>
        </row>
        <row r="7459">
          <cell r="B7459" t="str">
            <v>B272-400-AS-220-BK-013</v>
          </cell>
          <cell r="E7459" t="str">
            <v>B2065</v>
          </cell>
        </row>
        <row r="7460">
          <cell r="B7460" t="str">
            <v>B272-400-AS-220-BK-013</v>
          </cell>
          <cell r="E7460" t="str">
            <v>B1660</v>
          </cell>
        </row>
        <row r="7461">
          <cell r="B7461" t="str">
            <v>B272-400-AS-220-BK-013</v>
          </cell>
        </row>
        <row r="7462">
          <cell r="B7462" t="str">
            <v>B272-400-AS-220-BK-013</v>
          </cell>
          <cell r="E7462" t="str">
            <v>C-46</v>
          </cell>
        </row>
        <row r="7463">
          <cell r="B7463" t="str">
            <v>B272-400-AS-220-BK-013</v>
          </cell>
          <cell r="E7463" t="str">
            <v>G-57</v>
          </cell>
        </row>
        <row r="7464">
          <cell r="B7464" t="str">
            <v>B272-400-AS-220-BK-013</v>
          </cell>
          <cell r="E7464" t="str">
            <v>G-58</v>
          </cell>
        </row>
        <row r="7465">
          <cell r="B7465" t="str">
            <v>B272-400-AS-220-BK-013</v>
          </cell>
          <cell r="E7465" t="str">
            <v>GY-3</v>
          </cell>
        </row>
        <row r="7466">
          <cell r="B7466" t="str">
            <v>B272-400-AS-220-BK-013</v>
          </cell>
          <cell r="E7466" t="str">
            <v>P-1005(1/2)</v>
          </cell>
        </row>
        <row r="7467">
          <cell r="B7467" t="str">
            <v>B272-400-AS-220-BK-013</v>
          </cell>
          <cell r="E7467" t="str">
            <v>P-1005(2/2)</v>
          </cell>
        </row>
        <row r="7468">
          <cell r="B7468" t="str">
            <v>B272-400-AS-220-BK-013</v>
          </cell>
          <cell r="E7468" t="str">
            <v>PY-25</v>
          </cell>
        </row>
        <row r="7469">
          <cell r="B7469" t="str">
            <v>B272-400-AS-220-BK-013</v>
          </cell>
          <cell r="E7469" t="str">
            <v>B1645</v>
          </cell>
        </row>
        <row r="7470">
          <cell r="B7470" t="str">
            <v>B272-400-AS-220-BK-013</v>
          </cell>
          <cell r="E7470" t="str">
            <v>B2060</v>
          </cell>
        </row>
        <row r="7471">
          <cell r="B7471" t="str">
            <v>B272-400-AS-220-BK-013</v>
          </cell>
          <cell r="E7471" t="str">
            <v>B2065</v>
          </cell>
        </row>
        <row r="7472">
          <cell r="B7472" t="str">
            <v>B272-400-AS-220-BK-013</v>
          </cell>
          <cell r="E7472" t="str">
            <v>B1660</v>
          </cell>
        </row>
        <row r="7473">
          <cell r="B7473" t="str">
            <v>B272-400-AS-220-BK-013</v>
          </cell>
        </row>
        <row r="7474">
          <cell r="B7474" t="str">
            <v>B272-400-AS-220-BK-013</v>
          </cell>
          <cell r="E7474" t="str">
            <v>C-46</v>
          </cell>
        </row>
        <row r="7475">
          <cell r="B7475" t="str">
            <v>B272-400-AS-220-BK-013</v>
          </cell>
          <cell r="E7475" t="str">
            <v>G-57</v>
          </cell>
        </row>
        <row r="7476">
          <cell r="B7476" t="str">
            <v>B272-400-AS-220-BK-013</v>
          </cell>
          <cell r="E7476" t="str">
            <v>G-58</v>
          </cell>
        </row>
        <row r="7477">
          <cell r="B7477" t="str">
            <v>B272-400-AS-220-BK-013</v>
          </cell>
          <cell r="E7477" t="str">
            <v>GY-3</v>
          </cell>
        </row>
        <row r="7478">
          <cell r="B7478" t="str">
            <v>B272-400-AS-220-BK-013</v>
          </cell>
          <cell r="E7478" t="str">
            <v>P-1005(1/2)</v>
          </cell>
        </row>
        <row r="7479">
          <cell r="B7479" t="str">
            <v>B272-400-AS-220-BK-013</v>
          </cell>
          <cell r="E7479" t="str">
            <v>P-1005(2/2)</v>
          </cell>
        </row>
        <row r="7480">
          <cell r="B7480" t="str">
            <v>B272-400-AS-220-BK-013</v>
          </cell>
          <cell r="E7480" t="str">
            <v>PY-25</v>
          </cell>
        </row>
        <row r="7481">
          <cell r="B7481" t="str">
            <v>B272-400-AS-220-BK-013</v>
          </cell>
          <cell r="E7481" t="str">
            <v>B1645</v>
          </cell>
        </row>
        <row r="7482">
          <cell r="B7482" t="str">
            <v>B272-400-AS-220-BK-013</v>
          </cell>
          <cell r="E7482" t="str">
            <v>B2060</v>
          </cell>
        </row>
        <row r="7483">
          <cell r="B7483" t="str">
            <v>B272-400-AS-220-BK-013</v>
          </cell>
          <cell r="E7483" t="str">
            <v>B2065</v>
          </cell>
        </row>
        <row r="7484">
          <cell r="B7484" t="str">
            <v>B272-400-AS-220-BK-013</v>
          </cell>
          <cell r="E7484" t="str">
            <v>B1660</v>
          </cell>
        </row>
        <row r="7485">
          <cell r="B7485" t="str">
            <v>B272-400-AS-220-BK-013</v>
          </cell>
        </row>
        <row r="7486">
          <cell r="B7486" t="str">
            <v>B272-400-AS-220-BK-013</v>
          </cell>
          <cell r="E7486" t="str">
            <v>C-46</v>
          </cell>
        </row>
        <row r="7487">
          <cell r="B7487" t="str">
            <v>B272-400-AS-220-BK-013</v>
          </cell>
          <cell r="E7487" t="str">
            <v>G-57</v>
          </cell>
        </row>
        <row r="7488">
          <cell r="B7488" t="str">
            <v>B272-400-AS-220-BK-013</v>
          </cell>
          <cell r="E7488" t="str">
            <v>G-58</v>
          </cell>
        </row>
        <row r="7489">
          <cell r="B7489" t="str">
            <v>B272-400-AS-220-BK-013</v>
          </cell>
          <cell r="E7489" t="str">
            <v>GY-3</v>
          </cell>
        </row>
        <row r="7490">
          <cell r="B7490" t="str">
            <v>B272-400-AS-220-BK-013</v>
          </cell>
          <cell r="E7490" t="str">
            <v>P-1005(1/2)</v>
          </cell>
        </row>
        <row r="7491">
          <cell r="B7491" t="str">
            <v>B272-400-AS-220-BK-013</v>
          </cell>
          <cell r="E7491" t="str">
            <v>P-1005(2/2)</v>
          </cell>
        </row>
        <row r="7492">
          <cell r="B7492" t="str">
            <v>B272-400-AS-220-BK-013</v>
          </cell>
          <cell r="E7492" t="str">
            <v>PY-25</v>
          </cell>
        </row>
        <row r="7493">
          <cell r="B7493" t="str">
            <v>B272-400-AS-220-BK-013</v>
          </cell>
          <cell r="E7493" t="str">
            <v>B1645</v>
          </cell>
        </row>
        <row r="7494">
          <cell r="B7494" t="str">
            <v>B272-400-AS-220-BK-013</v>
          </cell>
          <cell r="E7494" t="str">
            <v>B2060</v>
          </cell>
        </row>
        <row r="7495">
          <cell r="B7495" t="str">
            <v>B272-400-AS-220-BK-013</v>
          </cell>
          <cell r="E7495" t="str">
            <v>B2065</v>
          </cell>
        </row>
        <row r="7496">
          <cell r="B7496" t="str">
            <v>B272-400-AS-220-BK-013</v>
          </cell>
          <cell r="E7496" t="str">
            <v>B1660</v>
          </cell>
        </row>
        <row r="7497">
          <cell r="B7497" t="str">
            <v>B272-400-AS-220-BK-013</v>
          </cell>
        </row>
        <row r="7498">
          <cell r="B7498" t="str">
            <v>B272-400-AS-220-BK-013</v>
          </cell>
          <cell r="E7498" t="str">
            <v>C-46</v>
          </cell>
        </row>
        <row r="7499">
          <cell r="B7499" t="str">
            <v>B272-400-AS-220-BK-013</v>
          </cell>
          <cell r="E7499" t="str">
            <v>G-57</v>
          </cell>
        </row>
        <row r="7500">
          <cell r="B7500" t="str">
            <v>B272-400-AS-220-BK-013</v>
          </cell>
          <cell r="E7500" t="str">
            <v>G-58</v>
          </cell>
        </row>
        <row r="7501">
          <cell r="B7501" t="str">
            <v>B272-400-AS-220-BK-013</v>
          </cell>
          <cell r="E7501" t="str">
            <v>GY-3</v>
          </cell>
        </row>
        <row r="7502">
          <cell r="B7502" t="str">
            <v>B272-400-AS-220-BK-013</v>
          </cell>
          <cell r="E7502" t="str">
            <v>P-1005(1/2)</v>
          </cell>
        </row>
        <row r="7503">
          <cell r="B7503" t="str">
            <v>B272-400-AS-220-BK-013</v>
          </cell>
          <cell r="E7503" t="str">
            <v>P-1005(2/2)</v>
          </cell>
        </row>
        <row r="7504">
          <cell r="B7504" t="str">
            <v>B272-400-AS-220-BK-013</v>
          </cell>
          <cell r="E7504" t="str">
            <v>PY-25</v>
          </cell>
        </row>
        <row r="7505">
          <cell r="B7505" t="str">
            <v>B272-400-AS-220-BK-013</v>
          </cell>
          <cell r="E7505" t="str">
            <v>B1645</v>
          </cell>
        </row>
        <row r="7506">
          <cell r="B7506" t="str">
            <v>B272-400-AS-220-BK-013</v>
          </cell>
          <cell r="E7506" t="str">
            <v>B2060</v>
          </cell>
        </row>
        <row r="7507">
          <cell r="B7507" t="str">
            <v>B272-400-AS-220-BK-013</v>
          </cell>
          <cell r="E7507" t="str">
            <v>B2065</v>
          </cell>
        </row>
        <row r="7508">
          <cell r="B7508" t="str">
            <v>B272-400-AS-220-BK-013</v>
          </cell>
          <cell r="E7508" t="str">
            <v>B1660</v>
          </cell>
        </row>
        <row r="7509">
          <cell r="B7509" t="str">
            <v>B272-400-AS-220-BK-014</v>
          </cell>
        </row>
        <row r="7510">
          <cell r="B7510" t="str">
            <v>B272-400-AS-220-BK-014</v>
          </cell>
          <cell r="E7510" t="str">
            <v>C-57</v>
          </cell>
        </row>
        <row r="7511">
          <cell r="B7511" t="str">
            <v>B272-400-AS-220-BK-014</v>
          </cell>
          <cell r="E7511" t="str">
            <v>G-58</v>
          </cell>
        </row>
        <row r="7512">
          <cell r="B7512" t="str">
            <v>B272-400-AS-220-BK-014</v>
          </cell>
          <cell r="E7512" t="str">
            <v>G-70</v>
          </cell>
        </row>
        <row r="7513">
          <cell r="B7513" t="str">
            <v>B272-400-AS-220-BK-014</v>
          </cell>
          <cell r="E7513" t="str">
            <v>P-1005(1/2)</v>
          </cell>
        </row>
        <row r="7514">
          <cell r="B7514" t="str">
            <v>B272-400-AS-220-BK-014</v>
          </cell>
          <cell r="E7514" t="str">
            <v>P-1005(2/2)</v>
          </cell>
        </row>
        <row r="7515">
          <cell r="B7515" t="str">
            <v>B272-400-AS-220-BK-014</v>
          </cell>
          <cell r="E7515" t="str">
            <v>PY-1</v>
          </cell>
        </row>
        <row r="7516">
          <cell r="B7516" t="str">
            <v>B272-400-AS-220-BK-014</v>
          </cell>
          <cell r="E7516" t="str">
            <v>B1645</v>
          </cell>
        </row>
        <row r="7517">
          <cell r="B7517" t="str">
            <v>B272-400-AS-220-BK-014</v>
          </cell>
          <cell r="E7517" t="str">
            <v>B2060</v>
          </cell>
        </row>
        <row r="7518">
          <cell r="B7518" t="str">
            <v>B272-400-AS-220-BK-014</v>
          </cell>
          <cell r="E7518" t="str">
            <v>B2065</v>
          </cell>
        </row>
        <row r="7519">
          <cell r="B7519" t="str">
            <v>B272-400-AS-220-BK-014</v>
          </cell>
          <cell r="E7519" t="str">
            <v>B1660</v>
          </cell>
        </row>
        <row r="7520">
          <cell r="B7520" t="str">
            <v>B272-400-AS-220-BK-015</v>
          </cell>
        </row>
        <row r="7521">
          <cell r="B7521" t="str">
            <v>B272-400-AS-220-BK-015</v>
          </cell>
          <cell r="E7521" t="str">
            <v>C-58</v>
          </cell>
        </row>
        <row r="7522">
          <cell r="B7522" t="str">
            <v>B272-400-AS-220-BK-015</v>
          </cell>
          <cell r="E7522" t="str">
            <v>G-57</v>
          </cell>
        </row>
        <row r="7523">
          <cell r="B7523" t="str">
            <v>B272-400-AS-220-BK-015</v>
          </cell>
          <cell r="E7523" t="str">
            <v>G-58</v>
          </cell>
        </row>
        <row r="7524">
          <cell r="B7524" t="str">
            <v>B272-400-AS-220-BK-015</v>
          </cell>
          <cell r="E7524" t="str">
            <v>GY-3</v>
          </cell>
        </row>
        <row r="7525">
          <cell r="B7525" t="str">
            <v>B272-400-AS-220-BK-015</v>
          </cell>
          <cell r="E7525" t="str">
            <v>P-1005(1/2)</v>
          </cell>
        </row>
        <row r="7526">
          <cell r="B7526" t="str">
            <v>B272-400-AS-220-BK-015</v>
          </cell>
          <cell r="E7526" t="str">
            <v>P-1005(2/2)</v>
          </cell>
        </row>
        <row r="7527">
          <cell r="B7527" t="str">
            <v>B272-400-AS-220-BK-015</v>
          </cell>
          <cell r="E7527" t="str">
            <v>PY-25</v>
          </cell>
        </row>
        <row r="7528">
          <cell r="B7528" t="str">
            <v>B272-400-AS-220-BK-015</v>
          </cell>
          <cell r="E7528" t="str">
            <v>B1645</v>
          </cell>
        </row>
        <row r="7529">
          <cell r="B7529" t="str">
            <v>B272-400-AS-220-BK-015</v>
          </cell>
          <cell r="E7529" t="str">
            <v>B2060</v>
          </cell>
        </row>
        <row r="7530">
          <cell r="B7530" t="str">
            <v>B272-400-AS-220-BK-015</v>
          </cell>
          <cell r="E7530" t="str">
            <v>B2065</v>
          </cell>
        </row>
        <row r="7531">
          <cell r="B7531" t="str">
            <v>B272-400-AS-220-BK-015</v>
          </cell>
          <cell r="E7531" t="str">
            <v>B1660</v>
          </cell>
        </row>
        <row r="7532">
          <cell r="B7532" t="str">
            <v>B272-400-AS-220-BK-016</v>
          </cell>
        </row>
        <row r="7533">
          <cell r="B7533" t="str">
            <v>B272-400-AS-220-BK-016</v>
          </cell>
          <cell r="E7533" t="str">
            <v>C-58</v>
          </cell>
        </row>
        <row r="7534">
          <cell r="B7534" t="str">
            <v>B272-400-AS-220-BK-016</v>
          </cell>
          <cell r="E7534" t="str">
            <v>G-57</v>
          </cell>
        </row>
        <row r="7535">
          <cell r="B7535" t="str">
            <v>B272-400-AS-220-BK-016</v>
          </cell>
          <cell r="E7535" t="str">
            <v>G-58</v>
          </cell>
        </row>
        <row r="7536">
          <cell r="B7536" t="str">
            <v>B272-400-AS-220-BK-016</v>
          </cell>
          <cell r="E7536" t="str">
            <v>GY-3</v>
          </cell>
        </row>
        <row r="7537">
          <cell r="B7537" t="str">
            <v>B272-400-AS-220-BK-016</v>
          </cell>
          <cell r="E7537" t="str">
            <v>P-1005(1/2)</v>
          </cell>
        </row>
        <row r="7538">
          <cell r="B7538" t="str">
            <v>B272-400-AS-220-BK-016</v>
          </cell>
          <cell r="E7538" t="str">
            <v>P-1005(2/2)</v>
          </cell>
        </row>
        <row r="7539">
          <cell r="B7539" t="str">
            <v>B272-400-AS-220-BK-016</v>
          </cell>
          <cell r="E7539" t="str">
            <v>PY-25</v>
          </cell>
        </row>
        <row r="7540">
          <cell r="B7540" t="str">
            <v>B272-400-AS-220-BK-016</v>
          </cell>
          <cell r="E7540" t="str">
            <v>B1645</v>
          </cell>
        </row>
        <row r="7541">
          <cell r="B7541" t="str">
            <v>B272-400-AS-220-BK-016</v>
          </cell>
          <cell r="E7541" t="str">
            <v>B2060</v>
          </cell>
        </row>
        <row r="7542">
          <cell r="B7542" t="str">
            <v>B272-400-AS-220-BK-016</v>
          </cell>
          <cell r="E7542" t="str">
            <v>B2065</v>
          </cell>
        </row>
        <row r="7543">
          <cell r="B7543" t="str">
            <v>B272-400-AS-220-BK-016</v>
          </cell>
          <cell r="E7543" t="str">
            <v>B1660</v>
          </cell>
        </row>
        <row r="7544">
          <cell r="B7544" t="str">
            <v>B272-400-AS-220-BK-017</v>
          </cell>
        </row>
        <row r="7545">
          <cell r="B7545" t="str">
            <v>B272-400-AS-220-BK-017</v>
          </cell>
          <cell r="E7545" t="str">
            <v>C-60</v>
          </cell>
        </row>
        <row r="7546">
          <cell r="B7546" t="str">
            <v>B272-400-AS-220-BK-017</v>
          </cell>
          <cell r="E7546" t="str">
            <v>P-1006(1/2)</v>
          </cell>
        </row>
        <row r="7547">
          <cell r="B7547" t="str">
            <v>B272-400-AS-220-BK-017</v>
          </cell>
          <cell r="E7547" t="str">
            <v>P-1006(2/2)</v>
          </cell>
        </row>
        <row r="7548">
          <cell r="B7548" t="str">
            <v>B272-400-AS-220-BK-017</v>
          </cell>
          <cell r="E7548" t="str">
            <v>PY-25</v>
          </cell>
        </row>
        <row r="7549">
          <cell r="B7549" t="str">
            <v>B272-400-AS-220-BK-017</v>
          </cell>
          <cell r="E7549" t="str">
            <v>B1645</v>
          </cell>
        </row>
        <row r="7550">
          <cell r="B7550" t="str">
            <v>B272-400-AS-220-BK-017</v>
          </cell>
          <cell r="E7550" t="str">
            <v>B2060</v>
          </cell>
        </row>
        <row r="7551">
          <cell r="B7551" t="str">
            <v>B272-400-AS-220-BK-017</v>
          </cell>
          <cell r="E7551" t="str">
            <v>B2065</v>
          </cell>
        </row>
        <row r="7552">
          <cell r="B7552" t="str">
            <v>B272-400-AS-220-BK-017</v>
          </cell>
          <cell r="E7552" t="str">
            <v>B1660</v>
          </cell>
        </row>
        <row r="7553">
          <cell r="B7553" t="str">
            <v>B272-400-AS-220-BK-017</v>
          </cell>
        </row>
        <row r="7554">
          <cell r="B7554" t="str">
            <v>B272-400-AS-220-BK-017</v>
          </cell>
          <cell r="E7554" t="str">
            <v>C-60</v>
          </cell>
        </row>
        <row r="7555">
          <cell r="B7555" t="str">
            <v>B272-400-AS-220-BK-017</v>
          </cell>
          <cell r="E7555" t="str">
            <v>P-1006(1/2)</v>
          </cell>
        </row>
        <row r="7556">
          <cell r="B7556" t="str">
            <v>B272-400-AS-220-BK-017</v>
          </cell>
          <cell r="E7556" t="str">
            <v>P-1006(2/2)</v>
          </cell>
        </row>
        <row r="7557">
          <cell r="B7557" t="str">
            <v>B272-400-AS-220-BK-017</v>
          </cell>
          <cell r="E7557" t="str">
            <v>PY-25</v>
          </cell>
        </row>
        <row r="7558">
          <cell r="B7558" t="str">
            <v>B272-400-AS-220-BK-017</v>
          </cell>
          <cell r="E7558" t="str">
            <v>B1645</v>
          </cell>
        </row>
        <row r="7559">
          <cell r="B7559" t="str">
            <v>B272-400-AS-220-BK-017</v>
          </cell>
          <cell r="E7559" t="str">
            <v>B2060</v>
          </cell>
        </row>
        <row r="7560">
          <cell r="B7560" t="str">
            <v>B272-400-AS-220-BK-017</v>
          </cell>
          <cell r="E7560" t="str">
            <v>B2065</v>
          </cell>
        </row>
        <row r="7561">
          <cell r="B7561" t="str">
            <v>B272-400-AS-220-BK-017</v>
          </cell>
          <cell r="E7561" t="str">
            <v>B1660</v>
          </cell>
        </row>
        <row r="7562">
          <cell r="B7562" t="str">
            <v>B272-400-AS-220-BK-017</v>
          </cell>
        </row>
        <row r="7563">
          <cell r="B7563" t="str">
            <v>B272-400-AS-220-BK-017</v>
          </cell>
          <cell r="E7563" t="str">
            <v>C-60</v>
          </cell>
        </row>
        <row r="7564">
          <cell r="B7564" t="str">
            <v>B272-400-AS-220-BK-017</v>
          </cell>
          <cell r="E7564" t="str">
            <v>P-1006(1/2)</v>
          </cell>
        </row>
        <row r="7565">
          <cell r="B7565" t="str">
            <v>B272-400-AS-220-BK-017</v>
          </cell>
          <cell r="E7565" t="str">
            <v>P-1006(2/2)</v>
          </cell>
        </row>
        <row r="7566">
          <cell r="B7566" t="str">
            <v>B272-400-AS-220-BK-017</v>
          </cell>
          <cell r="E7566" t="str">
            <v>PY-25</v>
          </cell>
        </row>
        <row r="7567">
          <cell r="B7567" t="str">
            <v>B272-400-AS-220-BK-017</v>
          </cell>
          <cell r="E7567" t="str">
            <v>B1645</v>
          </cell>
        </row>
        <row r="7568">
          <cell r="B7568" t="str">
            <v>B272-400-AS-220-BK-017</v>
          </cell>
          <cell r="E7568" t="str">
            <v>B2060</v>
          </cell>
        </row>
        <row r="7569">
          <cell r="B7569" t="str">
            <v>B272-400-AS-220-BK-017</v>
          </cell>
          <cell r="E7569" t="str">
            <v>B2065</v>
          </cell>
        </row>
        <row r="7570">
          <cell r="B7570" t="str">
            <v>B272-400-AS-220-BK-017</v>
          </cell>
          <cell r="E7570" t="str">
            <v>B1660</v>
          </cell>
        </row>
        <row r="7571">
          <cell r="B7571" t="str">
            <v>B272-400-AS-220-BK-018</v>
          </cell>
        </row>
        <row r="7572">
          <cell r="B7572" t="str">
            <v>B272-400-AS-220-BK-018</v>
          </cell>
          <cell r="E7572" t="str">
            <v>C-60</v>
          </cell>
        </row>
        <row r="7573">
          <cell r="B7573" t="str">
            <v>B272-400-AS-220-BK-018</v>
          </cell>
          <cell r="E7573" t="str">
            <v>P-1006</v>
          </cell>
        </row>
        <row r="7574">
          <cell r="B7574" t="str">
            <v>B272-400-AS-220-BK-018</v>
          </cell>
          <cell r="E7574" t="str">
            <v>P-1190</v>
          </cell>
        </row>
        <row r="7575">
          <cell r="B7575" t="str">
            <v>B272-400-AS-220-BK-018</v>
          </cell>
          <cell r="E7575" t="str">
            <v>PY-25</v>
          </cell>
        </row>
        <row r="7576">
          <cell r="B7576" t="str">
            <v>B272-400-AS-220-BK-018</v>
          </cell>
          <cell r="E7576" t="str">
            <v>B1645</v>
          </cell>
        </row>
        <row r="7577">
          <cell r="B7577" t="str">
            <v>B272-400-AS-220-BK-018</v>
          </cell>
          <cell r="E7577" t="str">
            <v>B2060</v>
          </cell>
        </row>
        <row r="7578">
          <cell r="B7578" t="str">
            <v>B272-400-AS-220-BK-018</v>
          </cell>
          <cell r="E7578" t="str">
            <v>B2065</v>
          </cell>
        </row>
        <row r="7579">
          <cell r="B7579" t="str">
            <v>B272-400-AS-220-BK-018</v>
          </cell>
          <cell r="E7579" t="str">
            <v>B1660</v>
          </cell>
        </row>
        <row r="7580">
          <cell r="B7580" t="str">
            <v>B272-400-AS-220-BK-019</v>
          </cell>
        </row>
        <row r="7581">
          <cell r="B7581" t="str">
            <v>B272-400-AS-220-BK-019</v>
          </cell>
          <cell r="E7581" t="str">
            <v>C-61</v>
          </cell>
        </row>
        <row r="7582">
          <cell r="B7582" t="str">
            <v>B272-400-AS-220-BK-019</v>
          </cell>
          <cell r="E7582" t="str">
            <v>P-1006(1/2)</v>
          </cell>
        </row>
        <row r="7583">
          <cell r="B7583" t="str">
            <v>B272-400-AS-220-BK-019</v>
          </cell>
          <cell r="E7583" t="str">
            <v>P-1006(2/2)</v>
          </cell>
        </row>
        <row r="7584">
          <cell r="B7584" t="str">
            <v>B272-400-AS-220-BK-019</v>
          </cell>
          <cell r="E7584" t="str">
            <v>PY-29</v>
          </cell>
        </row>
        <row r="7585">
          <cell r="B7585" t="str">
            <v>B272-400-AS-220-BK-019</v>
          </cell>
          <cell r="E7585" t="str">
            <v>B1645</v>
          </cell>
        </row>
        <row r="7586">
          <cell r="B7586" t="str">
            <v>B272-400-AS-220-BK-019</v>
          </cell>
          <cell r="E7586" t="str">
            <v>B2060</v>
          </cell>
        </row>
        <row r="7587">
          <cell r="B7587" t="str">
            <v>B272-400-AS-220-BK-019</v>
          </cell>
          <cell r="E7587" t="str">
            <v>B2065</v>
          </cell>
        </row>
        <row r="7588">
          <cell r="B7588" t="str">
            <v>B272-400-AS-220-BK-019</v>
          </cell>
          <cell r="E7588" t="str">
            <v>B1660</v>
          </cell>
        </row>
        <row r="7589">
          <cell r="B7589" t="str">
            <v>B272-400-AS-220-BK-019</v>
          </cell>
        </row>
        <row r="7590">
          <cell r="B7590" t="str">
            <v>B272-400-AS-220-BK-019</v>
          </cell>
          <cell r="E7590" t="str">
            <v>C-61</v>
          </cell>
        </row>
        <row r="7591">
          <cell r="B7591" t="str">
            <v>B272-400-AS-220-BK-019</v>
          </cell>
          <cell r="E7591" t="str">
            <v>P-1006(1/2)</v>
          </cell>
        </row>
        <row r="7592">
          <cell r="B7592" t="str">
            <v>B272-400-AS-220-BK-019</v>
          </cell>
          <cell r="E7592" t="str">
            <v>P-1006(2/2)</v>
          </cell>
        </row>
        <row r="7593">
          <cell r="B7593" t="str">
            <v>B272-400-AS-220-BK-019</v>
          </cell>
          <cell r="E7593" t="str">
            <v>PY-29</v>
          </cell>
        </row>
        <row r="7594">
          <cell r="B7594" t="str">
            <v>B272-400-AS-220-BK-019</v>
          </cell>
          <cell r="E7594" t="str">
            <v>B1645</v>
          </cell>
        </row>
        <row r="7595">
          <cell r="B7595" t="str">
            <v>B272-400-AS-220-BK-019</v>
          </cell>
          <cell r="E7595" t="str">
            <v>B2060</v>
          </cell>
        </row>
        <row r="7596">
          <cell r="B7596" t="str">
            <v>B272-400-AS-220-BK-019</v>
          </cell>
          <cell r="E7596" t="str">
            <v>B2065</v>
          </cell>
        </row>
        <row r="7597">
          <cell r="B7597" t="str">
            <v>B272-400-AS-220-BK-019</v>
          </cell>
          <cell r="E7597" t="str">
            <v>B1660</v>
          </cell>
        </row>
        <row r="7598">
          <cell r="B7598" t="str">
            <v>B272-400-AS-220-BK-019</v>
          </cell>
        </row>
        <row r="7599">
          <cell r="B7599" t="str">
            <v>B272-400-AS-220-BK-019</v>
          </cell>
          <cell r="E7599" t="str">
            <v>C-61</v>
          </cell>
        </row>
        <row r="7600">
          <cell r="B7600" t="str">
            <v>B272-400-AS-220-BK-019</v>
          </cell>
          <cell r="E7600" t="str">
            <v>P-1006(1/2)</v>
          </cell>
        </row>
        <row r="7601">
          <cell r="B7601" t="str">
            <v>B272-400-AS-220-BK-019</v>
          </cell>
          <cell r="E7601" t="str">
            <v>P-1006(2/2)</v>
          </cell>
        </row>
        <row r="7602">
          <cell r="B7602" t="str">
            <v>B272-400-AS-220-BK-019</v>
          </cell>
          <cell r="E7602" t="str">
            <v>PY-29</v>
          </cell>
        </row>
        <row r="7603">
          <cell r="B7603" t="str">
            <v>B272-400-AS-220-BK-019</v>
          </cell>
          <cell r="E7603" t="str">
            <v>B1645</v>
          </cell>
        </row>
        <row r="7604">
          <cell r="B7604" t="str">
            <v>B272-400-AS-220-BK-019</v>
          </cell>
          <cell r="E7604" t="str">
            <v>B2060</v>
          </cell>
        </row>
        <row r="7605">
          <cell r="B7605" t="str">
            <v>B272-400-AS-220-BK-019</v>
          </cell>
          <cell r="E7605" t="str">
            <v>B2065</v>
          </cell>
        </row>
        <row r="7606">
          <cell r="B7606" t="str">
            <v>B272-400-AS-220-BK-019</v>
          </cell>
          <cell r="E7606" t="str">
            <v>B1660</v>
          </cell>
        </row>
        <row r="7607">
          <cell r="B7607" t="str">
            <v>B272-400-AS-220-BK-019</v>
          </cell>
        </row>
        <row r="7608">
          <cell r="B7608" t="str">
            <v>B272-400-AS-220-BK-019</v>
          </cell>
          <cell r="E7608" t="str">
            <v>C-61</v>
          </cell>
        </row>
        <row r="7609">
          <cell r="B7609" t="str">
            <v>B272-400-AS-220-BK-019</v>
          </cell>
          <cell r="E7609" t="str">
            <v>P-1006(1/2)</v>
          </cell>
        </row>
        <row r="7610">
          <cell r="B7610" t="str">
            <v>B272-400-AS-220-BK-019</v>
          </cell>
          <cell r="E7610" t="str">
            <v>P-1006(2/2)</v>
          </cell>
        </row>
        <row r="7611">
          <cell r="B7611" t="str">
            <v>B272-400-AS-220-BK-019</v>
          </cell>
          <cell r="E7611" t="str">
            <v>PY-29</v>
          </cell>
        </row>
        <row r="7612">
          <cell r="B7612" t="str">
            <v>B272-400-AS-220-BK-019</v>
          </cell>
          <cell r="E7612" t="str">
            <v>B1645</v>
          </cell>
        </row>
        <row r="7613">
          <cell r="B7613" t="str">
            <v>B272-400-AS-220-BK-019</v>
          </cell>
          <cell r="E7613" t="str">
            <v>B2060</v>
          </cell>
        </row>
        <row r="7614">
          <cell r="B7614" t="str">
            <v>B272-400-AS-220-BK-019</v>
          </cell>
          <cell r="E7614" t="str">
            <v>B2065</v>
          </cell>
        </row>
        <row r="7615">
          <cell r="B7615" t="str">
            <v>B272-400-AS-220-BK-019</v>
          </cell>
          <cell r="E7615" t="str">
            <v>B1660</v>
          </cell>
        </row>
        <row r="7616">
          <cell r="B7616" t="str">
            <v>B272-400-AS-220-BK-019</v>
          </cell>
        </row>
        <row r="7617">
          <cell r="B7617" t="str">
            <v>B272-400-AS-220-BK-019</v>
          </cell>
          <cell r="E7617" t="str">
            <v>C-61</v>
          </cell>
        </row>
        <row r="7618">
          <cell r="B7618" t="str">
            <v>B272-400-AS-220-BK-019</v>
          </cell>
          <cell r="E7618" t="str">
            <v>P-1006(1/2)</v>
          </cell>
        </row>
        <row r="7619">
          <cell r="B7619" t="str">
            <v>B272-400-AS-220-BK-019</v>
          </cell>
          <cell r="E7619" t="str">
            <v>P-1006(2/2)</v>
          </cell>
        </row>
        <row r="7620">
          <cell r="B7620" t="str">
            <v>B272-400-AS-220-BK-019</v>
          </cell>
          <cell r="E7620" t="str">
            <v>PY-29</v>
          </cell>
        </row>
        <row r="7621">
          <cell r="B7621" t="str">
            <v>B272-400-AS-220-BK-019</v>
          </cell>
          <cell r="E7621" t="str">
            <v>B1645</v>
          </cell>
        </row>
        <row r="7622">
          <cell r="B7622" t="str">
            <v>B272-400-AS-220-BK-019</v>
          </cell>
          <cell r="E7622" t="str">
            <v>B2060</v>
          </cell>
        </row>
        <row r="7623">
          <cell r="B7623" t="str">
            <v>B272-400-AS-220-BK-019</v>
          </cell>
          <cell r="E7623" t="str">
            <v>B2065</v>
          </cell>
        </row>
        <row r="7624">
          <cell r="B7624" t="str">
            <v>B272-400-AS-220-BK-019</v>
          </cell>
          <cell r="E7624" t="str">
            <v>B1660</v>
          </cell>
        </row>
        <row r="7625">
          <cell r="B7625" t="str">
            <v>B272-400-AS-220-BK-019</v>
          </cell>
        </row>
        <row r="7626">
          <cell r="B7626" t="str">
            <v>B272-400-AS-220-BK-019</v>
          </cell>
          <cell r="E7626" t="str">
            <v>C-61</v>
          </cell>
        </row>
        <row r="7627">
          <cell r="B7627" t="str">
            <v>B272-400-AS-220-BK-019</v>
          </cell>
          <cell r="E7627" t="str">
            <v>P-1006(1/2)</v>
          </cell>
        </row>
        <row r="7628">
          <cell r="B7628" t="str">
            <v>B272-400-AS-220-BK-019</v>
          </cell>
          <cell r="E7628" t="str">
            <v>P-1006(2/2)</v>
          </cell>
        </row>
        <row r="7629">
          <cell r="B7629" t="str">
            <v>B272-400-AS-220-BK-019</v>
          </cell>
          <cell r="E7629" t="str">
            <v>PY-29</v>
          </cell>
        </row>
        <row r="7630">
          <cell r="B7630" t="str">
            <v>B272-400-AS-220-BK-019</v>
          </cell>
          <cell r="E7630" t="str">
            <v>B1645</v>
          </cell>
        </row>
        <row r="7631">
          <cell r="B7631" t="str">
            <v>B272-400-AS-220-BK-019</v>
          </cell>
          <cell r="E7631" t="str">
            <v>B2060</v>
          </cell>
        </row>
        <row r="7632">
          <cell r="B7632" t="str">
            <v>B272-400-AS-220-BK-019</v>
          </cell>
          <cell r="E7632" t="str">
            <v>B2065</v>
          </cell>
        </row>
        <row r="7633">
          <cell r="B7633" t="str">
            <v>B272-400-AS-220-BK-019</v>
          </cell>
          <cell r="E7633" t="str">
            <v>B1660</v>
          </cell>
        </row>
        <row r="7634">
          <cell r="B7634" t="str">
            <v>B272-400-AS-220-BK-019</v>
          </cell>
        </row>
        <row r="7635">
          <cell r="B7635" t="str">
            <v>B272-400-AS-220-BK-019</v>
          </cell>
          <cell r="E7635" t="str">
            <v>C-61</v>
          </cell>
        </row>
        <row r="7636">
          <cell r="B7636" t="str">
            <v>B272-400-AS-220-BK-019</v>
          </cell>
          <cell r="E7636" t="str">
            <v>P-1006(1/2)</v>
          </cell>
        </row>
        <row r="7637">
          <cell r="B7637" t="str">
            <v>B272-400-AS-220-BK-019</v>
          </cell>
          <cell r="E7637" t="str">
            <v>P-1006(2/2)</v>
          </cell>
        </row>
        <row r="7638">
          <cell r="B7638" t="str">
            <v>B272-400-AS-220-BK-019</v>
          </cell>
          <cell r="E7638" t="str">
            <v>PY-29</v>
          </cell>
        </row>
        <row r="7639">
          <cell r="B7639" t="str">
            <v>B272-400-AS-220-BK-019</v>
          </cell>
          <cell r="E7639" t="str">
            <v>B1645</v>
          </cell>
        </row>
        <row r="7640">
          <cell r="B7640" t="str">
            <v>B272-400-AS-220-BK-019</v>
          </cell>
          <cell r="E7640" t="str">
            <v>B2060</v>
          </cell>
        </row>
        <row r="7641">
          <cell r="B7641" t="str">
            <v>B272-400-AS-220-BK-019</v>
          </cell>
          <cell r="E7641" t="str">
            <v>B2065</v>
          </cell>
        </row>
        <row r="7642">
          <cell r="B7642" t="str">
            <v>B272-400-AS-220-BK-019</v>
          </cell>
          <cell r="E7642" t="str">
            <v>B1660</v>
          </cell>
        </row>
        <row r="7643">
          <cell r="B7643" t="str">
            <v>B272-400-AS-220-BK-019</v>
          </cell>
        </row>
        <row r="7644">
          <cell r="B7644" t="str">
            <v>B272-400-AS-220-BK-019</v>
          </cell>
          <cell r="E7644" t="str">
            <v>C-61</v>
          </cell>
        </row>
        <row r="7645">
          <cell r="B7645" t="str">
            <v>B272-400-AS-220-BK-019</v>
          </cell>
          <cell r="E7645" t="str">
            <v>P-1006(1/2)</v>
          </cell>
        </row>
        <row r="7646">
          <cell r="B7646" t="str">
            <v>B272-400-AS-220-BK-019</v>
          </cell>
          <cell r="E7646" t="str">
            <v>P-1006(2/2)</v>
          </cell>
        </row>
        <row r="7647">
          <cell r="B7647" t="str">
            <v>B272-400-AS-220-BK-019</v>
          </cell>
          <cell r="E7647" t="str">
            <v>PY-29</v>
          </cell>
        </row>
        <row r="7648">
          <cell r="B7648" t="str">
            <v>B272-400-AS-220-BK-019</v>
          </cell>
          <cell r="E7648" t="str">
            <v>B1645</v>
          </cell>
        </row>
        <row r="7649">
          <cell r="B7649" t="str">
            <v>B272-400-AS-220-BK-019</v>
          </cell>
          <cell r="E7649" t="str">
            <v>B2060</v>
          </cell>
        </row>
        <row r="7650">
          <cell r="B7650" t="str">
            <v>B272-400-AS-220-BK-019</v>
          </cell>
          <cell r="E7650" t="str">
            <v>B2065</v>
          </cell>
        </row>
        <row r="7651">
          <cell r="B7651" t="str">
            <v>B272-400-AS-220-BK-019</v>
          </cell>
          <cell r="E7651" t="str">
            <v>B1660</v>
          </cell>
        </row>
        <row r="7652">
          <cell r="B7652" t="str">
            <v>B272-400-AS-220-BK-020</v>
          </cell>
        </row>
        <row r="7653">
          <cell r="B7653" t="str">
            <v>B272-400-AS-220-BK-020</v>
          </cell>
          <cell r="E7653" t="str">
            <v>C-62</v>
          </cell>
        </row>
        <row r="7654">
          <cell r="B7654" t="str">
            <v>B272-400-AS-220-BK-020</v>
          </cell>
          <cell r="E7654" t="str">
            <v>P-1006</v>
          </cell>
        </row>
        <row r="7655">
          <cell r="B7655" t="str">
            <v>B272-400-AS-220-BK-020</v>
          </cell>
          <cell r="E7655" t="str">
            <v>PY-29</v>
          </cell>
        </row>
        <row r="7656">
          <cell r="B7656" t="str">
            <v>B272-400-AS-220-BK-020</v>
          </cell>
          <cell r="E7656" t="str">
            <v>B1645</v>
          </cell>
        </row>
        <row r="7657">
          <cell r="B7657" t="str">
            <v>B272-400-AS-220-BK-020</v>
          </cell>
          <cell r="E7657" t="str">
            <v>B2060</v>
          </cell>
        </row>
        <row r="7658">
          <cell r="B7658" t="str">
            <v>B272-400-AS-220-BK-020</v>
          </cell>
          <cell r="E7658" t="str">
            <v>B2065</v>
          </cell>
        </row>
        <row r="7659">
          <cell r="B7659" t="str">
            <v>B272-400-AS-220-BK-020</v>
          </cell>
          <cell r="E7659" t="str">
            <v>B1660</v>
          </cell>
        </row>
        <row r="7660">
          <cell r="B7660" t="str">
            <v>B272-400-AS-220-BK-021</v>
          </cell>
        </row>
        <row r="7661">
          <cell r="B7661" t="str">
            <v>B272-400-AS-220-BK-021</v>
          </cell>
          <cell r="E7661" t="str">
            <v>C-71</v>
          </cell>
        </row>
        <row r="7662">
          <cell r="B7662" t="str">
            <v>B272-400-AS-220-BK-021</v>
          </cell>
          <cell r="E7662" t="str">
            <v>P-1006</v>
          </cell>
        </row>
        <row r="7663">
          <cell r="B7663" t="str">
            <v>B272-400-AS-220-BK-021</v>
          </cell>
          <cell r="E7663" t="str">
            <v>PY-29</v>
          </cell>
        </row>
        <row r="7664">
          <cell r="B7664" t="str">
            <v>B272-400-AS-220-BK-021</v>
          </cell>
          <cell r="E7664" t="str">
            <v>B1645</v>
          </cell>
        </row>
        <row r="7665">
          <cell r="B7665" t="str">
            <v>B272-400-AS-220-BK-021</v>
          </cell>
          <cell r="E7665" t="str">
            <v>B2060</v>
          </cell>
        </row>
        <row r="7666">
          <cell r="B7666" t="str">
            <v>B272-400-AS-220-BK-021</v>
          </cell>
          <cell r="E7666" t="str">
            <v>B2065</v>
          </cell>
        </row>
        <row r="7667">
          <cell r="B7667" t="str">
            <v>B272-400-AS-220-BK-021</v>
          </cell>
          <cell r="E7667" t="str">
            <v>B1660</v>
          </cell>
        </row>
        <row r="7668">
          <cell r="B7668" t="str">
            <v>B272-400-AS-220-BK-022</v>
          </cell>
        </row>
        <row r="7669">
          <cell r="B7669" t="str">
            <v>B272-400-AS-220-BK-022</v>
          </cell>
          <cell r="E7669" t="str">
            <v>C-73</v>
          </cell>
        </row>
        <row r="7670">
          <cell r="B7670" t="str">
            <v>B272-400-AS-220-BK-022</v>
          </cell>
          <cell r="E7670" t="str">
            <v>P-1006</v>
          </cell>
        </row>
        <row r="7671">
          <cell r="B7671" t="str">
            <v>B272-400-AS-220-BK-022</v>
          </cell>
          <cell r="E7671" t="str">
            <v>PY-29</v>
          </cell>
        </row>
        <row r="7672">
          <cell r="B7672" t="str">
            <v>B272-400-AS-220-BK-022</v>
          </cell>
          <cell r="E7672" t="str">
            <v>B1645</v>
          </cell>
        </row>
        <row r="7673">
          <cell r="B7673" t="str">
            <v>B272-400-AS-220-BK-022</v>
          </cell>
          <cell r="E7673" t="str">
            <v>B2060</v>
          </cell>
        </row>
        <row r="7674">
          <cell r="B7674" t="str">
            <v>B272-400-AS-220-BK-022</v>
          </cell>
          <cell r="E7674" t="str">
            <v>B2065</v>
          </cell>
        </row>
        <row r="7675">
          <cell r="B7675" t="str">
            <v>B272-400-AS-220-BK-022</v>
          </cell>
          <cell r="E7675" t="str">
            <v>B1660</v>
          </cell>
        </row>
        <row r="7676">
          <cell r="B7676" t="str">
            <v>B272-400-AS-220-BK-023</v>
          </cell>
        </row>
        <row r="7677">
          <cell r="B7677" t="str">
            <v>B272-400-AS-220-BK-023</v>
          </cell>
          <cell r="E7677" t="str">
            <v>C-78</v>
          </cell>
        </row>
        <row r="7678">
          <cell r="B7678" t="str">
            <v>B272-400-AS-220-BK-023</v>
          </cell>
          <cell r="E7678" t="str">
            <v>P-1006(1/2)</v>
          </cell>
        </row>
        <row r="7679">
          <cell r="B7679" t="str">
            <v>B272-400-AS-220-BK-023</v>
          </cell>
          <cell r="E7679" t="str">
            <v>P-1006(2/2)</v>
          </cell>
        </row>
        <row r="7680">
          <cell r="B7680" t="str">
            <v>B272-400-AS-220-BK-023</v>
          </cell>
          <cell r="E7680" t="str">
            <v>PY-29</v>
          </cell>
        </row>
        <row r="7681">
          <cell r="B7681" t="str">
            <v>B272-400-AS-220-BK-023</v>
          </cell>
          <cell r="E7681" t="str">
            <v>B1645</v>
          </cell>
        </row>
        <row r="7682">
          <cell r="B7682" t="str">
            <v>B272-400-AS-220-BK-023</v>
          </cell>
          <cell r="E7682" t="str">
            <v>B2060</v>
          </cell>
        </row>
        <row r="7683">
          <cell r="B7683" t="str">
            <v>B272-400-AS-220-BK-023</v>
          </cell>
          <cell r="E7683" t="str">
            <v>B2065</v>
          </cell>
        </row>
        <row r="7684">
          <cell r="B7684" t="str">
            <v>B272-400-AS-220-BK-023</v>
          </cell>
          <cell r="E7684" t="str">
            <v>B1660</v>
          </cell>
        </row>
        <row r="7685">
          <cell r="B7685" t="str">
            <v>B272-400-AS-220-BK-023</v>
          </cell>
        </row>
        <row r="7686">
          <cell r="B7686" t="str">
            <v>B272-400-AS-220-BK-023</v>
          </cell>
          <cell r="E7686" t="str">
            <v>C-78</v>
          </cell>
        </row>
        <row r="7687">
          <cell r="B7687" t="str">
            <v>B272-400-AS-220-BK-023</v>
          </cell>
          <cell r="E7687" t="str">
            <v>P-1006(1/2)</v>
          </cell>
        </row>
        <row r="7688">
          <cell r="B7688" t="str">
            <v>B272-400-AS-220-BK-023</v>
          </cell>
          <cell r="E7688" t="str">
            <v>P-1006(2/2)</v>
          </cell>
        </row>
        <row r="7689">
          <cell r="B7689" t="str">
            <v>B272-400-AS-220-BK-023</v>
          </cell>
          <cell r="E7689" t="str">
            <v>PY-29</v>
          </cell>
        </row>
        <row r="7690">
          <cell r="B7690" t="str">
            <v>B272-400-AS-220-BK-023</v>
          </cell>
          <cell r="E7690" t="str">
            <v>B1645</v>
          </cell>
        </row>
        <row r="7691">
          <cell r="B7691" t="str">
            <v>B272-400-AS-220-BK-023</v>
          </cell>
          <cell r="E7691" t="str">
            <v>B2060</v>
          </cell>
        </row>
        <row r="7692">
          <cell r="B7692" t="str">
            <v>B272-400-AS-220-BK-023</v>
          </cell>
          <cell r="E7692" t="str">
            <v>B2065</v>
          </cell>
        </row>
        <row r="7693">
          <cell r="B7693" t="str">
            <v>B272-400-AS-220-BK-023</v>
          </cell>
          <cell r="E7693" t="str">
            <v>B1660</v>
          </cell>
        </row>
        <row r="7694">
          <cell r="B7694" t="str">
            <v>B272-400-AS-220-BK-024</v>
          </cell>
        </row>
        <row r="7695">
          <cell r="B7695" t="str">
            <v>B272-400-AS-220-BK-024</v>
          </cell>
          <cell r="E7695" t="str">
            <v>C-100</v>
          </cell>
        </row>
        <row r="7696">
          <cell r="B7696" t="str">
            <v>B272-400-AS-220-BK-024</v>
          </cell>
          <cell r="E7696" t="str">
            <v>P-1006</v>
          </cell>
        </row>
        <row r="7697">
          <cell r="B7697" t="str">
            <v>B272-400-AS-220-BK-024</v>
          </cell>
          <cell r="E7697" t="str">
            <v>PY-28</v>
          </cell>
        </row>
        <row r="7698">
          <cell r="B7698" t="str">
            <v>B272-400-AS-220-BK-024</v>
          </cell>
          <cell r="E7698" t="str">
            <v>B1645</v>
          </cell>
        </row>
        <row r="7699">
          <cell r="B7699" t="str">
            <v>B272-400-AS-220-BK-024</v>
          </cell>
          <cell r="E7699" t="str">
            <v>B2060</v>
          </cell>
        </row>
        <row r="7700">
          <cell r="B7700" t="str">
            <v>B272-400-AS-220-BK-024</v>
          </cell>
          <cell r="E7700" t="str">
            <v>B2065</v>
          </cell>
        </row>
        <row r="7701">
          <cell r="B7701" t="str">
            <v>B272-400-AS-220-BK-024</v>
          </cell>
          <cell r="E7701" t="str">
            <v>B1660</v>
          </cell>
        </row>
        <row r="7702">
          <cell r="B7702" t="str">
            <v>B272-400-AS-220-BK-025</v>
          </cell>
        </row>
        <row r="7703">
          <cell r="B7703" t="str">
            <v>B272-400-AS-220-BK-025</v>
          </cell>
          <cell r="E7703" t="str">
            <v>C-104</v>
          </cell>
        </row>
        <row r="7704">
          <cell r="B7704" t="str">
            <v>B272-400-AS-220-BK-025</v>
          </cell>
          <cell r="E7704" t="str">
            <v>P-1006(1/2)</v>
          </cell>
        </row>
        <row r="7705">
          <cell r="B7705" t="str">
            <v>B272-400-AS-220-BK-025</v>
          </cell>
          <cell r="E7705" t="str">
            <v>P-1006(2/2)</v>
          </cell>
        </row>
        <row r="7706">
          <cell r="B7706" t="str">
            <v>B272-400-AS-220-BK-025</v>
          </cell>
          <cell r="E7706" t="str">
            <v>PY-29</v>
          </cell>
        </row>
        <row r="7707">
          <cell r="B7707" t="str">
            <v>B272-400-AS-220-BK-025</v>
          </cell>
          <cell r="E7707" t="str">
            <v>B1645</v>
          </cell>
        </row>
        <row r="7708">
          <cell r="B7708" t="str">
            <v>B272-400-AS-220-BK-025</v>
          </cell>
          <cell r="E7708" t="str">
            <v>B2060</v>
          </cell>
        </row>
        <row r="7709">
          <cell r="B7709" t="str">
            <v>B272-400-AS-220-BK-025</v>
          </cell>
          <cell r="E7709" t="str">
            <v>B2065</v>
          </cell>
        </row>
        <row r="7710">
          <cell r="B7710" t="str">
            <v>B272-400-AS-220-BK-025</v>
          </cell>
          <cell r="E7710" t="str">
            <v>B1660</v>
          </cell>
        </row>
        <row r="7711">
          <cell r="B7711" t="str">
            <v>B272-400-AS-220-BK-026</v>
          </cell>
        </row>
        <row r="7712">
          <cell r="B7712" t="str">
            <v>B272-400-AS-220-BK-026</v>
          </cell>
          <cell r="E7712" t="str">
            <v>C-105</v>
          </cell>
        </row>
        <row r="7713">
          <cell r="B7713" t="str">
            <v>B272-400-AS-220-BK-026</v>
          </cell>
          <cell r="E7713" t="str">
            <v>G-57</v>
          </cell>
        </row>
        <row r="7714">
          <cell r="B7714" t="str">
            <v>B272-400-AS-220-BK-026</v>
          </cell>
          <cell r="E7714" t="str">
            <v>G-58</v>
          </cell>
        </row>
        <row r="7715">
          <cell r="B7715" t="str">
            <v>B272-400-AS-220-BK-026</v>
          </cell>
          <cell r="E7715" t="str">
            <v>P-1005(1/2)</v>
          </cell>
        </row>
        <row r="7716">
          <cell r="B7716" t="str">
            <v>B272-400-AS-220-BK-026</v>
          </cell>
          <cell r="E7716" t="str">
            <v>P-1005(2/2)</v>
          </cell>
        </row>
        <row r="7717">
          <cell r="B7717" t="str">
            <v>B272-400-AS-220-BK-026</v>
          </cell>
          <cell r="E7717" t="str">
            <v>PY-28</v>
          </cell>
        </row>
        <row r="7718">
          <cell r="B7718" t="str">
            <v>B272-400-AS-220-BK-026</v>
          </cell>
          <cell r="E7718" t="str">
            <v>B1645</v>
          </cell>
        </row>
        <row r="7719">
          <cell r="B7719" t="str">
            <v>B272-400-AS-220-BK-026</v>
          </cell>
          <cell r="E7719" t="str">
            <v>B2065</v>
          </cell>
        </row>
        <row r="7720">
          <cell r="B7720" t="str">
            <v>B272-400-AS-220-BK-026</v>
          </cell>
          <cell r="E7720" t="str">
            <v>B1660</v>
          </cell>
        </row>
        <row r="7721">
          <cell r="B7721" t="str">
            <v>B272-400-AS-220-BK-027</v>
          </cell>
        </row>
        <row r="7722">
          <cell r="B7722" t="str">
            <v>B272-400-AS-220-BK-027</v>
          </cell>
          <cell r="E7722" t="str">
            <v>CY-107</v>
          </cell>
        </row>
        <row r="7723">
          <cell r="B7723" t="str">
            <v>B272-400-AS-220-BK-027</v>
          </cell>
          <cell r="E7723" t="str">
            <v>G-40</v>
          </cell>
        </row>
        <row r="7724">
          <cell r="B7724" t="str">
            <v>B272-400-AS-220-BK-027</v>
          </cell>
          <cell r="E7724" t="str">
            <v>P-1075</v>
          </cell>
        </row>
        <row r="7725">
          <cell r="B7725" t="str">
            <v>B272-400-AS-220-BK-027</v>
          </cell>
          <cell r="E7725" t="str">
            <v>B2065</v>
          </cell>
        </row>
        <row r="7726">
          <cell r="B7726" t="str">
            <v>B272-400-AS-220-BK-027</v>
          </cell>
          <cell r="E7726" t="str">
            <v>B2065</v>
          </cell>
        </row>
        <row r="7727">
          <cell r="B7727" t="str">
            <v>B272-400-AS-220-BK-028</v>
          </cell>
        </row>
        <row r="7728">
          <cell r="B7728" t="str">
            <v>B272-400-AS-220-BK-028</v>
          </cell>
          <cell r="E7728" t="str">
            <v>CY-110</v>
          </cell>
        </row>
        <row r="7729">
          <cell r="B7729" t="str">
            <v>B272-400-AS-220-BK-028</v>
          </cell>
          <cell r="E7729" t="str">
            <v>G-60</v>
          </cell>
        </row>
        <row r="7730">
          <cell r="B7730" t="str">
            <v>B272-400-AS-220-BK-028</v>
          </cell>
          <cell r="E7730" t="str">
            <v>G-61</v>
          </cell>
        </row>
        <row r="7731">
          <cell r="B7731" t="str">
            <v>B272-400-AS-220-BK-028</v>
          </cell>
          <cell r="E7731" t="str">
            <v>G-69</v>
          </cell>
        </row>
        <row r="7732">
          <cell r="B7732" t="str">
            <v>B272-400-AS-220-BK-028</v>
          </cell>
          <cell r="E7732" t="str">
            <v>B2065</v>
          </cell>
        </row>
        <row r="7733">
          <cell r="B7733" t="str">
            <v>B272-400-AS-220-BK-028</v>
          </cell>
          <cell r="E7733" t="str">
            <v>B1660</v>
          </cell>
        </row>
        <row r="7734">
          <cell r="B7734" t="str">
            <v>B272-400-AS-220-BK-029</v>
          </cell>
        </row>
        <row r="7735">
          <cell r="B7735" t="str">
            <v>B272-400-AS-220-BK-029</v>
          </cell>
          <cell r="E7735" t="str">
            <v>H-117</v>
          </cell>
        </row>
        <row r="7736">
          <cell r="B7736" t="str">
            <v>B272-400-AS-220-BK-029</v>
          </cell>
          <cell r="E7736" t="str">
            <v>B2050</v>
          </cell>
        </row>
        <row r="7737">
          <cell r="B7737" t="str">
            <v>B272-400-AS-220-BK-029</v>
          </cell>
        </row>
        <row r="7738">
          <cell r="B7738" t="str">
            <v>B272-400-AS-220-BK-029</v>
          </cell>
          <cell r="E7738" t="str">
            <v>H-117</v>
          </cell>
        </row>
        <row r="7739">
          <cell r="B7739" t="str">
            <v>B272-400-AS-220-BK-029</v>
          </cell>
          <cell r="E7739" t="str">
            <v>B2050</v>
          </cell>
        </row>
        <row r="7740">
          <cell r="B7740" t="str">
            <v>B272-400-AS-220-BK-029</v>
          </cell>
        </row>
        <row r="7741">
          <cell r="B7741" t="str">
            <v>B272-400-AS-220-BK-029</v>
          </cell>
          <cell r="E7741" t="str">
            <v>H-117</v>
          </cell>
        </row>
        <row r="7742">
          <cell r="B7742" t="str">
            <v>B272-400-AS-220-BK-029</v>
          </cell>
          <cell r="E7742" t="str">
            <v>B2050</v>
          </cell>
        </row>
        <row r="7743">
          <cell r="B7743" t="str">
            <v>B272-400-AS-220-BK-030</v>
          </cell>
        </row>
        <row r="7744">
          <cell r="B7744" t="str">
            <v>B272-400-AS-220-BK-030</v>
          </cell>
          <cell r="E7744" t="str">
            <v>H-117</v>
          </cell>
        </row>
        <row r="7745">
          <cell r="B7745" t="str">
            <v>B272-400-AS-220-BK-030</v>
          </cell>
          <cell r="E7745" t="str">
            <v>P-1194(1/2)</v>
          </cell>
        </row>
        <row r="7746">
          <cell r="B7746" t="str">
            <v>B272-400-AS-220-BK-030</v>
          </cell>
          <cell r="E7746" t="str">
            <v>P-1194(2/2)</v>
          </cell>
        </row>
        <row r="7747">
          <cell r="B7747" t="str">
            <v>B272-400-AS-220-BK-030</v>
          </cell>
          <cell r="E7747" t="str">
            <v>B1650</v>
          </cell>
        </row>
        <row r="7748">
          <cell r="B7748" t="str">
            <v>B272-400-AS-220-BK-030</v>
          </cell>
          <cell r="E7748" t="str">
            <v>B2050</v>
          </cell>
        </row>
        <row r="7749">
          <cell r="B7749" t="str">
            <v>B272-400-AS-220-BK-031</v>
          </cell>
        </row>
        <row r="7750">
          <cell r="B7750" t="str">
            <v>B272-400-AS-220-BK-031</v>
          </cell>
          <cell r="E7750" t="str">
            <v>H-118</v>
          </cell>
        </row>
        <row r="7751">
          <cell r="B7751" t="str">
            <v>B272-400-AS-220-BK-031</v>
          </cell>
          <cell r="E7751" t="str">
            <v>B2050</v>
          </cell>
        </row>
        <row r="7752">
          <cell r="B7752" t="str">
            <v>B272-400-AS-220-BK-032</v>
          </cell>
        </row>
        <row r="7753">
          <cell r="B7753" t="str">
            <v>B272-400-AS-220-BK-032</v>
          </cell>
          <cell r="E7753" t="str">
            <v>HY-60</v>
          </cell>
        </row>
        <row r="7754">
          <cell r="B7754" t="str">
            <v>B272-400-AS-220-BK-032</v>
          </cell>
          <cell r="E7754" t="str">
            <v>B2050</v>
          </cell>
        </row>
        <row r="7755">
          <cell r="B7755" t="str">
            <v>B272-400-AS-220-BK-032</v>
          </cell>
        </row>
        <row r="7756">
          <cell r="B7756" t="str">
            <v>B272-400-AS-220-BK-032</v>
          </cell>
          <cell r="E7756" t="str">
            <v>HY-60</v>
          </cell>
        </row>
        <row r="7757">
          <cell r="B7757" t="str">
            <v>B272-400-AS-220-BK-032</v>
          </cell>
          <cell r="E7757" t="str">
            <v>B2050</v>
          </cell>
        </row>
        <row r="7758">
          <cell r="B7758" t="str">
            <v>B272-400-AS-220-BK-033</v>
          </cell>
        </row>
        <row r="7759">
          <cell r="B7759" t="str">
            <v>B272-400-AS-220-BK-033</v>
          </cell>
          <cell r="E7759" t="str">
            <v>HY-61</v>
          </cell>
        </row>
        <row r="7760">
          <cell r="B7760" t="str">
            <v>B272-400-AS-220-BK-033</v>
          </cell>
          <cell r="E7760" t="str">
            <v>B2050</v>
          </cell>
        </row>
        <row r="7761">
          <cell r="B7761" t="str">
            <v>B272-400-AS-220-BK-033</v>
          </cell>
        </row>
        <row r="7762">
          <cell r="B7762" t="str">
            <v>B272-400-AS-220-BK-033</v>
          </cell>
          <cell r="E7762" t="str">
            <v>HY-61</v>
          </cell>
        </row>
        <row r="7763">
          <cell r="B7763" t="str">
            <v>B272-400-AS-220-BK-033</v>
          </cell>
          <cell r="E7763" t="str">
            <v>B2050</v>
          </cell>
        </row>
        <row r="7764">
          <cell r="B7764" t="str">
            <v>B272-400-AS-220-BK-034</v>
          </cell>
        </row>
        <row r="7765">
          <cell r="B7765" t="str">
            <v>B272-400-AS-220-BK-034</v>
          </cell>
          <cell r="E7765" t="str">
            <v>HY-62</v>
          </cell>
        </row>
        <row r="7766">
          <cell r="B7766" t="str">
            <v>B272-400-AS-220-BK-034</v>
          </cell>
          <cell r="E7766" t="str">
            <v>B2050</v>
          </cell>
        </row>
        <row r="7767">
          <cell r="B7767" t="str">
            <v>B272-400-AS-220-BK-035</v>
          </cell>
        </row>
        <row r="7768">
          <cell r="B7768" t="str">
            <v>B272-400-AS-220-BK-035</v>
          </cell>
          <cell r="E7768" t="str">
            <v>HY-63</v>
          </cell>
        </row>
        <row r="7769">
          <cell r="B7769" t="str">
            <v>B272-400-AS-220-BK-035</v>
          </cell>
          <cell r="E7769" t="str">
            <v>B2050</v>
          </cell>
        </row>
        <row r="7770">
          <cell r="B7770" t="str">
            <v>B272-400-AS-220-BK-036</v>
          </cell>
        </row>
        <row r="7771">
          <cell r="B7771" t="str">
            <v>B272-400-AS-220-BK-036</v>
          </cell>
          <cell r="E7771" t="str">
            <v>HY-64</v>
          </cell>
        </row>
        <row r="7772">
          <cell r="B7772" t="str">
            <v>B272-400-AS-220-BK-036</v>
          </cell>
          <cell r="E7772" t="str">
            <v>B2050</v>
          </cell>
        </row>
        <row r="7773">
          <cell r="B7773" t="str">
            <v>B272-400-AS-220-BK-037</v>
          </cell>
        </row>
        <row r="7774">
          <cell r="B7774" t="str">
            <v>B272-400-AS-220-BK-037</v>
          </cell>
          <cell r="E7774" t="str">
            <v>HY-65</v>
          </cell>
        </row>
        <row r="7775">
          <cell r="B7775" t="str">
            <v>B272-400-AS-220-BK-037</v>
          </cell>
          <cell r="E7775" t="str">
            <v>B2050</v>
          </cell>
        </row>
        <row r="7776">
          <cell r="B7776" t="str">
            <v>B272-400-AS-220-BK-038</v>
          </cell>
        </row>
        <row r="7777">
          <cell r="B7777" t="str">
            <v>B272-400-AS-220-BK-038</v>
          </cell>
          <cell r="E7777" t="str">
            <v>HY-66</v>
          </cell>
        </row>
        <row r="7778">
          <cell r="B7778" t="str">
            <v>B272-400-AS-220-BK-038</v>
          </cell>
          <cell r="E7778" t="str">
            <v>B2050</v>
          </cell>
        </row>
        <row r="7779">
          <cell r="B7779" t="str">
            <v>B272-400-AS-220-BK-038</v>
          </cell>
        </row>
        <row r="7780">
          <cell r="B7780" t="str">
            <v>B272-400-AS-220-BK-038</v>
          </cell>
          <cell r="E7780" t="str">
            <v>HY-66</v>
          </cell>
        </row>
        <row r="7781">
          <cell r="B7781" t="str">
            <v>B272-400-AS-220-BK-038</v>
          </cell>
          <cell r="E7781" t="str">
            <v>B2050</v>
          </cell>
        </row>
        <row r="7782">
          <cell r="B7782" t="str">
            <v>B272-400-AS-220-BK-038</v>
          </cell>
        </row>
        <row r="7783">
          <cell r="B7783" t="str">
            <v>B272-400-AS-220-BK-038</v>
          </cell>
          <cell r="E7783" t="str">
            <v>HY-66</v>
          </cell>
        </row>
        <row r="7784">
          <cell r="B7784" t="str">
            <v>B272-400-AS-220-BK-038</v>
          </cell>
          <cell r="E7784" t="str">
            <v>B2050</v>
          </cell>
        </row>
        <row r="7785">
          <cell r="B7785" t="str">
            <v>B272-400-AS-220-BK-038</v>
          </cell>
        </row>
        <row r="7786">
          <cell r="B7786" t="str">
            <v>B272-400-AS-220-BK-038</v>
          </cell>
          <cell r="E7786" t="str">
            <v>HY-66</v>
          </cell>
        </row>
        <row r="7787">
          <cell r="B7787" t="str">
            <v>B272-400-AS-220-BK-038</v>
          </cell>
          <cell r="E7787" t="str">
            <v>B2050</v>
          </cell>
        </row>
        <row r="7788">
          <cell r="B7788" t="str">
            <v>B272-400-AS-220-BK-038</v>
          </cell>
        </row>
        <row r="7789">
          <cell r="B7789" t="str">
            <v>B272-400-AS-220-BK-038</v>
          </cell>
          <cell r="E7789" t="str">
            <v>HY-66</v>
          </cell>
        </row>
        <row r="7790">
          <cell r="B7790" t="str">
            <v>B272-400-AS-220-BK-038</v>
          </cell>
          <cell r="E7790" t="str">
            <v>B2050</v>
          </cell>
        </row>
        <row r="7791">
          <cell r="B7791" t="str">
            <v>B272-400-AS-220-BK-038</v>
          </cell>
        </row>
        <row r="7792">
          <cell r="B7792" t="str">
            <v>B272-400-AS-220-BK-038</v>
          </cell>
          <cell r="E7792" t="str">
            <v>HY-66</v>
          </cell>
        </row>
        <row r="7793">
          <cell r="B7793" t="str">
            <v>B272-400-AS-220-BK-038</v>
          </cell>
          <cell r="E7793" t="str">
            <v>B2050</v>
          </cell>
        </row>
        <row r="7794">
          <cell r="B7794" t="str">
            <v>B272-400-AS-220-BK-038</v>
          </cell>
        </row>
        <row r="7795">
          <cell r="B7795" t="str">
            <v>B272-400-AS-220-BK-038</v>
          </cell>
          <cell r="E7795" t="str">
            <v>HY-66</v>
          </cell>
        </row>
        <row r="7796">
          <cell r="B7796" t="str">
            <v>B272-400-AS-220-BK-038</v>
          </cell>
          <cell r="E7796" t="str">
            <v>B2050</v>
          </cell>
        </row>
        <row r="7797">
          <cell r="B7797" t="str">
            <v>B272-400-AS-220-BK-038</v>
          </cell>
        </row>
        <row r="7798">
          <cell r="B7798" t="str">
            <v>B272-400-AS-220-BK-038</v>
          </cell>
          <cell r="E7798" t="str">
            <v>HY-66</v>
          </cell>
        </row>
        <row r="7799">
          <cell r="B7799" t="str">
            <v>B272-400-AS-220-BK-038</v>
          </cell>
          <cell r="E7799" t="str">
            <v>B2050</v>
          </cell>
        </row>
        <row r="7800">
          <cell r="B7800" t="str">
            <v>B272-400-AS-220-BK-038</v>
          </cell>
        </row>
        <row r="7801">
          <cell r="B7801" t="str">
            <v>B272-400-AS-220-BK-038</v>
          </cell>
          <cell r="E7801" t="str">
            <v>HY-66</v>
          </cell>
        </row>
        <row r="7802">
          <cell r="B7802" t="str">
            <v>B272-400-AS-220-BK-038</v>
          </cell>
          <cell r="E7802" t="str">
            <v>B2050</v>
          </cell>
        </row>
        <row r="7803">
          <cell r="B7803" t="str">
            <v>B272-400-AS-220-BK-038</v>
          </cell>
        </row>
        <row r="7804">
          <cell r="B7804" t="str">
            <v>B272-400-AS-220-BK-038</v>
          </cell>
          <cell r="E7804" t="str">
            <v>HY-66</v>
          </cell>
        </row>
        <row r="7805">
          <cell r="B7805" t="str">
            <v>B272-400-AS-220-BK-038</v>
          </cell>
          <cell r="E7805" t="str">
            <v>B2050</v>
          </cell>
        </row>
        <row r="7806">
          <cell r="B7806" t="str">
            <v>B272-400-AS-220-BK-039</v>
          </cell>
        </row>
        <row r="7807">
          <cell r="B7807" t="str">
            <v>B272-400-AS-220-BK-039</v>
          </cell>
          <cell r="E7807" t="str">
            <v>HY-71</v>
          </cell>
        </row>
        <row r="7808">
          <cell r="B7808" t="str">
            <v>B272-400-AS-220-BK-039</v>
          </cell>
          <cell r="E7808" t="str">
            <v>B2050</v>
          </cell>
        </row>
        <row r="7809">
          <cell r="B7809" t="str">
            <v>B272-400-AS-220-PF-001</v>
          </cell>
        </row>
        <row r="7810">
          <cell r="B7810" t="str">
            <v>B272-400-AS-220-PF-001</v>
          </cell>
          <cell r="E7810" t="str">
            <v>A-1</v>
          </cell>
        </row>
        <row r="7811">
          <cell r="B7811" t="str">
            <v>B272-400-AS-220-PF-001</v>
          </cell>
          <cell r="E7811" t="str">
            <v>AFY-9</v>
          </cell>
        </row>
        <row r="7812">
          <cell r="B7812" t="str">
            <v>B272-400-AS-220-PF-001</v>
          </cell>
          <cell r="E7812" t="str">
            <v>AFY-12</v>
          </cell>
        </row>
        <row r="7813">
          <cell r="B7813" t="str">
            <v>B272-400-AS-220-PF-001</v>
          </cell>
          <cell r="E7813" t="str">
            <v>AY-49</v>
          </cell>
        </row>
        <row r="7814">
          <cell r="B7814" t="str">
            <v>B272-400-AS-220-PF-001</v>
          </cell>
          <cell r="E7814" t="str">
            <v>AY-58</v>
          </cell>
        </row>
        <row r="7815">
          <cell r="B7815" t="str">
            <v>B272-400-AS-220-PF-001</v>
          </cell>
          <cell r="E7815" t="str">
            <v>AFY-1002</v>
          </cell>
        </row>
        <row r="7816">
          <cell r="B7816" t="str">
            <v>B272-400-AS-220-PF-001</v>
          </cell>
          <cell r="E7816" t="str">
            <v>AFY-1003</v>
          </cell>
        </row>
        <row r="7817">
          <cell r="B7817" t="str">
            <v>B272-400-AS-220-PF-001</v>
          </cell>
          <cell r="E7817" t="str">
            <v>B1645</v>
          </cell>
        </row>
        <row r="7818">
          <cell r="B7818" t="str">
            <v>B272-400-AS-220-PF-001</v>
          </cell>
          <cell r="E7818" t="str">
            <v>B1650</v>
          </cell>
        </row>
        <row r="7819">
          <cell r="B7819" t="str">
            <v>B272-400-AS-220-PF-002</v>
          </cell>
        </row>
        <row r="7820">
          <cell r="B7820" t="str">
            <v>B272-400-AS-220-PF-002</v>
          </cell>
          <cell r="E7820" t="str">
            <v>A-16</v>
          </cell>
        </row>
        <row r="7821">
          <cell r="B7821" t="str">
            <v>B272-400-AS-220-PF-002</v>
          </cell>
          <cell r="E7821" t="str">
            <v>A-17</v>
          </cell>
        </row>
        <row r="7822">
          <cell r="B7822" t="str">
            <v>B272-400-AS-220-PF-002</v>
          </cell>
          <cell r="E7822" t="str">
            <v>A-222</v>
          </cell>
        </row>
        <row r="7823">
          <cell r="B7823" t="str">
            <v>B272-400-AS-220-PF-002</v>
          </cell>
          <cell r="E7823" t="str">
            <v>AF-9</v>
          </cell>
        </row>
        <row r="7824">
          <cell r="B7824" t="str">
            <v>B272-400-AS-220-PF-002</v>
          </cell>
          <cell r="E7824" t="str">
            <v>AF-10</v>
          </cell>
        </row>
        <row r="7825">
          <cell r="B7825" t="str">
            <v>B272-400-AS-220-PF-002</v>
          </cell>
          <cell r="E7825" t="str">
            <v>AY-55</v>
          </cell>
        </row>
        <row r="7826">
          <cell r="B7826" t="str">
            <v>B272-400-AS-220-PF-002</v>
          </cell>
          <cell r="E7826" t="str">
            <v>PX-55</v>
          </cell>
        </row>
        <row r="7827">
          <cell r="B7827" t="str">
            <v>B272-400-AS-220-PF-002</v>
          </cell>
          <cell r="E7827" t="str">
            <v>PX-56</v>
          </cell>
        </row>
        <row r="7828">
          <cell r="B7828" t="str">
            <v>B272-400-AS-220-PF-002</v>
          </cell>
          <cell r="E7828" t="str">
            <v>B1650</v>
          </cell>
        </row>
        <row r="7829">
          <cell r="B7829" t="str">
            <v>B272-400-AS-220-PF-002</v>
          </cell>
          <cell r="E7829" t="str">
            <v>B2050</v>
          </cell>
        </row>
        <row r="7830">
          <cell r="B7830" t="str">
            <v>B272-400-AS-220-PF-002</v>
          </cell>
          <cell r="E7830" t="str">
            <v>B1650</v>
          </cell>
        </row>
        <row r="7831">
          <cell r="B7831" t="str">
            <v>B272-400-AS-220-PF-002</v>
          </cell>
          <cell r="E7831" t="str">
            <v>B1655</v>
          </cell>
        </row>
        <row r="7832">
          <cell r="B7832" t="str">
            <v>B272-400-AS-220-PF-002</v>
          </cell>
          <cell r="E7832" t="str">
            <v>B2050</v>
          </cell>
        </row>
        <row r="7833">
          <cell r="B7833" t="str">
            <v>B272-400-AS-220-PF-003</v>
          </cell>
        </row>
        <row r="7834">
          <cell r="B7834" t="str">
            <v>B272-400-AS-220-PF-003</v>
          </cell>
          <cell r="E7834" t="str">
            <v>A-16</v>
          </cell>
        </row>
        <row r="7835">
          <cell r="B7835" t="str">
            <v>B272-400-AS-220-PF-003</v>
          </cell>
          <cell r="E7835" t="str">
            <v>A-222</v>
          </cell>
        </row>
        <row r="7836">
          <cell r="B7836" t="str">
            <v>B272-400-AS-220-PF-003</v>
          </cell>
          <cell r="E7836" t="str">
            <v>AFY-1</v>
          </cell>
        </row>
        <row r="7837">
          <cell r="B7837" t="str">
            <v>B272-400-AS-220-PF-003</v>
          </cell>
          <cell r="E7837" t="str">
            <v>AFY-4</v>
          </cell>
        </row>
        <row r="7838">
          <cell r="B7838" t="str">
            <v>B272-400-AS-220-PF-003</v>
          </cell>
          <cell r="E7838" t="str">
            <v>AY-41</v>
          </cell>
        </row>
        <row r="7839">
          <cell r="B7839" t="str">
            <v>B272-400-AS-220-PF-003</v>
          </cell>
          <cell r="E7839" t="str">
            <v>AY-43</v>
          </cell>
        </row>
        <row r="7840">
          <cell r="B7840" t="str">
            <v>B272-400-AS-220-PF-003</v>
          </cell>
          <cell r="E7840" t="str">
            <v>AY-55</v>
          </cell>
        </row>
        <row r="7841">
          <cell r="B7841" t="str">
            <v>B272-400-AS-220-PF-003</v>
          </cell>
          <cell r="E7841" t="str">
            <v>HY-68</v>
          </cell>
        </row>
        <row r="7842">
          <cell r="B7842" t="str">
            <v>B272-400-AS-220-PF-003</v>
          </cell>
          <cell r="E7842" t="str">
            <v>PX-55</v>
          </cell>
        </row>
        <row r="7843">
          <cell r="B7843" t="str">
            <v>B272-400-AS-220-PF-003</v>
          </cell>
          <cell r="E7843" t="str">
            <v>PX-56</v>
          </cell>
        </row>
        <row r="7844">
          <cell r="B7844" t="str">
            <v>B272-400-AS-220-PF-003</v>
          </cell>
          <cell r="E7844" t="str">
            <v>PF-2000</v>
          </cell>
        </row>
        <row r="7845">
          <cell r="B7845" t="str">
            <v>B272-400-AS-220-PF-003</v>
          </cell>
          <cell r="E7845" t="str">
            <v>PF-2001</v>
          </cell>
        </row>
        <row r="7846">
          <cell r="B7846" t="str">
            <v>B272-400-AS-220-PF-003</v>
          </cell>
          <cell r="E7846" t="str">
            <v>B2050</v>
          </cell>
        </row>
        <row r="7847">
          <cell r="B7847" t="str">
            <v>B272-400-AS-220-PF-003</v>
          </cell>
          <cell r="E7847" t="str">
            <v>B1650</v>
          </cell>
        </row>
        <row r="7848">
          <cell r="B7848" t="str">
            <v>B272-400-AS-220-PF-003</v>
          </cell>
          <cell r="E7848" t="str">
            <v>B2050</v>
          </cell>
        </row>
        <row r="7849">
          <cell r="B7849" t="str">
            <v>B272-400-AS-220-PF-003</v>
          </cell>
          <cell r="E7849" t="str">
            <v>B2050</v>
          </cell>
        </row>
        <row r="7850">
          <cell r="B7850" t="str">
            <v>B272-400-AS-220-PF-004</v>
          </cell>
        </row>
        <row r="7851">
          <cell r="B7851" t="str">
            <v>B272-400-AS-220-PF-004</v>
          </cell>
          <cell r="E7851" t="str">
            <v>A-17(1/2)</v>
          </cell>
        </row>
        <row r="7852">
          <cell r="B7852" t="str">
            <v>B272-400-AS-220-PF-004</v>
          </cell>
          <cell r="E7852" t="str">
            <v>A-17(2/2)</v>
          </cell>
        </row>
        <row r="7853">
          <cell r="B7853" t="str">
            <v>B272-400-AS-220-PF-004</v>
          </cell>
          <cell r="E7853" t="str">
            <v>AFY-2</v>
          </cell>
        </row>
        <row r="7854">
          <cell r="B7854" t="str">
            <v>B272-400-AS-220-PF-004</v>
          </cell>
          <cell r="E7854" t="str">
            <v>AFY-3</v>
          </cell>
        </row>
        <row r="7855">
          <cell r="B7855" t="str">
            <v>B272-400-AS-220-PF-004</v>
          </cell>
          <cell r="E7855" t="str">
            <v>AY-41</v>
          </cell>
        </row>
        <row r="7856">
          <cell r="B7856" t="str">
            <v>B272-400-AS-220-PF-004</v>
          </cell>
          <cell r="E7856" t="str">
            <v>AY-42</v>
          </cell>
        </row>
        <row r="7857">
          <cell r="B7857" t="str">
            <v>B272-400-AS-220-PF-004</v>
          </cell>
          <cell r="E7857" t="str">
            <v>HY-70</v>
          </cell>
        </row>
        <row r="7858">
          <cell r="B7858" t="str">
            <v>B272-400-AS-220-PF-004</v>
          </cell>
          <cell r="E7858" t="str">
            <v>PF-2000</v>
          </cell>
        </row>
        <row r="7859">
          <cell r="B7859" t="str">
            <v>B272-400-AS-220-PF-004</v>
          </cell>
          <cell r="E7859" t="str">
            <v>PF-2001</v>
          </cell>
        </row>
        <row r="7860">
          <cell r="B7860" t="str">
            <v>B272-400-AS-220-PF-004</v>
          </cell>
          <cell r="E7860" t="str">
            <v>B1650</v>
          </cell>
        </row>
        <row r="7861">
          <cell r="B7861" t="str">
            <v>B272-400-AS-220-PF-004</v>
          </cell>
          <cell r="E7861" t="str">
            <v>B1650</v>
          </cell>
        </row>
        <row r="7862">
          <cell r="B7862" t="str">
            <v>B272-400-AS-220-PF-004</v>
          </cell>
          <cell r="E7862" t="str">
            <v>B1655</v>
          </cell>
        </row>
        <row r="7863">
          <cell r="B7863" t="str">
            <v>B272-400-AS-220-PF-004</v>
          </cell>
          <cell r="E7863" t="str">
            <v>B2050</v>
          </cell>
        </row>
        <row r="7864">
          <cell r="B7864" t="str">
            <v>B272-400-AS-220-PF-005</v>
          </cell>
        </row>
        <row r="7865">
          <cell r="B7865" t="str">
            <v>B272-400-AS-220-PF-005</v>
          </cell>
          <cell r="E7865" t="str">
            <v>A-18</v>
          </cell>
        </row>
        <row r="7866">
          <cell r="B7866" t="str">
            <v>B272-400-AS-220-PF-005</v>
          </cell>
          <cell r="E7866" t="str">
            <v>A-24</v>
          </cell>
        </row>
        <row r="7867">
          <cell r="B7867" t="str">
            <v>B272-400-AS-220-PF-005</v>
          </cell>
          <cell r="E7867" t="str">
            <v>A-220(1/2)</v>
          </cell>
        </row>
        <row r="7868">
          <cell r="B7868" t="str">
            <v>B272-400-AS-220-PF-005</v>
          </cell>
          <cell r="E7868" t="str">
            <v>A-220(2/2)</v>
          </cell>
        </row>
        <row r="7869">
          <cell r="B7869" t="str">
            <v>B272-400-AS-220-PF-005</v>
          </cell>
          <cell r="E7869" t="str">
            <v>AX-3</v>
          </cell>
        </row>
        <row r="7870">
          <cell r="B7870" t="str">
            <v>B272-400-AS-220-PF-005</v>
          </cell>
          <cell r="E7870" t="str">
            <v>AY-16</v>
          </cell>
        </row>
        <row r="7871">
          <cell r="B7871" t="str">
            <v>B272-400-AS-220-PF-005</v>
          </cell>
          <cell r="E7871" t="str">
            <v>AY-18</v>
          </cell>
        </row>
        <row r="7872">
          <cell r="B7872" t="str">
            <v>B272-400-AS-220-PF-005</v>
          </cell>
          <cell r="E7872" t="str">
            <v>AY-23</v>
          </cell>
        </row>
        <row r="7873">
          <cell r="B7873" t="str">
            <v>B272-400-AS-220-PF-005</v>
          </cell>
          <cell r="E7873" t="str">
            <v>AY-37</v>
          </cell>
        </row>
        <row r="7874">
          <cell r="B7874" t="str">
            <v>B272-400-AS-220-PF-005</v>
          </cell>
          <cell r="E7874" t="str">
            <v>AY-51</v>
          </cell>
        </row>
        <row r="7875">
          <cell r="B7875" t="str">
            <v>B272-400-AS-220-PF-005</v>
          </cell>
          <cell r="E7875" t="str">
            <v>P-1005(1/4)</v>
          </cell>
        </row>
        <row r="7876">
          <cell r="B7876" t="str">
            <v>B272-400-AS-220-PF-005</v>
          </cell>
          <cell r="E7876" t="str">
            <v>P-1005(2/4)</v>
          </cell>
        </row>
        <row r="7877">
          <cell r="B7877" t="str">
            <v>B272-400-AS-220-PF-005</v>
          </cell>
          <cell r="E7877" t="str">
            <v>P-1005(3/4)</v>
          </cell>
        </row>
        <row r="7878">
          <cell r="B7878" t="str">
            <v>B272-400-AS-220-PF-005</v>
          </cell>
          <cell r="E7878" t="str">
            <v>P-1005(4/4)</v>
          </cell>
        </row>
        <row r="7879">
          <cell r="B7879" t="str">
            <v>B272-400-AS-220-PF-005</v>
          </cell>
          <cell r="E7879" t="str">
            <v>P-1183(1/2)</v>
          </cell>
        </row>
        <row r="7880">
          <cell r="B7880" t="str">
            <v>B272-400-AS-220-PF-005</v>
          </cell>
          <cell r="E7880" t="str">
            <v>P-1183(2/2)</v>
          </cell>
        </row>
        <row r="7881">
          <cell r="B7881" t="str">
            <v>B272-400-AS-220-PF-005</v>
          </cell>
          <cell r="E7881" t="str">
            <v>PX-132</v>
          </cell>
        </row>
        <row r="7882">
          <cell r="B7882" t="str">
            <v>B272-400-AS-220-PF-005</v>
          </cell>
          <cell r="E7882" t="str">
            <v>B2050</v>
          </cell>
        </row>
        <row r="7883">
          <cell r="B7883" t="str">
            <v>B272-400-AS-220-PF-005</v>
          </cell>
          <cell r="E7883" t="str">
            <v>B1650</v>
          </cell>
        </row>
        <row r="7884">
          <cell r="B7884" t="str">
            <v>B272-400-AS-220-PF-005</v>
          </cell>
          <cell r="E7884" t="str">
            <v>B2050</v>
          </cell>
        </row>
        <row r="7885">
          <cell r="B7885" t="str">
            <v>B272-400-AS-220-PF-006</v>
          </cell>
        </row>
        <row r="7886">
          <cell r="B7886" t="str">
            <v>B272-400-AS-220-PF-006</v>
          </cell>
          <cell r="E7886" t="str">
            <v>A-19</v>
          </cell>
        </row>
        <row r="7887">
          <cell r="B7887" t="str">
            <v>B272-400-AS-220-PF-006</v>
          </cell>
          <cell r="E7887" t="str">
            <v>A-20</v>
          </cell>
        </row>
        <row r="7888">
          <cell r="B7888" t="str">
            <v>B272-400-AS-220-PF-006</v>
          </cell>
          <cell r="E7888" t="str">
            <v>A-23</v>
          </cell>
        </row>
        <row r="7889">
          <cell r="B7889" t="str">
            <v>B272-400-AS-220-PF-006</v>
          </cell>
          <cell r="E7889" t="str">
            <v>AX-4</v>
          </cell>
        </row>
        <row r="7890">
          <cell r="B7890" t="str">
            <v>B272-400-AS-220-PF-006</v>
          </cell>
          <cell r="E7890" t="str">
            <v>AY-17</v>
          </cell>
        </row>
        <row r="7891">
          <cell r="B7891" t="str">
            <v>B272-400-AS-220-PF-006</v>
          </cell>
          <cell r="E7891" t="str">
            <v>AY-26</v>
          </cell>
        </row>
        <row r="7892">
          <cell r="B7892" t="str">
            <v>B272-400-AS-220-PF-006</v>
          </cell>
          <cell r="E7892" t="str">
            <v>AY-27</v>
          </cell>
        </row>
        <row r="7893">
          <cell r="B7893" t="str">
            <v>B272-400-AS-220-PF-006</v>
          </cell>
          <cell r="E7893" t="str">
            <v>AY-40</v>
          </cell>
        </row>
        <row r="7894">
          <cell r="B7894" t="str">
            <v>B272-400-AS-220-PF-006</v>
          </cell>
          <cell r="E7894" t="str">
            <v>P-1005(1/2)</v>
          </cell>
        </row>
        <row r="7895">
          <cell r="B7895" t="str">
            <v>B272-400-AS-220-PF-006</v>
          </cell>
          <cell r="E7895" t="str">
            <v>P-1005(2/2)</v>
          </cell>
        </row>
        <row r="7896">
          <cell r="B7896" t="str">
            <v>B272-400-AS-220-PF-006</v>
          </cell>
          <cell r="E7896" t="str">
            <v>P-1183</v>
          </cell>
        </row>
        <row r="7897">
          <cell r="B7897" t="str">
            <v>B272-400-AS-220-PF-006</v>
          </cell>
          <cell r="E7897" t="str">
            <v>PX-132(1/2)</v>
          </cell>
        </row>
        <row r="7898">
          <cell r="B7898" t="str">
            <v>B272-400-AS-220-PF-006</v>
          </cell>
          <cell r="E7898" t="str">
            <v>PX-132(2/2)</v>
          </cell>
        </row>
        <row r="7899">
          <cell r="B7899" t="str">
            <v>B272-400-AS-220-PF-006</v>
          </cell>
          <cell r="E7899" t="str">
            <v>B1650</v>
          </cell>
        </row>
        <row r="7900">
          <cell r="B7900" t="str">
            <v>B272-400-AS-220-PF-006</v>
          </cell>
          <cell r="E7900" t="str">
            <v>B2050</v>
          </cell>
        </row>
        <row r="7901">
          <cell r="B7901" t="str">
            <v>B272-400-AS-220-PF-006</v>
          </cell>
          <cell r="E7901" t="str">
            <v>B1650</v>
          </cell>
        </row>
        <row r="7902">
          <cell r="B7902" t="str">
            <v>B272-400-AS-220-PF-006</v>
          </cell>
          <cell r="E7902" t="str">
            <v>B2050</v>
          </cell>
        </row>
        <row r="7903">
          <cell r="B7903" t="str">
            <v>B272-400-AS-220-PF-007</v>
          </cell>
        </row>
        <row r="7904">
          <cell r="B7904" t="str">
            <v>B272-400-AS-220-PF-007</v>
          </cell>
          <cell r="E7904" t="str">
            <v>A-19</v>
          </cell>
        </row>
        <row r="7905">
          <cell r="B7905" t="str">
            <v>B272-400-AS-220-PF-007</v>
          </cell>
          <cell r="E7905" t="str">
            <v>A-25</v>
          </cell>
        </row>
        <row r="7906">
          <cell r="B7906" t="str">
            <v>B272-400-AS-220-PF-007</v>
          </cell>
          <cell r="E7906" t="str">
            <v>A-26</v>
          </cell>
        </row>
        <row r="7907">
          <cell r="B7907" t="str">
            <v>B272-400-AS-220-PF-007</v>
          </cell>
          <cell r="E7907" t="str">
            <v>A-38</v>
          </cell>
        </row>
        <row r="7908">
          <cell r="B7908" t="str">
            <v>B272-400-AS-220-PF-007</v>
          </cell>
          <cell r="E7908" t="str">
            <v>AX-2</v>
          </cell>
        </row>
        <row r="7909">
          <cell r="B7909" t="str">
            <v>B272-400-AS-220-PF-007</v>
          </cell>
          <cell r="E7909" t="str">
            <v>AY-24</v>
          </cell>
        </row>
        <row r="7910">
          <cell r="B7910" t="str">
            <v>B272-400-AS-220-PF-007</v>
          </cell>
          <cell r="E7910" t="str">
            <v>AY-25</v>
          </cell>
        </row>
        <row r="7911">
          <cell r="B7911" t="str">
            <v>B272-400-AS-220-PF-007</v>
          </cell>
          <cell r="E7911" t="str">
            <v>AY-28</v>
          </cell>
        </row>
        <row r="7912">
          <cell r="B7912" t="str">
            <v>B272-400-AS-220-PF-007</v>
          </cell>
          <cell r="E7912" t="str">
            <v>AY-29</v>
          </cell>
        </row>
        <row r="7913">
          <cell r="B7913" t="str">
            <v>B272-400-AS-220-PF-007</v>
          </cell>
          <cell r="E7913" t="str">
            <v>AY-30</v>
          </cell>
        </row>
        <row r="7914">
          <cell r="B7914" t="str">
            <v>B272-400-AS-220-PF-007</v>
          </cell>
          <cell r="E7914" t="str">
            <v>AY-31</v>
          </cell>
        </row>
        <row r="7915">
          <cell r="B7915" t="str">
            <v>B272-400-AS-220-PF-007</v>
          </cell>
          <cell r="E7915" t="str">
            <v>AY-38</v>
          </cell>
        </row>
        <row r="7916">
          <cell r="B7916" t="str">
            <v>B272-400-AS-220-PF-007</v>
          </cell>
          <cell r="E7916" t="str">
            <v>AY-41</v>
          </cell>
        </row>
        <row r="7917">
          <cell r="B7917" t="str">
            <v>B272-400-AS-220-PF-007</v>
          </cell>
          <cell r="E7917" t="str">
            <v>B1650</v>
          </cell>
        </row>
        <row r="7918">
          <cell r="B7918" t="str">
            <v>B272-400-AS-220-PF-007</v>
          </cell>
          <cell r="E7918" t="str">
            <v>B1650</v>
          </cell>
        </row>
        <row r="7919">
          <cell r="B7919" t="str">
            <v>B272-400-AS-220-PF-008</v>
          </cell>
        </row>
        <row r="7920">
          <cell r="B7920" t="str">
            <v>B272-400-AS-220-PF-008</v>
          </cell>
          <cell r="E7920" t="str">
            <v>A-20</v>
          </cell>
        </row>
        <row r="7921">
          <cell r="B7921" t="str">
            <v>B272-400-AS-220-PF-008</v>
          </cell>
          <cell r="E7921" t="str">
            <v>A-22</v>
          </cell>
        </row>
        <row r="7922">
          <cell r="B7922" t="str">
            <v>B272-400-AS-220-PF-008</v>
          </cell>
          <cell r="E7922" t="str">
            <v>A-23</v>
          </cell>
        </row>
        <row r="7923">
          <cell r="B7923" t="str">
            <v>B272-400-AS-220-PF-008</v>
          </cell>
          <cell r="E7923" t="str">
            <v>AX-5</v>
          </cell>
        </row>
        <row r="7924">
          <cell r="B7924" t="str">
            <v>B272-400-AS-220-PF-008</v>
          </cell>
          <cell r="E7924" t="str">
            <v>AY-17</v>
          </cell>
        </row>
        <row r="7925">
          <cell r="B7925" t="str">
            <v>B272-400-AS-220-PF-008</v>
          </cell>
          <cell r="E7925" t="str">
            <v>AY-22</v>
          </cell>
        </row>
        <row r="7926">
          <cell r="B7926" t="str">
            <v>B272-400-AS-220-PF-008</v>
          </cell>
          <cell r="E7926" t="str">
            <v>AY-25</v>
          </cell>
        </row>
        <row r="7927">
          <cell r="B7927" t="str">
            <v>B272-400-AS-220-PF-008</v>
          </cell>
          <cell r="E7927" t="str">
            <v>AY-39</v>
          </cell>
        </row>
        <row r="7928">
          <cell r="B7928" t="str">
            <v>B272-400-AS-220-PF-008</v>
          </cell>
          <cell r="E7928" t="str">
            <v>P-1005(1/2)</v>
          </cell>
        </row>
        <row r="7929">
          <cell r="B7929" t="str">
            <v>B272-400-AS-220-PF-008</v>
          </cell>
          <cell r="E7929" t="str">
            <v>P-1005(2/2)</v>
          </cell>
        </row>
        <row r="7930">
          <cell r="B7930" t="str">
            <v>B272-400-AS-220-PF-008</v>
          </cell>
          <cell r="E7930" t="str">
            <v>P-1183</v>
          </cell>
        </row>
        <row r="7931">
          <cell r="B7931" t="str">
            <v>B272-400-AS-220-PF-008</v>
          </cell>
          <cell r="E7931" t="str">
            <v>PX-132</v>
          </cell>
        </row>
        <row r="7932">
          <cell r="B7932" t="str">
            <v>B272-400-AS-220-PF-008</v>
          </cell>
          <cell r="E7932" t="str">
            <v>B1650</v>
          </cell>
        </row>
        <row r="7933">
          <cell r="B7933" t="str">
            <v>B272-400-AS-220-PF-008</v>
          </cell>
          <cell r="E7933" t="str">
            <v>B2050</v>
          </cell>
        </row>
        <row r="7934">
          <cell r="B7934" t="str">
            <v>B272-400-AS-220-PF-008</v>
          </cell>
          <cell r="E7934" t="str">
            <v>B1650</v>
          </cell>
        </row>
        <row r="7935">
          <cell r="B7935" t="str">
            <v>B272-400-AS-220-PF-008</v>
          </cell>
          <cell r="E7935" t="str">
            <v>B2050</v>
          </cell>
        </row>
        <row r="7936">
          <cell r="B7936" t="str">
            <v>B272-400-AS-220-PF-009</v>
          </cell>
        </row>
        <row r="7937">
          <cell r="B7937" t="str">
            <v>B272-400-AS-220-PF-009</v>
          </cell>
          <cell r="E7937" t="str">
            <v>A-223</v>
          </cell>
        </row>
        <row r="7938">
          <cell r="B7938" t="str">
            <v>B272-400-AS-220-PF-009</v>
          </cell>
          <cell r="E7938" t="str">
            <v>AFY-10</v>
          </cell>
        </row>
        <row r="7939">
          <cell r="B7939" t="str">
            <v>B272-400-AS-220-PF-009</v>
          </cell>
          <cell r="E7939" t="str">
            <v>AFY-11</v>
          </cell>
        </row>
        <row r="7940">
          <cell r="B7940" t="str">
            <v>B272-400-AS-220-PF-009</v>
          </cell>
          <cell r="E7940" t="str">
            <v>AY-50</v>
          </cell>
        </row>
        <row r="7941">
          <cell r="B7941" t="str">
            <v>B272-400-AS-220-PF-009</v>
          </cell>
          <cell r="E7941" t="str">
            <v>AY-59</v>
          </cell>
        </row>
        <row r="7942">
          <cell r="B7942" t="str">
            <v>B272-400-AS-220-PF-009</v>
          </cell>
          <cell r="E7942" t="str">
            <v>PX-57</v>
          </cell>
        </row>
        <row r="7943">
          <cell r="B7943" t="str">
            <v>B272-400-AS-220-PF-009</v>
          </cell>
          <cell r="E7943" t="str">
            <v>PX-58</v>
          </cell>
        </row>
        <row r="7944">
          <cell r="B7944" t="str">
            <v>B272-400-AS-220-PF-009</v>
          </cell>
          <cell r="E7944" t="str">
            <v>AFY-1002</v>
          </cell>
        </row>
        <row r="7945">
          <cell r="B7945" t="str">
            <v>B272-400-AS-220-PF-009</v>
          </cell>
          <cell r="E7945" t="str">
            <v>AFY-1003</v>
          </cell>
        </row>
        <row r="7946">
          <cell r="B7946" t="str">
            <v>B272-400-AS-220-PF-009</v>
          </cell>
          <cell r="E7946" t="str">
            <v>B1645</v>
          </cell>
        </row>
        <row r="7947">
          <cell r="B7947" t="str">
            <v>B272-400-AS-220-PF-009</v>
          </cell>
          <cell r="E7947" t="str">
            <v>B1650</v>
          </cell>
        </row>
        <row r="7948">
          <cell r="B7948" t="str">
            <v>B272-400-AS-220-PF-009</v>
          </cell>
          <cell r="E7948" t="str">
            <v>B1655</v>
          </cell>
        </row>
        <row r="7949">
          <cell r="B7949" t="str">
            <v>B272-400-AS-220-PF-009</v>
          </cell>
          <cell r="E7949" t="str">
            <v>B2050</v>
          </cell>
        </row>
        <row r="7950">
          <cell r="B7950" t="str">
            <v>B272-400-AS-220-PF-010</v>
          </cell>
        </row>
        <row r="7951">
          <cell r="B7951" t="str">
            <v>B272-400-AS-220-PF-010</v>
          </cell>
          <cell r="E7951" t="str">
            <v>AFX-1</v>
          </cell>
        </row>
        <row r="7952">
          <cell r="B7952" t="str">
            <v>B272-400-AS-220-PF-010</v>
          </cell>
          <cell r="E7952" t="str">
            <v>AFX-2</v>
          </cell>
        </row>
        <row r="7953">
          <cell r="B7953" t="str">
            <v>B272-400-AS-220-PF-010</v>
          </cell>
          <cell r="E7953" t="str">
            <v>AY-45</v>
          </cell>
        </row>
        <row r="7954">
          <cell r="B7954" t="str">
            <v>B272-400-AS-220-PF-010</v>
          </cell>
          <cell r="E7954" t="str">
            <v>AY-46</v>
          </cell>
        </row>
        <row r="7955">
          <cell r="B7955" t="str">
            <v>B272-400-AS-220-PF-010</v>
          </cell>
          <cell r="E7955" t="str">
            <v>AY-63</v>
          </cell>
        </row>
        <row r="7956">
          <cell r="B7956" t="str">
            <v>B272-400-AS-220-PF-010</v>
          </cell>
          <cell r="E7956" t="str">
            <v>B1650</v>
          </cell>
        </row>
        <row r="7957">
          <cell r="B7957" t="str">
            <v>B272-400-AS-220-PF-011</v>
          </cell>
        </row>
        <row r="7958">
          <cell r="B7958" t="str">
            <v>B272-400-AS-220-PF-011</v>
          </cell>
          <cell r="E7958" t="str">
            <v>AFY-5</v>
          </cell>
        </row>
        <row r="7959">
          <cell r="B7959" t="str">
            <v>B272-400-AS-220-PF-011</v>
          </cell>
          <cell r="E7959" t="str">
            <v>AFY-6</v>
          </cell>
        </row>
        <row r="7960">
          <cell r="B7960" t="str">
            <v>B272-400-AS-220-PF-011</v>
          </cell>
          <cell r="E7960" t="str">
            <v>AY-44</v>
          </cell>
        </row>
        <row r="7961">
          <cell r="B7961" t="str">
            <v>B272-400-AS-220-PF-011</v>
          </cell>
          <cell r="E7961" t="str">
            <v>AY-47</v>
          </cell>
        </row>
        <row r="7962">
          <cell r="B7962" t="str">
            <v>B272-400-AS-220-PF-011</v>
          </cell>
          <cell r="E7962" t="str">
            <v>AY-57</v>
          </cell>
        </row>
        <row r="7963">
          <cell r="B7963" t="str">
            <v>B272-400-AS-220-PF-011</v>
          </cell>
          <cell r="E7963" t="str">
            <v>B1645</v>
          </cell>
        </row>
        <row r="7964">
          <cell r="B7964" t="str">
            <v>B272-400-AS-220-PF-011</v>
          </cell>
          <cell r="E7964" t="str">
            <v>B1650</v>
          </cell>
        </row>
        <row r="7965">
          <cell r="B7965" t="str">
            <v>B272-400-AS-220-PF-012</v>
          </cell>
        </row>
        <row r="7966">
          <cell r="B7966" t="str">
            <v>B272-400-AS-220-PF-012</v>
          </cell>
          <cell r="E7966" t="str">
            <v>AFY-7</v>
          </cell>
        </row>
        <row r="7967">
          <cell r="B7967" t="str">
            <v>B272-400-AS-220-PF-012</v>
          </cell>
          <cell r="E7967" t="str">
            <v>AFY-8</v>
          </cell>
        </row>
        <row r="7968">
          <cell r="B7968" t="str">
            <v>B272-400-AS-220-PF-012</v>
          </cell>
          <cell r="E7968" t="str">
            <v>AY-52</v>
          </cell>
        </row>
        <row r="7969">
          <cell r="B7969" t="str">
            <v>B272-400-AS-220-PF-012</v>
          </cell>
          <cell r="E7969" t="str">
            <v>AY-53</v>
          </cell>
        </row>
        <row r="7970">
          <cell r="B7970" t="str">
            <v>B272-400-AS-220-PF-012</v>
          </cell>
          <cell r="E7970" t="str">
            <v>AY-54</v>
          </cell>
        </row>
        <row r="7971">
          <cell r="B7971" t="str">
            <v>B272-400-AS-220-PF-012</v>
          </cell>
          <cell r="E7971" t="str">
            <v>B1645</v>
          </cell>
        </row>
        <row r="7972">
          <cell r="B7972" t="str">
            <v>B272-400-AS-220-PF-012</v>
          </cell>
          <cell r="E7972" t="str">
            <v>B1650</v>
          </cell>
        </row>
        <row r="7973">
          <cell r="B7973" t="str">
            <v>B272-400-AS-220-PF-013</v>
          </cell>
        </row>
        <row r="7974">
          <cell r="B7974" t="str">
            <v>B272-400-AS-220-PF-013</v>
          </cell>
          <cell r="E7974" t="str">
            <v>AFY-1000</v>
          </cell>
        </row>
        <row r="7975">
          <cell r="B7975" t="str">
            <v>B272-400-AS-220-PF-013</v>
          </cell>
          <cell r="E7975" t="str">
            <v>B1650</v>
          </cell>
        </row>
        <row r="7976">
          <cell r="B7976" t="str">
            <v>B272-400-AS-220-PF-014</v>
          </cell>
        </row>
        <row r="7977">
          <cell r="B7977" t="str">
            <v>B272-400-AS-220-PF-014</v>
          </cell>
          <cell r="E7977" t="str">
            <v>AFY-1001</v>
          </cell>
        </row>
        <row r="7978">
          <cell r="B7978" t="str">
            <v>B272-400-AS-220-PF-014</v>
          </cell>
          <cell r="E7978" t="str">
            <v>B1650</v>
          </cell>
        </row>
        <row r="7979">
          <cell r="B7979" t="str">
            <v>B272-400-AS-230-HR-001</v>
          </cell>
        </row>
        <row r="7980">
          <cell r="B7980" t="str">
            <v>B272-400-AS-230-HR-001</v>
          </cell>
          <cell r="E7980" t="str">
            <v>A-3</v>
          </cell>
        </row>
        <row r="7981">
          <cell r="B7981" t="str">
            <v>B272-400-AS-230-HR-001</v>
          </cell>
          <cell r="E7981" t="str">
            <v>A-4(1/4)</v>
          </cell>
        </row>
        <row r="7982">
          <cell r="B7982" t="str">
            <v>B272-400-AS-230-HR-001</v>
          </cell>
          <cell r="E7982" t="str">
            <v>A-4(2/4)</v>
          </cell>
        </row>
        <row r="7983">
          <cell r="B7983" t="str">
            <v>B272-400-AS-230-HR-001</v>
          </cell>
          <cell r="E7983" t="str">
            <v>A-4(3/4)</v>
          </cell>
        </row>
        <row r="7984">
          <cell r="B7984" t="str">
            <v>B272-400-AS-230-HR-001</v>
          </cell>
          <cell r="E7984" t="str">
            <v>A-4(4/4)</v>
          </cell>
        </row>
        <row r="7985">
          <cell r="B7985" t="str">
            <v>B272-400-AS-230-HR-001</v>
          </cell>
          <cell r="E7985" t="str">
            <v>A-68</v>
          </cell>
        </row>
        <row r="7986">
          <cell r="B7986" t="str">
            <v>B272-400-AS-230-HR-001</v>
          </cell>
          <cell r="E7986" t="str">
            <v>D-159</v>
          </cell>
        </row>
        <row r="7987">
          <cell r="B7987" t="str">
            <v>B272-400-AS-230-HR-001</v>
          </cell>
          <cell r="E7987" t="str">
            <v>PX-70</v>
          </cell>
        </row>
        <row r="7988">
          <cell r="B7988" t="str">
            <v>B272-400-AS-230-HR-001</v>
          </cell>
          <cell r="E7988" t="str">
            <v>R-19</v>
          </cell>
        </row>
        <row r="7989">
          <cell r="B7989" t="str">
            <v>B272-400-AS-230-HR-001</v>
          </cell>
          <cell r="E7989" t="str">
            <v>B1645</v>
          </cell>
        </row>
        <row r="7990">
          <cell r="B7990" t="str">
            <v>B272-400-AS-230-HR-002</v>
          </cell>
        </row>
        <row r="7991">
          <cell r="B7991" t="str">
            <v>B272-400-AS-230-HR-002</v>
          </cell>
          <cell r="E7991" t="str">
            <v>A-3(1/3)</v>
          </cell>
        </row>
        <row r="7992">
          <cell r="B7992" t="str">
            <v>B272-400-AS-230-HR-002</v>
          </cell>
          <cell r="E7992" t="str">
            <v>A-3(2/3)</v>
          </cell>
        </row>
        <row r="7993">
          <cell r="B7993" t="str">
            <v>B272-400-AS-230-HR-002</v>
          </cell>
          <cell r="E7993" t="str">
            <v>A-3(3/3)</v>
          </cell>
        </row>
        <row r="7994">
          <cell r="B7994" t="str">
            <v>B272-400-AS-230-HR-002</v>
          </cell>
          <cell r="E7994" t="str">
            <v>A-4</v>
          </cell>
        </row>
        <row r="7995">
          <cell r="B7995" t="str">
            <v>B272-400-AS-230-HR-002</v>
          </cell>
          <cell r="E7995" t="str">
            <v>A-68(1/2)</v>
          </cell>
        </row>
        <row r="7996">
          <cell r="B7996" t="str">
            <v>B272-400-AS-230-HR-002</v>
          </cell>
          <cell r="E7996" t="str">
            <v>A-68(2/2)</v>
          </cell>
        </row>
        <row r="7997">
          <cell r="B7997" t="str">
            <v>B272-400-AS-230-HR-002</v>
          </cell>
          <cell r="E7997" t="str">
            <v>D-110(1/2)</v>
          </cell>
        </row>
        <row r="7998">
          <cell r="B7998" t="str">
            <v>B272-400-AS-230-HR-002</v>
          </cell>
          <cell r="E7998" t="str">
            <v>D-110(2/2)</v>
          </cell>
        </row>
        <row r="7999">
          <cell r="B7999" t="str">
            <v>B272-400-AS-230-HR-002</v>
          </cell>
          <cell r="E7999" t="str">
            <v>D-126(1/2)</v>
          </cell>
        </row>
        <row r="8000">
          <cell r="B8000" t="str">
            <v>B272-400-AS-230-HR-002</v>
          </cell>
          <cell r="E8000" t="str">
            <v>D-126(2/2)</v>
          </cell>
        </row>
        <row r="8001">
          <cell r="B8001" t="str">
            <v>B272-400-AS-230-HR-002</v>
          </cell>
          <cell r="E8001" t="str">
            <v>D-127</v>
          </cell>
        </row>
        <row r="8002">
          <cell r="B8002" t="str">
            <v>B272-400-AS-230-HR-002</v>
          </cell>
          <cell r="E8002" t="str">
            <v>PX-60</v>
          </cell>
        </row>
        <row r="8003">
          <cell r="B8003" t="str">
            <v>B272-400-AS-230-HR-002</v>
          </cell>
          <cell r="E8003" t="str">
            <v>PX-66(1/5)</v>
          </cell>
        </row>
        <row r="8004">
          <cell r="B8004" t="str">
            <v>B272-400-AS-230-HR-002</v>
          </cell>
          <cell r="E8004" t="str">
            <v>PX-66(2/5)</v>
          </cell>
        </row>
        <row r="8005">
          <cell r="B8005" t="str">
            <v>B272-400-AS-230-HR-002</v>
          </cell>
          <cell r="E8005" t="str">
            <v>PX-66(3/5)</v>
          </cell>
        </row>
        <row r="8006">
          <cell r="B8006" t="str">
            <v>B272-400-AS-230-HR-002</v>
          </cell>
          <cell r="E8006" t="str">
            <v>PX-66(4/5)</v>
          </cell>
        </row>
        <row r="8007">
          <cell r="B8007" t="str">
            <v>B272-400-AS-230-HR-002</v>
          </cell>
          <cell r="E8007" t="str">
            <v>PX-66(5/5)</v>
          </cell>
        </row>
        <row r="8008">
          <cell r="B8008" t="str">
            <v>B272-400-AS-230-HR-002</v>
          </cell>
          <cell r="E8008" t="str">
            <v>R-6(1/2)</v>
          </cell>
        </row>
        <row r="8009">
          <cell r="B8009" t="str">
            <v>B272-400-AS-230-HR-002</v>
          </cell>
          <cell r="E8009" t="str">
            <v>R-6(2/2)</v>
          </cell>
        </row>
        <row r="8010">
          <cell r="B8010" t="str">
            <v>B272-400-AS-230-HR-003</v>
          </cell>
        </row>
        <row r="8011">
          <cell r="B8011" t="str">
            <v>B272-400-AS-230-HR-003</v>
          </cell>
          <cell r="E8011" t="str">
            <v>A-3</v>
          </cell>
        </row>
        <row r="8012">
          <cell r="B8012" t="str">
            <v>B272-400-AS-230-HR-003</v>
          </cell>
          <cell r="E8012" t="str">
            <v>A-68</v>
          </cell>
        </row>
        <row r="8013">
          <cell r="B8013" t="str">
            <v>B272-400-AS-230-HR-003</v>
          </cell>
          <cell r="E8013" t="str">
            <v>A-241</v>
          </cell>
        </row>
        <row r="8014">
          <cell r="B8014" t="str">
            <v>B272-400-AS-230-HR-003</v>
          </cell>
          <cell r="E8014" t="str">
            <v>D-149</v>
          </cell>
        </row>
        <row r="8015">
          <cell r="B8015" t="str">
            <v>B272-400-AS-230-HR-003</v>
          </cell>
          <cell r="E8015" t="str">
            <v>P-224</v>
          </cell>
        </row>
        <row r="8016">
          <cell r="B8016" t="str">
            <v>B272-400-AS-230-HR-003</v>
          </cell>
          <cell r="E8016" t="str">
            <v>P-290</v>
          </cell>
        </row>
        <row r="8017">
          <cell r="B8017" t="str">
            <v>B272-400-AS-230-HR-003</v>
          </cell>
          <cell r="E8017" t="str">
            <v>P-1204</v>
          </cell>
        </row>
        <row r="8018">
          <cell r="B8018" t="str">
            <v>B272-400-AS-230-HR-003</v>
          </cell>
          <cell r="E8018" t="str">
            <v>PX-65</v>
          </cell>
        </row>
        <row r="8019">
          <cell r="B8019" t="str">
            <v>B272-400-AS-230-HR-003</v>
          </cell>
          <cell r="E8019" t="str">
            <v>R-27</v>
          </cell>
        </row>
        <row r="8020">
          <cell r="B8020" t="str">
            <v>B272-400-AS-230-HR-004</v>
          </cell>
        </row>
        <row r="8021">
          <cell r="B8021" t="str">
            <v>B272-400-AS-230-HR-004</v>
          </cell>
          <cell r="E8021" t="str">
            <v>A-4(1/5)</v>
          </cell>
        </row>
        <row r="8022">
          <cell r="B8022" t="str">
            <v>B272-400-AS-230-HR-004</v>
          </cell>
          <cell r="E8022" t="str">
            <v>A-4(2/5)</v>
          </cell>
        </row>
        <row r="8023">
          <cell r="B8023" t="str">
            <v>B272-400-AS-230-HR-004</v>
          </cell>
          <cell r="E8023" t="str">
            <v>A-4(3/5)</v>
          </cell>
        </row>
        <row r="8024">
          <cell r="B8024" t="str">
            <v>B272-400-AS-230-HR-004</v>
          </cell>
          <cell r="E8024" t="str">
            <v>A-4(4/5)</v>
          </cell>
        </row>
        <row r="8025">
          <cell r="B8025" t="str">
            <v>B272-400-AS-230-HR-004</v>
          </cell>
          <cell r="E8025" t="str">
            <v>A-4(5/5)</v>
          </cell>
        </row>
        <row r="8026">
          <cell r="B8026" t="str">
            <v>B272-400-AS-230-HR-004</v>
          </cell>
          <cell r="E8026" t="str">
            <v>A-239</v>
          </cell>
        </row>
        <row r="8027">
          <cell r="B8027" t="str">
            <v>B272-400-AS-230-HR-004</v>
          </cell>
          <cell r="E8027" t="str">
            <v>D-140</v>
          </cell>
        </row>
        <row r="8028">
          <cell r="B8028" t="str">
            <v>B272-400-AS-230-HR-004</v>
          </cell>
          <cell r="E8028" t="str">
            <v>P-224</v>
          </cell>
        </row>
        <row r="8029">
          <cell r="B8029" t="str">
            <v>B272-400-AS-230-HR-004</v>
          </cell>
          <cell r="E8029" t="str">
            <v>P-290</v>
          </cell>
        </row>
        <row r="8030">
          <cell r="B8030" t="str">
            <v>B272-400-AS-230-HR-004</v>
          </cell>
          <cell r="E8030" t="str">
            <v>P-367</v>
          </cell>
        </row>
        <row r="8031">
          <cell r="B8031" t="str">
            <v>B272-400-AS-230-HR-004</v>
          </cell>
          <cell r="E8031" t="str">
            <v>PX-78</v>
          </cell>
        </row>
        <row r="8032">
          <cell r="B8032" t="str">
            <v>B272-400-AS-230-HR-004</v>
          </cell>
          <cell r="E8032" t="str">
            <v>B1645</v>
          </cell>
        </row>
        <row r="8033">
          <cell r="B8033" t="str">
            <v>B272-400-AS-230-HR-005</v>
          </cell>
        </row>
        <row r="8034">
          <cell r="B8034" t="str">
            <v>B272-400-AS-230-HR-005</v>
          </cell>
          <cell r="E8034" t="str">
            <v>A-4(1/4)</v>
          </cell>
        </row>
        <row r="8035">
          <cell r="B8035" t="str">
            <v>B272-400-AS-230-HR-005</v>
          </cell>
          <cell r="E8035" t="str">
            <v>A-4(2/4)</v>
          </cell>
        </row>
        <row r="8036">
          <cell r="B8036" t="str">
            <v>B272-400-AS-230-HR-005</v>
          </cell>
          <cell r="E8036" t="str">
            <v>A-4(3/4)</v>
          </cell>
        </row>
        <row r="8037">
          <cell r="B8037" t="str">
            <v>B272-400-AS-230-HR-005</v>
          </cell>
          <cell r="E8037" t="str">
            <v>A-4(4/4)</v>
          </cell>
        </row>
        <row r="8038">
          <cell r="B8038" t="str">
            <v>B272-400-AS-230-HR-005</v>
          </cell>
          <cell r="E8038" t="str">
            <v>A-68</v>
          </cell>
        </row>
        <row r="8039">
          <cell r="B8039" t="str">
            <v>B272-400-AS-230-HR-005</v>
          </cell>
          <cell r="E8039" t="str">
            <v>D-154</v>
          </cell>
        </row>
        <row r="8040">
          <cell r="B8040" t="str">
            <v>B272-400-AS-230-HR-005</v>
          </cell>
          <cell r="E8040" t="str">
            <v>PX-72</v>
          </cell>
        </row>
        <row r="8041">
          <cell r="B8041" t="str">
            <v>B272-400-AS-230-HR-005</v>
          </cell>
          <cell r="E8041" t="str">
            <v>R-19</v>
          </cell>
        </row>
        <row r="8042">
          <cell r="B8042" t="str">
            <v>B272-400-AS-230-HR-005</v>
          </cell>
          <cell r="E8042" t="str">
            <v>B1645</v>
          </cell>
        </row>
        <row r="8043">
          <cell r="B8043" t="str">
            <v>B272-400-AS-230-HR-006</v>
          </cell>
        </row>
        <row r="8044">
          <cell r="B8044" t="str">
            <v>B272-400-AS-230-HR-006</v>
          </cell>
          <cell r="E8044" t="str">
            <v>A-12</v>
          </cell>
        </row>
        <row r="8045">
          <cell r="B8045" t="str">
            <v>B272-400-AS-230-HR-006</v>
          </cell>
          <cell r="E8045" t="str">
            <v>D-115</v>
          </cell>
        </row>
        <row r="8046">
          <cell r="B8046" t="str">
            <v>B272-400-AS-230-HR-006</v>
          </cell>
          <cell r="E8046" t="str">
            <v>P-224</v>
          </cell>
        </row>
        <row r="8047">
          <cell r="B8047" t="str">
            <v>B272-400-AS-230-HR-006</v>
          </cell>
          <cell r="E8047" t="str">
            <v>P-455</v>
          </cell>
        </row>
        <row r="8048">
          <cell r="B8048" t="str">
            <v>B272-400-AS-230-HR-006</v>
          </cell>
          <cell r="E8048" t="str">
            <v>P-2015</v>
          </cell>
        </row>
        <row r="8049">
          <cell r="B8049" t="str">
            <v>B272-400-AS-230-HR-006</v>
          </cell>
          <cell r="E8049" t="str">
            <v>A-1003</v>
          </cell>
        </row>
        <row r="8050">
          <cell r="B8050" t="str">
            <v>B272-400-AS-230-HR-006</v>
          </cell>
          <cell r="E8050" t="str">
            <v>P-698</v>
          </cell>
        </row>
        <row r="8051">
          <cell r="B8051" t="str">
            <v>B272-400-AS-230-HR-007</v>
          </cell>
        </row>
        <row r="8052">
          <cell r="B8052" t="str">
            <v>B272-400-AS-230-HR-007</v>
          </cell>
          <cell r="E8052" t="str">
            <v>A-5</v>
          </cell>
        </row>
        <row r="8053">
          <cell r="B8053" t="str">
            <v>B272-400-AS-230-HR-007</v>
          </cell>
          <cell r="E8053" t="str">
            <v>A-8</v>
          </cell>
        </row>
        <row r="8054">
          <cell r="B8054" t="str">
            <v>B272-400-AS-230-HR-007</v>
          </cell>
          <cell r="E8054" t="str">
            <v>A-68</v>
          </cell>
        </row>
        <row r="8055">
          <cell r="B8055" t="str">
            <v>B272-400-AS-230-HR-007</v>
          </cell>
          <cell r="E8055" t="str">
            <v>D-95</v>
          </cell>
        </row>
        <row r="8056">
          <cell r="B8056" t="str">
            <v>B272-400-AS-230-HR-007</v>
          </cell>
          <cell r="E8056" t="str">
            <v>D-110</v>
          </cell>
        </row>
        <row r="8057">
          <cell r="B8057" t="str">
            <v>B272-400-AS-230-HR-007</v>
          </cell>
          <cell r="E8057" t="str">
            <v>D-130</v>
          </cell>
        </row>
        <row r="8058">
          <cell r="B8058" t="str">
            <v>B272-400-AS-230-HR-007</v>
          </cell>
          <cell r="E8058" t="str">
            <v>D-134</v>
          </cell>
        </row>
        <row r="8059">
          <cell r="B8059" t="str">
            <v>B272-400-AS-230-HR-007</v>
          </cell>
          <cell r="E8059" t="str">
            <v>D-142</v>
          </cell>
        </row>
        <row r="8060">
          <cell r="B8060" t="str">
            <v>B272-400-AS-230-HR-007</v>
          </cell>
          <cell r="E8060" t="str">
            <v>P-1185</v>
          </cell>
        </row>
        <row r="8061">
          <cell r="B8061" t="str">
            <v>B272-400-AS-230-HR-007</v>
          </cell>
          <cell r="E8061" t="str">
            <v>P-1186</v>
          </cell>
        </row>
        <row r="8062">
          <cell r="B8062" t="str">
            <v>B272-400-AS-230-HR-007</v>
          </cell>
          <cell r="E8062" t="str">
            <v>PX-49</v>
          </cell>
        </row>
        <row r="8063">
          <cell r="B8063" t="str">
            <v>B272-400-AS-230-HR-007</v>
          </cell>
          <cell r="E8063" t="str">
            <v>R-6</v>
          </cell>
        </row>
        <row r="8064">
          <cell r="B8064" t="str">
            <v>B272-400-AS-230-HR-007</v>
          </cell>
          <cell r="E8064" t="str">
            <v>B1645</v>
          </cell>
        </row>
        <row r="8065">
          <cell r="B8065" t="str">
            <v>B272-400-AS-230-HR-008</v>
          </cell>
        </row>
        <row r="8066">
          <cell r="B8066" t="str">
            <v>B272-400-AS-230-HR-008</v>
          </cell>
          <cell r="E8066" t="str">
            <v>A-8</v>
          </cell>
        </row>
        <row r="8067">
          <cell r="B8067" t="str">
            <v>B272-400-AS-230-HR-008</v>
          </cell>
          <cell r="E8067" t="str">
            <v>A-12</v>
          </cell>
        </row>
        <row r="8068">
          <cell r="B8068" t="str">
            <v>B272-400-AS-230-HR-008</v>
          </cell>
          <cell r="E8068" t="str">
            <v>D-139</v>
          </cell>
        </row>
        <row r="8069">
          <cell r="B8069" t="str">
            <v>B272-400-AS-230-HR-008</v>
          </cell>
          <cell r="E8069" t="str">
            <v>P-224(1/2)</v>
          </cell>
        </row>
        <row r="8070">
          <cell r="B8070" t="str">
            <v>B272-400-AS-230-HR-008</v>
          </cell>
          <cell r="E8070" t="str">
            <v>P-224(2/2)</v>
          </cell>
        </row>
        <row r="8071">
          <cell r="B8071" t="str">
            <v>B272-400-AS-230-HR-008</v>
          </cell>
          <cell r="E8071" t="str">
            <v>P-1062</v>
          </cell>
        </row>
        <row r="8072">
          <cell r="B8072" t="str">
            <v>B272-400-AS-230-HR-008</v>
          </cell>
          <cell r="E8072" t="str">
            <v>P-1186</v>
          </cell>
        </row>
        <row r="8073">
          <cell r="B8073" t="str">
            <v>B272-400-AS-230-HR-009</v>
          </cell>
        </row>
        <row r="8074">
          <cell r="B8074" t="str">
            <v>B272-400-AS-230-HR-009</v>
          </cell>
          <cell r="E8074" t="str">
            <v>A-5</v>
          </cell>
        </row>
        <row r="8075">
          <cell r="B8075" t="str">
            <v>B272-400-AS-230-HR-009</v>
          </cell>
          <cell r="E8075" t="str">
            <v>A-68</v>
          </cell>
        </row>
        <row r="8076">
          <cell r="B8076" t="str">
            <v>B272-400-AS-230-HR-009</v>
          </cell>
          <cell r="E8076" t="str">
            <v>A-245</v>
          </cell>
        </row>
        <row r="8077">
          <cell r="B8077" t="str">
            <v>B272-400-AS-230-HR-009</v>
          </cell>
          <cell r="E8077" t="str">
            <v>D-137</v>
          </cell>
        </row>
        <row r="8078">
          <cell r="B8078" t="str">
            <v>B272-400-AS-230-HR-009</v>
          </cell>
          <cell r="E8078" t="str">
            <v>P-224</v>
          </cell>
        </row>
        <row r="8079">
          <cell r="B8079" t="str">
            <v>B272-400-AS-230-HR-009</v>
          </cell>
          <cell r="E8079" t="str">
            <v>P-1051</v>
          </cell>
        </row>
        <row r="8080">
          <cell r="B8080" t="str">
            <v>B272-400-AS-230-HR-009</v>
          </cell>
          <cell r="E8080" t="str">
            <v>P-1185(1/2)</v>
          </cell>
        </row>
        <row r="8081">
          <cell r="B8081" t="str">
            <v>B272-400-AS-230-HR-009</v>
          </cell>
          <cell r="E8081" t="str">
            <v>P-1185(2/2)</v>
          </cell>
        </row>
        <row r="8082">
          <cell r="B8082" t="str">
            <v>B272-400-AS-230-HR-009</v>
          </cell>
          <cell r="E8082" t="str">
            <v>PX-66</v>
          </cell>
        </row>
        <row r="8083">
          <cell r="B8083" t="str">
            <v>B272-400-AS-230-HR-009</v>
          </cell>
          <cell r="E8083" t="str">
            <v>R-6</v>
          </cell>
        </row>
        <row r="8084">
          <cell r="B8084" t="str">
            <v>B272-400-AS-230-HR-010</v>
          </cell>
        </row>
        <row r="8085">
          <cell r="B8085" t="str">
            <v>B272-400-AS-230-HR-010</v>
          </cell>
          <cell r="E8085" t="str">
            <v>A-4(1/5)</v>
          </cell>
        </row>
        <row r="8086">
          <cell r="B8086" t="str">
            <v>B272-400-AS-230-HR-010</v>
          </cell>
          <cell r="E8086" t="str">
            <v>A-4(2/5)</v>
          </cell>
        </row>
        <row r="8087">
          <cell r="B8087" t="str">
            <v>B272-400-AS-230-HR-010</v>
          </cell>
          <cell r="E8087" t="str">
            <v>A-4(3/5)</v>
          </cell>
        </row>
        <row r="8088">
          <cell r="B8088" t="str">
            <v>B272-400-AS-230-HR-010</v>
          </cell>
          <cell r="E8088" t="str">
            <v>A-4(4/5)</v>
          </cell>
        </row>
        <row r="8089">
          <cell r="B8089" t="str">
            <v>B272-400-AS-230-HR-010</v>
          </cell>
          <cell r="E8089" t="str">
            <v>A-4(5/5)</v>
          </cell>
        </row>
        <row r="8090">
          <cell r="B8090" t="str">
            <v>B272-400-AS-230-HR-010</v>
          </cell>
          <cell r="E8090" t="str">
            <v>A-86</v>
          </cell>
        </row>
        <row r="8091">
          <cell r="B8091" t="str">
            <v>B272-400-AS-230-HR-010</v>
          </cell>
          <cell r="E8091" t="str">
            <v>A-68</v>
          </cell>
        </row>
        <row r="8092">
          <cell r="B8092" t="str">
            <v>B272-400-AS-230-HR-010</v>
          </cell>
          <cell r="E8092" t="str">
            <v>A-242</v>
          </cell>
        </row>
        <row r="8093">
          <cell r="B8093" t="str">
            <v>B272-400-AS-230-HR-010</v>
          </cell>
          <cell r="E8093" t="str">
            <v>D-144</v>
          </cell>
        </row>
        <row r="8094">
          <cell r="B8094" t="str">
            <v>B272-400-AS-230-HR-010</v>
          </cell>
          <cell r="E8094" t="str">
            <v>P-224</v>
          </cell>
        </row>
        <row r="8095">
          <cell r="B8095" t="str">
            <v>B272-400-AS-230-HR-010</v>
          </cell>
          <cell r="E8095" t="str">
            <v>P-290</v>
          </cell>
        </row>
        <row r="8096">
          <cell r="B8096" t="str">
            <v>B272-400-AS-230-HR-010</v>
          </cell>
          <cell r="E8096" t="str">
            <v>P-367</v>
          </cell>
        </row>
        <row r="8097">
          <cell r="B8097" t="str">
            <v>B272-400-AS-230-HR-010</v>
          </cell>
          <cell r="E8097" t="str">
            <v>PX-76</v>
          </cell>
        </row>
        <row r="8098">
          <cell r="B8098" t="str">
            <v>B272-400-AS-230-HR-010</v>
          </cell>
          <cell r="E8098" t="str">
            <v>R-19</v>
          </cell>
        </row>
        <row r="8099">
          <cell r="B8099" t="str">
            <v>B272-400-AS-230-HR-010</v>
          </cell>
          <cell r="E8099" t="str">
            <v>B1645</v>
          </cell>
        </row>
        <row r="8100">
          <cell r="B8100" t="str">
            <v>B272-400-AS-230-HR-011</v>
          </cell>
        </row>
        <row r="8101">
          <cell r="B8101" t="str">
            <v>B272-400-AS-230-HR-011</v>
          </cell>
          <cell r="E8101" t="str">
            <v>A-4(1/3)</v>
          </cell>
        </row>
        <row r="8102">
          <cell r="B8102" t="str">
            <v>B272-400-AS-230-HR-011</v>
          </cell>
          <cell r="E8102" t="str">
            <v>A-4(2/3)</v>
          </cell>
        </row>
        <row r="8103">
          <cell r="B8103" t="str">
            <v>B272-400-AS-230-HR-011</v>
          </cell>
          <cell r="E8103" t="str">
            <v>A-4(3/3)</v>
          </cell>
        </row>
        <row r="8104">
          <cell r="B8104" t="str">
            <v>B272-400-AS-230-HR-011</v>
          </cell>
          <cell r="E8104" t="str">
            <v>A-6</v>
          </cell>
        </row>
        <row r="8105">
          <cell r="B8105" t="str">
            <v>B272-400-AS-230-HR-011</v>
          </cell>
          <cell r="E8105" t="str">
            <v>A-242</v>
          </cell>
        </row>
        <row r="8106">
          <cell r="B8106" t="str">
            <v>B272-400-AS-230-HR-011</v>
          </cell>
          <cell r="E8106" t="str">
            <v>D-152</v>
          </cell>
        </row>
        <row r="8107">
          <cell r="B8107" t="str">
            <v>B272-400-AS-230-HR-011</v>
          </cell>
          <cell r="E8107" t="str">
            <v>P-224</v>
          </cell>
        </row>
        <row r="8108">
          <cell r="B8108" t="str">
            <v>B272-400-AS-230-HR-011</v>
          </cell>
          <cell r="E8108" t="str">
            <v>P-290</v>
          </cell>
        </row>
        <row r="8109">
          <cell r="B8109" t="str">
            <v>B272-400-AS-230-HR-011</v>
          </cell>
          <cell r="E8109" t="str">
            <v>P-367</v>
          </cell>
        </row>
        <row r="8110">
          <cell r="B8110" t="str">
            <v>B272-400-AS-230-HR-011</v>
          </cell>
          <cell r="E8110" t="str">
            <v>PX-66(1/7)</v>
          </cell>
        </row>
        <row r="8111">
          <cell r="B8111" t="str">
            <v>B272-400-AS-230-HR-011</v>
          </cell>
          <cell r="E8111" t="str">
            <v>PX-66(2/7)</v>
          </cell>
        </row>
        <row r="8112">
          <cell r="B8112" t="str">
            <v>B272-400-AS-230-HR-011</v>
          </cell>
          <cell r="E8112" t="str">
            <v>PX-66(3/7)</v>
          </cell>
        </row>
        <row r="8113">
          <cell r="B8113" t="str">
            <v>B272-400-AS-230-HR-011</v>
          </cell>
          <cell r="E8113" t="str">
            <v>PX-66(4/7)</v>
          </cell>
        </row>
        <row r="8114">
          <cell r="B8114" t="str">
            <v>B272-400-AS-230-HR-011</v>
          </cell>
          <cell r="E8114" t="str">
            <v>PX-66(5/7)</v>
          </cell>
        </row>
        <row r="8115">
          <cell r="B8115" t="str">
            <v>B272-400-AS-230-HR-011</v>
          </cell>
          <cell r="E8115" t="str">
            <v>PX-66(6/7)</v>
          </cell>
        </row>
        <row r="8116">
          <cell r="B8116" t="str">
            <v>B272-400-AS-230-HR-011</v>
          </cell>
          <cell r="E8116" t="str">
            <v>PX-66(7/7)</v>
          </cell>
        </row>
        <row r="8117">
          <cell r="B8117" t="str">
            <v>B272-400-AS-230-HR-011</v>
          </cell>
          <cell r="E8117" t="str">
            <v>PX-69</v>
          </cell>
        </row>
        <row r="8118">
          <cell r="B8118" t="str">
            <v>B272-400-AS-230-HR-011</v>
          </cell>
          <cell r="E8118" t="str">
            <v>B1645</v>
          </cell>
        </row>
        <row r="8119">
          <cell r="B8119" t="str">
            <v>B272-400-AS-230-HR-012</v>
          </cell>
        </row>
        <row r="8120">
          <cell r="B8120" t="str">
            <v>B272-400-AS-230-HR-012</v>
          </cell>
          <cell r="E8120" t="str">
            <v>A-7</v>
          </cell>
        </row>
        <row r="8121">
          <cell r="B8121" t="str">
            <v>B272-400-AS-230-HR-012</v>
          </cell>
          <cell r="E8121" t="str">
            <v>A-245</v>
          </cell>
        </row>
        <row r="8122">
          <cell r="B8122" t="str">
            <v>B272-400-AS-230-HR-012</v>
          </cell>
          <cell r="E8122" t="str">
            <v>D-139</v>
          </cell>
        </row>
        <row r="8123">
          <cell r="B8123" t="str">
            <v>B272-400-AS-230-HR-012</v>
          </cell>
          <cell r="E8123" t="str">
            <v>P-224(1/2)</v>
          </cell>
        </row>
        <row r="8124">
          <cell r="B8124" t="str">
            <v>B272-400-AS-230-HR-012</v>
          </cell>
          <cell r="E8124" t="str">
            <v>P-224(2/2)</v>
          </cell>
        </row>
        <row r="8125">
          <cell r="B8125" t="str">
            <v>B272-400-AS-230-HR-012</v>
          </cell>
          <cell r="E8125" t="str">
            <v>P-1062</v>
          </cell>
        </row>
        <row r="8126">
          <cell r="B8126" t="str">
            <v>B272-400-AS-230-HR-012</v>
          </cell>
          <cell r="E8126" t="str">
            <v>P-1185</v>
          </cell>
        </row>
        <row r="8127">
          <cell r="B8127" t="str">
            <v>B272-400-AS-230-HR-013</v>
          </cell>
        </row>
        <row r="8128">
          <cell r="B8128" t="str">
            <v>B272-400-AS-230-HR-013</v>
          </cell>
          <cell r="E8128" t="str">
            <v>A-7</v>
          </cell>
        </row>
        <row r="8129">
          <cell r="B8129" t="str">
            <v>B272-400-AS-230-HR-013</v>
          </cell>
          <cell r="E8129" t="str">
            <v>D-116</v>
          </cell>
        </row>
        <row r="8130">
          <cell r="B8130" t="str">
            <v>B272-400-AS-230-HR-013</v>
          </cell>
          <cell r="E8130" t="str">
            <v>P-224(1/2)</v>
          </cell>
        </row>
        <row r="8131">
          <cell r="B8131" t="str">
            <v>B272-400-AS-230-HR-013</v>
          </cell>
          <cell r="E8131" t="str">
            <v>P-224(2/2)</v>
          </cell>
        </row>
        <row r="8132">
          <cell r="B8132" t="str">
            <v>B272-400-AS-230-HR-013</v>
          </cell>
          <cell r="E8132" t="str">
            <v>A-1004</v>
          </cell>
        </row>
        <row r="8133">
          <cell r="B8133" t="str">
            <v>B272-400-AS-230-HR-013</v>
          </cell>
          <cell r="E8133" t="str">
            <v>P-2016</v>
          </cell>
        </row>
        <row r="8134">
          <cell r="B8134" t="str">
            <v>B272-400-AS-230-HR-013</v>
          </cell>
          <cell r="E8134" t="str">
            <v>P-999</v>
          </cell>
        </row>
        <row r="8135">
          <cell r="B8135" t="str">
            <v>B272-400-AS-230-HR-014</v>
          </cell>
        </row>
        <row r="8136">
          <cell r="B8136" t="str">
            <v>B272-400-AS-230-HR-014</v>
          </cell>
          <cell r="E8136" t="str">
            <v>A-5</v>
          </cell>
        </row>
        <row r="8137">
          <cell r="B8137" t="str">
            <v>B272-400-AS-230-HR-014</v>
          </cell>
          <cell r="E8137" t="str">
            <v>A-6</v>
          </cell>
        </row>
        <row r="8138">
          <cell r="B8138" t="str">
            <v>B272-400-AS-230-HR-014</v>
          </cell>
          <cell r="E8138" t="str">
            <v>A-68</v>
          </cell>
        </row>
        <row r="8139">
          <cell r="B8139" t="str">
            <v>B272-400-AS-230-HR-014</v>
          </cell>
          <cell r="E8139" t="str">
            <v>D-158</v>
          </cell>
        </row>
        <row r="8140">
          <cell r="B8140" t="str">
            <v>B272-400-AS-230-HR-014</v>
          </cell>
          <cell r="E8140" t="str">
            <v>P-224</v>
          </cell>
        </row>
        <row r="8141">
          <cell r="B8141" t="str">
            <v>B272-400-AS-230-HR-014</v>
          </cell>
          <cell r="E8141" t="str">
            <v>P-290</v>
          </cell>
        </row>
        <row r="8142">
          <cell r="B8142" t="str">
            <v>B272-400-AS-230-HR-014</v>
          </cell>
          <cell r="E8142" t="str">
            <v>P-951</v>
          </cell>
        </row>
        <row r="8143">
          <cell r="B8143" t="str">
            <v>B272-400-AS-230-HR-014</v>
          </cell>
          <cell r="E8143" t="str">
            <v>P-1013</v>
          </cell>
        </row>
        <row r="8144">
          <cell r="B8144" t="str">
            <v>B272-400-AS-230-HR-014</v>
          </cell>
          <cell r="E8144" t="str">
            <v>P-1185</v>
          </cell>
        </row>
        <row r="8145">
          <cell r="B8145" t="str">
            <v>B272-400-AS-230-HR-014</v>
          </cell>
          <cell r="E8145" t="str">
            <v>R-6</v>
          </cell>
        </row>
        <row r="8146">
          <cell r="B8146" t="str">
            <v>B272-400-AS-230-HR-015</v>
          </cell>
        </row>
        <row r="8147">
          <cell r="B8147" t="str">
            <v>B272-400-AS-230-HR-015</v>
          </cell>
          <cell r="E8147" t="str">
            <v>A-5</v>
          </cell>
        </row>
        <row r="8148">
          <cell r="B8148" t="str">
            <v>B272-400-AS-230-HR-015</v>
          </cell>
          <cell r="E8148" t="str">
            <v>A-243</v>
          </cell>
        </row>
        <row r="8149">
          <cell r="B8149" t="str">
            <v>B272-400-AS-230-HR-015</v>
          </cell>
          <cell r="E8149" t="str">
            <v>D-136</v>
          </cell>
        </row>
        <row r="8150">
          <cell r="B8150" t="str">
            <v>B272-400-AS-230-HR-015</v>
          </cell>
          <cell r="E8150" t="str">
            <v>P-224(1/2)</v>
          </cell>
        </row>
        <row r="8151">
          <cell r="B8151" t="str">
            <v>B272-400-AS-230-HR-015</v>
          </cell>
          <cell r="E8151" t="str">
            <v>P-224(2/2)</v>
          </cell>
        </row>
        <row r="8152">
          <cell r="B8152" t="str">
            <v>B272-400-AS-230-HR-015</v>
          </cell>
          <cell r="E8152" t="str">
            <v>P-1007</v>
          </cell>
        </row>
        <row r="8153">
          <cell r="B8153" t="str">
            <v>B272-400-AS-230-HR-015</v>
          </cell>
          <cell r="E8153" t="str">
            <v>P-1185</v>
          </cell>
        </row>
        <row r="8154">
          <cell r="B8154" t="str">
            <v>B272-400-AS-230-HR-016</v>
          </cell>
        </row>
        <row r="8155">
          <cell r="B8155" t="str">
            <v>B272-400-AS-230-HR-016</v>
          </cell>
          <cell r="E8155" t="str">
            <v>A-4</v>
          </cell>
        </row>
        <row r="8156">
          <cell r="B8156" t="str">
            <v>B272-400-AS-230-HR-016</v>
          </cell>
          <cell r="E8156" t="str">
            <v>A-6</v>
          </cell>
        </row>
        <row r="8157">
          <cell r="B8157" t="str">
            <v>B272-400-AS-230-HR-016</v>
          </cell>
          <cell r="E8157" t="str">
            <v>D-95(1/2)</v>
          </cell>
        </row>
        <row r="8158">
          <cell r="B8158" t="str">
            <v>B272-400-AS-230-HR-016</v>
          </cell>
          <cell r="E8158" t="str">
            <v>D-95(2/2)</v>
          </cell>
        </row>
        <row r="8159">
          <cell r="B8159" t="str">
            <v>B272-400-AS-230-HR-016</v>
          </cell>
          <cell r="E8159" t="str">
            <v>D-105</v>
          </cell>
        </row>
        <row r="8160">
          <cell r="B8160" t="str">
            <v>B272-400-AS-230-HR-016</v>
          </cell>
          <cell r="E8160" t="str">
            <v>D-131</v>
          </cell>
        </row>
        <row r="8161">
          <cell r="B8161" t="str">
            <v>B272-400-AS-230-HR-016</v>
          </cell>
          <cell r="E8161" t="str">
            <v>D-133</v>
          </cell>
        </row>
        <row r="8162">
          <cell r="B8162" t="str">
            <v>B272-400-AS-230-HR-016</v>
          </cell>
          <cell r="E8162" t="str">
            <v>P-224</v>
          </cell>
        </row>
        <row r="8163">
          <cell r="B8163" t="str">
            <v>B272-400-AS-230-HR-016</v>
          </cell>
          <cell r="E8163" t="str">
            <v>P-290</v>
          </cell>
        </row>
        <row r="8164">
          <cell r="B8164" t="str">
            <v>B272-400-AS-230-HR-016</v>
          </cell>
          <cell r="E8164" t="str">
            <v>P-367</v>
          </cell>
        </row>
        <row r="8165">
          <cell r="B8165" t="str">
            <v>B272-400-AS-230-HR-016</v>
          </cell>
          <cell r="E8165" t="str">
            <v>PX-59</v>
          </cell>
        </row>
        <row r="8166">
          <cell r="B8166" t="str">
            <v>B272-400-AS-230-HR-016</v>
          </cell>
          <cell r="E8166" t="str">
            <v>B1645</v>
          </cell>
        </row>
        <row r="8167">
          <cell r="B8167" t="str">
            <v>B272-400-AS-230-HR-017</v>
          </cell>
        </row>
        <row r="8168">
          <cell r="B8168" t="str">
            <v>B272-400-AS-230-HR-017</v>
          </cell>
          <cell r="E8168" t="str">
            <v>A-3</v>
          </cell>
        </row>
        <row r="8169">
          <cell r="B8169" t="str">
            <v>B272-400-AS-230-HR-017</v>
          </cell>
          <cell r="E8169" t="str">
            <v>A-7</v>
          </cell>
        </row>
        <row r="8170">
          <cell r="B8170" t="str">
            <v>B272-400-AS-230-HR-017</v>
          </cell>
          <cell r="E8170" t="str">
            <v>D-95</v>
          </cell>
        </row>
        <row r="8171">
          <cell r="B8171" t="str">
            <v>B272-400-AS-230-HR-017</v>
          </cell>
          <cell r="E8171" t="str">
            <v>D-110</v>
          </cell>
        </row>
        <row r="8172">
          <cell r="B8172" t="str">
            <v>B272-400-AS-230-HR-017</v>
          </cell>
          <cell r="E8172" t="str">
            <v>D-128</v>
          </cell>
        </row>
        <row r="8173">
          <cell r="B8173" t="str">
            <v>B272-400-AS-230-HR-017</v>
          </cell>
          <cell r="E8173" t="str">
            <v>D-132</v>
          </cell>
        </row>
        <row r="8174">
          <cell r="B8174" t="str">
            <v>B272-400-AS-230-HR-017</v>
          </cell>
          <cell r="E8174" t="str">
            <v>D-143</v>
          </cell>
        </row>
        <row r="8175">
          <cell r="B8175" t="str">
            <v>B272-400-AS-230-HR-017</v>
          </cell>
          <cell r="E8175" t="str">
            <v>P-224</v>
          </cell>
        </row>
        <row r="8176">
          <cell r="B8176" t="str">
            <v>B272-400-AS-230-HR-017</v>
          </cell>
          <cell r="E8176" t="str">
            <v>PX-63</v>
          </cell>
        </row>
        <row r="8177">
          <cell r="B8177" t="str">
            <v>B272-400-AS-230-HR-017</v>
          </cell>
          <cell r="E8177" t="str">
            <v>B1645</v>
          </cell>
        </row>
        <row r="8178">
          <cell r="B8178" t="str">
            <v>B272-400-AS-230-HR-018</v>
          </cell>
        </row>
        <row r="8179">
          <cell r="B8179" t="str">
            <v>B272-400-AS-230-HR-018</v>
          </cell>
          <cell r="E8179" t="str">
            <v>A-228</v>
          </cell>
        </row>
        <row r="8180">
          <cell r="B8180" t="str">
            <v>B272-400-AS-230-HR-018</v>
          </cell>
          <cell r="E8180" t="str">
            <v>A-244</v>
          </cell>
        </row>
        <row r="8181">
          <cell r="B8181" t="str">
            <v>B272-400-AS-230-HR-018</v>
          </cell>
          <cell r="E8181" t="str">
            <v>D-136</v>
          </cell>
        </row>
        <row r="8182">
          <cell r="B8182" t="str">
            <v>B272-400-AS-230-HR-018</v>
          </cell>
          <cell r="E8182" t="str">
            <v>P-224(1/2)</v>
          </cell>
        </row>
        <row r="8183">
          <cell r="B8183" t="str">
            <v>B272-400-AS-230-HR-018</v>
          </cell>
          <cell r="E8183" t="str">
            <v>P-224(2/2)</v>
          </cell>
        </row>
        <row r="8184">
          <cell r="B8184" t="str">
            <v>B272-400-AS-230-HR-018</v>
          </cell>
          <cell r="E8184" t="str">
            <v>P-1007</v>
          </cell>
        </row>
        <row r="8185">
          <cell r="B8185" t="str">
            <v>B272-400-AS-230-HR-018</v>
          </cell>
          <cell r="E8185" t="str">
            <v>P-1186</v>
          </cell>
        </row>
        <row r="8186">
          <cell r="B8186" t="str">
            <v>B272-400-AS-230-HR-019</v>
          </cell>
        </row>
        <row r="8187">
          <cell r="B8187" t="str">
            <v>B272-400-AS-230-HR-019</v>
          </cell>
          <cell r="E8187" t="str">
            <v>A-8</v>
          </cell>
        </row>
        <row r="8188">
          <cell r="B8188" t="str">
            <v>B272-400-AS-230-HR-019</v>
          </cell>
          <cell r="E8188" t="str">
            <v>A-9</v>
          </cell>
        </row>
        <row r="8189">
          <cell r="B8189" t="str">
            <v>B272-400-AS-230-HR-019</v>
          </cell>
          <cell r="E8189" t="str">
            <v>A-68</v>
          </cell>
        </row>
        <row r="8190">
          <cell r="B8190" t="str">
            <v>B272-400-AS-230-HR-019</v>
          </cell>
          <cell r="E8190" t="str">
            <v>D-158</v>
          </cell>
        </row>
        <row r="8191">
          <cell r="B8191" t="str">
            <v>B272-400-AS-230-HR-019</v>
          </cell>
          <cell r="E8191" t="str">
            <v>P-224</v>
          </cell>
        </row>
        <row r="8192">
          <cell r="B8192" t="str">
            <v>B272-400-AS-230-HR-019</v>
          </cell>
          <cell r="E8192" t="str">
            <v>P-290</v>
          </cell>
        </row>
        <row r="8193">
          <cell r="B8193" t="str">
            <v>B272-400-AS-230-HR-019</v>
          </cell>
          <cell r="E8193" t="str">
            <v>P-951</v>
          </cell>
        </row>
        <row r="8194">
          <cell r="B8194" t="str">
            <v>B272-400-AS-230-HR-019</v>
          </cell>
          <cell r="E8194" t="str">
            <v>P-1013</v>
          </cell>
        </row>
        <row r="8195">
          <cell r="B8195" t="str">
            <v>B272-400-AS-230-HR-019</v>
          </cell>
          <cell r="E8195" t="str">
            <v>P-1186</v>
          </cell>
        </row>
        <row r="8196">
          <cell r="B8196" t="str">
            <v>B272-400-AS-230-HR-019</v>
          </cell>
          <cell r="E8196" t="str">
            <v>R-6</v>
          </cell>
        </row>
        <row r="8197">
          <cell r="B8197" t="str">
            <v>B272-400-AS-230-HR-020</v>
          </cell>
        </row>
        <row r="8198">
          <cell r="B8198" t="str">
            <v>B272-400-AS-230-HR-020</v>
          </cell>
          <cell r="E8198" t="str">
            <v>A-228</v>
          </cell>
        </row>
        <row r="8199">
          <cell r="B8199" t="str">
            <v>B272-400-AS-230-HR-020</v>
          </cell>
          <cell r="E8199" t="str">
            <v>A-246</v>
          </cell>
        </row>
        <row r="8200">
          <cell r="B8200" t="str">
            <v>B272-400-AS-230-HR-020</v>
          </cell>
          <cell r="E8200" t="str">
            <v>D-94</v>
          </cell>
        </row>
        <row r="8201">
          <cell r="B8201" t="str">
            <v>B272-400-AS-230-HR-020</v>
          </cell>
          <cell r="E8201" t="str">
            <v>P-224(1/2)</v>
          </cell>
        </row>
        <row r="8202">
          <cell r="B8202" t="str">
            <v>B272-400-AS-230-HR-020</v>
          </cell>
          <cell r="E8202" t="str">
            <v>P-224(2/2)</v>
          </cell>
        </row>
        <row r="8203">
          <cell r="B8203" t="str">
            <v>B272-400-AS-230-HR-020</v>
          </cell>
          <cell r="E8203" t="str">
            <v>P-1058</v>
          </cell>
        </row>
        <row r="8204">
          <cell r="B8204" t="str">
            <v>B272-400-AS-230-HR-020</v>
          </cell>
          <cell r="E8204" t="str">
            <v>P-1186</v>
          </cell>
        </row>
        <row r="8205">
          <cell r="B8205" t="str">
            <v>B272-400-AS-230-HR-021</v>
          </cell>
        </row>
        <row r="8206">
          <cell r="B8206" t="str">
            <v>B272-400-AS-230-HR-021</v>
          </cell>
          <cell r="E8206" t="str">
            <v>A-5(1/2)</v>
          </cell>
        </row>
        <row r="8207">
          <cell r="B8207" t="str">
            <v>B272-400-AS-230-HR-021</v>
          </cell>
          <cell r="E8207" t="str">
            <v>A-5(2/2)</v>
          </cell>
        </row>
        <row r="8208">
          <cell r="B8208" t="str">
            <v>B272-400-AS-230-HR-021</v>
          </cell>
          <cell r="E8208" t="str">
            <v>A-68</v>
          </cell>
        </row>
        <row r="8209">
          <cell r="B8209" t="str">
            <v>B272-400-AS-230-HR-021</v>
          </cell>
          <cell r="E8209" t="str">
            <v>D-148</v>
          </cell>
        </row>
        <row r="8210">
          <cell r="B8210" t="str">
            <v>B272-400-AS-230-HR-021</v>
          </cell>
          <cell r="E8210" t="str">
            <v>P-455</v>
          </cell>
        </row>
        <row r="8211">
          <cell r="B8211" t="str">
            <v>B272-400-AS-230-HR-021</v>
          </cell>
          <cell r="E8211" t="str">
            <v>P-696</v>
          </cell>
        </row>
        <row r="8212">
          <cell r="B8212" t="str">
            <v>B272-400-AS-230-HR-021</v>
          </cell>
          <cell r="E8212" t="str">
            <v>P-1185(1/2)</v>
          </cell>
        </row>
        <row r="8213">
          <cell r="B8213" t="str">
            <v>B272-400-AS-230-HR-021</v>
          </cell>
          <cell r="E8213" t="str">
            <v>P-1185(2/2)</v>
          </cell>
        </row>
        <row r="8214">
          <cell r="B8214" t="str">
            <v>B272-400-AS-230-HR-021</v>
          </cell>
          <cell r="E8214" t="str">
            <v>PX-66</v>
          </cell>
        </row>
        <row r="8215">
          <cell r="B8215" t="str">
            <v>B272-400-AS-230-HR-021</v>
          </cell>
          <cell r="E8215" t="str">
            <v>R-6</v>
          </cell>
        </row>
        <row r="8216">
          <cell r="B8216" t="str">
            <v>B272-400-AS-230-HR-022</v>
          </cell>
        </row>
        <row r="8217">
          <cell r="B8217" t="str">
            <v>B272-400-AS-230-HR-022</v>
          </cell>
          <cell r="E8217" t="str">
            <v>A-3(1/3)</v>
          </cell>
        </row>
        <row r="8218">
          <cell r="B8218" t="str">
            <v>B272-400-AS-230-HR-022</v>
          </cell>
          <cell r="E8218" t="str">
            <v>A-3(2/3)</v>
          </cell>
        </row>
        <row r="8219">
          <cell r="B8219" t="str">
            <v>B272-400-AS-230-HR-022</v>
          </cell>
          <cell r="E8219" t="str">
            <v>A-3(3/3)</v>
          </cell>
        </row>
        <row r="8220">
          <cell r="B8220" t="str">
            <v>B272-400-AS-230-HR-022</v>
          </cell>
          <cell r="E8220" t="str">
            <v>D-146</v>
          </cell>
        </row>
        <row r="8221">
          <cell r="B8221" t="str">
            <v>B272-400-AS-230-HR-022</v>
          </cell>
          <cell r="E8221" t="str">
            <v>PX-64</v>
          </cell>
        </row>
        <row r="8222">
          <cell r="B8222" t="str">
            <v>B272-400-AS-230-HR-022</v>
          </cell>
          <cell r="E8222" t="str">
            <v>PX-66(1/7)</v>
          </cell>
        </row>
        <row r="8223">
          <cell r="B8223" t="str">
            <v>B272-400-AS-230-HR-022</v>
          </cell>
          <cell r="E8223" t="str">
            <v>PX-66(2/7)</v>
          </cell>
        </row>
        <row r="8224">
          <cell r="B8224" t="str">
            <v>B272-400-AS-230-HR-022</v>
          </cell>
          <cell r="E8224" t="str">
            <v>PX-66(3/7)</v>
          </cell>
        </row>
        <row r="8225">
          <cell r="B8225" t="str">
            <v>B272-400-AS-230-HR-022</v>
          </cell>
          <cell r="E8225" t="str">
            <v>PX-66(4/7)</v>
          </cell>
        </row>
        <row r="8226">
          <cell r="B8226" t="str">
            <v>B272-400-AS-230-HR-022</v>
          </cell>
          <cell r="E8226" t="str">
            <v>PX-66(5/7)</v>
          </cell>
        </row>
        <row r="8227">
          <cell r="B8227" t="str">
            <v>B272-400-AS-230-HR-022</v>
          </cell>
          <cell r="E8227" t="str">
            <v>PX-66(6/7)</v>
          </cell>
        </row>
        <row r="8228">
          <cell r="B8228" t="str">
            <v>B272-400-AS-230-HR-022</v>
          </cell>
          <cell r="E8228" t="str">
            <v>PX-66(7/7)</v>
          </cell>
        </row>
        <row r="8229">
          <cell r="B8229" t="str">
            <v>B272-400-AS-230-HR-022</v>
          </cell>
          <cell r="E8229" t="str">
            <v>B1645</v>
          </cell>
        </row>
        <row r="8230">
          <cell r="B8230" t="str">
            <v>B272-400-AS-230-HR-023</v>
          </cell>
        </row>
        <row r="8231">
          <cell r="B8231" t="str">
            <v>B272-400-AS-230-HR-023</v>
          </cell>
          <cell r="E8231" t="str">
            <v>A-4(1/3)</v>
          </cell>
        </row>
        <row r="8232">
          <cell r="B8232" t="str">
            <v>B272-400-AS-230-HR-023</v>
          </cell>
          <cell r="E8232" t="str">
            <v>A-4(2/3)</v>
          </cell>
        </row>
        <row r="8233">
          <cell r="B8233" t="str">
            <v>B272-400-AS-230-HR-023</v>
          </cell>
          <cell r="E8233" t="str">
            <v>A-4(3/3)</v>
          </cell>
        </row>
        <row r="8234">
          <cell r="B8234" t="str">
            <v>B272-400-AS-230-HR-023</v>
          </cell>
          <cell r="E8234" t="str">
            <v>A-9</v>
          </cell>
        </row>
        <row r="8235">
          <cell r="B8235" t="str">
            <v>B272-400-AS-230-HR-023</v>
          </cell>
          <cell r="E8235" t="str">
            <v>D-138</v>
          </cell>
        </row>
        <row r="8236">
          <cell r="B8236" t="str">
            <v>B272-400-AS-230-HR-023</v>
          </cell>
          <cell r="E8236" t="str">
            <v>P-224</v>
          </cell>
        </row>
        <row r="8237">
          <cell r="B8237" t="str">
            <v>B272-400-AS-230-HR-023</v>
          </cell>
          <cell r="E8237" t="str">
            <v>P-290</v>
          </cell>
        </row>
        <row r="8238">
          <cell r="B8238" t="str">
            <v>B272-400-AS-230-HR-023</v>
          </cell>
          <cell r="E8238" t="str">
            <v>P-367</v>
          </cell>
        </row>
        <row r="8239">
          <cell r="B8239" t="str">
            <v>B272-400-AS-230-HR-023</v>
          </cell>
          <cell r="E8239" t="str">
            <v>PX-66(1/7)</v>
          </cell>
        </row>
        <row r="8240">
          <cell r="B8240" t="str">
            <v>B272-400-AS-230-HR-023</v>
          </cell>
          <cell r="E8240" t="str">
            <v>PX-66(2/7)</v>
          </cell>
        </row>
        <row r="8241">
          <cell r="B8241" t="str">
            <v>B272-400-AS-230-HR-023</v>
          </cell>
          <cell r="E8241" t="str">
            <v>PX-66(3/7)</v>
          </cell>
        </row>
        <row r="8242">
          <cell r="B8242" t="str">
            <v>B272-400-AS-230-HR-023</v>
          </cell>
          <cell r="E8242" t="str">
            <v>PX-66(4/7)</v>
          </cell>
        </row>
        <row r="8243">
          <cell r="B8243" t="str">
            <v>B272-400-AS-230-HR-023</v>
          </cell>
          <cell r="E8243" t="str">
            <v>PX-66(5/7)</v>
          </cell>
        </row>
        <row r="8244">
          <cell r="B8244" t="str">
            <v>B272-400-AS-230-HR-023</v>
          </cell>
          <cell r="E8244" t="str">
            <v>PX-66(6/7)</v>
          </cell>
        </row>
        <row r="8245">
          <cell r="B8245" t="str">
            <v>B272-400-AS-230-HR-023</v>
          </cell>
          <cell r="E8245" t="str">
            <v>PX-66(7/7)</v>
          </cell>
        </row>
        <row r="8246">
          <cell r="B8246" t="str">
            <v>B272-400-AS-230-HR-023</v>
          </cell>
          <cell r="E8246" t="str">
            <v>PX-74</v>
          </cell>
        </row>
        <row r="8247">
          <cell r="B8247" t="str">
            <v>B272-400-AS-230-HR-023</v>
          </cell>
          <cell r="E8247" t="str">
            <v>B1645</v>
          </cell>
        </row>
        <row r="8248">
          <cell r="B8248" t="str">
            <v>B272-400-AS-230-HR-024</v>
          </cell>
        </row>
        <row r="8249">
          <cell r="B8249" t="str">
            <v>B272-400-AS-230-HR-024</v>
          </cell>
          <cell r="E8249" t="str">
            <v>A-8(1/2)</v>
          </cell>
        </row>
        <row r="8250">
          <cell r="B8250" t="str">
            <v>B272-400-AS-230-HR-024</v>
          </cell>
          <cell r="E8250" t="str">
            <v>A-8(2/2)</v>
          </cell>
        </row>
        <row r="8251">
          <cell r="B8251" t="str">
            <v>B272-400-AS-230-HR-024</v>
          </cell>
          <cell r="E8251" t="str">
            <v>A-68</v>
          </cell>
        </row>
        <row r="8252">
          <cell r="B8252" t="str">
            <v>B272-400-AS-230-HR-024</v>
          </cell>
          <cell r="E8252" t="str">
            <v>D-135</v>
          </cell>
        </row>
        <row r="8253">
          <cell r="B8253" t="str">
            <v>B272-400-AS-230-HR-024</v>
          </cell>
          <cell r="E8253" t="str">
            <v>P-224</v>
          </cell>
        </row>
        <row r="8254">
          <cell r="B8254" t="str">
            <v>B272-400-AS-230-HR-024</v>
          </cell>
          <cell r="E8254" t="str">
            <v>P-1000</v>
          </cell>
        </row>
        <row r="8255">
          <cell r="B8255" t="str">
            <v>B272-400-AS-230-HR-024</v>
          </cell>
          <cell r="E8255" t="str">
            <v>P-1186(1/2)</v>
          </cell>
        </row>
        <row r="8256">
          <cell r="B8256" t="str">
            <v>B272-400-AS-230-HR-024</v>
          </cell>
          <cell r="E8256" t="str">
            <v>P-1186(2/2)</v>
          </cell>
        </row>
        <row r="8257">
          <cell r="B8257" t="str">
            <v>B272-400-AS-230-HR-024</v>
          </cell>
          <cell r="E8257" t="str">
            <v>PX-66</v>
          </cell>
        </row>
        <row r="8258">
          <cell r="B8258" t="str">
            <v>B272-400-AS-230-HR-024</v>
          </cell>
          <cell r="E8258" t="str">
            <v>R-6</v>
          </cell>
        </row>
        <row r="8259">
          <cell r="B8259" t="str">
            <v>B272-400-AS-230-HR-025</v>
          </cell>
        </row>
        <row r="8260">
          <cell r="B8260" t="str">
            <v>B272-400-AS-230-HR-025</v>
          </cell>
          <cell r="E8260" t="str">
            <v>A-3</v>
          </cell>
        </row>
        <row r="8261">
          <cell r="B8261" t="str">
            <v>B272-400-AS-230-HR-025</v>
          </cell>
          <cell r="E8261" t="str">
            <v>A-4(1/2)</v>
          </cell>
        </row>
        <row r="8262">
          <cell r="B8262" t="str">
            <v>B272-400-AS-230-HR-025</v>
          </cell>
          <cell r="E8262" t="str">
            <v>A-4(2/2)</v>
          </cell>
        </row>
        <row r="8263">
          <cell r="B8263" t="str">
            <v>B272-400-AS-230-HR-025</v>
          </cell>
          <cell r="E8263" t="str">
            <v>A-68</v>
          </cell>
        </row>
        <row r="8264">
          <cell r="B8264" t="str">
            <v>B272-400-AS-230-HR-025</v>
          </cell>
          <cell r="E8264" t="str">
            <v>D-110(1/2)</v>
          </cell>
        </row>
        <row r="8265">
          <cell r="B8265" t="str">
            <v>B272-400-AS-230-HR-025</v>
          </cell>
          <cell r="E8265" t="str">
            <v>D-110(2/2)</v>
          </cell>
        </row>
        <row r="8266">
          <cell r="B8266" t="str">
            <v>B272-400-AS-230-HR-025</v>
          </cell>
          <cell r="E8266" t="str">
            <v>D-125</v>
          </cell>
        </row>
        <row r="8267">
          <cell r="B8267" t="str">
            <v>B272-400-AS-230-HR-025</v>
          </cell>
          <cell r="E8267" t="str">
            <v>D-129</v>
          </cell>
        </row>
        <row r="8268">
          <cell r="B8268" t="str">
            <v>B272-400-AS-230-HR-025</v>
          </cell>
          <cell r="E8268" t="str">
            <v>D-141</v>
          </cell>
        </row>
        <row r="8269">
          <cell r="B8269" t="str">
            <v>B272-400-AS-230-HR-025</v>
          </cell>
          <cell r="E8269" t="str">
            <v>PX-61</v>
          </cell>
        </row>
        <row r="8270">
          <cell r="B8270" t="str">
            <v>B272-400-AS-230-HR-025</v>
          </cell>
          <cell r="E8270" t="str">
            <v>R-6</v>
          </cell>
        </row>
        <row r="8271">
          <cell r="B8271" t="str">
            <v>B272-400-AS-230-HR-025</v>
          </cell>
          <cell r="E8271" t="str">
            <v>B1645</v>
          </cell>
        </row>
        <row r="8272">
          <cell r="B8272" t="str">
            <v>B272-400-AS-230-HR-026</v>
          </cell>
        </row>
        <row r="8273">
          <cell r="B8273" t="str">
            <v>B272-400-AS-230-HR-026</v>
          </cell>
          <cell r="E8273" t="str">
            <v>A-3</v>
          </cell>
        </row>
        <row r="8274">
          <cell r="B8274" t="str">
            <v>B272-400-AS-230-HR-026</v>
          </cell>
          <cell r="E8274" t="str">
            <v>A-4(1/2)</v>
          </cell>
        </row>
        <row r="8275">
          <cell r="B8275" t="str">
            <v>B272-400-AS-230-HR-026</v>
          </cell>
          <cell r="E8275" t="str">
            <v>A-4(2/2)</v>
          </cell>
        </row>
        <row r="8276">
          <cell r="B8276" t="str">
            <v>B272-400-AS-230-HR-026</v>
          </cell>
          <cell r="E8276" t="str">
            <v>A-68</v>
          </cell>
        </row>
        <row r="8277">
          <cell r="B8277" t="str">
            <v>B272-400-AS-230-HR-026</v>
          </cell>
          <cell r="E8277" t="str">
            <v>D-110(1/2)</v>
          </cell>
        </row>
        <row r="8278">
          <cell r="B8278" t="str">
            <v>B272-400-AS-230-HR-026</v>
          </cell>
          <cell r="E8278" t="str">
            <v>D-110(2/2)</v>
          </cell>
        </row>
        <row r="8279">
          <cell r="B8279" t="str">
            <v>B272-400-AS-230-HR-026</v>
          </cell>
          <cell r="E8279" t="str">
            <v>D-124</v>
          </cell>
        </row>
        <row r="8280">
          <cell r="B8280" t="str">
            <v>B272-400-AS-230-HR-026</v>
          </cell>
          <cell r="E8280" t="str">
            <v>D-128</v>
          </cell>
        </row>
        <row r="8281">
          <cell r="B8281" t="str">
            <v>B272-400-AS-230-HR-026</v>
          </cell>
          <cell r="E8281" t="str">
            <v>D-141</v>
          </cell>
        </row>
        <row r="8282">
          <cell r="B8282" t="str">
            <v>B272-400-AS-230-HR-026</v>
          </cell>
          <cell r="E8282" t="str">
            <v>PX-62</v>
          </cell>
        </row>
        <row r="8283">
          <cell r="B8283" t="str">
            <v>B272-400-AS-230-HR-026</v>
          </cell>
          <cell r="E8283" t="str">
            <v>R-6</v>
          </cell>
        </row>
        <row r="8284">
          <cell r="B8284" t="str">
            <v>B272-400-AS-230-HR-026</v>
          </cell>
          <cell r="E8284" t="str">
            <v>B1645</v>
          </cell>
        </row>
        <row r="8285">
          <cell r="B8285" t="str">
            <v>B272-400-AS-230-HR-027</v>
          </cell>
        </row>
        <row r="8286">
          <cell r="B8286" t="str">
            <v>B272-400-AS-230-HR-027</v>
          </cell>
          <cell r="E8286" t="str">
            <v>A-4(1/4)</v>
          </cell>
        </row>
        <row r="8287">
          <cell r="B8287" t="str">
            <v>B272-400-AS-230-HR-027</v>
          </cell>
          <cell r="E8287" t="str">
            <v>A-4(2/4)</v>
          </cell>
        </row>
        <row r="8288">
          <cell r="B8288" t="str">
            <v>B272-400-AS-230-HR-027</v>
          </cell>
          <cell r="E8288" t="str">
            <v>A-4(3/4)</v>
          </cell>
        </row>
        <row r="8289">
          <cell r="B8289" t="str">
            <v>B272-400-AS-230-HR-027</v>
          </cell>
          <cell r="E8289" t="str">
            <v>A-4(4/4)</v>
          </cell>
        </row>
        <row r="8290">
          <cell r="B8290" t="str">
            <v>B272-400-AS-230-HR-027</v>
          </cell>
          <cell r="E8290" t="str">
            <v>D-161</v>
          </cell>
        </row>
        <row r="8291">
          <cell r="B8291" t="str">
            <v>B272-400-AS-230-HR-027</v>
          </cell>
          <cell r="E8291" t="str">
            <v>PX-71</v>
          </cell>
        </row>
        <row r="8292">
          <cell r="B8292" t="str">
            <v>B272-400-AS-230-HR-027</v>
          </cell>
          <cell r="E8292" t="str">
            <v>B1645</v>
          </cell>
        </row>
        <row r="8293">
          <cell r="B8293" t="str">
            <v>B272-400-AS-240-GR-001</v>
          </cell>
        </row>
        <row r="8294">
          <cell r="B8294" t="str">
            <v>B272-400-AS-240-GR-001</v>
          </cell>
          <cell r="E8294" t="str">
            <v>CKX-4</v>
          </cell>
        </row>
        <row r="8295">
          <cell r="B8295" t="str">
            <v>B272-400-AS-240-GR-001</v>
          </cell>
          <cell r="E8295" t="str">
            <v>K-84</v>
          </cell>
        </row>
        <row r="8296">
          <cell r="B8296" t="str">
            <v>B272-400-AS-240-GR-002</v>
          </cell>
        </row>
        <row r="8297">
          <cell r="B8297" t="str">
            <v>B272-400-AS-240-GR-002</v>
          </cell>
          <cell r="E8297" t="str">
            <v>CKX-4</v>
          </cell>
        </row>
        <row r="8298">
          <cell r="B8298" t="str">
            <v>B272-400-AS-240-GR-002</v>
          </cell>
          <cell r="E8298" t="str">
            <v>K-85</v>
          </cell>
        </row>
        <row r="8299">
          <cell r="B8299" t="str">
            <v>B272-400-AS-240-GR-003</v>
          </cell>
        </row>
        <row r="8300">
          <cell r="B8300" t="str">
            <v>B272-400-AS-240-GR-003</v>
          </cell>
          <cell r="E8300" t="str">
            <v>CKX-4</v>
          </cell>
        </row>
        <row r="8301">
          <cell r="B8301" t="str">
            <v>B272-400-AS-240-GR-003</v>
          </cell>
          <cell r="E8301" t="str">
            <v>K-99</v>
          </cell>
        </row>
        <row r="8302">
          <cell r="B8302" t="str">
            <v>B272-400-AS-240-GR-004</v>
          </cell>
        </row>
        <row r="8303">
          <cell r="B8303" t="str">
            <v>B272-400-AS-240-GR-004</v>
          </cell>
          <cell r="E8303" t="str">
            <v>CKX-4</v>
          </cell>
        </row>
        <row r="8304">
          <cell r="B8304" t="str">
            <v>B272-400-AS-240-GR-004</v>
          </cell>
          <cell r="E8304" t="str">
            <v>K-103</v>
          </cell>
        </row>
        <row r="8305">
          <cell r="B8305" t="str">
            <v>B272-400-AS-240-GR-005</v>
          </cell>
        </row>
        <row r="8306">
          <cell r="B8306" t="str">
            <v>B272-400-AS-240-GR-005</v>
          </cell>
          <cell r="E8306" t="str">
            <v>CKX-4</v>
          </cell>
        </row>
        <row r="8307">
          <cell r="B8307" t="str">
            <v>B272-400-AS-240-GR-005</v>
          </cell>
          <cell r="E8307" t="str">
            <v>K-104</v>
          </cell>
        </row>
        <row r="8308">
          <cell r="B8308" t="str">
            <v>B272-400-AS-240-GR-006</v>
          </cell>
        </row>
        <row r="8309">
          <cell r="B8309" t="str">
            <v>B272-400-AS-240-GR-006</v>
          </cell>
          <cell r="E8309" t="str">
            <v>CKX-4</v>
          </cell>
        </row>
        <row r="8310">
          <cell r="B8310" t="str">
            <v>B272-400-AS-240-GR-006</v>
          </cell>
          <cell r="E8310" t="str">
            <v>K-108</v>
          </cell>
        </row>
        <row r="8311">
          <cell r="B8311" t="str">
            <v>B272-400-AS-240-GR-007</v>
          </cell>
        </row>
        <row r="8312">
          <cell r="B8312" t="str">
            <v>B272-400-AS-240-GR-007</v>
          </cell>
          <cell r="E8312" t="str">
            <v>CKX-4</v>
          </cell>
        </row>
        <row r="8313">
          <cell r="B8313" t="str">
            <v>B272-400-AS-240-GR-007</v>
          </cell>
          <cell r="E8313" t="str">
            <v>K-109</v>
          </cell>
        </row>
        <row r="8314">
          <cell r="B8314" t="str">
            <v>B272-400-AS-240-GR-008</v>
          </cell>
        </row>
        <row r="8315">
          <cell r="B8315" t="str">
            <v>B272-400-AS-240-GR-008</v>
          </cell>
          <cell r="E8315" t="str">
            <v>CKX-4</v>
          </cell>
        </row>
        <row r="8316">
          <cell r="B8316" t="str">
            <v>B272-400-AS-240-GR-008</v>
          </cell>
          <cell r="E8316" t="str">
            <v>K-111</v>
          </cell>
        </row>
        <row r="8317">
          <cell r="B8317" t="str">
            <v>B272-400-AS-240-GR-009</v>
          </cell>
        </row>
        <row r="8318">
          <cell r="B8318" t="str">
            <v>B272-400-AS-240-GR-009</v>
          </cell>
          <cell r="E8318" t="str">
            <v>K-82</v>
          </cell>
        </row>
        <row r="8319">
          <cell r="B8319" t="str">
            <v>B272-400-AS-240-GR-010</v>
          </cell>
        </row>
        <row r="8320">
          <cell r="B8320" t="str">
            <v>B272-400-AS-240-GR-010</v>
          </cell>
          <cell r="E8320" t="str">
            <v>K-83</v>
          </cell>
        </row>
        <row r="8321">
          <cell r="B8321" t="str">
            <v>B272-400-AS-240-GR-011</v>
          </cell>
        </row>
        <row r="8322">
          <cell r="B8322" t="str">
            <v>B272-400-AS-240-GR-011</v>
          </cell>
          <cell r="E8322" t="str">
            <v>K-86</v>
          </cell>
        </row>
        <row r="8323">
          <cell r="B8323" t="str">
            <v>B272-400-AS-240-GR-012</v>
          </cell>
        </row>
        <row r="8324">
          <cell r="B8324" t="str">
            <v>B272-400-AS-240-GR-012</v>
          </cell>
          <cell r="E8324" t="str">
            <v>K-88</v>
          </cell>
        </row>
        <row r="8325">
          <cell r="B8325" t="str">
            <v>B272-400-AS-240-GR-013</v>
          </cell>
        </row>
        <row r="8326">
          <cell r="B8326" t="str">
            <v>B272-400-AS-240-GR-013</v>
          </cell>
          <cell r="E8326" t="str">
            <v>K-89</v>
          </cell>
        </row>
        <row r="8327">
          <cell r="B8327" t="str">
            <v>B272-400-AS-240-GR-014</v>
          </cell>
        </row>
        <row r="8328">
          <cell r="B8328" t="str">
            <v>B272-400-AS-240-GR-014</v>
          </cell>
          <cell r="E8328" t="str">
            <v>K-90</v>
          </cell>
        </row>
        <row r="8329">
          <cell r="B8329" t="str">
            <v>B272-400-AS-240-GR-015</v>
          </cell>
        </row>
        <row r="8330">
          <cell r="B8330" t="str">
            <v>B272-400-AS-240-GR-015</v>
          </cell>
          <cell r="E8330" t="str">
            <v>K-91</v>
          </cell>
        </row>
        <row r="8331">
          <cell r="B8331" t="str">
            <v>B272-400-AS-240-GR-016</v>
          </cell>
        </row>
        <row r="8332">
          <cell r="B8332" t="str">
            <v>B272-400-AS-240-GR-016</v>
          </cell>
          <cell r="E8332" t="str">
            <v>K-92</v>
          </cell>
        </row>
        <row r="8333">
          <cell r="B8333" t="str">
            <v>B272-400-AS-240-GR-017</v>
          </cell>
        </row>
        <row r="8334">
          <cell r="B8334" t="str">
            <v>B272-400-AS-240-GR-017</v>
          </cell>
          <cell r="E8334" t="str">
            <v>K-93</v>
          </cell>
        </row>
        <row r="8335">
          <cell r="B8335" t="str">
            <v>B272-400-AS-240-GR-018</v>
          </cell>
        </row>
        <row r="8336">
          <cell r="B8336" t="str">
            <v>B272-400-AS-240-GR-018</v>
          </cell>
          <cell r="E8336" t="str">
            <v>K-94</v>
          </cell>
        </row>
        <row r="8337">
          <cell r="B8337" t="str">
            <v>B272-400-AS-240-GR-019</v>
          </cell>
        </row>
        <row r="8338">
          <cell r="B8338" t="str">
            <v>B272-400-AS-240-GR-019</v>
          </cell>
          <cell r="E8338" t="str">
            <v>K-95</v>
          </cell>
        </row>
        <row r="8339">
          <cell r="B8339" t="str">
            <v>B272-400-AS-240-GR-020</v>
          </cell>
        </row>
        <row r="8340">
          <cell r="B8340" t="str">
            <v>B272-400-AS-240-GR-020</v>
          </cell>
          <cell r="E8340" t="str">
            <v>K-96</v>
          </cell>
        </row>
        <row r="8341">
          <cell r="B8341" t="str">
            <v>B272-400-AS-240-GR-021</v>
          </cell>
        </row>
        <row r="8342">
          <cell r="B8342" t="str">
            <v>B272-400-AS-240-GR-021</v>
          </cell>
          <cell r="E8342" t="str">
            <v>K-97</v>
          </cell>
        </row>
        <row r="8343">
          <cell r="B8343" t="str">
            <v>B272-400-AS-240-GR-022</v>
          </cell>
        </row>
        <row r="8344">
          <cell r="B8344" t="str">
            <v>B272-400-AS-240-GR-022</v>
          </cell>
          <cell r="E8344" t="str">
            <v>K-98</v>
          </cell>
        </row>
        <row r="8345">
          <cell r="B8345" t="str">
            <v>B272-400-AS-240-GR-023</v>
          </cell>
        </row>
        <row r="8346">
          <cell r="B8346" t="str">
            <v>B272-400-AS-240-GR-023</v>
          </cell>
          <cell r="E8346" t="str">
            <v>K-44</v>
          </cell>
        </row>
        <row r="8347">
          <cell r="B8347" t="str">
            <v>B272-400-AS-240-GR-024</v>
          </cell>
        </row>
        <row r="8348">
          <cell r="B8348" t="str">
            <v>B272-400-AS-240-GR-024</v>
          </cell>
          <cell r="E8348" t="str">
            <v>K-45</v>
          </cell>
        </row>
        <row r="8349">
          <cell r="B8349" t="str">
            <v>B272-400-AS-240-GR-025</v>
          </cell>
        </row>
        <row r="8350">
          <cell r="B8350" t="str">
            <v>B272-400-AS-240-GR-025</v>
          </cell>
          <cell r="E8350" t="str">
            <v>K-102</v>
          </cell>
        </row>
        <row r="8351">
          <cell r="B8351" t="str">
            <v>B272-400-AS-240-GR-026</v>
          </cell>
        </row>
        <row r="8352">
          <cell r="B8352" t="str">
            <v>B272-400-AS-240-GR-026</v>
          </cell>
          <cell r="E8352" t="str">
            <v>K-105</v>
          </cell>
        </row>
        <row r="8353">
          <cell r="B8353" t="str">
            <v>B272-400-AS-240-GR-027</v>
          </cell>
        </row>
        <row r="8354">
          <cell r="B8354" t="str">
            <v>B272-400-AS-240-GR-027</v>
          </cell>
          <cell r="E8354" t="str">
            <v>K-106</v>
          </cell>
        </row>
        <row r="8355">
          <cell r="B8355" t="str">
            <v>B272-400-AS-240-GR-028</v>
          </cell>
        </row>
        <row r="8356">
          <cell r="B8356" t="str">
            <v>B272-400-AS-240-GR-028</v>
          </cell>
          <cell r="E8356" t="str">
            <v>K-107</v>
          </cell>
        </row>
        <row r="8357">
          <cell r="B8357" t="str">
            <v>B272-400-AS-240-GR-029</v>
          </cell>
        </row>
        <row r="8358">
          <cell r="B8358" t="str">
            <v>B272-400-AS-240-GR-029</v>
          </cell>
          <cell r="E8358" t="str">
            <v>K-110</v>
          </cell>
        </row>
        <row r="8359">
          <cell r="B8359" t="str">
            <v>B272-400-AS-240-GR-030</v>
          </cell>
        </row>
        <row r="8360">
          <cell r="B8360" t="str">
            <v>B272-400-AS-240-GR-030</v>
          </cell>
          <cell r="E8360" t="str">
            <v>K-46</v>
          </cell>
        </row>
        <row r="8361">
          <cell r="B8361" t="str">
            <v>B272-400-AS-240-GR-031</v>
          </cell>
        </row>
        <row r="8362">
          <cell r="B8362" t="str">
            <v>B272-400-AS-240-GR-031</v>
          </cell>
          <cell r="E8362" t="str">
            <v>K-47</v>
          </cell>
        </row>
        <row r="8363">
          <cell r="B8363" t="str">
            <v>B272-400-AS-240-GR-032</v>
          </cell>
        </row>
        <row r="8364">
          <cell r="B8364" t="str">
            <v>B272-400-AS-240-GR-032</v>
          </cell>
          <cell r="E8364" t="str">
            <v>K-100</v>
          </cell>
        </row>
        <row r="8365">
          <cell r="B8365" t="str">
            <v>B272-400-AS-240-GR-033</v>
          </cell>
        </row>
        <row r="8366">
          <cell r="B8366" t="str">
            <v>B272-400-AS-240-GR-033</v>
          </cell>
          <cell r="E8366" t="str">
            <v>K-101</v>
          </cell>
        </row>
        <row r="8367">
          <cell r="B8367" t="str">
            <v>B272-400-AS-250-LC-001</v>
          </cell>
        </row>
        <row r="8368">
          <cell r="B8368" t="str">
            <v>B272-400-AS-250-LC-001</v>
          </cell>
          <cell r="E8368" t="str">
            <v>GX-47</v>
          </cell>
        </row>
        <row r="8369">
          <cell r="B8369" t="str">
            <v>B272-400-AS-250-LC-001</v>
          </cell>
          <cell r="E8369" t="str">
            <v>B1235</v>
          </cell>
        </row>
        <row r="8370">
          <cell r="B8370" t="str">
            <v>B272-400-AS-250-LC-002</v>
          </cell>
        </row>
        <row r="8371">
          <cell r="B8371" t="str">
            <v>B272-400-AS-250-LC-002</v>
          </cell>
          <cell r="E8371" t="str">
            <v>GX-48</v>
          </cell>
        </row>
        <row r="8372">
          <cell r="B8372" t="str">
            <v>B272-400-AS-250-LC-002</v>
          </cell>
          <cell r="E8372" t="str">
            <v>B1235</v>
          </cell>
        </row>
        <row r="8373">
          <cell r="B8373" t="str">
            <v>B272-400-AS-250-LC-002</v>
          </cell>
        </row>
        <row r="8374">
          <cell r="B8374" t="str">
            <v>B272-400-AS-250-LC-002</v>
          </cell>
          <cell r="E8374" t="str">
            <v>GX-48</v>
          </cell>
        </row>
        <row r="8375">
          <cell r="B8375" t="str">
            <v>B272-400-AS-250-LC-002</v>
          </cell>
          <cell r="E8375" t="str">
            <v>B1235</v>
          </cell>
        </row>
        <row r="8376">
          <cell r="B8376" t="str">
            <v>B272-400-AS-250-LC-003</v>
          </cell>
        </row>
        <row r="8377">
          <cell r="B8377" t="str">
            <v>B272-400-AS-250-LC-003</v>
          </cell>
          <cell r="E8377" t="str">
            <v>GX-70</v>
          </cell>
        </row>
        <row r="8378">
          <cell r="B8378" t="str">
            <v>B272-400-AS-250-LC-003</v>
          </cell>
          <cell r="E8378" t="str">
            <v>B1235</v>
          </cell>
        </row>
        <row r="8379">
          <cell r="B8379" t="str">
            <v>B272-400-AS-250-LC-004</v>
          </cell>
        </row>
        <row r="8380">
          <cell r="B8380" t="str">
            <v>B272-400-AS-250-LC-004</v>
          </cell>
          <cell r="E8380" t="str">
            <v>GX-71</v>
          </cell>
        </row>
        <row r="8381">
          <cell r="B8381" t="str">
            <v>B272-400-AS-250-LC-004</v>
          </cell>
          <cell r="E8381" t="str">
            <v>B1235</v>
          </cell>
        </row>
        <row r="8382">
          <cell r="B8382" t="str">
            <v>B272-400-AS-250-LC-004</v>
          </cell>
        </row>
        <row r="8383">
          <cell r="B8383" t="str">
            <v>B272-400-AS-250-LC-004</v>
          </cell>
          <cell r="E8383" t="str">
            <v>GX-71</v>
          </cell>
        </row>
        <row r="8384">
          <cell r="B8384" t="str">
            <v>B272-400-AS-250-LC-004</v>
          </cell>
          <cell r="E8384" t="str">
            <v>B1235</v>
          </cell>
        </row>
        <row r="8385">
          <cell r="B8385" t="str">
            <v>B272-400-AS-250-LC-005</v>
          </cell>
        </row>
        <row r="8386">
          <cell r="B8386" t="str">
            <v>B272-400-AS-250-LC-005</v>
          </cell>
          <cell r="E8386" t="str">
            <v>GX-72</v>
          </cell>
        </row>
        <row r="8387">
          <cell r="B8387" t="str">
            <v>B272-400-AS-250-LC-005</v>
          </cell>
          <cell r="E8387" t="str">
            <v>B1235</v>
          </cell>
        </row>
        <row r="8388">
          <cell r="B8388" t="str">
            <v>B272-400-AS-250-LC-005</v>
          </cell>
        </row>
        <row r="8389">
          <cell r="B8389" t="str">
            <v>B272-400-AS-250-LC-005</v>
          </cell>
          <cell r="E8389" t="str">
            <v>GX-72</v>
          </cell>
        </row>
        <row r="8390">
          <cell r="B8390" t="str">
            <v>B272-400-AS-250-LC-005</v>
          </cell>
          <cell r="E8390" t="str">
            <v>B1235</v>
          </cell>
        </row>
        <row r="8391">
          <cell r="B8391" t="str">
            <v>B272-400-AS-250-LC-006</v>
          </cell>
        </row>
        <row r="8392">
          <cell r="B8392" t="str">
            <v>B272-400-AS-250-LC-006</v>
          </cell>
          <cell r="E8392" t="str">
            <v>GX-73</v>
          </cell>
        </row>
        <row r="8393">
          <cell r="B8393" t="str">
            <v>B272-400-AS-250-LC-006</v>
          </cell>
          <cell r="E8393" t="str">
            <v>B1235</v>
          </cell>
        </row>
        <row r="8394">
          <cell r="B8394" t="str">
            <v>B272-400-AS-250-LC-007</v>
          </cell>
        </row>
        <row r="8395">
          <cell r="B8395" t="str">
            <v>B272-400-AS-250-LC-007</v>
          </cell>
          <cell r="E8395" t="str">
            <v>GX-74</v>
          </cell>
        </row>
        <row r="8396">
          <cell r="B8396" t="str">
            <v>B272-400-AS-250-LC-007</v>
          </cell>
          <cell r="E8396" t="str">
            <v>B1235</v>
          </cell>
        </row>
        <row r="8397">
          <cell r="B8397" t="str">
            <v>B272-400-AS-250-LC-008</v>
          </cell>
        </row>
        <row r="8398">
          <cell r="B8398" t="str">
            <v>B272-400-AS-250-LC-008</v>
          </cell>
          <cell r="E8398" t="str">
            <v>GX-75</v>
          </cell>
        </row>
        <row r="8399">
          <cell r="B8399" t="str">
            <v>B272-400-AS-250-LC-008</v>
          </cell>
          <cell r="E8399" t="str">
            <v>B1235</v>
          </cell>
        </row>
        <row r="8400">
          <cell r="B8400" t="str">
            <v>B272-400-AS-250-LC-009</v>
          </cell>
        </row>
        <row r="8401">
          <cell r="B8401" t="str">
            <v>B272-400-AS-250-LC-009</v>
          </cell>
          <cell r="E8401" t="str">
            <v>GX-84</v>
          </cell>
        </row>
        <row r="8402">
          <cell r="B8402" t="str">
            <v>B272-400-AS-250-LC-009</v>
          </cell>
          <cell r="E8402" t="str">
            <v>B1235</v>
          </cell>
        </row>
        <row r="8403">
          <cell r="B8403" t="str">
            <v>B272-400-AS-250-LC-010</v>
          </cell>
        </row>
        <row r="8404">
          <cell r="B8404" t="str">
            <v>B272-400-AS-250-LC-010</v>
          </cell>
          <cell r="E8404" t="str">
            <v>GX-86</v>
          </cell>
        </row>
        <row r="8405">
          <cell r="B8405" t="str">
            <v>B272-400-AS-250-LC-010</v>
          </cell>
          <cell r="E8405" t="str">
            <v>B1235</v>
          </cell>
        </row>
        <row r="8406">
          <cell r="B8406" t="str">
            <v>B272-400-AS-250-LC-011</v>
          </cell>
        </row>
        <row r="8407">
          <cell r="B8407" t="str">
            <v>B272-400-AS-250-LC-011</v>
          </cell>
          <cell r="E8407" t="str">
            <v>GX-87</v>
          </cell>
        </row>
        <row r="8408">
          <cell r="B8408" t="str">
            <v>B272-400-AS-250-LC-011</v>
          </cell>
          <cell r="E8408" t="str">
            <v>B1235</v>
          </cell>
        </row>
        <row r="8409">
          <cell r="B8409" t="str">
            <v>B272-400-AS-250-LC-012</v>
          </cell>
        </row>
        <row r="8410">
          <cell r="B8410" t="str">
            <v>B272-400-AS-250-LC-012</v>
          </cell>
          <cell r="E8410" t="str">
            <v>GX-88</v>
          </cell>
        </row>
        <row r="8411">
          <cell r="B8411" t="str">
            <v>B272-400-AS-250-LC-012</v>
          </cell>
          <cell r="E8411" t="str">
            <v>B1235</v>
          </cell>
        </row>
        <row r="8412">
          <cell r="B8412" t="str">
            <v>B272-400-AS-250-LC-013</v>
          </cell>
        </row>
        <row r="8413">
          <cell r="B8413" t="str">
            <v>B272-400-AS-250-LC-013</v>
          </cell>
          <cell r="E8413" t="str">
            <v>GX-89</v>
          </cell>
        </row>
        <row r="8414">
          <cell r="B8414" t="str">
            <v>B272-400-AS-250-LC-013</v>
          </cell>
          <cell r="E8414" t="str">
            <v>B1235</v>
          </cell>
        </row>
        <row r="8415">
          <cell r="B8415" t="str">
            <v>B272-400-AS-250-LC-014</v>
          </cell>
        </row>
        <row r="8416">
          <cell r="B8416" t="str">
            <v>B272-400-AS-250-LC-014</v>
          </cell>
          <cell r="E8416" t="str">
            <v>GX-107</v>
          </cell>
        </row>
        <row r="8417">
          <cell r="B8417" t="str">
            <v>B272-400-AS-250-LC-014</v>
          </cell>
          <cell r="E8417" t="str">
            <v>B1235</v>
          </cell>
        </row>
        <row r="8418">
          <cell r="B8418" t="str">
            <v>B272-400-AS-250-LC-015</v>
          </cell>
        </row>
        <row r="8419">
          <cell r="B8419" t="str">
            <v>B272-400-AS-250-LC-015</v>
          </cell>
          <cell r="E8419" t="str">
            <v>GX-110</v>
          </cell>
        </row>
        <row r="8420">
          <cell r="B8420" t="str">
            <v>B272-400-AS-250-LC-015</v>
          </cell>
          <cell r="E8420" t="str">
            <v>B1235</v>
          </cell>
        </row>
        <row r="8421">
          <cell r="B8421" t="str">
            <v>B272-400-AS-250-LC-015</v>
          </cell>
        </row>
        <row r="8422">
          <cell r="B8422" t="str">
            <v>B272-400-AS-250-LC-015</v>
          </cell>
          <cell r="E8422" t="str">
            <v>GX-110</v>
          </cell>
        </row>
        <row r="8423">
          <cell r="B8423" t="str">
            <v>B272-400-AS-250-LC-015</v>
          </cell>
          <cell r="E8423" t="str">
            <v>B1235</v>
          </cell>
        </row>
        <row r="8424">
          <cell r="B8424" t="str">
            <v>B272-400-AS-250-LC-016</v>
          </cell>
        </row>
        <row r="8425">
          <cell r="B8425" t="str">
            <v>B272-400-AS-250-LC-016</v>
          </cell>
          <cell r="E8425" t="str">
            <v>GX-111</v>
          </cell>
        </row>
        <row r="8426">
          <cell r="B8426" t="str">
            <v>B272-400-AS-250-LC-016</v>
          </cell>
          <cell r="E8426" t="str">
            <v>B1235</v>
          </cell>
        </row>
        <row r="8427">
          <cell r="B8427" t="str">
            <v>B272-400-AS-250-LC-017</v>
          </cell>
        </row>
        <row r="8428">
          <cell r="B8428" t="str">
            <v>B272-400-AS-250-LC-017</v>
          </cell>
          <cell r="E8428" t="str">
            <v>GX-112</v>
          </cell>
        </row>
        <row r="8429">
          <cell r="B8429" t="str">
            <v>B272-400-AS-250-LC-017</v>
          </cell>
          <cell r="E8429" t="str">
            <v>B1235</v>
          </cell>
        </row>
        <row r="8430">
          <cell r="B8430" t="str">
            <v>B272-400-AS-250-LC-018</v>
          </cell>
        </row>
        <row r="8431">
          <cell r="B8431" t="str">
            <v>B272-400-AS-250-LC-018</v>
          </cell>
          <cell r="E8431" t="str">
            <v>GX-113</v>
          </cell>
        </row>
        <row r="8432">
          <cell r="B8432" t="str">
            <v>B272-400-AS-250-LC-018</v>
          </cell>
          <cell r="E8432" t="str">
            <v>B1235</v>
          </cell>
        </row>
        <row r="8433">
          <cell r="B8433" t="str">
            <v>B272-400-AS-250-LC-018</v>
          </cell>
        </row>
        <row r="8434">
          <cell r="B8434" t="str">
            <v>B272-400-AS-250-LC-018</v>
          </cell>
          <cell r="E8434" t="str">
            <v>GX-113</v>
          </cell>
        </row>
        <row r="8435">
          <cell r="B8435" t="str">
            <v>B272-400-AS-250-LC-019</v>
          </cell>
        </row>
        <row r="8436">
          <cell r="B8436" t="str">
            <v>B272-400-AS-250-LC-019</v>
          </cell>
          <cell r="E8436" t="str">
            <v>GX-114</v>
          </cell>
        </row>
        <row r="8437">
          <cell r="B8437" t="str">
            <v>B272-400-AS-250-LC-019</v>
          </cell>
          <cell r="E8437" t="str">
            <v>B1235</v>
          </cell>
        </row>
        <row r="8438">
          <cell r="B8438" t="str">
            <v>B272-400-AS-250-LC-020</v>
          </cell>
        </row>
        <row r="8439">
          <cell r="B8439" t="str">
            <v>B272-400-AS-250-LC-020</v>
          </cell>
          <cell r="E8439" t="str">
            <v>GX-141</v>
          </cell>
        </row>
        <row r="8440">
          <cell r="B8440" t="str">
            <v>B272-400-AS-250-LC-020</v>
          </cell>
          <cell r="E8440" t="str">
            <v>B1235</v>
          </cell>
        </row>
        <row r="8441">
          <cell r="B8441" t="str">
            <v>B272-400-AS-250-LC-021</v>
          </cell>
        </row>
        <row r="8442">
          <cell r="B8442" t="str">
            <v>B272-400-AS-250-LC-021</v>
          </cell>
          <cell r="E8442" t="str">
            <v>GX-144</v>
          </cell>
        </row>
        <row r="8443">
          <cell r="B8443" t="str">
            <v>B272-400-AS-250-LC-021</v>
          </cell>
          <cell r="E8443" t="str">
            <v>B1235</v>
          </cell>
        </row>
        <row r="8444">
          <cell r="B8444" t="str">
            <v>B272-400-AS-250-LC-021</v>
          </cell>
        </row>
        <row r="8445">
          <cell r="B8445" t="str">
            <v>B272-400-AS-250-LC-021</v>
          </cell>
          <cell r="E8445" t="str">
            <v>GX-144</v>
          </cell>
        </row>
        <row r="8446">
          <cell r="B8446" t="str">
            <v>B272-400-AS-250-LC-021</v>
          </cell>
          <cell r="E8446" t="str">
            <v>B1235</v>
          </cell>
        </row>
        <row r="8447">
          <cell r="B8447" t="str">
            <v>B272-400-AS-250-LC-022</v>
          </cell>
        </row>
        <row r="8448">
          <cell r="B8448" t="str">
            <v>B272-400-AS-250-LC-022</v>
          </cell>
          <cell r="E8448" t="str">
            <v>GX-145</v>
          </cell>
        </row>
        <row r="8449">
          <cell r="B8449" t="str">
            <v>B272-400-AS-250-LC-022</v>
          </cell>
          <cell r="E8449" t="str">
            <v>B1235</v>
          </cell>
        </row>
        <row r="8450">
          <cell r="B8450" t="str">
            <v>B272-400-AS-250-LC-022</v>
          </cell>
        </row>
        <row r="8451">
          <cell r="B8451" t="str">
            <v>B272-400-AS-250-LC-022</v>
          </cell>
          <cell r="E8451" t="str">
            <v>GX-145</v>
          </cell>
        </row>
        <row r="8452">
          <cell r="B8452" t="str">
            <v>B272-400-AS-250-LC-022</v>
          </cell>
          <cell r="E8452" t="str">
            <v>B1235</v>
          </cell>
        </row>
        <row r="8453">
          <cell r="B8453" t="str">
            <v>B272-400-AS-250-LC-023</v>
          </cell>
        </row>
        <row r="8454">
          <cell r="B8454" t="str">
            <v>B272-400-AS-250-LC-023</v>
          </cell>
          <cell r="E8454" t="str">
            <v>GX-151</v>
          </cell>
        </row>
        <row r="8455">
          <cell r="B8455" t="str">
            <v>B272-400-AS-250-LC-023</v>
          </cell>
          <cell r="E8455" t="str">
            <v>B1235</v>
          </cell>
        </row>
        <row r="8456">
          <cell r="B8456" t="str">
            <v>B272-400-AS-250-LC-024</v>
          </cell>
        </row>
        <row r="8457">
          <cell r="B8457" t="str">
            <v>B272-400-AS-250-LC-024</v>
          </cell>
          <cell r="E8457" t="str">
            <v>GX-152</v>
          </cell>
        </row>
        <row r="8458">
          <cell r="B8458" t="str">
            <v>B272-400-AS-250-LC-024</v>
          </cell>
          <cell r="E8458" t="str">
            <v>B1235</v>
          </cell>
        </row>
        <row r="8459">
          <cell r="B8459" t="str">
            <v>B272-400-AS-250-LC-025</v>
          </cell>
        </row>
        <row r="8460">
          <cell r="B8460" t="str">
            <v>B272-400-AS-250-LC-025</v>
          </cell>
          <cell r="E8460" t="str">
            <v>GX-153</v>
          </cell>
        </row>
        <row r="8461">
          <cell r="B8461" t="str">
            <v>B272-400-AS-250-LC-025</v>
          </cell>
          <cell r="E8461" t="str">
            <v>B1235</v>
          </cell>
        </row>
        <row r="8462">
          <cell r="B8462" t="str">
            <v>B272-400-AS-250-LC-026</v>
          </cell>
        </row>
        <row r="8463">
          <cell r="B8463" t="str">
            <v>B272-400-AS-250-LC-026</v>
          </cell>
          <cell r="E8463" t="str">
            <v>GX-154</v>
          </cell>
        </row>
        <row r="8464">
          <cell r="B8464" t="str">
            <v>B272-400-AS-250-LC-026</v>
          </cell>
          <cell r="E8464" t="str">
            <v>B1235</v>
          </cell>
        </row>
        <row r="8465">
          <cell r="B8465" t="str">
            <v>B272-400-AS-250-LC-027</v>
          </cell>
        </row>
        <row r="8466">
          <cell r="B8466" t="str">
            <v>B272-400-AS-250-LC-027</v>
          </cell>
          <cell r="E8466" t="str">
            <v>GX-155</v>
          </cell>
        </row>
        <row r="8467">
          <cell r="B8467" t="str">
            <v>B272-400-AS-250-LC-027</v>
          </cell>
          <cell r="E8467" t="str">
            <v>B1235</v>
          </cell>
        </row>
        <row r="8468">
          <cell r="B8468" t="str">
            <v>B272-400-AS-250-LC-028</v>
          </cell>
        </row>
        <row r="8469">
          <cell r="B8469" t="str">
            <v>B272-400-AS-250-LC-028</v>
          </cell>
          <cell r="E8469" t="str">
            <v>GX-156</v>
          </cell>
        </row>
        <row r="8470">
          <cell r="B8470" t="str">
            <v>B272-400-AS-250-LC-028</v>
          </cell>
          <cell r="E8470" t="str">
            <v>B1235</v>
          </cell>
        </row>
        <row r="8471">
          <cell r="B8471" t="str">
            <v>B272-400-AS-250-LC-029</v>
          </cell>
        </row>
        <row r="8472">
          <cell r="B8472" t="str">
            <v>B272-400-AS-250-LC-029</v>
          </cell>
          <cell r="E8472" t="str">
            <v>GX-157</v>
          </cell>
        </row>
        <row r="8473">
          <cell r="B8473" t="str">
            <v>B272-400-AS-250-LC-029</v>
          </cell>
          <cell r="E8473" t="str">
            <v>B1235</v>
          </cell>
        </row>
        <row r="8474">
          <cell r="B8474" t="str">
            <v>B272-400-AS-250-LC-030</v>
          </cell>
        </row>
        <row r="8475">
          <cell r="B8475" t="str">
            <v>B272-400-AS-250-LC-030</v>
          </cell>
          <cell r="E8475" t="str">
            <v>GX-158</v>
          </cell>
        </row>
        <row r="8476">
          <cell r="B8476" t="str">
            <v>B272-400-AS-250-LC-030</v>
          </cell>
          <cell r="E8476" t="str">
            <v>B1235</v>
          </cell>
        </row>
        <row r="8477">
          <cell r="B8477" t="str">
            <v>B272-400-AS-250-LD-001</v>
          </cell>
        </row>
        <row r="8478">
          <cell r="B8478" t="str">
            <v>B272-400-AS-250-LD-001</v>
          </cell>
          <cell r="E8478" t="str">
            <v>A-10</v>
          </cell>
        </row>
        <row r="8479">
          <cell r="B8479" t="str">
            <v>B272-400-AS-250-LD-001</v>
          </cell>
          <cell r="E8479" t="str">
            <v>A-10-A</v>
          </cell>
        </row>
        <row r="8480">
          <cell r="B8480" t="str">
            <v>B272-400-AS-250-LD-001</v>
          </cell>
          <cell r="E8480" t="str">
            <v>A-10-B</v>
          </cell>
        </row>
        <row r="8481">
          <cell r="B8481" t="str">
            <v>B272-400-AS-250-LD-001</v>
          </cell>
          <cell r="E8481" t="str">
            <v>A-11</v>
          </cell>
        </row>
        <row r="8482">
          <cell r="B8482" t="str">
            <v>B272-400-AS-250-LD-001</v>
          </cell>
          <cell r="E8482" t="str">
            <v>A-11-A</v>
          </cell>
        </row>
        <row r="8483">
          <cell r="B8483" t="str">
            <v>B272-400-AS-250-LD-001</v>
          </cell>
          <cell r="E8483" t="str">
            <v>A-11-B</v>
          </cell>
        </row>
        <row r="8484">
          <cell r="B8484" t="str">
            <v>B272-400-AS-250-LD-001</v>
          </cell>
          <cell r="E8484" t="str">
            <v>A-126(1/2)</v>
          </cell>
        </row>
        <row r="8485">
          <cell r="B8485" t="str">
            <v>B272-400-AS-250-LD-001</v>
          </cell>
          <cell r="E8485" t="str">
            <v>A-126(2/2)</v>
          </cell>
        </row>
        <row r="8486">
          <cell r="B8486" t="str">
            <v>B272-400-AS-250-LD-001</v>
          </cell>
          <cell r="E8486" t="str">
            <v>D-78(1/2)</v>
          </cell>
        </row>
        <row r="8487">
          <cell r="B8487" t="str">
            <v>B272-400-AS-250-LD-001</v>
          </cell>
          <cell r="E8487" t="str">
            <v>D-78(2/2)</v>
          </cell>
        </row>
        <row r="8488">
          <cell r="B8488" t="str">
            <v>B272-400-AS-250-LD-001</v>
          </cell>
          <cell r="E8488" t="str">
            <v>GX-50(1/5)</v>
          </cell>
        </row>
        <row r="8489">
          <cell r="B8489" t="str">
            <v>B272-400-AS-250-LD-001</v>
          </cell>
          <cell r="E8489" t="str">
            <v>GX-50(2/5)</v>
          </cell>
        </row>
        <row r="8490">
          <cell r="B8490" t="str">
            <v>B272-400-AS-250-LD-001</v>
          </cell>
          <cell r="E8490" t="str">
            <v>GX-50(3/5)</v>
          </cell>
        </row>
        <row r="8491">
          <cell r="B8491" t="str">
            <v>B272-400-AS-250-LD-001</v>
          </cell>
          <cell r="E8491" t="str">
            <v>GX-50(4/5)</v>
          </cell>
        </row>
        <row r="8492">
          <cell r="B8492" t="str">
            <v>B272-400-AS-250-LD-001</v>
          </cell>
          <cell r="E8492" t="str">
            <v>GX-50(5/5)</v>
          </cell>
        </row>
        <row r="8493">
          <cell r="B8493" t="str">
            <v>B272-400-AS-250-LD-001</v>
          </cell>
          <cell r="E8493" t="str">
            <v>GX-142</v>
          </cell>
        </row>
        <row r="8494">
          <cell r="B8494" t="str">
            <v>B272-400-AS-250-LD-001</v>
          </cell>
          <cell r="E8494" t="str">
            <v>GX-143(1/2)</v>
          </cell>
        </row>
        <row r="8495">
          <cell r="B8495" t="str">
            <v>B272-400-AS-250-LD-001</v>
          </cell>
          <cell r="E8495" t="str">
            <v>GX-143(2/2)</v>
          </cell>
        </row>
        <row r="8496">
          <cell r="B8496" t="str">
            <v>B272-400-AS-250-LD-001</v>
          </cell>
          <cell r="E8496" t="str">
            <v>P-275(1/2)</v>
          </cell>
        </row>
        <row r="8497">
          <cell r="B8497" t="str">
            <v>B272-400-AS-250-LD-001</v>
          </cell>
          <cell r="E8497" t="str">
            <v>P-275(2/2)</v>
          </cell>
        </row>
        <row r="8498">
          <cell r="B8498" t="str">
            <v>B272-400-AS-250-LD-001</v>
          </cell>
          <cell r="E8498" t="str">
            <v>P-324</v>
          </cell>
        </row>
        <row r="8499">
          <cell r="B8499" t="str">
            <v>B272-400-AS-250-LD-001</v>
          </cell>
          <cell r="E8499" t="str">
            <v>P-665</v>
          </cell>
        </row>
        <row r="8500">
          <cell r="B8500" t="str">
            <v>B272-400-AS-250-LD-001</v>
          </cell>
          <cell r="E8500" t="str">
            <v>P-1200(1/2)</v>
          </cell>
        </row>
        <row r="8501">
          <cell r="B8501" t="str">
            <v>B272-400-AS-250-LD-001</v>
          </cell>
          <cell r="E8501" t="str">
            <v>P-1200(2/2)</v>
          </cell>
        </row>
        <row r="8502">
          <cell r="B8502" t="str">
            <v>B272-400-AS-250-LD-001</v>
          </cell>
          <cell r="E8502" t="str">
            <v>P-1201</v>
          </cell>
        </row>
        <row r="8503">
          <cell r="B8503" t="str">
            <v>B272-400-AS-250-LD-001</v>
          </cell>
          <cell r="E8503" t="str">
            <v>P-1202(1/2)</v>
          </cell>
        </row>
        <row r="8504">
          <cell r="B8504" t="str">
            <v>B272-400-AS-250-LD-001</v>
          </cell>
          <cell r="E8504" t="str">
            <v>P-1202(2/2)</v>
          </cell>
        </row>
        <row r="8505">
          <cell r="B8505" t="str">
            <v>B272-400-AS-250-LD-001</v>
          </cell>
          <cell r="E8505" t="str">
            <v>PX-54</v>
          </cell>
        </row>
        <row r="8506">
          <cell r="B8506" t="str">
            <v>B272-400-AS-250-LD-001</v>
          </cell>
          <cell r="E8506" t="str">
            <v>R-18(1/24)</v>
          </cell>
        </row>
        <row r="8507">
          <cell r="B8507" t="str">
            <v>B272-400-AS-250-LD-001</v>
          </cell>
          <cell r="E8507" t="str">
            <v>R-18(2/24)</v>
          </cell>
        </row>
        <row r="8508">
          <cell r="B8508" t="str">
            <v>B272-400-AS-250-LD-001</v>
          </cell>
          <cell r="E8508" t="str">
            <v>R-18(3/24)</v>
          </cell>
        </row>
        <row r="8509">
          <cell r="B8509" t="str">
            <v>B272-400-AS-250-LD-001</v>
          </cell>
          <cell r="E8509" t="str">
            <v>R-18(4/24)</v>
          </cell>
        </row>
        <row r="8510">
          <cell r="B8510" t="str">
            <v>B272-400-AS-250-LD-001</v>
          </cell>
          <cell r="E8510" t="str">
            <v>R-18(5/24)</v>
          </cell>
        </row>
        <row r="8511">
          <cell r="B8511" t="str">
            <v>B272-400-AS-250-LD-001</v>
          </cell>
          <cell r="E8511" t="str">
            <v>R-18(6/24)</v>
          </cell>
        </row>
        <row r="8512">
          <cell r="B8512" t="str">
            <v>B272-400-AS-250-LD-001</v>
          </cell>
          <cell r="E8512" t="str">
            <v>R-18(7/24)</v>
          </cell>
        </row>
        <row r="8513">
          <cell r="B8513" t="str">
            <v>B272-400-AS-250-LD-001</v>
          </cell>
          <cell r="E8513" t="str">
            <v>R-18(8/24)</v>
          </cell>
        </row>
        <row r="8514">
          <cell r="B8514" t="str">
            <v>B272-400-AS-250-LD-001</v>
          </cell>
          <cell r="E8514" t="str">
            <v>R-18(9/24)</v>
          </cell>
        </row>
        <row r="8515">
          <cell r="B8515" t="str">
            <v>B272-400-AS-250-LD-001</v>
          </cell>
          <cell r="E8515" t="str">
            <v>R-18(10/24)</v>
          </cell>
        </row>
        <row r="8516">
          <cell r="B8516" t="str">
            <v>B272-400-AS-250-LD-001</v>
          </cell>
          <cell r="E8516" t="str">
            <v>R-18(11/24)</v>
          </cell>
        </row>
        <row r="8517">
          <cell r="B8517" t="str">
            <v>B272-400-AS-250-LD-001</v>
          </cell>
          <cell r="E8517" t="str">
            <v>R-18(12/24)</v>
          </cell>
        </row>
        <row r="8518">
          <cell r="B8518" t="str">
            <v>B272-400-AS-250-LD-001</v>
          </cell>
          <cell r="E8518" t="str">
            <v>R-18(13/24)</v>
          </cell>
        </row>
        <row r="8519">
          <cell r="B8519" t="str">
            <v>B272-400-AS-250-LD-001</v>
          </cell>
          <cell r="E8519" t="str">
            <v>R-18(14/24)</v>
          </cell>
        </row>
        <row r="8520">
          <cell r="B8520" t="str">
            <v>B272-400-AS-250-LD-001</v>
          </cell>
          <cell r="E8520" t="str">
            <v>R-18(15/24)</v>
          </cell>
        </row>
        <row r="8521">
          <cell r="B8521" t="str">
            <v>B272-400-AS-250-LD-001</v>
          </cell>
          <cell r="E8521" t="str">
            <v>R-18(16/24)</v>
          </cell>
        </row>
        <row r="8522">
          <cell r="B8522" t="str">
            <v>B272-400-AS-250-LD-001</v>
          </cell>
          <cell r="E8522" t="str">
            <v>R-18(17/24)</v>
          </cell>
        </row>
        <row r="8523">
          <cell r="B8523" t="str">
            <v>B272-400-AS-250-LD-001</v>
          </cell>
          <cell r="E8523" t="str">
            <v>R-18(18/24)</v>
          </cell>
        </row>
        <row r="8524">
          <cell r="B8524" t="str">
            <v>B272-400-AS-250-LD-001</v>
          </cell>
          <cell r="E8524" t="str">
            <v>R-18(19/24)</v>
          </cell>
        </row>
        <row r="8525">
          <cell r="B8525" t="str">
            <v>B272-400-AS-250-LD-001</v>
          </cell>
          <cell r="E8525" t="str">
            <v>R-18(20/24)</v>
          </cell>
        </row>
        <row r="8526">
          <cell r="B8526" t="str">
            <v>B272-400-AS-250-LD-001</v>
          </cell>
          <cell r="E8526" t="str">
            <v>R-18(21/24)</v>
          </cell>
        </row>
        <row r="8527">
          <cell r="B8527" t="str">
            <v>B272-400-AS-250-LD-001</v>
          </cell>
          <cell r="E8527" t="str">
            <v>R-18(22/24)</v>
          </cell>
        </row>
        <row r="8528">
          <cell r="B8528" t="str">
            <v>B272-400-AS-250-LD-001</v>
          </cell>
          <cell r="E8528" t="str">
            <v>R-18(23/24)</v>
          </cell>
        </row>
        <row r="8529">
          <cell r="B8529" t="str">
            <v>B272-400-AS-250-LD-001</v>
          </cell>
          <cell r="E8529" t="str">
            <v>R-18(24/24)</v>
          </cell>
        </row>
        <row r="8530">
          <cell r="B8530" t="str">
            <v>B272-400-AS-250-LD-001</v>
          </cell>
          <cell r="E8530" t="str">
            <v>W-69(1/4)</v>
          </cell>
        </row>
        <row r="8531">
          <cell r="B8531" t="str">
            <v>B272-400-AS-250-LD-001</v>
          </cell>
          <cell r="E8531" t="str">
            <v>W-69(2/4)</v>
          </cell>
        </row>
        <row r="8532">
          <cell r="B8532" t="str">
            <v>B272-400-AS-250-LD-001</v>
          </cell>
          <cell r="E8532" t="str">
            <v>W-69(3/4)</v>
          </cell>
        </row>
        <row r="8533">
          <cell r="B8533" t="str">
            <v>B272-400-AS-250-LD-001</v>
          </cell>
          <cell r="E8533" t="str">
            <v>W-69(4/4)</v>
          </cell>
        </row>
        <row r="8534">
          <cell r="B8534" t="str">
            <v>B272-400-AS-250-LD-001</v>
          </cell>
          <cell r="E8534" t="str">
            <v>B1240</v>
          </cell>
        </row>
        <row r="8535">
          <cell r="B8535" t="str">
            <v>B272-400-AS-250-LD-001</v>
          </cell>
          <cell r="E8535" t="str">
            <v>B1245</v>
          </cell>
        </row>
        <row r="8536">
          <cell r="B8536" t="str">
            <v>B272-400-AS-250-LD-001</v>
          </cell>
          <cell r="E8536" t="str">
            <v>B1650</v>
          </cell>
        </row>
        <row r="8537">
          <cell r="B8537" t="str">
            <v>B272-400-AS-250-LD-001</v>
          </cell>
          <cell r="E8537" t="str">
            <v>B1655</v>
          </cell>
        </row>
        <row r="8538">
          <cell r="B8538" t="str">
            <v>B272-400-AS-250-LD-002</v>
          </cell>
        </row>
        <row r="8539">
          <cell r="B8539" t="str">
            <v>B272-400-AS-250-LD-002</v>
          </cell>
          <cell r="E8539" t="str">
            <v>A-52</v>
          </cell>
        </row>
        <row r="8540">
          <cell r="B8540" t="str">
            <v>B272-400-AS-250-LD-002</v>
          </cell>
          <cell r="E8540" t="str">
            <v>A-52-A</v>
          </cell>
        </row>
        <row r="8541">
          <cell r="B8541" t="str">
            <v>B272-400-AS-250-LD-002</v>
          </cell>
          <cell r="E8541" t="str">
            <v>A-52-B</v>
          </cell>
        </row>
        <row r="8542">
          <cell r="B8542" t="str">
            <v>B272-400-AS-250-LD-002</v>
          </cell>
          <cell r="E8542" t="str">
            <v>A-53</v>
          </cell>
        </row>
        <row r="8543">
          <cell r="B8543" t="str">
            <v>B272-400-AS-250-LD-002</v>
          </cell>
          <cell r="E8543" t="str">
            <v>A-53-A</v>
          </cell>
        </row>
        <row r="8544">
          <cell r="B8544" t="str">
            <v>B272-400-AS-250-LD-002</v>
          </cell>
          <cell r="E8544" t="str">
            <v>A-53-B</v>
          </cell>
        </row>
        <row r="8545">
          <cell r="B8545" t="str">
            <v>B272-400-AS-250-LD-002</v>
          </cell>
          <cell r="E8545" t="str">
            <v>A-83(1/2)</v>
          </cell>
        </row>
        <row r="8546">
          <cell r="B8546" t="str">
            <v>B272-400-AS-250-LD-002</v>
          </cell>
          <cell r="E8546" t="str">
            <v>A-83(2/2)</v>
          </cell>
        </row>
        <row r="8547">
          <cell r="B8547" t="str">
            <v>B272-400-AS-250-LD-002</v>
          </cell>
          <cell r="E8547" t="str">
            <v>D-78(1/2)</v>
          </cell>
        </row>
        <row r="8548">
          <cell r="B8548" t="str">
            <v>B272-400-AS-250-LD-002</v>
          </cell>
          <cell r="E8548" t="str">
            <v>D-78(2/2)</v>
          </cell>
        </row>
        <row r="8549">
          <cell r="B8549" t="str">
            <v>B272-400-AS-250-LD-002</v>
          </cell>
          <cell r="E8549" t="str">
            <v>GX-64</v>
          </cell>
        </row>
        <row r="8550">
          <cell r="B8550" t="str">
            <v>B272-400-AS-250-LD-002</v>
          </cell>
          <cell r="E8550" t="str">
            <v>GX-65(1/4)</v>
          </cell>
        </row>
        <row r="8551">
          <cell r="B8551" t="str">
            <v>B272-400-AS-250-LD-002</v>
          </cell>
          <cell r="E8551" t="str">
            <v>GX-65(2/4)</v>
          </cell>
        </row>
        <row r="8552">
          <cell r="B8552" t="str">
            <v>B272-400-AS-250-LD-002</v>
          </cell>
          <cell r="E8552" t="str">
            <v>GX-65(3/4)</v>
          </cell>
        </row>
        <row r="8553">
          <cell r="B8553" t="str">
            <v>B272-400-AS-250-LD-002</v>
          </cell>
          <cell r="E8553" t="str">
            <v>GX-65(4/4)</v>
          </cell>
        </row>
        <row r="8554">
          <cell r="B8554" t="str">
            <v>B272-400-AS-250-LD-002</v>
          </cell>
          <cell r="E8554" t="str">
            <v>GX-140(1/2)</v>
          </cell>
        </row>
        <row r="8555">
          <cell r="B8555" t="str">
            <v>B272-400-AS-250-LD-002</v>
          </cell>
          <cell r="E8555" t="str">
            <v>GX-140(2/2)</v>
          </cell>
        </row>
        <row r="8556">
          <cell r="B8556" t="str">
            <v>B272-400-AS-250-LD-002</v>
          </cell>
          <cell r="E8556" t="str">
            <v>P-275(1/2)</v>
          </cell>
        </row>
        <row r="8557">
          <cell r="B8557" t="str">
            <v>B272-400-AS-250-LD-002</v>
          </cell>
          <cell r="E8557" t="str">
            <v>P-275(2/2)</v>
          </cell>
        </row>
        <row r="8558">
          <cell r="B8558" t="str">
            <v>B272-400-AS-250-LD-002</v>
          </cell>
          <cell r="E8558" t="str">
            <v>P-307</v>
          </cell>
        </row>
        <row r="8559">
          <cell r="B8559" t="str">
            <v>B272-400-AS-250-LD-002</v>
          </cell>
          <cell r="E8559" t="str">
            <v>P-665</v>
          </cell>
        </row>
        <row r="8560">
          <cell r="B8560" t="str">
            <v>B272-400-AS-250-LD-002</v>
          </cell>
          <cell r="E8560" t="str">
            <v>P-760(1/2)</v>
          </cell>
        </row>
        <row r="8561">
          <cell r="B8561" t="str">
            <v>B272-400-AS-250-LD-002</v>
          </cell>
          <cell r="E8561" t="str">
            <v>P-760(2/2)</v>
          </cell>
        </row>
        <row r="8562">
          <cell r="B8562" t="str">
            <v>B272-400-AS-250-LD-002</v>
          </cell>
          <cell r="E8562" t="str">
            <v>P-761(1/2)</v>
          </cell>
        </row>
        <row r="8563">
          <cell r="B8563" t="str">
            <v>B272-400-AS-250-LD-002</v>
          </cell>
          <cell r="E8563" t="str">
            <v>P-761(2/2)</v>
          </cell>
        </row>
        <row r="8564">
          <cell r="B8564" t="str">
            <v>B272-400-AS-250-LD-002</v>
          </cell>
          <cell r="E8564" t="str">
            <v>P-762</v>
          </cell>
        </row>
        <row r="8565">
          <cell r="B8565" t="str">
            <v>B272-400-AS-250-LD-002</v>
          </cell>
          <cell r="E8565" t="str">
            <v>PX-4</v>
          </cell>
        </row>
        <row r="8566">
          <cell r="B8566" t="str">
            <v>B272-400-AS-250-LD-002</v>
          </cell>
          <cell r="E8566" t="str">
            <v>R-8(1/22)</v>
          </cell>
        </row>
        <row r="8567">
          <cell r="B8567" t="str">
            <v>B272-400-AS-250-LD-002</v>
          </cell>
          <cell r="E8567" t="str">
            <v>R-8(2/22)</v>
          </cell>
        </row>
        <row r="8568">
          <cell r="B8568" t="str">
            <v>B272-400-AS-250-LD-002</v>
          </cell>
          <cell r="E8568" t="str">
            <v>R-8(3/22)</v>
          </cell>
        </row>
        <row r="8569">
          <cell r="B8569" t="str">
            <v>B272-400-AS-250-LD-002</v>
          </cell>
          <cell r="E8569" t="str">
            <v>R-8(4/22)</v>
          </cell>
        </row>
        <row r="8570">
          <cell r="B8570" t="str">
            <v>B272-400-AS-250-LD-002</v>
          </cell>
          <cell r="E8570" t="str">
            <v>R-8(5/22)</v>
          </cell>
        </row>
        <row r="8571">
          <cell r="B8571" t="str">
            <v>B272-400-AS-250-LD-002</v>
          </cell>
          <cell r="E8571" t="str">
            <v>R-8(6/22)</v>
          </cell>
        </row>
        <row r="8572">
          <cell r="B8572" t="str">
            <v>B272-400-AS-250-LD-002</v>
          </cell>
          <cell r="E8572" t="str">
            <v>R-8(7/22)</v>
          </cell>
        </row>
        <row r="8573">
          <cell r="B8573" t="str">
            <v>B272-400-AS-250-LD-002</v>
          </cell>
          <cell r="E8573" t="str">
            <v>R-8(8/22)</v>
          </cell>
        </row>
        <row r="8574">
          <cell r="B8574" t="str">
            <v>B272-400-AS-250-LD-002</v>
          </cell>
          <cell r="E8574" t="str">
            <v>R-8(9/22)</v>
          </cell>
        </row>
        <row r="8575">
          <cell r="B8575" t="str">
            <v>B272-400-AS-250-LD-002</v>
          </cell>
          <cell r="E8575" t="str">
            <v>R-8(10/22)</v>
          </cell>
        </row>
        <row r="8576">
          <cell r="B8576" t="str">
            <v>B272-400-AS-250-LD-002</v>
          </cell>
          <cell r="E8576" t="str">
            <v>R-8(11/22)</v>
          </cell>
        </row>
        <row r="8577">
          <cell r="B8577" t="str">
            <v>B272-400-AS-250-LD-002</v>
          </cell>
          <cell r="E8577" t="str">
            <v>R-8(12/22)</v>
          </cell>
        </row>
        <row r="8578">
          <cell r="B8578" t="str">
            <v>B272-400-AS-250-LD-002</v>
          </cell>
          <cell r="E8578" t="str">
            <v>R-8(13/22)</v>
          </cell>
        </row>
        <row r="8579">
          <cell r="B8579" t="str">
            <v>B272-400-AS-250-LD-002</v>
          </cell>
          <cell r="E8579" t="str">
            <v>R-8(14/22)</v>
          </cell>
        </row>
        <row r="8580">
          <cell r="B8580" t="str">
            <v>B272-400-AS-250-LD-002</v>
          </cell>
          <cell r="E8580" t="str">
            <v>R-8(15/22)</v>
          </cell>
        </row>
        <row r="8581">
          <cell r="B8581" t="str">
            <v>B272-400-AS-250-LD-002</v>
          </cell>
          <cell r="E8581" t="str">
            <v>R-8(16/22)</v>
          </cell>
        </row>
        <row r="8582">
          <cell r="B8582" t="str">
            <v>B272-400-AS-250-LD-002</v>
          </cell>
          <cell r="E8582" t="str">
            <v>R-8(17/22)</v>
          </cell>
        </row>
        <row r="8583">
          <cell r="B8583" t="str">
            <v>B272-400-AS-250-LD-002</v>
          </cell>
          <cell r="E8583" t="str">
            <v>R-8(18/22)</v>
          </cell>
        </row>
        <row r="8584">
          <cell r="B8584" t="str">
            <v>B272-400-AS-250-LD-002</v>
          </cell>
          <cell r="E8584" t="str">
            <v>R-8(19/22)</v>
          </cell>
        </row>
        <row r="8585">
          <cell r="B8585" t="str">
            <v>B272-400-AS-250-LD-002</v>
          </cell>
          <cell r="E8585" t="str">
            <v>R-8(20/22)</v>
          </cell>
        </row>
        <row r="8586">
          <cell r="B8586" t="str">
            <v>B272-400-AS-250-LD-002</v>
          </cell>
          <cell r="E8586" t="str">
            <v>R-8(21/22)</v>
          </cell>
        </row>
        <row r="8587">
          <cell r="B8587" t="str">
            <v>B272-400-AS-250-LD-002</v>
          </cell>
          <cell r="E8587" t="str">
            <v>R-8(22/22)</v>
          </cell>
        </row>
        <row r="8588">
          <cell r="B8588" t="str">
            <v>B272-400-AS-250-LD-002</v>
          </cell>
          <cell r="E8588" t="str">
            <v>W-69(1/4)</v>
          </cell>
        </row>
        <row r="8589">
          <cell r="B8589" t="str">
            <v>B272-400-AS-250-LD-002</v>
          </cell>
          <cell r="E8589" t="str">
            <v>W-69(2/4)</v>
          </cell>
        </row>
        <row r="8590">
          <cell r="B8590" t="str">
            <v>B272-400-AS-250-LD-002</v>
          </cell>
          <cell r="E8590" t="str">
            <v>W-69(3/4)</v>
          </cell>
        </row>
        <row r="8591">
          <cell r="B8591" t="str">
            <v>B272-400-AS-250-LD-002</v>
          </cell>
          <cell r="E8591" t="str">
            <v>W-69(4/4)</v>
          </cell>
        </row>
        <row r="8592">
          <cell r="B8592" t="str">
            <v>B272-400-AS-250-LD-002</v>
          </cell>
          <cell r="E8592" t="str">
            <v>B1235</v>
          </cell>
        </row>
        <row r="8593">
          <cell r="B8593" t="str">
            <v>B272-400-AS-250-LD-002</v>
          </cell>
          <cell r="E8593" t="str">
            <v>B1240</v>
          </cell>
        </row>
        <row r="8594">
          <cell r="B8594" t="str">
            <v>B272-400-AS-250-LD-002</v>
          </cell>
          <cell r="E8594" t="str">
            <v>B1245</v>
          </cell>
        </row>
        <row r="8595">
          <cell r="B8595" t="str">
            <v>B272-400-AS-250-LD-002</v>
          </cell>
          <cell r="E8595" t="str">
            <v>B1655</v>
          </cell>
        </row>
        <row r="8596">
          <cell r="B8596" t="str">
            <v>B272-400-AS-250-LD-003</v>
          </cell>
        </row>
        <row r="8597">
          <cell r="B8597" t="str">
            <v>B272-400-AS-250-LD-003</v>
          </cell>
          <cell r="E8597" t="str">
            <v>A-46</v>
          </cell>
        </row>
        <row r="8598">
          <cell r="B8598" t="str">
            <v>B272-400-AS-250-LD-003</v>
          </cell>
          <cell r="E8598" t="str">
            <v>A-46-A</v>
          </cell>
        </row>
        <row r="8599">
          <cell r="B8599" t="str">
            <v>B272-400-AS-250-LD-003</v>
          </cell>
          <cell r="E8599" t="str">
            <v>A-46-B</v>
          </cell>
        </row>
        <row r="8600">
          <cell r="B8600" t="str">
            <v>B272-400-AS-250-LD-003</v>
          </cell>
          <cell r="E8600" t="str">
            <v>A-47</v>
          </cell>
        </row>
        <row r="8601">
          <cell r="B8601" t="str">
            <v>B272-400-AS-250-LD-003</v>
          </cell>
          <cell r="E8601" t="str">
            <v>A-47-A</v>
          </cell>
        </row>
        <row r="8602">
          <cell r="B8602" t="str">
            <v>B272-400-AS-250-LD-003</v>
          </cell>
          <cell r="E8602" t="str">
            <v>A-47-B</v>
          </cell>
        </row>
        <row r="8603">
          <cell r="B8603" t="str">
            <v>B272-400-AS-250-LD-003</v>
          </cell>
          <cell r="E8603" t="str">
            <v>A-224(1/2)</v>
          </cell>
        </row>
        <row r="8604">
          <cell r="B8604" t="str">
            <v>B272-400-AS-250-LD-003</v>
          </cell>
          <cell r="E8604" t="str">
            <v>A-224(2/2)</v>
          </cell>
        </row>
        <row r="8605">
          <cell r="B8605" t="str">
            <v>B272-400-AS-250-LD-003</v>
          </cell>
          <cell r="E8605" t="str">
            <v>D-78(1/2)</v>
          </cell>
        </row>
        <row r="8606">
          <cell r="B8606" t="str">
            <v>B272-400-AS-250-LD-003</v>
          </cell>
          <cell r="E8606" t="str">
            <v>D-78(2/2)</v>
          </cell>
        </row>
        <row r="8607">
          <cell r="B8607" t="str">
            <v>B272-400-AS-250-LD-003</v>
          </cell>
          <cell r="E8607" t="str">
            <v>GX-46(1/2)</v>
          </cell>
        </row>
        <row r="8608">
          <cell r="B8608" t="str">
            <v>B272-400-AS-250-LD-003</v>
          </cell>
          <cell r="E8608" t="str">
            <v>GX-46(2/2)</v>
          </cell>
        </row>
        <row r="8609">
          <cell r="B8609" t="str">
            <v>B272-400-AS-250-LD-003</v>
          </cell>
          <cell r="E8609" t="str">
            <v>GX-50(1/6)</v>
          </cell>
        </row>
        <row r="8610">
          <cell r="B8610" t="str">
            <v>B272-400-AS-250-LD-003</v>
          </cell>
          <cell r="E8610" t="str">
            <v>GX-50(2/6)</v>
          </cell>
        </row>
        <row r="8611">
          <cell r="B8611" t="str">
            <v>B272-400-AS-250-LD-003</v>
          </cell>
          <cell r="E8611" t="str">
            <v>GX-50(3/6)</v>
          </cell>
        </row>
        <row r="8612">
          <cell r="B8612" t="str">
            <v>B272-400-AS-250-LD-003</v>
          </cell>
          <cell r="E8612" t="str">
            <v>GX-50(4/6)</v>
          </cell>
        </row>
        <row r="8613">
          <cell r="B8613" t="str">
            <v>B272-400-AS-250-LD-003</v>
          </cell>
          <cell r="E8613" t="str">
            <v>GX-50(5/6)</v>
          </cell>
        </row>
        <row r="8614">
          <cell r="B8614" t="str">
            <v>B272-400-AS-250-LD-003</v>
          </cell>
          <cell r="E8614" t="str">
            <v>GX-50(6/6)</v>
          </cell>
        </row>
        <row r="8615">
          <cell r="B8615" t="str">
            <v>B272-400-AS-250-LD-003</v>
          </cell>
          <cell r="E8615" t="str">
            <v>GX-85</v>
          </cell>
        </row>
        <row r="8616">
          <cell r="B8616" t="str">
            <v>B272-400-AS-250-LD-003</v>
          </cell>
          <cell r="E8616" t="str">
            <v>P-275(1/4)</v>
          </cell>
        </row>
        <row r="8617">
          <cell r="B8617" t="str">
            <v>B272-400-AS-250-LD-003</v>
          </cell>
          <cell r="E8617" t="str">
            <v>P-275(2/4)</v>
          </cell>
        </row>
        <row r="8618">
          <cell r="B8618" t="str">
            <v>B272-400-AS-250-LD-003</v>
          </cell>
          <cell r="E8618" t="str">
            <v>P-275(3/4)</v>
          </cell>
        </row>
        <row r="8619">
          <cell r="B8619" t="str">
            <v>B272-400-AS-250-LD-003</v>
          </cell>
          <cell r="E8619" t="str">
            <v>P-275(4/4)</v>
          </cell>
        </row>
        <row r="8620">
          <cell r="B8620" t="str">
            <v>B272-400-AS-250-LD-003</v>
          </cell>
          <cell r="E8620" t="str">
            <v>P-325(1/2)</v>
          </cell>
        </row>
        <row r="8621">
          <cell r="B8621" t="str">
            <v>B272-400-AS-250-LD-003</v>
          </cell>
          <cell r="E8621" t="str">
            <v>P-325(2/2)</v>
          </cell>
        </row>
        <row r="8622">
          <cell r="B8622" t="str">
            <v>B272-400-AS-250-LD-003</v>
          </cell>
          <cell r="E8622" t="str">
            <v>P-326(1/2)</v>
          </cell>
        </row>
        <row r="8623">
          <cell r="B8623" t="str">
            <v>B272-400-AS-250-LD-003</v>
          </cell>
          <cell r="E8623" t="str">
            <v>P-326(2/2)</v>
          </cell>
        </row>
        <row r="8624">
          <cell r="B8624" t="str">
            <v>B272-400-AS-250-LD-003</v>
          </cell>
          <cell r="E8624" t="str">
            <v>P-328(1/2)</v>
          </cell>
        </row>
        <row r="8625">
          <cell r="B8625" t="str">
            <v>B272-400-AS-250-LD-003</v>
          </cell>
          <cell r="E8625" t="str">
            <v>P-328(2/2)</v>
          </cell>
        </row>
        <row r="8626">
          <cell r="B8626" t="str">
            <v>B272-400-AS-250-LD-003</v>
          </cell>
          <cell r="E8626" t="str">
            <v>P-665(1/4)</v>
          </cell>
        </row>
        <row r="8627">
          <cell r="B8627" t="str">
            <v>B272-400-AS-250-LD-003</v>
          </cell>
          <cell r="E8627" t="str">
            <v>P-665(2/4)</v>
          </cell>
        </row>
        <row r="8628">
          <cell r="B8628" t="str">
            <v>B272-400-AS-250-LD-003</v>
          </cell>
          <cell r="E8628" t="str">
            <v>P-665(3/4)</v>
          </cell>
        </row>
        <row r="8629">
          <cell r="B8629" t="str">
            <v>B272-400-AS-250-LD-003</v>
          </cell>
          <cell r="E8629" t="str">
            <v>P-665(4/4)</v>
          </cell>
        </row>
        <row r="8630">
          <cell r="B8630" t="str">
            <v>B272-400-AS-250-LD-003</v>
          </cell>
          <cell r="E8630" t="str">
            <v>PX-67</v>
          </cell>
        </row>
        <row r="8631">
          <cell r="B8631" t="str">
            <v>B272-400-AS-250-LD-003</v>
          </cell>
          <cell r="E8631" t="str">
            <v>PX-77</v>
          </cell>
        </row>
        <row r="8632">
          <cell r="B8632" t="str">
            <v>B272-400-AS-250-LD-003</v>
          </cell>
          <cell r="E8632" t="str">
            <v>R-8(1/27)</v>
          </cell>
        </row>
        <row r="8633">
          <cell r="B8633" t="str">
            <v>B272-400-AS-250-LD-003</v>
          </cell>
          <cell r="E8633" t="str">
            <v>R-8(2/27)</v>
          </cell>
        </row>
        <row r="8634">
          <cell r="B8634" t="str">
            <v>B272-400-AS-250-LD-003</v>
          </cell>
          <cell r="E8634" t="str">
            <v>R-8(3/27)</v>
          </cell>
        </row>
        <row r="8635">
          <cell r="B8635" t="str">
            <v>B272-400-AS-250-LD-003</v>
          </cell>
          <cell r="E8635" t="str">
            <v>R-8(4/27)</v>
          </cell>
        </row>
        <row r="8636">
          <cell r="B8636" t="str">
            <v>B272-400-AS-250-LD-003</v>
          </cell>
          <cell r="E8636" t="str">
            <v>R-8(5/27)</v>
          </cell>
        </row>
        <row r="8637">
          <cell r="B8637" t="str">
            <v>B272-400-AS-250-LD-003</v>
          </cell>
          <cell r="E8637" t="str">
            <v>R-8(6/27)</v>
          </cell>
        </row>
        <row r="8638">
          <cell r="B8638" t="str">
            <v>B272-400-AS-250-LD-003</v>
          </cell>
          <cell r="E8638" t="str">
            <v>R-8(7/27)</v>
          </cell>
        </row>
        <row r="8639">
          <cell r="B8639" t="str">
            <v>B272-400-AS-250-LD-003</v>
          </cell>
          <cell r="E8639" t="str">
            <v>R-8(8/27)</v>
          </cell>
        </row>
        <row r="8640">
          <cell r="B8640" t="str">
            <v>B272-400-AS-250-LD-003</v>
          </cell>
          <cell r="E8640" t="str">
            <v>R-8(9/27)</v>
          </cell>
        </row>
        <row r="8641">
          <cell r="B8641" t="str">
            <v>B272-400-AS-250-LD-003</v>
          </cell>
          <cell r="E8641" t="str">
            <v>R-8(10/27)</v>
          </cell>
        </row>
        <row r="8642">
          <cell r="B8642" t="str">
            <v>B272-400-AS-250-LD-003</v>
          </cell>
          <cell r="E8642" t="str">
            <v>R-8(11/27)</v>
          </cell>
        </row>
        <row r="8643">
          <cell r="B8643" t="str">
            <v>B272-400-AS-250-LD-003</v>
          </cell>
          <cell r="E8643" t="str">
            <v>R-8(12/27)</v>
          </cell>
        </row>
        <row r="8644">
          <cell r="B8644" t="str">
            <v>B272-400-AS-250-LD-003</v>
          </cell>
          <cell r="E8644" t="str">
            <v>R-8(13/27)</v>
          </cell>
        </row>
        <row r="8645">
          <cell r="B8645" t="str">
            <v>B272-400-AS-250-LD-003</v>
          </cell>
          <cell r="E8645" t="str">
            <v>R-8(14/27)</v>
          </cell>
        </row>
        <row r="8646">
          <cell r="B8646" t="str">
            <v>B272-400-AS-250-LD-003</v>
          </cell>
          <cell r="E8646" t="str">
            <v>R-8(15/27)</v>
          </cell>
        </row>
        <row r="8647">
          <cell r="B8647" t="str">
            <v>B272-400-AS-250-LD-003</v>
          </cell>
          <cell r="E8647" t="str">
            <v>R-8(16/27)</v>
          </cell>
        </row>
        <row r="8648">
          <cell r="B8648" t="str">
            <v>B272-400-AS-250-LD-003</v>
          </cell>
          <cell r="E8648" t="str">
            <v>R-8(17/27)</v>
          </cell>
        </row>
        <row r="8649">
          <cell r="B8649" t="str">
            <v>B272-400-AS-250-LD-003</v>
          </cell>
          <cell r="E8649" t="str">
            <v>R-8(18/27)</v>
          </cell>
        </row>
        <row r="8650">
          <cell r="B8650" t="str">
            <v>B272-400-AS-250-LD-003</v>
          </cell>
          <cell r="E8650" t="str">
            <v>R-8(19/27)</v>
          </cell>
        </row>
        <row r="8651">
          <cell r="B8651" t="str">
            <v>B272-400-AS-250-LD-003</v>
          </cell>
          <cell r="E8651" t="str">
            <v>R-8(20/27)</v>
          </cell>
        </row>
        <row r="8652">
          <cell r="B8652" t="str">
            <v>B272-400-AS-250-LD-003</v>
          </cell>
          <cell r="E8652" t="str">
            <v>R-8(21/27)</v>
          </cell>
        </row>
        <row r="8653">
          <cell r="B8653" t="str">
            <v>B272-400-AS-250-LD-003</v>
          </cell>
          <cell r="E8653" t="str">
            <v>R-8(22/27)</v>
          </cell>
        </row>
        <row r="8654">
          <cell r="B8654" t="str">
            <v>B272-400-AS-250-LD-003</v>
          </cell>
          <cell r="E8654" t="str">
            <v>R-8(23/27)</v>
          </cell>
        </row>
        <row r="8655">
          <cell r="B8655" t="str">
            <v>B272-400-AS-250-LD-003</v>
          </cell>
          <cell r="E8655" t="str">
            <v>R-8(24/27)</v>
          </cell>
        </row>
        <row r="8656">
          <cell r="B8656" t="str">
            <v>B272-400-AS-250-LD-003</v>
          </cell>
          <cell r="E8656" t="str">
            <v>R-8(25/27)</v>
          </cell>
        </row>
        <row r="8657">
          <cell r="B8657" t="str">
            <v>B272-400-AS-250-LD-003</v>
          </cell>
          <cell r="E8657" t="str">
            <v>R-8(26/27)</v>
          </cell>
        </row>
        <row r="8658">
          <cell r="B8658" t="str">
            <v>B272-400-AS-250-LD-003</v>
          </cell>
          <cell r="E8658" t="str">
            <v>R-8(27/27)</v>
          </cell>
        </row>
        <row r="8659">
          <cell r="B8659" t="str">
            <v>B272-400-AS-250-LD-003</v>
          </cell>
          <cell r="E8659" t="str">
            <v>W-69(1/4)</v>
          </cell>
        </row>
        <row r="8660">
          <cell r="B8660" t="str">
            <v>B272-400-AS-250-LD-003</v>
          </cell>
          <cell r="E8660" t="str">
            <v>W-69(2/4)</v>
          </cell>
        </row>
        <row r="8661">
          <cell r="B8661" t="str">
            <v>B272-400-AS-250-LD-003</v>
          </cell>
          <cell r="E8661" t="str">
            <v>W-69(3/4)</v>
          </cell>
        </row>
        <row r="8662">
          <cell r="B8662" t="str">
            <v>B272-400-AS-250-LD-003</v>
          </cell>
          <cell r="E8662" t="str">
            <v>W-69(4/4)</v>
          </cell>
        </row>
        <row r="8663">
          <cell r="B8663" t="str">
            <v>B272-400-AS-250-LD-003</v>
          </cell>
          <cell r="E8663" t="str">
            <v>B1240</v>
          </cell>
        </row>
        <row r="8664">
          <cell r="B8664" t="str">
            <v>B272-400-AS-250-LD-003</v>
          </cell>
          <cell r="E8664" t="str">
            <v>B1245</v>
          </cell>
        </row>
        <row r="8665">
          <cell r="B8665" t="str">
            <v>B272-400-AS-250-LD-003</v>
          </cell>
          <cell r="E8665" t="str">
            <v>B1650</v>
          </cell>
        </row>
        <row r="8666">
          <cell r="B8666" t="str">
            <v>B272-400-AS-250-LD-003</v>
          </cell>
          <cell r="E8666" t="str">
            <v>B1655</v>
          </cell>
        </row>
        <row r="8667">
          <cell r="B8667" t="str">
            <v>B272-400-AS-250-LD-004</v>
          </cell>
        </row>
        <row r="8668">
          <cell r="B8668" t="str">
            <v>B272-400-AS-250-LD-004</v>
          </cell>
          <cell r="E8668" t="str">
            <v>A-224(1/2)</v>
          </cell>
        </row>
        <row r="8669">
          <cell r="B8669" t="str">
            <v>B272-400-AS-250-LD-004</v>
          </cell>
          <cell r="E8669" t="str">
            <v>A-224(2/2)</v>
          </cell>
        </row>
        <row r="8670">
          <cell r="B8670" t="str">
            <v>B272-400-AS-250-LD-004</v>
          </cell>
          <cell r="E8670" t="str">
            <v>A-225</v>
          </cell>
        </row>
        <row r="8671">
          <cell r="B8671" t="str">
            <v>B272-400-AS-250-LD-004</v>
          </cell>
          <cell r="E8671" t="str">
            <v>A-225-A</v>
          </cell>
        </row>
        <row r="8672">
          <cell r="B8672" t="str">
            <v>B272-400-AS-250-LD-004</v>
          </cell>
          <cell r="E8672" t="str">
            <v>A-225-B</v>
          </cell>
        </row>
        <row r="8673">
          <cell r="B8673" t="str">
            <v>B272-400-AS-250-LD-004</v>
          </cell>
          <cell r="E8673" t="str">
            <v>A-226</v>
          </cell>
        </row>
        <row r="8674">
          <cell r="B8674" t="str">
            <v>B272-400-AS-250-LD-004</v>
          </cell>
          <cell r="E8674" t="str">
            <v>A-226-A</v>
          </cell>
        </row>
        <row r="8675">
          <cell r="B8675" t="str">
            <v>B272-400-AS-250-LD-004</v>
          </cell>
          <cell r="E8675" t="str">
            <v>A-226-B</v>
          </cell>
        </row>
        <row r="8676">
          <cell r="B8676" t="str">
            <v>B272-400-AS-250-LD-004</v>
          </cell>
          <cell r="E8676" t="str">
            <v>D-78(1/2)</v>
          </cell>
        </row>
        <row r="8677">
          <cell r="B8677" t="str">
            <v>B272-400-AS-250-LD-004</v>
          </cell>
          <cell r="E8677" t="str">
            <v>D-78(2/2)</v>
          </cell>
        </row>
        <row r="8678">
          <cell r="B8678" t="str">
            <v>B272-400-AS-250-LD-004</v>
          </cell>
          <cell r="E8678" t="str">
            <v>GX-50(1/9)</v>
          </cell>
        </row>
        <row r="8679">
          <cell r="B8679" t="str">
            <v>B272-400-AS-250-LD-004</v>
          </cell>
          <cell r="E8679" t="str">
            <v>GX-50(2/9)</v>
          </cell>
        </row>
        <row r="8680">
          <cell r="B8680" t="str">
            <v>B272-400-AS-250-LD-004</v>
          </cell>
          <cell r="E8680" t="str">
            <v>GX-50(3/9)</v>
          </cell>
        </row>
        <row r="8681">
          <cell r="B8681" t="str">
            <v>B272-400-AS-250-LD-004</v>
          </cell>
          <cell r="E8681" t="str">
            <v>GX-50(4/9)</v>
          </cell>
        </row>
        <row r="8682">
          <cell r="B8682" t="str">
            <v>B272-400-AS-250-LD-004</v>
          </cell>
          <cell r="E8682" t="str">
            <v>GX-50(5/9)</v>
          </cell>
        </row>
        <row r="8683">
          <cell r="B8683" t="str">
            <v>B272-400-AS-250-LD-004</v>
          </cell>
          <cell r="E8683" t="str">
            <v>GX-50(6/9)</v>
          </cell>
        </row>
        <row r="8684">
          <cell r="B8684" t="str">
            <v>B272-400-AS-250-LD-004</v>
          </cell>
          <cell r="E8684" t="str">
            <v>GX-50(7/9)</v>
          </cell>
        </row>
        <row r="8685">
          <cell r="B8685" t="str">
            <v>B272-400-AS-250-LD-004</v>
          </cell>
          <cell r="E8685" t="str">
            <v>GX-50(8/9)</v>
          </cell>
        </row>
        <row r="8686">
          <cell r="B8686" t="str">
            <v>B272-400-AS-250-LD-004</v>
          </cell>
          <cell r="E8686" t="str">
            <v>GX-50(9/9)</v>
          </cell>
        </row>
        <row r="8687">
          <cell r="B8687" t="str">
            <v>B272-400-AS-250-LD-004</v>
          </cell>
          <cell r="E8687" t="str">
            <v>GX-90(1/2)</v>
          </cell>
        </row>
        <row r="8688">
          <cell r="B8688" t="str">
            <v>B272-400-AS-250-LD-004</v>
          </cell>
          <cell r="E8688" t="str">
            <v>GX-90(2/2)</v>
          </cell>
        </row>
        <row r="8689">
          <cell r="B8689" t="str">
            <v>B272-400-AS-250-LD-004</v>
          </cell>
          <cell r="E8689" t="str">
            <v>P-275(1/2)</v>
          </cell>
        </row>
        <row r="8690">
          <cell r="B8690" t="str">
            <v>B272-400-AS-250-LD-004</v>
          </cell>
          <cell r="E8690" t="str">
            <v>P-275(2/2)</v>
          </cell>
        </row>
        <row r="8691">
          <cell r="B8691" t="str">
            <v>B272-400-AS-250-LD-004</v>
          </cell>
          <cell r="E8691" t="str">
            <v>P-330(1/3)</v>
          </cell>
        </row>
        <row r="8692">
          <cell r="B8692" t="str">
            <v>B272-400-AS-250-LD-004</v>
          </cell>
          <cell r="E8692" t="str">
            <v>P-330(2/3)</v>
          </cell>
        </row>
        <row r="8693">
          <cell r="B8693" t="str">
            <v>B272-400-AS-250-LD-004</v>
          </cell>
          <cell r="E8693" t="str">
            <v>P-330(3/3)</v>
          </cell>
        </row>
        <row r="8694">
          <cell r="B8694" t="str">
            <v>B272-400-AS-250-LD-004</v>
          </cell>
          <cell r="E8694" t="str">
            <v>P-331</v>
          </cell>
        </row>
        <row r="8695">
          <cell r="B8695" t="str">
            <v>B272-400-AS-250-LD-004</v>
          </cell>
          <cell r="E8695" t="str">
            <v>P-332(1/2)</v>
          </cell>
        </row>
        <row r="8696">
          <cell r="B8696" t="str">
            <v>B272-400-AS-250-LD-004</v>
          </cell>
          <cell r="E8696" t="str">
            <v>P-332(2/2)</v>
          </cell>
        </row>
        <row r="8697">
          <cell r="B8697" t="str">
            <v>B272-400-AS-250-LD-004</v>
          </cell>
          <cell r="E8697" t="str">
            <v>P-665</v>
          </cell>
        </row>
        <row r="8698">
          <cell r="B8698" t="str">
            <v>B272-400-AS-250-LD-004</v>
          </cell>
          <cell r="E8698" t="str">
            <v>PX-68</v>
          </cell>
        </row>
        <row r="8699">
          <cell r="B8699" t="str">
            <v>B272-400-AS-250-LD-004</v>
          </cell>
          <cell r="E8699" t="str">
            <v>R-8(1/30)</v>
          </cell>
        </row>
        <row r="8700">
          <cell r="B8700" t="str">
            <v>B272-400-AS-250-LD-004</v>
          </cell>
          <cell r="E8700" t="str">
            <v>R-8(2/30)</v>
          </cell>
        </row>
        <row r="8701">
          <cell r="B8701" t="str">
            <v>B272-400-AS-250-LD-004</v>
          </cell>
          <cell r="E8701" t="str">
            <v>R-8(3/30)</v>
          </cell>
        </row>
        <row r="8702">
          <cell r="B8702" t="str">
            <v>B272-400-AS-250-LD-004</v>
          </cell>
          <cell r="E8702" t="str">
            <v>R-8(4/30)</v>
          </cell>
        </row>
        <row r="8703">
          <cell r="B8703" t="str">
            <v>B272-400-AS-250-LD-004</v>
          </cell>
          <cell r="E8703" t="str">
            <v>R-8(5/30)</v>
          </cell>
        </row>
        <row r="8704">
          <cell r="B8704" t="str">
            <v>B272-400-AS-250-LD-004</v>
          </cell>
          <cell r="E8704" t="str">
            <v>R-8(6/30)</v>
          </cell>
        </row>
        <row r="8705">
          <cell r="B8705" t="str">
            <v>B272-400-AS-250-LD-004</v>
          </cell>
          <cell r="E8705" t="str">
            <v>R-8(7/30)</v>
          </cell>
        </row>
        <row r="8706">
          <cell r="B8706" t="str">
            <v>B272-400-AS-250-LD-004</v>
          </cell>
          <cell r="E8706" t="str">
            <v>R-8(8/30)</v>
          </cell>
        </row>
        <row r="8707">
          <cell r="B8707" t="str">
            <v>B272-400-AS-250-LD-004</v>
          </cell>
          <cell r="E8707" t="str">
            <v>R-8(9/30)</v>
          </cell>
        </row>
        <row r="8708">
          <cell r="B8708" t="str">
            <v>B272-400-AS-250-LD-004</v>
          </cell>
          <cell r="E8708" t="str">
            <v>R-8(10/30)</v>
          </cell>
        </row>
        <row r="8709">
          <cell r="B8709" t="str">
            <v>B272-400-AS-250-LD-004</v>
          </cell>
          <cell r="E8709" t="str">
            <v>R-8(11/30)</v>
          </cell>
        </row>
        <row r="8710">
          <cell r="B8710" t="str">
            <v>B272-400-AS-250-LD-004</v>
          </cell>
          <cell r="E8710" t="str">
            <v>R-8(12/30)</v>
          </cell>
        </row>
        <row r="8711">
          <cell r="B8711" t="str">
            <v>B272-400-AS-250-LD-004</v>
          </cell>
          <cell r="E8711" t="str">
            <v>R-8(13/30)</v>
          </cell>
        </row>
        <row r="8712">
          <cell r="B8712" t="str">
            <v>B272-400-AS-250-LD-004</v>
          </cell>
          <cell r="E8712" t="str">
            <v>R-8(14/30)</v>
          </cell>
        </row>
        <row r="8713">
          <cell r="B8713" t="str">
            <v>B272-400-AS-250-LD-004</v>
          </cell>
          <cell r="E8713" t="str">
            <v>R-8(15/30)</v>
          </cell>
        </row>
        <row r="8714">
          <cell r="B8714" t="str">
            <v>B272-400-AS-250-LD-004</v>
          </cell>
          <cell r="E8714" t="str">
            <v>R-8(16/30)</v>
          </cell>
        </row>
        <row r="8715">
          <cell r="B8715" t="str">
            <v>B272-400-AS-250-LD-004</v>
          </cell>
          <cell r="E8715" t="str">
            <v>R-8(17/30)</v>
          </cell>
        </row>
        <row r="8716">
          <cell r="B8716" t="str">
            <v>B272-400-AS-250-LD-004</v>
          </cell>
          <cell r="E8716" t="str">
            <v>R-8(18/30)</v>
          </cell>
        </row>
        <row r="8717">
          <cell r="B8717" t="str">
            <v>B272-400-AS-250-LD-004</v>
          </cell>
          <cell r="E8717" t="str">
            <v>R-8(19/30)</v>
          </cell>
        </row>
        <row r="8718">
          <cell r="B8718" t="str">
            <v>B272-400-AS-250-LD-004</v>
          </cell>
          <cell r="E8718" t="str">
            <v>R-8(20/30)</v>
          </cell>
        </row>
        <row r="8719">
          <cell r="B8719" t="str">
            <v>B272-400-AS-250-LD-004</v>
          </cell>
          <cell r="E8719" t="str">
            <v>R-8(21/30)</v>
          </cell>
        </row>
        <row r="8720">
          <cell r="B8720" t="str">
            <v>B272-400-AS-250-LD-004</v>
          </cell>
          <cell r="E8720" t="str">
            <v>R-8(22/30)</v>
          </cell>
        </row>
        <row r="8721">
          <cell r="B8721" t="str">
            <v>B272-400-AS-250-LD-004</v>
          </cell>
          <cell r="E8721" t="str">
            <v>R-8(23/30)</v>
          </cell>
        </row>
        <row r="8722">
          <cell r="B8722" t="str">
            <v>B272-400-AS-250-LD-004</v>
          </cell>
          <cell r="E8722" t="str">
            <v>R-8(24/30)</v>
          </cell>
        </row>
        <row r="8723">
          <cell r="B8723" t="str">
            <v>B272-400-AS-250-LD-004</v>
          </cell>
          <cell r="E8723" t="str">
            <v>R-8(25/30)</v>
          </cell>
        </row>
        <row r="8724">
          <cell r="B8724" t="str">
            <v>B272-400-AS-250-LD-004</v>
          </cell>
          <cell r="E8724" t="str">
            <v>R-8(26/30)</v>
          </cell>
        </row>
        <row r="8725">
          <cell r="B8725" t="str">
            <v>B272-400-AS-250-LD-004</v>
          </cell>
          <cell r="E8725" t="str">
            <v>R-8(27/30)</v>
          </cell>
        </row>
        <row r="8726">
          <cell r="B8726" t="str">
            <v>B272-400-AS-250-LD-004</v>
          </cell>
          <cell r="E8726" t="str">
            <v>R-8(28/30)</v>
          </cell>
        </row>
        <row r="8727">
          <cell r="B8727" t="str">
            <v>B272-400-AS-250-LD-004</v>
          </cell>
          <cell r="E8727" t="str">
            <v>R-8(29/30)</v>
          </cell>
        </row>
        <row r="8728">
          <cell r="B8728" t="str">
            <v>B272-400-AS-250-LD-004</v>
          </cell>
          <cell r="E8728" t="str">
            <v>R-8(30/30)</v>
          </cell>
        </row>
        <row r="8729">
          <cell r="B8729" t="str">
            <v>B272-400-AS-250-LD-004</v>
          </cell>
          <cell r="E8729" t="str">
            <v>W-69(1/4)</v>
          </cell>
        </row>
        <row r="8730">
          <cell r="B8730" t="str">
            <v>B272-400-AS-250-LD-004</v>
          </cell>
          <cell r="E8730" t="str">
            <v>W-69(2/4)</v>
          </cell>
        </row>
        <row r="8731">
          <cell r="B8731" t="str">
            <v>B272-400-AS-250-LD-004</v>
          </cell>
          <cell r="E8731" t="str">
            <v>W-69(3/4)</v>
          </cell>
        </row>
        <row r="8732">
          <cell r="B8732" t="str">
            <v>B272-400-AS-250-LD-004</v>
          </cell>
          <cell r="E8732" t="str">
            <v>W-69(4/4)</v>
          </cell>
        </row>
        <row r="8733">
          <cell r="B8733" t="str">
            <v>B272-400-AS-250-LD-004</v>
          </cell>
          <cell r="E8733" t="str">
            <v>B1240</v>
          </cell>
        </row>
        <row r="8734">
          <cell r="B8734" t="str">
            <v>B272-400-AS-250-LD-004</v>
          </cell>
          <cell r="E8734" t="str">
            <v>B1650</v>
          </cell>
        </row>
        <row r="8735">
          <cell r="B8735" t="str">
            <v>B272-400-AS-250-LD-004</v>
          </cell>
          <cell r="E8735" t="str">
            <v>B1655</v>
          </cell>
        </row>
        <row r="8736">
          <cell r="B8736" t="str">
            <v>B272-400-AS-250-LD-005</v>
          </cell>
        </row>
        <row r="8737">
          <cell r="B8737" t="str">
            <v>B272-400-AS-250-LD-005</v>
          </cell>
          <cell r="E8737" t="str">
            <v>A-224(1/2)</v>
          </cell>
        </row>
        <row r="8738">
          <cell r="B8738" t="str">
            <v>B272-400-AS-250-LD-005</v>
          </cell>
          <cell r="E8738" t="str">
            <v>A-224(2/2)</v>
          </cell>
        </row>
        <row r="8739">
          <cell r="B8739" t="str">
            <v>B272-400-AS-250-LD-005</v>
          </cell>
          <cell r="E8739" t="str">
            <v>A-229</v>
          </cell>
        </row>
        <row r="8740">
          <cell r="B8740" t="str">
            <v>B272-400-AS-250-LD-005</v>
          </cell>
          <cell r="E8740" t="str">
            <v>A-230</v>
          </cell>
        </row>
        <row r="8741">
          <cell r="B8741" t="str">
            <v>B272-400-AS-250-LD-005</v>
          </cell>
          <cell r="E8741" t="str">
            <v>A-230-A</v>
          </cell>
        </row>
        <row r="8742">
          <cell r="B8742" t="str">
            <v>B272-400-AS-250-LD-005</v>
          </cell>
          <cell r="E8742" t="str">
            <v>A-230-B</v>
          </cell>
        </row>
        <row r="8743">
          <cell r="B8743" t="str">
            <v>B272-400-AS-250-LD-005</v>
          </cell>
          <cell r="E8743" t="str">
            <v>A-231</v>
          </cell>
        </row>
        <row r="8744">
          <cell r="B8744" t="str">
            <v>B272-400-AS-250-LD-005</v>
          </cell>
          <cell r="E8744" t="str">
            <v>A-231-A</v>
          </cell>
        </row>
        <row r="8745">
          <cell r="B8745" t="str">
            <v>B272-400-AS-250-LD-005</v>
          </cell>
          <cell r="E8745" t="str">
            <v>A-231-B</v>
          </cell>
        </row>
        <row r="8746">
          <cell r="B8746" t="str">
            <v>B272-400-AS-250-LD-005</v>
          </cell>
          <cell r="E8746" t="str">
            <v>A-232</v>
          </cell>
        </row>
        <row r="8747">
          <cell r="B8747" t="str">
            <v>B272-400-AS-250-LD-005</v>
          </cell>
          <cell r="E8747" t="str">
            <v>A-233</v>
          </cell>
        </row>
        <row r="8748">
          <cell r="B8748" t="str">
            <v>B272-400-AS-250-LD-005</v>
          </cell>
          <cell r="E8748" t="str">
            <v>A-234</v>
          </cell>
        </row>
        <row r="8749">
          <cell r="B8749" t="str">
            <v>B272-400-AS-250-LD-005</v>
          </cell>
          <cell r="E8749" t="str">
            <v>D-78(1/2)</v>
          </cell>
        </row>
        <row r="8750">
          <cell r="B8750" t="str">
            <v>B272-400-AS-250-LD-005</v>
          </cell>
          <cell r="E8750" t="str">
            <v>D-78(2/2)</v>
          </cell>
        </row>
        <row r="8751">
          <cell r="B8751" t="str">
            <v>B272-400-AS-250-LD-005</v>
          </cell>
          <cell r="E8751" t="str">
            <v>GX-50(1/9)</v>
          </cell>
        </row>
        <row r="8752">
          <cell r="B8752" t="str">
            <v>B272-400-AS-250-LD-005</v>
          </cell>
          <cell r="E8752" t="str">
            <v>GX-50(2/9)</v>
          </cell>
        </row>
        <row r="8753">
          <cell r="B8753" t="str">
            <v>B272-400-AS-250-LD-005</v>
          </cell>
          <cell r="E8753" t="str">
            <v>GX-50(3/9)</v>
          </cell>
        </row>
        <row r="8754">
          <cell r="B8754" t="str">
            <v>B272-400-AS-250-LD-005</v>
          </cell>
          <cell r="E8754" t="str">
            <v>GX-50(4/9)</v>
          </cell>
        </row>
        <row r="8755">
          <cell r="B8755" t="str">
            <v>B272-400-AS-250-LD-005</v>
          </cell>
          <cell r="E8755" t="str">
            <v>GX-50(5/9)</v>
          </cell>
        </row>
        <row r="8756">
          <cell r="B8756" t="str">
            <v>B272-400-AS-250-LD-005</v>
          </cell>
          <cell r="E8756" t="str">
            <v>GX-50(6/9)</v>
          </cell>
        </row>
        <row r="8757">
          <cell r="B8757" t="str">
            <v>B272-400-AS-250-LD-005</v>
          </cell>
          <cell r="E8757" t="str">
            <v>GX-50(7/9)</v>
          </cell>
        </row>
        <row r="8758">
          <cell r="B8758" t="str">
            <v>B272-400-AS-250-LD-005</v>
          </cell>
          <cell r="E8758" t="str">
            <v>GX-50(8/9)</v>
          </cell>
        </row>
        <row r="8759">
          <cell r="B8759" t="str">
            <v>B272-400-AS-250-LD-005</v>
          </cell>
          <cell r="E8759" t="str">
            <v>GX-50(9/9)</v>
          </cell>
        </row>
        <row r="8760">
          <cell r="B8760" t="str">
            <v>B272-400-AS-250-LD-005</v>
          </cell>
          <cell r="E8760" t="str">
            <v>GX-90(1/2)</v>
          </cell>
        </row>
        <row r="8761">
          <cell r="B8761" t="str">
            <v>B272-400-AS-250-LD-005</v>
          </cell>
          <cell r="E8761" t="str">
            <v>GX-90(2/2)</v>
          </cell>
        </row>
        <row r="8762">
          <cell r="B8762" t="str">
            <v>B272-400-AS-250-LD-005</v>
          </cell>
          <cell r="E8762" t="str">
            <v>GX-132</v>
          </cell>
        </row>
        <row r="8763">
          <cell r="B8763" t="str">
            <v>B272-400-AS-250-LD-005</v>
          </cell>
          <cell r="E8763" t="str">
            <v>P-275(1/2)</v>
          </cell>
        </row>
        <row r="8764">
          <cell r="B8764" t="str">
            <v>B272-400-AS-250-LD-005</v>
          </cell>
          <cell r="E8764" t="str">
            <v>P-275(2/2)</v>
          </cell>
        </row>
        <row r="8765">
          <cell r="B8765" t="str">
            <v>B272-400-AS-250-LD-005</v>
          </cell>
          <cell r="E8765" t="str">
            <v>P-665</v>
          </cell>
        </row>
        <row r="8766">
          <cell r="B8766" t="str">
            <v>B272-400-AS-250-LD-005</v>
          </cell>
          <cell r="E8766" t="str">
            <v>P-1014</v>
          </cell>
        </row>
        <row r="8767">
          <cell r="B8767" t="str">
            <v>B272-400-AS-250-LD-005</v>
          </cell>
          <cell r="E8767" t="str">
            <v>P-1018</v>
          </cell>
        </row>
        <row r="8768">
          <cell r="B8768" t="str">
            <v>B272-400-AS-250-LD-005</v>
          </cell>
          <cell r="E8768" t="str">
            <v>P-1022</v>
          </cell>
        </row>
        <row r="8769">
          <cell r="B8769" t="str">
            <v>B272-400-AS-250-LD-005</v>
          </cell>
          <cell r="E8769" t="str">
            <v>P-1023</v>
          </cell>
        </row>
        <row r="8770">
          <cell r="B8770" t="str">
            <v>B272-400-AS-250-LD-005</v>
          </cell>
          <cell r="E8770" t="str">
            <v>P-1024</v>
          </cell>
        </row>
        <row r="8771">
          <cell r="B8771" t="str">
            <v>B272-400-AS-250-LD-005</v>
          </cell>
          <cell r="E8771" t="str">
            <v>P-1026</v>
          </cell>
        </row>
        <row r="8772">
          <cell r="B8772" t="str">
            <v>B272-400-AS-250-LD-005</v>
          </cell>
          <cell r="E8772" t="str">
            <v>P-1038</v>
          </cell>
        </row>
        <row r="8773">
          <cell r="B8773" t="str">
            <v>B272-400-AS-250-LD-005</v>
          </cell>
          <cell r="E8773" t="str">
            <v>P-1039</v>
          </cell>
        </row>
        <row r="8774">
          <cell r="B8774" t="str">
            <v>B272-400-AS-250-LD-005</v>
          </cell>
          <cell r="E8774" t="str">
            <v>P-1040(1/2)</v>
          </cell>
        </row>
        <row r="8775">
          <cell r="B8775" t="str">
            <v>B272-400-AS-250-LD-005</v>
          </cell>
          <cell r="E8775" t="str">
            <v>P-1040(2/2)</v>
          </cell>
        </row>
        <row r="8776">
          <cell r="B8776" t="str">
            <v>B272-400-AS-250-LD-005</v>
          </cell>
          <cell r="E8776" t="str">
            <v>P-1041</v>
          </cell>
        </row>
        <row r="8777">
          <cell r="B8777" t="str">
            <v>B272-400-AS-250-LD-005</v>
          </cell>
          <cell r="E8777" t="str">
            <v>P-1050</v>
          </cell>
        </row>
        <row r="8778">
          <cell r="B8778" t="str">
            <v>B272-400-AS-250-LD-005</v>
          </cell>
          <cell r="E8778" t="str">
            <v>PX-54</v>
          </cell>
        </row>
        <row r="8779">
          <cell r="B8779" t="str">
            <v>B272-400-AS-250-LD-005</v>
          </cell>
          <cell r="E8779" t="str">
            <v>R-1</v>
          </cell>
        </row>
        <row r="8780">
          <cell r="B8780" t="str">
            <v>B272-400-AS-250-LD-005</v>
          </cell>
          <cell r="E8780" t="str">
            <v>R-8(1/33)</v>
          </cell>
        </row>
        <row r="8781">
          <cell r="B8781" t="str">
            <v>B272-400-AS-250-LD-005</v>
          </cell>
          <cell r="E8781" t="str">
            <v>R-8(2/33)</v>
          </cell>
        </row>
        <row r="8782">
          <cell r="B8782" t="str">
            <v>B272-400-AS-250-LD-005</v>
          </cell>
          <cell r="E8782" t="str">
            <v>R-8(3/33)</v>
          </cell>
        </row>
        <row r="8783">
          <cell r="B8783" t="str">
            <v>B272-400-AS-250-LD-005</v>
          </cell>
          <cell r="E8783" t="str">
            <v>R-8(4/33)</v>
          </cell>
        </row>
        <row r="8784">
          <cell r="B8784" t="str">
            <v>B272-400-AS-250-LD-005</v>
          </cell>
          <cell r="E8784" t="str">
            <v>R-8(5/33)</v>
          </cell>
        </row>
        <row r="8785">
          <cell r="B8785" t="str">
            <v>B272-400-AS-250-LD-005</v>
          </cell>
          <cell r="E8785" t="str">
            <v>R-8(6/33)</v>
          </cell>
        </row>
        <row r="8786">
          <cell r="B8786" t="str">
            <v>B272-400-AS-250-LD-005</v>
          </cell>
          <cell r="E8786" t="str">
            <v>R-8(7/33)</v>
          </cell>
        </row>
        <row r="8787">
          <cell r="B8787" t="str">
            <v>B272-400-AS-250-LD-005</v>
          </cell>
          <cell r="E8787" t="str">
            <v>R-8(8/33)</v>
          </cell>
        </row>
        <row r="8788">
          <cell r="B8788" t="str">
            <v>B272-400-AS-250-LD-005</v>
          </cell>
          <cell r="E8788" t="str">
            <v>R-8(9/33)</v>
          </cell>
        </row>
        <row r="8789">
          <cell r="B8789" t="str">
            <v>B272-400-AS-250-LD-005</v>
          </cell>
          <cell r="E8789" t="str">
            <v>R-8(10/33)</v>
          </cell>
        </row>
        <row r="8790">
          <cell r="B8790" t="str">
            <v>B272-400-AS-250-LD-005</v>
          </cell>
          <cell r="E8790" t="str">
            <v>R-8(11/33)</v>
          </cell>
        </row>
        <row r="8791">
          <cell r="B8791" t="str">
            <v>B272-400-AS-250-LD-005</v>
          </cell>
          <cell r="E8791" t="str">
            <v>R-8(12/33)</v>
          </cell>
        </row>
        <row r="8792">
          <cell r="B8792" t="str">
            <v>B272-400-AS-250-LD-005</v>
          </cell>
          <cell r="E8792" t="str">
            <v>R-8(13/33)</v>
          </cell>
        </row>
        <row r="8793">
          <cell r="B8793" t="str">
            <v>B272-400-AS-250-LD-005</v>
          </cell>
          <cell r="E8793" t="str">
            <v>R-8(14/33)</v>
          </cell>
        </row>
        <row r="8794">
          <cell r="B8794" t="str">
            <v>B272-400-AS-250-LD-005</v>
          </cell>
          <cell r="E8794" t="str">
            <v>R-8(15/33)</v>
          </cell>
        </row>
        <row r="8795">
          <cell r="B8795" t="str">
            <v>B272-400-AS-250-LD-005</v>
          </cell>
          <cell r="E8795" t="str">
            <v>R-8(16/33)</v>
          </cell>
        </row>
        <row r="8796">
          <cell r="B8796" t="str">
            <v>B272-400-AS-250-LD-005</v>
          </cell>
          <cell r="E8796" t="str">
            <v>R-8(17/33)</v>
          </cell>
        </row>
        <row r="8797">
          <cell r="B8797" t="str">
            <v>B272-400-AS-250-LD-005</v>
          </cell>
          <cell r="E8797" t="str">
            <v>R-8(18/33)</v>
          </cell>
        </row>
        <row r="8798">
          <cell r="B8798" t="str">
            <v>B272-400-AS-250-LD-005</v>
          </cell>
          <cell r="E8798" t="str">
            <v>R-8(19/33)</v>
          </cell>
        </row>
        <row r="8799">
          <cell r="B8799" t="str">
            <v>B272-400-AS-250-LD-005</v>
          </cell>
          <cell r="E8799" t="str">
            <v>R-8(20/33)</v>
          </cell>
        </row>
        <row r="8800">
          <cell r="B8800" t="str">
            <v>B272-400-AS-250-LD-005</v>
          </cell>
          <cell r="E8800" t="str">
            <v>R-8(21/33)</v>
          </cell>
        </row>
        <row r="8801">
          <cell r="B8801" t="str">
            <v>B272-400-AS-250-LD-005</v>
          </cell>
          <cell r="E8801" t="str">
            <v>R-8(22/33)</v>
          </cell>
        </row>
        <row r="8802">
          <cell r="B8802" t="str">
            <v>B272-400-AS-250-LD-005</v>
          </cell>
          <cell r="E8802" t="str">
            <v>R-8(23/33)</v>
          </cell>
        </row>
        <row r="8803">
          <cell r="B8803" t="str">
            <v>B272-400-AS-250-LD-005</v>
          </cell>
          <cell r="E8803" t="str">
            <v>R-8(24/33)</v>
          </cell>
        </row>
        <row r="8804">
          <cell r="B8804" t="str">
            <v>B272-400-AS-250-LD-005</v>
          </cell>
          <cell r="E8804" t="str">
            <v>R-8(25/33)</v>
          </cell>
        </row>
        <row r="8805">
          <cell r="B8805" t="str">
            <v>B272-400-AS-250-LD-005</v>
          </cell>
          <cell r="E8805" t="str">
            <v>R-8(26/33)</v>
          </cell>
        </row>
        <row r="8806">
          <cell r="B8806" t="str">
            <v>B272-400-AS-250-LD-005</v>
          </cell>
          <cell r="E8806" t="str">
            <v>R-8(27/33)</v>
          </cell>
        </row>
        <row r="8807">
          <cell r="B8807" t="str">
            <v>B272-400-AS-250-LD-005</v>
          </cell>
          <cell r="E8807" t="str">
            <v>R-8(28/33)</v>
          </cell>
        </row>
        <row r="8808">
          <cell r="B8808" t="str">
            <v>B272-400-AS-250-LD-005</v>
          </cell>
          <cell r="E8808" t="str">
            <v>R-8(29/33)</v>
          </cell>
        </row>
        <row r="8809">
          <cell r="B8809" t="str">
            <v>B272-400-AS-250-LD-005</v>
          </cell>
          <cell r="E8809" t="str">
            <v>R-8(30/33)</v>
          </cell>
        </row>
        <row r="8810">
          <cell r="B8810" t="str">
            <v>B272-400-AS-250-LD-005</v>
          </cell>
          <cell r="E8810" t="str">
            <v>R-8(31/33)</v>
          </cell>
        </row>
        <row r="8811">
          <cell r="B8811" t="str">
            <v>B272-400-AS-250-LD-005</v>
          </cell>
          <cell r="E8811" t="str">
            <v>R-8(32/33)</v>
          </cell>
        </row>
        <row r="8812">
          <cell r="B8812" t="str">
            <v>B272-400-AS-250-LD-005</v>
          </cell>
          <cell r="E8812" t="str">
            <v>R-8(33/33)</v>
          </cell>
        </row>
        <row r="8813">
          <cell r="B8813" t="str">
            <v>B272-400-AS-250-LD-005</v>
          </cell>
          <cell r="E8813" t="str">
            <v>W-69(1/4)</v>
          </cell>
        </row>
        <row r="8814">
          <cell r="B8814" t="str">
            <v>B272-400-AS-250-LD-005</v>
          </cell>
          <cell r="E8814" t="str">
            <v>W-69(2/4)</v>
          </cell>
        </row>
        <row r="8815">
          <cell r="B8815" t="str">
            <v>B272-400-AS-250-LD-005</v>
          </cell>
          <cell r="E8815" t="str">
            <v>W-69(3/4)</v>
          </cell>
        </row>
        <row r="8816">
          <cell r="B8816" t="str">
            <v>B272-400-AS-250-LD-005</v>
          </cell>
          <cell r="E8816" t="str">
            <v>W-69(4/4)</v>
          </cell>
        </row>
        <row r="8817">
          <cell r="B8817" t="str">
            <v>B272-400-AS-250-LD-005</v>
          </cell>
          <cell r="E8817" t="str">
            <v>B1240</v>
          </cell>
        </row>
        <row r="8818">
          <cell r="B8818" t="str">
            <v>B272-400-AS-250-LD-005</v>
          </cell>
          <cell r="E8818" t="str">
            <v>B1245</v>
          </cell>
        </row>
        <row r="8819">
          <cell r="B8819" t="str">
            <v>B272-400-AS-250-LD-005</v>
          </cell>
          <cell r="E8819" t="str">
            <v>B1650</v>
          </cell>
        </row>
        <row r="8820">
          <cell r="B8820" t="str">
            <v>B272-400-AS-250-LD-005</v>
          </cell>
          <cell r="E8820" t="str">
            <v>B1655</v>
          </cell>
        </row>
        <row r="8821">
          <cell r="B8821" t="str">
            <v>B272-400-AS-250-LD-006</v>
          </cell>
        </row>
        <row r="8822">
          <cell r="B8822" t="str">
            <v>B272-400-AS-250-LD-006</v>
          </cell>
          <cell r="E8822" t="str">
            <v>A-224(1/2)</v>
          </cell>
        </row>
        <row r="8823">
          <cell r="B8823" t="str">
            <v>B272-400-AS-250-LD-006</v>
          </cell>
          <cell r="E8823" t="str">
            <v>A-224(2/2)</v>
          </cell>
        </row>
        <row r="8824">
          <cell r="B8824" t="str">
            <v>B272-400-AS-250-LD-006</v>
          </cell>
          <cell r="E8824" t="str">
            <v>A-235</v>
          </cell>
        </row>
        <row r="8825">
          <cell r="B8825" t="str">
            <v>B272-400-AS-250-LD-006</v>
          </cell>
          <cell r="E8825" t="str">
            <v>A-235-A</v>
          </cell>
        </row>
        <row r="8826">
          <cell r="B8826" t="str">
            <v>B272-400-AS-250-LD-006</v>
          </cell>
          <cell r="E8826" t="str">
            <v>A-235-B</v>
          </cell>
        </row>
        <row r="8827">
          <cell r="B8827" t="str">
            <v>B272-400-AS-250-LD-006</v>
          </cell>
          <cell r="E8827" t="str">
            <v>A-236</v>
          </cell>
        </row>
        <row r="8828">
          <cell r="B8828" t="str">
            <v>B272-400-AS-250-LD-006</v>
          </cell>
          <cell r="E8828" t="str">
            <v>A-236-A</v>
          </cell>
        </row>
        <row r="8829">
          <cell r="B8829" t="str">
            <v>B272-400-AS-250-LD-006</v>
          </cell>
          <cell r="E8829" t="str">
            <v>A-236-B</v>
          </cell>
        </row>
        <row r="8830">
          <cell r="B8830" t="str">
            <v>B272-400-AS-250-LD-006</v>
          </cell>
          <cell r="E8830" t="str">
            <v>D-78(1/2)</v>
          </cell>
        </row>
        <row r="8831">
          <cell r="B8831" t="str">
            <v>B272-400-AS-250-LD-006</v>
          </cell>
          <cell r="E8831" t="str">
            <v>D-78(2/2)</v>
          </cell>
        </row>
        <row r="8832">
          <cell r="B8832" t="str">
            <v>B272-400-AS-250-LD-006</v>
          </cell>
          <cell r="E8832" t="str">
            <v>GX-50(1/8)</v>
          </cell>
        </row>
        <row r="8833">
          <cell r="B8833" t="str">
            <v>B272-400-AS-250-LD-006</v>
          </cell>
          <cell r="E8833" t="str">
            <v>GX-50(2/8)</v>
          </cell>
        </row>
        <row r="8834">
          <cell r="B8834" t="str">
            <v>B272-400-AS-250-LD-006</v>
          </cell>
          <cell r="E8834" t="str">
            <v>GX-50(3/8)</v>
          </cell>
        </row>
        <row r="8835">
          <cell r="B8835" t="str">
            <v>B272-400-AS-250-LD-006</v>
          </cell>
          <cell r="E8835" t="str">
            <v>GX-50(4/8)</v>
          </cell>
        </row>
        <row r="8836">
          <cell r="B8836" t="str">
            <v>B272-400-AS-250-LD-006</v>
          </cell>
          <cell r="E8836" t="str">
            <v>GX-50(5/8)</v>
          </cell>
        </row>
        <row r="8837">
          <cell r="B8837" t="str">
            <v>B272-400-AS-250-LD-006</v>
          </cell>
          <cell r="E8837" t="str">
            <v>GX-50(6/8)</v>
          </cell>
        </row>
        <row r="8838">
          <cell r="B8838" t="str">
            <v>B272-400-AS-250-LD-006</v>
          </cell>
          <cell r="E8838" t="str">
            <v>GX-50(7/8)</v>
          </cell>
        </row>
        <row r="8839">
          <cell r="B8839" t="str">
            <v>B272-400-AS-250-LD-006</v>
          </cell>
          <cell r="E8839" t="str">
            <v>GX-50(8/8)</v>
          </cell>
        </row>
        <row r="8840">
          <cell r="B8840" t="str">
            <v>B272-400-AS-250-LD-006</v>
          </cell>
          <cell r="E8840" t="str">
            <v>GX-69</v>
          </cell>
        </row>
        <row r="8841">
          <cell r="B8841" t="str">
            <v>B272-400-AS-250-LD-006</v>
          </cell>
          <cell r="E8841" t="str">
            <v>GX-159(1/2)</v>
          </cell>
        </row>
        <row r="8842">
          <cell r="B8842" t="str">
            <v>B272-400-AS-250-LD-006</v>
          </cell>
          <cell r="E8842" t="str">
            <v>GX-159(2/2)</v>
          </cell>
        </row>
        <row r="8843">
          <cell r="B8843" t="str">
            <v>B272-400-AS-250-LD-006</v>
          </cell>
          <cell r="E8843" t="str">
            <v>P-665(1/2)</v>
          </cell>
        </row>
        <row r="8844">
          <cell r="B8844" t="str">
            <v>B272-400-AS-250-LD-006</v>
          </cell>
          <cell r="E8844" t="str">
            <v>P-665(2/2)</v>
          </cell>
        </row>
        <row r="8845">
          <cell r="B8845" t="str">
            <v>B272-400-AS-250-LD-006</v>
          </cell>
          <cell r="E8845" t="str">
            <v>P-1059(1/2)</v>
          </cell>
        </row>
        <row r="8846">
          <cell r="B8846" t="str">
            <v>B272-400-AS-250-LD-006</v>
          </cell>
          <cell r="E8846" t="str">
            <v>P-1059(2/2)</v>
          </cell>
        </row>
        <row r="8847">
          <cell r="B8847" t="str">
            <v>B272-400-AS-250-LD-006</v>
          </cell>
          <cell r="E8847" t="str">
            <v>P-1060(1/2)</v>
          </cell>
        </row>
        <row r="8848">
          <cell r="B8848" t="str">
            <v>B272-400-AS-250-LD-006</v>
          </cell>
          <cell r="E8848" t="str">
            <v>P-1060(2/2)</v>
          </cell>
        </row>
        <row r="8849">
          <cell r="B8849" t="str">
            <v>B272-400-AS-250-LD-006</v>
          </cell>
          <cell r="E8849" t="str">
            <v>P-1061(1/2)</v>
          </cell>
        </row>
        <row r="8850">
          <cell r="B8850" t="str">
            <v>B272-400-AS-250-LD-006</v>
          </cell>
          <cell r="E8850" t="str">
            <v>P-1061(2/2)</v>
          </cell>
        </row>
        <row r="8851">
          <cell r="B8851" t="str">
            <v>B272-400-AS-250-LD-006</v>
          </cell>
          <cell r="E8851" t="str">
            <v>P-1063(1/4)</v>
          </cell>
        </row>
        <row r="8852">
          <cell r="B8852" t="str">
            <v>B272-400-AS-250-LD-006</v>
          </cell>
          <cell r="E8852" t="str">
            <v>P-1063(2/4)</v>
          </cell>
        </row>
        <row r="8853">
          <cell r="B8853" t="str">
            <v>B272-400-AS-250-LD-006</v>
          </cell>
          <cell r="E8853" t="str">
            <v>P-1063(3/4)</v>
          </cell>
        </row>
        <row r="8854">
          <cell r="B8854" t="str">
            <v>B272-400-AS-250-LD-006</v>
          </cell>
          <cell r="E8854" t="str">
            <v>P-1063(4/4)</v>
          </cell>
        </row>
        <row r="8855">
          <cell r="B8855" t="str">
            <v>B272-400-AS-250-LD-006</v>
          </cell>
          <cell r="E8855" t="str">
            <v>PX-75</v>
          </cell>
        </row>
        <row r="8856">
          <cell r="B8856" t="str">
            <v>B272-400-AS-250-LD-006</v>
          </cell>
          <cell r="E8856" t="str">
            <v>PX-105</v>
          </cell>
        </row>
        <row r="8857">
          <cell r="B8857" t="str">
            <v>B272-400-AS-250-LD-006</v>
          </cell>
          <cell r="E8857" t="str">
            <v>R-8(1/32)</v>
          </cell>
        </row>
        <row r="8858">
          <cell r="B8858" t="str">
            <v>B272-400-AS-250-LD-006</v>
          </cell>
          <cell r="E8858" t="str">
            <v>R-8(2/32)</v>
          </cell>
        </row>
        <row r="8859">
          <cell r="B8859" t="str">
            <v>B272-400-AS-250-LD-006</v>
          </cell>
          <cell r="E8859" t="str">
            <v>R-8(3/32)</v>
          </cell>
        </row>
        <row r="8860">
          <cell r="B8860" t="str">
            <v>B272-400-AS-250-LD-006</v>
          </cell>
          <cell r="E8860" t="str">
            <v>R-8(4/32)</v>
          </cell>
        </row>
        <row r="8861">
          <cell r="B8861" t="str">
            <v>B272-400-AS-250-LD-006</v>
          </cell>
          <cell r="E8861" t="str">
            <v>R-8(5/32)</v>
          </cell>
        </row>
        <row r="8862">
          <cell r="B8862" t="str">
            <v>B272-400-AS-250-LD-006</v>
          </cell>
          <cell r="E8862" t="str">
            <v>R-8(6/32)</v>
          </cell>
        </row>
        <row r="8863">
          <cell r="B8863" t="str">
            <v>B272-400-AS-250-LD-006</v>
          </cell>
          <cell r="E8863" t="str">
            <v>R-8(7/32)</v>
          </cell>
        </row>
        <row r="8864">
          <cell r="B8864" t="str">
            <v>B272-400-AS-250-LD-006</v>
          </cell>
          <cell r="E8864" t="str">
            <v>R-8(8/32)</v>
          </cell>
        </row>
        <row r="8865">
          <cell r="B8865" t="str">
            <v>B272-400-AS-250-LD-006</v>
          </cell>
          <cell r="E8865" t="str">
            <v>R-8(9/32)</v>
          </cell>
        </row>
        <row r="8866">
          <cell r="B8866" t="str">
            <v>B272-400-AS-250-LD-006</v>
          </cell>
          <cell r="E8866" t="str">
            <v>R-8(10/32)</v>
          </cell>
        </row>
        <row r="8867">
          <cell r="B8867" t="str">
            <v>B272-400-AS-250-LD-006</v>
          </cell>
          <cell r="E8867" t="str">
            <v>R-8(11/32)</v>
          </cell>
        </row>
        <row r="8868">
          <cell r="B8868" t="str">
            <v>B272-400-AS-250-LD-006</v>
          </cell>
          <cell r="E8868" t="str">
            <v>R-8(12/32)</v>
          </cell>
        </row>
        <row r="8869">
          <cell r="B8869" t="str">
            <v>B272-400-AS-250-LD-006</v>
          </cell>
          <cell r="E8869" t="str">
            <v>R-8(13/32)</v>
          </cell>
        </row>
        <row r="8870">
          <cell r="B8870" t="str">
            <v>B272-400-AS-250-LD-006</v>
          </cell>
          <cell r="E8870" t="str">
            <v>R-8(14/32)</v>
          </cell>
        </row>
        <row r="8871">
          <cell r="B8871" t="str">
            <v>B272-400-AS-250-LD-006</v>
          </cell>
          <cell r="E8871" t="str">
            <v>R-8(15/32)</v>
          </cell>
        </row>
        <row r="8872">
          <cell r="B8872" t="str">
            <v>B272-400-AS-250-LD-006</v>
          </cell>
          <cell r="E8872" t="str">
            <v>R-8(16/32)</v>
          </cell>
        </row>
        <row r="8873">
          <cell r="B8873" t="str">
            <v>B272-400-AS-250-LD-006</v>
          </cell>
          <cell r="E8873" t="str">
            <v>R-8(17/32)</v>
          </cell>
        </row>
        <row r="8874">
          <cell r="B8874" t="str">
            <v>B272-400-AS-250-LD-006</v>
          </cell>
          <cell r="E8874" t="str">
            <v>R-8(18/32)</v>
          </cell>
        </row>
        <row r="8875">
          <cell r="B8875" t="str">
            <v>B272-400-AS-250-LD-006</v>
          </cell>
          <cell r="E8875" t="str">
            <v>R-8(19/32)</v>
          </cell>
        </row>
        <row r="8876">
          <cell r="B8876" t="str">
            <v>B272-400-AS-250-LD-006</v>
          </cell>
          <cell r="E8876" t="str">
            <v>R-8(20/32)</v>
          </cell>
        </row>
        <row r="8877">
          <cell r="B8877" t="str">
            <v>B272-400-AS-250-LD-006</v>
          </cell>
          <cell r="E8877" t="str">
            <v>R-8(21/32)</v>
          </cell>
        </row>
        <row r="8878">
          <cell r="B8878" t="str">
            <v>B272-400-AS-250-LD-006</v>
          </cell>
          <cell r="E8878" t="str">
            <v>R-8(22/32)</v>
          </cell>
        </row>
        <row r="8879">
          <cell r="B8879" t="str">
            <v>B272-400-AS-250-LD-006</v>
          </cell>
          <cell r="E8879" t="str">
            <v>R-8(23/32)</v>
          </cell>
        </row>
        <row r="8880">
          <cell r="B8880" t="str">
            <v>B272-400-AS-250-LD-006</v>
          </cell>
          <cell r="E8880" t="str">
            <v>R-8(24/32)</v>
          </cell>
        </row>
        <row r="8881">
          <cell r="B8881" t="str">
            <v>B272-400-AS-250-LD-006</v>
          </cell>
          <cell r="E8881" t="str">
            <v>R-8(25/32)</v>
          </cell>
        </row>
        <row r="8882">
          <cell r="B8882" t="str">
            <v>B272-400-AS-250-LD-006</v>
          </cell>
          <cell r="E8882" t="str">
            <v>R-8(26/32)</v>
          </cell>
        </row>
        <row r="8883">
          <cell r="B8883" t="str">
            <v>B272-400-AS-250-LD-006</v>
          </cell>
          <cell r="E8883" t="str">
            <v>R-8(27/32)</v>
          </cell>
        </row>
        <row r="8884">
          <cell r="B8884" t="str">
            <v>B272-400-AS-250-LD-006</v>
          </cell>
          <cell r="E8884" t="str">
            <v>R-8(28/32)</v>
          </cell>
        </row>
        <row r="8885">
          <cell r="B8885" t="str">
            <v>B272-400-AS-250-LD-006</v>
          </cell>
          <cell r="E8885" t="str">
            <v>R-8(29/32)</v>
          </cell>
        </row>
        <row r="8886">
          <cell r="B8886" t="str">
            <v>B272-400-AS-250-LD-006</v>
          </cell>
          <cell r="E8886" t="str">
            <v>R-8(30/32)</v>
          </cell>
        </row>
        <row r="8887">
          <cell r="B8887" t="str">
            <v>B272-400-AS-250-LD-006</v>
          </cell>
          <cell r="E8887" t="str">
            <v>R-8(31/32)</v>
          </cell>
        </row>
        <row r="8888">
          <cell r="B8888" t="str">
            <v>B272-400-AS-250-LD-006</v>
          </cell>
          <cell r="E8888" t="str">
            <v>R-8(32/32)</v>
          </cell>
        </row>
        <row r="8889">
          <cell r="B8889" t="str">
            <v>B272-400-AS-250-LD-006</v>
          </cell>
          <cell r="E8889" t="str">
            <v>W-69(1/4)</v>
          </cell>
        </row>
        <row r="8890">
          <cell r="B8890" t="str">
            <v>B272-400-AS-250-LD-006</v>
          </cell>
          <cell r="E8890" t="str">
            <v>W-69(2/4)</v>
          </cell>
        </row>
        <row r="8891">
          <cell r="B8891" t="str">
            <v>B272-400-AS-250-LD-006</v>
          </cell>
          <cell r="E8891" t="str">
            <v>W-69(3/4)</v>
          </cell>
        </row>
        <row r="8892">
          <cell r="B8892" t="str">
            <v>B272-400-AS-250-LD-006</v>
          </cell>
          <cell r="E8892" t="str">
            <v>W-69(4/4)</v>
          </cell>
        </row>
        <row r="8893">
          <cell r="B8893" t="str">
            <v>B272-400-AS-250-LD-006</v>
          </cell>
          <cell r="E8893" t="str">
            <v>B1240</v>
          </cell>
        </row>
        <row r="8894">
          <cell r="B8894" t="str">
            <v>B272-400-AS-250-LD-006</v>
          </cell>
          <cell r="E8894" t="str">
            <v>B1245</v>
          </cell>
        </row>
        <row r="8895">
          <cell r="B8895" t="str">
            <v>B272-400-AS-250-LD-006</v>
          </cell>
          <cell r="E8895" t="str">
            <v>B1650</v>
          </cell>
        </row>
        <row r="8896">
          <cell r="B8896" t="str">
            <v>B272-400-AS-250-LD-006</v>
          </cell>
          <cell r="E8896" t="str">
            <v>B1655</v>
          </cell>
        </row>
        <row r="8897">
          <cell r="B8897" t="str">
            <v>B272-400-AS-250-LD-007</v>
          </cell>
        </row>
        <row r="8898">
          <cell r="B8898" t="str">
            <v>B272-400-AS-250-LD-007</v>
          </cell>
          <cell r="E8898" t="str">
            <v>D-78</v>
          </cell>
        </row>
        <row r="8899">
          <cell r="B8899" t="str">
            <v>B272-400-AS-250-LD-007</v>
          </cell>
        </row>
        <row r="8900">
          <cell r="B8900" t="str">
            <v>B272-400-AS-250-LD-007</v>
          </cell>
          <cell r="E8900" t="str">
            <v>D-78</v>
          </cell>
        </row>
        <row r="8901">
          <cell r="B8901" t="str">
            <v>B272-400-AS-250-LD-007</v>
          </cell>
        </row>
        <row r="8902">
          <cell r="B8902" t="str">
            <v>B272-400-AS-250-LD-007</v>
          </cell>
          <cell r="E8902" t="str">
            <v>D-78</v>
          </cell>
        </row>
        <row r="8903">
          <cell r="B8903" t="str">
            <v>B272-400-AS-250-LD-007</v>
          </cell>
        </row>
        <row r="8904">
          <cell r="B8904" t="str">
            <v>B272-400-AS-250-LD-007</v>
          </cell>
          <cell r="E8904" t="str">
            <v>D-78</v>
          </cell>
        </row>
        <row r="8905">
          <cell r="B8905" t="str">
            <v>B272-400-AS-250-LD-007</v>
          </cell>
        </row>
        <row r="8906">
          <cell r="B8906" t="str">
            <v>B272-400-AS-250-LD-007</v>
          </cell>
          <cell r="E8906" t="str">
            <v>D-78</v>
          </cell>
        </row>
        <row r="8907">
          <cell r="B8907" t="str">
            <v>B272-400-AS-250-LD-007</v>
          </cell>
        </row>
        <row r="8908">
          <cell r="B8908" t="str">
            <v>B272-400-AS-250-LD-007</v>
          </cell>
          <cell r="E8908" t="str">
            <v>D-78</v>
          </cell>
        </row>
        <row r="8909">
          <cell r="B8909" t="str">
            <v>B272-400-AS-250-LD-007</v>
          </cell>
        </row>
        <row r="8910">
          <cell r="B8910" t="str">
            <v>B272-400-AS-250-LD-007</v>
          </cell>
          <cell r="E8910" t="str">
            <v>D-78</v>
          </cell>
        </row>
        <row r="8911">
          <cell r="B8911" t="str">
            <v>B272-400-AS-250-LD-007</v>
          </cell>
        </row>
        <row r="8912">
          <cell r="B8912" t="str">
            <v>B272-400-AS-250-LD-007</v>
          </cell>
          <cell r="E8912" t="str">
            <v>D-78</v>
          </cell>
        </row>
        <row r="8913">
          <cell r="B8913" t="str">
            <v>B272-400-AS-250-LD-007</v>
          </cell>
        </row>
        <row r="8914">
          <cell r="B8914" t="str">
            <v>B272-400-AS-250-LD-007</v>
          </cell>
          <cell r="E8914" t="str">
            <v>D-78</v>
          </cell>
        </row>
        <row r="8915">
          <cell r="B8915" t="str">
            <v>B272-400-AS-250-LD-007</v>
          </cell>
        </row>
        <row r="8916">
          <cell r="B8916" t="str">
            <v>B272-400-AS-250-LD-007</v>
          </cell>
          <cell r="E8916" t="str">
            <v>D-78</v>
          </cell>
        </row>
        <row r="8917">
          <cell r="B8917" t="str">
            <v>B272-400-AS-250-LD-007</v>
          </cell>
        </row>
        <row r="8918">
          <cell r="B8918" t="str">
            <v>B272-400-AS-250-LD-007</v>
          </cell>
          <cell r="E8918" t="str">
            <v>D-78</v>
          </cell>
        </row>
        <row r="8919">
          <cell r="B8919" t="str">
            <v>B272-400-AS-250-LD-007</v>
          </cell>
        </row>
        <row r="8920">
          <cell r="B8920" t="str">
            <v>B272-400-AS-250-LD-007</v>
          </cell>
          <cell r="E8920" t="str">
            <v>D-78</v>
          </cell>
        </row>
        <row r="8921">
          <cell r="B8921" t="str">
            <v>B272-400-AS-250-LD-007</v>
          </cell>
        </row>
        <row r="8922">
          <cell r="B8922" t="str">
            <v>B272-400-AS-250-LD-007</v>
          </cell>
          <cell r="E8922" t="str">
            <v>D-78</v>
          </cell>
        </row>
        <row r="8923">
          <cell r="B8923" t="str">
            <v>B272-400-AS-250-LD-007</v>
          </cell>
        </row>
        <row r="8924">
          <cell r="B8924" t="str">
            <v>B272-400-AS-250-LD-007</v>
          </cell>
          <cell r="E8924" t="str">
            <v>D-78</v>
          </cell>
        </row>
        <row r="8925">
          <cell r="B8925" t="str">
            <v>B272-400-AS-250-LD-007</v>
          </cell>
        </row>
        <row r="8926">
          <cell r="B8926" t="str">
            <v>B272-400-AS-250-LD-007</v>
          </cell>
          <cell r="E8926" t="str">
            <v>D-78</v>
          </cell>
        </row>
        <row r="8927">
          <cell r="B8927" t="str">
            <v>B272-400-AS-250-LD-007</v>
          </cell>
        </row>
        <row r="8928">
          <cell r="B8928" t="str">
            <v>B272-400-AS-250-LD-007</v>
          </cell>
          <cell r="E8928" t="str">
            <v>D-78</v>
          </cell>
        </row>
        <row r="8929">
          <cell r="B8929" t="str">
            <v>B272-400-AS-250-LD-008</v>
          </cell>
        </row>
        <row r="8930">
          <cell r="B8930" t="str">
            <v>B272-400-AS-250-LD-008</v>
          </cell>
          <cell r="E8930" t="str">
            <v>D-117</v>
          </cell>
        </row>
        <row r="8931">
          <cell r="B8931" t="str">
            <v>B272-400-AS-250-LD-008</v>
          </cell>
        </row>
        <row r="8932">
          <cell r="B8932" t="str">
            <v>B272-400-AS-250-LD-008</v>
          </cell>
          <cell r="E8932" t="str">
            <v>D-117</v>
          </cell>
        </row>
        <row r="8933">
          <cell r="B8933" t="str">
            <v>B272-400-AS-250-LD-008</v>
          </cell>
        </row>
        <row r="8934">
          <cell r="B8934" t="str">
            <v>B272-400-AS-250-LD-008</v>
          </cell>
          <cell r="E8934" t="str">
            <v>D-117</v>
          </cell>
        </row>
        <row r="8935">
          <cell r="B8935" t="str">
            <v>B272-400-AS-250-LD-008</v>
          </cell>
        </row>
        <row r="8936">
          <cell r="B8936" t="str">
            <v>B272-400-AS-250-LD-008</v>
          </cell>
          <cell r="E8936" t="str">
            <v>D-117</v>
          </cell>
        </row>
        <row r="8937">
          <cell r="B8937" t="str">
            <v>B272-400-AS-250-LD-008</v>
          </cell>
        </row>
        <row r="8938">
          <cell r="B8938" t="str">
            <v>B272-400-AS-250-LD-008</v>
          </cell>
          <cell r="E8938" t="str">
            <v>D-117</v>
          </cell>
        </row>
        <row r="8939">
          <cell r="B8939" t="str">
            <v>B272-400-AS-250-LD-008</v>
          </cell>
        </row>
        <row r="8940">
          <cell r="B8940" t="str">
            <v>B272-400-AS-250-LD-008</v>
          </cell>
          <cell r="E8940" t="str">
            <v>D-117</v>
          </cell>
        </row>
        <row r="8941">
          <cell r="B8941" t="str">
            <v>B272-400-AS-250-LD-008</v>
          </cell>
        </row>
        <row r="8942">
          <cell r="B8942" t="str">
            <v>B272-400-AS-250-LD-008</v>
          </cell>
          <cell r="E8942" t="str">
            <v>D-117</v>
          </cell>
        </row>
        <row r="8943">
          <cell r="B8943" t="str">
            <v>B272-400-AS-250-LD-008</v>
          </cell>
        </row>
        <row r="8944">
          <cell r="B8944" t="str">
            <v>B272-400-AS-250-LD-008</v>
          </cell>
          <cell r="E8944" t="str">
            <v>D-117</v>
          </cell>
        </row>
        <row r="8945">
          <cell r="B8945" t="str">
            <v>B272-400-AS-250-LD-008</v>
          </cell>
        </row>
        <row r="8946">
          <cell r="B8946" t="str">
            <v>B272-400-AS-250-LD-008</v>
          </cell>
          <cell r="E8946" t="str">
            <v>D-117</v>
          </cell>
        </row>
        <row r="8947">
          <cell r="B8947" t="str">
            <v>B272-400-AS-250-LD-008</v>
          </cell>
        </row>
        <row r="8948">
          <cell r="B8948" t="str">
            <v>B272-400-AS-250-LD-008</v>
          </cell>
          <cell r="E8948" t="str">
            <v>D-117</v>
          </cell>
        </row>
        <row r="8949">
          <cell r="B8949" t="str">
            <v>B272-400-AS-250-LD-008</v>
          </cell>
        </row>
        <row r="8950">
          <cell r="B8950" t="str">
            <v>B272-400-AS-250-LD-008</v>
          </cell>
          <cell r="E8950" t="str">
            <v>D-117</v>
          </cell>
        </row>
        <row r="8951">
          <cell r="B8951" t="str">
            <v>B272-400-AS-250-LD-008</v>
          </cell>
        </row>
        <row r="8952">
          <cell r="B8952" t="str">
            <v>B272-400-AS-250-LD-008</v>
          </cell>
          <cell r="E8952" t="str">
            <v>D-117</v>
          </cell>
        </row>
        <row r="8953">
          <cell r="B8953" t="str">
            <v>B272-400-AS-250-LD-008</v>
          </cell>
        </row>
        <row r="8954">
          <cell r="B8954" t="str">
            <v>B272-400-AS-250-LD-008</v>
          </cell>
          <cell r="E8954" t="str">
            <v>D-117</v>
          </cell>
        </row>
        <row r="8955">
          <cell r="B8955" t="str">
            <v>B272-400-AS-250-LD-008</v>
          </cell>
        </row>
        <row r="8956">
          <cell r="B8956" t="str">
            <v>B272-400-AS-250-LD-008</v>
          </cell>
          <cell r="E8956" t="str">
            <v>D-117</v>
          </cell>
        </row>
        <row r="8957">
          <cell r="B8957" t="str">
            <v>B272-400-AS-250-LD-008</v>
          </cell>
        </row>
        <row r="8958">
          <cell r="B8958" t="str">
            <v>B272-400-AS-250-LD-008</v>
          </cell>
          <cell r="E8958" t="str">
            <v>D-117</v>
          </cell>
        </row>
        <row r="8959">
          <cell r="B8959" t="str">
            <v>B272-400-AS-250-LD-008</v>
          </cell>
        </row>
        <row r="8960">
          <cell r="B8960" t="str">
            <v>B272-400-AS-250-LD-008</v>
          </cell>
          <cell r="E8960" t="str">
            <v>D-117</v>
          </cell>
        </row>
        <row r="8961">
          <cell r="B8961" t="str">
            <v>B272-400-AS-250-LD-009</v>
          </cell>
        </row>
        <row r="8962">
          <cell r="B8962" t="str">
            <v>B272-400-AS-250-LD-009</v>
          </cell>
          <cell r="E8962" t="str">
            <v>G-22</v>
          </cell>
        </row>
        <row r="8963">
          <cell r="B8963" t="str">
            <v>B272-400-AS-250-LD-009</v>
          </cell>
          <cell r="E8963" t="str">
            <v>B1680</v>
          </cell>
        </row>
        <row r="8964">
          <cell r="B8964" t="str">
            <v>B272-400-AS-250-LD-009</v>
          </cell>
        </row>
        <row r="8965">
          <cell r="B8965" t="str">
            <v>B272-400-AS-250-LD-009</v>
          </cell>
          <cell r="E8965" t="str">
            <v>G-22</v>
          </cell>
        </row>
        <row r="8966">
          <cell r="B8966" t="str">
            <v>B272-400-AS-250-LD-009</v>
          </cell>
          <cell r="E8966" t="str">
            <v>B1680</v>
          </cell>
        </row>
        <row r="8967">
          <cell r="B8967" t="str">
            <v>B272-400-AS-250-LD-010</v>
          </cell>
        </row>
        <row r="8968">
          <cell r="B8968" t="str">
            <v>B272-400-AS-250-LD-010</v>
          </cell>
          <cell r="E8968" t="str">
            <v>G-29</v>
          </cell>
        </row>
        <row r="8969">
          <cell r="B8969" t="str">
            <v>B272-400-AS-250-LD-010</v>
          </cell>
          <cell r="E8969" t="str">
            <v>B1680</v>
          </cell>
        </row>
        <row r="8970">
          <cell r="B8970" t="str">
            <v>B272-400-AS-250-LD-010</v>
          </cell>
        </row>
        <row r="8971">
          <cell r="B8971" t="str">
            <v>B272-400-AS-250-LD-010</v>
          </cell>
          <cell r="E8971" t="str">
            <v>G-29</v>
          </cell>
        </row>
        <row r="8972">
          <cell r="B8972" t="str">
            <v>B272-400-AS-250-LD-010</v>
          </cell>
          <cell r="E8972" t="str">
            <v>B1680</v>
          </cell>
        </row>
        <row r="8973">
          <cell r="B8973" t="str">
            <v>B272-400-AS-250-LD-010</v>
          </cell>
        </row>
        <row r="8974">
          <cell r="B8974" t="str">
            <v>B272-400-AS-250-LD-010</v>
          </cell>
          <cell r="E8974" t="str">
            <v>G-29</v>
          </cell>
        </row>
        <row r="8975">
          <cell r="B8975" t="str">
            <v>B272-400-AS-250-LD-010</v>
          </cell>
          <cell r="E8975" t="str">
            <v>B1680</v>
          </cell>
        </row>
        <row r="8976">
          <cell r="B8976" t="str">
            <v>B272-400-AS-250-LD-010</v>
          </cell>
        </row>
        <row r="8977">
          <cell r="B8977" t="str">
            <v>B272-400-AS-250-LD-010</v>
          </cell>
          <cell r="E8977" t="str">
            <v>G-29</v>
          </cell>
        </row>
        <row r="8978">
          <cell r="B8978" t="str">
            <v>B272-400-AS-250-LD-010</v>
          </cell>
          <cell r="E8978" t="str">
            <v>B1680</v>
          </cell>
        </row>
        <row r="8979">
          <cell r="B8979" t="str">
            <v>B272-400-AS-250-LD-010</v>
          </cell>
        </row>
        <row r="8980">
          <cell r="B8980" t="str">
            <v>B272-400-AS-250-LD-010</v>
          </cell>
          <cell r="E8980" t="str">
            <v>G-29</v>
          </cell>
        </row>
        <row r="8981">
          <cell r="B8981" t="str">
            <v>B272-400-AS-250-LD-010</v>
          </cell>
          <cell r="E8981" t="str">
            <v>B1680</v>
          </cell>
        </row>
        <row r="8982">
          <cell r="B8982" t="str">
            <v>B272-400-AS-250-LD-010</v>
          </cell>
        </row>
        <row r="8983">
          <cell r="B8983" t="str">
            <v>B272-400-AS-250-LD-010</v>
          </cell>
          <cell r="E8983" t="str">
            <v>G-29</v>
          </cell>
        </row>
        <row r="8984">
          <cell r="B8984" t="str">
            <v>B272-400-AS-250-LD-010</v>
          </cell>
          <cell r="E8984" t="str">
            <v>B1680</v>
          </cell>
        </row>
        <row r="8985">
          <cell r="B8985" t="str">
            <v>B272-400-AS-250-LD-010</v>
          </cell>
        </row>
        <row r="8986">
          <cell r="B8986" t="str">
            <v>B272-400-AS-250-LD-010</v>
          </cell>
          <cell r="E8986" t="str">
            <v>G-29</v>
          </cell>
        </row>
        <row r="8987">
          <cell r="B8987" t="str">
            <v>B272-400-AS-250-LD-010</v>
          </cell>
          <cell r="E8987" t="str">
            <v>B1680</v>
          </cell>
        </row>
        <row r="8988">
          <cell r="B8988" t="str">
            <v>B272-400-AS-250-LD-010</v>
          </cell>
        </row>
        <row r="8989">
          <cell r="B8989" t="str">
            <v>B272-400-AS-250-LD-010</v>
          </cell>
          <cell r="E8989" t="str">
            <v>G-29</v>
          </cell>
        </row>
        <row r="8990">
          <cell r="B8990" t="str">
            <v>B272-400-AS-250-LD-010</v>
          </cell>
          <cell r="E8990" t="str">
            <v>B1680</v>
          </cell>
        </row>
        <row r="8991">
          <cell r="B8991" t="str">
            <v>B272-400-AS-250-LD-010</v>
          </cell>
        </row>
        <row r="8992">
          <cell r="B8992" t="str">
            <v>B272-400-AS-250-LD-010</v>
          </cell>
          <cell r="E8992" t="str">
            <v>G-29</v>
          </cell>
        </row>
        <row r="8993">
          <cell r="B8993" t="str">
            <v>B272-400-AS-250-LD-010</v>
          </cell>
          <cell r="E8993" t="str">
            <v>B1680</v>
          </cell>
        </row>
        <row r="8994">
          <cell r="B8994" t="str">
            <v>B272-400-AS-250-LD-010</v>
          </cell>
        </row>
        <row r="8995">
          <cell r="B8995" t="str">
            <v>B272-400-AS-250-LD-010</v>
          </cell>
          <cell r="E8995" t="str">
            <v>G-29</v>
          </cell>
        </row>
        <row r="8996">
          <cell r="B8996" t="str">
            <v>B272-400-AS-250-LD-010</v>
          </cell>
          <cell r="E8996" t="str">
            <v>B1680</v>
          </cell>
        </row>
        <row r="8997">
          <cell r="B8997" t="str">
            <v>B272-400-AS-250-LD-011</v>
          </cell>
        </row>
        <row r="8998">
          <cell r="B8998" t="str">
            <v>B272-400-AS-250-LD-011</v>
          </cell>
          <cell r="E8998" t="str">
            <v>W-69</v>
          </cell>
        </row>
        <row r="8999">
          <cell r="B8999" t="str">
            <v>B272-400-AS-250-LD-011</v>
          </cell>
          <cell r="E8999" t="str">
            <v>B1655</v>
          </cell>
        </row>
        <row r="9000">
          <cell r="B9000" t="str">
            <v>B272-400-AS-250-LD-011</v>
          </cell>
        </row>
        <row r="9001">
          <cell r="B9001" t="str">
            <v>B272-400-AS-250-LD-011</v>
          </cell>
          <cell r="E9001" t="str">
            <v>W-69</v>
          </cell>
        </row>
        <row r="9002">
          <cell r="B9002" t="str">
            <v>B272-400-AS-250-LD-011</v>
          </cell>
        </row>
        <row r="9003">
          <cell r="B9003" t="str">
            <v>B272-400-AS-250-LD-011</v>
          </cell>
          <cell r="E9003" t="str">
            <v>W-69</v>
          </cell>
        </row>
        <row r="9004">
          <cell r="B9004" t="str">
            <v>B272-400-AS-250-LD-011</v>
          </cell>
        </row>
        <row r="9005">
          <cell r="B9005" t="str">
            <v>B272-400-AS-250-LD-011</v>
          </cell>
          <cell r="E9005" t="str">
            <v>W-69</v>
          </cell>
        </row>
        <row r="9006">
          <cell r="B9006" t="str">
            <v>B272-400-AS-250-LD-011</v>
          </cell>
        </row>
        <row r="9007">
          <cell r="B9007" t="str">
            <v>B272-400-AS-250-LD-011</v>
          </cell>
          <cell r="E9007" t="str">
            <v>W-69</v>
          </cell>
        </row>
        <row r="9008">
          <cell r="B9008" t="str">
            <v>B272-400-AS-250-LD-011</v>
          </cell>
        </row>
        <row r="9009">
          <cell r="B9009" t="str">
            <v>B272-400-AS-250-LD-011</v>
          </cell>
          <cell r="E9009" t="str">
            <v>W-69</v>
          </cell>
        </row>
        <row r="9010">
          <cell r="B9010" t="str">
            <v>B272-400-AS-250-LD-011</v>
          </cell>
        </row>
        <row r="9011">
          <cell r="B9011" t="str">
            <v>B272-400-AS-250-LD-011</v>
          </cell>
          <cell r="E9011" t="str">
            <v>W-69</v>
          </cell>
        </row>
        <row r="9012">
          <cell r="B9012" t="str">
            <v>B272-400-AS-250-LD-011</v>
          </cell>
        </row>
        <row r="9013">
          <cell r="B9013" t="str">
            <v>B272-400-AS-250-LD-011</v>
          </cell>
          <cell r="E9013" t="str">
            <v>W-69</v>
          </cell>
        </row>
        <row r="9014">
          <cell r="B9014" t="str">
            <v>B272-400-AS-250-LD-011</v>
          </cell>
        </row>
        <row r="9015">
          <cell r="B9015" t="str">
            <v>B272-400-AS-250-LD-011</v>
          </cell>
          <cell r="E9015" t="str">
            <v>W-69</v>
          </cell>
        </row>
        <row r="9016">
          <cell r="B9016" t="str">
            <v>B272-400-AS-250-LD-011</v>
          </cell>
        </row>
        <row r="9017">
          <cell r="B9017" t="str">
            <v>B272-400-AS-250-LD-011</v>
          </cell>
          <cell r="E9017" t="str">
            <v>W-69</v>
          </cell>
        </row>
        <row r="9018">
          <cell r="B9018" t="str">
            <v>B272-400-AS-250-LD-011</v>
          </cell>
        </row>
        <row r="9019">
          <cell r="B9019" t="str">
            <v>B272-400-AS-250-LD-011</v>
          </cell>
          <cell r="E9019" t="str">
            <v>W-69</v>
          </cell>
        </row>
        <row r="9020">
          <cell r="B9020" t="str">
            <v>B272-400-AS-250-LD-011</v>
          </cell>
        </row>
        <row r="9021">
          <cell r="B9021" t="str">
            <v>B272-400-AS-250-LD-011</v>
          </cell>
          <cell r="E9021" t="str">
            <v>W-69</v>
          </cell>
        </row>
        <row r="9022">
          <cell r="B9022" t="str">
            <v>B272-400-AS-250-LD-011</v>
          </cell>
        </row>
        <row r="9023">
          <cell r="B9023" t="str">
            <v>B272-400-AS-250-LD-011</v>
          </cell>
          <cell r="E9023" t="str">
            <v>W-69</v>
          </cell>
        </row>
        <row r="9024">
          <cell r="B9024" t="str">
            <v>B272-400-AS-250-LD-011</v>
          </cell>
        </row>
        <row r="9025">
          <cell r="B9025" t="str">
            <v>B272-400-AS-250-LD-011</v>
          </cell>
          <cell r="E9025" t="str">
            <v>W-69</v>
          </cell>
        </row>
        <row r="9026">
          <cell r="B9026" t="str">
            <v>B272-400-AS-250-LD-011</v>
          </cell>
        </row>
        <row r="9027">
          <cell r="B9027" t="str">
            <v>B272-400-AS-250-LD-011</v>
          </cell>
          <cell r="E9027" t="str">
            <v>W-69</v>
          </cell>
        </row>
        <row r="9028">
          <cell r="B9028" t="str">
            <v>B272-400-AS-250-LD-011</v>
          </cell>
        </row>
        <row r="9029">
          <cell r="B9029" t="str">
            <v>B272-400-AS-250-LD-011</v>
          </cell>
          <cell r="E9029" t="str">
            <v>W-69</v>
          </cell>
        </row>
        <row r="9030">
          <cell r="B9030" t="str">
            <v>B272-400-AS-250-LD-011</v>
          </cell>
        </row>
        <row r="9031">
          <cell r="B9031" t="str">
            <v>B272-400-AS-250-LD-011</v>
          </cell>
          <cell r="E9031" t="str">
            <v>W-69</v>
          </cell>
        </row>
        <row r="9032">
          <cell r="B9032" t="str">
            <v>B272-400-AS-250-LD-011</v>
          </cell>
        </row>
        <row r="9033">
          <cell r="B9033" t="str">
            <v>B272-400-AS-250-LD-011</v>
          </cell>
          <cell r="E9033" t="str">
            <v>W-69</v>
          </cell>
        </row>
        <row r="9034">
          <cell r="B9034" t="str">
            <v>B272-400-AS-250-LD-011</v>
          </cell>
        </row>
        <row r="9035">
          <cell r="B9035" t="str">
            <v>B272-400-AS-250-LD-011</v>
          </cell>
          <cell r="E9035" t="str">
            <v>W-69</v>
          </cell>
        </row>
        <row r="9036">
          <cell r="B9036" t="str">
            <v>B272-400-AS-250-LD-011</v>
          </cell>
        </row>
        <row r="9037">
          <cell r="B9037" t="str">
            <v>B272-400-AS-250-LD-011</v>
          </cell>
          <cell r="E9037" t="str">
            <v>W-69</v>
          </cell>
        </row>
        <row r="9038">
          <cell r="B9038" t="str">
            <v>B272-400-AS-250-LD-011</v>
          </cell>
        </row>
        <row r="9039">
          <cell r="B9039" t="str">
            <v>B272-400-AS-250-LD-011</v>
          </cell>
          <cell r="E9039" t="str">
            <v>W-69</v>
          </cell>
        </row>
        <row r="9040">
          <cell r="B9040" t="str">
            <v>B272-400-AS-250-LD-011</v>
          </cell>
        </row>
        <row r="9041">
          <cell r="B9041" t="str">
            <v>B272-400-AS-250-LD-011</v>
          </cell>
          <cell r="E9041" t="str">
            <v>W-69</v>
          </cell>
        </row>
        <row r="9042">
          <cell r="B9042" t="str">
            <v>B272-400-AS-250-LD-011</v>
          </cell>
        </row>
        <row r="9043">
          <cell r="B9043" t="str">
            <v>B272-400-AS-250-LD-011</v>
          </cell>
          <cell r="E9043" t="str">
            <v>W-69</v>
          </cell>
        </row>
        <row r="9044">
          <cell r="B9044" t="str">
            <v>B272-400-AS-250-LD-011</v>
          </cell>
        </row>
        <row r="9045">
          <cell r="B9045" t="str">
            <v>B272-400-AS-250-LD-011</v>
          </cell>
          <cell r="E9045" t="str">
            <v>W-69</v>
          </cell>
        </row>
        <row r="9046">
          <cell r="B9046" t="str">
            <v>B272-400-AS-250-LD-011</v>
          </cell>
        </row>
        <row r="9047">
          <cell r="B9047" t="str">
            <v>B272-400-AS-250-LD-011</v>
          </cell>
          <cell r="E9047" t="str">
            <v>W-69</v>
          </cell>
        </row>
        <row r="9048">
          <cell r="B9048" t="str">
            <v>B272-400-AS-250-LD-011</v>
          </cell>
        </row>
        <row r="9049">
          <cell r="B9049" t="str">
            <v>B272-400-AS-250-LD-011</v>
          </cell>
          <cell r="E9049" t="str">
            <v>W-69</v>
          </cell>
        </row>
        <row r="9050">
          <cell r="B9050" t="str">
            <v>B272-400-AS-250-LD-011</v>
          </cell>
        </row>
        <row r="9051">
          <cell r="B9051" t="str">
            <v>B272-400-AS-250-LD-011</v>
          </cell>
          <cell r="E9051" t="str">
            <v>W-69</v>
          </cell>
        </row>
        <row r="9052">
          <cell r="B9052" t="str">
            <v>B272-400-AS-250-LD-011</v>
          </cell>
        </row>
        <row r="9053">
          <cell r="B9053" t="str">
            <v>B272-400-AS-250-LD-011</v>
          </cell>
          <cell r="E9053" t="str">
            <v>W-69</v>
          </cell>
        </row>
        <row r="9054">
          <cell r="B9054" t="str">
            <v>B272-400-AS-250-LD-011</v>
          </cell>
        </row>
        <row r="9055">
          <cell r="B9055" t="str">
            <v>B272-400-AS-250-LD-011</v>
          </cell>
          <cell r="E9055" t="str">
            <v>W-69</v>
          </cell>
        </row>
        <row r="9056">
          <cell r="B9056" t="str">
            <v>B272-400-AS-250-LD-011</v>
          </cell>
        </row>
        <row r="9057">
          <cell r="B9057" t="str">
            <v>B272-400-AS-250-LD-011</v>
          </cell>
          <cell r="E9057" t="str">
            <v>W-69</v>
          </cell>
        </row>
        <row r="9058">
          <cell r="B9058" t="str">
            <v>B272-400-AS-250-LD-011</v>
          </cell>
        </row>
        <row r="9059">
          <cell r="B9059" t="str">
            <v>B272-400-AS-250-LD-011</v>
          </cell>
          <cell r="E9059" t="str">
            <v>W-69</v>
          </cell>
        </row>
        <row r="9060">
          <cell r="B9060" t="str">
            <v>B272-400-AS-250-LD-011</v>
          </cell>
        </row>
        <row r="9061">
          <cell r="B9061" t="str">
            <v>B272-400-AS-250-LD-011</v>
          </cell>
          <cell r="E9061" t="str">
            <v>W-69</v>
          </cell>
        </row>
        <row r="9062">
          <cell r="B9062" t="str">
            <v>B272-400-AS-250-LD-012</v>
          </cell>
        </row>
        <row r="9063">
          <cell r="B9063" t="str">
            <v>B272-400-AS-250-LD-012</v>
          </cell>
          <cell r="E9063" t="str">
            <v>W-70</v>
          </cell>
        </row>
        <row r="9064">
          <cell r="B9064" t="str">
            <v>B272-400-AS-250-LD-012</v>
          </cell>
          <cell r="E9064" t="str">
            <v>B1240</v>
          </cell>
        </row>
        <row r="9065">
          <cell r="B9065" t="str">
            <v>B272-400-AS-250-LD-012</v>
          </cell>
        </row>
        <row r="9066">
          <cell r="B9066" t="str">
            <v>B272-400-AS-250-LD-012</v>
          </cell>
          <cell r="E9066" t="str">
            <v>W-70</v>
          </cell>
        </row>
        <row r="9067">
          <cell r="B9067" t="str">
            <v>B272-400-AS-250-LD-012</v>
          </cell>
        </row>
        <row r="9068">
          <cell r="B9068" t="str">
            <v>B272-400-AS-250-LD-012</v>
          </cell>
          <cell r="E9068" t="str">
            <v>W-70</v>
          </cell>
        </row>
        <row r="9069">
          <cell r="B9069" t="str">
            <v>B272-400-AS-250-LD-012</v>
          </cell>
        </row>
        <row r="9070">
          <cell r="B9070" t="str">
            <v>B272-400-AS-250-LD-012</v>
          </cell>
          <cell r="E9070" t="str">
            <v>W-70</v>
          </cell>
        </row>
        <row r="9071">
          <cell r="B9071" t="str">
            <v>B272-400-AS-250-LD-012</v>
          </cell>
        </row>
        <row r="9072">
          <cell r="B9072" t="str">
            <v>B272-400-AS-250-LD-012</v>
          </cell>
          <cell r="E9072" t="str">
            <v>W-70</v>
          </cell>
        </row>
        <row r="9073">
          <cell r="B9073" t="str">
            <v>B272-400-AS-250-LD-012</v>
          </cell>
        </row>
        <row r="9074">
          <cell r="B9074" t="str">
            <v>B272-400-AS-250-LD-012</v>
          </cell>
          <cell r="E9074" t="str">
            <v>W-70</v>
          </cell>
        </row>
        <row r="9075">
          <cell r="B9075" t="str">
            <v>B272-400-AS-250-LD-012</v>
          </cell>
        </row>
        <row r="9076">
          <cell r="B9076" t="str">
            <v>B272-400-AS-250-LD-012</v>
          </cell>
          <cell r="E9076" t="str">
            <v>W-70</v>
          </cell>
        </row>
        <row r="9077">
          <cell r="B9077" t="str">
            <v>B272-400-AS-250-LD-012</v>
          </cell>
        </row>
        <row r="9078">
          <cell r="B9078" t="str">
            <v>B272-400-AS-250-LD-012</v>
          </cell>
          <cell r="E9078" t="str">
            <v>W-70</v>
          </cell>
        </row>
        <row r="9079">
          <cell r="B9079" t="str">
            <v>B272-400-AS-250-LD-012</v>
          </cell>
        </row>
        <row r="9080">
          <cell r="B9080" t="str">
            <v>B272-400-AS-250-LD-012</v>
          </cell>
          <cell r="E9080" t="str">
            <v>W-70</v>
          </cell>
        </row>
        <row r="9081">
          <cell r="B9081" t="str">
            <v>B272-400-AS-250-LD-012</v>
          </cell>
        </row>
        <row r="9082">
          <cell r="B9082" t="str">
            <v>B272-400-AS-250-LD-012</v>
          </cell>
          <cell r="E9082" t="str">
            <v>W-70</v>
          </cell>
        </row>
        <row r="9083">
          <cell r="B9083" t="str">
            <v>B272-400-AS-250-LD-012</v>
          </cell>
        </row>
        <row r="9084">
          <cell r="B9084" t="str">
            <v>B272-400-AS-250-LD-012</v>
          </cell>
          <cell r="E9084" t="str">
            <v>W-70</v>
          </cell>
        </row>
        <row r="9085">
          <cell r="B9085" t="str">
            <v>B272-400-AS-250-LD-012</v>
          </cell>
        </row>
        <row r="9086">
          <cell r="B9086" t="str">
            <v>B272-400-AS-250-LD-012</v>
          </cell>
          <cell r="E9086" t="str">
            <v>W-70</v>
          </cell>
        </row>
        <row r="9087">
          <cell r="B9087" t="str">
            <v>B272-400-AS-250-LD-012</v>
          </cell>
        </row>
        <row r="9088">
          <cell r="B9088" t="str">
            <v>B272-400-AS-250-LD-012</v>
          </cell>
          <cell r="E9088" t="str">
            <v>W-70</v>
          </cell>
        </row>
        <row r="9089">
          <cell r="B9089" t="str">
            <v>B272-400-AS-250-LD-012</v>
          </cell>
        </row>
        <row r="9090">
          <cell r="B9090" t="str">
            <v>B272-400-AS-250-LD-012</v>
          </cell>
          <cell r="E9090" t="str">
            <v>W-70</v>
          </cell>
        </row>
        <row r="9091">
          <cell r="B9091" t="str">
            <v>B272-400-AS-250-LD-012</v>
          </cell>
        </row>
        <row r="9092">
          <cell r="B9092" t="str">
            <v>B272-400-AS-250-LD-012</v>
          </cell>
          <cell r="E9092" t="str">
            <v>W-70</v>
          </cell>
        </row>
        <row r="9093">
          <cell r="B9093" t="str">
            <v>B272-400-AS-250-LD-012</v>
          </cell>
        </row>
        <row r="9094">
          <cell r="B9094" t="str">
            <v>B272-400-AS-250-LD-012</v>
          </cell>
          <cell r="E9094" t="str">
            <v>W-70</v>
          </cell>
        </row>
        <row r="9095">
          <cell r="B9095" t="str">
            <v>B272-400-AS-250-LD-012</v>
          </cell>
        </row>
        <row r="9096">
          <cell r="B9096" t="str">
            <v>B272-400-AS-250-LD-012</v>
          </cell>
          <cell r="E9096" t="str">
            <v>W-70</v>
          </cell>
        </row>
        <row r="9097">
          <cell r="B9097" t="str">
            <v>B272-400-AS-250-LD-012</v>
          </cell>
        </row>
        <row r="9098">
          <cell r="B9098" t="str">
            <v>B272-400-AS-250-LD-012</v>
          </cell>
          <cell r="E9098" t="str">
            <v>W-70</v>
          </cell>
        </row>
        <row r="9099">
          <cell r="B9099" t="str">
            <v>B272-400-AS-250-LD-012</v>
          </cell>
        </row>
        <row r="9100">
          <cell r="B9100" t="str">
            <v>B272-400-AS-250-LD-012</v>
          </cell>
          <cell r="E9100" t="str">
            <v>W-70</v>
          </cell>
        </row>
        <row r="9101">
          <cell r="B9101" t="str">
            <v>B272-400-AS-250-LD-012</v>
          </cell>
        </row>
        <row r="9102">
          <cell r="B9102" t="str">
            <v>B272-400-AS-250-LD-012</v>
          </cell>
          <cell r="E9102" t="str">
            <v>W-70</v>
          </cell>
        </row>
        <row r="9103">
          <cell r="B9103" t="str">
            <v>B272-400-AS-250-LD-012</v>
          </cell>
        </row>
        <row r="9104">
          <cell r="B9104" t="str">
            <v>B272-400-AS-250-LD-012</v>
          </cell>
          <cell r="E9104" t="str">
            <v>W-70</v>
          </cell>
        </row>
        <row r="9105">
          <cell r="B9105" t="str">
            <v>B272-400-AS-250-LD-012</v>
          </cell>
        </row>
        <row r="9106">
          <cell r="B9106" t="str">
            <v>B272-400-AS-250-LD-012</v>
          </cell>
          <cell r="E9106" t="str">
            <v>W-70</v>
          </cell>
        </row>
        <row r="9107">
          <cell r="B9107" t="str">
            <v>B272-400-AS-250-LD-012</v>
          </cell>
        </row>
        <row r="9108">
          <cell r="B9108" t="str">
            <v>B272-400-AS-250-LD-012</v>
          </cell>
          <cell r="E9108" t="str">
            <v>W-70</v>
          </cell>
        </row>
        <row r="9109">
          <cell r="B9109" t="str">
            <v>B272-400-AS-250-LD-012</v>
          </cell>
        </row>
        <row r="9110">
          <cell r="B9110" t="str">
            <v>B272-400-AS-250-LD-012</v>
          </cell>
          <cell r="E9110" t="str">
            <v>W-70</v>
          </cell>
        </row>
        <row r="9111">
          <cell r="B9111" t="str">
            <v>B272-400-AS-250-LD-012</v>
          </cell>
        </row>
        <row r="9112">
          <cell r="B9112" t="str">
            <v>B272-400-AS-250-LD-012</v>
          </cell>
          <cell r="E9112" t="str">
            <v>W-70</v>
          </cell>
        </row>
        <row r="9113">
          <cell r="B9113" t="str">
            <v>B272-400-AS-250-LD-012</v>
          </cell>
        </row>
        <row r="9114">
          <cell r="B9114" t="str">
            <v>B272-400-AS-250-LD-012</v>
          </cell>
          <cell r="E9114" t="str">
            <v>W-70</v>
          </cell>
        </row>
        <row r="9115">
          <cell r="B9115" t="str">
            <v>B272-400-AS-250-LD-012</v>
          </cell>
        </row>
        <row r="9116">
          <cell r="B9116" t="str">
            <v>B272-400-AS-250-LD-012</v>
          </cell>
          <cell r="E9116" t="str">
            <v>W-70</v>
          </cell>
        </row>
        <row r="9117">
          <cell r="B9117" t="str">
            <v>B272-400-AS-250-LD-012</v>
          </cell>
        </row>
        <row r="9118">
          <cell r="B9118" t="str">
            <v>B272-400-AS-250-LD-012</v>
          </cell>
          <cell r="E9118" t="str">
            <v>W-70</v>
          </cell>
        </row>
        <row r="9119">
          <cell r="B9119" t="str">
            <v>B272-400-AS-250-LD-012</v>
          </cell>
        </row>
        <row r="9120">
          <cell r="B9120" t="str">
            <v>B272-400-AS-250-LD-012</v>
          </cell>
          <cell r="E9120" t="str">
            <v>W-70</v>
          </cell>
        </row>
        <row r="9121">
          <cell r="B9121" t="str">
            <v>B272-400-AS-250-LD-012</v>
          </cell>
        </row>
        <row r="9122">
          <cell r="B9122" t="str">
            <v>B272-400-AS-250-LD-012</v>
          </cell>
          <cell r="E9122" t="str">
            <v>W-70</v>
          </cell>
        </row>
        <row r="9123">
          <cell r="B9123" t="str">
            <v>B272-400-AS-250-LD-012</v>
          </cell>
        </row>
        <row r="9124">
          <cell r="B9124" t="str">
            <v>B272-400-AS-250-LD-012</v>
          </cell>
          <cell r="E9124" t="str">
            <v>W-70</v>
          </cell>
        </row>
        <row r="9125">
          <cell r="B9125" t="str">
            <v>B272-400-AS-250-LD-012</v>
          </cell>
        </row>
        <row r="9126">
          <cell r="B9126" t="str">
            <v>B272-400-AS-250-LD-012</v>
          </cell>
          <cell r="E9126" t="str">
            <v>W-70</v>
          </cell>
        </row>
        <row r="9127">
          <cell r="B9127" t="str">
            <v>B272-400-AS-250-SG-001</v>
          </cell>
        </row>
        <row r="9128">
          <cell r="B9128" t="str">
            <v>B272-400-AS-250-SG-001</v>
          </cell>
          <cell r="E9128" t="str">
            <v>W-71</v>
          </cell>
        </row>
        <row r="9129">
          <cell r="B9129" t="str">
            <v>B272-400-AS-250-SG-001</v>
          </cell>
          <cell r="E9129" t="str">
            <v>B1665</v>
          </cell>
        </row>
        <row r="9130">
          <cell r="B9130" t="str">
            <v>B272-400-AS-250-SG-001</v>
          </cell>
        </row>
        <row r="9131">
          <cell r="B9131" t="str">
            <v>B272-400-AS-250-SG-001</v>
          </cell>
          <cell r="E9131" t="str">
            <v>W-71</v>
          </cell>
        </row>
        <row r="9132">
          <cell r="B9132" t="str">
            <v>B272-400-AS-250-SG-001</v>
          </cell>
        </row>
        <row r="9133">
          <cell r="B9133" t="str">
            <v>B272-400-AS-250-SG-001</v>
          </cell>
          <cell r="E9133" t="str">
            <v>W-71</v>
          </cell>
        </row>
        <row r="9134">
          <cell r="B9134" t="str">
            <v>B272-400-AS-250-SG-001</v>
          </cell>
        </row>
        <row r="9135">
          <cell r="B9135" t="str">
            <v>B272-400-AS-250-SG-001</v>
          </cell>
          <cell r="E9135" t="str">
            <v>W-71</v>
          </cell>
        </row>
        <row r="9136">
          <cell r="B9136" t="str">
            <v>B272-400-AS-250-SG-001</v>
          </cell>
        </row>
        <row r="9137">
          <cell r="B9137" t="str">
            <v>B272-400-AS-250-SG-001</v>
          </cell>
          <cell r="E9137" t="str">
            <v>W-71</v>
          </cell>
        </row>
        <row r="9138">
          <cell r="B9138" t="str">
            <v>B272-400-AS-250-SG-001</v>
          </cell>
        </row>
        <row r="9139">
          <cell r="B9139" t="str">
            <v>B272-400-AS-250-SG-001</v>
          </cell>
          <cell r="E9139" t="str">
            <v>W-71</v>
          </cell>
        </row>
        <row r="9140">
          <cell r="B9140" t="str">
            <v>B272-400-AS-250-SG-001</v>
          </cell>
        </row>
        <row r="9141">
          <cell r="B9141" t="str">
            <v>B272-400-AS-250-SG-001</v>
          </cell>
          <cell r="E9141" t="str">
            <v>W-71</v>
          </cell>
        </row>
        <row r="9142">
          <cell r="B9142" t="str">
            <v>B272-400-AS-250-SG-001</v>
          </cell>
        </row>
        <row r="9143">
          <cell r="B9143" t="str">
            <v>B272-400-AS-250-SG-001</v>
          </cell>
          <cell r="E9143" t="str">
            <v>W-71</v>
          </cell>
        </row>
        <row r="9144">
          <cell r="B9144" t="str">
            <v>B272-400-AS-250-SG-001</v>
          </cell>
        </row>
        <row r="9145">
          <cell r="B9145" t="str">
            <v>B272-400-AS-250-SG-001</v>
          </cell>
          <cell r="E9145" t="str">
            <v>W-71</v>
          </cell>
        </row>
        <row r="9146">
          <cell r="B9146" t="str">
            <v>B272-400-AS-250-SG-001</v>
          </cell>
        </row>
        <row r="9147">
          <cell r="B9147" t="str">
            <v>B272-400-AS-250-SG-001</v>
          </cell>
          <cell r="E9147" t="str">
            <v>W-71</v>
          </cell>
        </row>
        <row r="9148">
          <cell r="B9148" t="str">
            <v>B272-400-AS-250-SG-001</v>
          </cell>
        </row>
        <row r="9149">
          <cell r="B9149" t="str">
            <v>B272-400-AS-250-SG-001</v>
          </cell>
          <cell r="E9149" t="str">
            <v>W-71</v>
          </cell>
        </row>
        <row r="9150">
          <cell r="B9150" t="str">
            <v>B272-400-AS-250-SG-001</v>
          </cell>
        </row>
        <row r="9151">
          <cell r="B9151" t="str">
            <v>B272-400-AS-250-SG-001</v>
          </cell>
          <cell r="E9151" t="str">
            <v>W-71</v>
          </cell>
        </row>
        <row r="9152">
          <cell r="B9152" t="str">
            <v>B272-400-AS-250-SG-001</v>
          </cell>
        </row>
        <row r="9153">
          <cell r="B9153" t="str">
            <v>B272-400-AS-250-SG-001</v>
          </cell>
          <cell r="E9153" t="str">
            <v>W-71</v>
          </cell>
        </row>
        <row r="9154">
          <cell r="B9154" t="str">
            <v>B272-400-AS-250-SG-001</v>
          </cell>
        </row>
        <row r="9155">
          <cell r="B9155" t="str">
            <v>B272-400-AS-250-SG-001</v>
          </cell>
          <cell r="E9155" t="str">
            <v>W-71</v>
          </cell>
        </row>
        <row r="9156">
          <cell r="B9156" t="str">
            <v>B272-400-AS-250-SG-001</v>
          </cell>
        </row>
        <row r="9157">
          <cell r="B9157" t="str">
            <v>B272-400-AS-250-SG-001</v>
          </cell>
          <cell r="E9157" t="str">
            <v>W-71</v>
          </cell>
        </row>
        <row r="9158">
          <cell r="B9158" t="str">
            <v>B272-400-AS-250-SG-001</v>
          </cell>
        </row>
        <row r="9159">
          <cell r="B9159" t="str">
            <v>B272-400-AS-250-SG-001</v>
          </cell>
          <cell r="E9159" t="str">
            <v>W-71</v>
          </cell>
        </row>
        <row r="9160">
          <cell r="B9160" t="str">
            <v>B272-400-AS-250-SG-001</v>
          </cell>
        </row>
        <row r="9161">
          <cell r="B9161" t="str">
            <v>B272-400-AS-250-SG-001</v>
          </cell>
          <cell r="E9161" t="str">
            <v>W-71</v>
          </cell>
        </row>
        <row r="9162">
          <cell r="B9162" t="str">
            <v>B272-400-AS-250-SG-001</v>
          </cell>
        </row>
        <row r="9163">
          <cell r="B9163" t="str">
            <v>B272-400-AS-250-SG-001</v>
          </cell>
          <cell r="E9163" t="str">
            <v>W-71</v>
          </cell>
        </row>
        <row r="9164">
          <cell r="B9164" t="str">
            <v>B272-400-AS-250-SG-001</v>
          </cell>
        </row>
        <row r="9165">
          <cell r="B9165" t="str">
            <v>B272-400-AS-250-SG-001</v>
          </cell>
          <cell r="E9165" t="str">
            <v>W-71</v>
          </cell>
        </row>
        <row r="9166">
          <cell r="B9166" t="str">
            <v>B272-400-AS-250-SG-001</v>
          </cell>
        </row>
        <row r="9167">
          <cell r="B9167" t="str">
            <v>B272-400-AS-250-SG-001</v>
          </cell>
          <cell r="E9167" t="str">
            <v>W-71</v>
          </cell>
        </row>
        <row r="9168">
          <cell r="B9168" t="str">
            <v>B272-400-AS-250-SG-001</v>
          </cell>
        </row>
        <row r="9169">
          <cell r="B9169" t="str">
            <v>B272-400-AS-250-SG-001</v>
          </cell>
          <cell r="E9169" t="str">
            <v>W-71</v>
          </cell>
        </row>
        <row r="9170">
          <cell r="B9170" t="str">
            <v>B272-400-AS-250-SG-001</v>
          </cell>
        </row>
        <row r="9171">
          <cell r="B9171" t="str">
            <v>B272-400-AS-250-SG-001</v>
          </cell>
          <cell r="E9171" t="str">
            <v>W-71</v>
          </cell>
        </row>
        <row r="9172">
          <cell r="B9172" t="str">
            <v>B272-400-AS-250-SG-001</v>
          </cell>
        </row>
        <row r="9173">
          <cell r="B9173" t="str">
            <v>B272-400-AS-250-SG-001</v>
          </cell>
          <cell r="E9173" t="str">
            <v>W-71</v>
          </cell>
        </row>
        <row r="9174">
          <cell r="B9174" t="str">
            <v>B272-400-AS-250-SG-001</v>
          </cell>
        </row>
        <row r="9175">
          <cell r="B9175" t="str">
            <v>B272-400-AS-250-SG-001</v>
          </cell>
          <cell r="E9175" t="str">
            <v>W-71</v>
          </cell>
        </row>
        <row r="9176">
          <cell r="B9176" t="str">
            <v>B272-400-AS-250-SG-002</v>
          </cell>
        </row>
        <row r="9177">
          <cell r="B9177" t="str">
            <v>B272-400-AS-250-SG-002</v>
          </cell>
          <cell r="E9177" t="str">
            <v>D-83</v>
          </cell>
        </row>
        <row r="9178">
          <cell r="B9178" t="str">
            <v>B272-400-AS-250-SG-002</v>
          </cell>
          <cell r="E9178" t="str">
            <v>P-224(1/2)</v>
          </cell>
        </row>
        <row r="9179">
          <cell r="B9179" t="str">
            <v>B272-400-AS-250-SG-002</v>
          </cell>
          <cell r="E9179" t="str">
            <v>P-224(2/2)</v>
          </cell>
        </row>
        <row r="9180">
          <cell r="B9180" t="str">
            <v>B272-400-AS-250-SG-002</v>
          </cell>
          <cell r="E9180" t="str">
            <v>P-362</v>
          </cell>
        </row>
        <row r="9181">
          <cell r="B9181" t="str">
            <v>B272-400-AS-250-SG-002</v>
          </cell>
          <cell r="E9181" t="str">
            <v>P-363</v>
          </cell>
        </row>
        <row r="9182">
          <cell r="B9182" t="str">
            <v>B272-400-AS-250-SG-002</v>
          </cell>
          <cell r="E9182" t="str">
            <v>P-366</v>
          </cell>
        </row>
        <row r="9183">
          <cell r="B9183" t="str">
            <v>B272-400-AS-250-SG-002</v>
          </cell>
          <cell r="E9183" t="str">
            <v>P-368</v>
          </cell>
        </row>
        <row r="9184">
          <cell r="B9184" t="str">
            <v>B272-400-AS-250-SG-002</v>
          </cell>
          <cell r="E9184" t="str">
            <v>P-369</v>
          </cell>
        </row>
        <row r="9185">
          <cell r="B9185" t="str">
            <v>B272-400-AS-250-SG-002</v>
          </cell>
          <cell r="E9185" t="str">
            <v>R-10</v>
          </cell>
        </row>
        <row r="9186">
          <cell r="B9186" t="str">
            <v>B272-400-AS-250-SG-002</v>
          </cell>
        </row>
        <row r="9187">
          <cell r="B9187" t="str">
            <v>B272-400-AS-250-SG-002</v>
          </cell>
          <cell r="E9187" t="str">
            <v>D-83</v>
          </cell>
        </row>
        <row r="9188">
          <cell r="B9188" t="str">
            <v>B272-400-AS-250-SG-002</v>
          </cell>
          <cell r="E9188" t="str">
            <v>P-224(1/2)</v>
          </cell>
        </row>
        <row r="9189">
          <cell r="B9189" t="str">
            <v>B272-400-AS-250-SG-002</v>
          </cell>
          <cell r="E9189" t="str">
            <v>P-224(2/2)</v>
          </cell>
        </row>
        <row r="9190">
          <cell r="B9190" t="str">
            <v>B272-400-AS-250-SG-002</v>
          </cell>
          <cell r="E9190" t="str">
            <v>P-362</v>
          </cell>
        </row>
        <row r="9191">
          <cell r="B9191" t="str">
            <v>B272-400-AS-250-SG-002</v>
          </cell>
          <cell r="E9191" t="str">
            <v>P-363</v>
          </cell>
        </row>
        <row r="9192">
          <cell r="B9192" t="str">
            <v>B272-400-AS-250-SG-002</v>
          </cell>
          <cell r="E9192" t="str">
            <v>P-366</v>
          </cell>
        </row>
        <row r="9193">
          <cell r="B9193" t="str">
            <v>B272-400-AS-250-SG-002</v>
          </cell>
          <cell r="E9193" t="str">
            <v>P-368</v>
          </cell>
        </row>
        <row r="9194">
          <cell r="B9194" t="str">
            <v>B272-400-AS-250-SG-002</v>
          </cell>
          <cell r="E9194" t="str">
            <v>P-369</v>
          </cell>
        </row>
        <row r="9195">
          <cell r="B9195" t="str">
            <v>B272-400-AS-250-SG-002</v>
          </cell>
          <cell r="E9195" t="str">
            <v>R-10</v>
          </cell>
        </row>
        <row r="9196">
          <cell r="B9196" t="str">
            <v>B272-400-AS-250-SG-003</v>
          </cell>
        </row>
        <row r="9197">
          <cell r="B9197" t="str">
            <v>B272-400-AS-250-SG-003</v>
          </cell>
          <cell r="E9197" t="str">
            <v>D-83</v>
          </cell>
        </row>
        <row r="9198">
          <cell r="B9198" t="str">
            <v>B272-400-AS-250-SG-003</v>
          </cell>
          <cell r="E9198" t="str">
            <v>P-224(1/2)</v>
          </cell>
        </row>
        <row r="9199">
          <cell r="B9199" t="str">
            <v>B272-400-AS-250-SG-003</v>
          </cell>
          <cell r="E9199" t="str">
            <v>P-224(2/2)</v>
          </cell>
        </row>
        <row r="9200">
          <cell r="B9200" t="str">
            <v>B272-400-AS-250-SG-003</v>
          </cell>
          <cell r="E9200" t="str">
            <v>P-362</v>
          </cell>
        </row>
        <row r="9201">
          <cell r="B9201" t="str">
            <v>B272-400-AS-250-SG-003</v>
          </cell>
          <cell r="E9201" t="str">
            <v>P-363</v>
          </cell>
        </row>
        <row r="9202">
          <cell r="B9202" t="str">
            <v>B272-400-AS-250-SG-003</v>
          </cell>
          <cell r="E9202" t="str">
            <v>P-366</v>
          </cell>
        </row>
        <row r="9203">
          <cell r="B9203" t="str">
            <v>B272-400-AS-250-SG-003</v>
          </cell>
          <cell r="E9203" t="str">
            <v>P-368</v>
          </cell>
        </row>
        <row r="9204">
          <cell r="B9204" t="str">
            <v>B272-400-AS-250-SG-003</v>
          </cell>
          <cell r="E9204" t="str">
            <v>P-369</v>
          </cell>
        </row>
        <row r="9205">
          <cell r="B9205" t="str">
            <v>B272-400-AS-250-SG-003</v>
          </cell>
          <cell r="E9205" t="str">
            <v>R-10</v>
          </cell>
        </row>
        <row r="9206">
          <cell r="B9206" t="str">
            <v>B272-400-AS-250-SG-004</v>
          </cell>
        </row>
        <row r="9207">
          <cell r="B9207" t="str">
            <v>B272-400-AS-250-SG-004</v>
          </cell>
          <cell r="E9207" t="str">
            <v>D-83</v>
          </cell>
        </row>
        <row r="9208">
          <cell r="B9208" t="str">
            <v>B272-400-AS-250-SG-004</v>
          </cell>
          <cell r="E9208" t="str">
            <v>P-224(1/2)</v>
          </cell>
        </row>
        <row r="9209">
          <cell r="B9209" t="str">
            <v>B272-400-AS-250-SG-004</v>
          </cell>
          <cell r="E9209" t="str">
            <v>P-224(2/2)</v>
          </cell>
        </row>
        <row r="9210">
          <cell r="B9210" t="str">
            <v>B272-400-AS-250-SG-004</v>
          </cell>
          <cell r="E9210" t="str">
            <v>P-362</v>
          </cell>
        </row>
        <row r="9211">
          <cell r="B9211" t="str">
            <v>B272-400-AS-250-SG-004</v>
          </cell>
          <cell r="E9211" t="str">
            <v>P-366</v>
          </cell>
        </row>
        <row r="9212">
          <cell r="B9212" t="str">
            <v>B272-400-AS-250-SG-004</v>
          </cell>
          <cell r="E9212" t="str">
            <v>P-368</v>
          </cell>
        </row>
        <row r="9213">
          <cell r="B9213" t="str">
            <v>B272-400-AS-250-SG-004</v>
          </cell>
          <cell r="E9213" t="str">
            <v>P-369</v>
          </cell>
        </row>
        <row r="9214">
          <cell r="B9214" t="str">
            <v>B272-400-AS-250-SG-004</v>
          </cell>
          <cell r="E9214" t="str">
            <v>P-697</v>
          </cell>
        </row>
        <row r="9215">
          <cell r="B9215" t="str">
            <v>B272-400-AS-250-SG-004</v>
          </cell>
          <cell r="E9215" t="str">
            <v>R-10</v>
          </cell>
        </row>
        <row r="9216">
          <cell r="B9216" t="str">
            <v>B272-400-AS-250-SG-005</v>
          </cell>
        </row>
        <row r="9217">
          <cell r="B9217" t="str">
            <v>B272-400-AS-250-SG-005</v>
          </cell>
          <cell r="E9217" t="str">
            <v>D-83</v>
          </cell>
        </row>
        <row r="9218">
          <cell r="B9218" t="str">
            <v>B272-400-AS-250-SG-005</v>
          </cell>
          <cell r="E9218" t="str">
            <v>P-224(1/2)</v>
          </cell>
        </row>
        <row r="9219">
          <cell r="B9219" t="str">
            <v>B272-400-AS-250-SG-005</v>
          </cell>
          <cell r="E9219" t="str">
            <v>P-224(2/2)</v>
          </cell>
        </row>
        <row r="9220">
          <cell r="B9220" t="str">
            <v>B272-400-AS-250-SG-005</v>
          </cell>
          <cell r="E9220" t="str">
            <v>P-362</v>
          </cell>
        </row>
        <row r="9221">
          <cell r="B9221" t="str">
            <v>B272-400-AS-250-SG-005</v>
          </cell>
          <cell r="E9221" t="str">
            <v>P-368</v>
          </cell>
        </row>
        <row r="9222">
          <cell r="B9222" t="str">
            <v>B272-400-AS-250-SG-005</v>
          </cell>
          <cell r="E9222" t="str">
            <v>P-369</v>
          </cell>
        </row>
        <row r="9223">
          <cell r="B9223" t="str">
            <v>B272-400-AS-250-SG-005</v>
          </cell>
          <cell r="E9223" t="str">
            <v>P-697</v>
          </cell>
        </row>
        <row r="9224">
          <cell r="B9224" t="str">
            <v>B272-400-AS-250-SG-005</v>
          </cell>
          <cell r="E9224" t="str">
            <v>P-950</v>
          </cell>
        </row>
        <row r="9225">
          <cell r="B9225" t="str">
            <v>B272-400-AS-250-SG-005</v>
          </cell>
          <cell r="E9225" t="str">
            <v>R-10</v>
          </cell>
        </row>
        <row r="9226">
          <cell r="B9226" t="str">
            <v>B272-400-AS-250-SG-006</v>
          </cell>
        </row>
        <row r="9227">
          <cell r="B9227" t="str">
            <v>B272-400-AS-250-SG-006</v>
          </cell>
          <cell r="E9227" t="str">
            <v>D-83</v>
          </cell>
        </row>
        <row r="9228">
          <cell r="B9228" t="str">
            <v>B272-400-AS-250-SG-006</v>
          </cell>
          <cell r="E9228" t="str">
            <v>P-224(1/2)</v>
          </cell>
        </row>
        <row r="9229">
          <cell r="B9229" t="str">
            <v>B272-400-AS-250-SG-006</v>
          </cell>
          <cell r="E9229" t="str">
            <v>P-224(2/2)</v>
          </cell>
        </row>
        <row r="9230">
          <cell r="B9230" t="str">
            <v>B272-400-AS-250-SG-006</v>
          </cell>
          <cell r="E9230" t="str">
            <v>P-362</v>
          </cell>
        </row>
        <row r="9231">
          <cell r="B9231" t="str">
            <v>B272-400-AS-250-SG-006</v>
          </cell>
          <cell r="E9231" t="str">
            <v>P-368</v>
          </cell>
        </row>
        <row r="9232">
          <cell r="B9232" t="str">
            <v>B272-400-AS-250-SG-006</v>
          </cell>
          <cell r="E9232" t="str">
            <v>P-369</v>
          </cell>
        </row>
        <row r="9233">
          <cell r="B9233" t="str">
            <v>B272-400-AS-250-SG-006</v>
          </cell>
          <cell r="E9233" t="str">
            <v>P-697</v>
          </cell>
        </row>
        <row r="9234">
          <cell r="B9234" t="str">
            <v>B272-400-AS-250-SG-006</v>
          </cell>
          <cell r="E9234" t="str">
            <v>P-950</v>
          </cell>
        </row>
        <row r="9235">
          <cell r="B9235" t="str">
            <v>B272-400-AS-250-SG-006</v>
          </cell>
          <cell r="E9235" t="str">
            <v>R-10</v>
          </cell>
        </row>
        <row r="9236">
          <cell r="B9236" t="str">
            <v>B272-400-AS-250-SG-007</v>
          </cell>
        </row>
        <row r="9237">
          <cell r="B9237" t="str">
            <v>B272-400-AS-250-SG-007</v>
          </cell>
          <cell r="E9237" t="str">
            <v>D-83</v>
          </cell>
        </row>
        <row r="9238">
          <cell r="B9238" t="str">
            <v>B272-400-AS-250-SG-007</v>
          </cell>
          <cell r="E9238" t="str">
            <v>P-362</v>
          </cell>
        </row>
        <row r="9239">
          <cell r="B9239" t="str">
            <v>B272-400-AS-250-SG-007</v>
          </cell>
          <cell r="E9239" t="str">
            <v>P-363</v>
          </cell>
        </row>
        <row r="9240">
          <cell r="B9240" t="str">
            <v>B272-400-AS-250-SG-007</v>
          </cell>
          <cell r="E9240" t="str">
            <v>P-368</v>
          </cell>
        </row>
        <row r="9241">
          <cell r="B9241" t="str">
            <v>B272-400-AS-250-SG-007</v>
          </cell>
          <cell r="E9241" t="str">
            <v>P-369</v>
          </cell>
        </row>
        <row r="9242">
          <cell r="B9242" t="str">
            <v>B272-400-AS-250-SG-007</v>
          </cell>
          <cell r="E9242" t="str">
            <v>P-373</v>
          </cell>
        </row>
        <row r="9243">
          <cell r="B9243" t="str">
            <v>B272-400-AS-250-SG-007</v>
          </cell>
          <cell r="E9243" t="str">
            <v>P-455(1/2)</v>
          </cell>
        </row>
        <row r="9244">
          <cell r="B9244" t="str">
            <v>B272-400-AS-250-SG-007</v>
          </cell>
          <cell r="E9244" t="str">
            <v>P-455(2/2)</v>
          </cell>
        </row>
        <row r="9245">
          <cell r="B9245" t="str">
            <v>B272-400-AS-250-SG-007</v>
          </cell>
          <cell r="E9245" t="str">
            <v>R-10</v>
          </cell>
        </row>
        <row r="9246">
          <cell r="B9246" t="str">
            <v>B272-400-AS-250-SG-008</v>
          </cell>
        </row>
        <row r="9247">
          <cell r="B9247" t="str">
            <v>B272-400-AS-250-SG-008</v>
          </cell>
          <cell r="E9247" t="str">
            <v>D-83</v>
          </cell>
        </row>
        <row r="9248">
          <cell r="B9248" t="str">
            <v>B272-400-AS-250-SG-008</v>
          </cell>
          <cell r="E9248" t="str">
            <v>P-362</v>
          </cell>
        </row>
        <row r="9249">
          <cell r="B9249" t="str">
            <v>B272-400-AS-250-SG-008</v>
          </cell>
          <cell r="E9249" t="str">
            <v>P-368</v>
          </cell>
        </row>
        <row r="9250">
          <cell r="B9250" t="str">
            <v>B272-400-AS-250-SG-008</v>
          </cell>
          <cell r="E9250" t="str">
            <v>P-369</v>
          </cell>
        </row>
        <row r="9251">
          <cell r="B9251" t="str">
            <v>B272-400-AS-250-SG-008</v>
          </cell>
          <cell r="E9251" t="str">
            <v>P-455(1/2)</v>
          </cell>
        </row>
        <row r="9252">
          <cell r="B9252" t="str">
            <v>B272-400-AS-250-SG-008</v>
          </cell>
          <cell r="E9252" t="str">
            <v>P-455(2/2)</v>
          </cell>
        </row>
        <row r="9253">
          <cell r="B9253" t="str">
            <v>B272-400-AS-250-SG-008</v>
          </cell>
          <cell r="E9253" t="str">
            <v>P-697</v>
          </cell>
        </row>
        <row r="9254">
          <cell r="B9254" t="str">
            <v>B272-400-AS-250-SG-008</v>
          </cell>
          <cell r="E9254" t="str">
            <v>P-1203</v>
          </cell>
        </row>
        <row r="9255">
          <cell r="B9255" t="str">
            <v>B272-400-AS-250-SG-008</v>
          </cell>
          <cell r="E9255" t="str">
            <v>R-10</v>
          </cell>
        </row>
        <row r="9256">
          <cell r="B9256" t="str">
            <v>B272-400-AS-280-PP-001</v>
          </cell>
          <cell r="E9256" t="str">
            <v>stack</v>
          </cell>
        </row>
        <row r="9257">
          <cell r="B9257" t="str">
            <v>B272-400-AS-280-PP-001</v>
          </cell>
          <cell r="E9257" t="str">
            <v>G-89(1/4)</v>
          </cell>
        </row>
        <row r="9258">
          <cell r="B9258" t="str">
            <v>B272-400-AS-280-PP-001</v>
          </cell>
          <cell r="E9258" t="str">
            <v>G-89(2/4)</v>
          </cell>
        </row>
        <row r="9259">
          <cell r="B9259" t="str">
            <v>B272-400-AS-280-PP-001</v>
          </cell>
          <cell r="E9259" t="str">
            <v>G-89(3/4)</v>
          </cell>
        </row>
        <row r="9260">
          <cell r="B9260" t="str">
            <v>B272-400-AS-280-PP-001</v>
          </cell>
          <cell r="E9260" t="str">
            <v>G-89(4/4)</v>
          </cell>
        </row>
        <row r="9261">
          <cell r="B9261" t="str">
            <v>B272-400-AS-280-PP-001</v>
          </cell>
          <cell r="E9261" t="str">
            <v>P-1(1/2)</v>
          </cell>
        </row>
        <row r="9262">
          <cell r="B9262" t="str">
            <v>B272-400-AS-280-PP-001</v>
          </cell>
          <cell r="E9262" t="str">
            <v>P-1(2/2)</v>
          </cell>
        </row>
        <row r="9263">
          <cell r="B9263" t="str">
            <v>B272-400-AS-280-PP-001</v>
          </cell>
          <cell r="E9263" t="str">
            <v>PY-34(1/2)</v>
          </cell>
        </row>
        <row r="9264">
          <cell r="B9264" t="str">
            <v>B272-400-AS-280-PP-001</v>
          </cell>
          <cell r="E9264" t="str">
            <v>PY-34(2/2)</v>
          </cell>
        </row>
        <row r="9265">
          <cell r="B9265" t="str">
            <v>B272-400-AS-280-PP-001</v>
          </cell>
          <cell r="E9265" t="str">
            <v>W-76</v>
          </cell>
        </row>
        <row r="9266">
          <cell r="B9266" t="str">
            <v>B272-400-AS-280-PP-001</v>
          </cell>
          <cell r="E9266" t="str">
            <v>B1030</v>
          </cell>
        </row>
        <row r="9267">
          <cell r="B9267" t="str">
            <v>B272-400-AS-280-PP-001</v>
          </cell>
          <cell r="E9267" t="str">
            <v>B1035</v>
          </cell>
        </row>
        <row r="9268">
          <cell r="B9268" t="str">
            <v>B272-400-AS-280-PP-001</v>
          </cell>
          <cell r="E9268" t="str">
            <v>stack</v>
          </cell>
        </row>
        <row r="9269">
          <cell r="B9269" t="str">
            <v>B272-400-AS-280-PP-001</v>
          </cell>
          <cell r="E9269" t="str">
            <v>G-89(1/4)</v>
          </cell>
        </row>
        <row r="9270">
          <cell r="B9270" t="str">
            <v>B272-400-AS-280-PP-001</v>
          </cell>
          <cell r="E9270" t="str">
            <v>G-89(2/4)</v>
          </cell>
        </row>
        <row r="9271">
          <cell r="B9271" t="str">
            <v>B272-400-AS-280-PP-001</v>
          </cell>
          <cell r="E9271" t="str">
            <v>G-89(3/4)</v>
          </cell>
        </row>
        <row r="9272">
          <cell r="B9272" t="str">
            <v>B272-400-AS-280-PP-001</v>
          </cell>
          <cell r="E9272" t="str">
            <v>G-89(4/4)</v>
          </cell>
        </row>
        <row r="9273">
          <cell r="B9273" t="str">
            <v>B272-400-AS-280-PP-001</v>
          </cell>
          <cell r="E9273" t="str">
            <v>P-1(1/2)</v>
          </cell>
        </row>
        <row r="9274">
          <cell r="B9274" t="str">
            <v>B272-400-AS-280-PP-001</v>
          </cell>
          <cell r="E9274" t="str">
            <v>P-1(2/2)</v>
          </cell>
        </row>
        <row r="9275">
          <cell r="B9275" t="str">
            <v>B272-400-AS-280-PP-001</v>
          </cell>
          <cell r="E9275" t="str">
            <v>PY-34(1/2)</v>
          </cell>
        </row>
        <row r="9276">
          <cell r="B9276" t="str">
            <v>B272-400-AS-280-PP-001</v>
          </cell>
          <cell r="E9276" t="str">
            <v>PY-34(2/2)</v>
          </cell>
        </row>
        <row r="9277">
          <cell r="B9277" t="str">
            <v>B272-400-AS-280-PP-001</v>
          </cell>
          <cell r="E9277" t="str">
            <v>W-76</v>
          </cell>
        </row>
        <row r="9278">
          <cell r="B9278" t="str">
            <v>B272-400-AS-280-PP-001</v>
          </cell>
          <cell r="E9278" t="str">
            <v>B1030</v>
          </cell>
        </row>
        <row r="9279">
          <cell r="B9279" t="str">
            <v>B272-400-AS-280-PP-001</v>
          </cell>
          <cell r="E9279" t="str">
            <v>B1035</v>
          </cell>
        </row>
        <row r="9280">
          <cell r="B9280" t="str">
            <v>B272-400-AS-280-PP-001</v>
          </cell>
          <cell r="E9280" t="str">
            <v>stack</v>
          </cell>
        </row>
        <row r="9281">
          <cell r="B9281" t="str">
            <v>B272-400-AS-280-PP-001</v>
          </cell>
          <cell r="E9281" t="str">
            <v>G-89(1/4)</v>
          </cell>
        </row>
        <row r="9282">
          <cell r="B9282" t="str">
            <v>B272-400-AS-280-PP-001</v>
          </cell>
          <cell r="E9282" t="str">
            <v>G-89(2/4)</v>
          </cell>
        </row>
        <row r="9283">
          <cell r="B9283" t="str">
            <v>B272-400-AS-280-PP-001</v>
          </cell>
          <cell r="E9283" t="str">
            <v>G-89(3/4)</v>
          </cell>
        </row>
        <row r="9284">
          <cell r="B9284" t="str">
            <v>B272-400-AS-280-PP-001</v>
          </cell>
          <cell r="E9284" t="str">
            <v>G-89(4/4)</v>
          </cell>
        </row>
        <row r="9285">
          <cell r="B9285" t="str">
            <v>B272-400-AS-280-PP-001</v>
          </cell>
          <cell r="E9285" t="str">
            <v>P-1(1/2)</v>
          </cell>
        </row>
        <row r="9286">
          <cell r="B9286" t="str">
            <v>B272-400-AS-280-PP-001</v>
          </cell>
          <cell r="E9286" t="str">
            <v>P-1(2/2)</v>
          </cell>
        </row>
        <row r="9287">
          <cell r="B9287" t="str">
            <v>B272-400-AS-280-PP-001</v>
          </cell>
          <cell r="E9287" t="str">
            <v>PY-34(1/2)</v>
          </cell>
        </row>
        <row r="9288">
          <cell r="B9288" t="str">
            <v>B272-400-AS-280-PP-001</v>
          </cell>
          <cell r="E9288" t="str">
            <v>PY-34(2/2)</v>
          </cell>
        </row>
        <row r="9289">
          <cell r="B9289" t="str">
            <v>B272-400-AS-280-PP-001</v>
          </cell>
          <cell r="E9289" t="str">
            <v>W-76</v>
          </cell>
        </row>
        <row r="9290">
          <cell r="B9290" t="str">
            <v>B272-400-AS-280-PP-001</v>
          </cell>
          <cell r="E9290" t="str">
            <v>B1030</v>
          </cell>
        </row>
        <row r="9291">
          <cell r="B9291" t="str">
            <v>B272-400-AS-280-PP-001</v>
          </cell>
          <cell r="E9291" t="str">
            <v>B1035</v>
          </cell>
        </row>
        <row r="9292">
          <cell r="B9292" t="str">
            <v>B272-400-AS-280-PP-111</v>
          </cell>
          <cell r="E9292" t="str">
            <v>stack</v>
          </cell>
        </row>
        <row r="9293">
          <cell r="B9293" t="str">
            <v>B272-400-AS-280-PP-111</v>
          </cell>
          <cell r="E9293" t="str">
            <v>G-89(1/4)</v>
          </cell>
        </row>
        <row r="9294">
          <cell r="B9294" t="str">
            <v>B272-400-AS-280-PP-111</v>
          </cell>
          <cell r="E9294" t="str">
            <v>G-89(2/4)</v>
          </cell>
        </row>
        <row r="9295">
          <cell r="B9295" t="str">
            <v>B272-400-AS-280-PP-111</v>
          </cell>
          <cell r="E9295" t="str">
            <v>G-89(3/4)</v>
          </cell>
        </row>
        <row r="9296">
          <cell r="B9296" t="str">
            <v>B272-400-AS-280-PP-111</v>
          </cell>
          <cell r="E9296" t="str">
            <v>G-89(4/4)</v>
          </cell>
        </row>
        <row r="9297">
          <cell r="B9297" t="str">
            <v>B272-400-AS-280-PP-111</v>
          </cell>
          <cell r="E9297" t="str">
            <v>P-1(1/2)</v>
          </cell>
        </row>
        <row r="9298">
          <cell r="B9298" t="str">
            <v>B272-400-AS-280-PP-111</v>
          </cell>
          <cell r="E9298" t="str">
            <v>P-1(2/2)</v>
          </cell>
        </row>
        <row r="9299">
          <cell r="B9299" t="str">
            <v>B272-400-AS-280-PP-111</v>
          </cell>
          <cell r="E9299" t="str">
            <v>PY-34(1/2)</v>
          </cell>
        </row>
        <row r="9300">
          <cell r="B9300" t="str">
            <v>B272-400-AS-280-PP-111</v>
          </cell>
          <cell r="E9300" t="str">
            <v>PY-34(2/2)</v>
          </cell>
        </row>
        <row r="9301">
          <cell r="B9301" t="str">
            <v>B272-400-AS-280-PP-111</v>
          </cell>
          <cell r="E9301" t="str">
            <v>W-76</v>
          </cell>
        </row>
        <row r="9302">
          <cell r="B9302" t="str">
            <v>B272-400-AS-280-PP-111</v>
          </cell>
          <cell r="E9302" t="str">
            <v>B1030</v>
          </cell>
        </row>
        <row r="9303">
          <cell r="B9303" t="str">
            <v>B272-400-AS-280-PP-111</v>
          </cell>
          <cell r="E9303" t="str">
            <v>B1035</v>
          </cell>
        </row>
        <row r="9304">
          <cell r="B9304" t="str">
            <v>B272-400-AS-280-PP-002</v>
          </cell>
          <cell r="E9304" t="str">
            <v>stack</v>
          </cell>
        </row>
        <row r="9305">
          <cell r="B9305" t="str">
            <v>B272-400-AS-280-PP-002</v>
          </cell>
          <cell r="E9305" t="str">
            <v>G-89(1/4)</v>
          </cell>
        </row>
        <row r="9306">
          <cell r="B9306" t="str">
            <v>B272-400-AS-280-PP-002</v>
          </cell>
          <cell r="E9306" t="str">
            <v>G-89(2/4)</v>
          </cell>
        </row>
        <row r="9307">
          <cell r="B9307" t="str">
            <v>B272-400-AS-280-PP-002</v>
          </cell>
          <cell r="E9307" t="str">
            <v>G-89(3/4)</v>
          </cell>
        </row>
        <row r="9308">
          <cell r="B9308" t="str">
            <v>B272-400-AS-280-PP-002</v>
          </cell>
          <cell r="E9308" t="str">
            <v>G-89(4/4)</v>
          </cell>
        </row>
        <row r="9309">
          <cell r="B9309" t="str">
            <v>B272-400-AS-280-PP-002</v>
          </cell>
          <cell r="E9309" t="str">
            <v>P-1(1/2)</v>
          </cell>
        </row>
        <row r="9310">
          <cell r="B9310" t="str">
            <v>B272-400-AS-280-PP-002</v>
          </cell>
          <cell r="E9310" t="str">
            <v>P-1(2/2)</v>
          </cell>
        </row>
        <row r="9311">
          <cell r="B9311" t="str">
            <v>B272-400-AS-280-PP-002</v>
          </cell>
          <cell r="E9311" t="str">
            <v>P-1135(1/2)</v>
          </cell>
        </row>
        <row r="9312">
          <cell r="B9312" t="str">
            <v>B272-400-AS-280-PP-002</v>
          </cell>
          <cell r="E9312" t="str">
            <v>P-1135(2/2)</v>
          </cell>
        </row>
        <row r="9313">
          <cell r="B9313" t="str">
            <v>B272-400-AS-280-PP-002</v>
          </cell>
          <cell r="E9313" t="str">
            <v>PX-79</v>
          </cell>
        </row>
        <row r="9314">
          <cell r="B9314" t="str">
            <v>B272-400-AS-280-PP-002</v>
          </cell>
          <cell r="E9314" t="str">
            <v>PX-85</v>
          </cell>
        </row>
        <row r="9315">
          <cell r="B9315" t="str">
            <v>B272-400-AS-280-PP-002</v>
          </cell>
          <cell r="E9315" t="str">
            <v>PX-87(1/2)</v>
          </cell>
        </row>
        <row r="9316">
          <cell r="B9316" t="str">
            <v>B272-400-AS-280-PP-002</v>
          </cell>
          <cell r="E9316" t="str">
            <v>PX-87(2/2)</v>
          </cell>
        </row>
        <row r="9317">
          <cell r="B9317" t="str">
            <v>B272-400-AS-280-PP-002</v>
          </cell>
          <cell r="E9317" t="str">
            <v>W-74</v>
          </cell>
        </row>
        <row r="9318">
          <cell r="B9318" t="str">
            <v>B272-400-AS-280-PP-002</v>
          </cell>
          <cell r="E9318" t="str">
            <v>B1030</v>
          </cell>
        </row>
        <row r="9319">
          <cell r="B9319" t="str">
            <v>B272-400-AS-280-PP-002</v>
          </cell>
          <cell r="E9319" t="str">
            <v>B1035</v>
          </cell>
        </row>
        <row r="9320">
          <cell r="B9320" t="str">
            <v>B272-400-AS-280-PP-003</v>
          </cell>
          <cell r="E9320" t="str">
            <v>stack</v>
          </cell>
        </row>
        <row r="9321">
          <cell r="B9321" t="str">
            <v>B272-400-AS-280-PP-003</v>
          </cell>
          <cell r="E9321" t="str">
            <v>G-25(1/2)</v>
          </cell>
        </row>
        <row r="9322">
          <cell r="B9322" t="str">
            <v>B272-400-AS-280-PP-003</v>
          </cell>
          <cell r="E9322" t="str">
            <v>G-25(2/2)</v>
          </cell>
        </row>
        <row r="9323">
          <cell r="B9323" t="str">
            <v>B272-400-AS-280-PP-003</v>
          </cell>
          <cell r="E9323" t="str">
            <v>G-89(1/2)</v>
          </cell>
        </row>
        <row r="9324">
          <cell r="B9324" t="str">
            <v>B272-400-AS-280-PP-003</v>
          </cell>
          <cell r="E9324" t="str">
            <v>G-89(2/2)</v>
          </cell>
        </row>
        <row r="9325">
          <cell r="B9325" t="str">
            <v>B272-400-AS-280-PP-003</v>
          </cell>
          <cell r="E9325" t="str">
            <v>P-1</v>
          </cell>
        </row>
        <row r="9326">
          <cell r="B9326" t="str">
            <v>B272-400-AS-280-PP-003</v>
          </cell>
          <cell r="E9326" t="str">
            <v>P-1072</v>
          </cell>
        </row>
        <row r="9327">
          <cell r="B9327" t="str">
            <v>B272-400-AS-280-PP-003</v>
          </cell>
          <cell r="E9327" t="str">
            <v>PX-79(1/2)</v>
          </cell>
        </row>
        <row r="9328">
          <cell r="B9328" t="str">
            <v>B272-400-AS-280-PP-003</v>
          </cell>
          <cell r="E9328" t="str">
            <v>PX-79(2/2)</v>
          </cell>
        </row>
        <row r="9329">
          <cell r="B9329" t="str">
            <v>B272-400-AS-280-PP-003</v>
          </cell>
          <cell r="E9329" t="str">
            <v>W-83</v>
          </cell>
        </row>
        <row r="9330">
          <cell r="B9330" t="str">
            <v>B272-400-AS-280-PP-003</v>
          </cell>
          <cell r="E9330" t="str">
            <v>B1030</v>
          </cell>
        </row>
        <row r="9331">
          <cell r="B9331" t="str">
            <v>B272-400-AS-280-PP-003</v>
          </cell>
          <cell r="E9331" t="str">
            <v>B1035</v>
          </cell>
        </row>
        <row r="9332">
          <cell r="B9332" t="str">
            <v>B272-400-AS-280-PP-004</v>
          </cell>
          <cell r="E9332" t="str">
            <v>hoàng anh</v>
          </cell>
        </row>
        <row r="9333">
          <cell r="B9333" t="str">
            <v>B272-400-AS-280-PP-004</v>
          </cell>
          <cell r="E9333" t="str">
            <v>G-25(1/2)</v>
          </cell>
        </row>
        <row r="9334">
          <cell r="B9334" t="str">
            <v>B272-400-AS-280-PP-004</v>
          </cell>
          <cell r="E9334" t="str">
            <v>G-25(2/2)</v>
          </cell>
        </row>
        <row r="9335">
          <cell r="B9335" t="str">
            <v>B272-400-AS-280-PP-004</v>
          </cell>
          <cell r="E9335" t="str">
            <v>G-39</v>
          </cell>
        </row>
        <row r="9336">
          <cell r="B9336" t="str">
            <v>B272-400-AS-280-PP-004</v>
          </cell>
          <cell r="E9336" t="str">
            <v>P-400</v>
          </cell>
        </row>
        <row r="9337">
          <cell r="B9337" t="str">
            <v>B272-400-AS-280-PP-004</v>
          </cell>
          <cell r="E9337" t="str">
            <v>P-435</v>
          </cell>
        </row>
        <row r="9338">
          <cell r="B9338" t="str">
            <v>B272-400-AS-280-PP-004</v>
          </cell>
          <cell r="E9338" t="str">
            <v>P-1226</v>
          </cell>
        </row>
        <row r="9339">
          <cell r="B9339" t="str">
            <v>B272-400-AS-280-PP-004</v>
          </cell>
          <cell r="E9339" t="str">
            <v>P-1248</v>
          </cell>
        </row>
        <row r="9340">
          <cell r="B9340" t="str">
            <v>B272-400-AS-280-PP-004</v>
          </cell>
          <cell r="E9340" t="str">
            <v>P-1249</v>
          </cell>
        </row>
        <row r="9341">
          <cell r="B9341" t="str">
            <v>B272-400-AS-280-PP-004</v>
          </cell>
          <cell r="E9341" t="str">
            <v>P-1250</v>
          </cell>
        </row>
        <row r="9342">
          <cell r="B9342" t="str">
            <v>B272-400-AS-280-PP-004</v>
          </cell>
          <cell r="E9342" t="str">
            <v>W-102</v>
          </cell>
        </row>
        <row r="9343">
          <cell r="B9343" t="str">
            <v>B272-400-AS-280-PP-004</v>
          </cell>
          <cell r="E9343" t="str">
            <v>B1030</v>
          </cell>
        </row>
        <row r="9344">
          <cell r="B9344" t="str">
            <v>B272-400-AS-280-PP-004</v>
          </cell>
          <cell r="E9344" t="str">
            <v>B1035</v>
          </cell>
        </row>
        <row r="9345">
          <cell r="B9345" t="str">
            <v>B272-400-AS-280-PP-005</v>
          </cell>
          <cell r="E9345" t="str">
            <v>hoàng anh</v>
          </cell>
        </row>
        <row r="9346">
          <cell r="B9346" t="str">
            <v>B272-400-AS-280-PP-005</v>
          </cell>
          <cell r="E9346" t="str">
            <v>G-25(1/7)</v>
          </cell>
        </row>
        <row r="9347">
          <cell r="B9347" t="str">
            <v>B272-400-AS-280-PP-005</v>
          </cell>
          <cell r="E9347" t="str">
            <v>G-25(2/7)</v>
          </cell>
        </row>
        <row r="9348">
          <cell r="B9348" t="str">
            <v>B272-400-AS-280-PP-005</v>
          </cell>
          <cell r="E9348" t="str">
            <v>G-25(3/7)</v>
          </cell>
        </row>
        <row r="9349">
          <cell r="B9349" t="str">
            <v>B272-400-AS-280-PP-005</v>
          </cell>
          <cell r="E9349" t="str">
            <v>G-25(4/7)</v>
          </cell>
        </row>
        <row r="9350">
          <cell r="B9350" t="str">
            <v>B272-400-AS-280-PP-005</v>
          </cell>
          <cell r="E9350" t="str">
            <v>G-25(5/7)</v>
          </cell>
        </row>
        <row r="9351">
          <cell r="B9351" t="str">
            <v>B272-400-AS-280-PP-005</v>
          </cell>
          <cell r="E9351" t="str">
            <v>G-25(6/7)</v>
          </cell>
        </row>
        <row r="9352">
          <cell r="B9352" t="str">
            <v>B272-400-AS-280-PP-005</v>
          </cell>
          <cell r="E9352" t="str">
            <v>G-25(7/7)</v>
          </cell>
        </row>
        <row r="9353">
          <cell r="B9353" t="str">
            <v>B272-400-AS-280-PP-005</v>
          </cell>
          <cell r="E9353" t="str">
            <v>P-400</v>
          </cell>
        </row>
        <row r="9354">
          <cell r="B9354" t="str">
            <v>B272-400-AS-280-PP-005</v>
          </cell>
          <cell r="E9354" t="str">
            <v>P-445(1/2)</v>
          </cell>
        </row>
        <row r="9355">
          <cell r="B9355" t="str">
            <v>B272-400-AS-280-PP-005</v>
          </cell>
          <cell r="E9355" t="str">
            <v>P-445(2/2)</v>
          </cell>
        </row>
        <row r="9356">
          <cell r="B9356" t="str">
            <v>B272-400-AS-280-PP-005</v>
          </cell>
          <cell r="E9356" t="str">
            <v>P-868</v>
          </cell>
        </row>
        <row r="9357">
          <cell r="B9357" t="str">
            <v>B272-400-AS-280-PP-005</v>
          </cell>
          <cell r="E9357" t="str">
            <v>P-869(1/2)</v>
          </cell>
        </row>
        <row r="9358">
          <cell r="B9358" t="str">
            <v>B272-400-AS-280-PP-005</v>
          </cell>
          <cell r="E9358" t="str">
            <v>P-869(2/2)</v>
          </cell>
        </row>
        <row r="9359">
          <cell r="B9359" t="str">
            <v>B272-400-AS-280-PP-005</v>
          </cell>
          <cell r="E9359" t="str">
            <v>P-870</v>
          </cell>
        </row>
        <row r="9360">
          <cell r="B9360" t="str">
            <v>B272-400-AS-280-PP-005</v>
          </cell>
          <cell r="E9360" t="str">
            <v>P-871</v>
          </cell>
        </row>
        <row r="9361">
          <cell r="B9361" t="str">
            <v>B272-400-AS-280-PP-005</v>
          </cell>
          <cell r="E9361" t="str">
            <v>W-58</v>
          </cell>
        </row>
        <row r="9362">
          <cell r="B9362" t="str">
            <v>B272-400-AS-280-PP-005</v>
          </cell>
          <cell r="E9362" t="str">
            <v>B1030</v>
          </cell>
        </row>
        <row r="9363">
          <cell r="B9363" t="str">
            <v>B272-400-AS-280-PP-005</v>
          </cell>
          <cell r="E9363" t="str">
            <v>B1035</v>
          </cell>
        </row>
        <row r="9364">
          <cell r="B9364" t="str">
            <v>B272-400-AS-280-PP-006</v>
          </cell>
          <cell r="E9364" t="str">
            <v>hoàng anh</v>
          </cell>
        </row>
        <row r="9365">
          <cell r="B9365" t="str">
            <v>B272-400-AS-280-PP-006</v>
          </cell>
          <cell r="E9365" t="str">
            <v>G-25(1/7)</v>
          </cell>
        </row>
        <row r="9366">
          <cell r="B9366" t="str">
            <v>B272-400-AS-280-PP-006</v>
          </cell>
          <cell r="E9366" t="str">
            <v>G-25(2/7)</v>
          </cell>
        </row>
        <row r="9367">
          <cell r="B9367" t="str">
            <v>B272-400-AS-280-PP-006</v>
          </cell>
          <cell r="E9367" t="str">
            <v>G-25(3/7)</v>
          </cell>
        </row>
        <row r="9368">
          <cell r="B9368" t="str">
            <v>B272-400-AS-280-PP-006</v>
          </cell>
          <cell r="E9368" t="str">
            <v>G-25(4/7)</v>
          </cell>
        </row>
        <row r="9369">
          <cell r="B9369" t="str">
            <v>B272-400-AS-280-PP-006</v>
          </cell>
          <cell r="E9369" t="str">
            <v>G-25(5/7)</v>
          </cell>
        </row>
        <row r="9370">
          <cell r="B9370" t="str">
            <v>B272-400-AS-280-PP-006</v>
          </cell>
          <cell r="E9370" t="str">
            <v>G-25(6/7)</v>
          </cell>
        </row>
        <row r="9371">
          <cell r="B9371" t="str">
            <v>B272-400-AS-280-PP-006</v>
          </cell>
          <cell r="E9371" t="str">
            <v>G-25(7/7)</v>
          </cell>
        </row>
        <row r="9372">
          <cell r="B9372" t="str">
            <v>B272-400-AS-280-PP-006</v>
          </cell>
          <cell r="E9372" t="str">
            <v>P-445(1/2)</v>
          </cell>
        </row>
        <row r="9373">
          <cell r="B9373" t="str">
            <v>B272-400-AS-280-PP-006</v>
          </cell>
          <cell r="E9373" t="str">
            <v>P-445(2/2)</v>
          </cell>
        </row>
        <row r="9374">
          <cell r="B9374" t="str">
            <v>B272-400-AS-280-PP-006</v>
          </cell>
          <cell r="E9374" t="str">
            <v>P-566</v>
          </cell>
        </row>
        <row r="9375">
          <cell r="B9375" t="str">
            <v>B272-400-AS-280-PP-006</v>
          </cell>
          <cell r="E9375" t="str">
            <v>P-570</v>
          </cell>
        </row>
        <row r="9376">
          <cell r="B9376" t="str">
            <v>B272-400-AS-280-PP-006</v>
          </cell>
          <cell r="E9376" t="str">
            <v>P-571</v>
          </cell>
        </row>
        <row r="9377">
          <cell r="B9377" t="str">
            <v>B272-400-AS-280-PP-006</v>
          </cell>
          <cell r="E9377" t="str">
            <v>P-572(1/2)</v>
          </cell>
        </row>
        <row r="9378">
          <cell r="B9378" t="str">
            <v>B272-400-AS-280-PP-006</v>
          </cell>
          <cell r="E9378" t="str">
            <v>P-572(2/2)</v>
          </cell>
        </row>
        <row r="9379">
          <cell r="B9379" t="str">
            <v>B272-400-AS-280-PP-006</v>
          </cell>
          <cell r="E9379" t="str">
            <v>P-868</v>
          </cell>
        </row>
        <row r="9380">
          <cell r="B9380" t="str">
            <v>B272-400-AS-280-PP-006</v>
          </cell>
          <cell r="E9380" t="str">
            <v>P-869(1/2)</v>
          </cell>
        </row>
        <row r="9381">
          <cell r="B9381" t="str">
            <v>B272-400-AS-280-PP-006</v>
          </cell>
          <cell r="E9381" t="str">
            <v>P-869(2/2)</v>
          </cell>
        </row>
        <row r="9382">
          <cell r="B9382" t="str">
            <v>B272-400-AS-280-PP-006</v>
          </cell>
          <cell r="E9382" t="str">
            <v>P-870</v>
          </cell>
        </row>
        <row r="9383">
          <cell r="B9383" t="str">
            <v>B272-400-AS-280-PP-006</v>
          </cell>
          <cell r="E9383" t="str">
            <v>P-871</v>
          </cell>
        </row>
        <row r="9384">
          <cell r="B9384" t="str">
            <v>B272-400-AS-280-PP-006</v>
          </cell>
          <cell r="E9384" t="str">
            <v>W-57</v>
          </cell>
        </row>
        <row r="9385">
          <cell r="B9385" t="str">
            <v>B272-400-AS-280-PP-006</v>
          </cell>
          <cell r="E9385" t="str">
            <v>B1030</v>
          </cell>
        </row>
        <row r="9386">
          <cell r="B9386" t="str">
            <v>B272-400-AS-280-PP-006</v>
          </cell>
          <cell r="E9386" t="str">
            <v>B1035</v>
          </cell>
        </row>
        <row r="9387">
          <cell r="B9387" t="str">
            <v>B272-400-AS-280-PP-007</v>
          </cell>
          <cell r="E9387" t="str">
            <v>convection</v>
          </cell>
        </row>
        <row r="9388">
          <cell r="B9388" t="str">
            <v>B272-400-AS-280-PP-007</v>
          </cell>
          <cell r="E9388" t="str">
            <v>G-25(1/6)</v>
          </cell>
        </row>
        <row r="9389">
          <cell r="B9389" t="str">
            <v>B272-400-AS-280-PP-007</v>
          </cell>
          <cell r="E9389" t="str">
            <v>G-25(2/6)</v>
          </cell>
        </row>
        <row r="9390">
          <cell r="B9390" t="str">
            <v>B272-400-AS-280-PP-007</v>
          </cell>
          <cell r="E9390" t="str">
            <v>G-25(3/6)</v>
          </cell>
        </row>
        <row r="9391">
          <cell r="B9391" t="str">
            <v>B272-400-AS-280-PP-007</v>
          </cell>
          <cell r="E9391" t="str">
            <v>G-25(4/6)</v>
          </cell>
        </row>
        <row r="9392">
          <cell r="B9392" t="str">
            <v>B272-400-AS-280-PP-007</v>
          </cell>
          <cell r="E9392" t="str">
            <v>G-25(5/6)</v>
          </cell>
        </row>
        <row r="9393">
          <cell r="B9393" t="str">
            <v>B272-400-AS-280-PP-007</v>
          </cell>
          <cell r="E9393" t="str">
            <v>G-25(6/6)</v>
          </cell>
        </row>
        <row r="9394">
          <cell r="B9394" t="str">
            <v>B272-400-AS-280-PP-007</v>
          </cell>
          <cell r="E9394" t="str">
            <v>P-365</v>
          </cell>
        </row>
        <row r="9395">
          <cell r="B9395" t="str">
            <v>B272-400-AS-280-PP-007</v>
          </cell>
          <cell r="E9395" t="str">
            <v>P-400</v>
          </cell>
        </row>
        <row r="9396">
          <cell r="B9396" t="str">
            <v>B272-400-AS-280-PP-007</v>
          </cell>
          <cell r="E9396" t="str">
            <v>P-882(1/2)</v>
          </cell>
        </row>
        <row r="9397">
          <cell r="B9397" t="str">
            <v>B272-400-AS-280-PP-007</v>
          </cell>
          <cell r="E9397" t="str">
            <v>P-882(2/2)</v>
          </cell>
        </row>
        <row r="9398">
          <cell r="B9398" t="str">
            <v>B272-400-AS-280-PP-007</v>
          </cell>
          <cell r="E9398" t="str">
            <v>P-883</v>
          </cell>
        </row>
        <row r="9399">
          <cell r="B9399" t="str">
            <v>B272-400-AS-280-PP-007</v>
          </cell>
          <cell r="E9399" t="str">
            <v>P-885(1/2)</v>
          </cell>
        </row>
        <row r="9400">
          <cell r="B9400" t="str">
            <v>B272-400-AS-280-PP-007</v>
          </cell>
          <cell r="E9400" t="str">
            <v>P-885(2/2)</v>
          </cell>
        </row>
        <row r="9401">
          <cell r="B9401" t="str">
            <v>B272-400-AS-280-PP-007</v>
          </cell>
          <cell r="E9401" t="str">
            <v>P-886</v>
          </cell>
        </row>
        <row r="9402">
          <cell r="B9402" t="str">
            <v>B272-400-AS-280-PP-007</v>
          </cell>
          <cell r="E9402" t="str">
            <v>W-63</v>
          </cell>
        </row>
        <row r="9403">
          <cell r="B9403" t="str">
            <v>B272-400-AS-280-PP-007</v>
          </cell>
          <cell r="E9403" t="str">
            <v>B1030</v>
          </cell>
        </row>
        <row r="9404">
          <cell r="B9404" t="str">
            <v>B272-400-AS-280-PP-007</v>
          </cell>
          <cell r="E9404" t="str">
            <v>B1035</v>
          </cell>
        </row>
        <row r="9405">
          <cell r="B9405" t="str">
            <v>B272-400-AS-280-PP-008</v>
          </cell>
          <cell r="E9405" t="str">
            <v>convection</v>
          </cell>
        </row>
        <row r="9406">
          <cell r="B9406" t="str">
            <v>B272-400-AS-280-PP-008</v>
          </cell>
          <cell r="E9406" t="str">
            <v>G-25(1/6)</v>
          </cell>
        </row>
        <row r="9407">
          <cell r="B9407" t="str">
            <v>B272-400-AS-280-PP-008</v>
          </cell>
          <cell r="E9407" t="str">
            <v>G-25(2/6)</v>
          </cell>
        </row>
        <row r="9408">
          <cell r="B9408" t="str">
            <v>B272-400-AS-280-PP-008</v>
          </cell>
          <cell r="E9408" t="str">
            <v>G-25(3/6)</v>
          </cell>
        </row>
        <row r="9409">
          <cell r="B9409" t="str">
            <v>B272-400-AS-280-PP-008</v>
          </cell>
          <cell r="E9409" t="str">
            <v>G-25(4/6)</v>
          </cell>
        </row>
        <row r="9410">
          <cell r="B9410" t="str">
            <v>B272-400-AS-280-PP-008</v>
          </cell>
          <cell r="E9410" t="str">
            <v>G-25(5/6)</v>
          </cell>
        </row>
        <row r="9411">
          <cell r="B9411" t="str">
            <v>B272-400-AS-280-PP-008</v>
          </cell>
          <cell r="E9411" t="str">
            <v>G-25(6/6)</v>
          </cell>
        </row>
        <row r="9412">
          <cell r="B9412" t="str">
            <v>B272-400-AS-280-PP-008</v>
          </cell>
          <cell r="E9412" t="str">
            <v>P-365</v>
          </cell>
        </row>
        <row r="9413">
          <cell r="B9413" t="str">
            <v>B272-400-AS-280-PP-008</v>
          </cell>
          <cell r="E9413" t="str">
            <v>P-400</v>
          </cell>
        </row>
        <row r="9414">
          <cell r="B9414" t="str">
            <v>B272-400-AS-280-PP-008</v>
          </cell>
          <cell r="E9414" t="str">
            <v>P-882(1/2)</v>
          </cell>
        </row>
        <row r="9415">
          <cell r="B9415" t="str">
            <v>B272-400-AS-280-PP-008</v>
          </cell>
          <cell r="E9415" t="str">
            <v>P-882(2/2)</v>
          </cell>
        </row>
        <row r="9416">
          <cell r="B9416" t="str">
            <v>B272-400-AS-280-PP-008</v>
          </cell>
          <cell r="E9416" t="str">
            <v>P-883</v>
          </cell>
        </row>
        <row r="9417">
          <cell r="B9417" t="str">
            <v>B272-400-AS-280-PP-008</v>
          </cell>
          <cell r="E9417" t="str">
            <v>P-885(1/2)</v>
          </cell>
        </row>
        <row r="9418">
          <cell r="B9418" t="str">
            <v>B272-400-AS-280-PP-008</v>
          </cell>
          <cell r="E9418" t="str">
            <v>P-885(2/2)</v>
          </cell>
        </row>
        <row r="9419">
          <cell r="B9419" t="str">
            <v>B272-400-AS-280-PP-008</v>
          </cell>
          <cell r="E9419" t="str">
            <v>P-886</v>
          </cell>
        </row>
        <row r="9420">
          <cell r="B9420" t="str">
            <v>B272-400-AS-280-PP-008</v>
          </cell>
          <cell r="E9420" t="str">
            <v>W-63</v>
          </cell>
        </row>
        <row r="9421">
          <cell r="B9421" t="str">
            <v>B272-400-AS-280-PP-008</v>
          </cell>
          <cell r="E9421" t="str">
            <v>B1030</v>
          </cell>
        </row>
        <row r="9422">
          <cell r="B9422" t="str">
            <v>B272-400-AS-280-PP-008</v>
          </cell>
          <cell r="E9422" t="str">
            <v>B1035</v>
          </cell>
        </row>
        <row r="9423">
          <cell r="B9423" t="str">
            <v>B272-400-AS-280-PP-009</v>
          </cell>
          <cell r="E9423" t="str">
            <v>convection</v>
          </cell>
        </row>
        <row r="9424">
          <cell r="B9424" t="str">
            <v>B272-400-AS-280-PP-009</v>
          </cell>
          <cell r="E9424" t="str">
            <v>G-25(1/6)</v>
          </cell>
        </row>
        <row r="9425">
          <cell r="B9425" t="str">
            <v>B272-400-AS-280-PP-009</v>
          </cell>
          <cell r="E9425" t="str">
            <v>G-25(2/6)</v>
          </cell>
        </row>
        <row r="9426">
          <cell r="B9426" t="str">
            <v>B272-400-AS-280-PP-009</v>
          </cell>
          <cell r="E9426" t="str">
            <v>G-25(3/6)</v>
          </cell>
        </row>
        <row r="9427">
          <cell r="B9427" t="str">
            <v>B272-400-AS-280-PP-009</v>
          </cell>
          <cell r="E9427" t="str">
            <v>G-25(4/6)</v>
          </cell>
        </row>
        <row r="9428">
          <cell r="B9428" t="str">
            <v>B272-400-AS-280-PP-009</v>
          </cell>
          <cell r="E9428" t="str">
            <v>G-25(5/6)</v>
          </cell>
        </row>
        <row r="9429">
          <cell r="B9429" t="str">
            <v>B272-400-AS-280-PP-009</v>
          </cell>
          <cell r="E9429" t="str">
            <v>G-25(6/6)</v>
          </cell>
        </row>
        <row r="9430">
          <cell r="B9430" t="str">
            <v>B272-400-AS-280-PP-009</v>
          </cell>
          <cell r="E9430" t="str">
            <v>P-400(1/2)</v>
          </cell>
        </row>
        <row r="9431">
          <cell r="B9431" t="str">
            <v>B272-400-AS-280-PP-009</v>
          </cell>
          <cell r="E9431" t="str">
            <v>P-400(2/2)</v>
          </cell>
        </row>
        <row r="9432">
          <cell r="B9432" t="str">
            <v>B272-400-AS-280-PP-009</v>
          </cell>
          <cell r="E9432" t="str">
            <v>P-401(1/2)</v>
          </cell>
        </row>
        <row r="9433">
          <cell r="B9433" t="str">
            <v>B272-400-AS-280-PP-009</v>
          </cell>
          <cell r="E9433" t="str">
            <v>P-401(2/2)</v>
          </cell>
        </row>
        <row r="9434">
          <cell r="B9434" t="str">
            <v>B272-400-AS-280-PP-009</v>
          </cell>
          <cell r="E9434" t="str">
            <v>P-402(1/4)</v>
          </cell>
        </row>
        <row r="9435">
          <cell r="B9435" t="str">
            <v>B272-400-AS-280-PP-009</v>
          </cell>
          <cell r="E9435" t="str">
            <v>P-402(2/4)</v>
          </cell>
        </row>
        <row r="9436">
          <cell r="B9436" t="str">
            <v>B272-400-AS-280-PP-009</v>
          </cell>
          <cell r="E9436" t="str">
            <v>P-402(3/4)</v>
          </cell>
        </row>
        <row r="9437">
          <cell r="B9437" t="str">
            <v>B272-400-AS-280-PP-009</v>
          </cell>
          <cell r="E9437" t="str">
            <v>P-402(4/4)</v>
          </cell>
        </row>
        <row r="9438">
          <cell r="B9438" t="str">
            <v>B272-400-AS-280-PP-009</v>
          </cell>
          <cell r="E9438" t="str">
            <v>P-403(1/4)</v>
          </cell>
        </row>
        <row r="9439">
          <cell r="B9439" t="str">
            <v>B272-400-AS-280-PP-009</v>
          </cell>
          <cell r="E9439" t="str">
            <v>P-403(2/4)</v>
          </cell>
        </row>
        <row r="9440">
          <cell r="B9440" t="str">
            <v>B272-400-AS-280-PP-009</v>
          </cell>
          <cell r="E9440" t="str">
            <v>P-403(3/4)</v>
          </cell>
        </row>
        <row r="9441">
          <cell r="B9441" t="str">
            <v>B272-400-AS-280-PP-009</v>
          </cell>
          <cell r="E9441" t="str">
            <v>P-403(4/4)</v>
          </cell>
        </row>
        <row r="9442">
          <cell r="B9442" t="str">
            <v>B272-400-AS-280-PP-009</v>
          </cell>
          <cell r="E9442" t="str">
            <v>W-6</v>
          </cell>
        </row>
        <row r="9443">
          <cell r="B9443" t="str">
            <v>B272-400-AS-280-PP-009</v>
          </cell>
          <cell r="E9443" t="str">
            <v>B1030</v>
          </cell>
        </row>
        <row r="9444">
          <cell r="B9444" t="str">
            <v>B272-400-AS-280-PP-009</v>
          </cell>
          <cell r="E9444" t="str">
            <v>B1035</v>
          </cell>
        </row>
        <row r="9445">
          <cell r="B9445" t="str">
            <v>B272-400-AS-280-PP-010</v>
          </cell>
          <cell r="E9445" t="str">
            <v>hoàng anh</v>
          </cell>
        </row>
        <row r="9446">
          <cell r="B9446" t="str">
            <v>B272-400-AS-280-PP-010</v>
          </cell>
          <cell r="E9446" t="str">
            <v>G-25(1/6)</v>
          </cell>
        </row>
        <row r="9447">
          <cell r="B9447" t="str">
            <v>B272-400-AS-280-PP-010</v>
          </cell>
          <cell r="E9447" t="str">
            <v>G-25(2/6)</v>
          </cell>
        </row>
        <row r="9448">
          <cell r="B9448" t="str">
            <v>B272-400-AS-280-PP-010</v>
          </cell>
          <cell r="E9448" t="str">
            <v>G-25(3/6)</v>
          </cell>
        </row>
        <row r="9449">
          <cell r="B9449" t="str">
            <v>B272-400-AS-280-PP-010</v>
          </cell>
          <cell r="E9449" t="str">
            <v>G-25(4/6)</v>
          </cell>
        </row>
        <row r="9450">
          <cell r="B9450" t="str">
            <v>B272-400-AS-280-PP-010</v>
          </cell>
          <cell r="E9450" t="str">
            <v>G-25(5/6)</v>
          </cell>
        </row>
        <row r="9451">
          <cell r="B9451" t="str">
            <v>B272-400-AS-280-PP-010</v>
          </cell>
          <cell r="E9451" t="str">
            <v>G-25(6/6)</v>
          </cell>
        </row>
        <row r="9452">
          <cell r="B9452" t="str">
            <v>B272-400-AS-280-PP-010</v>
          </cell>
          <cell r="E9452" t="str">
            <v>P-400(1/2)</v>
          </cell>
        </row>
        <row r="9453">
          <cell r="B9453" t="str">
            <v>B272-400-AS-280-PP-010</v>
          </cell>
          <cell r="E9453" t="str">
            <v>P-400(2/2)</v>
          </cell>
        </row>
        <row r="9454">
          <cell r="B9454" t="str">
            <v>B272-400-AS-280-PP-010</v>
          </cell>
          <cell r="E9454" t="str">
            <v>P-402(1/2)</v>
          </cell>
        </row>
        <row r="9455">
          <cell r="B9455" t="str">
            <v>B272-400-AS-280-PP-010</v>
          </cell>
          <cell r="E9455" t="str">
            <v>P-402(2/2)</v>
          </cell>
        </row>
        <row r="9456">
          <cell r="B9456" t="str">
            <v>B272-400-AS-280-PP-010</v>
          </cell>
          <cell r="E9456" t="str">
            <v>P-445(1/2)</v>
          </cell>
        </row>
        <row r="9457">
          <cell r="B9457" t="str">
            <v>B272-400-AS-280-PP-010</v>
          </cell>
          <cell r="E9457" t="str">
            <v>P-445(2/2)</v>
          </cell>
        </row>
        <row r="9458">
          <cell r="B9458" t="str">
            <v>B272-400-AS-280-PP-010</v>
          </cell>
          <cell r="E9458" t="str">
            <v>P-773(1/2)</v>
          </cell>
        </row>
        <row r="9459">
          <cell r="B9459" t="str">
            <v>B272-400-AS-280-PP-010</v>
          </cell>
          <cell r="E9459" t="str">
            <v>P-773(2/2)</v>
          </cell>
        </row>
        <row r="9460">
          <cell r="B9460" t="str">
            <v>B272-400-AS-280-PP-010</v>
          </cell>
          <cell r="E9460" t="str">
            <v>W-60</v>
          </cell>
        </row>
        <row r="9461">
          <cell r="B9461" t="str">
            <v>B272-400-AS-280-PP-010</v>
          </cell>
          <cell r="E9461" t="str">
            <v>B1030</v>
          </cell>
        </row>
        <row r="9462">
          <cell r="B9462" t="str">
            <v>B272-400-AS-280-PP-010</v>
          </cell>
          <cell r="E9462" t="str">
            <v>B1035</v>
          </cell>
        </row>
        <row r="9463">
          <cell r="B9463" t="str">
            <v>B272-400-AS-280-PP-010</v>
          </cell>
          <cell r="E9463" t="str">
            <v>B1045</v>
          </cell>
        </row>
        <row r="9464">
          <cell r="B9464" t="str">
            <v>B272-400-AS-280-PP-011</v>
          </cell>
          <cell r="E9464" t="str">
            <v>hoàng anh</v>
          </cell>
        </row>
        <row r="9465">
          <cell r="B9465" t="str">
            <v>B272-400-AS-280-PP-011</v>
          </cell>
          <cell r="E9465" t="str">
            <v>G-25(1/6)</v>
          </cell>
        </row>
        <row r="9466">
          <cell r="B9466" t="str">
            <v>B272-400-AS-280-PP-011</v>
          </cell>
          <cell r="E9466" t="str">
            <v>G-25(2/6)</v>
          </cell>
        </row>
        <row r="9467">
          <cell r="B9467" t="str">
            <v>B272-400-AS-280-PP-011</v>
          </cell>
          <cell r="E9467" t="str">
            <v>G-25(3/6)</v>
          </cell>
        </row>
        <row r="9468">
          <cell r="B9468" t="str">
            <v>B272-400-AS-280-PP-011</v>
          </cell>
          <cell r="E9468" t="str">
            <v>G-25(4/6)</v>
          </cell>
        </row>
        <row r="9469">
          <cell r="B9469" t="str">
            <v>B272-400-AS-280-PP-011</v>
          </cell>
          <cell r="E9469" t="str">
            <v>G-25(5/6)</v>
          </cell>
        </row>
        <row r="9470">
          <cell r="B9470" t="str">
            <v>B272-400-AS-280-PP-011</v>
          </cell>
          <cell r="E9470" t="str">
            <v>G-25(6/6)</v>
          </cell>
        </row>
        <row r="9471">
          <cell r="B9471" t="str">
            <v>B272-400-AS-280-PP-011</v>
          </cell>
          <cell r="E9471" t="str">
            <v>P-400(1/2)</v>
          </cell>
        </row>
        <row r="9472">
          <cell r="B9472" t="str">
            <v>B272-400-AS-280-PP-011</v>
          </cell>
          <cell r="E9472" t="str">
            <v>P-400(2/2)</v>
          </cell>
        </row>
        <row r="9473">
          <cell r="B9473" t="str">
            <v>B272-400-AS-280-PP-011</v>
          </cell>
          <cell r="E9473" t="str">
            <v>P-445(1/2)</v>
          </cell>
        </row>
        <row r="9474">
          <cell r="B9474" t="str">
            <v>B272-400-AS-280-PP-011</v>
          </cell>
          <cell r="E9474" t="str">
            <v>P-445(2/2)</v>
          </cell>
        </row>
        <row r="9475">
          <cell r="B9475" t="str">
            <v>B272-400-AS-280-PP-011</v>
          </cell>
          <cell r="E9475" t="str">
            <v>W-19</v>
          </cell>
        </row>
        <row r="9476">
          <cell r="B9476" t="str">
            <v>B272-400-AS-280-PP-011</v>
          </cell>
          <cell r="E9476" t="str">
            <v>B1030</v>
          </cell>
        </row>
        <row r="9477">
          <cell r="B9477" t="str">
            <v>B272-400-AS-280-PP-011</v>
          </cell>
          <cell r="E9477" t="str">
            <v>B1035</v>
          </cell>
        </row>
        <row r="9478">
          <cell r="B9478" t="str">
            <v>B272-400-AS-280-PP-012</v>
          </cell>
          <cell r="E9478" t="str">
            <v>hoàng anh</v>
          </cell>
        </row>
        <row r="9479">
          <cell r="B9479" t="str">
            <v>B272-400-AS-280-PP-012</v>
          </cell>
          <cell r="E9479" t="str">
            <v>G-25(1/6)</v>
          </cell>
        </row>
        <row r="9480">
          <cell r="B9480" t="str">
            <v>B272-400-AS-280-PP-012</v>
          </cell>
          <cell r="E9480" t="str">
            <v>G-25(2/6)</v>
          </cell>
        </row>
        <row r="9481">
          <cell r="B9481" t="str">
            <v>B272-400-AS-280-PP-012</v>
          </cell>
          <cell r="E9481" t="str">
            <v>G-25(3/6)</v>
          </cell>
        </row>
        <row r="9482">
          <cell r="B9482" t="str">
            <v>B272-400-AS-280-PP-012</v>
          </cell>
          <cell r="E9482" t="str">
            <v>G-25(4/6)</v>
          </cell>
        </row>
        <row r="9483">
          <cell r="B9483" t="str">
            <v>B272-400-AS-280-PP-012</v>
          </cell>
          <cell r="E9483" t="str">
            <v>G-25(5/6)</v>
          </cell>
        </row>
        <row r="9484">
          <cell r="B9484" t="str">
            <v>B272-400-AS-280-PP-012</v>
          </cell>
          <cell r="E9484" t="str">
            <v>G-25(6/6)</v>
          </cell>
        </row>
        <row r="9485">
          <cell r="B9485" t="str">
            <v>B272-400-AS-280-PP-012</v>
          </cell>
          <cell r="E9485" t="str">
            <v>P-400(1/2)</v>
          </cell>
        </row>
        <row r="9486">
          <cell r="B9486" t="str">
            <v>B272-400-AS-280-PP-012</v>
          </cell>
          <cell r="E9486" t="str">
            <v>P-400(2/2)</v>
          </cell>
        </row>
        <row r="9487">
          <cell r="B9487" t="str">
            <v>B272-400-AS-280-PP-012</v>
          </cell>
          <cell r="E9487" t="str">
            <v>P-445(1/2)</v>
          </cell>
        </row>
        <row r="9488">
          <cell r="B9488" t="str">
            <v>B272-400-AS-280-PP-012</v>
          </cell>
          <cell r="E9488" t="str">
            <v>P-445(2/2)</v>
          </cell>
        </row>
        <row r="9489">
          <cell r="B9489" t="str">
            <v>B272-400-AS-280-PP-012</v>
          </cell>
          <cell r="E9489" t="str">
            <v>W-19</v>
          </cell>
        </row>
        <row r="9490">
          <cell r="B9490" t="str">
            <v>B272-400-AS-280-PP-012</v>
          </cell>
          <cell r="E9490" t="str">
            <v>B1030</v>
          </cell>
        </row>
        <row r="9491">
          <cell r="B9491" t="str">
            <v>B272-400-AS-280-PP-012</v>
          </cell>
          <cell r="E9491" t="str">
            <v>B1035</v>
          </cell>
        </row>
        <row r="9492">
          <cell r="B9492" t="str">
            <v>B272-400-AS-280-PP-013</v>
          </cell>
          <cell r="E9492" t="str">
            <v>hoàng anh</v>
          </cell>
        </row>
        <row r="9493">
          <cell r="B9493" t="str">
            <v>B272-400-AS-280-PP-013</v>
          </cell>
          <cell r="E9493" t="str">
            <v>G-25(1/6)</v>
          </cell>
        </row>
        <row r="9494">
          <cell r="B9494" t="str">
            <v>B272-400-AS-280-PP-013</v>
          </cell>
          <cell r="E9494" t="str">
            <v>G-25(2/6)</v>
          </cell>
        </row>
        <row r="9495">
          <cell r="B9495" t="str">
            <v>B272-400-AS-280-PP-013</v>
          </cell>
          <cell r="E9495" t="str">
            <v>G-25(3/6)</v>
          </cell>
        </row>
        <row r="9496">
          <cell r="B9496" t="str">
            <v>B272-400-AS-280-PP-013</v>
          </cell>
          <cell r="E9496" t="str">
            <v>G-25(4/6)</v>
          </cell>
        </row>
        <row r="9497">
          <cell r="B9497" t="str">
            <v>B272-400-AS-280-PP-013</v>
          </cell>
          <cell r="E9497" t="str">
            <v>G-25(5/6)</v>
          </cell>
        </row>
        <row r="9498">
          <cell r="B9498" t="str">
            <v>B272-400-AS-280-PP-013</v>
          </cell>
          <cell r="E9498" t="str">
            <v>G-25(6/6)</v>
          </cell>
        </row>
        <row r="9499">
          <cell r="B9499" t="str">
            <v>B272-400-AS-280-PP-013</v>
          </cell>
          <cell r="E9499" t="str">
            <v>P-400</v>
          </cell>
        </row>
        <row r="9500">
          <cell r="B9500" t="str">
            <v>B272-400-AS-280-PP-013</v>
          </cell>
          <cell r="E9500" t="str">
            <v>P-402(1/2)</v>
          </cell>
        </row>
        <row r="9501">
          <cell r="B9501" t="str">
            <v>B272-400-AS-280-PP-013</v>
          </cell>
          <cell r="E9501" t="str">
            <v>P-402(2/2)</v>
          </cell>
        </row>
        <row r="9502">
          <cell r="B9502" t="str">
            <v>B272-400-AS-280-PP-013</v>
          </cell>
          <cell r="E9502" t="str">
            <v>P-445(1/2)</v>
          </cell>
        </row>
        <row r="9503">
          <cell r="B9503" t="str">
            <v>B272-400-AS-280-PP-013</v>
          </cell>
          <cell r="E9503" t="str">
            <v>P-445(2/2)</v>
          </cell>
        </row>
        <row r="9504">
          <cell r="B9504" t="str">
            <v>B272-400-AS-280-PP-013</v>
          </cell>
          <cell r="E9504" t="str">
            <v>P-566</v>
          </cell>
        </row>
        <row r="9505">
          <cell r="B9505" t="str">
            <v>B272-400-AS-280-PP-013</v>
          </cell>
          <cell r="E9505" t="str">
            <v>P-570</v>
          </cell>
        </row>
        <row r="9506">
          <cell r="B9506" t="str">
            <v>B272-400-AS-280-PP-013</v>
          </cell>
          <cell r="E9506" t="str">
            <v>P-571</v>
          </cell>
        </row>
        <row r="9507">
          <cell r="B9507" t="str">
            <v>B272-400-AS-280-PP-013</v>
          </cell>
          <cell r="E9507" t="str">
            <v>P-572(1/2)</v>
          </cell>
        </row>
        <row r="9508">
          <cell r="B9508" t="str">
            <v>B272-400-AS-280-PP-013</v>
          </cell>
          <cell r="E9508" t="str">
            <v>P-572(2/2)</v>
          </cell>
        </row>
        <row r="9509">
          <cell r="B9509" t="str">
            <v>B272-400-AS-280-PP-013</v>
          </cell>
          <cell r="E9509" t="str">
            <v>P-773(1/2)</v>
          </cell>
        </row>
        <row r="9510">
          <cell r="B9510" t="str">
            <v>B272-400-AS-280-PP-013</v>
          </cell>
          <cell r="E9510" t="str">
            <v>P-773(2/2)</v>
          </cell>
        </row>
        <row r="9511">
          <cell r="B9511" t="str">
            <v>B272-400-AS-280-PP-013</v>
          </cell>
          <cell r="E9511" t="str">
            <v>W-59</v>
          </cell>
        </row>
        <row r="9512">
          <cell r="B9512" t="str">
            <v>B272-400-AS-280-PP-013</v>
          </cell>
          <cell r="E9512" t="str">
            <v>B1030</v>
          </cell>
        </row>
        <row r="9513">
          <cell r="B9513" t="str">
            <v>B272-400-AS-280-PP-013</v>
          </cell>
          <cell r="E9513" t="str">
            <v>B1035</v>
          </cell>
        </row>
        <row r="9514">
          <cell r="B9514" t="str">
            <v>B272-400-AS-280-PP-013</v>
          </cell>
          <cell r="E9514" t="str">
            <v>B1045</v>
          </cell>
        </row>
        <row r="9515">
          <cell r="B9515" t="str">
            <v>B272-400-AS-280-PP-014</v>
          </cell>
          <cell r="E9515" t="str">
            <v>hoàng anh</v>
          </cell>
        </row>
        <row r="9516">
          <cell r="B9516" t="str">
            <v>B272-400-AS-280-PP-014</v>
          </cell>
          <cell r="E9516" t="str">
            <v>G-25(1/6)</v>
          </cell>
        </row>
        <row r="9517">
          <cell r="B9517" t="str">
            <v>B272-400-AS-280-PP-014</v>
          </cell>
          <cell r="E9517" t="str">
            <v>G-25(2/6)</v>
          </cell>
        </row>
        <row r="9518">
          <cell r="B9518" t="str">
            <v>B272-400-AS-280-PP-014</v>
          </cell>
          <cell r="E9518" t="str">
            <v>G-25(3/6)</v>
          </cell>
        </row>
        <row r="9519">
          <cell r="B9519" t="str">
            <v>B272-400-AS-280-PP-014</v>
          </cell>
          <cell r="E9519" t="str">
            <v>G-25(4/6)</v>
          </cell>
        </row>
        <row r="9520">
          <cell r="B9520" t="str">
            <v>B272-400-AS-280-PP-014</v>
          </cell>
          <cell r="E9520" t="str">
            <v>G-25(5/6)</v>
          </cell>
        </row>
        <row r="9521">
          <cell r="B9521" t="str">
            <v>B272-400-AS-280-PP-014</v>
          </cell>
          <cell r="E9521" t="str">
            <v>G-25(6/6)</v>
          </cell>
        </row>
        <row r="9522">
          <cell r="B9522" t="str">
            <v>B272-400-AS-280-PP-014</v>
          </cell>
          <cell r="E9522" t="str">
            <v>P-400</v>
          </cell>
        </row>
        <row r="9523">
          <cell r="B9523" t="str">
            <v>B272-400-AS-280-PP-014</v>
          </cell>
          <cell r="E9523" t="str">
            <v>P-445(1/2)</v>
          </cell>
        </row>
        <row r="9524">
          <cell r="B9524" t="str">
            <v>B272-400-AS-280-PP-014</v>
          </cell>
          <cell r="E9524" t="str">
            <v>P-445(2/2)</v>
          </cell>
        </row>
        <row r="9525">
          <cell r="B9525" t="str">
            <v>B272-400-AS-280-PP-014</v>
          </cell>
          <cell r="E9525" t="str">
            <v>P-557(1/2)</v>
          </cell>
        </row>
        <row r="9526">
          <cell r="B9526" t="str">
            <v>B272-400-AS-280-PP-014</v>
          </cell>
          <cell r="E9526" t="str">
            <v>P-557(2/2)</v>
          </cell>
        </row>
        <row r="9527">
          <cell r="B9527" t="str">
            <v>B272-400-AS-280-PP-014</v>
          </cell>
          <cell r="E9527" t="str">
            <v>P-566</v>
          </cell>
        </row>
        <row r="9528">
          <cell r="B9528" t="str">
            <v>B272-400-AS-280-PP-014</v>
          </cell>
          <cell r="E9528" t="str">
            <v>P-570</v>
          </cell>
        </row>
        <row r="9529">
          <cell r="B9529" t="str">
            <v>B272-400-AS-280-PP-014</v>
          </cell>
          <cell r="E9529" t="str">
            <v>P-571</v>
          </cell>
        </row>
        <row r="9530">
          <cell r="B9530" t="str">
            <v>B272-400-AS-280-PP-014</v>
          </cell>
          <cell r="E9530" t="str">
            <v>W-18</v>
          </cell>
        </row>
        <row r="9531">
          <cell r="B9531" t="str">
            <v>B272-400-AS-280-PP-014</v>
          </cell>
          <cell r="E9531" t="str">
            <v>B1030</v>
          </cell>
        </row>
        <row r="9532">
          <cell r="B9532" t="str">
            <v>B272-400-AS-280-PP-014</v>
          </cell>
          <cell r="E9532" t="str">
            <v>B1035</v>
          </cell>
        </row>
        <row r="9533">
          <cell r="B9533" t="str">
            <v>B272-400-AS-280-PP-014</v>
          </cell>
          <cell r="E9533" t="str">
            <v>hoàng anh</v>
          </cell>
        </row>
        <row r="9534">
          <cell r="B9534" t="str">
            <v>B272-400-AS-280-PP-014</v>
          </cell>
          <cell r="E9534" t="str">
            <v>G-25(1/6)</v>
          </cell>
        </row>
        <row r="9535">
          <cell r="B9535" t="str">
            <v>B272-400-AS-280-PP-014</v>
          </cell>
          <cell r="E9535" t="str">
            <v>G-25(2/6)</v>
          </cell>
        </row>
        <row r="9536">
          <cell r="B9536" t="str">
            <v>B272-400-AS-280-PP-014</v>
          </cell>
          <cell r="E9536" t="str">
            <v>G-25(3/6)</v>
          </cell>
        </row>
        <row r="9537">
          <cell r="B9537" t="str">
            <v>B272-400-AS-280-PP-014</v>
          </cell>
          <cell r="E9537" t="str">
            <v>G-25(4/6)</v>
          </cell>
        </row>
        <row r="9538">
          <cell r="B9538" t="str">
            <v>B272-400-AS-280-PP-014</v>
          </cell>
          <cell r="E9538" t="str">
            <v>G-25(5/6)</v>
          </cell>
        </row>
        <row r="9539">
          <cell r="B9539" t="str">
            <v>B272-400-AS-280-PP-014</v>
          </cell>
          <cell r="E9539" t="str">
            <v>G-25(6/6)</v>
          </cell>
        </row>
        <row r="9540">
          <cell r="B9540" t="str">
            <v>B272-400-AS-280-PP-014</v>
          </cell>
          <cell r="E9540" t="str">
            <v>P-400</v>
          </cell>
        </row>
        <row r="9541">
          <cell r="B9541" t="str">
            <v>B272-400-AS-280-PP-014</v>
          </cell>
          <cell r="E9541" t="str">
            <v>P-445(1/2)</v>
          </cell>
        </row>
        <row r="9542">
          <cell r="B9542" t="str">
            <v>B272-400-AS-280-PP-014</v>
          </cell>
          <cell r="E9542" t="str">
            <v>P-445(2/2)</v>
          </cell>
        </row>
        <row r="9543">
          <cell r="B9543" t="str">
            <v>B272-400-AS-280-PP-014</v>
          </cell>
          <cell r="E9543" t="str">
            <v>P-557(1/2)</v>
          </cell>
        </row>
        <row r="9544">
          <cell r="B9544" t="str">
            <v>B272-400-AS-280-PP-014</v>
          </cell>
          <cell r="E9544" t="str">
            <v>P-557(2/2)</v>
          </cell>
        </row>
        <row r="9545">
          <cell r="B9545" t="str">
            <v>B272-400-AS-280-PP-014</v>
          </cell>
          <cell r="E9545" t="str">
            <v>P-566</v>
          </cell>
        </row>
        <row r="9546">
          <cell r="B9546" t="str">
            <v>B272-400-AS-280-PP-014</v>
          </cell>
          <cell r="E9546" t="str">
            <v>P-570</v>
          </cell>
        </row>
        <row r="9547">
          <cell r="B9547" t="str">
            <v>B272-400-AS-280-PP-014</v>
          </cell>
          <cell r="E9547" t="str">
            <v>P-571</v>
          </cell>
        </row>
        <row r="9548">
          <cell r="B9548" t="str">
            <v>B272-400-AS-280-PP-014</v>
          </cell>
          <cell r="E9548" t="str">
            <v>W-18</v>
          </cell>
        </row>
        <row r="9549">
          <cell r="B9549" t="str">
            <v>B272-400-AS-280-PP-014</v>
          </cell>
          <cell r="E9549" t="str">
            <v>B1030</v>
          </cell>
        </row>
        <row r="9550">
          <cell r="B9550" t="str">
            <v>B272-400-AS-280-PP-014</v>
          </cell>
          <cell r="E9550" t="str">
            <v>B1035</v>
          </cell>
        </row>
        <row r="9551">
          <cell r="B9551" t="str">
            <v>B272-400-AS-280-PP-015</v>
          </cell>
          <cell r="E9551" t="str">
            <v>hoàng anh</v>
          </cell>
        </row>
        <row r="9552">
          <cell r="B9552" t="str">
            <v>B272-400-AS-280-PP-015</v>
          </cell>
          <cell r="E9552" t="str">
            <v>G-25(1/6)</v>
          </cell>
        </row>
        <row r="9553">
          <cell r="B9553" t="str">
            <v>B272-400-AS-280-PP-015</v>
          </cell>
          <cell r="E9553" t="str">
            <v>G-25(2/6)</v>
          </cell>
        </row>
        <row r="9554">
          <cell r="B9554" t="str">
            <v>B272-400-AS-280-PP-015</v>
          </cell>
          <cell r="E9554" t="str">
            <v>G-25(3/6)</v>
          </cell>
        </row>
        <row r="9555">
          <cell r="B9555" t="str">
            <v>B272-400-AS-280-PP-015</v>
          </cell>
          <cell r="E9555" t="str">
            <v>G-25(4/6)</v>
          </cell>
        </row>
        <row r="9556">
          <cell r="B9556" t="str">
            <v>B272-400-AS-280-PP-015</v>
          </cell>
          <cell r="E9556" t="str">
            <v>G-25(5/6)</v>
          </cell>
        </row>
        <row r="9557">
          <cell r="B9557" t="str">
            <v>B272-400-AS-280-PP-015</v>
          </cell>
          <cell r="E9557" t="str">
            <v>G-25(6/6)</v>
          </cell>
        </row>
        <row r="9558">
          <cell r="B9558" t="str">
            <v>B272-400-AS-280-PP-015</v>
          </cell>
          <cell r="E9558" t="str">
            <v>P-400</v>
          </cell>
        </row>
        <row r="9559">
          <cell r="B9559" t="str">
            <v>B272-400-AS-280-PP-015</v>
          </cell>
          <cell r="E9559" t="str">
            <v>P-445(1/2)</v>
          </cell>
        </row>
        <row r="9560">
          <cell r="B9560" t="str">
            <v>B272-400-AS-280-PP-015</v>
          </cell>
          <cell r="E9560" t="str">
            <v>P-445(2/2)</v>
          </cell>
        </row>
        <row r="9561">
          <cell r="B9561" t="str">
            <v>B272-400-AS-280-PP-015</v>
          </cell>
          <cell r="E9561" t="str">
            <v>P-557(1/2)</v>
          </cell>
        </row>
        <row r="9562">
          <cell r="B9562" t="str">
            <v>B272-400-AS-280-PP-015</v>
          </cell>
          <cell r="E9562" t="str">
            <v>P-557(2/2)</v>
          </cell>
        </row>
        <row r="9563">
          <cell r="B9563" t="str">
            <v>B272-400-AS-280-PP-015</v>
          </cell>
          <cell r="E9563" t="str">
            <v>P-566</v>
          </cell>
        </row>
        <row r="9564">
          <cell r="B9564" t="str">
            <v>B272-400-AS-280-PP-015</v>
          </cell>
          <cell r="E9564" t="str">
            <v>P-570</v>
          </cell>
        </row>
        <row r="9565">
          <cell r="B9565" t="str">
            <v>B272-400-AS-280-PP-015</v>
          </cell>
          <cell r="E9565" t="str">
            <v>P-571</v>
          </cell>
        </row>
        <row r="9566">
          <cell r="B9566" t="str">
            <v>B272-400-AS-280-PP-015</v>
          </cell>
          <cell r="E9566" t="str">
            <v>W-18</v>
          </cell>
        </row>
        <row r="9567">
          <cell r="B9567" t="str">
            <v>B272-400-AS-280-PP-015</v>
          </cell>
          <cell r="E9567" t="str">
            <v>B1030</v>
          </cell>
        </row>
        <row r="9568">
          <cell r="B9568" t="str">
            <v>B272-400-AS-280-PP-015</v>
          </cell>
          <cell r="E9568" t="str">
            <v>B1035</v>
          </cell>
        </row>
        <row r="9569">
          <cell r="B9569" t="str">
            <v>B272-400-AS-280-PP-016</v>
          </cell>
          <cell r="E9569" t="str">
            <v>hoàng anh</v>
          </cell>
        </row>
        <row r="9570">
          <cell r="B9570" t="str">
            <v>B272-400-AS-280-PP-016</v>
          </cell>
          <cell r="E9570" t="str">
            <v>G-25(1/6)</v>
          </cell>
        </row>
        <row r="9571">
          <cell r="B9571" t="str">
            <v>B272-400-AS-280-PP-016</v>
          </cell>
          <cell r="E9571" t="str">
            <v>G-25(2/6)</v>
          </cell>
        </row>
        <row r="9572">
          <cell r="B9572" t="str">
            <v>B272-400-AS-280-PP-016</v>
          </cell>
          <cell r="E9572" t="str">
            <v>G-25(3/6)</v>
          </cell>
        </row>
        <row r="9573">
          <cell r="B9573" t="str">
            <v>B272-400-AS-280-PP-016</v>
          </cell>
          <cell r="E9573" t="str">
            <v>G-25(4/6)</v>
          </cell>
        </row>
        <row r="9574">
          <cell r="B9574" t="str">
            <v>B272-400-AS-280-PP-016</v>
          </cell>
          <cell r="E9574" t="str">
            <v>G-25(5/6)</v>
          </cell>
        </row>
        <row r="9575">
          <cell r="B9575" t="str">
            <v>B272-400-AS-280-PP-016</v>
          </cell>
          <cell r="E9575" t="str">
            <v>G-25(6/6)</v>
          </cell>
        </row>
        <row r="9576">
          <cell r="B9576" t="str">
            <v>B272-400-AS-280-PP-016</v>
          </cell>
          <cell r="E9576" t="str">
            <v>P-400</v>
          </cell>
        </row>
        <row r="9577">
          <cell r="B9577" t="str">
            <v>B272-400-AS-280-PP-016</v>
          </cell>
          <cell r="E9577" t="str">
            <v>P-445(1/2)</v>
          </cell>
        </row>
        <row r="9578">
          <cell r="B9578" t="str">
            <v>B272-400-AS-280-PP-016</v>
          </cell>
          <cell r="E9578" t="str">
            <v>P-445(2/2)</v>
          </cell>
        </row>
        <row r="9579">
          <cell r="B9579" t="str">
            <v>B272-400-AS-280-PP-016</v>
          </cell>
          <cell r="E9579" t="str">
            <v>P-557(1/2)</v>
          </cell>
        </row>
        <row r="9580">
          <cell r="B9580" t="str">
            <v>B272-400-AS-280-PP-016</v>
          </cell>
          <cell r="E9580" t="str">
            <v>P-557(2/2)</v>
          </cell>
        </row>
        <row r="9581">
          <cell r="B9581" t="str">
            <v>B272-400-AS-280-PP-016</v>
          </cell>
          <cell r="E9581" t="str">
            <v>P-566</v>
          </cell>
        </row>
        <row r="9582">
          <cell r="B9582" t="str">
            <v>B272-400-AS-280-PP-016</v>
          </cell>
          <cell r="E9582" t="str">
            <v>P-570</v>
          </cell>
        </row>
        <row r="9583">
          <cell r="B9583" t="str">
            <v>B272-400-AS-280-PP-016</v>
          </cell>
          <cell r="E9583" t="str">
            <v>P-571</v>
          </cell>
        </row>
        <row r="9584">
          <cell r="B9584" t="str">
            <v>B272-400-AS-280-PP-016</v>
          </cell>
          <cell r="E9584" t="str">
            <v>W-84</v>
          </cell>
        </row>
        <row r="9585">
          <cell r="B9585" t="str">
            <v>B272-400-AS-280-PP-016</v>
          </cell>
          <cell r="E9585" t="str">
            <v>B1030</v>
          </cell>
        </row>
        <row r="9586">
          <cell r="B9586" t="str">
            <v>B272-400-AS-280-PP-016</v>
          </cell>
          <cell r="E9586" t="str">
            <v>B1035</v>
          </cell>
        </row>
        <row r="9587">
          <cell r="B9587" t="str">
            <v>B272-400-AS-280-PP-017</v>
          </cell>
          <cell r="E9587" t="str">
            <v>hoàng anh</v>
          </cell>
        </row>
        <row r="9588">
          <cell r="B9588" t="str">
            <v>B272-400-AS-280-PP-017</v>
          </cell>
          <cell r="E9588" t="str">
            <v>G-25(1/6)</v>
          </cell>
        </row>
        <row r="9589">
          <cell r="B9589" t="str">
            <v>B272-400-AS-280-PP-017</v>
          </cell>
          <cell r="E9589" t="str">
            <v>G-25(2/6)</v>
          </cell>
        </row>
        <row r="9590">
          <cell r="B9590" t="str">
            <v>B272-400-AS-280-PP-017</v>
          </cell>
          <cell r="E9590" t="str">
            <v>G-25(3/6)</v>
          </cell>
        </row>
        <row r="9591">
          <cell r="B9591" t="str">
            <v>B272-400-AS-280-PP-017</v>
          </cell>
          <cell r="E9591" t="str">
            <v>G-25(4/6)</v>
          </cell>
        </row>
        <row r="9592">
          <cell r="B9592" t="str">
            <v>B272-400-AS-280-PP-017</v>
          </cell>
          <cell r="E9592" t="str">
            <v>G-25(5/6)</v>
          </cell>
        </row>
        <row r="9593">
          <cell r="B9593" t="str">
            <v>B272-400-AS-280-PP-017</v>
          </cell>
          <cell r="E9593" t="str">
            <v>G-25(6/6)</v>
          </cell>
        </row>
        <row r="9594">
          <cell r="B9594" t="str">
            <v>B272-400-AS-280-PP-017</v>
          </cell>
          <cell r="E9594" t="str">
            <v>P-400</v>
          </cell>
        </row>
        <row r="9595">
          <cell r="B9595" t="str">
            <v>B272-400-AS-280-PP-017</v>
          </cell>
          <cell r="E9595" t="str">
            <v>P-445(1/2)</v>
          </cell>
        </row>
        <row r="9596">
          <cell r="B9596" t="str">
            <v>B272-400-AS-280-PP-017</v>
          </cell>
          <cell r="E9596" t="str">
            <v>P-445(2/2)</v>
          </cell>
        </row>
        <row r="9597">
          <cell r="B9597" t="str">
            <v>B272-400-AS-280-PP-017</v>
          </cell>
          <cell r="E9597" t="str">
            <v>P-566</v>
          </cell>
        </row>
        <row r="9598">
          <cell r="B9598" t="str">
            <v>B272-400-AS-280-PP-017</v>
          </cell>
          <cell r="E9598" t="str">
            <v>P-570</v>
          </cell>
        </row>
        <row r="9599">
          <cell r="B9599" t="str">
            <v>B272-400-AS-280-PP-017</v>
          </cell>
          <cell r="E9599" t="str">
            <v>P-571</v>
          </cell>
        </row>
        <row r="9600">
          <cell r="B9600" t="str">
            <v>B272-400-AS-280-PP-017</v>
          </cell>
          <cell r="E9600" t="str">
            <v>P-572(1/2)</v>
          </cell>
        </row>
        <row r="9601">
          <cell r="B9601" t="str">
            <v>B272-400-AS-280-PP-017</v>
          </cell>
          <cell r="E9601" t="str">
            <v>P-572(2/2)</v>
          </cell>
        </row>
        <row r="9602">
          <cell r="B9602" t="str">
            <v>B272-400-AS-280-PP-017</v>
          </cell>
          <cell r="E9602" t="str">
            <v>W-20</v>
          </cell>
        </row>
        <row r="9603">
          <cell r="B9603" t="str">
            <v>B272-400-AS-280-PP-017</v>
          </cell>
          <cell r="E9603" t="str">
            <v>B1030</v>
          </cell>
        </row>
        <row r="9604">
          <cell r="B9604" t="str">
            <v>B272-400-AS-280-PP-017</v>
          </cell>
          <cell r="E9604" t="str">
            <v>B1035</v>
          </cell>
        </row>
        <row r="9605">
          <cell r="B9605" t="str">
            <v>B272-400-AS-280-PP-018</v>
          </cell>
          <cell r="E9605" t="str">
            <v>hoàng anh</v>
          </cell>
        </row>
        <row r="9606">
          <cell r="B9606" t="str">
            <v>B272-400-AS-280-PP-018</v>
          </cell>
          <cell r="E9606" t="str">
            <v>G-25(1/6)</v>
          </cell>
        </row>
        <row r="9607">
          <cell r="B9607" t="str">
            <v>B272-400-AS-280-PP-018</v>
          </cell>
          <cell r="E9607" t="str">
            <v>G-25(2/6)</v>
          </cell>
        </row>
        <row r="9608">
          <cell r="B9608" t="str">
            <v>B272-400-AS-280-PP-018</v>
          </cell>
          <cell r="E9608" t="str">
            <v>G-25(3/6)</v>
          </cell>
        </row>
        <row r="9609">
          <cell r="B9609" t="str">
            <v>B272-400-AS-280-PP-018</v>
          </cell>
          <cell r="E9609" t="str">
            <v>G-25(4/6)</v>
          </cell>
        </row>
        <row r="9610">
          <cell r="B9610" t="str">
            <v>B272-400-AS-280-PP-018</v>
          </cell>
          <cell r="E9610" t="str">
            <v>G-25(5/6)</v>
          </cell>
        </row>
        <row r="9611">
          <cell r="B9611" t="str">
            <v>B272-400-AS-280-PP-018</v>
          </cell>
          <cell r="E9611" t="str">
            <v>G-25(6/6)</v>
          </cell>
        </row>
        <row r="9612">
          <cell r="B9612" t="str">
            <v>B272-400-AS-280-PP-018</v>
          </cell>
          <cell r="E9612" t="str">
            <v>P-400</v>
          </cell>
        </row>
        <row r="9613">
          <cell r="B9613" t="str">
            <v>B272-400-AS-280-PP-018</v>
          </cell>
          <cell r="E9613" t="str">
            <v>P-445(1/2)</v>
          </cell>
        </row>
        <row r="9614">
          <cell r="B9614" t="str">
            <v>B272-400-AS-280-PP-018</v>
          </cell>
          <cell r="E9614" t="str">
            <v>P-445(2/2)</v>
          </cell>
        </row>
        <row r="9615">
          <cell r="B9615" t="str">
            <v>B272-400-AS-280-PP-018</v>
          </cell>
          <cell r="E9615" t="str">
            <v>P-566</v>
          </cell>
        </row>
        <row r="9616">
          <cell r="B9616" t="str">
            <v>B272-400-AS-280-PP-018</v>
          </cell>
          <cell r="E9616" t="str">
            <v>P-570</v>
          </cell>
        </row>
        <row r="9617">
          <cell r="B9617" t="str">
            <v>B272-400-AS-280-PP-018</v>
          </cell>
          <cell r="E9617" t="str">
            <v>P-571</v>
          </cell>
        </row>
        <row r="9618">
          <cell r="B9618" t="str">
            <v>B272-400-AS-280-PP-018</v>
          </cell>
          <cell r="E9618" t="str">
            <v>P-572(1/2)</v>
          </cell>
        </row>
        <row r="9619">
          <cell r="B9619" t="str">
            <v>B272-400-AS-280-PP-018</v>
          </cell>
          <cell r="E9619" t="str">
            <v>P-572(2/2)</v>
          </cell>
        </row>
        <row r="9620">
          <cell r="B9620" t="str">
            <v>B272-400-AS-280-PP-018</v>
          </cell>
          <cell r="E9620" t="str">
            <v>W-20</v>
          </cell>
        </row>
        <row r="9621">
          <cell r="B9621" t="str">
            <v>B272-400-AS-280-PP-018</v>
          </cell>
          <cell r="E9621" t="str">
            <v>B1030</v>
          </cell>
        </row>
        <row r="9622">
          <cell r="B9622" t="str">
            <v>B272-400-AS-280-PP-018</v>
          </cell>
          <cell r="E9622" t="str">
            <v>B1035</v>
          </cell>
        </row>
        <row r="9623">
          <cell r="B9623" t="str">
            <v>B272-400-AS-280-PP-019</v>
          </cell>
          <cell r="E9623" t="str">
            <v>hoàng anh</v>
          </cell>
        </row>
        <row r="9624">
          <cell r="B9624" t="str">
            <v>B272-400-AS-280-PP-019</v>
          </cell>
          <cell r="E9624" t="str">
            <v>G-25(1/6)</v>
          </cell>
        </row>
        <row r="9625">
          <cell r="B9625" t="str">
            <v>B272-400-AS-280-PP-019</v>
          </cell>
          <cell r="E9625" t="str">
            <v>G-25(2/6)</v>
          </cell>
        </row>
        <row r="9626">
          <cell r="B9626" t="str">
            <v>B272-400-AS-280-PP-019</v>
          </cell>
          <cell r="E9626" t="str">
            <v>G-25(3/6)</v>
          </cell>
        </row>
        <row r="9627">
          <cell r="B9627" t="str">
            <v>B272-400-AS-280-PP-019</v>
          </cell>
          <cell r="E9627" t="str">
            <v>G-25(4/6)</v>
          </cell>
        </row>
        <row r="9628">
          <cell r="B9628" t="str">
            <v>B272-400-AS-280-PP-019</v>
          </cell>
          <cell r="E9628" t="str">
            <v>G-25(5/6)</v>
          </cell>
        </row>
        <row r="9629">
          <cell r="B9629" t="str">
            <v>B272-400-AS-280-PP-019</v>
          </cell>
          <cell r="E9629" t="str">
            <v>G-25(6/6)</v>
          </cell>
        </row>
        <row r="9630">
          <cell r="B9630" t="str">
            <v>B272-400-AS-280-PP-019</v>
          </cell>
          <cell r="E9630" t="str">
            <v>P-400</v>
          </cell>
        </row>
        <row r="9631">
          <cell r="B9631" t="str">
            <v>B272-400-AS-280-PP-019</v>
          </cell>
          <cell r="E9631" t="str">
            <v>P-445(1/2)</v>
          </cell>
        </row>
        <row r="9632">
          <cell r="B9632" t="str">
            <v>B272-400-AS-280-PP-019</v>
          </cell>
          <cell r="E9632" t="str">
            <v>P-445(2/2)</v>
          </cell>
        </row>
        <row r="9633">
          <cell r="B9633" t="str">
            <v>B272-400-AS-280-PP-019</v>
          </cell>
          <cell r="E9633" t="str">
            <v>P-566</v>
          </cell>
        </row>
        <row r="9634">
          <cell r="B9634" t="str">
            <v>B272-400-AS-280-PP-019</v>
          </cell>
          <cell r="E9634" t="str">
            <v>P-570</v>
          </cell>
        </row>
        <row r="9635">
          <cell r="B9635" t="str">
            <v>B272-400-AS-280-PP-019</v>
          </cell>
          <cell r="E9635" t="str">
            <v>P-571</v>
          </cell>
        </row>
        <row r="9636">
          <cell r="B9636" t="str">
            <v>B272-400-AS-280-PP-019</v>
          </cell>
          <cell r="E9636" t="str">
            <v>P-573(1/2)</v>
          </cell>
        </row>
        <row r="9637">
          <cell r="B9637" t="str">
            <v>B272-400-AS-280-PP-019</v>
          </cell>
          <cell r="E9637" t="str">
            <v>P-573(2/2)</v>
          </cell>
        </row>
        <row r="9638">
          <cell r="B9638" t="str">
            <v>B272-400-AS-280-PP-019</v>
          </cell>
          <cell r="E9638" t="str">
            <v>W-21</v>
          </cell>
        </row>
        <row r="9639">
          <cell r="B9639" t="str">
            <v>B272-400-AS-280-PP-019</v>
          </cell>
          <cell r="E9639" t="str">
            <v>B1030</v>
          </cell>
        </row>
        <row r="9640">
          <cell r="B9640" t="str">
            <v>B272-400-AS-280-PP-019</v>
          </cell>
          <cell r="E9640" t="str">
            <v>B1035</v>
          </cell>
        </row>
        <row r="9641">
          <cell r="B9641" t="str">
            <v>B272-400-AS-280-PP-020</v>
          </cell>
          <cell r="E9641" t="str">
            <v>hoàng anh</v>
          </cell>
        </row>
        <row r="9642">
          <cell r="B9642" t="str">
            <v>B272-400-AS-280-PP-020</v>
          </cell>
          <cell r="E9642" t="str">
            <v>G-25(1/6)</v>
          </cell>
        </row>
        <row r="9643">
          <cell r="B9643" t="str">
            <v>B272-400-AS-280-PP-020</v>
          </cell>
          <cell r="E9643" t="str">
            <v>G-25(2/6)</v>
          </cell>
        </row>
        <row r="9644">
          <cell r="B9644" t="str">
            <v>B272-400-AS-280-PP-020</v>
          </cell>
          <cell r="E9644" t="str">
            <v>G-25(3/6)</v>
          </cell>
        </row>
        <row r="9645">
          <cell r="B9645" t="str">
            <v>B272-400-AS-280-PP-020</v>
          </cell>
          <cell r="E9645" t="str">
            <v>G-25(4/6)</v>
          </cell>
        </row>
        <row r="9646">
          <cell r="B9646" t="str">
            <v>B272-400-AS-280-PP-020</v>
          </cell>
          <cell r="E9646" t="str">
            <v>G-25(5/6)</v>
          </cell>
        </row>
        <row r="9647">
          <cell r="B9647" t="str">
            <v>B272-400-AS-280-PP-020</v>
          </cell>
          <cell r="E9647" t="str">
            <v>G-25(6/6)</v>
          </cell>
        </row>
        <row r="9648">
          <cell r="B9648" t="str">
            <v>B272-400-AS-280-PP-020</v>
          </cell>
          <cell r="E9648" t="str">
            <v>P-400</v>
          </cell>
        </row>
        <row r="9649">
          <cell r="B9649" t="str">
            <v>B272-400-AS-280-PP-020</v>
          </cell>
          <cell r="E9649" t="str">
            <v>P-445(1/2)</v>
          </cell>
        </row>
        <row r="9650">
          <cell r="B9650" t="str">
            <v>B272-400-AS-280-PP-020</v>
          </cell>
          <cell r="E9650" t="str">
            <v>P-445(2/2)</v>
          </cell>
        </row>
        <row r="9651">
          <cell r="B9651" t="str">
            <v>B272-400-AS-280-PP-020</v>
          </cell>
          <cell r="E9651" t="str">
            <v>P-566</v>
          </cell>
        </row>
        <row r="9652">
          <cell r="B9652" t="str">
            <v>B272-400-AS-280-PP-020</v>
          </cell>
          <cell r="E9652" t="str">
            <v>P-570</v>
          </cell>
        </row>
        <row r="9653">
          <cell r="B9653" t="str">
            <v>B272-400-AS-280-PP-020</v>
          </cell>
          <cell r="E9653" t="str">
            <v>P-571</v>
          </cell>
        </row>
        <row r="9654">
          <cell r="B9654" t="str">
            <v>B272-400-AS-280-PP-020</v>
          </cell>
          <cell r="E9654" t="str">
            <v>P-573(1/2)</v>
          </cell>
        </row>
        <row r="9655">
          <cell r="B9655" t="str">
            <v>B272-400-AS-280-PP-020</v>
          </cell>
          <cell r="E9655" t="str">
            <v>P-573(2/2)</v>
          </cell>
        </row>
        <row r="9656">
          <cell r="B9656" t="str">
            <v>B272-400-AS-280-PP-020</v>
          </cell>
          <cell r="E9656" t="str">
            <v>W-21</v>
          </cell>
        </row>
        <row r="9657">
          <cell r="B9657" t="str">
            <v>B272-400-AS-280-PP-020</v>
          </cell>
          <cell r="E9657" t="str">
            <v>B1030</v>
          </cell>
        </row>
        <row r="9658">
          <cell r="B9658" t="str">
            <v>B272-400-AS-280-PP-020</v>
          </cell>
          <cell r="E9658" t="str">
            <v>B1035</v>
          </cell>
        </row>
        <row r="9659">
          <cell r="B9659" t="str">
            <v>B272-400-AS-280-PP-021</v>
          </cell>
          <cell r="E9659" t="str">
            <v>hoàng anh</v>
          </cell>
        </row>
        <row r="9660">
          <cell r="B9660" t="str">
            <v>B272-400-AS-280-PP-021</v>
          </cell>
          <cell r="E9660" t="str">
            <v>G-25(1/6)</v>
          </cell>
        </row>
        <row r="9661">
          <cell r="B9661" t="str">
            <v>B272-400-AS-280-PP-021</v>
          </cell>
          <cell r="E9661" t="str">
            <v>G-25(2/6)</v>
          </cell>
        </row>
        <row r="9662">
          <cell r="B9662" t="str">
            <v>B272-400-AS-280-PP-021</v>
          </cell>
          <cell r="E9662" t="str">
            <v>G-25(3/6)</v>
          </cell>
        </row>
        <row r="9663">
          <cell r="B9663" t="str">
            <v>B272-400-AS-280-PP-021</v>
          </cell>
          <cell r="E9663" t="str">
            <v>G-25(4/6)</v>
          </cell>
        </row>
        <row r="9664">
          <cell r="B9664" t="str">
            <v>B272-400-AS-280-PP-021</v>
          </cell>
          <cell r="E9664" t="str">
            <v>G-25(5/6)</v>
          </cell>
        </row>
        <row r="9665">
          <cell r="B9665" t="str">
            <v>B272-400-AS-280-PP-021</v>
          </cell>
          <cell r="E9665" t="str">
            <v>G-25(6/6)</v>
          </cell>
        </row>
        <row r="9666">
          <cell r="B9666" t="str">
            <v>B272-400-AS-280-PP-021</v>
          </cell>
          <cell r="E9666" t="str">
            <v>P-400</v>
          </cell>
        </row>
        <row r="9667">
          <cell r="B9667" t="str">
            <v>B272-400-AS-280-PP-021</v>
          </cell>
          <cell r="E9667" t="str">
            <v>P-445(1/2)</v>
          </cell>
        </row>
        <row r="9668">
          <cell r="B9668" t="str">
            <v>B272-400-AS-280-PP-021</v>
          </cell>
          <cell r="E9668" t="str">
            <v>P-445(2/2)</v>
          </cell>
        </row>
        <row r="9669">
          <cell r="B9669" t="str">
            <v>B272-400-AS-280-PP-021</v>
          </cell>
          <cell r="E9669" t="str">
            <v>P-566</v>
          </cell>
        </row>
        <row r="9670">
          <cell r="B9670" t="str">
            <v>B272-400-AS-280-PP-021</v>
          </cell>
          <cell r="E9670" t="str">
            <v>P-570</v>
          </cell>
        </row>
        <row r="9671">
          <cell r="B9671" t="str">
            <v>B272-400-AS-280-PP-021</v>
          </cell>
          <cell r="E9671" t="str">
            <v>P-571</v>
          </cell>
        </row>
        <row r="9672">
          <cell r="B9672" t="str">
            <v>B272-400-AS-280-PP-021</v>
          </cell>
          <cell r="E9672" t="str">
            <v>P-573(1/2)</v>
          </cell>
        </row>
        <row r="9673">
          <cell r="B9673" t="str">
            <v>B272-400-AS-280-PP-021</v>
          </cell>
          <cell r="E9673" t="str">
            <v>P-573(2/2)</v>
          </cell>
        </row>
        <row r="9674">
          <cell r="B9674" t="str">
            <v>B272-400-AS-280-PP-021</v>
          </cell>
          <cell r="E9674" t="str">
            <v>W-21</v>
          </cell>
        </row>
        <row r="9675">
          <cell r="B9675" t="str">
            <v>B272-400-AS-280-PP-021</v>
          </cell>
          <cell r="E9675" t="str">
            <v>B1030</v>
          </cell>
        </row>
        <row r="9676">
          <cell r="B9676" t="str">
            <v>B272-400-AS-280-PP-021</v>
          </cell>
          <cell r="E9676" t="str">
            <v>B1035</v>
          </cell>
        </row>
        <row r="9677">
          <cell r="B9677" t="str">
            <v>B272-400-AS-280-PP-022</v>
          </cell>
          <cell r="E9677" t="str">
            <v>hoàng anh</v>
          </cell>
        </row>
        <row r="9678">
          <cell r="B9678" t="str">
            <v>B272-400-AS-280-PP-022</v>
          </cell>
          <cell r="E9678" t="str">
            <v>G-25(1/6)</v>
          </cell>
        </row>
        <row r="9679">
          <cell r="B9679" t="str">
            <v>B272-400-AS-280-PP-022</v>
          </cell>
          <cell r="E9679" t="str">
            <v>G-25(2/6)</v>
          </cell>
        </row>
        <row r="9680">
          <cell r="B9680" t="str">
            <v>B272-400-AS-280-PP-022</v>
          </cell>
          <cell r="E9680" t="str">
            <v>G-25(3/6)</v>
          </cell>
        </row>
        <row r="9681">
          <cell r="B9681" t="str">
            <v>B272-400-AS-280-PP-022</v>
          </cell>
          <cell r="E9681" t="str">
            <v>G-25(4/6)</v>
          </cell>
        </row>
        <row r="9682">
          <cell r="B9682" t="str">
            <v>B272-400-AS-280-PP-022</v>
          </cell>
          <cell r="E9682" t="str">
            <v>G-25(5/6)</v>
          </cell>
        </row>
        <row r="9683">
          <cell r="B9683" t="str">
            <v>B272-400-AS-280-PP-022</v>
          </cell>
          <cell r="E9683" t="str">
            <v>G-25(6/6)</v>
          </cell>
        </row>
        <row r="9684">
          <cell r="B9684" t="str">
            <v>B272-400-AS-280-PP-022</v>
          </cell>
          <cell r="E9684" t="str">
            <v>P-400</v>
          </cell>
        </row>
        <row r="9685">
          <cell r="B9685" t="str">
            <v>B272-400-AS-280-PP-022</v>
          </cell>
          <cell r="E9685" t="str">
            <v>P-445(1/2)</v>
          </cell>
        </row>
        <row r="9686">
          <cell r="B9686" t="str">
            <v>B272-400-AS-280-PP-022</v>
          </cell>
          <cell r="E9686" t="str">
            <v>P-445(2/2)</v>
          </cell>
        </row>
        <row r="9687">
          <cell r="B9687" t="str">
            <v>B272-400-AS-280-PP-022</v>
          </cell>
          <cell r="E9687" t="str">
            <v>P-566</v>
          </cell>
        </row>
        <row r="9688">
          <cell r="B9688" t="str">
            <v>B272-400-AS-280-PP-022</v>
          </cell>
          <cell r="E9688" t="str">
            <v>P-570</v>
          </cell>
        </row>
        <row r="9689">
          <cell r="B9689" t="str">
            <v>B272-400-AS-280-PP-022</v>
          </cell>
          <cell r="E9689" t="str">
            <v>P-571</v>
          </cell>
        </row>
        <row r="9690">
          <cell r="B9690" t="str">
            <v>B272-400-AS-280-PP-022</v>
          </cell>
          <cell r="E9690" t="str">
            <v>P-573(1/2)</v>
          </cell>
        </row>
        <row r="9691">
          <cell r="B9691" t="str">
            <v>B272-400-AS-280-PP-022</v>
          </cell>
          <cell r="E9691" t="str">
            <v>P-573(2/2)</v>
          </cell>
        </row>
        <row r="9692">
          <cell r="B9692" t="str">
            <v>B272-400-AS-280-PP-022</v>
          </cell>
          <cell r="E9692" t="str">
            <v>W-82</v>
          </cell>
        </row>
        <row r="9693">
          <cell r="B9693" t="str">
            <v>B272-400-AS-280-PP-022</v>
          </cell>
          <cell r="E9693" t="str">
            <v>B1030</v>
          </cell>
        </row>
        <row r="9694">
          <cell r="B9694" t="str">
            <v>B272-400-AS-280-PP-022</v>
          </cell>
          <cell r="E9694" t="str">
            <v>B1035</v>
          </cell>
        </row>
        <row r="9695">
          <cell r="B9695" t="str">
            <v>B272-400-AS-280-PP-023</v>
          </cell>
          <cell r="E9695" t="str">
            <v>convection</v>
          </cell>
        </row>
        <row r="9696">
          <cell r="B9696" t="str">
            <v>B272-400-AS-280-PP-023</v>
          </cell>
          <cell r="E9696" t="str">
            <v>G-25(1/6)</v>
          </cell>
        </row>
        <row r="9697">
          <cell r="B9697" t="str">
            <v>B272-400-AS-280-PP-023</v>
          </cell>
          <cell r="E9697" t="str">
            <v>G-25(2/6)</v>
          </cell>
        </row>
        <row r="9698">
          <cell r="B9698" t="str">
            <v>B272-400-AS-280-PP-023</v>
          </cell>
          <cell r="E9698" t="str">
            <v>G-25(3/6)</v>
          </cell>
        </row>
        <row r="9699">
          <cell r="B9699" t="str">
            <v>B272-400-AS-280-PP-023</v>
          </cell>
          <cell r="E9699" t="str">
            <v>G-25(4/6)</v>
          </cell>
        </row>
        <row r="9700">
          <cell r="B9700" t="str">
            <v>B272-400-AS-280-PP-023</v>
          </cell>
          <cell r="E9700" t="str">
            <v>G-25(5/6)</v>
          </cell>
        </row>
        <row r="9701">
          <cell r="B9701" t="str">
            <v>B272-400-AS-280-PP-023</v>
          </cell>
          <cell r="E9701" t="str">
            <v>G-25(6/6)</v>
          </cell>
        </row>
        <row r="9702">
          <cell r="B9702" t="str">
            <v>B272-400-AS-280-PP-023</v>
          </cell>
          <cell r="E9702" t="str">
            <v>P-445</v>
          </cell>
        </row>
        <row r="9703">
          <cell r="B9703" t="str">
            <v>B272-400-AS-280-PP-023</v>
          </cell>
          <cell r="E9703" t="str">
            <v>P-600(1/2)</v>
          </cell>
        </row>
        <row r="9704">
          <cell r="B9704" t="str">
            <v>B272-400-AS-280-PP-023</v>
          </cell>
          <cell r="E9704" t="str">
            <v>P-600(2/2)</v>
          </cell>
        </row>
        <row r="9705">
          <cell r="B9705" t="str">
            <v>B272-400-AS-280-PP-023</v>
          </cell>
          <cell r="E9705" t="str">
            <v>P-602</v>
          </cell>
        </row>
        <row r="9706">
          <cell r="B9706" t="str">
            <v>B272-400-AS-280-PP-023</v>
          </cell>
          <cell r="E9706" t="str">
            <v>P-607(1/2)</v>
          </cell>
        </row>
        <row r="9707">
          <cell r="B9707" t="str">
            <v>B272-400-AS-280-PP-023</v>
          </cell>
          <cell r="E9707" t="str">
            <v>P-607(2/2)</v>
          </cell>
        </row>
        <row r="9708">
          <cell r="B9708" t="str">
            <v>B272-400-AS-280-PP-023</v>
          </cell>
          <cell r="E9708" t="str">
            <v>P-612</v>
          </cell>
        </row>
        <row r="9709">
          <cell r="B9709" t="str">
            <v>B272-400-AS-280-PP-023</v>
          </cell>
          <cell r="E9709" t="str">
            <v>P-615(1/2)</v>
          </cell>
        </row>
        <row r="9710">
          <cell r="B9710" t="str">
            <v>B272-400-AS-280-PP-023</v>
          </cell>
          <cell r="E9710" t="str">
            <v>P-615(2/2)</v>
          </cell>
        </row>
        <row r="9711">
          <cell r="B9711" t="str">
            <v>B272-400-AS-280-PP-023</v>
          </cell>
          <cell r="E9711" t="str">
            <v>P-623(1/2)</v>
          </cell>
        </row>
        <row r="9712">
          <cell r="B9712" t="str">
            <v>B272-400-AS-280-PP-023</v>
          </cell>
          <cell r="E9712" t="str">
            <v>P-623(2/2)</v>
          </cell>
        </row>
        <row r="9713">
          <cell r="B9713" t="str">
            <v>B272-400-AS-280-PP-023</v>
          </cell>
          <cell r="E9713" t="str">
            <v>P-635</v>
          </cell>
        </row>
        <row r="9714">
          <cell r="B9714" t="str">
            <v>B272-400-AS-280-PP-023</v>
          </cell>
          <cell r="E9714" t="str">
            <v>W-29</v>
          </cell>
        </row>
        <row r="9715">
          <cell r="B9715" t="str">
            <v>B272-400-AS-280-PP-023</v>
          </cell>
          <cell r="E9715" t="str">
            <v>B1030</v>
          </cell>
        </row>
        <row r="9716">
          <cell r="B9716" t="str">
            <v>B272-400-AS-280-PP-023</v>
          </cell>
          <cell r="E9716" t="str">
            <v>B1035</v>
          </cell>
        </row>
        <row r="9717">
          <cell r="B9717" t="str">
            <v>B272-400-AS-280-PP-024</v>
          </cell>
          <cell r="E9717" t="str">
            <v>convection</v>
          </cell>
        </row>
        <row r="9718">
          <cell r="B9718" t="str">
            <v>B272-400-AS-280-PP-024</v>
          </cell>
          <cell r="E9718" t="str">
            <v>G-25(1/6)</v>
          </cell>
        </row>
        <row r="9719">
          <cell r="B9719" t="str">
            <v>B272-400-AS-280-PP-024</v>
          </cell>
          <cell r="E9719" t="str">
            <v>G-25(2/6)</v>
          </cell>
        </row>
        <row r="9720">
          <cell r="B9720" t="str">
            <v>B272-400-AS-280-PP-024</v>
          </cell>
          <cell r="E9720" t="str">
            <v>G-25(3/6)</v>
          </cell>
        </row>
        <row r="9721">
          <cell r="B9721" t="str">
            <v>B272-400-AS-280-PP-024</v>
          </cell>
          <cell r="E9721" t="str">
            <v>G-25(4/6)</v>
          </cell>
        </row>
        <row r="9722">
          <cell r="B9722" t="str">
            <v>B272-400-AS-280-PP-024</v>
          </cell>
          <cell r="E9722" t="str">
            <v>G-25(5/6)</v>
          </cell>
        </row>
        <row r="9723">
          <cell r="B9723" t="str">
            <v>B272-400-AS-280-PP-024</v>
          </cell>
          <cell r="E9723" t="str">
            <v>G-25(6/6)</v>
          </cell>
        </row>
        <row r="9724">
          <cell r="B9724" t="str">
            <v>B272-400-AS-280-PP-024</v>
          </cell>
          <cell r="E9724" t="str">
            <v>P-445</v>
          </cell>
        </row>
        <row r="9725">
          <cell r="B9725" t="str">
            <v>B272-400-AS-280-PP-024</v>
          </cell>
          <cell r="E9725" t="str">
            <v>P-600(1/2)</v>
          </cell>
        </row>
        <row r="9726">
          <cell r="B9726" t="str">
            <v>B272-400-AS-280-PP-024</v>
          </cell>
          <cell r="E9726" t="str">
            <v>P-600(2/2)</v>
          </cell>
        </row>
        <row r="9727">
          <cell r="B9727" t="str">
            <v>B272-400-AS-280-PP-024</v>
          </cell>
          <cell r="E9727" t="str">
            <v>P-602</v>
          </cell>
        </row>
        <row r="9728">
          <cell r="B9728" t="str">
            <v>B272-400-AS-280-PP-024</v>
          </cell>
          <cell r="E9728" t="str">
            <v>P-607(1/2)</v>
          </cell>
        </row>
        <row r="9729">
          <cell r="B9729" t="str">
            <v>B272-400-AS-280-PP-024</v>
          </cell>
          <cell r="E9729" t="str">
            <v>P-607(2/2)</v>
          </cell>
        </row>
        <row r="9730">
          <cell r="B9730" t="str">
            <v>B272-400-AS-280-PP-024</v>
          </cell>
          <cell r="E9730" t="str">
            <v>P-612</v>
          </cell>
        </row>
        <row r="9731">
          <cell r="B9731" t="str">
            <v>B272-400-AS-280-PP-024</v>
          </cell>
          <cell r="E9731" t="str">
            <v>P-615(1/2)</v>
          </cell>
        </row>
        <row r="9732">
          <cell r="B9732" t="str">
            <v>B272-400-AS-280-PP-024</v>
          </cell>
          <cell r="E9732" t="str">
            <v>P-615(2/2)</v>
          </cell>
        </row>
        <row r="9733">
          <cell r="B9733" t="str">
            <v>B272-400-AS-280-PP-024</v>
          </cell>
          <cell r="E9733" t="str">
            <v>P-623(1/2)</v>
          </cell>
        </row>
        <row r="9734">
          <cell r="B9734" t="str">
            <v>B272-400-AS-280-PP-024</v>
          </cell>
          <cell r="E9734" t="str">
            <v>P-623(2/2)</v>
          </cell>
        </row>
        <row r="9735">
          <cell r="B9735" t="str">
            <v>B272-400-AS-280-PP-024</v>
          </cell>
          <cell r="E9735" t="str">
            <v>P-635</v>
          </cell>
        </row>
        <row r="9736">
          <cell r="B9736" t="str">
            <v>B272-400-AS-280-PP-024</v>
          </cell>
          <cell r="E9736" t="str">
            <v>W-73</v>
          </cell>
        </row>
        <row r="9737">
          <cell r="B9737" t="str">
            <v>B272-400-AS-280-PP-024</v>
          </cell>
          <cell r="E9737" t="str">
            <v>B1030</v>
          </cell>
        </row>
        <row r="9738">
          <cell r="B9738" t="str">
            <v>B272-400-AS-280-PP-024</v>
          </cell>
          <cell r="E9738" t="str">
            <v>B1035</v>
          </cell>
        </row>
        <row r="9739">
          <cell r="B9739" t="str">
            <v>B272-400-AS-280-PP-025</v>
          </cell>
          <cell r="E9739" t="str">
            <v>convection</v>
          </cell>
        </row>
        <row r="9740">
          <cell r="B9740" t="str">
            <v>B272-400-AS-280-PP-025</v>
          </cell>
          <cell r="E9740" t="str">
            <v>G-25(1/6)</v>
          </cell>
        </row>
        <row r="9741">
          <cell r="B9741" t="str">
            <v>B272-400-AS-280-PP-025</v>
          </cell>
          <cell r="E9741" t="str">
            <v>G-25(2/6)</v>
          </cell>
        </row>
        <row r="9742">
          <cell r="B9742" t="str">
            <v>B272-400-AS-280-PP-025</v>
          </cell>
          <cell r="E9742" t="str">
            <v>G-25(3/6)</v>
          </cell>
        </row>
        <row r="9743">
          <cell r="B9743" t="str">
            <v>B272-400-AS-280-PP-025</v>
          </cell>
          <cell r="E9743" t="str">
            <v>G-25(4/6)</v>
          </cell>
        </row>
        <row r="9744">
          <cell r="B9744" t="str">
            <v>B272-400-AS-280-PP-025</v>
          </cell>
          <cell r="E9744" t="str">
            <v>G-25(5/6)</v>
          </cell>
        </row>
        <row r="9745">
          <cell r="B9745" t="str">
            <v>B272-400-AS-280-PP-025</v>
          </cell>
          <cell r="E9745" t="str">
            <v>G-25(6/6)</v>
          </cell>
        </row>
        <row r="9746">
          <cell r="B9746" t="str">
            <v>B272-400-AS-280-PP-025</v>
          </cell>
          <cell r="E9746" t="str">
            <v>P-400</v>
          </cell>
        </row>
        <row r="9747">
          <cell r="B9747" t="str">
            <v>B272-400-AS-280-PP-025</v>
          </cell>
          <cell r="E9747" t="str">
            <v>P-417</v>
          </cell>
        </row>
        <row r="9748">
          <cell r="B9748" t="str">
            <v>B272-400-AS-280-PP-025</v>
          </cell>
          <cell r="E9748" t="str">
            <v>P-418(1/2)</v>
          </cell>
        </row>
        <row r="9749">
          <cell r="B9749" t="str">
            <v>B272-400-AS-280-PP-025</v>
          </cell>
          <cell r="E9749" t="str">
            <v>P-418(2/2)</v>
          </cell>
        </row>
        <row r="9750">
          <cell r="B9750" t="str">
            <v>B272-400-AS-280-PP-025</v>
          </cell>
          <cell r="E9750" t="str">
            <v>P-420</v>
          </cell>
        </row>
        <row r="9751">
          <cell r="B9751" t="str">
            <v>B272-400-AS-280-PP-025</v>
          </cell>
          <cell r="E9751" t="str">
            <v>P-433</v>
          </cell>
        </row>
        <row r="9752">
          <cell r="B9752" t="str">
            <v>B272-400-AS-280-PP-025</v>
          </cell>
          <cell r="E9752" t="str">
            <v>P-434</v>
          </cell>
        </row>
        <row r="9753">
          <cell r="B9753" t="str">
            <v>B272-400-AS-280-PP-025</v>
          </cell>
          <cell r="E9753" t="str">
            <v>P-436</v>
          </cell>
        </row>
        <row r="9754">
          <cell r="B9754" t="str">
            <v>B272-400-AS-280-PP-025</v>
          </cell>
          <cell r="E9754" t="str">
            <v>P-437</v>
          </cell>
        </row>
        <row r="9755">
          <cell r="B9755" t="str">
            <v>B272-400-AS-280-PP-025</v>
          </cell>
          <cell r="E9755" t="str">
            <v>P-1009</v>
          </cell>
        </row>
        <row r="9756">
          <cell r="B9756" t="str">
            <v>B272-400-AS-280-PP-025</v>
          </cell>
          <cell r="E9756" t="str">
            <v>W-8</v>
          </cell>
        </row>
        <row r="9757">
          <cell r="B9757" t="str">
            <v>B272-400-AS-280-PP-025</v>
          </cell>
          <cell r="E9757" t="str">
            <v>B1030</v>
          </cell>
        </row>
        <row r="9758">
          <cell r="B9758" t="str">
            <v>B272-400-AS-280-PP-025</v>
          </cell>
          <cell r="E9758" t="str">
            <v>B1035</v>
          </cell>
        </row>
        <row r="9759">
          <cell r="B9759" t="str">
            <v>B272-400-AS-280-PP-026</v>
          </cell>
          <cell r="E9759" t="str">
            <v>hoàng anh</v>
          </cell>
        </row>
        <row r="9760">
          <cell r="B9760" t="str">
            <v>B272-400-AS-280-PP-026</v>
          </cell>
          <cell r="E9760" t="str">
            <v>G-25(1/6)</v>
          </cell>
        </row>
        <row r="9761">
          <cell r="B9761" t="str">
            <v>B272-400-AS-280-PP-026</v>
          </cell>
          <cell r="E9761" t="str">
            <v>G-25(2/6)</v>
          </cell>
        </row>
        <row r="9762">
          <cell r="B9762" t="str">
            <v>B272-400-AS-280-PP-026</v>
          </cell>
          <cell r="E9762" t="str">
            <v>G-25(3/6)</v>
          </cell>
        </row>
        <row r="9763">
          <cell r="B9763" t="str">
            <v>B272-400-AS-280-PP-026</v>
          </cell>
          <cell r="E9763" t="str">
            <v>G-25(4/6)</v>
          </cell>
        </row>
        <row r="9764">
          <cell r="B9764" t="str">
            <v>B272-400-AS-280-PP-026</v>
          </cell>
          <cell r="E9764" t="str">
            <v>G-25(5/6)</v>
          </cell>
        </row>
        <row r="9765">
          <cell r="B9765" t="str">
            <v>B272-400-AS-280-PP-026</v>
          </cell>
          <cell r="E9765" t="str">
            <v>G-25(6/6)</v>
          </cell>
        </row>
        <row r="9766">
          <cell r="B9766" t="str">
            <v>B272-400-AS-280-PP-026</v>
          </cell>
          <cell r="E9766" t="str">
            <v>P-400</v>
          </cell>
        </row>
        <row r="9767">
          <cell r="B9767" t="str">
            <v>B272-400-AS-280-PP-026</v>
          </cell>
          <cell r="E9767" t="str">
            <v>P-445(1/2)</v>
          </cell>
        </row>
        <row r="9768">
          <cell r="B9768" t="str">
            <v>B272-400-AS-280-PP-026</v>
          </cell>
          <cell r="E9768" t="str">
            <v>P-445(2/2)</v>
          </cell>
        </row>
        <row r="9769">
          <cell r="B9769" t="str">
            <v>B272-400-AS-280-PP-026</v>
          </cell>
          <cell r="E9769" t="str">
            <v>P-574</v>
          </cell>
        </row>
        <row r="9770">
          <cell r="B9770" t="str">
            <v>B272-400-AS-280-PP-026</v>
          </cell>
          <cell r="E9770" t="str">
            <v>P-575</v>
          </cell>
        </row>
        <row r="9771">
          <cell r="B9771" t="str">
            <v>B272-400-AS-280-PP-026</v>
          </cell>
          <cell r="E9771" t="str">
            <v>P-576</v>
          </cell>
        </row>
        <row r="9772">
          <cell r="B9772" t="str">
            <v>B272-400-AS-280-PP-026</v>
          </cell>
          <cell r="E9772" t="str">
            <v>P-577</v>
          </cell>
        </row>
        <row r="9773">
          <cell r="B9773" t="str">
            <v>B272-400-AS-280-PP-026</v>
          </cell>
          <cell r="E9773" t="str">
            <v>P-1094</v>
          </cell>
        </row>
        <row r="9774">
          <cell r="B9774" t="str">
            <v>B272-400-AS-280-PP-026</v>
          </cell>
          <cell r="E9774" t="str">
            <v>P-1095</v>
          </cell>
        </row>
        <row r="9775">
          <cell r="B9775" t="str">
            <v>B272-400-AS-280-PP-026</v>
          </cell>
          <cell r="E9775" t="str">
            <v>P-1096</v>
          </cell>
        </row>
        <row r="9776">
          <cell r="B9776" t="str">
            <v>B272-400-AS-280-PP-026</v>
          </cell>
          <cell r="E9776" t="str">
            <v>P-1097(1/2)</v>
          </cell>
        </row>
        <row r="9777">
          <cell r="B9777" t="str">
            <v>B272-400-AS-280-PP-026</v>
          </cell>
          <cell r="E9777" t="str">
            <v>P-1097(2/2)</v>
          </cell>
        </row>
        <row r="9778">
          <cell r="B9778" t="str">
            <v>B272-400-AS-280-PP-026</v>
          </cell>
          <cell r="E9778" t="str">
            <v>W-23</v>
          </cell>
        </row>
        <row r="9779">
          <cell r="B9779" t="str">
            <v>B272-400-AS-280-PP-026</v>
          </cell>
          <cell r="E9779" t="str">
            <v>B1035</v>
          </cell>
        </row>
        <row r="9780">
          <cell r="B9780" t="str">
            <v>B272-400-AS-280-PP-026</v>
          </cell>
          <cell r="E9780" t="str">
            <v>B1045</v>
          </cell>
        </row>
        <row r="9781">
          <cell r="B9781" t="str">
            <v>B272-400-AS-280-PP-027</v>
          </cell>
          <cell r="E9781" t="str">
            <v>hoàng anh</v>
          </cell>
        </row>
        <row r="9782">
          <cell r="B9782" t="str">
            <v>B272-400-AS-280-PP-027</v>
          </cell>
          <cell r="E9782" t="str">
            <v>G-25(1/6)</v>
          </cell>
        </row>
        <row r="9783">
          <cell r="B9783" t="str">
            <v>B272-400-AS-280-PP-027</v>
          </cell>
          <cell r="E9783" t="str">
            <v>G-25(2/6)</v>
          </cell>
        </row>
        <row r="9784">
          <cell r="B9784" t="str">
            <v>B272-400-AS-280-PP-027</v>
          </cell>
          <cell r="E9784" t="str">
            <v>G-25(3/6)</v>
          </cell>
        </row>
        <row r="9785">
          <cell r="B9785" t="str">
            <v>B272-400-AS-280-PP-027</v>
          </cell>
          <cell r="E9785" t="str">
            <v>G-25(4/6)</v>
          </cell>
        </row>
        <row r="9786">
          <cell r="B9786" t="str">
            <v>B272-400-AS-280-PP-027</v>
          </cell>
          <cell r="E9786" t="str">
            <v>G-25(5/6)</v>
          </cell>
        </row>
        <row r="9787">
          <cell r="B9787" t="str">
            <v>B272-400-AS-280-PP-027</v>
          </cell>
          <cell r="E9787" t="str">
            <v>G-25(6/6)</v>
          </cell>
        </row>
        <row r="9788">
          <cell r="B9788" t="str">
            <v>B272-400-AS-280-PP-027</v>
          </cell>
          <cell r="E9788" t="str">
            <v>P-400</v>
          </cell>
        </row>
        <row r="9789">
          <cell r="B9789" t="str">
            <v>B272-400-AS-280-PP-027</v>
          </cell>
          <cell r="E9789" t="str">
            <v>P-445(1/2)</v>
          </cell>
        </row>
        <row r="9790">
          <cell r="B9790" t="str">
            <v>B272-400-AS-280-PP-027</v>
          </cell>
          <cell r="E9790" t="str">
            <v>P-445(2/2)</v>
          </cell>
        </row>
        <row r="9791">
          <cell r="B9791" t="str">
            <v>B272-400-AS-280-PP-027</v>
          </cell>
          <cell r="E9791" t="str">
            <v>P-574</v>
          </cell>
        </row>
        <row r="9792">
          <cell r="B9792" t="str">
            <v>B272-400-AS-280-PP-027</v>
          </cell>
          <cell r="E9792" t="str">
            <v>P-575</v>
          </cell>
        </row>
        <row r="9793">
          <cell r="B9793" t="str">
            <v>B272-400-AS-280-PP-027</v>
          </cell>
          <cell r="E9793" t="str">
            <v>P-576</v>
          </cell>
        </row>
        <row r="9794">
          <cell r="B9794" t="str">
            <v>B272-400-AS-280-PP-027</v>
          </cell>
          <cell r="E9794" t="str">
            <v>P-577</v>
          </cell>
        </row>
        <row r="9795">
          <cell r="B9795" t="str">
            <v>B272-400-AS-280-PP-027</v>
          </cell>
          <cell r="E9795" t="str">
            <v>P-1094</v>
          </cell>
        </row>
        <row r="9796">
          <cell r="B9796" t="str">
            <v>B272-400-AS-280-PP-027</v>
          </cell>
          <cell r="E9796" t="str">
            <v>P-1095</v>
          </cell>
        </row>
        <row r="9797">
          <cell r="B9797" t="str">
            <v>B272-400-AS-280-PP-027</v>
          </cell>
          <cell r="E9797" t="str">
            <v>P-1096</v>
          </cell>
        </row>
        <row r="9798">
          <cell r="B9798" t="str">
            <v>B272-400-AS-280-PP-027</v>
          </cell>
          <cell r="E9798" t="str">
            <v>P-1097(1/2)</v>
          </cell>
        </row>
        <row r="9799">
          <cell r="B9799" t="str">
            <v>B272-400-AS-280-PP-027</v>
          </cell>
          <cell r="E9799" t="str">
            <v>P-1097(2/2)</v>
          </cell>
        </row>
        <row r="9800">
          <cell r="B9800" t="str">
            <v>B272-400-AS-280-PP-027</v>
          </cell>
          <cell r="E9800" t="str">
            <v>W-23</v>
          </cell>
        </row>
        <row r="9801">
          <cell r="B9801" t="str">
            <v>B272-400-AS-280-PP-027</v>
          </cell>
          <cell r="E9801" t="str">
            <v>B1035</v>
          </cell>
        </row>
        <row r="9802">
          <cell r="B9802" t="str">
            <v>B272-400-AS-280-PP-027</v>
          </cell>
          <cell r="E9802" t="str">
            <v>B1045</v>
          </cell>
        </row>
        <row r="9803">
          <cell r="B9803" t="str">
            <v>B272-400-AS-280-PP-028</v>
          </cell>
          <cell r="E9803" t="str">
            <v>hoàng anh</v>
          </cell>
        </row>
        <row r="9804">
          <cell r="B9804" t="str">
            <v>B272-400-AS-280-PP-028</v>
          </cell>
          <cell r="E9804" t="str">
            <v>G-25(1/6)</v>
          </cell>
        </row>
        <row r="9805">
          <cell r="B9805" t="str">
            <v>B272-400-AS-280-PP-028</v>
          </cell>
          <cell r="E9805" t="str">
            <v>G-25(2/6)</v>
          </cell>
        </row>
        <row r="9806">
          <cell r="B9806" t="str">
            <v>B272-400-AS-280-PP-028</v>
          </cell>
          <cell r="E9806" t="str">
            <v>G-25(3/6)</v>
          </cell>
        </row>
        <row r="9807">
          <cell r="B9807" t="str">
            <v>B272-400-AS-280-PP-028</v>
          </cell>
          <cell r="E9807" t="str">
            <v>G-25(4/6)</v>
          </cell>
        </row>
        <row r="9808">
          <cell r="B9808" t="str">
            <v>B272-400-AS-280-PP-028</v>
          </cell>
          <cell r="E9808" t="str">
            <v>G-25(5/6)</v>
          </cell>
        </row>
        <row r="9809">
          <cell r="B9809" t="str">
            <v>B272-400-AS-280-PP-028</v>
          </cell>
          <cell r="E9809" t="str">
            <v>G-25(6/6)</v>
          </cell>
        </row>
        <row r="9810">
          <cell r="B9810" t="str">
            <v>B272-400-AS-280-PP-028</v>
          </cell>
          <cell r="E9810" t="str">
            <v>P-445(1/2)</v>
          </cell>
        </row>
        <row r="9811">
          <cell r="B9811" t="str">
            <v>B272-400-AS-280-PP-028</v>
          </cell>
          <cell r="E9811" t="str">
            <v>P-445(2/2)</v>
          </cell>
        </row>
        <row r="9812">
          <cell r="B9812" t="str">
            <v>B272-400-AS-280-PP-028</v>
          </cell>
          <cell r="E9812" t="str">
            <v>P-566</v>
          </cell>
        </row>
        <row r="9813">
          <cell r="B9813" t="str">
            <v>B272-400-AS-280-PP-028</v>
          </cell>
          <cell r="E9813" t="str">
            <v>P-570</v>
          </cell>
        </row>
        <row r="9814">
          <cell r="B9814" t="str">
            <v>B272-400-AS-280-PP-028</v>
          </cell>
          <cell r="E9814" t="str">
            <v>P-571</v>
          </cell>
        </row>
        <row r="9815">
          <cell r="B9815" t="str">
            <v>B272-400-AS-280-PP-028</v>
          </cell>
          <cell r="E9815" t="str">
            <v>P-572(1/2)</v>
          </cell>
        </row>
        <row r="9816">
          <cell r="B9816" t="str">
            <v>B272-400-AS-280-PP-028</v>
          </cell>
          <cell r="E9816" t="str">
            <v>P-572(2/2)</v>
          </cell>
        </row>
        <row r="9817">
          <cell r="B9817" t="str">
            <v>B272-400-AS-280-PP-028</v>
          </cell>
          <cell r="E9817" t="str">
            <v>P-574</v>
          </cell>
        </row>
        <row r="9818">
          <cell r="B9818" t="str">
            <v>B272-400-AS-280-PP-028</v>
          </cell>
          <cell r="E9818" t="str">
            <v>P-576</v>
          </cell>
        </row>
        <row r="9819">
          <cell r="B9819" t="str">
            <v>B272-400-AS-280-PP-028</v>
          </cell>
          <cell r="E9819" t="str">
            <v>P-577</v>
          </cell>
        </row>
        <row r="9820">
          <cell r="B9820" t="str">
            <v>B272-400-AS-280-PP-028</v>
          </cell>
          <cell r="E9820" t="str">
            <v>P-578</v>
          </cell>
        </row>
        <row r="9821">
          <cell r="B9821" t="str">
            <v>B272-400-AS-280-PP-028</v>
          </cell>
          <cell r="E9821" t="str">
            <v>P-1095</v>
          </cell>
        </row>
        <row r="9822">
          <cell r="B9822" t="str">
            <v>B272-400-AS-280-PP-028</v>
          </cell>
          <cell r="E9822" t="str">
            <v>P-1096</v>
          </cell>
        </row>
        <row r="9823">
          <cell r="B9823" t="str">
            <v>B272-400-AS-280-PP-028</v>
          </cell>
          <cell r="E9823" t="str">
            <v>P-1097(1/2)</v>
          </cell>
        </row>
        <row r="9824">
          <cell r="B9824" t="str">
            <v>B272-400-AS-280-PP-028</v>
          </cell>
          <cell r="E9824" t="str">
            <v>P-1097(2/2)</v>
          </cell>
        </row>
        <row r="9825">
          <cell r="B9825" t="str">
            <v>B272-400-AS-280-PP-028</v>
          </cell>
          <cell r="E9825" t="str">
            <v>P-1098</v>
          </cell>
        </row>
        <row r="9826">
          <cell r="B9826" t="str">
            <v>B272-400-AS-280-PP-028</v>
          </cell>
          <cell r="E9826" t="str">
            <v>W-27</v>
          </cell>
        </row>
        <row r="9827">
          <cell r="B9827" t="str">
            <v>B272-400-AS-280-PP-028</v>
          </cell>
          <cell r="E9827" t="str">
            <v>B1030</v>
          </cell>
        </row>
        <row r="9828">
          <cell r="B9828" t="str">
            <v>B272-400-AS-280-PP-028</v>
          </cell>
          <cell r="E9828" t="str">
            <v>B1035</v>
          </cell>
        </row>
        <row r="9829">
          <cell r="B9829" t="str">
            <v>B272-400-AS-280-PP-028</v>
          </cell>
          <cell r="E9829" t="str">
            <v>B1045</v>
          </cell>
        </row>
        <row r="9830">
          <cell r="B9830" t="str">
            <v>B272-400-AS-280-PP-029</v>
          </cell>
          <cell r="E9830" t="str">
            <v>hoàng anh</v>
          </cell>
        </row>
        <row r="9831">
          <cell r="B9831" t="str">
            <v>B272-400-AS-280-PP-029</v>
          </cell>
          <cell r="E9831" t="str">
            <v>G-25(1/6)</v>
          </cell>
        </row>
        <row r="9832">
          <cell r="B9832" t="str">
            <v>B272-400-AS-280-PP-029</v>
          </cell>
          <cell r="E9832" t="str">
            <v>G-25(2/6)</v>
          </cell>
        </row>
        <row r="9833">
          <cell r="B9833" t="str">
            <v>B272-400-AS-280-PP-029</v>
          </cell>
          <cell r="E9833" t="str">
            <v>G-25(3/6)</v>
          </cell>
        </row>
        <row r="9834">
          <cell r="B9834" t="str">
            <v>B272-400-AS-280-PP-029</v>
          </cell>
          <cell r="E9834" t="str">
            <v>G-25(4/6)</v>
          </cell>
        </row>
        <row r="9835">
          <cell r="B9835" t="str">
            <v>B272-400-AS-280-PP-029</v>
          </cell>
          <cell r="E9835" t="str">
            <v>G-25(5/6)</v>
          </cell>
        </row>
        <row r="9836">
          <cell r="B9836" t="str">
            <v>B272-400-AS-280-PP-029</v>
          </cell>
          <cell r="E9836" t="str">
            <v>G-25(6/6)</v>
          </cell>
        </row>
        <row r="9837">
          <cell r="B9837" t="str">
            <v>B272-400-AS-280-PP-029</v>
          </cell>
          <cell r="E9837" t="str">
            <v>P-445(1/2)</v>
          </cell>
        </row>
        <row r="9838">
          <cell r="B9838" t="str">
            <v>B272-400-AS-280-PP-029</v>
          </cell>
          <cell r="E9838" t="str">
            <v>P-445(2/2)</v>
          </cell>
        </row>
        <row r="9839">
          <cell r="B9839" t="str">
            <v>B272-400-AS-280-PP-029</v>
          </cell>
          <cell r="E9839" t="str">
            <v>P-566</v>
          </cell>
        </row>
        <row r="9840">
          <cell r="B9840" t="str">
            <v>B272-400-AS-280-PP-029</v>
          </cell>
          <cell r="E9840" t="str">
            <v>P-570</v>
          </cell>
        </row>
        <row r="9841">
          <cell r="B9841" t="str">
            <v>B272-400-AS-280-PP-029</v>
          </cell>
          <cell r="E9841" t="str">
            <v>P-571</v>
          </cell>
        </row>
        <row r="9842">
          <cell r="B9842" t="str">
            <v>B272-400-AS-280-PP-029</v>
          </cell>
          <cell r="E9842" t="str">
            <v>P-572(1/2)</v>
          </cell>
        </row>
        <row r="9843">
          <cell r="B9843" t="str">
            <v>B272-400-AS-280-PP-029</v>
          </cell>
          <cell r="E9843" t="str">
            <v>P-572(2/2)</v>
          </cell>
        </row>
        <row r="9844">
          <cell r="B9844" t="str">
            <v>B272-400-AS-280-PP-029</v>
          </cell>
          <cell r="E9844" t="str">
            <v>P-574</v>
          </cell>
        </row>
        <row r="9845">
          <cell r="B9845" t="str">
            <v>B272-400-AS-280-PP-029</v>
          </cell>
          <cell r="E9845" t="str">
            <v>P-576</v>
          </cell>
        </row>
        <row r="9846">
          <cell r="B9846" t="str">
            <v>B272-400-AS-280-PP-029</v>
          </cell>
          <cell r="E9846" t="str">
            <v>P-577</v>
          </cell>
        </row>
        <row r="9847">
          <cell r="B9847" t="str">
            <v>B272-400-AS-280-PP-029</v>
          </cell>
          <cell r="E9847" t="str">
            <v>P-578</v>
          </cell>
        </row>
        <row r="9848">
          <cell r="B9848" t="str">
            <v>B272-400-AS-280-PP-029</v>
          </cell>
          <cell r="E9848" t="str">
            <v>P-1095</v>
          </cell>
        </row>
        <row r="9849">
          <cell r="B9849" t="str">
            <v>B272-400-AS-280-PP-029</v>
          </cell>
          <cell r="E9849" t="str">
            <v>P-1096</v>
          </cell>
        </row>
        <row r="9850">
          <cell r="B9850" t="str">
            <v>B272-400-AS-280-PP-029</v>
          </cell>
          <cell r="E9850" t="str">
            <v>P-1097(1/2)</v>
          </cell>
        </row>
        <row r="9851">
          <cell r="B9851" t="str">
            <v>B272-400-AS-280-PP-029</v>
          </cell>
          <cell r="E9851" t="str">
            <v>P-1097(2/2)</v>
          </cell>
        </row>
        <row r="9852">
          <cell r="B9852" t="str">
            <v>B272-400-AS-280-PP-029</v>
          </cell>
          <cell r="E9852" t="str">
            <v>P-1098</v>
          </cell>
        </row>
        <row r="9853">
          <cell r="B9853" t="str">
            <v>B272-400-AS-280-PP-029</v>
          </cell>
          <cell r="E9853" t="str">
            <v>W-27</v>
          </cell>
        </row>
        <row r="9854">
          <cell r="B9854" t="str">
            <v>B272-400-AS-280-PP-029</v>
          </cell>
          <cell r="E9854" t="str">
            <v>B1030</v>
          </cell>
        </row>
        <row r="9855">
          <cell r="B9855" t="str">
            <v>B272-400-AS-280-PP-029</v>
          </cell>
          <cell r="E9855" t="str">
            <v>B1035</v>
          </cell>
        </row>
        <row r="9856">
          <cell r="B9856" t="str">
            <v>B272-400-AS-280-PP-029</v>
          </cell>
          <cell r="E9856" t="str">
            <v>B1045</v>
          </cell>
        </row>
        <row r="9857">
          <cell r="B9857" t="str">
            <v>B272-400-AS-280-PP-030</v>
          </cell>
          <cell r="E9857" t="str">
            <v>stack</v>
          </cell>
        </row>
        <row r="9858">
          <cell r="B9858" t="str">
            <v>B272-400-AS-280-PP-030</v>
          </cell>
          <cell r="E9858" t="str">
            <v>G-25(1/6)</v>
          </cell>
        </row>
        <row r="9859">
          <cell r="B9859" t="str">
            <v>B272-400-AS-280-PP-030</v>
          </cell>
          <cell r="E9859" t="str">
            <v>G-25(2/6)</v>
          </cell>
        </row>
        <row r="9860">
          <cell r="B9860" t="str">
            <v>B272-400-AS-280-PP-030</v>
          </cell>
          <cell r="E9860" t="str">
            <v>G-25(3/6)</v>
          </cell>
        </row>
        <row r="9861">
          <cell r="B9861" t="str">
            <v>B272-400-AS-280-PP-030</v>
          </cell>
          <cell r="E9861" t="str">
            <v>G-25(4/6)</v>
          </cell>
        </row>
        <row r="9862">
          <cell r="B9862" t="str">
            <v>B272-400-AS-280-PP-030</v>
          </cell>
          <cell r="E9862" t="str">
            <v>G-25(5/6)</v>
          </cell>
        </row>
        <row r="9863">
          <cell r="B9863" t="str">
            <v>B272-400-AS-280-PP-030</v>
          </cell>
          <cell r="E9863" t="str">
            <v>G-25(6/6)</v>
          </cell>
        </row>
        <row r="9864">
          <cell r="B9864" t="str">
            <v>B272-400-AS-280-PP-030</v>
          </cell>
          <cell r="E9864" t="str">
            <v>P-567(1/2)</v>
          </cell>
        </row>
        <row r="9865">
          <cell r="B9865" t="str">
            <v>B272-400-AS-280-PP-030</v>
          </cell>
          <cell r="E9865" t="str">
            <v>P-567(2/2)</v>
          </cell>
        </row>
        <row r="9866">
          <cell r="B9866" t="str">
            <v>B272-400-AS-280-PP-030</v>
          </cell>
          <cell r="E9866" t="str">
            <v>P-1191(1/2)</v>
          </cell>
        </row>
        <row r="9867">
          <cell r="B9867" t="str">
            <v>B272-400-AS-280-PP-030</v>
          </cell>
          <cell r="E9867" t="str">
            <v>P-1191(2/2)</v>
          </cell>
        </row>
        <row r="9868">
          <cell r="B9868" t="str">
            <v>B272-400-AS-280-PP-030</v>
          </cell>
          <cell r="E9868" t="str">
            <v>W-78</v>
          </cell>
        </row>
        <row r="9869">
          <cell r="B9869" t="str">
            <v>B272-400-AS-280-PP-030</v>
          </cell>
          <cell r="E9869" t="str">
            <v>B1030</v>
          </cell>
        </row>
        <row r="9870">
          <cell r="B9870" t="str">
            <v>B272-400-AS-280-PP-030</v>
          </cell>
          <cell r="E9870" t="str">
            <v>B1035</v>
          </cell>
        </row>
        <row r="9871">
          <cell r="B9871" t="str">
            <v>B272-400-AS-280-PP-031</v>
          </cell>
          <cell r="E9871" t="str">
            <v>stack</v>
          </cell>
        </row>
        <row r="9872">
          <cell r="B9872" t="str">
            <v>B272-400-AS-280-PP-031</v>
          </cell>
          <cell r="E9872" t="str">
            <v>G-25(1/6)</v>
          </cell>
        </row>
        <row r="9873">
          <cell r="B9873" t="str">
            <v>B272-400-AS-280-PP-031</v>
          </cell>
          <cell r="E9873" t="str">
            <v>G-25(2/6)</v>
          </cell>
        </row>
        <row r="9874">
          <cell r="B9874" t="str">
            <v>B272-400-AS-280-PP-031</v>
          </cell>
          <cell r="E9874" t="str">
            <v>G-25(3/6)</v>
          </cell>
        </row>
        <row r="9875">
          <cell r="B9875" t="str">
            <v>B272-400-AS-280-PP-031</v>
          </cell>
          <cell r="E9875" t="str">
            <v>G-25(4/6)</v>
          </cell>
        </row>
        <row r="9876">
          <cell r="B9876" t="str">
            <v>B272-400-AS-280-PP-031</v>
          </cell>
          <cell r="E9876" t="str">
            <v>G-25(5/6)</v>
          </cell>
        </row>
        <row r="9877">
          <cell r="B9877" t="str">
            <v>B272-400-AS-280-PP-031</v>
          </cell>
          <cell r="E9877" t="str">
            <v>G-25(6/6)</v>
          </cell>
        </row>
        <row r="9878">
          <cell r="B9878" t="str">
            <v>B272-400-AS-280-PP-031</v>
          </cell>
          <cell r="E9878" t="str">
            <v>P-405(1/2)</v>
          </cell>
        </row>
        <row r="9879">
          <cell r="B9879" t="str">
            <v>B272-400-AS-280-PP-031</v>
          </cell>
          <cell r="E9879" t="str">
            <v>P-405(2/2)</v>
          </cell>
        </row>
        <row r="9880">
          <cell r="B9880" t="str">
            <v>B272-400-AS-280-PP-031</v>
          </cell>
          <cell r="E9880" t="str">
            <v>P-567(1/2)</v>
          </cell>
        </row>
        <row r="9881">
          <cell r="B9881" t="str">
            <v>B272-400-AS-280-PP-031</v>
          </cell>
          <cell r="E9881" t="str">
            <v>P-567(2/2)</v>
          </cell>
        </row>
        <row r="9882">
          <cell r="B9882" t="str">
            <v>B272-400-AS-280-PP-031</v>
          </cell>
          <cell r="E9882" t="str">
            <v>P-609(1/2)</v>
          </cell>
        </row>
        <row r="9883">
          <cell r="B9883" t="str">
            <v>B272-400-AS-280-PP-031</v>
          </cell>
          <cell r="E9883" t="str">
            <v>P-609(2/2)</v>
          </cell>
        </row>
        <row r="9884">
          <cell r="B9884" t="str">
            <v>B272-400-AS-280-PP-031</v>
          </cell>
          <cell r="E9884" t="str">
            <v>P-1192(1/2)</v>
          </cell>
        </row>
        <row r="9885">
          <cell r="B9885" t="str">
            <v>B272-400-AS-280-PP-031</v>
          </cell>
          <cell r="E9885" t="str">
            <v>P-1192(2/2)</v>
          </cell>
        </row>
        <row r="9886">
          <cell r="B9886" t="str">
            <v>B272-400-AS-280-PP-031</v>
          </cell>
          <cell r="E9886" t="str">
            <v>P-1257(1/2)</v>
          </cell>
        </row>
        <row r="9887">
          <cell r="B9887" t="str">
            <v>B272-400-AS-280-PP-031</v>
          </cell>
          <cell r="E9887" t="str">
            <v>P-1257(2/2)</v>
          </cell>
        </row>
        <row r="9888">
          <cell r="B9888" t="str">
            <v>B272-400-AS-280-PP-031</v>
          </cell>
          <cell r="E9888" t="str">
            <v>P-1259(1/2)</v>
          </cell>
        </row>
        <row r="9889">
          <cell r="B9889" t="str">
            <v>B272-400-AS-280-PP-031</v>
          </cell>
          <cell r="E9889" t="str">
            <v>P-1259(2/2)</v>
          </cell>
        </row>
        <row r="9890">
          <cell r="B9890" t="str">
            <v>B272-400-AS-280-PP-031</v>
          </cell>
          <cell r="E9890" t="str">
            <v>W-79</v>
          </cell>
        </row>
        <row r="9891">
          <cell r="B9891" t="str">
            <v>B272-400-AS-280-PP-031</v>
          </cell>
          <cell r="E9891" t="str">
            <v>B1030</v>
          </cell>
        </row>
        <row r="9892">
          <cell r="B9892" t="str">
            <v>B272-400-AS-280-PP-031</v>
          </cell>
          <cell r="E9892" t="str">
            <v>B1035</v>
          </cell>
        </row>
        <row r="9893">
          <cell r="B9893" t="str">
            <v>B272-400-AS-280-PP-031</v>
          </cell>
          <cell r="E9893" t="str">
            <v>B1040</v>
          </cell>
        </row>
        <row r="9894">
          <cell r="B9894" t="str">
            <v>B272-400-AS-280-PP-032</v>
          </cell>
          <cell r="E9894" t="str">
            <v>stack</v>
          </cell>
        </row>
        <row r="9895">
          <cell r="B9895" t="str">
            <v>B272-400-AS-280-PP-032</v>
          </cell>
          <cell r="E9895" t="str">
            <v>G-25(1/8)</v>
          </cell>
        </row>
        <row r="9896">
          <cell r="B9896" t="str">
            <v>B272-400-AS-280-PP-032</v>
          </cell>
          <cell r="E9896" t="str">
            <v>G-25(2/8)</v>
          </cell>
        </row>
        <row r="9897">
          <cell r="B9897" t="str">
            <v>B272-400-AS-280-PP-032</v>
          </cell>
          <cell r="E9897" t="str">
            <v>G-25(3/8)</v>
          </cell>
        </row>
        <row r="9898">
          <cell r="B9898" t="str">
            <v>B272-400-AS-280-PP-032</v>
          </cell>
          <cell r="E9898" t="str">
            <v>G-25(4/8)</v>
          </cell>
        </row>
        <row r="9899">
          <cell r="B9899" t="str">
            <v>B272-400-AS-280-PP-032</v>
          </cell>
          <cell r="E9899" t="str">
            <v>G-25(5/8)</v>
          </cell>
        </row>
        <row r="9900">
          <cell r="B9900" t="str">
            <v>B272-400-AS-280-PP-032</v>
          </cell>
          <cell r="E9900" t="str">
            <v>G-25(6/8)</v>
          </cell>
        </row>
        <row r="9901">
          <cell r="B9901" t="str">
            <v>B272-400-AS-280-PP-032</v>
          </cell>
          <cell r="E9901" t="str">
            <v>G-25(7/8)</v>
          </cell>
        </row>
        <row r="9902">
          <cell r="B9902" t="str">
            <v>B272-400-AS-280-PP-032</v>
          </cell>
          <cell r="E9902" t="str">
            <v>G-25(8/8)</v>
          </cell>
        </row>
        <row r="9903">
          <cell r="B9903" t="str">
            <v>B272-400-AS-280-PP-032</v>
          </cell>
          <cell r="E9903" t="str">
            <v>P-459</v>
          </cell>
        </row>
        <row r="9904">
          <cell r="B9904" t="str">
            <v>B272-400-AS-280-PP-032</v>
          </cell>
          <cell r="E9904" t="str">
            <v>P-609</v>
          </cell>
        </row>
        <row r="9905">
          <cell r="B9905" t="str">
            <v>B272-400-AS-280-PP-032</v>
          </cell>
          <cell r="E9905" t="str">
            <v>P-1192(1/2)</v>
          </cell>
        </row>
        <row r="9906">
          <cell r="B9906" t="str">
            <v>B272-400-AS-280-PP-032</v>
          </cell>
          <cell r="E9906" t="str">
            <v>P-1192(2/2)</v>
          </cell>
        </row>
        <row r="9907">
          <cell r="B9907" t="str">
            <v>B272-400-AS-280-PP-032</v>
          </cell>
          <cell r="E9907" t="str">
            <v>P-1252</v>
          </cell>
        </row>
        <row r="9908">
          <cell r="B9908" t="str">
            <v>B272-400-AS-280-PP-032</v>
          </cell>
          <cell r="E9908" t="str">
            <v>P-1253</v>
          </cell>
        </row>
        <row r="9909">
          <cell r="B9909" t="str">
            <v>B272-400-AS-280-PP-032</v>
          </cell>
          <cell r="E9909" t="str">
            <v>P-1260(1/2)</v>
          </cell>
        </row>
        <row r="9910">
          <cell r="B9910" t="str">
            <v>B272-400-AS-280-PP-032</v>
          </cell>
          <cell r="E9910" t="str">
            <v>P-1260(2/2)</v>
          </cell>
        </row>
        <row r="9911">
          <cell r="B9911" t="str">
            <v>B272-400-AS-280-PP-032</v>
          </cell>
          <cell r="E9911" t="str">
            <v>P-1268</v>
          </cell>
        </row>
        <row r="9912">
          <cell r="B9912" t="str">
            <v>B272-400-AS-280-PP-032</v>
          </cell>
          <cell r="E9912" t="str">
            <v>P-1278(1/2)</v>
          </cell>
        </row>
        <row r="9913">
          <cell r="B9913" t="str">
            <v>B272-400-AS-280-PP-032</v>
          </cell>
          <cell r="E9913" t="str">
            <v>P-1278(2/2)</v>
          </cell>
        </row>
        <row r="9914">
          <cell r="B9914" t="str">
            <v>B272-400-AS-280-PP-032</v>
          </cell>
          <cell r="E9914" t="str">
            <v>P-1279</v>
          </cell>
        </row>
        <row r="9915">
          <cell r="B9915" t="str">
            <v>B272-400-AS-280-PP-032</v>
          </cell>
          <cell r="E9915" t="str">
            <v>W-101</v>
          </cell>
        </row>
        <row r="9916">
          <cell r="B9916" t="str">
            <v>B272-400-AS-280-PP-032</v>
          </cell>
          <cell r="E9916" t="str">
            <v>B1030</v>
          </cell>
        </row>
        <row r="9917">
          <cell r="B9917" t="str">
            <v>B272-400-AS-280-PP-032</v>
          </cell>
          <cell r="E9917" t="str">
            <v>B1035</v>
          </cell>
        </row>
        <row r="9918">
          <cell r="B9918" t="str">
            <v>B272-400-AS-280-PP-032</v>
          </cell>
          <cell r="E9918" t="str">
            <v>B1040</v>
          </cell>
        </row>
        <row r="9919">
          <cell r="B9919" t="str">
            <v>B272-400-AS-280-PP-033</v>
          </cell>
          <cell r="E9919" t="str">
            <v>stack</v>
          </cell>
        </row>
        <row r="9920">
          <cell r="B9920" t="str">
            <v>B272-400-AS-280-PP-033</v>
          </cell>
          <cell r="E9920" t="str">
            <v>G-25(1/7)</v>
          </cell>
        </row>
        <row r="9921">
          <cell r="B9921" t="str">
            <v>B272-400-AS-280-PP-033</v>
          </cell>
          <cell r="E9921" t="str">
            <v>G-25(2/7)</v>
          </cell>
        </row>
        <row r="9922">
          <cell r="B9922" t="str">
            <v>B272-400-AS-280-PP-033</v>
          </cell>
          <cell r="E9922" t="str">
            <v>G-25(3/7)</v>
          </cell>
        </row>
        <row r="9923">
          <cell r="B9923" t="str">
            <v>B272-400-AS-280-PP-033</v>
          </cell>
          <cell r="E9923" t="str">
            <v>G-25(4/7)</v>
          </cell>
        </row>
        <row r="9924">
          <cell r="B9924" t="str">
            <v>B272-400-AS-280-PP-033</v>
          </cell>
          <cell r="E9924" t="str">
            <v>G-25(5/7)</v>
          </cell>
        </row>
        <row r="9925">
          <cell r="B9925" t="str">
            <v>B272-400-AS-280-PP-033</v>
          </cell>
          <cell r="E9925" t="str">
            <v>G-25(6/7)</v>
          </cell>
        </row>
        <row r="9926">
          <cell r="B9926" t="str">
            <v>B272-400-AS-280-PP-033</v>
          </cell>
          <cell r="E9926" t="str">
            <v>G-25(7/7)</v>
          </cell>
        </row>
        <row r="9927">
          <cell r="B9927" t="str">
            <v>B272-400-AS-280-PP-033</v>
          </cell>
          <cell r="E9927" t="str">
            <v>P-567</v>
          </cell>
        </row>
        <row r="9928">
          <cell r="B9928" t="str">
            <v>B272-400-AS-280-PP-033</v>
          </cell>
          <cell r="E9928" t="str">
            <v>P-607</v>
          </cell>
        </row>
        <row r="9929">
          <cell r="B9929" t="str">
            <v>B272-400-AS-280-PP-033</v>
          </cell>
          <cell r="E9929" t="str">
            <v>P-863</v>
          </cell>
        </row>
        <row r="9930">
          <cell r="B9930" t="str">
            <v>B272-400-AS-280-PP-033</v>
          </cell>
          <cell r="E9930" t="str">
            <v>P-1192(1/2)</v>
          </cell>
        </row>
        <row r="9931">
          <cell r="B9931" t="str">
            <v>B272-400-AS-280-PP-033</v>
          </cell>
          <cell r="E9931" t="str">
            <v>P-1192(2/2)</v>
          </cell>
        </row>
        <row r="9932">
          <cell r="B9932" t="str">
            <v>B272-400-AS-280-PP-033</v>
          </cell>
          <cell r="E9932" t="str">
            <v>P-1252</v>
          </cell>
        </row>
        <row r="9933">
          <cell r="B9933" t="str">
            <v>B272-400-AS-280-PP-033</v>
          </cell>
          <cell r="E9933" t="str">
            <v>P-1274</v>
          </cell>
        </row>
        <row r="9934">
          <cell r="B9934" t="str">
            <v>B272-400-AS-280-PP-033</v>
          </cell>
          <cell r="E9934" t="str">
            <v>P-1275</v>
          </cell>
        </row>
        <row r="9935">
          <cell r="B9935" t="str">
            <v>B272-400-AS-280-PP-033</v>
          </cell>
          <cell r="E9935" t="str">
            <v>P-1276</v>
          </cell>
        </row>
        <row r="9936">
          <cell r="B9936" t="str">
            <v>B272-400-AS-280-PP-033</v>
          </cell>
          <cell r="E9936" t="str">
            <v>P-1277</v>
          </cell>
        </row>
        <row r="9937">
          <cell r="B9937" t="str">
            <v>B272-400-AS-280-PP-033</v>
          </cell>
          <cell r="E9937" t="str">
            <v>W-80</v>
          </cell>
        </row>
        <row r="9938">
          <cell r="B9938" t="str">
            <v>B272-400-AS-280-PP-033</v>
          </cell>
          <cell r="E9938" t="str">
            <v>B1030</v>
          </cell>
        </row>
        <row r="9939">
          <cell r="B9939" t="str">
            <v>B272-400-AS-280-PP-033</v>
          </cell>
          <cell r="E9939" t="str">
            <v>B1035</v>
          </cell>
        </row>
        <row r="9940">
          <cell r="B9940" t="str">
            <v>B272-400-AS-280-PP-034</v>
          </cell>
          <cell r="E9940" t="str">
            <v>stack</v>
          </cell>
        </row>
        <row r="9941">
          <cell r="B9941" t="str">
            <v>B272-400-AS-280-PP-034</v>
          </cell>
          <cell r="E9941" t="str">
            <v>G-25(1/6)</v>
          </cell>
        </row>
        <row r="9942">
          <cell r="B9942" t="str">
            <v>B272-400-AS-280-PP-034</v>
          </cell>
          <cell r="E9942" t="str">
            <v>G-25(2/6)</v>
          </cell>
        </row>
        <row r="9943">
          <cell r="B9943" t="str">
            <v>B272-400-AS-280-PP-034</v>
          </cell>
          <cell r="E9943" t="str">
            <v>G-25(3/6)</v>
          </cell>
        </row>
        <row r="9944">
          <cell r="B9944" t="str">
            <v>B272-400-AS-280-PP-034</v>
          </cell>
          <cell r="E9944" t="str">
            <v>G-25(4/6)</v>
          </cell>
        </row>
        <row r="9945">
          <cell r="B9945" t="str">
            <v>B272-400-AS-280-PP-034</v>
          </cell>
          <cell r="E9945" t="str">
            <v>G-25(5/6)</v>
          </cell>
        </row>
        <row r="9946">
          <cell r="B9946" t="str">
            <v>B272-400-AS-280-PP-034</v>
          </cell>
          <cell r="E9946" t="str">
            <v>G-25(6/6)</v>
          </cell>
        </row>
        <row r="9947">
          <cell r="B9947" t="str">
            <v>B272-400-AS-280-PP-034</v>
          </cell>
          <cell r="E9947" t="str">
            <v>P-567(1/2)</v>
          </cell>
        </row>
        <row r="9948">
          <cell r="B9948" t="str">
            <v>B272-400-AS-280-PP-034</v>
          </cell>
          <cell r="E9948" t="str">
            <v>P-567(2/2)</v>
          </cell>
        </row>
        <row r="9949">
          <cell r="B9949" t="str">
            <v>B272-400-AS-280-PP-034</v>
          </cell>
          <cell r="E9949" t="str">
            <v>P-1193(1/2)</v>
          </cell>
        </row>
        <row r="9950">
          <cell r="B9950" t="str">
            <v>B272-400-AS-280-PP-034</v>
          </cell>
          <cell r="E9950" t="str">
            <v>P-1193(2/2)</v>
          </cell>
        </row>
        <row r="9951">
          <cell r="B9951" t="str">
            <v>B272-400-AS-280-PP-034</v>
          </cell>
          <cell r="E9951" t="str">
            <v>W-92</v>
          </cell>
        </row>
        <row r="9952">
          <cell r="B9952" t="str">
            <v>B272-400-AS-280-PP-034</v>
          </cell>
          <cell r="E9952" t="str">
            <v>B1030</v>
          </cell>
        </row>
        <row r="9953">
          <cell r="B9953" t="str">
            <v>B272-400-AS-280-PP-034</v>
          </cell>
          <cell r="E9953" t="str">
            <v>B1035</v>
          </cell>
        </row>
        <row r="9954">
          <cell r="B9954" t="str">
            <v>B272-400-AS-280-PP-035</v>
          </cell>
          <cell r="E9954" t="str">
            <v>stack</v>
          </cell>
        </row>
        <row r="9955">
          <cell r="B9955" t="str">
            <v>B272-400-AS-280-PP-035</v>
          </cell>
          <cell r="E9955" t="str">
            <v>G-25(1/6)</v>
          </cell>
        </row>
        <row r="9956">
          <cell r="B9956" t="str">
            <v>B272-400-AS-280-PP-035</v>
          </cell>
          <cell r="E9956" t="str">
            <v>G-25(2/6)</v>
          </cell>
        </row>
        <row r="9957">
          <cell r="B9957" t="str">
            <v>B272-400-AS-280-PP-035</v>
          </cell>
          <cell r="E9957" t="str">
            <v>G-25(3/6)</v>
          </cell>
        </row>
        <row r="9958">
          <cell r="B9958" t="str">
            <v>B272-400-AS-280-PP-035</v>
          </cell>
          <cell r="E9958" t="str">
            <v>G-25(4/6)</v>
          </cell>
        </row>
        <row r="9959">
          <cell r="B9959" t="str">
            <v>B272-400-AS-280-PP-035</v>
          </cell>
          <cell r="E9959" t="str">
            <v>G-25(5/6)</v>
          </cell>
        </row>
        <row r="9960">
          <cell r="B9960" t="str">
            <v>B272-400-AS-280-PP-035</v>
          </cell>
          <cell r="E9960" t="str">
            <v>G-25(6/6)</v>
          </cell>
        </row>
        <row r="9961">
          <cell r="B9961" t="str">
            <v>B272-400-AS-280-PP-035</v>
          </cell>
          <cell r="E9961" t="str">
            <v>P-567(1/2)</v>
          </cell>
        </row>
        <row r="9962">
          <cell r="B9962" t="str">
            <v>B272-400-AS-280-PP-035</v>
          </cell>
          <cell r="E9962" t="str">
            <v>P-567(2/2)</v>
          </cell>
        </row>
        <row r="9963">
          <cell r="B9963" t="str">
            <v>B272-400-AS-280-PP-035</v>
          </cell>
          <cell r="E9963" t="str">
            <v>P-1225(1/2)</v>
          </cell>
        </row>
        <row r="9964">
          <cell r="B9964" t="str">
            <v>B272-400-AS-280-PP-035</v>
          </cell>
          <cell r="E9964" t="str">
            <v>P-1225(2/2)</v>
          </cell>
        </row>
        <row r="9965">
          <cell r="B9965" t="str">
            <v>B272-400-AS-280-PP-035</v>
          </cell>
          <cell r="E9965" t="str">
            <v>W-97</v>
          </cell>
        </row>
        <row r="9966">
          <cell r="B9966" t="str">
            <v>B272-400-AS-280-PP-035</v>
          </cell>
          <cell r="E9966" t="str">
            <v>B1030</v>
          </cell>
        </row>
        <row r="9967">
          <cell r="B9967" t="str">
            <v>B272-400-AS-280-PP-035</v>
          </cell>
          <cell r="E9967" t="str">
            <v>B1035</v>
          </cell>
        </row>
        <row r="9968">
          <cell r="B9968" t="str">
            <v>B272-400-AS-280-PP-036</v>
          </cell>
          <cell r="E9968" t="str">
            <v>stack</v>
          </cell>
        </row>
        <row r="9969">
          <cell r="B9969" t="str">
            <v>B272-400-AS-280-PP-036</v>
          </cell>
          <cell r="E9969" t="str">
            <v>G-25(1/6)</v>
          </cell>
        </row>
        <row r="9970">
          <cell r="B9970" t="str">
            <v>B272-400-AS-280-PP-036</v>
          </cell>
          <cell r="E9970" t="str">
            <v>G-25(2/6)</v>
          </cell>
        </row>
        <row r="9971">
          <cell r="B9971" t="str">
            <v>B272-400-AS-280-PP-036</v>
          </cell>
          <cell r="E9971" t="str">
            <v>G-25(3/6)</v>
          </cell>
        </row>
        <row r="9972">
          <cell r="B9972" t="str">
            <v>B272-400-AS-280-PP-036</v>
          </cell>
          <cell r="E9972" t="str">
            <v>G-25(4/6)</v>
          </cell>
        </row>
        <row r="9973">
          <cell r="B9973" t="str">
            <v>B272-400-AS-280-PP-036</v>
          </cell>
          <cell r="E9973" t="str">
            <v>G-25(5/6)</v>
          </cell>
        </row>
        <row r="9974">
          <cell r="B9974" t="str">
            <v>B272-400-AS-280-PP-036</v>
          </cell>
          <cell r="E9974" t="str">
            <v>G-25(6/6)</v>
          </cell>
        </row>
        <row r="9975">
          <cell r="B9975" t="str">
            <v>B272-400-AS-280-PP-036</v>
          </cell>
          <cell r="E9975" t="str">
            <v>P-567(1/2)</v>
          </cell>
        </row>
        <row r="9976">
          <cell r="B9976" t="str">
            <v>B272-400-AS-280-PP-036</v>
          </cell>
          <cell r="E9976" t="str">
            <v>P-567(2/2)</v>
          </cell>
        </row>
        <row r="9977">
          <cell r="B9977" t="str">
            <v>B272-400-AS-280-PP-036</v>
          </cell>
          <cell r="E9977" t="str">
            <v>P-1233(1/2)</v>
          </cell>
        </row>
        <row r="9978">
          <cell r="B9978" t="str">
            <v>B272-400-AS-280-PP-036</v>
          </cell>
          <cell r="E9978" t="str">
            <v>P-1233(2/2)</v>
          </cell>
        </row>
        <row r="9979">
          <cell r="B9979" t="str">
            <v>B272-400-AS-280-PP-036</v>
          </cell>
          <cell r="E9979" t="str">
            <v>P-1234</v>
          </cell>
        </row>
        <row r="9980">
          <cell r="B9980" t="str">
            <v>B272-400-AS-280-PP-036</v>
          </cell>
          <cell r="E9980" t="str">
            <v>P-1235</v>
          </cell>
        </row>
        <row r="9981">
          <cell r="B9981" t="str">
            <v>B272-400-AS-280-PP-036</v>
          </cell>
          <cell r="E9981" t="str">
            <v>P-1236</v>
          </cell>
        </row>
        <row r="9982">
          <cell r="B9982" t="str">
            <v>B272-400-AS-280-PP-036</v>
          </cell>
          <cell r="E9982" t="str">
            <v>P-1237</v>
          </cell>
        </row>
        <row r="9983">
          <cell r="B9983" t="str">
            <v>B272-400-AS-280-PP-036</v>
          </cell>
          <cell r="E9983" t="str">
            <v>W-100</v>
          </cell>
        </row>
        <row r="9984">
          <cell r="B9984" t="str">
            <v>B272-400-AS-280-PP-036</v>
          </cell>
          <cell r="E9984" t="str">
            <v>B1030</v>
          </cell>
        </row>
        <row r="9985">
          <cell r="B9985" t="str">
            <v>B272-400-AS-280-PP-036</v>
          </cell>
          <cell r="E9985" t="str">
            <v>B1035</v>
          </cell>
        </row>
        <row r="9986">
          <cell r="B9986" t="str">
            <v>B272-400-AS-280-PP-037</v>
          </cell>
          <cell r="E9986" t="str">
            <v>stack</v>
          </cell>
        </row>
        <row r="9987">
          <cell r="B9987" t="str">
            <v>B272-400-AS-280-PP-037</v>
          </cell>
          <cell r="E9987" t="str">
            <v>G-25(1/7)</v>
          </cell>
        </row>
        <row r="9988">
          <cell r="B9988" t="str">
            <v>B272-400-AS-280-PP-037</v>
          </cell>
          <cell r="E9988" t="str">
            <v>G-25(2/7)</v>
          </cell>
        </row>
        <row r="9989">
          <cell r="B9989" t="str">
            <v>B272-400-AS-280-PP-037</v>
          </cell>
          <cell r="E9989" t="str">
            <v>G-25(3/7)</v>
          </cell>
        </row>
        <row r="9990">
          <cell r="B9990" t="str">
            <v>B272-400-AS-280-PP-037</v>
          </cell>
          <cell r="E9990" t="str">
            <v>G-25(4/7)</v>
          </cell>
        </row>
        <row r="9991">
          <cell r="B9991" t="str">
            <v>B272-400-AS-280-PP-037</v>
          </cell>
          <cell r="E9991" t="str">
            <v>G-25(5/7)</v>
          </cell>
        </row>
        <row r="9992">
          <cell r="B9992" t="str">
            <v>B272-400-AS-280-PP-037</v>
          </cell>
          <cell r="E9992" t="str">
            <v>G-25(6/7)</v>
          </cell>
        </row>
        <row r="9993">
          <cell r="B9993" t="str">
            <v>B272-400-AS-280-PP-037</v>
          </cell>
          <cell r="E9993" t="str">
            <v>G-25(7/7)</v>
          </cell>
        </row>
        <row r="9994">
          <cell r="B9994" t="str">
            <v>B272-400-AS-280-PP-037</v>
          </cell>
          <cell r="E9994" t="str">
            <v>P-405</v>
          </cell>
        </row>
        <row r="9995">
          <cell r="B9995" t="str">
            <v>B272-400-AS-280-PP-037</v>
          </cell>
          <cell r="E9995" t="str">
            <v>P-567</v>
          </cell>
        </row>
        <row r="9996">
          <cell r="B9996" t="str">
            <v>B272-400-AS-280-PP-037</v>
          </cell>
          <cell r="E9996" t="str">
            <v>P-609</v>
          </cell>
        </row>
        <row r="9997">
          <cell r="B9997" t="str">
            <v>B272-400-AS-280-PP-037</v>
          </cell>
          <cell r="E9997" t="str">
            <v>P-620</v>
          </cell>
        </row>
        <row r="9998">
          <cell r="B9998" t="str">
            <v>B272-400-AS-280-PP-037</v>
          </cell>
          <cell r="E9998" t="str">
            <v>P-1192(1/2)</v>
          </cell>
        </row>
        <row r="9999">
          <cell r="B9999" t="str">
            <v>B272-400-AS-280-PP-037</v>
          </cell>
          <cell r="E9999" t="str">
            <v>P-1192(2/2)</v>
          </cell>
        </row>
        <row r="10000">
          <cell r="B10000" t="str">
            <v>B272-400-AS-280-PP-037</v>
          </cell>
          <cell r="E10000" t="str">
            <v>P-1255</v>
          </cell>
        </row>
        <row r="10001">
          <cell r="B10001" t="str">
            <v>B272-400-AS-280-PP-037</v>
          </cell>
          <cell r="E10001" t="str">
            <v>P-1260(1/2)</v>
          </cell>
        </row>
        <row r="10002">
          <cell r="B10002" t="str">
            <v>B272-400-AS-280-PP-037</v>
          </cell>
          <cell r="E10002" t="str">
            <v>P-1260(2/2)</v>
          </cell>
        </row>
        <row r="10003">
          <cell r="B10003" t="str">
            <v>B272-400-AS-280-PP-037</v>
          </cell>
          <cell r="E10003" t="str">
            <v>P-1262(1/2)</v>
          </cell>
        </row>
        <row r="10004">
          <cell r="B10004" t="str">
            <v>B272-400-AS-280-PP-037</v>
          </cell>
          <cell r="E10004" t="str">
            <v>P-1262(2/2)</v>
          </cell>
        </row>
        <row r="10005">
          <cell r="B10005" t="str">
            <v>B272-400-AS-280-PP-037</v>
          </cell>
          <cell r="E10005" t="str">
            <v>P-1268</v>
          </cell>
        </row>
        <row r="10006">
          <cell r="B10006" t="str">
            <v>B272-400-AS-280-PP-037</v>
          </cell>
          <cell r="E10006" t="str">
            <v>W-90</v>
          </cell>
        </row>
        <row r="10007">
          <cell r="B10007" t="str">
            <v>B272-400-AS-280-PP-037</v>
          </cell>
          <cell r="E10007" t="str">
            <v>B1030</v>
          </cell>
        </row>
        <row r="10008">
          <cell r="B10008" t="str">
            <v>B272-400-AS-280-PP-037</v>
          </cell>
          <cell r="E10008" t="str">
            <v>B1035</v>
          </cell>
        </row>
        <row r="10009">
          <cell r="B10009" t="str">
            <v>B272-400-AS-280-PP-037</v>
          </cell>
          <cell r="E10009" t="str">
            <v>B1040</v>
          </cell>
        </row>
        <row r="10010">
          <cell r="B10010" t="str">
            <v>B272-400-AS-280-PP-038</v>
          </cell>
          <cell r="E10010" t="str">
            <v>stack</v>
          </cell>
        </row>
        <row r="10011">
          <cell r="B10011" t="str">
            <v>B272-400-AS-280-PP-038</v>
          </cell>
          <cell r="E10011" t="str">
            <v>G-25(1/6)</v>
          </cell>
        </row>
        <row r="10012">
          <cell r="B10012" t="str">
            <v>B272-400-AS-280-PP-038</v>
          </cell>
          <cell r="E10012" t="str">
            <v>G-25(2/6)</v>
          </cell>
        </row>
        <row r="10013">
          <cell r="B10013" t="str">
            <v>B272-400-AS-280-PP-038</v>
          </cell>
          <cell r="E10013" t="str">
            <v>G-25(3/6)</v>
          </cell>
        </row>
        <row r="10014">
          <cell r="B10014" t="str">
            <v>B272-400-AS-280-PP-038</v>
          </cell>
          <cell r="E10014" t="str">
            <v>G-25(4/6)</v>
          </cell>
        </row>
        <row r="10015">
          <cell r="B10015" t="str">
            <v>B272-400-AS-280-PP-038</v>
          </cell>
          <cell r="E10015" t="str">
            <v>G-25(5/6)</v>
          </cell>
        </row>
        <row r="10016">
          <cell r="B10016" t="str">
            <v>B272-400-AS-280-PP-038</v>
          </cell>
          <cell r="E10016" t="str">
            <v>G-25(6/6)</v>
          </cell>
        </row>
        <row r="10017">
          <cell r="B10017" t="str">
            <v>B272-400-AS-280-PP-038</v>
          </cell>
          <cell r="E10017" t="str">
            <v>P-567(1/2)</v>
          </cell>
        </row>
        <row r="10018">
          <cell r="B10018" t="str">
            <v>B272-400-AS-280-PP-038</v>
          </cell>
          <cell r="E10018" t="str">
            <v>P-567(2/2)</v>
          </cell>
        </row>
        <row r="10019">
          <cell r="B10019" t="str">
            <v>B272-400-AS-280-PP-038</v>
          </cell>
          <cell r="E10019" t="str">
            <v>P-1234(1/2)</v>
          </cell>
        </row>
        <row r="10020">
          <cell r="B10020" t="str">
            <v>B272-400-AS-280-PP-038</v>
          </cell>
          <cell r="E10020" t="str">
            <v>P-1234(2/2)</v>
          </cell>
        </row>
        <row r="10021">
          <cell r="B10021" t="str">
            <v>B272-400-AS-280-PP-038</v>
          </cell>
          <cell r="E10021" t="str">
            <v>W-99</v>
          </cell>
        </row>
        <row r="10022">
          <cell r="B10022" t="str">
            <v>B272-400-AS-280-PP-038</v>
          </cell>
          <cell r="E10022" t="str">
            <v>B1030</v>
          </cell>
        </row>
        <row r="10023">
          <cell r="B10023" t="str">
            <v>B272-400-AS-280-PP-038</v>
          </cell>
          <cell r="E10023" t="str">
            <v>B1035</v>
          </cell>
        </row>
        <row r="10024">
          <cell r="B10024" t="str">
            <v>B272-400-AS-280-PP-038</v>
          </cell>
          <cell r="E10024" t="str">
            <v>stack</v>
          </cell>
        </row>
        <row r="10025">
          <cell r="B10025" t="str">
            <v>B272-400-AS-280-PP-038</v>
          </cell>
          <cell r="E10025" t="str">
            <v>G-25(1/6)</v>
          </cell>
        </row>
        <row r="10026">
          <cell r="B10026" t="str">
            <v>B272-400-AS-280-PP-038</v>
          </cell>
          <cell r="E10026" t="str">
            <v>G-25(2/6)</v>
          </cell>
        </row>
        <row r="10027">
          <cell r="B10027" t="str">
            <v>B272-400-AS-280-PP-038</v>
          </cell>
          <cell r="E10027" t="str">
            <v>G-25(3/6)</v>
          </cell>
        </row>
        <row r="10028">
          <cell r="B10028" t="str">
            <v>B272-400-AS-280-PP-038</v>
          </cell>
          <cell r="E10028" t="str">
            <v>G-25(4/6)</v>
          </cell>
        </row>
        <row r="10029">
          <cell r="B10029" t="str">
            <v>B272-400-AS-280-PP-038</v>
          </cell>
          <cell r="E10029" t="str">
            <v>G-25(5/6)</v>
          </cell>
        </row>
        <row r="10030">
          <cell r="B10030" t="str">
            <v>B272-400-AS-280-PP-038</v>
          </cell>
          <cell r="E10030" t="str">
            <v>G-25(6/6)</v>
          </cell>
        </row>
        <row r="10031">
          <cell r="B10031" t="str">
            <v>B272-400-AS-280-PP-038</v>
          </cell>
          <cell r="E10031" t="str">
            <v>P-567(1/2)</v>
          </cell>
        </row>
        <row r="10032">
          <cell r="B10032" t="str">
            <v>B272-400-AS-280-PP-038</v>
          </cell>
          <cell r="E10032" t="str">
            <v>P-567(2/2)</v>
          </cell>
        </row>
        <row r="10033">
          <cell r="B10033" t="str">
            <v>B272-400-AS-280-PP-038</v>
          </cell>
          <cell r="E10033" t="str">
            <v>P-1234(1/2)</v>
          </cell>
        </row>
        <row r="10034">
          <cell r="B10034" t="str">
            <v>B272-400-AS-280-PP-038</v>
          </cell>
          <cell r="E10034" t="str">
            <v>P-1234(2/2)</v>
          </cell>
        </row>
        <row r="10035">
          <cell r="B10035" t="str">
            <v>B272-400-AS-280-PP-038</v>
          </cell>
          <cell r="E10035" t="str">
            <v>W-99</v>
          </cell>
        </row>
        <row r="10036">
          <cell r="B10036" t="str">
            <v>B272-400-AS-280-PP-038</v>
          </cell>
          <cell r="E10036" t="str">
            <v>B1035</v>
          </cell>
        </row>
        <row r="10037">
          <cell r="B10037" t="str">
            <v>B272-400-AS-280-PP-038</v>
          </cell>
          <cell r="E10037" t="str">
            <v>stack</v>
          </cell>
        </row>
        <row r="10038">
          <cell r="B10038" t="str">
            <v>B272-400-AS-280-PP-038</v>
          </cell>
          <cell r="E10038" t="str">
            <v>G-25(1/6)</v>
          </cell>
        </row>
        <row r="10039">
          <cell r="B10039" t="str">
            <v>B272-400-AS-280-PP-038</v>
          </cell>
          <cell r="E10039" t="str">
            <v>G-25(2/6)</v>
          </cell>
        </row>
        <row r="10040">
          <cell r="B10040" t="str">
            <v>B272-400-AS-280-PP-038</v>
          </cell>
          <cell r="E10040" t="str">
            <v>G-25(3/6)</v>
          </cell>
        </row>
        <row r="10041">
          <cell r="B10041" t="str">
            <v>B272-400-AS-280-PP-038</v>
          </cell>
          <cell r="E10041" t="str">
            <v>G-25(4/6)</v>
          </cell>
        </row>
        <row r="10042">
          <cell r="B10042" t="str">
            <v>B272-400-AS-280-PP-038</v>
          </cell>
          <cell r="E10042" t="str">
            <v>G-25(5/6)</v>
          </cell>
        </row>
        <row r="10043">
          <cell r="B10043" t="str">
            <v>B272-400-AS-280-PP-038</v>
          </cell>
          <cell r="E10043" t="str">
            <v>G-25(6/6)</v>
          </cell>
        </row>
        <row r="10044">
          <cell r="B10044" t="str">
            <v>B272-400-AS-280-PP-038</v>
          </cell>
          <cell r="E10044" t="str">
            <v>P-567(1/2)</v>
          </cell>
        </row>
        <row r="10045">
          <cell r="B10045" t="str">
            <v>B272-400-AS-280-PP-038</v>
          </cell>
          <cell r="E10045" t="str">
            <v>P-567(2/2)</v>
          </cell>
        </row>
        <row r="10046">
          <cell r="B10046" t="str">
            <v>B272-400-AS-280-PP-038</v>
          </cell>
          <cell r="E10046" t="str">
            <v>P-1234(1/2)</v>
          </cell>
        </row>
        <row r="10047">
          <cell r="B10047" t="str">
            <v>B272-400-AS-280-PP-038</v>
          </cell>
          <cell r="E10047" t="str">
            <v>P-1234(2/2)</v>
          </cell>
        </row>
        <row r="10048">
          <cell r="B10048" t="str">
            <v>B272-400-AS-280-PP-038</v>
          </cell>
          <cell r="E10048" t="str">
            <v>W-99</v>
          </cell>
        </row>
        <row r="10049">
          <cell r="B10049" t="str">
            <v>B272-400-AS-280-PP-038</v>
          </cell>
          <cell r="E10049" t="str">
            <v>B1035</v>
          </cell>
        </row>
        <row r="10050">
          <cell r="B10050" t="str">
            <v>B272-400-AS-280-PP-038</v>
          </cell>
          <cell r="E10050" t="str">
            <v>stack</v>
          </cell>
        </row>
        <row r="10051">
          <cell r="B10051" t="str">
            <v>B272-400-AS-280-PP-038</v>
          </cell>
          <cell r="E10051" t="str">
            <v>G-25(1/6)</v>
          </cell>
        </row>
        <row r="10052">
          <cell r="B10052" t="str">
            <v>B272-400-AS-280-PP-038</v>
          </cell>
          <cell r="E10052" t="str">
            <v>G-25(2/6)</v>
          </cell>
        </row>
        <row r="10053">
          <cell r="B10053" t="str">
            <v>B272-400-AS-280-PP-038</v>
          </cell>
          <cell r="E10053" t="str">
            <v>G-25(3/6)</v>
          </cell>
        </row>
        <row r="10054">
          <cell r="B10054" t="str">
            <v>B272-400-AS-280-PP-038</v>
          </cell>
          <cell r="E10054" t="str">
            <v>G-25(4/6)</v>
          </cell>
        </row>
        <row r="10055">
          <cell r="B10055" t="str">
            <v>B272-400-AS-280-PP-038</v>
          </cell>
          <cell r="E10055" t="str">
            <v>G-25(5/6)</v>
          </cell>
        </row>
        <row r="10056">
          <cell r="B10056" t="str">
            <v>B272-400-AS-280-PP-038</v>
          </cell>
          <cell r="E10056" t="str">
            <v>G-25(6/6)</v>
          </cell>
        </row>
        <row r="10057">
          <cell r="B10057" t="str">
            <v>B272-400-AS-280-PP-038</v>
          </cell>
          <cell r="E10057" t="str">
            <v>P-567(1/2)</v>
          </cell>
        </row>
        <row r="10058">
          <cell r="B10058" t="str">
            <v>B272-400-AS-280-PP-038</v>
          </cell>
          <cell r="E10058" t="str">
            <v>P-567(2/2)</v>
          </cell>
        </row>
        <row r="10059">
          <cell r="B10059" t="str">
            <v>B272-400-AS-280-PP-038</v>
          </cell>
          <cell r="E10059" t="str">
            <v>P-1234(1/2)</v>
          </cell>
        </row>
        <row r="10060">
          <cell r="B10060" t="str">
            <v>B272-400-AS-280-PP-038</v>
          </cell>
          <cell r="E10060" t="str">
            <v>P-1234(2/2)</v>
          </cell>
        </row>
        <row r="10061">
          <cell r="B10061" t="str">
            <v>B272-400-AS-280-PP-038</v>
          </cell>
          <cell r="E10061" t="str">
            <v>W-99</v>
          </cell>
        </row>
        <row r="10062">
          <cell r="B10062" t="str">
            <v>B272-400-AS-280-PP-038</v>
          </cell>
          <cell r="E10062" t="str">
            <v>B1035</v>
          </cell>
        </row>
        <row r="10063">
          <cell r="B10063" t="str">
            <v>B272-400-AS-280-PP-039</v>
          </cell>
          <cell r="E10063" t="str">
            <v>convection</v>
          </cell>
        </row>
        <row r="10064">
          <cell r="B10064" t="str">
            <v>B272-400-AS-280-PP-039</v>
          </cell>
          <cell r="E10064" t="str">
            <v>G-25(1/4)</v>
          </cell>
        </row>
        <row r="10065">
          <cell r="B10065" t="str">
            <v>B272-400-AS-280-PP-039</v>
          </cell>
          <cell r="E10065" t="str">
            <v>G-25(2/4)</v>
          </cell>
        </row>
        <row r="10066">
          <cell r="B10066" t="str">
            <v>B272-400-AS-280-PP-039</v>
          </cell>
          <cell r="E10066" t="str">
            <v>G-25(3/4)</v>
          </cell>
        </row>
        <row r="10067">
          <cell r="B10067" t="str">
            <v>B272-400-AS-280-PP-039</v>
          </cell>
          <cell r="E10067" t="str">
            <v>G-25(4/4)</v>
          </cell>
        </row>
        <row r="10068">
          <cell r="B10068" t="str">
            <v>B272-400-AS-280-PP-039</v>
          </cell>
          <cell r="E10068" t="str">
            <v>P-400</v>
          </cell>
        </row>
        <row r="10069">
          <cell r="B10069" t="str">
            <v>B272-400-AS-280-PP-039</v>
          </cell>
          <cell r="E10069" t="str">
            <v>P-436</v>
          </cell>
        </row>
        <row r="10070">
          <cell r="B10070" t="str">
            <v>B272-400-AS-280-PP-039</v>
          </cell>
          <cell r="E10070" t="str">
            <v>P-438</v>
          </cell>
        </row>
        <row r="10071">
          <cell r="B10071" t="str">
            <v>B272-400-AS-280-PP-039</v>
          </cell>
          <cell r="E10071" t="str">
            <v>P-440</v>
          </cell>
        </row>
        <row r="10072">
          <cell r="B10072" t="str">
            <v>B272-400-AS-280-PP-039</v>
          </cell>
          <cell r="E10072" t="str">
            <v>P-459(1/2)</v>
          </cell>
        </row>
        <row r="10073">
          <cell r="B10073" t="str">
            <v>B272-400-AS-280-PP-039</v>
          </cell>
          <cell r="E10073" t="str">
            <v>P-459(2/2)</v>
          </cell>
        </row>
        <row r="10074">
          <cell r="B10074" t="str">
            <v>B272-400-AS-280-PP-039</v>
          </cell>
          <cell r="E10074" t="str">
            <v>P-461</v>
          </cell>
        </row>
        <row r="10075">
          <cell r="B10075" t="str">
            <v>B272-400-AS-280-PP-039</v>
          </cell>
          <cell r="E10075" t="str">
            <v>P-763</v>
          </cell>
        </row>
        <row r="10076">
          <cell r="B10076" t="str">
            <v>B272-400-AS-280-PP-039</v>
          </cell>
          <cell r="E10076" t="str">
            <v>P-876(1/2)</v>
          </cell>
        </row>
        <row r="10077">
          <cell r="B10077" t="str">
            <v>B272-400-AS-280-PP-039</v>
          </cell>
          <cell r="E10077" t="str">
            <v>P-876(2/2)</v>
          </cell>
        </row>
        <row r="10078">
          <cell r="B10078" t="str">
            <v>B272-400-AS-280-PP-039</v>
          </cell>
          <cell r="E10078" t="str">
            <v>P-877</v>
          </cell>
        </row>
        <row r="10079">
          <cell r="B10079" t="str">
            <v>B272-400-AS-280-PP-039</v>
          </cell>
          <cell r="E10079" t="str">
            <v>P-1010</v>
          </cell>
        </row>
        <row r="10080">
          <cell r="B10080" t="str">
            <v>B272-400-AS-280-PP-039</v>
          </cell>
          <cell r="E10080" t="str">
            <v>W-13</v>
          </cell>
        </row>
        <row r="10081">
          <cell r="B10081" t="str">
            <v>B272-400-AS-280-PP-039</v>
          </cell>
          <cell r="E10081" t="str">
            <v>B1030</v>
          </cell>
        </row>
        <row r="10082">
          <cell r="B10082" t="str">
            <v>B272-400-AS-280-PP-039</v>
          </cell>
          <cell r="E10082" t="str">
            <v>B1035</v>
          </cell>
        </row>
        <row r="10083">
          <cell r="B10083" t="str">
            <v>B272-400-AS-280-PP-040</v>
          </cell>
          <cell r="E10083" t="str">
            <v>stack</v>
          </cell>
        </row>
        <row r="10084">
          <cell r="B10084" t="str">
            <v>B272-400-AS-280-PP-040</v>
          </cell>
          <cell r="E10084" t="str">
            <v>G-25(1/4)</v>
          </cell>
        </row>
        <row r="10085">
          <cell r="B10085" t="str">
            <v>B272-400-AS-280-PP-040</v>
          </cell>
          <cell r="E10085" t="str">
            <v>G-25(2/4)</v>
          </cell>
        </row>
        <row r="10086">
          <cell r="B10086" t="str">
            <v>B272-400-AS-280-PP-040</v>
          </cell>
          <cell r="E10086" t="str">
            <v>G-25(3/4)</v>
          </cell>
        </row>
        <row r="10087">
          <cell r="B10087" t="str">
            <v>B272-400-AS-280-PP-040</v>
          </cell>
          <cell r="E10087" t="str">
            <v>G-25(4/4)</v>
          </cell>
        </row>
        <row r="10088">
          <cell r="B10088" t="str">
            <v>B272-400-AS-280-PP-040</v>
          </cell>
          <cell r="E10088" t="str">
            <v>P-433(1/2)</v>
          </cell>
        </row>
        <row r="10089">
          <cell r="B10089" t="str">
            <v>B272-400-AS-280-PP-040</v>
          </cell>
          <cell r="E10089" t="str">
            <v>P-433(2/2)</v>
          </cell>
        </row>
        <row r="10090">
          <cell r="B10090" t="str">
            <v>B272-400-AS-280-PP-040</v>
          </cell>
          <cell r="E10090" t="str">
            <v>P-1070(1/2)</v>
          </cell>
        </row>
        <row r="10091">
          <cell r="B10091" t="str">
            <v>B272-400-AS-280-PP-040</v>
          </cell>
          <cell r="E10091" t="str">
            <v>P-1070(2/2)</v>
          </cell>
        </row>
        <row r="10092">
          <cell r="B10092" t="str">
            <v>B272-400-AS-280-PP-040</v>
          </cell>
          <cell r="E10092" t="str">
            <v>P-1132(1/2)</v>
          </cell>
        </row>
        <row r="10093">
          <cell r="B10093" t="str">
            <v>B272-400-AS-280-PP-040</v>
          </cell>
          <cell r="E10093" t="str">
            <v>P-1132(2/2)</v>
          </cell>
        </row>
        <row r="10094">
          <cell r="B10094" t="str">
            <v>B272-400-AS-280-PP-040</v>
          </cell>
          <cell r="E10094" t="str">
            <v>PX-83</v>
          </cell>
        </row>
        <row r="10095">
          <cell r="B10095" t="str">
            <v>B272-400-AS-280-PP-040</v>
          </cell>
          <cell r="E10095" t="str">
            <v>PX-84</v>
          </cell>
        </row>
        <row r="10096">
          <cell r="B10096" t="str">
            <v>B272-400-AS-280-PP-040</v>
          </cell>
          <cell r="E10096" t="str">
            <v>PX-88</v>
          </cell>
        </row>
        <row r="10097">
          <cell r="B10097" t="str">
            <v>B272-400-AS-280-PP-040</v>
          </cell>
          <cell r="E10097" t="str">
            <v>PX-89</v>
          </cell>
        </row>
        <row r="10098">
          <cell r="B10098" t="str">
            <v>B272-400-AS-280-PP-040</v>
          </cell>
          <cell r="E10098" t="str">
            <v>PX-90</v>
          </cell>
        </row>
        <row r="10099">
          <cell r="B10099" t="str">
            <v>B272-400-AS-280-PP-040</v>
          </cell>
          <cell r="E10099" t="str">
            <v>PX-93</v>
          </cell>
        </row>
        <row r="10100">
          <cell r="B10100" t="str">
            <v>B272-400-AS-280-PP-040</v>
          </cell>
          <cell r="E10100" t="str">
            <v>W-77</v>
          </cell>
        </row>
        <row r="10101">
          <cell r="B10101" t="str">
            <v>B272-400-AS-280-PP-040</v>
          </cell>
          <cell r="E10101" t="str">
            <v>B1030</v>
          </cell>
        </row>
        <row r="10102">
          <cell r="B10102" t="str">
            <v>B272-400-AS-280-PP-040</v>
          </cell>
          <cell r="E10102" t="str">
            <v>B1035</v>
          </cell>
        </row>
        <row r="10103">
          <cell r="B10103" t="str">
            <v>B272-400-AS-280-PP-041</v>
          </cell>
          <cell r="E10103" t="str">
            <v>stack</v>
          </cell>
        </row>
        <row r="10104">
          <cell r="B10104" t="str">
            <v>B272-400-AS-280-PP-041</v>
          </cell>
          <cell r="E10104" t="str">
            <v>G-25(1/4)</v>
          </cell>
        </row>
        <row r="10105">
          <cell r="B10105" t="str">
            <v>B272-400-AS-280-PP-041</v>
          </cell>
          <cell r="E10105" t="str">
            <v>G-25(2/4)</v>
          </cell>
        </row>
        <row r="10106">
          <cell r="B10106" t="str">
            <v>B272-400-AS-280-PP-041</v>
          </cell>
          <cell r="E10106" t="str">
            <v>G-25(3/4)</v>
          </cell>
        </row>
        <row r="10107">
          <cell r="B10107" t="str">
            <v>B272-400-AS-280-PP-041</v>
          </cell>
          <cell r="E10107" t="str">
            <v>G-25(4/4)</v>
          </cell>
        </row>
        <row r="10108">
          <cell r="B10108" t="str">
            <v>B272-400-AS-280-PP-041</v>
          </cell>
          <cell r="E10108" t="str">
            <v>P-433(1/2)</v>
          </cell>
        </row>
        <row r="10109">
          <cell r="B10109" t="str">
            <v>B272-400-AS-280-PP-041</v>
          </cell>
          <cell r="E10109" t="str">
            <v>P-433(2/2)</v>
          </cell>
        </row>
        <row r="10110">
          <cell r="B10110" t="str">
            <v>B272-400-AS-280-PP-041</v>
          </cell>
          <cell r="E10110" t="str">
            <v>P-1070(1/2)</v>
          </cell>
        </row>
        <row r="10111">
          <cell r="B10111" t="str">
            <v>B272-400-AS-280-PP-041</v>
          </cell>
          <cell r="E10111" t="str">
            <v>P-1070(2/2)</v>
          </cell>
        </row>
        <row r="10112">
          <cell r="B10112" t="str">
            <v>B272-400-AS-280-PP-041</v>
          </cell>
          <cell r="E10112" t="str">
            <v>P-1132(1/2)</v>
          </cell>
        </row>
        <row r="10113">
          <cell r="B10113" t="str">
            <v>B272-400-AS-280-PP-041</v>
          </cell>
          <cell r="E10113" t="str">
            <v>P-1132(2/2)</v>
          </cell>
        </row>
        <row r="10114">
          <cell r="B10114" t="str">
            <v>B272-400-AS-280-PP-041</v>
          </cell>
          <cell r="E10114" t="str">
            <v>PX-83</v>
          </cell>
        </row>
        <row r="10115">
          <cell r="B10115" t="str">
            <v>B272-400-AS-280-PP-041</v>
          </cell>
          <cell r="E10115" t="str">
            <v>PX-84</v>
          </cell>
        </row>
        <row r="10116">
          <cell r="B10116" t="str">
            <v>B272-400-AS-280-PP-041</v>
          </cell>
          <cell r="E10116" t="str">
            <v>PX-88</v>
          </cell>
        </row>
        <row r="10117">
          <cell r="B10117" t="str">
            <v>B272-400-AS-280-PP-041</v>
          </cell>
          <cell r="E10117" t="str">
            <v>PX-89</v>
          </cell>
        </row>
        <row r="10118">
          <cell r="B10118" t="str">
            <v>B272-400-AS-280-PP-041</v>
          </cell>
          <cell r="E10118" t="str">
            <v>PX-90</v>
          </cell>
        </row>
        <row r="10119">
          <cell r="B10119" t="str">
            <v>B272-400-AS-280-PP-041</v>
          </cell>
          <cell r="E10119" t="str">
            <v>PX-93</v>
          </cell>
        </row>
        <row r="10120">
          <cell r="B10120" t="str">
            <v>B272-400-AS-280-PP-041</v>
          </cell>
          <cell r="E10120" t="str">
            <v>W-94</v>
          </cell>
        </row>
        <row r="10121">
          <cell r="B10121" t="str">
            <v>B272-400-AS-280-PP-041</v>
          </cell>
          <cell r="E10121" t="str">
            <v>B1030</v>
          </cell>
        </row>
        <row r="10122">
          <cell r="B10122" t="str">
            <v>B272-400-AS-280-PP-041</v>
          </cell>
          <cell r="E10122" t="str">
            <v>B1035</v>
          </cell>
        </row>
        <row r="10123">
          <cell r="B10123" t="str">
            <v>B272-400-AS-280-PP-042</v>
          </cell>
          <cell r="E10123" t="str">
            <v>stack</v>
          </cell>
        </row>
        <row r="10124">
          <cell r="B10124" t="str">
            <v>B272-400-AS-280-PP-042</v>
          </cell>
          <cell r="E10124" t="str">
            <v>G-25(1/4)</v>
          </cell>
        </row>
        <row r="10125">
          <cell r="B10125" t="str">
            <v>B272-400-AS-280-PP-042</v>
          </cell>
          <cell r="E10125" t="str">
            <v>G-25(2/4)</v>
          </cell>
        </row>
        <row r="10126">
          <cell r="B10126" t="str">
            <v>B272-400-AS-280-PP-042</v>
          </cell>
          <cell r="E10126" t="str">
            <v>G-25(3/4)</v>
          </cell>
        </row>
        <row r="10127">
          <cell r="B10127" t="str">
            <v>B272-400-AS-280-PP-042</v>
          </cell>
          <cell r="E10127" t="str">
            <v>G-25(4/4)</v>
          </cell>
        </row>
        <row r="10128">
          <cell r="B10128" t="str">
            <v>B272-400-AS-280-PP-042</v>
          </cell>
          <cell r="E10128" t="str">
            <v>P-433</v>
          </cell>
        </row>
        <row r="10129">
          <cell r="B10129" t="str">
            <v>B272-400-AS-280-PP-042</v>
          </cell>
          <cell r="E10129" t="str">
            <v>P-1132</v>
          </cell>
        </row>
        <row r="10130">
          <cell r="B10130" t="str">
            <v>B272-400-AS-280-PP-042</v>
          </cell>
          <cell r="E10130" t="str">
            <v>P-1136</v>
          </cell>
        </row>
        <row r="10131">
          <cell r="B10131" t="str">
            <v>B272-400-AS-280-PP-042</v>
          </cell>
          <cell r="E10131" t="str">
            <v>PX-79</v>
          </cell>
        </row>
        <row r="10132">
          <cell r="B10132" t="str">
            <v>B272-400-AS-280-PP-042</v>
          </cell>
          <cell r="E10132" t="str">
            <v>PX-82</v>
          </cell>
        </row>
        <row r="10133">
          <cell r="B10133" t="str">
            <v>B272-400-AS-280-PP-042</v>
          </cell>
          <cell r="E10133" t="str">
            <v>PX-91</v>
          </cell>
        </row>
        <row r="10134">
          <cell r="B10134" t="str">
            <v>B272-400-AS-280-PP-042</v>
          </cell>
          <cell r="E10134" t="str">
            <v>W-85</v>
          </cell>
        </row>
        <row r="10135">
          <cell r="B10135" t="str">
            <v>B272-400-AS-280-PP-042</v>
          </cell>
          <cell r="E10135" t="str">
            <v>B1030</v>
          </cell>
        </row>
        <row r="10136">
          <cell r="B10136" t="str">
            <v>B272-400-AS-280-PP-042</v>
          </cell>
          <cell r="E10136" t="str">
            <v>B1035</v>
          </cell>
        </row>
        <row r="10137">
          <cell r="B10137" t="str">
            <v>B272-400-AS-280-PP-043</v>
          </cell>
          <cell r="E10137" t="str">
            <v>stack</v>
          </cell>
        </row>
        <row r="10138">
          <cell r="B10138" t="str">
            <v>B272-400-AS-280-PP-043</v>
          </cell>
          <cell r="E10138" t="str">
            <v>G-25(1/4)</v>
          </cell>
        </row>
        <row r="10139">
          <cell r="B10139" t="str">
            <v>B272-400-AS-280-PP-043</v>
          </cell>
          <cell r="E10139" t="str">
            <v>G-25(2/4)</v>
          </cell>
        </row>
        <row r="10140">
          <cell r="B10140" t="str">
            <v>B272-400-AS-280-PP-043</v>
          </cell>
          <cell r="E10140" t="str">
            <v>G-25(3/4)</v>
          </cell>
        </row>
        <row r="10141">
          <cell r="B10141" t="str">
            <v>B272-400-AS-280-PP-043</v>
          </cell>
          <cell r="E10141" t="str">
            <v>G-25(4/4)</v>
          </cell>
        </row>
        <row r="10142">
          <cell r="B10142" t="str">
            <v>B272-400-AS-280-PP-043</v>
          </cell>
          <cell r="E10142" t="str">
            <v>P-433</v>
          </cell>
        </row>
        <row r="10143">
          <cell r="B10143" t="str">
            <v>B272-400-AS-280-PP-043</v>
          </cell>
          <cell r="E10143" t="str">
            <v>P-1132</v>
          </cell>
        </row>
        <row r="10144">
          <cell r="B10144" t="str">
            <v>B272-400-AS-280-PP-043</v>
          </cell>
          <cell r="E10144" t="str">
            <v>P-1136</v>
          </cell>
        </row>
        <row r="10145">
          <cell r="B10145" t="str">
            <v>B272-400-AS-280-PP-043</v>
          </cell>
          <cell r="E10145" t="str">
            <v>PX-79</v>
          </cell>
        </row>
        <row r="10146">
          <cell r="B10146" t="str">
            <v>B272-400-AS-280-PP-043</v>
          </cell>
          <cell r="E10146" t="str">
            <v>PX-82</v>
          </cell>
        </row>
        <row r="10147">
          <cell r="B10147" t="str">
            <v>B272-400-AS-280-PP-043</v>
          </cell>
          <cell r="E10147" t="str">
            <v>PX-91</v>
          </cell>
        </row>
        <row r="10148">
          <cell r="B10148" t="str">
            <v>B272-400-AS-280-PP-043</v>
          </cell>
          <cell r="E10148" t="str">
            <v>W-88</v>
          </cell>
        </row>
        <row r="10149">
          <cell r="B10149" t="str">
            <v>B272-400-AS-280-PP-043</v>
          </cell>
          <cell r="E10149" t="str">
            <v>B1030</v>
          </cell>
        </row>
        <row r="10150">
          <cell r="B10150" t="str">
            <v>B272-400-AS-280-PP-043</v>
          </cell>
          <cell r="E10150" t="str">
            <v>B1035</v>
          </cell>
        </row>
        <row r="10151">
          <cell r="B10151" t="str">
            <v>B272-400-AS-280-PP-044</v>
          </cell>
          <cell r="E10151" t="str">
            <v>convection</v>
          </cell>
        </row>
        <row r="10152">
          <cell r="B10152" t="str">
            <v>B272-400-AS-280-PP-044</v>
          </cell>
          <cell r="E10152" t="str">
            <v>G-25(1/3)</v>
          </cell>
        </row>
        <row r="10153">
          <cell r="B10153" t="str">
            <v>B272-400-AS-280-PP-044</v>
          </cell>
          <cell r="E10153" t="str">
            <v>G-25(2/3)</v>
          </cell>
        </row>
        <row r="10154">
          <cell r="B10154" t="str">
            <v>B272-400-AS-280-PP-044</v>
          </cell>
          <cell r="E10154" t="str">
            <v>G-25(3/3)</v>
          </cell>
        </row>
        <row r="10155">
          <cell r="B10155" t="str">
            <v>B272-400-AS-280-PP-044</v>
          </cell>
          <cell r="E10155" t="str">
            <v>P-365</v>
          </cell>
        </row>
        <row r="10156">
          <cell r="B10156" t="str">
            <v>B272-400-AS-280-PP-044</v>
          </cell>
          <cell r="E10156" t="str">
            <v>P-400</v>
          </cell>
        </row>
        <row r="10157">
          <cell r="B10157" t="str">
            <v>B272-400-AS-280-PP-044</v>
          </cell>
          <cell r="E10157" t="str">
            <v>P-459(1/2)</v>
          </cell>
        </row>
        <row r="10158">
          <cell r="B10158" t="str">
            <v>B272-400-AS-280-PP-044</v>
          </cell>
          <cell r="E10158" t="str">
            <v>P-459(2/2)</v>
          </cell>
        </row>
        <row r="10159">
          <cell r="B10159" t="str">
            <v>B272-400-AS-280-PP-044</v>
          </cell>
          <cell r="E10159" t="str">
            <v>P-882(1/2)</v>
          </cell>
        </row>
        <row r="10160">
          <cell r="B10160" t="str">
            <v>B272-400-AS-280-PP-044</v>
          </cell>
          <cell r="E10160" t="str">
            <v>P-882(2/2)</v>
          </cell>
        </row>
        <row r="10161">
          <cell r="B10161" t="str">
            <v>B272-400-AS-280-PP-044</v>
          </cell>
          <cell r="E10161" t="str">
            <v>P-883</v>
          </cell>
        </row>
        <row r="10162">
          <cell r="B10162" t="str">
            <v>B272-400-AS-280-PP-044</v>
          </cell>
          <cell r="E10162" t="str">
            <v>P-886</v>
          </cell>
        </row>
        <row r="10163">
          <cell r="B10163" t="str">
            <v>B272-400-AS-280-PP-044</v>
          </cell>
          <cell r="E10163" t="str">
            <v>W-62</v>
          </cell>
        </row>
        <row r="10164">
          <cell r="B10164" t="str">
            <v>B272-400-AS-280-PP-044</v>
          </cell>
          <cell r="E10164" t="str">
            <v>B1035</v>
          </cell>
        </row>
        <row r="10165">
          <cell r="B10165" t="str">
            <v>B272-400-AS-280-PP-045</v>
          </cell>
          <cell r="E10165" t="str">
            <v>convection</v>
          </cell>
        </row>
        <row r="10166">
          <cell r="B10166" t="str">
            <v>B272-400-AS-280-PP-045</v>
          </cell>
          <cell r="E10166" t="str">
            <v>G-25(1/3)</v>
          </cell>
        </row>
        <row r="10167">
          <cell r="B10167" t="str">
            <v>B272-400-AS-280-PP-045</v>
          </cell>
          <cell r="E10167" t="str">
            <v>G-25(2/3)</v>
          </cell>
        </row>
        <row r="10168">
          <cell r="B10168" t="str">
            <v>B272-400-AS-280-PP-045</v>
          </cell>
          <cell r="E10168" t="str">
            <v>G-25(3/3)</v>
          </cell>
        </row>
        <row r="10169">
          <cell r="B10169" t="str">
            <v>B272-400-AS-280-PP-045</v>
          </cell>
          <cell r="E10169" t="str">
            <v>P-365</v>
          </cell>
        </row>
        <row r="10170">
          <cell r="B10170" t="str">
            <v>B272-400-AS-280-PP-045</v>
          </cell>
          <cell r="E10170" t="str">
            <v>P-400</v>
          </cell>
        </row>
        <row r="10171">
          <cell r="B10171" t="str">
            <v>B272-400-AS-280-PP-045</v>
          </cell>
          <cell r="E10171" t="str">
            <v>P-882(1/2)</v>
          </cell>
        </row>
        <row r="10172">
          <cell r="B10172" t="str">
            <v>B272-400-AS-280-PP-045</v>
          </cell>
          <cell r="E10172" t="str">
            <v>P-882(2/2)</v>
          </cell>
        </row>
        <row r="10173">
          <cell r="B10173" t="str">
            <v>B272-400-AS-280-PP-045</v>
          </cell>
          <cell r="E10173" t="str">
            <v>P-883</v>
          </cell>
        </row>
        <row r="10174">
          <cell r="B10174" t="str">
            <v>B272-400-AS-280-PP-045</v>
          </cell>
          <cell r="E10174" t="str">
            <v>P-884(1/2)</v>
          </cell>
        </row>
        <row r="10175">
          <cell r="B10175" t="str">
            <v>B272-400-AS-280-PP-045</v>
          </cell>
          <cell r="E10175" t="str">
            <v>P-884(2/2)</v>
          </cell>
        </row>
        <row r="10176">
          <cell r="B10176" t="str">
            <v>B272-400-AS-280-PP-045</v>
          </cell>
          <cell r="E10176" t="str">
            <v>P-886</v>
          </cell>
        </row>
        <row r="10177">
          <cell r="B10177" t="str">
            <v>B272-400-AS-280-PP-045</v>
          </cell>
          <cell r="E10177" t="str">
            <v>W-62</v>
          </cell>
        </row>
        <row r="10178">
          <cell r="B10178" t="str">
            <v>B272-400-AS-280-PP-045</v>
          </cell>
          <cell r="E10178" t="str">
            <v>B1035</v>
          </cell>
        </row>
        <row r="10179">
          <cell r="B10179" t="str">
            <v>B272-400-AS-280-PP-046</v>
          </cell>
          <cell r="E10179" t="str">
            <v>convection</v>
          </cell>
        </row>
        <row r="10180">
          <cell r="B10180" t="str">
            <v>B272-400-AS-280-PP-046</v>
          </cell>
          <cell r="E10180" t="str">
            <v>G-25(1/3)</v>
          </cell>
        </row>
        <row r="10181">
          <cell r="B10181" t="str">
            <v>B272-400-AS-280-PP-046</v>
          </cell>
          <cell r="E10181" t="str">
            <v>G-25(2/3)</v>
          </cell>
        </row>
        <row r="10182">
          <cell r="B10182" t="str">
            <v>B272-400-AS-280-PP-046</v>
          </cell>
          <cell r="E10182" t="str">
            <v>G-25(3/3)</v>
          </cell>
        </row>
        <row r="10183">
          <cell r="B10183" t="str">
            <v>B272-400-AS-280-PP-046</v>
          </cell>
          <cell r="E10183" t="str">
            <v>P-398(1/2)</v>
          </cell>
        </row>
        <row r="10184">
          <cell r="B10184" t="str">
            <v>B272-400-AS-280-PP-046</v>
          </cell>
          <cell r="E10184" t="str">
            <v>P-398(2/2)</v>
          </cell>
        </row>
        <row r="10185">
          <cell r="B10185" t="str">
            <v>B272-400-AS-280-PP-046</v>
          </cell>
          <cell r="E10185" t="str">
            <v>P-399</v>
          </cell>
        </row>
        <row r="10186">
          <cell r="B10186" t="str">
            <v>B272-400-AS-280-PP-046</v>
          </cell>
          <cell r="E10186" t="str">
            <v>P-400</v>
          </cell>
        </row>
        <row r="10187">
          <cell r="B10187" t="str">
            <v>B272-400-AS-280-PP-046</v>
          </cell>
          <cell r="E10187" t="str">
            <v>P-404(1/2)</v>
          </cell>
        </row>
        <row r="10188">
          <cell r="B10188" t="str">
            <v>B272-400-AS-280-PP-046</v>
          </cell>
          <cell r="E10188" t="str">
            <v>P-404(2/2)</v>
          </cell>
        </row>
        <row r="10189">
          <cell r="B10189" t="str">
            <v>B272-400-AS-280-PP-046</v>
          </cell>
          <cell r="E10189" t="str">
            <v>P-405(1/2)</v>
          </cell>
        </row>
        <row r="10190">
          <cell r="B10190" t="str">
            <v>B272-400-AS-280-PP-046</v>
          </cell>
          <cell r="E10190" t="str">
            <v>P-405(2/2)</v>
          </cell>
        </row>
        <row r="10191">
          <cell r="B10191" t="str">
            <v>B272-400-AS-280-PP-046</v>
          </cell>
          <cell r="E10191" t="str">
            <v>W-7</v>
          </cell>
        </row>
        <row r="10192">
          <cell r="B10192" t="str">
            <v>B272-400-AS-280-PP-046</v>
          </cell>
          <cell r="E10192" t="str">
            <v>B1035</v>
          </cell>
        </row>
        <row r="10193">
          <cell r="B10193" t="str">
            <v>B272-400-AS-280-PP-047</v>
          </cell>
          <cell r="E10193" t="str">
            <v>convection</v>
          </cell>
        </row>
        <row r="10194">
          <cell r="B10194" t="str">
            <v>B272-400-AS-280-PP-047</v>
          </cell>
          <cell r="E10194" t="str">
            <v>G-25(1/3)</v>
          </cell>
        </row>
        <row r="10195">
          <cell r="B10195" t="str">
            <v>B272-400-AS-280-PP-047</v>
          </cell>
          <cell r="E10195" t="str">
            <v>G-25(2/3)</v>
          </cell>
        </row>
        <row r="10196">
          <cell r="B10196" t="str">
            <v>B272-400-AS-280-PP-047</v>
          </cell>
          <cell r="E10196" t="str">
            <v>G-25(3/3)</v>
          </cell>
        </row>
        <row r="10197">
          <cell r="B10197" t="str">
            <v>B272-400-AS-280-PP-047</v>
          </cell>
          <cell r="E10197" t="str">
            <v>P-398(1/2)</v>
          </cell>
        </row>
        <row r="10198">
          <cell r="B10198" t="str">
            <v>B272-400-AS-280-PP-047</v>
          </cell>
          <cell r="E10198" t="str">
            <v>P-398(2/2)</v>
          </cell>
        </row>
        <row r="10199">
          <cell r="B10199" t="str">
            <v>B272-400-AS-280-PP-047</v>
          </cell>
          <cell r="E10199" t="str">
            <v>P-399</v>
          </cell>
        </row>
        <row r="10200">
          <cell r="B10200" t="str">
            <v>B272-400-AS-280-PP-047</v>
          </cell>
          <cell r="E10200" t="str">
            <v>P-400</v>
          </cell>
        </row>
        <row r="10201">
          <cell r="B10201" t="str">
            <v>B272-400-AS-280-PP-047</v>
          </cell>
          <cell r="E10201" t="str">
            <v>P-404(1/2)</v>
          </cell>
        </row>
        <row r="10202">
          <cell r="B10202" t="str">
            <v>B272-400-AS-280-PP-047</v>
          </cell>
          <cell r="E10202" t="str">
            <v>P-404(2/2)</v>
          </cell>
        </row>
        <row r="10203">
          <cell r="B10203" t="str">
            <v>B272-400-AS-280-PP-047</v>
          </cell>
          <cell r="E10203" t="str">
            <v>P-405(1/2)</v>
          </cell>
        </row>
        <row r="10204">
          <cell r="B10204" t="str">
            <v>B272-400-AS-280-PP-047</v>
          </cell>
          <cell r="E10204" t="str">
            <v>P-405(2/2)</v>
          </cell>
        </row>
        <row r="10205">
          <cell r="B10205" t="str">
            <v>B272-400-AS-280-PP-047</v>
          </cell>
          <cell r="E10205" t="str">
            <v>W-15</v>
          </cell>
        </row>
        <row r="10206">
          <cell r="B10206" t="str">
            <v>B272-400-AS-280-PP-047</v>
          </cell>
          <cell r="E10206" t="str">
            <v>B1030</v>
          </cell>
        </row>
        <row r="10207">
          <cell r="B10207" t="str">
            <v>B272-400-AS-280-PP-047</v>
          </cell>
          <cell r="E10207" t="str">
            <v>B1035</v>
          </cell>
        </row>
        <row r="10208">
          <cell r="B10208" t="str">
            <v>B272-400-AS-280-PP-048</v>
          </cell>
          <cell r="E10208" t="str">
            <v>convection</v>
          </cell>
        </row>
        <row r="10209">
          <cell r="B10209" t="str">
            <v>B272-400-AS-280-PP-048</v>
          </cell>
          <cell r="E10209" t="str">
            <v>G-25(1/3)</v>
          </cell>
        </row>
        <row r="10210">
          <cell r="B10210" t="str">
            <v>B272-400-AS-280-PP-048</v>
          </cell>
          <cell r="E10210" t="str">
            <v>G-25(2/3)</v>
          </cell>
        </row>
        <row r="10211">
          <cell r="B10211" t="str">
            <v>B272-400-AS-280-PP-048</v>
          </cell>
          <cell r="E10211" t="str">
            <v>G-25(3/3)</v>
          </cell>
        </row>
        <row r="10212">
          <cell r="B10212" t="str">
            <v>B272-400-AS-280-PP-048</v>
          </cell>
          <cell r="E10212" t="str">
            <v>P-398</v>
          </cell>
        </row>
        <row r="10213">
          <cell r="B10213" t="str">
            <v>B272-400-AS-280-PP-048</v>
          </cell>
          <cell r="E10213" t="str">
            <v>P-407</v>
          </cell>
        </row>
        <row r="10214">
          <cell r="B10214" t="str">
            <v>B272-400-AS-280-PP-048</v>
          </cell>
          <cell r="E10214" t="str">
            <v>P-408</v>
          </cell>
        </row>
        <row r="10215">
          <cell r="B10215" t="str">
            <v>B272-400-AS-280-PP-048</v>
          </cell>
          <cell r="E10215" t="str">
            <v>P-409</v>
          </cell>
        </row>
        <row r="10216">
          <cell r="B10216" t="str">
            <v>B272-400-AS-280-PP-048</v>
          </cell>
          <cell r="E10216" t="str">
            <v>P-417</v>
          </cell>
        </row>
        <row r="10217">
          <cell r="B10217" t="str">
            <v>B272-400-AS-280-PP-048</v>
          </cell>
          <cell r="E10217" t="str">
            <v>P-419(1/2)</v>
          </cell>
        </row>
        <row r="10218">
          <cell r="B10218" t="str">
            <v>B272-400-AS-280-PP-048</v>
          </cell>
          <cell r="E10218" t="str">
            <v>P-419(2/2)</v>
          </cell>
        </row>
        <row r="10219">
          <cell r="B10219" t="str">
            <v>B272-400-AS-280-PP-048</v>
          </cell>
          <cell r="E10219" t="str">
            <v>P-420</v>
          </cell>
        </row>
        <row r="10220">
          <cell r="B10220" t="str">
            <v>B272-400-AS-280-PP-048</v>
          </cell>
          <cell r="E10220" t="str">
            <v>P-437</v>
          </cell>
        </row>
        <row r="10221">
          <cell r="B10221" t="str">
            <v>B272-400-AS-280-PP-048</v>
          </cell>
          <cell r="E10221" t="str">
            <v>P-847</v>
          </cell>
        </row>
        <row r="10222">
          <cell r="B10222" t="str">
            <v>B272-400-AS-280-PP-048</v>
          </cell>
          <cell r="E10222" t="str">
            <v>W-5</v>
          </cell>
        </row>
        <row r="10223">
          <cell r="B10223" t="str">
            <v>B272-400-AS-280-PP-048</v>
          </cell>
          <cell r="E10223" t="str">
            <v>B1030</v>
          </cell>
        </row>
        <row r="10224">
          <cell r="B10224" t="str">
            <v>B272-400-AS-280-PP-048</v>
          </cell>
          <cell r="E10224" t="str">
            <v>B1035</v>
          </cell>
        </row>
        <row r="10225">
          <cell r="B10225" t="str">
            <v>B272-400-AS-280-PP-049</v>
          </cell>
          <cell r="E10225" t="str">
            <v>hoàng anh</v>
          </cell>
        </row>
        <row r="10226">
          <cell r="B10226" t="str">
            <v>B272-400-AS-280-PP-049</v>
          </cell>
          <cell r="E10226" t="str">
            <v>G-25(1/3)</v>
          </cell>
        </row>
        <row r="10227">
          <cell r="B10227" t="str">
            <v>B272-400-AS-280-PP-049</v>
          </cell>
          <cell r="E10227" t="str">
            <v>G-25(2/3)</v>
          </cell>
        </row>
        <row r="10228">
          <cell r="B10228" t="str">
            <v>B272-400-AS-280-PP-049</v>
          </cell>
          <cell r="E10228" t="str">
            <v>G-25(3/3)</v>
          </cell>
        </row>
        <row r="10229">
          <cell r="B10229" t="str">
            <v>B272-400-AS-280-PP-049</v>
          </cell>
          <cell r="E10229" t="str">
            <v>P-400(1/2)</v>
          </cell>
        </row>
        <row r="10230">
          <cell r="B10230" t="str">
            <v>B272-400-AS-280-PP-049</v>
          </cell>
          <cell r="E10230" t="str">
            <v>P-400(2/2)</v>
          </cell>
        </row>
        <row r="10231">
          <cell r="B10231" t="str">
            <v>B272-400-AS-280-PP-049</v>
          </cell>
          <cell r="E10231" t="str">
            <v>P-435(1/2)</v>
          </cell>
        </row>
        <row r="10232">
          <cell r="B10232" t="str">
            <v>B272-400-AS-280-PP-049</v>
          </cell>
          <cell r="E10232" t="str">
            <v>P-435(2/2)</v>
          </cell>
        </row>
        <row r="10233">
          <cell r="B10233" t="str">
            <v>B272-400-AS-280-PP-049</v>
          </cell>
          <cell r="E10233" t="str">
            <v>W-22</v>
          </cell>
        </row>
        <row r="10234">
          <cell r="B10234" t="str">
            <v>B272-400-AS-280-PP-049</v>
          </cell>
          <cell r="E10234" t="str">
            <v>B1030</v>
          </cell>
        </row>
        <row r="10235">
          <cell r="B10235" t="str">
            <v>B272-400-AS-280-PP-049</v>
          </cell>
          <cell r="E10235" t="str">
            <v>B1035</v>
          </cell>
        </row>
        <row r="10236">
          <cell r="B10236" t="str">
            <v>B272-400-AS-280-PP-049</v>
          </cell>
          <cell r="E10236" t="str">
            <v>hoàng anh</v>
          </cell>
        </row>
        <row r="10237">
          <cell r="B10237" t="str">
            <v>B272-400-AS-280-PP-049</v>
          </cell>
          <cell r="E10237" t="str">
            <v>G-25(1/3)</v>
          </cell>
        </row>
        <row r="10238">
          <cell r="B10238" t="str">
            <v>B272-400-AS-280-PP-049</v>
          </cell>
          <cell r="E10238" t="str">
            <v>G-25(2/3)</v>
          </cell>
        </row>
        <row r="10239">
          <cell r="B10239" t="str">
            <v>B272-400-AS-280-PP-049</v>
          </cell>
          <cell r="E10239" t="str">
            <v>G-25(3/3)</v>
          </cell>
        </row>
        <row r="10240">
          <cell r="B10240" t="str">
            <v>B272-400-AS-280-PP-049</v>
          </cell>
          <cell r="E10240" t="str">
            <v>P-400(1/2)</v>
          </cell>
        </row>
        <row r="10241">
          <cell r="B10241" t="str">
            <v>B272-400-AS-280-PP-049</v>
          </cell>
          <cell r="E10241" t="str">
            <v>P-400(2/2)</v>
          </cell>
        </row>
        <row r="10242">
          <cell r="B10242" t="str">
            <v>B272-400-AS-280-PP-049</v>
          </cell>
          <cell r="E10242" t="str">
            <v>P-435(1/2)</v>
          </cell>
        </row>
        <row r="10243">
          <cell r="B10243" t="str">
            <v>B272-400-AS-280-PP-049</v>
          </cell>
          <cell r="E10243" t="str">
            <v>P-435(2/2)</v>
          </cell>
        </row>
        <row r="10244">
          <cell r="B10244" t="str">
            <v>B272-400-AS-280-PP-049</v>
          </cell>
          <cell r="E10244" t="str">
            <v>W-22</v>
          </cell>
        </row>
        <row r="10245">
          <cell r="B10245" t="str">
            <v>B272-400-AS-280-PP-049</v>
          </cell>
          <cell r="E10245" t="str">
            <v>B1035</v>
          </cell>
        </row>
        <row r="10246">
          <cell r="B10246" t="str">
            <v>B272-400-AS-280-PP-049</v>
          </cell>
          <cell r="E10246" t="str">
            <v>hoàng anh</v>
          </cell>
        </row>
        <row r="10247">
          <cell r="B10247" t="str">
            <v>B272-400-AS-280-PP-049</v>
          </cell>
          <cell r="E10247" t="str">
            <v>G-25(1/3)</v>
          </cell>
        </row>
        <row r="10248">
          <cell r="B10248" t="str">
            <v>B272-400-AS-280-PP-049</v>
          </cell>
          <cell r="E10248" t="str">
            <v>G-25(2/3)</v>
          </cell>
        </row>
        <row r="10249">
          <cell r="B10249" t="str">
            <v>B272-400-AS-280-PP-049</v>
          </cell>
          <cell r="E10249" t="str">
            <v>G-25(3/3)</v>
          </cell>
        </row>
        <row r="10250">
          <cell r="B10250" t="str">
            <v>B272-400-AS-280-PP-049</v>
          </cell>
          <cell r="E10250" t="str">
            <v>P-400(1/2)</v>
          </cell>
        </row>
        <row r="10251">
          <cell r="B10251" t="str">
            <v>B272-400-AS-280-PP-049</v>
          </cell>
          <cell r="E10251" t="str">
            <v>P-400(2/2)</v>
          </cell>
        </row>
        <row r="10252">
          <cell r="B10252" t="str">
            <v>B272-400-AS-280-PP-049</v>
          </cell>
          <cell r="E10252" t="str">
            <v>P-435(1/2)</v>
          </cell>
        </row>
        <row r="10253">
          <cell r="B10253" t="str">
            <v>B272-400-AS-280-PP-049</v>
          </cell>
          <cell r="E10253" t="str">
            <v>P-435(2/2)</v>
          </cell>
        </row>
        <row r="10254">
          <cell r="B10254" t="str">
            <v>B272-400-AS-280-PP-049</v>
          </cell>
          <cell r="E10254" t="str">
            <v>W-22</v>
          </cell>
        </row>
        <row r="10255">
          <cell r="B10255" t="str">
            <v>B272-400-AS-280-PP-049</v>
          </cell>
          <cell r="E10255" t="str">
            <v>B1035</v>
          </cell>
        </row>
        <row r="10256">
          <cell r="B10256" t="str">
            <v>B272-400-AS-280-PP-049</v>
          </cell>
          <cell r="E10256" t="str">
            <v>hoàng anh</v>
          </cell>
        </row>
        <row r="10257">
          <cell r="B10257" t="str">
            <v>B272-400-AS-280-PP-049</v>
          </cell>
          <cell r="E10257" t="str">
            <v>G-25(1/3)</v>
          </cell>
        </row>
        <row r="10258">
          <cell r="B10258" t="str">
            <v>B272-400-AS-280-PP-049</v>
          </cell>
          <cell r="E10258" t="str">
            <v>G-25(2/3)</v>
          </cell>
        </row>
        <row r="10259">
          <cell r="B10259" t="str">
            <v>B272-400-AS-280-PP-049</v>
          </cell>
          <cell r="E10259" t="str">
            <v>G-25(3/3)</v>
          </cell>
        </row>
        <row r="10260">
          <cell r="B10260" t="str">
            <v>B272-400-AS-280-PP-049</v>
          </cell>
          <cell r="E10260" t="str">
            <v>P-400(1/2)</v>
          </cell>
        </row>
        <row r="10261">
          <cell r="B10261" t="str">
            <v>B272-400-AS-280-PP-049</v>
          </cell>
          <cell r="E10261" t="str">
            <v>P-400(2/2)</v>
          </cell>
        </row>
        <row r="10262">
          <cell r="B10262" t="str">
            <v>B272-400-AS-280-PP-049</v>
          </cell>
          <cell r="E10262" t="str">
            <v>P-435(1/2)</v>
          </cell>
        </row>
        <row r="10263">
          <cell r="B10263" t="str">
            <v>B272-400-AS-280-PP-049</v>
          </cell>
          <cell r="E10263" t="str">
            <v>P-435(2/2)</v>
          </cell>
        </row>
        <row r="10264">
          <cell r="B10264" t="str">
            <v>B272-400-AS-280-PP-049</v>
          </cell>
          <cell r="E10264" t="str">
            <v>W-22</v>
          </cell>
        </row>
        <row r="10265">
          <cell r="B10265" t="str">
            <v>B272-400-AS-280-PP-049</v>
          </cell>
          <cell r="E10265" t="str">
            <v>B1035</v>
          </cell>
        </row>
        <row r="10266">
          <cell r="B10266" t="str">
            <v>B272-400-AS-280-PP-049</v>
          </cell>
          <cell r="E10266" t="str">
            <v>hoàng anh</v>
          </cell>
        </row>
        <row r="10267">
          <cell r="B10267" t="str">
            <v>B272-400-AS-280-PP-049</v>
          </cell>
          <cell r="E10267" t="str">
            <v>G-25(1/3)</v>
          </cell>
        </row>
        <row r="10268">
          <cell r="B10268" t="str">
            <v>B272-400-AS-280-PP-049</v>
          </cell>
          <cell r="E10268" t="str">
            <v>G-25(2/3)</v>
          </cell>
        </row>
        <row r="10269">
          <cell r="B10269" t="str">
            <v>B272-400-AS-280-PP-049</v>
          </cell>
          <cell r="E10269" t="str">
            <v>G-25(3/3)</v>
          </cell>
        </row>
        <row r="10270">
          <cell r="B10270" t="str">
            <v>B272-400-AS-280-PP-049</v>
          </cell>
          <cell r="E10270" t="str">
            <v>P-400(1/2)</v>
          </cell>
        </row>
        <row r="10271">
          <cell r="B10271" t="str">
            <v>B272-400-AS-280-PP-049</v>
          </cell>
          <cell r="E10271" t="str">
            <v>P-400(2/2)</v>
          </cell>
        </row>
        <row r="10272">
          <cell r="B10272" t="str">
            <v>B272-400-AS-280-PP-049</v>
          </cell>
          <cell r="E10272" t="str">
            <v>P-435(1/2)</v>
          </cell>
        </row>
        <row r="10273">
          <cell r="B10273" t="str">
            <v>B272-400-AS-280-PP-049</v>
          </cell>
          <cell r="E10273" t="str">
            <v>P-435(2/2)</v>
          </cell>
        </row>
        <row r="10274">
          <cell r="B10274" t="str">
            <v>B272-400-AS-280-PP-049</v>
          </cell>
          <cell r="E10274" t="str">
            <v>W-22</v>
          </cell>
        </row>
        <row r="10275">
          <cell r="B10275" t="str">
            <v>B272-400-AS-280-PP-049</v>
          </cell>
          <cell r="E10275" t="str">
            <v>B1035</v>
          </cell>
        </row>
        <row r="10276">
          <cell r="B10276" t="str">
            <v>B272-400-AS-280-PP-050</v>
          </cell>
          <cell r="E10276" t="str">
            <v>hoàng anh</v>
          </cell>
        </row>
        <row r="10277">
          <cell r="B10277" t="str">
            <v>B272-400-AS-280-PP-050</v>
          </cell>
          <cell r="E10277" t="str">
            <v>G-25(1/3)</v>
          </cell>
        </row>
        <row r="10278">
          <cell r="B10278" t="str">
            <v>B272-400-AS-280-PP-050</v>
          </cell>
          <cell r="E10278" t="str">
            <v>G-25(2/3)</v>
          </cell>
        </row>
        <row r="10279">
          <cell r="B10279" t="str">
            <v>B272-400-AS-280-PP-050</v>
          </cell>
          <cell r="E10279" t="str">
            <v>G-25(3/3)</v>
          </cell>
        </row>
        <row r="10280">
          <cell r="B10280" t="str">
            <v>B272-400-AS-280-PP-050</v>
          </cell>
          <cell r="E10280" t="str">
            <v>P-400(1/2)</v>
          </cell>
        </row>
        <row r="10281">
          <cell r="B10281" t="str">
            <v>B272-400-AS-280-PP-050</v>
          </cell>
          <cell r="E10281" t="str">
            <v>P-400(2/2)</v>
          </cell>
        </row>
        <row r="10282">
          <cell r="B10282" t="str">
            <v>B272-400-AS-280-PP-050</v>
          </cell>
          <cell r="E10282" t="str">
            <v>P-435(1/2)</v>
          </cell>
        </row>
        <row r="10283">
          <cell r="B10283" t="str">
            <v>B272-400-AS-280-PP-050</v>
          </cell>
          <cell r="E10283" t="str">
            <v>P-435(2/2)</v>
          </cell>
        </row>
        <row r="10284">
          <cell r="B10284" t="str">
            <v>B272-400-AS-280-PP-050</v>
          </cell>
          <cell r="E10284" t="str">
            <v>W-22</v>
          </cell>
        </row>
        <row r="10285">
          <cell r="B10285" t="str">
            <v>B272-400-AS-280-PP-050</v>
          </cell>
          <cell r="E10285" t="str">
            <v>B1030</v>
          </cell>
        </row>
        <row r="10286">
          <cell r="B10286" t="str">
            <v>B272-400-AS-280-PP-050</v>
          </cell>
          <cell r="E10286" t="str">
            <v>B1035</v>
          </cell>
        </row>
        <row r="10287">
          <cell r="B10287" t="str">
            <v>B272-400-AS-280-PP-051</v>
          </cell>
          <cell r="E10287" t="str">
            <v>hoàng anh</v>
          </cell>
        </row>
        <row r="10288">
          <cell r="B10288" t="str">
            <v>B272-400-AS-280-PP-051</v>
          </cell>
          <cell r="E10288" t="str">
            <v>G-25(1/3)</v>
          </cell>
        </row>
        <row r="10289">
          <cell r="B10289" t="str">
            <v>B272-400-AS-280-PP-051</v>
          </cell>
          <cell r="E10289" t="str">
            <v>G-25(2/3)</v>
          </cell>
        </row>
        <row r="10290">
          <cell r="B10290" t="str">
            <v>B272-400-AS-280-PP-051</v>
          </cell>
          <cell r="E10290" t="str">
            <v>G-25(3/3)</v>
          </cell>
        </row>
        <row r="10291">
          <cell r="B10291" t="str">
            <v>B272-400-AS-280-PP-051</v>
          </cell>
          <cell r="E10291" t="str">
            <v>P-400(1/2)</v>
          </cell>
        </row>
        <row r="10292">
          <cell r="B10292" t="str">
            <v>B272-400-AS-280-PP-051</v>
          </cell>
          <cell r="E10292" t="str">
            <v>P-400(2/2)</v>
          </cell>
        </row>
        <row r="10293">
          <cell r="B10293" t="str">
            <v>B272-400-AS-280-PP-051</v>
          </cell>
          <cell r="E10293" t="str">
            <v>P-435(1/2)</v>
          </cell>
        </row>
        <row r="10294">
          <cell r="B10294" t="str">
            <v>B272-400-AS-280-PP-051</v>
          </cell>
          <cell r="E10294" t="str">
            <v>P-435(2/2)</v>
          </cell>
        </row>
        <row r="10295">
          <cell r="B10295" t="str">
            <v>B272-400-AS-280-PP-051</v>
          </cell>
          <cell r="E10295" t="str">
            <v>W-81</v>
          </cell>
        </row>
        <row r="10296">
          <cell r="B10296" t="str">
            <v>B272-400-AS-280-PP-051</v>
          </cell>
          <cell r="E10296" t="str">
            <v>B1030</v>
          </cell>
        </row>
        <row r="10297">
          <cell r="B10297" t="str">
            <v>B272-400-AS-280-PP-051</v>
          </cell>
          <cell r="E10297" t="str">
            <v>B1035</v>
          </cell>
        </row>
        <row r="10298">
          <cell r="B10298" t="str">
            <v>B272-400-AS-280-PP-052</v>
          </cell>
          <cell r="E10298" t="str">
            <v>convection</v>
          </cell>
        </row>
        <row r="10299">
          <cell r="B10299" t="str">
            <v>B272-400-AS-280-PP-052</v>
          </cell>
          <cell r="E10299" t="str">
            <v>G-25(1/3)</v>
          </cell>
        </row>
        <row r="10300">
          <cell r="B10300" t="str">
            <v>B272-400-AS-280-PP-052</v>
          </cell>
          <cell r="E10300" t="str">
            <v>G-25(2/3)</v>
          </cell>
        </row>
        <row r="10301">
          <cell r="B10301" t="str">
            <v>B272-400-AS-280-PP-052</v>
          </cell>
          <cell r="E10301" t="str">
            <v>G-25(3/3)</v>
          </cell>
        </row>
        <row r="10302">
          <cell r="B10302" t="str">
            <v>B272-400-AS-280-PP-052</v>
          </cell>
          <cell r="E10302" t="str">
            <v>P-400(1/2)</v>
          </cell>
        </row>
        <row r="10303">
          <cell r="B10303" t="str">
            <v>B272-400-AS-280-PP-052</v>
          </cell>
          <cell r="E10303" t="str">
            <v>P-400(2/2)</v>
          </cell>
        </row>
        <row r="10304">
          <cell r="B10304" t="str">
            <v>B272-400-AS-280-PP-052</v>
          </cell>
          <cell r="E10304" t="str">
            <v>P-624(1/2)</v>
          </cell>
        </row>
        <row r="10305">
          <cell r="B10305" t="str">
            <v>B272-400-AS-280-PP-052</v>
          </cell>
          <cell r="E10305" t="str">
            <v>P-624(2/2)</v>
          </cell>
        </row>
        <row r="10306">
          <cell r="B10306" t="str">
            <v>B272-400-AS-280-PP-052</v>
          </cell>
          <cell r="E10306" t="str">
            <v>W-33</v>
          </cell>
        </row>
        <row r="10307">
          <cell r="B10307" t="str">
            <v>B272-400-AS-280-PP-052</v>
          </cell>
          <cell r="E10307" t="str">
            <v>B1030</v>
          </cell>
        </row>
        <row r="10308">
          <cell r="B10308" t="str">
            <v>B272-400-AS-280-PP-052</v>
          </cell>
          <cell r="E10308" t="str">
            <v>B1035</v>
          </cell>
        </row>
        <row r="10309">
          <cell r="B10309" t="str">
            <v>B272-400-AS-280-PP-052</v>
          </cell>
          <cell r="E10309" t="str">
            <v>convection</v>
          </cell>
        </row>
        <row r="10310">
          <cell r="B10310" t="str">
            <v>B272-400-AS-280-PP-052</v>
          </cell>
          <cell r="E10310" t="str">
            <v>G-25(1/3)</v>
          </cell>
        </row>
        <row r="10311">
          <cell r="B10311" t="str">
            <v>B272-400-AS-280-PP-052</v>
          </cell>
          <cell r="E10311" t="str">
            <v>G-25(2/3)</v>
          </cell>
        </row>
        <row r="10312">
          <cell r="B10312" t="str">
            <v>B272-400-AS-280-PP-052</v>
          </cell>
          <cell r="E10312" t="str">
            <v>G-25(3/3)</v>
          </cell>
        </row>
        <row r="10313">
          <cell r="B10313" t="str">
            <v>B272-400-AS-280-PP-052</v>
          </cell>
          <cell r="E10313" t="str">
            <v>P-400(1/2)</v>
          </cell>
        </row>
        <row r="10314">
          <cell r="B10314" t="str">
            <v>B272-400-AS-280-PP-052</v>
          </cell>
          <cell r="E10314" t="str">
            <v>P-400(2/2)</v>
          </cell>
        </row>
        <row r="10315">
          <cell r="B10315" t="str">
            <v>B272-400-AS-280-PP-052</v>
          </cell>
          <cell r="E10315" t="str">
            <v>P-624(1/2)</v>
          </cell>
        </row>
        <row r="10316">
          <cell r="B10316" t="str">
            <v>B272-400-AS-280-PP-052</v>
          </cell>
          <cell r="E10316" t="str">
            <v>P-624(2/2)</v>
          </cell>
        </row>
        <row r="10317">
          <cell r="B10317" t="str">
            <v>B272-400-AS-280-PP-052</v>
          </cell>
          <cell r="E10317" t="str">
            <v>W-33</v>
          </cell>
        </row>
        <row r="10318">
          <cell r="B10318" t="str">
            <v>B272-400-AS-280-PP-052</v>
          </cell>
          <cell r="E10318" t="str">
            <v>B1030</v>
          </cell>
        </row>
        <row r="10319">
          <cell r="B10319" t="str">
            <v>B272-400-AS-280-PP-052</v>
          </cell>
          <cell r="E10319" t="str">
            <v>B1035</v>
          </cell>
        </row>
        <row r="10320">
          <cell r="B10320" t="str">
            <v>B272-400-AS-280-PP-053</v>
          </cell>
          <cell r="E10320" t="str">
            <v>hoàng anh</v>
          </cell>
        </row>
        <row r="10321">
          <cell r="B10321" t="str">
            <v>B272-400-AS-280-PP-053</v>
          </cell>
          <cell r="E10321" t="str">
            <v>G-25(1/3)</v>
          </cell>
        </row>
        <row r="10322">
          <cell r="B10322" t="str">
            <v>B272-400-AS-280-PP-053</v>
          </cell>
          <cell r="E10322" t="str">
            <v>G-25(2/3)</v>
          </cell>
        </row>
        <row r="10323">
          <cell r="B10323" t="str">
            <v>B272-400-AS-280-PP-053</v>
          </cell>
          <cell r="E10323" t="str">
            <v>G-25(3/3)</v>
          </cell>
        </row>
        <row r="10324">
          <cell r="B10324" t="str">
            <v>B272-400-AS-280-PP-053</v>
          </cell>
          <cell r="E10324" t="str">
            <v>P-400</v>
          </cell>
        </row>
        <row r="10325">
          <cell r="B10325" t="str">
            <v>B272-400-AS-280-PP-053</v>
          </cell>
          <cell r="E10325" t="str">
            <v>P-442</v>
          </cell>
        </row>
        <row r="10326">
          <cell r="B10326" t="str">
            <v>B272-400-AS-280-PP-053</v>
          </cell>
          <cell r="E10326" t="str">
            <v>P-566</v>
          </cell>
        </row>
        <row r="10327">
          <cell r="B10327" t="str">
            <v>B272-400-AS-280-PP-053</v>
          </cell>
          <cell r="E10327" t="str">
            <v>P-570</v>
          </cell>
        </row>
        <row r="10328">
          <cell r="B10328" t="str">
            <v>B272-400-AS-280-PP-053</v>
          </cell>
          <cell r="E10328" t="str">
            <v>P-740(1/2)</v>
          </cell>
        </row>
        <row r="10329">
          <cell r="B10329" t="str">
            <v>B272-400-AS-280-PP-053</v>
          </cell>
          <cell r="E10329" t="str">
            <v>P-740(2/2)</v>
          </cell>
        </row>
        <row r="10330">
          <cell r="B10330" t="str">
            <v>B272-400-AS-280-PP-053</v>
          </cell>
          <cell r="E10330" t="str">
            <v>P-741</v>
          </cell>
        </row>
        <row r="10331">
          <cell r="B10331" t="str">
            <v>B272-400-AS-280-PP-053</v>
          </cell>
          <cell r="E10331" t="str">
            <v>P-742</v>
          </cell>
        </row>
        <row r="10332">
          <cell r="B10332" t="str">
            <v>B272-400-AS-280-PP-053</v>
          </cell>
          <cell r="E10332" t="str">
            <v>P-743</v>
          </cell>
        </row>
        <row r="10333">
          <cell r="B10333" t="str">
            <v>B272-400-AS-280-PP-053</v>
          </cell>
          <cell r="E10333" t="str">
            <v>P-847</v>
          </cell>
        </row>
        <row r="10334">
          <cell r="B10334" t="str">
            <v>B272-400-AS-280-PP-053</v>
          </cell>
          <cell r="E10334" t="str">
            <v>W-28</v>
          </cell>
        </row>
        <row r="10335">
          <cell r="B10335" t="str">
            <v>B272-400-AS-280-PP-053</v>
          </cell>
          <cell r="E10335" t="str">
            <v>B1030</v>
          </cell>
        </row>
        <row r="10336">
          <cell r="B10336" t="str">
            <v>B272-400-AS-280-PP-053</v>
          </cell>
          <cell r="E10336" t="str">
            <v>B1035</v>
          </cell>
        </row>
        <row r="10337">
          <cell r="B10337" t="str">
            <v>B272-400-AS-280-PP-053</v>
          </cell>
          <cell r="E10337" t="str">
            <v>B1045</v>
          </cell>
        </row>
        <row r="10338">
          <cell r="B10338" t="str">
            <v>B272-400-AS-280-PP-054</v>
          </cell>
          <cell r="E10338" t="str">
            <v>convection</v>
          </cell>
        </row>
        <row r="10339">
          <cell r="B10339" t="str">
            <v>B272-400-AS-280-PP-054</v>
          </cell>
          <cell r="E10339" t="str">
            <v>G-25(1/3)</v>
          </cell>
        </row>
        <row r="10340">
          <cell r="B10340" t="str">
            <v>B272-400-AS-280-PP-054</v>
          </cell>
          <cell r="E10340" t="str">
            <v>G-25(2/3)</v>
          </cell>
        </row>
        <row r="10341">
          <cell r="B10341" t="str">
            <v>B272-400-AS-280-PP-054</v>
          </cell>
          <cell r="E10341" t="str">
            <v>G-25(3/3)</v>
          </cell>
        </row>
        <row r="10342">
          <cell r="B10342" t="str">
            <v>B272-400-AS-280-PP-054</v>
          </cell>
          <cell r="E10342" t="str">
            <v>P-435</v>
          </cell>
        </row>
        <row r="10343">
          <cell r="B10343" t="str">
            <v>B272-400-AS-280-PP-054</v>
          </cell>
          <cell r="E10343" t="str">
            <v>P-600</v>
          </cell>
        </row>
        <row r="10344">
          <cell r="B10344" t="str">
            <v>B272-400-AS-280-PP-054</v>
          </cell>
          <cell r="E10344" t="str">
            <v>P-601</v>
          </cell>
        </row>
        <row r="10345">
          <cell r="B10345" t="str">
            <v>B272-400-AS-280-PP-054</v>
          </cell>
          <cell r="E10345" t="str">
            <v>P-606</v>
          </cell>
        </row>
        <row r="10346">
          <cell r="B10346" t="str">
            <v>B272-400-AS-280-PP-054</v>
          </cell>
          <cell r="E10346" t="str">
            <v>P-615</v>
          </cell>
        </row>
        <row r="10347">
          <cell r="B10347" t="str">
            <v>B272-400-AS-280-PP-054</v>
          </cell>
          <cell r="E10347" t="str">
            <v>P-620(1/2)</v>
          </cell>
        </row>
        <row r="10348">
          <cell r="B10348" t="str">
            <v>B272-400-AS-280-PP-054</v>
          </cell>
          <cell r="E10348" t="str">
            <v>P-620(2/2)</v>
          </cell>
        </row>
        <row r="10349">
          <cell r="B10349" t="str">
            <v>B272-400-AS-280-PP-054</v>
          </cell>
          <cell r="E10349" t="str">
            <v>P-634</v>
          </cell>
        </row>
        <row r="10350">
          <cell r="B10350" t="str">
            <v>B272-400-AS-280-PP-054</v>
          </cell>
          <cell r="E10350" t="str">
            <v>W-17</v>
          </cell>
        </row>
        <row r="10351">
          <cell r="B10351" t="str">
            <v>B272-400-AS-280-PP-054</v>
          </cell>
          <cell r="E10351" t="str">
            <v>B1030</v>
          </cell>
        </row>
        <row r="10352">
          <cell r="B10352" t="str">
            <v>B272-400-AS-280-PP-054</v>
          </cell>
          <cell r="E10352" t="str">
            <v>B1035</v>
          </cell>
        </row>
        <row r="10353">
          <cell r="B10353" t="str">
            <v>B272-400-AS-280-PP-055</v>
          </cell>
          <cell r="E10353" t="str">
            <v>convection</v>
          </cell>
        </row>
        <row r="10354">
          <cell r="B10354" t="str">
            <v>B272-400-AS-280-PP-055</v>
          </cell>
          <cell r="E10354" t="str">
            <v>G-25(1/3)</v>
          </cell>
        </row>
        <row r="10355">
          <cell r="B10355" t="str">
            <v>B272-400-AS-280-PP-055</v>
          </cell>
          <cell r="E10355" t="str">
            <v>G-25(2/3)</v>
          </cell>
        </row>
        <row r="10356">
          <cell r="B10356" t="str">
            <v>B272-400-AS-280-PP-055</v>
          </cell>
          <cell r="E10356" t="str">
            <v>G-25(3/3)</v>
          </cell>
        </row>
        <row r="10357">
          <cell r="B10357" t="str">
            <v>B272-400-AS-280-PP-055</v>
          </cell>
          <cell r="E10357" t="str">
            <v>P-435</v>
          </cell>
        </row>
        <row r="10358">
          <cell r="B10358" t="str">
            <v>B272-400-AS-280-PP-055</v>
          </cell>
          <cell r="E10358" t="str">
            <v>P-600</v>
          </cell>
        </row>
        <row r="10359">
          <cell r="B10359" t="str">
            <v>B272-400-AS-280-PP-055</v>
          </cell>
          <cell r="E10359" t="str">
            <v>P-601</v>
          </cell>
        </row>
        <row r="10360">
          <cell r="B10360" t="str">
            <v>B272-400-AS-280-PP-055</v>
          </cell>
          <cell r="E10360" t="str">
            <v>P-606</v>
          </cell>
        </row>
        <row r="10361">
          <cell r="B10361" t="str">
            <v>B272-400-AS-280-PP-055</v>
          </cell>
          <cell r="E10361" t="str">
            <v>P-615</v>
          </cell>
        </row>
        <row r="10362">
          <cell r="B10362" t="str">
            <v>B272-400-AS-280-PP-055</v>
          </cell>
          <cell r="E10362" t="str">
            <v>P-620(1/2)</v>
          </cell>
        </row>
        <row r="10363">
          <cell r="B10363" t="str">
            <v>B272-400-AS-280-PP-055</v>
          </cell>
          <cell r="E10363" t="str">
            <v>P-620(2/2)</v>
          </cell>
        </row>
        <row r="10364">
          <cell r="B10364" t="str">
            <v>B272-400-AS-280-PP-055</v>
          </cell>
          <cell r="E10364" t="str">
            <v>P-634</v>
          </cell>
        </row>
        <row r="10365">
          <cell r="B10365" t="str">
            <v>B272-400-AS-280-PP-055</v>
          </cell>
          <cell r="E10365" t="str">
            <v>W-17</v>
          </cell>
        </row>
        <row r="10366">
          <cell r="B10366" t="str">
            <v>B272-400-AS-280-PP-055</v>
          </cell>
          <cell r="E10366" t="str">
            <v>B1030</v>
          </cell>
        </row>
        <row r="10367">
          <cell r="B10367" t="str">
            <v>B272-400-AS-280-PP-055</v>
          </cell>
          <cell r="E10367" t="str">
            <v>B1035</v>
          </cell>
        </row>
        <row r="10368">
          <cell r="B10368" t="str">
            <v>B272-400-AS-280-PP-056</v>
          </cell>
          <cell r="E10368" t="str">
            <v>hoàng anh</v>
          </cell>
        </row>
        <row r="10369">
          <cell r="B10369" t="str">
            <v>B272-400-AS-280-PP-056</v>
          </cell>
          <cell r="E10369" t="str">
            <v>G-25(1/3)</v>
          </cell>
        </row>
        <row r="10370">
          <cell r="B10370" t="str">
            <v>B272-400-AS-280-PP-056</v>
          </cell>
          <cell r="E10370" t="str">
            <v>G-25(2/3)</v>
          </cell>
        </row>
        <row r="10371">
          <cell r="B10371" t="str">
            <v>B272-400-AS-280-PP-056</v>
          </cell>
          <cell r="E10371" t="str">
            <v>G-25(3/3)</v>
          </cell>
        </row>
        <row r="10372">
          <cell r="B10372" t="str">
            <v>B272-400-AS-280-PP-056</v>
          </cell>
          <cell r="E10372" t="str">
            <v>P-445(1/2)</v>
          </cell>
        </row>
        <row r="10373">
          <cell r="B10373" t="str">
            <v>B272-400-AS-280-PP-056</v>
          </cell>
          <cell r="E10373" t="str">
            <v>P-445(2/2)</v>
          </cell>
        </row>
        <row r="10374">
          <cell r="B10374" t="str">
            <v>B272-400-AS-280-PP-056</v>
          </cell>
          <cell r="E10374" t="str">
            <v>P-566</v>
          </cell>
        </row>
        <row r="10375">
          <cell r="B10375" t="str">
            <v>B272-400-AS-280-PP-056</v>
          </cell>
          <cell r="E10375" t="str">
            <v>P-577</v>
          </cell>
        </row>
        <row r="10376">
          <cell r="B10376" t="str">
            <v>B272-400-AS-280-PP-056</v>
          </cell>
          <cell r="E10376" t="str">
            <v>P-864</v>
          </cell>
        </row>
        <row r="10377">
          <cell r="B10377" t="str">
            <v>B272-400-AS-280-PP-056</v>
          </cell>
          <cell r="E10377" t="str">
            <v>P-865</v>
          </cell>
        </row>
        <row r="10378">
          <cell r="B10378" t="str">
            <v>B272-400-AS-280-PP-056</v>
          </cell>
          <cell r="E10378" t="str">
            <v>W-55</v>
          </cell>
        </row>
        <row r="10379">
          <cell r="B10379" t="str">
            <v>B272-400-AS-280-PP-056</v>
          </cell>
          <cell r="E10379" t="str">
            <v>B1030</v>
          </cell>
        </row>
        <row r="10380">
          <cell r="B10380" t="str">
            <v>B272-400-AS-280-PP-056</v>
          </cell>
          <cell r="E10380" t="str">
            <v>B1035</v>
          </cell>
        </row>
        <row r="10381">
          <cell r="B10381" t="str">
            <v>B272-400-AS-280-PP-056</v>
          </cell>
          <cell r="E10381" t="str">
            <v>hoàng anh</v>
          </cell>
        </row>
        <row r="10382">
          <cell r="B10382" t="str">
            <v>B272-400-AS-280-PP-056</v>
          </cell>
          <cell r="E10382" t="str">
            <v>G-25(1/3)</v>
          </cell>
        </row>
        <row r="10383">
          <cell r="B10383" t="str">
            <v>B272-400-AS-280-PP-056</v>
          </cell>
          <cell r="E10383" t="str">
            <v>G-25(2/3)</v>
          </cell>
        </row>
        <row r="10384">
          <cell r="B10384" t="str">
            <v>B272-400-AS-280-PP-056</v>
          </cell>
          <cell r="E10384" t="str">
            <v>G-25(3/3)</v>
          </cell>
        </row>
        <row r="10385">
          <cell r="B10385" t="str">
            <v>B272-400-AS-280-PP-056</v>
          </cell>
          <cell r="E10385" t="str">
            <v>P-445(1/2)</v>
          </cell>
        </row>
        <row r="10386">
          <cell r="B10386" t="str">
            <v>B272-400-AS-280-PP-056</v>
          </cell>
          <cell r="E10386" t="str">
            <v>P-445(2/2)</v>
          </cell>
        </row>
        <row r="10387">
          <cell r="B10387" t="str">
            <v>B272-400-AS-280-PP-056</v>
          </cell>
          <cell r="E10387" t="str">
            <v>P-566</v>
          </cell>
        </row>
        <row r="10388">
          <cell r="B10388" t="str">
            <v>B272-400-AS-280-PP-056</v>
          </cell>
          <cell r="E10388" t="str">
            <v>P-577</v>
          </cell>
        </row>
        <row r="10389">
          <cell r="B10389" t="str">
            <v>B272-400-AS-280-PP-056</v>
          </cell>
          <cell r="E10389" t="str">
            <v>P-864</v>
          </cell>
        </row>
        <row r="10390">
          <cell r="B10390" t="str">
            <v>B272-400-AS-280-PP-056</v>
          </cell>
          <cell r="E10390" t="str">
            <v>P-865</v>
          </cell>
        </row>
        <row r="10391">
          <cell r="B10391" t="str">
            <v>B272-400-AS-280-PP-056</v>
          </cell>
          <cell r="E10391" t="str">
            <v>W-55</v>
          </cell>
        </row>
        <row r="10392">
          <cell r="B10392" t="str">
            <v>B272-400-AS-280-PP-056</v>
          </cell>
          <cell r="E10392" t="str">
            <v>B1030</v>
          </cell>
        </row>
        <row r="10393">
          <cell r="B10393" t="str">
            <v>B272-400-AS-280-PP-056</v>
          </cell>
          <cell r="E10393" t="str">
            <v>B1035</v>
          </cell>
        </row>
        <row r="10394">
          <cell r="B10394" t="str">
            <v>B272-400-AS-280-PP-057</v>
          </cell>
          <cell r="E10394" t="str">
            <v>hoàng anh</v>
          </cell>
        </row>
        <row r="10395">
          <cell r="B10395" t="str">
            <v>B272-400-AS-280-PP-057</v>
          </cell>
          <cell r="E10395" t="str">
            <v>G-25(1/3)</v>
          </cell>
        </row>
        <row r="10396">
          <cell r="B10396" t="str">
            <v>B272-400-AS-280-PP-057</v>
          </cell>
          <cell r="E10396" t="str">
            <v>G-25(2/3)</v>
          </cell>
        </row>
        <row r="10397">
          <cell r="B10397" t="str">
            <v>B272-400-AS-280-PP-057</v>
          </cell>
          <cell r="E10397" t="str">
            <v>G-25(3/3)</v>
          </cell>
        </row>
        <row r="10398">
          <cell r="B10398" t="str">
            <v>B272-400-AS-280-PP-057</v>
          </cell>
          <cell r="E10398" t="str">
            <v>P-445(1/2)</v>
          </cell>
        </row>
        <row r="10399">
          <cell r="B10399" t="str">
            <v>B272-400-AS-280-PP-057</v>
          </cell>
          <cell r="E10399" t="str">
            <v>P-445(2/2)</v>
          </cell>
        </row>
        <row r="10400">
          <cell r="B10400" t="str">
            <v>B272-400-AS-280-PP-057</v>
          </cell>
          <cell r="E10400" t="str">
            <v>P-566</v>
          </cell>
        </row>
        <row r="10401">
          <cell r="B10401" t="str">
            <v>B272-400-AS-280-PP-057</v>
          </cell>
          <cell r="E10401" t="str">
            <v>P-577</v>
          </cell>
        </row>
        <row r="10402">
          <cell r="B10402" t="str">
            <v>B272-400-AS-280-PP-057</v>
          </cell>
          <cell r="E10402" t="str">
            <v>P-864</v>
          </cell>
        </row>
        <row r="10403">
          <cell r="B10403" t="str">
            <v>B272-400-AS-280-PP-057</v>
          </cell>
          <cell r="E10403" t="str">
            <v>P-865</v>
          </cell>
        </row>
        <row r="10404">
          <cell r="B10404" t="str">
            <v>B272-400-AS-280-PP-057</v>
          </cell>
          <cell r="E10404" t="str">
            <v>W-55</v>
          </cell>
        </row>
        <row r="10405">
          <cell r="B10405" t="str">
            <v>B272-400-AS-280-PP-057</v>
          </cell>
          <cell r="E10405" t="str">
            <v>B1030</v>
          </cell>
        </row>
        <row r="10406">
          <cell r="B10406" t="str">
            <v>B272-400-AS-280-PP-057</v>
          </cell>
          <cell r="E10406" t="str">
            <v>B1035</v>
          </cell>
        </row>
        <row r="10407">
          <cell r="B10407" t="str">
            <v>B272-400-AS-280-PP-057</v>
          </cell>
          <cell r="E10407" t="str">
            <v>hoàng anh</v>
          </cell>
        </row>
        <row r="10408">
          <cell r="B10408" t="str">
            <v>B272-400-AS-280-PP-057</v>
          </cell>
          <cell r="E10408" t="str">
            <v>G-25(1/3)</v>
          </cell>
        </row>
        <row r="10409">
          <cell r="B10409" t="str">
            <v>B272-400-AS-280-PP-057</v>
          </cell>
          <cell r="E10409" t="str">
            <v>G-25(2/3)</v>
          </cell>
        </row>
        <row r="10410">
          <cell r="B10410" t="str">
            <v>B272-400-AS-280-PP-057</v>
          </cell>
          <cell r="E10410" t="str">
            <v>G-25(3/3)</v>
          </cell>
        </row>
        <row r="10411">
          <cell r="B10411" t="str">
            <v>B272-400-AS-280-PP-057</v>
          </cell>
          <cell r="E10411" t="str">
            <v>P-445(1/2)</v>
          </cell>
        </row>
        <row r="10412">
          <cell r="B10412" t="str">
            <v>B272-400-AS-280-PP-057</v>
          </cell>
          <cell r="E10412" t="str">
            <v>P-445(2/2)</v>
          </cell>
        </row>
        <row r="10413">
          <cell r="B10413" t="str">
            <v>B272-400-AS-280-PP-057</v>
          </cell>
          <cell r="E10413" t="str">
            <v>P-566</v>
          </cell>
        </row>
        <row r="10414">
          <cell r="B10414" t="str">
            <v>B272-400-AS-280-PP-057</v>
          </cell>
          <cell r="E10414" t="str">
            <v>P-577</v>
          </cell>
        </row>
        <row r="10415">
          <cell r="B10415" t="str">
            <v>B272-400-AS-280-PP-057</v>
          </cell>
          <cell r="E10415" t="str">
            <v>P-864</v>
          </cell>
        </row>
        <row r="10416">
          <cell r="B10416" t="str">
            <v>B272-400-AS-280-PP-057</v>
          </cell>
          <cell r="E10416" t="str">
            <v>P-865</v>
          </cell>
        </row>
        <row r="10417">
          <cell r="B10417" t="str">
            <v>B272-400-AS-280-PP-057</v>
          </cell>
          <cell r="E10417" t="str">
            <v>W-55</v>
          </cell>
        </row>
        <row r="10418">
          <cell r="B10418" t="str">
            <v>B272-400-AS-280-PP-057</v>
          </cell>
          <cell r="E10418" t="str">
            <v>B1030</v>
          </cell>
        </row>
        <row r="10419">
          <cell r="B10419" t="str">
            <v>B272-400-AS-280-PP-057</v>
          </cell>
          <cell r="E10419" t="str">
            <v>B1035</v>
          </cell>
        </row>
        <row r="10420">
          <cell r="B10420" t="str">
            <v>B272-400-AS-280-PP-058</v>
          </cell>
          <cell r="E10420" t="str">
            <v>hoàng anh</v>
          </cell>
        </row>
        <row r="10421">
          <cell r="B10421" t="str">
            <v>B272-400-AS-280-PP-058</v>
          </cell>
          <cell r="E10421" t="str">
            <v>G-25(1/3)</v>
          </cell>
        </row>
        <row r="10422">
          <cell r="B10422" t="str">
            <v>B272-400-AS-280-PP-058</v>
          </cell>
          <cell r="E10422" t="str">
            <v>G-25(2/3)</v>
          </cell>
        </row>
        <row r="10423">
          <cell r="B10423" t="str">
            <v>B272-400-AS-280-PP-058</v>
          </cell>
          <cell r="E10423" t="str">
            <v>G-25(3/3)</v>
          </cell>
        </row>
        <row r="10424">
          <cell r="B10424" t="str">
            <v>B272-400-AS-280-PP-058</v>
          </cell>
          <cell r="E10424" t="str">
            <v>P-445</v>
          </cell>
        </row>
        <row r="10425">
          <cell r="B10425" t="str">
            <v>B272-400-AS-280-PP-058</v>
          </cell>
          <cell r="E10425" t="str">
            <v>P-557</v>
          </cell>
        </row>
        <row r="10426">
          <cell r="B10426" t="str">
            <v>B272-400-AS-280-PP-058</v>
          </cell>
          <cell r="E10426" t="str">
            <v>P-571</v>
          </cell>
        </row>
        <row r="10427">
          <cell r="B10427" t="str">
            <v>B272-400-AS-280-PP-058</v>
          </cell>
          <cell r="E10427" t="str">
            <v>P-576</v>
          </cell>
        </row>
        <row r="10428">
          <cell r="B10428" t="str">
            <v>B272-400-AS-280-PP-058</v>
          </cell>
          <cell r="E10428" t="str">
            <v>P-579</v>
          </cell>
        </row>
        <row r="10429">
          <cell r="B10429" t="str">
            <v>B272-400-AS-280-PP-058</v>
          </cell>
          <cell r="E10429" t="str">
            <v>P-861</v>
          </cell>
        </row>
        <row r="10430">
          <cell r="B10430" t="str">
            <v>B272-400-AS-280-PP-058</v>
          </cell>
          <cell r="E10430" t="str">
            <v>W-56</v>
          </cell>
        </row>
        <row r="10431">
          <cell r="B10431" t="str">
            <v>B272-400-AS-280-PP-058</v>
          </cell>
          <cell r="E10431" t="str">
            <v>B1030</v>
          </cell>
        </row>
        <row r="10432">
          <cell r="B10432" t="str">
            <v>B272-400-AS-280-PP-058</v>
          </cell>
          <cell r="E10432" t="str">
            <v>B1035</v>
          </cell>
        </row>
        <row r="10433">
          <cell r="B10433" t="str">
            <v>B272-400-AS-280-PP-059</v>
          </cell>
          <cell r="E10433" t="str">
            <v>hoàng anh</v>
          </cell>
        </row>
        <row r="10434">
          <cell r="B10434" t="str">
            <v>B272-400-AS-280-PP-059</v>
          </cell>
          <cell r="E10434" t="str">
            <v>G-25(1/3)</v>
          </cell>
        </row>
        <row r="10435">
          <cell r="B10435" t="str">
            <v>B272-400-AS-280-PP-059</v>
          </cell>
          <cell r="E10435" t="str">
            <v>G-25(2/3)</v>
          </cell>
        </row>
        <row r="10436">
          <cell r="B10436" t="str">
            <v>B272-400-AS-280-PP-059</v>
          </cell>
          <cell r="E10436" t="str">
            <v>G-25(3/3)</v>
          </cell>
        </row>
        <row r="10437">
          <cell r="B10437" t="str">
            <v>B272-400-AS-280-PP-059</v>
          </cell>
          <cell r="E10437" t="str">
            <v>P-445</v>
          </cell>
        </row>
        <row r="10438">
          <cell r="B10438" t="str">
            <v>B272-400-AS-280-PP-059</v>
          </cell>
          <cell r="E10438" t="str">
            <v>P-557</v>
          </cell>
        </row>
        <row r="10439">
          <cell r="B10439" t="str">
            <v>B272-400-AS-280-PP-059</v>
          </cell>
          <cell r="E10439" t="str">
            <v>P-571</v>
          </cell>
        </row>
        <row r="10440">
          <cell r="B10440" t="str">
            <v>B272-400-AS-280-PP-059</v>
          </cell>
          <cell r="E10440" t="str">
            <v>P-576</v>
          </cell>
        </row>
        <row r="10441">
          <cell r="B10441" t="str">
            <v>B272-400-AS-280-PP-059</v>
          </cell>
          <cell r="E10441" t="str">
            <v>P-579</v>
          </cell>
        </row>
        <row r="10442">
          <cell r="B10442" t="str">
            <v>B272-400-AS-280-PP-059</v>
          </cell>
          <cell r="E10442" t="str">
            <v>P-861</v>
          </cell>
        </row>
        <row r="10443">
          <cell r="B10443" t="str">
            <v>B272-400-AS-280-PP-059</v>
          </cell>
          <cell r="E10443" t="str">
            <v>W-56</v>
          </cell>
        </row>
        <row r="10444">
          <cell r="B10444" t="str">
            <v>B272-400-AS-280-PP-059</v>
          </cell>
          <cell r="E10444" t="str">
            <v>B1030</v>
          </cell>
        </row>
        <row r="10445">
          <cell r="B10445" t="str">
            <v>B272-400-AS-280-PP-059</v>
          </cell>
          <cell r="E10445" t="str">
            <v>B1035</v>
          </cell>
        </row>
        <row r="10446">
          <cell r="B10446" t="str">
            <v>B272-400-AS-280-PP-060</v>
          </cell>
          <cell r="E10446" t="str">
            <v>hoàng anh</v>
          </cell>
        </row>
        <row r="10447">
          <cell r="B10447" t="str">
            <v>B272-400-AS-280-PP-060</v>
          </cell>
          <cell r="E10447" t="str">
            <v>G-25(1/3)</v>
          </cell>
        </row>
        <row r="10448">
          <cell r="B10448" t="str">
            <v>B272-400-AS-280-PP-060</v>
          </cell>
          <cell r="E10448" t="str">
            <v>G-25(2/3)</v>
          </cell>
        </row>
        <row r="10449">
          <cell r="B10449" t="str">
            <v>B272-400-AS-280-PP-060</v>
          </cell>
          <cell r="E10449" t="str">
            <v>G-25(3/3)</v>
          </cell>
        </row>
        <row r="10450">
          <cell r="B10450" t="str">
            <v>B272-400-AS-280-PP-060</v>
          </cell>
          <cell r="E10450" t="str">
            <v>P-445</v>
          </cell>
        </row>
        <row r="10451">
          <cell r="B10451" t="str">
            <v>B272-400-AS-280-PP-060</v>
          </cell>
          <cell r="E10451" t="str">
            <v>P-571</v>
          </cell>
        </row>
        <row r="10452">
          <cell r="B10452" t="str">
            <v>B272-400-AS-280-PP-060</v>
          </cell>
          <cell r="E10452" t="str">
            <v>P-573</v>
          </cell>
        </row>
        <row r="10453">
          <cell r="B10453" t="str">
            <v>B272-400-AS-280-PP-060</v>
          </cell>
          <cell r="E10453" t="str">
            <v>P-576</v>
          </cell>
        </row>
        <row r="10454">
          <cell r="B10454" t="str">
            <v>B272-400-AS-280-PP-060</v>
          </cell>
          <cell r="E10454" t="str">
            <v>P-579</v>
          </cell>
        </row>
        <row r="10455">
          <cell r="B10455" t="str">
            <v>B272-400-AS-280-PP-060</v>
          </cell>
          <cell r="E10455" t="str">
            <v>P-580</v>
          </cell>
        </row>
        <row r="10456">
          <cell r="B10456" t="str">
            <v>B272-400-AS-280-PP-060</v>
          </cell>
          <cell r="E10456" t="str">
            <v>W-24</v>
          </cell>
        </row>
        <row r="10457">
          <cell r="B10457" t="str">
            <v>B272-400-AS-280-PP-060</v>
          </cell>
          <cell r="E10457" t="str">
            <v>B1030</v>
          </cell>
        </row>
        <row r="10458">
          <cell r="B10458" t="str">
            <v>B272-400-AS-280-PP-060</v>
          </cell>
          <cell r="E10458" t="str">
            <v>B1035</v>
          </cell>
        </row>
        <row r="10459">
          <cell r="B10459" t="str">
            <v>B272-400-AS-280-PP-060</v>
          </cell>
          <cell r="E10459" t="str">
            <v>B1045</v>
          </cell>
        </row>
        <row r="10460">
          <cell r="B10460" t="str">
            <v>B272-400-AS-280-PP-061</v>
          </cell>
          <cell r="E10460" t="str">
            <v>hoàng anh</v>
          </cell>
        </row>
        <row r="10461">
          <cell r="B10461" t="str">
            <v>B272-400-AS-280-PP-061</v>
          </cell>
          <cell r="E10461" t="str">
            <v>G-25(1/3)</v>
          </cell>
        </row>
        <row r="10462">
          <cell r="B10462" t="str">
            <v>B272-400-AS-280-PP-061</v>
          </cell>
          <cell r="E10462" t="str">
            <v>G-25(2/3)</v>
          </cell>
        </row>
        <row r="10463">
          <cell r="B10463" t="str">
            <v>B272-400-AS-280-PP-061</v>
          </cell>
          <cell r="E10463" t="str">
            <v>G-25(3/3)</v>
          </cell>
        </row>
        <row r="10464">
          <cell r="B10464" t="str">
            <v>B272-400-AS-280-PP-061</v>
          </cell>
          <cell r="E10464" t="str">
            <v>P-445</v>
          </cell>
        </row>
        <row r="10465">
          <cell r="B10465" t="str">
            <v>B272-400-AS-280-PP-061</v>
          </cell>
          <cell r="E10465" t="str">
            <v>P-571</v>
          </cell>
        </row>
        <row r="10466">
          <cell r="B10466" t="str">
            <v>B272-400-AS-280-PP-061</v>
          </cell>
          <cell r="E10466" t="str">
            <v>P-573</v>
          </cell>
        </row>
        <row r="10467">
          <cell r="B10467" t="str">
            <v>B272-400-AS-280-PP-061</v>
          </cell>
          <cell r="E10467" t="str">
            <v>P-576</v>
          </cell>
        </row>
        <row r="10468">
          <cell r="B10468" t="str">
            <v>B272-400-AS-280-PP-061</v>
          </cell>
          <cell r="E10468" t="str">
            <v>P-579</v>
          </cell>
        </row>
        <row r="10469">
          <cell r="B10469" t="str">
            <v>B272-400-AS-280-PP-061</v>
          </cell>
          <cell r="E10469" t="str">
            <v>P-580</v>
          </cell>
        </row>
        <row r="10470">
          <cell r="B10470" t="str">
            <v>B272-400-AS-280-PP-061</v>
          </cell>
          <cell r="E10470" t="str">
            <v>W-24</v>
          </cell>
        </row>
        <row r="10471">
          <cell r="B10471" t="str">
            <v>B272-400-AS-280-PP-061</v>
          </cell>
          <cell r="E10471" t="str">
            <v>B1030</v>
          </cell>
        </row>
        <row r="10472">
          <cell r="B10472" t="str">
            <v>B272-400-AS-280-PP-061</v>
          </cell>
          <cell r="E10472" t="str">
            <v>B1035</v>
          </cell>
        </row>
        <row r="10473">
          <cell r="B10473" t="str">
            <v>B272-400-AS-280-PP-061</v>
          </cell>
          <cell r="E10473" t="str">
            <v>B1045</v>
          </cell>
        </row>
        <row r="10474">
          <cell r="B10474" t="str">
            <v>B272-400-AS-280-PP-062</v>
          </cell>
          <cell r="E10474" t="str">
            <v>hoàng anh</v>
          </cell>
        </row>
        <row r="10475">
          <cell r="B10475" t="str">
            <v>B272-400-AS-280-PP-062</v>
          </cell>
          <cell r="E10475" t="str">
            <v>G-25(1/3)</v>
          </cell>
        </row>
        <row r="10476">
          <cell r="B10476" t="str">
            <v>B272-400-AS-280-PP-062</v>
          </cell>
          <cell r="E10476" t="str">
            <v>G-25(2/3)</v>
          </cell>
        </row>
        <row r="10477">
          <cell r="B10477" t="str">
            <v>B272-400-AS-280-PP-062</v>
          </cell>
          <cell r="E10477" t="str">
            <v>G-25(3/3)</v>
          </cell>
        </row>
        <row r="10478">
          <cell r="B10478" t="str">
            <v>B272-400-AS-280-PP-062</v>
          </cell>
          <cell r="E10478" t="str">
            <v>P-400</v>
          </cell>
        </row>
        <row r="10479">
          <cell r="B10479" t="str">
            <v>B272-400-AS-280-PP-062</v>
          </cell>
          <cell r="E10479" t="str">
            <v>P-740(1/2)</v>
          </cell>
        </row>
        <row r="10480">
          <cell r="B10480" t="str">
            <v>B272-400-AS-280-PP-062</v>
          </cell>
          <cell r="E10480" t="str">
            <v>P-740(2/2)</v>
          </cell>
        </row>
        <row r="10481">
          <cell r="B10481" t="str">
            <v>B272-400-AS-280-PP-062</v>
          </cell>
          <cell r="E10481" t="str">
            <v>P-741</v>
          </cell>
        </row>
        <row r="10482">
          <cell r="B10482" t="str">
            <v>B272-400-AS-280-PP-062</v>
          </cell>
          <cell r="E10482" t="str">
            <v>P-775</v>
          </cell>
        </row>
        <row r="10483">
          <cell r="B10483" t="str">
            <v>B272-400-AS-280-PP-062</v>
          </cell>
          <cell r="E10483" t="str">
            <v>P-847(1/2)</v>
          </cell>
        </row>
        <row r="10484">
          <cell r="B10484" t="str">
            <v>B272-400-AS-280-PP-062</v>
          </cell>
          <cell r="E10484" t="str">
            <v>P-847(2/2)</v>
          </cell>
        </row>
        <row r="10485">
          <cell r="B10485" t="str">
            <v>B272-400-AS-280-PP-062</v>
          </cell>
          <cell r="E10485" t="str">
            <v>P-1090</v>
          </cell>
        </row>
        <row r="10486">
          <cell r="B10486" t="str">
            <v>B272-400-AS-280-PP-062</v>
          </cell>
          <cell r="E10486" t="str">
            <v>W-3</v>
          </cell>
        </row>
        <row r="10487">
          <cell r="B10487" t="str">
            <v>B272-400-AS-280-PP-062</v>
          </cell>
          <cell r="E10487" t="str">
            <v>B1035</v>
          </cell>
        </row>
        <row r="10488">
          <cell r="B10488" t="str">
            <v>B272-400-AS-280-PP-063</v>
          </cell>
          <cell r="E10488" t="str">
            <v>hoàng anh</v>
          </cell>
        </row>
        <row r="10489">
          <cell r="B10489" t="str">
            <v>B272-400-AS-280-PP-063</v>
          </cell>
          <cell r="E10489" t="str">
            <v>G-25(1/3)</v>
          </cell>
        </row>
        <row r="10490">
          <cell r="B10490" t="str">
            <v>B272-400-AS-280-PP-063</v>
          </cell>
          <cell r="E10490" t="str">
            <v>G-25(2/3)</v>
          </cell>
        </row>
        <row r="10491">
          <cell r="B10491" t="str">
            <v>B272-400-AS-280-PP-063</v>
          </cell>
          <cell r="E10491" t="str">
            <v>G-25(3/3)</v>
          </cell>
        </row>
        <row r="10492">
          <cell r="B10492" t="str">
            <v>B272-400-AS-280-PP-063</v>
          </cell>
          <cell r="E10492" t="str">
            <v>P-400</v>
          </cell>
        </row>
        <row r="10493">
          <cell r="B10493" t="str">
            <v>B272-400-AS-280-PP-063</v>
          </cell>
          <cell r="E10493" t="str">
            <v>P-740(1/2)</v>
          </cell>
        </row>
        <row r="10494">
          <cell r="B10494" t="str">
            <v>B272-400-AS-280-PP-063</v>
          </cell>
          <cell r="E10494" t="str">
            <v>P-740(2/2)</v>
          </cell>
        </row>
        <row r="10495">
          <cell r="B10495" t="str">
            <v>B272-400-AS-280-PP-063</v>
          </cell>
          <cell r="E10495" t="str">
            <v>P-741</v>
          </cell>
        </row>
        <row r="10496">
          <cell r="B10496" t="str">
            <v>B272-400-AS-280-PP-063</v>
          </cell>
          <cell r="E10496" t="str">
            <v>P-775</v>
          </cell>
        </row>
        <row r="10497">
          <cell r="B10497" t="str">
            <v>B272-400-AS-280-PP-063</v>
          </cell>
          <cell r="E10497" t="str">
            <v>P-847(1/2)</v>
          </cell>
        </row>
        <row r="10498">
          <cell r="B10498" t="str">
            <v>B272-400-AS-280-PP-063</v>
          </cell>
          <cell r="E10498" t="str">
            <v>P-847(2/2)</v>
          </cell>
        </row>
        <row r="10499">
          <cell r="B10499" t="str">
            <v>B272-400-AS-280-PP-063</v>
          </cell>
          <cell r="E10499" t="str">
            <v>P-1090</v>
          </cell>
        </row>
        <row r="10500">
          <cell r="B10500" t="str">
            <v>B272-400-AS-280-PP-063</v>
          </cell>
          <cell r="E10500" t="str">
            <v>W-106</v>
          </cell>
        </row>
        <row r="10501">
          <cell r="B10501" t="str">
            <v>B272-400-AS-280-PP-063</v>
          </cell>
          <cell r="E10501" t="str">
            <v>P-2030</v>
          </cell>
        </row>
        <row r="10502">
          <cell r="B10502" t="str">
            <v>B272-400-AS-280-PP-063</v>
          </cell>
          <cell r="E10502" t="str">
            <v>B1035</v>
          </cell>
        </row>
        <row r="10503">
          <cell r="B10503" t="str">
            <v>B272-400-AS-280-PP-064</v>
          </cell>
          <cell r="E10503" t="str">
            <v>hoàng anh</v>
          </cell>
        </row>
        <row r="10504">
          <cell r="B10504" t="str">
            <v>B272-400-AS-280-PP-064</v>
          </cell>
          <cell r="E10504" t="str">
            <v>G-25(1/3)</v>
          </cell>
        </row>
        <row r="10505">
          <cell r="B10505" t="str">
            <v>B272-400-AS-280-PP-064</v>
          </cell>
          <cell r="E10505" t="str">
            <v>G-25(2/3)</v>
          </cell>
        </row>
        <row r="10506">
          <cell r="B10506" t="str">
            <v>B272-400-AS-280-PP-064</v>
          </cell>
          <cell r="E10506" t="str">
            <v>G-25(3/3)</v>
          </cell>
        </row>
        <row r="10507">
          <cell r="B10507" t="str">
            <v>B272-400-AS-280-PP-064</v>
          </cell>
          <cell r="E10507" t="str">
            <v>P-400</v>
          </cell>
        </row>
        <row r="10508">
          <cell r="B10508" t="str">
            <v>B272-400-AS-280-PP-064</v>
          </cell>
          <cell r="E10508" t="str">
            <v>P-740(1/2)</v>
          </cell>
        </row>
        <row r="10509">
          <cell r="B10509" t="str">
            <v>B272-400-AS-280-PP-064</v>
          </cell>
          <cell r="E10509" t="str">
            <v>P-740(2/2)</v>
          </cell>
        </row>
        <row r="10510">
          <cell r="B10510" t="str">
            <v>B272-400-AS-280-PP-064</v>
          </cell>
          <cell r="E10510" t="str">
            <v>P-741</v>
          </cell>
        </row>
        <row r="10511">
          <cell r="B10511" t="str">
            <v>B272-400-AS-280-PP-064</v>
          </cell>
          <cell r="E10511" t="str">
            <v>P-775</v>
          </cell>
        </row>
        <row r="10512">
          <cell r="B10512" t="str">
            <v>B272-400-AS-280-PP-064</v>
          </cell>
          <cell r="E10512" t="str">
            <v>P-847(1/2)</v>
          </cell>
        </row>
        <row r="10513">
          <cell r="B10513" t="str">
            <v>B272-400-AS-280-PP-064</v>
          </cell>
          <cell r="E10513" t="str">
            <v>P-847(2/2)</v>
          </cell>
        </row>
        <row r="10514">
          <cell r="B10514" t="str">
            <v>B272-400-AS-280-PP-064</v>
          </cell>
          <cell r="E10514" t="str">
            <v>P-1090</v>
          </cell>
        </row>
        <row r="10515">
          <cell r="B10515" t="str">
            <v>B272-400-AS-280-PP-064</v>
          </cell>
          <cell r="E10515" t="str">
            <v>W-53</v>
          </cell>
        </row>
        <row r="10516">
          <cell r="B10516" t="str">
            <v>B272-400-AS-280-PP-064</v>
          </cell>
          <cell r="E10516" t="str">
            <v>G-2002</v>
          </cell>
        </row>
        <row r="10517">
          <cell r="B10517" t="str">
            <v>B272-400-AS-280-PP-064</v>
          </cell>
          <cell r="E10517" t="str">
            <v>B1035</v>
          </cell>
        </row>
        <row r="10518">
          <cell r="B10518" t="str">
            <v>B272-400-AS-280-PP-065</v>
          </cell>
          <cell r="E10518" t="str">
            <v>hoàng anh</v>
          </cell>
        </row>
        <row r="10519">
          <cell r="B10519" t="str">
            <v>B272-400-AS-280-PP-065</v>
          </cell>
          <cell r="E10519" t="str">
            <v>G-25(1/3)</v>
          </cell>
        </row>
        <row r="10520">
          <cell r="B10520" t="str">
            <v>B272-400-AS-280-PP-065</v>
          </cell>
          <cell r="E10520" t="str">
            <v>G-25(2/3)</v>
          </cell>
        </row>
        <row r="10521">
          <cell r="B10521" t="str">
            <v>B272-400-AS-280-PP-065</v>
          </cell>
          <cell r="E10521" t="str">
            <v>G-25(3/3)</v>
          </cell>
        </row>
        <row r="10522">
          <cell r="B10522" t="str">
            <v>B272-400-AS-280-PP-065</v>
          </cell>
          <cell r="E10522" t="str">
            <v>P-403</v>
          </cell>
        </row>
        <row r="10523">
          <cell r="B10523" t="str">
            <v>B272-400-AS-280-PP-065</v>
          </cell>
          <cell r="E10523" t="str">
            <v>P-566</v>
          </cell>
        </row>
        <row r="10524">
          <cell r="B10524" t="str">
            <v>B272-400-AS-280-PP-065</v>
          </cell>
          <cell r="E10524" t="str">
            <v>P-570</v>
          </cell>
        </row>
        <row r="10525">
          <cell r="B10525" t="str">
            <v>B272-400-AS-280-PP-065</v>
          </cell>
          <cell r="E10525" t="str">
            <v>P-571</v>
          </cell>
        </row>
        <row r="10526">
          <cell r="B10526" t="str">
            <v>B272-400-AS-280-PP-065</v>
          </cell>
          <cell r="E10526" t="str">
            <v>P-576</v>
          </cell>
        </row>
        <row r="10527">
          <cell r="B10527" t="str">
            <v>B272-400-AS-280-PP-065</v>
          </cell>
          <cell r="E10527" t="str">
            <v>P-741</v>
          </cell>
        </row>
        <row r="10528">
          <cell r="B10528" t="str">
            <v>B272-400-AS-280-PP-065</v>
          </cell>
          <cell r="E10528" t="str">
            <v>P-751(1/2)</v>
          </cell>
        </row>
        <row r="10529">
          <cell r="B10529" t="str">
            <v>B272-400-AS-280-PP-065</v>
          </cell>
          <cell r="E10529" t="str">
            <v>P-751(2/2)</v>
          </cell>
        </row>
        <row r="10530">
          <cell r="B10530" t="str">
            <v>B272-400-AS-280-PP-065</v>
          </cell>
          <cell r="E10530" t="str">
            <v>P-837(1/2)</v>
          </cell>
        </row>
        <row r="10531">
          <cell r="B10531" t="str">
            <v>B272-400-AS-280-PP-065</v>
          </cell>
          <cell r="E10531" t="str">
            <v>P-837(2/2)</v>
          </cell>
        </row>
        <row r="10532">
          <cell r="B10532" t="str">
            <v>B272-400-AS-280-PP-065</v>
          </cell>
          <cell r="E10532" t="str">
            <v>P-843</v>
          </cell>
        </row>
        <row r="10533">
          <cell r="B10533" t="str">
            <v>B272-400-AS-280-PP-065</v>
          </cell>
          <cell r="E10533" t="str">
            <v>P-844(1/2)</v>
          </cell>
        </row>
        <row r="10534">
          <cell r="B10534" t="str">
            <v>B272-400-AS-280-PP-065</v>
          </cell>
          <cell r="E10534" t="str">
            <v>P-844(2/2)</v>
          </cell>
        </row>
        <row r="10535">
          <cell r="B10535" t="str">
            <v>B272-400-AS-280-PP-065</v>
          </cell>
          <cell r="E10535" t="str">
            <v>P-847(1/2)</v>
          </cell>
        </row>
        <row r="10536">
          <cell r="B10536" t="str">
            <v>B272-400-AS-280-PP-065</v>
          </cell>
          <cell r="E10536" t="str">
            <v>P-847(2/2)</v>
          </cell>
        </row>
        <row r="10537">
          <cell r="B10537" t="str">
            <v>B272-400-AS-280-PP-065</v>
          </cell>
          <cell r="E10537" t="str">
            <v>P-1090</v>
          </cell>
        </row>
        <row r="10538">
          <cell r="B10538" t="str">
            <v>B272-400-AS-280-PP-065</v>
          </cell>
          <cell r="E10538" t="str">
            <v>W-48</v>
          </cell>
        </row>
        <row r="10539">
          <cell r="B10539" t="str">
            <v>B272-400-AS-280-PP-065</v>
          </cell>
          <cell r="E10539" t="str">
            <v>B1035</v>
          </cell>
        </row>
        <row r="10540">
          <cell r="B10540" t="str">
            <v>B272-400-AS-280-PP-065</v>
          </cell>
          <cell r="E10540" t="str">
            <v>B1045</v>
          </cell>
        </row>
        <row r="10541">
          <cell r="B10541" t="str">
            <v>B272-400-AS-280-PP-066</v>
          </cell>
          <cell r="E10541" t="str">
            <v>hoàng anh</v>
          </cell>
        </row>
        <row r="10542">
          <cell r="B10542" t="str">
            <v>B272-400-AS-280-PP-066</v>
          </cell>
          <cell r="E10542" t="str">
            <v>G-25(1/3)</v>
          </cell>
        </row>
        <row r="10543">
          <cell r="B10543" t="str">
            <v>B272-400-AS-280-PP-066</v>
          </cell>
          <cell r="E10543" t="str">
            <v>G-25(2/3)</v>
          </cell>
        </row>
        <row r="10544">
          <cell r="B10544" t="str">
            <v>B272-400-AS-280-PP-066</v>
          </cell>
          <cell r="E10544" t="str">
            <v>G-25(3/3)</v>
          </cell>
        </row>
        <row r="10545">
          <cell r="B10545" t="str">
            <v>B272-400-AS-280-PP-066</v>
          </cell>
          <cell r="E10545" t="str">
            <v>P-566</v>
          </cell>
        </row>
        <row r="10546">
          <cell r="B10546" t="str">
            <v>B272-400-AS-280-PP-066</v>
          </cell>
          <cell r="E10546" t="str">
            <v>P-570</v>
          </cell>
        </row>
        <row r="10547">
          <cell r="B10547" t="str">
            <v>B272-400-AS-280-PP-066</v>
          </cell>
          <cell r="E10547" t="str">
            <v>P-571</v>
          </cell>
        </row>
        <row r="10548">
          <cell r="B10548" t="str">
            <v>B272-400-AS-280-PP-066</v>
          </cell>
          <cell r="E10548" t="str">
            <v>P-741</v>
          </cell>
        </row>
        <row r="10549">
          <cell r="B10549" t="str">
            <v>B272-400-AS-280-PP-066</v>
          </cell>
          <cell r="E10549" t="str">
            <v>P-751(1/2)</v>
          </cell>
        </row>
        <row r="10550">
          <cell r="B10550" t="str">
            <v>B272-400-AS-280-PP-066</v>
          </cell>
          <cell r="E10550" t="str">
            <v>P-751(2/2)</v>
          </cell>
        </row>
        <row r="10551">
          <cell r="B10551" t="str">
            <v>B272-400-AS-280-PP-066</v>
          </cell>
          <cell r="E10551" t="str">
            <v>P-759(1/2)</v>
          </cell>
        </row>
        <row r="10552">
          <cell r="B10552" t="str">
            <v>B272-400-AS-280-PP-066</v>
          </cell>
          <cell r="E10552" t="str">
            <v>P-759(2/2)</v>
          </cell>
        </row>
        <row r="10553">
          <cell r="B10553" t="str">
            <v>B272-400-AS-280-PP-066</v>
          </cell>
          <cell r="E10553" t="str">
            <v>P-775</v>
          </cell>
        </row>
        <row r="10554">
          <cell r="B10554" t="str">
            <v>B272-400-AS-280-PP-066</v>
          </cell>
          <cell r="E10554" t="str">
            <v>P-847(1/2)</v>
          </cell>
        </row>
        <row r="10555">
          <cell r="B10555" t="str">
            <v>B272-400-AS-280-PP-066</v>
          </cell>
          <cell r="E10555" t="str">
            <v>P-847(2/2)</v>
          </cell>
        </row>
        <row r="10556">
          <cell r="B10556" t="str">
            <v>B272-400-AS-280-PP-066</v>
          </cell>
          <cell r="E10556" t="str">
            <v>P-1090</v>
          </cell>
        </row>
        <row r="10557">
          <cell r="B10557" t="str">
            <v>B272-400-AS-280-PP-066</v>
          </cell>
          <cell r="E10557" t="str">
            <v>W-36</v>
          </cell>
        </row>
        <row r="10558">
          <cell r="B10558" t="str">
            <v>B272-400-AS-280-PP-066</v>
          </cell>
          <cell r="E10558" t="str">
            <v>B1035</v>
          </cell>
        </row>
        <row r="10559">
          <cell r="B10559" t="str">
            <v>B272-400-AS-280-PP-066</v>
          </cell>
          <cell r="E10559" t="str">
            <v>B1045</v>
          </cell>
        </row>
        <row r="10560">
          <cell r="B10560" t="str">
            <v>B272-400-AS-280-PP-067</v>
          </cell>
          <cell r="E10560" t="str">
            <v>hoàng anh</v>
          </cell>
        </row>
        <row r="10561">
          <cell r="B10561" t="str">
            <v>B272-400-AS-280-PP-067</v>
          </cell>
          <cell r="E10561" t="str">
            <v>G-25(1/3)</v>
          </cell>
        </row>
        <row r="10562">
          <cell r="B10562" t="str">
            <v>B272-400-AS-280-PP-067</v>
          </cell>
          <cell r="E10562" t="str">
            <v>G-25(2/3)</v>
          </cell>
        </row>
        <row r="10563">
          <cell r="B10563" t="str">
            <v>B272-400-AS-280-PP-067</v>
          </cell>
          <cell r="E10563" t="str">
            <v>G-25(3/3)</v>
          </cell>
        </row>
        <row r="10564">
          <cell r="B10564" t="str">
            <v>B272-400-AS-280-PP-067</v>
          </cell>
          <cell r="E10564" t="str">
            <v>P-566</v>
          </cell>
        </row>
        <row r="10565">
          <cell r="B10565" t="str">
            <v>B272-400-AS-280-PP-067</v>
          </cell>
          <cell r="E10565" t="str">
            <v>P-570</v>
          </cell>
        </row>
        <row r="10566">
          <cell r="B10566" t="str">
            <v>B272-400-AS-280-PP-067</v>
          </cell>
          <cell r="E10566" t="str">
            <v>P-571</v>
          </cell>
        </row>
        <row r="10567">
          <cell r="B10567" t="str">
            <v>B272-400-AS-280-PP-067</v>
          </cell>
          <cell r="E10567" t="str">
            <v>P-741</v>
          </cell>
        </row>
        <row r="10568">
          <cell r="B10568" t="str">
            <v>B272-400-AS-280-PP-067</v>
          </cell>
          <cell r="E10568" t="str">
            <v>P-751(1/2)</v>
          </cell>
        </row>
        <row r="10569">
          <cell r="B10569" t="str">
            <v>B272-400-AS-280-PP-067</v>
          </cell>
          <cell r="E10569" t="str">
            <v>P-751(2/2)</v>
          </cell>
        </row>
        <row r="10570">
          <cell r="B10570" t="str">
            <v>B272-400-AS-280-PP-067</v>
          </cell>
          <cell r="E10570" t="str">
            <v>P-759(1/2)</v>
          </cell>
        </row>
        <row r="10571">
          <cell r="B10571" t="str">
            <v>B272-400-AS-280-PP-067</v>
          </cell>
          <cell r="E10571" t="str">
            <v>P-759(2/2)</v>
          </cell>
        </row>
        <row r="10572">
          <cell r="B10572" t="str">
            <v>B272-400-AS-280-PP-067</v>
          </cell>
          <cell r="E10572" t="str">
            <v>P-775</v>
          </cell>
        </row>
        <row r="10573">
          <cell r="B10573" t="str">
            <v>B272-400-AS-280-PP-067</v>
          </cell>
          <cell r="E10573" t="str">
            <v>P-847(1/2)</v>
          </cell>
        </row>
        <row r="10574">
          <cell r="B10574" t="str">
            <v>B272-400-AS-280-PP-067</v>
          </cell>
          <cell r="E10574" t="str">
            <v>P-847(2/2)</v>
          </cell>
        </row>
        <row r="10575">
          <cell r="B10575" t="str">
            <v>B272-400-AS-280-PP-067</v>
          </cell>
          <cell r="E10575" t="str">
            <v>P-1090</v>
          </cell>
        </row>
        <row r="10576">
          <cell r="B10576" t="str">
            <v>B272-400-AS-280-PP-067</v>
          </cell>
          <cell r="E10576" t="str">
            <v>W-38</v>
          </cell>
        </row>
        <row r="10577">
          <cell r="B10577" t="str">
            <v>B272-400-AS-280-PP-067</v>
          </cell>
          <cell r="E10577" t="str">
            <v>B1035</v>
          </cell>
        </row>
        <row r="10578">
          <cell r="B10578" t="str">
            <v>B272-400-AS-280-PP-067</v>
          </cell>
          <cell r="E10578" t="str">
            <v>B1045</v>
          </cell>
        </row>
        <row r="10579">
          <cell r="B10579" t="str">
            <v>B272-400-AS-280-PP-068</v>
          </cell>
          <cell r="E10579" t="str">
            <v>hoàng anh</v>
          </cell>
        </row>
        <row r="10580">
          <cell r="B10580" t="str">
            <v>B272-400-AS-280-PP-068</v>
          </cell>
          <cell r="E10580" t="str">
            <v>G-25(1/3)</v>
          </cell>
        </row>
        <row r="10581">
          <cell r="B10581" t="str">
            <v>B272-400-AS-280-PP-068</v>
          </cell>
          <cell r="E10581" t="str">
            <v>G-25(2/3)</v>
          </cell>
        </row>
        <row r="10582">
          <cell r="B10582" t="str">
            <v>B272-400-AS-280-PP-068</v>
          </cell>
          <cell r="E10582" t="str">
            <v>G-25(3/3)</v>
          </cell>
        </row>
        <row r="10583">
          <cell r="B10583" t="str">
            <v>B272-400-AS-280-PP-068</v>
          </cell>
          <cell r="E10583" t="str">
            <v>P-566</v>
          </cell>
        </row>
        <row r="10584">
          <cell r="B10584" t="str">
            <v>B272-400-AS-280-PP-068</v>
          </cell>
          <cell r="E10584" t="str">
            <v>P-570</v>
          </cell>
        </row>
        <row r="10585">
          <cell r="B10585" t="str">
            <v>B272-400-AS-280-PP-068</v>
          </cell>
          <cell r="E10585" t="str">
            <v>P-571</v>
          </cell>
        </row>
        <row r="10586">
          <cell r="B10586" t="str">
            <v>B272-400-AS-280-PP-068</v>
          </cell>
          <cell r="E10586" t="str">
            <v>P-741</v>
          </cell>
        </row>
        <row r="10587">
          <cell r="B10587" t="str">
            <v>B272-400-AS-280-PP-068</v>
          </cell>
          <cell r="E10587" t="str">
            <v>P-751(1/2)</v>
          </cell>
        </row>
        <row r="10588">
          <cell r="B10588" t="str">
            <v>B272-400-AS-280-PP-068</v>
          </cell>
          <cell r="E10588" t="str">
            <v>P-751(2/2)</v>
          </cell>
        </row>
        <row r="10589">
          <cell r="B10589" t="str">
            <v>B272-400-AS-280-PP-068</v>
          </cell>
          <cell r="E10589" t="str">
            <v>P-774(1/2)</v>
          </cell>
        </row>
        <row r="10590">
          <cell r="B10590" t="str">
            <v>B272-400-AS-280-PP-068</v>
          </cell>
          <cell r="E10590" t="str">
            <v>P-774(2/2)</v>
          </cell>
        </row>
        <row r="10591">
          <cell r="B10591" t="str">
            <v>B272-400-AS-280-PP-068</v>
          </cell>
          <cell r="E10591" t="str">
            <v>P-775</v>
          </cell>
        </row>
        <row r="10592">
          <cell r="B10592" t="str">
            <v>B272-400-AS-280-PP-068</v>
          </cell>
          <cell r="E10592" t="str">
            <v>P-847(1/2)</v>
          </cell>
        </row>
        <row r="10593">
          <cell r="B10593" t="str">
            <v>B272-400-AS-280-PP-068</v>
          </cell>
          <cell r="E10593" t="str">
            <v>P-847(2/2)</v>
          </cell>
        </row>
        <row r="10594">
          <cell r="B10594" t="str">
            <v>B272-400-AS-280-PP-068</v>
          </cell>
          <cell r="E10594" t="str">
            <v>P-1090</v>
          </cell>
        </row>
        <row r="10595">
          <cell r="B10595" t="str">
            <v>B272-400-AS-280-PP-068</v>
          </cell>
          <cell r="E10595" t="str">
            <v>W-39</v>
          </cell>
        </row>
        <row r="10596">
          <cell r="B10596" t="str">
            <v>B272-400-AS-280-PP-068</v>
          </cell>
          <cell r="E10596" t="str">
            <v>B1030</v>
          </cell>
        </row>
        <row r="10597">
          <cell r="B10597" t="str">
            <v>B272-400-AS-280-PP-068</v>
          </cell>
          <cell r="E10597" t="str">
            <v>B1035</v>
          </cell>
        </row>
        <row r="10598">
          <cell r="B10598" t="str">
            <v>B272-400-AS-280-PP-068</v>
          </cell>
          <cell r="E10598" t="str">
            <v>B1045</v>
          </cell>
        </row>
        <row r="10599">
          <cell r="B10599" t="str">
            <v>B272-400-AS-280-PP-069</v>
          </cell>
          <cell r="E10599" t="str">
            <v>hoàng anh</v>
          </cell>
        </row>
        <row r="10600">
          <cell r="B10600" t="str">
            <v>B272-400-AS-280-PP-069</v>
          </cell>
          <cell r="E10600" t="str">
            <v>G-25(1/3)</v>
          </cell>
        </row>
        <row r="10601">
          <cell r="B10601" t="str">
            <v>B272-400-AS-280-PP-069</v>
          </cell>
          <cell r="E10601" t="str">
            <v>G-25(2/3)</v>
          </cell>
        </row>
        <row r="10602">
          <cell r="B10602" t="str">
            <v>B272-400-AS-280-PP-069</v>
          </cell>
          <cell r="E10602" t="str">
            <v>G-25(3/3)</v>
          </cell>
        </row>
        <row r="10603">
          <cell r="B10603" t="str">
            <v>B272-400-AS-280-PP-069</v>
          </cell>
          <cell r="E10603" t="str">
            <v>P-566</v>
          </cell>
        </row>
        <row r="10604">
          <cell r="B10604" t="str">
            <v>B272-400-AS-280-PP-069</v>
          </cell>
          <cell r="E10604" t="str">
            <v>P-570</v>
          </cell>
        </row>
        <row r="10605">
          <cell r="B10605" t="str">
            <v>B272-400-AS-280-PP-069</v>
          </cell>
          <cell r="E10605" t="str">
            <v>P-571</v>
          </cell>
        </row>
        <row r="10606">
          <cell r="B10606" t="str">
            <v>B272-400-AS-280-PP-069</v>
          </cell>
          <cell r="E10606" t="str">
            <v>P-741</v>
          </cell>
        </row>
        <row r="10607">
          <cell r="B10607" t="str">
            <v>B272-400-AS-280-PP-069</v>
          </cell>
          <cell r="E10607" t="str">
            <v>P-751(1/2)</v>
          </cell>
        </row>
        <row r="10608">
          <cell r="B10608" t="str">
            <v>B272-400-AS-280-PP-069</v>
          </cell>
          <cell r="E10608" t="str">
            <v>P-751(2/2)</v>
          </cell>
        </row>
        <row r="10609">
          <cell r="B10609" t="str">
            <v>B272-400-AS-280-PP-069</v>
          </cell>
          <cell r="E10609" t="str">
            <v>P-775</v>
          </cell>
        </row>
        <row r="10610">
          <cell r="B10610" t="str">
            <v>B272-400-AS-280-PP-069</v>
          </cell>
          <cell r="E10610" t="str">
            <v>P-836(1/2)</v>
          </cell>
        </row>
        <row r="10611">
          <cell r="B10611" t="str">
            <v>B272-400-AS-280-PP-069</v>
          </cell>
          <cell r="E10611" t="str">
            <v>P-836(2/2)</v>
          </cell>
        </row>
        <row r="10612">
          <cell r="B10612" t="str">
            <v>B272-400-AS-280-PP-069</v>
          </cell>
          <cell r="E10612" t="str">
            <v>P-847(1/2)</v>
          </cell>
        </row>
        <row r="10613">
          <cell r="B10613" t="str">
            <v>B272-400-AS-280-PP-069</v>
          </cell>
          <cell r="E10613" t="str">
            <v>P-847(2/2)</v>
          </cell>
        </row>
        <row r="10614">
          <cell r="B10614" t="str">
            <v>B272-400-AS-280-PP-069</v>
          </cell>
          <cell r="E10614" t="str">
            <v>P-1090</v>
          </cell>
        </row>
        <row r="10615">
          <cell r="B10615" t="str">
            <v>B272-400-AS-280-PP-069</v>
          </cell>
          <cell r="E10615" t="str">
            <v>W-46</v>
          </cell>
        </row>
        <row r="10616">
          <cell r="B10616" t="str">
            <v>B272-400-AS-280-PP-069</v>
          </cell>
          <cell r="E10616" t="str">
            <v>B1035</v>
          </cell>
        </row>
        <row r="10617">
          <cell r="B10617" t="str">
            <v>B272-400-AS-280-PP-069</v>
          </cell>
          <cell r="E10617" t="str">
            <v>B1045</v>
          </cell>
        </row>
        <row r="10618">
          <cell r="B10618" t="str">
            <v>B272-400-AS-280-PP-070</v>
          </cell>
          <cell r="E10618" t="str">
            <v>hoàng anh</v>
          </cell>
        </row>
        <row r="10619">
          <cell r="B10619" t="str">
            <v>B272-400-AS-280-PP-070</v>
          </cell>
          <cell r="E10619" t="str">
            <v>G-25(1/3)</v>
          </cell>
        </row>
        <row r="10620">
          <cell r="B10620" t="str">
            <v>B272-400-AS-280-PP-070</v>
          </cell>
          <cell r="E10620" t="str">
            <v>G-25(2/3)</v>
          </cell>
        </row>
        <row r="10621">
          <cell r="B10621" t="str">
            <v>B272-400-AS-280-PP-070</v>
          </cell>
          <cell r="E10621" t="str">
            <v>G-25(3/3)</v>
          </cell>
        </row>
        <row r="10622">
          <cell r="B10622" t="str">
            <v>B272-400-AS-280-PP-070</v>
          </cell>
          <cell r="E10622" t="str">
            <v>P-566</v>
          </cell>
        </row>
        <row r="10623">
          <cell r="B10623" t="str">
            <v>B272-400-AS-280-PP-070</v>
          </cell>
          <cell r="E10623" t="str">
            <v>P-570</v>
          </cell>
        </row>
        <row r="10624">
          <cell r="B10624" t="str">
            <v>B272-400-AS-280-PP-070</v>
          </cell>
          <cell r="E10624" t="str">
            <v>P-571</v>
          </cell>
        </row>
        <row r="10625">
          <cell r="B10625" t="str">
            <v>B272-400-AS-280-PP-070</v>
          </cell>
          <cell r="E10625" t="str">
            <v>P-741</v>
          </cell>
        </row>
        <row r="10626">
          <cell r="B10626" t="str">
            <v>B272-400-AS-280-PP-070</v>
          </cell>
          <cell r="E10626" t="str">
            <v>P-751(1/2)</v>
          </cell>
        </row>
        <row r="10627">
          <cell r="B10627" t="str">
            <v>B272-400-AS-280-PP-070</v>
          </cell>
          <cell r="E10627" t="str">
            <v>P-751(2/2)</v>
          </cell>
        </row>
        <row r="10628">
          <cell r="B10628" t="str">
            <v>B272-400-AS-280-PP-070</v>
          </cell>
          <cell r="E10628" t="str">
            <v>P-775</v>
          </cell>
        </row>
        <row r="10629">
          <cell r="B10629" t="str">
            <v>B272-400-AS-280-PP-070</v>
          </cell>
          <cell r="E10629" t="str">
            <v>P-845(1/2)</v>
          </cell>
        </row>
        <row r="10630">
          <cell r="B10630" t="str">
            <v>B272-400-AS-280-PP-070</v>
          </cell>
          <cell r="E10630" t="str">
            <v>P-845(2/2)</v>
          </cell>
        </row>
        <row r="10631">
          <cell r="B10631" t="str">
            <v>B272-400-AS-280-PP-070</v>
          </cell>
          <cell r="E10631" t="str">
            <v>P-847(1/2)</v>
          </cell>
        </row>
        <row r="10632">
          <cell r="B10632" t="str">
            <v>B272-400-AS-280-PP-070</v>
          </cell>
          <cell r="E10632" t="str">
            <v>P-847(2/2)</v>
          </cell>
        </row>
        <row r="10633">
          <cell r="B10633" t="str">
            <v>B272-400-AS-280-PP-070</v>
          </cell>
          <cell r="E10633" t="str">
            <v>P-1090</v>
          </cell>
        </row>
        <row r="10634">
          <cell r="B10634" t="str">
            <v>B272-400-AS-280-PP-070</v>
          </cell>
          <cell r="E10634" t="str">
            <v>W-49</v>
          </cell>
        </row>
        <row r="10635">
          <cell r="B10635" t="str">
            <v>B272-400-AS-280-PP-070</v>
          </cell>
          <cell r="E10635" t="str">
            <v>B1030</v>
          </cell>
        </row>
        <row r="10636">
          <cell r="B10636" t="str">
            <v>B272-400-AS-280-PP-070</v>
          </cell>
          <cell r="E10636" t="str">
            <v>B1035</v>
          </cell>
        </row>
        <row r="10637">
          <cell r="B10637" t="str">
            <v>B272-400-AS-280-PP-070</v>
          </cell>
          <cell r="E10637" t="str">
            <v>B1045</v>
          </cell>
        </row>
        <row r="10638">
          <cell r="B10638" t="str">
            <v>B272-400-AS-280-PP-071</v>
          </cell>
          <cell r="E10638" t="str">
            <v>hoàng anh</v>
          </cell>
        </row>
        <row r="10639">
          <cell r="B10639" t="str">
            <v>B272-400-AS-280-PP-071</v>
          </cell>
          <cell r="E10639" t="str">
            <v>G-25(1/3)</v>
          </cell>
        </row>
        <row r="10640">
          <cell r="B10640" t="str">
            <v>B272-400-AS-280-PP-071</v>
          </cell>
          <cell r="E10640" t="str">
            <v>G-25(2/3)</v>
          </cell>
        </row>
        <row r="10641">
          <cell r="B10641" t="str">
            <v>B272-400-AS-280-PP-071</v>
          </cell>
          <cell r="E10641" t="str">
            <v>G-25(3/3)</v>
          </cell>
        </row>
        <row r="10642">
          <cell r="B10642" t="str">
            <v>B272-400-AS-280-PP-071</v>
          </cell>
          <cell r="E10642" t="str">
            <v>P-570</v>
          </cell>
        </row>
        <row r="10643">
          <cell r="B10643" t="str">
            <v>B272-400-AS-280-PP-071</v>
          </cell>
          <cell r="E10643" t="str">
            <v>P-571</v>
          </cell>
        </row>
        <row r="10644">
          <cell r="B10644" t="str">
            <v>B272-400-AS-280-PP-071</v>
          </cell>
          <cell r="E10644" t="str">
            <v>P-741</v>
          </cell>
        </row>
        <row r="10645">
          <cell r="B10645" t="str">
            <v>B272-400-AS-280-PP-071</v>
          </cell>
          <cell r="E10645" t="str">
            <v>P-751(1/2)</v>
          </cell>
        </row>
        <row r="10646">
          <cell r="B10646" t="str">
            <v>B272-400-AS-280-PP-071</v>
          </cell>
          <cell r="E10646" t="str">
            <v>P-751(2/2)</v>
          </cell>
        </row>
        <row r="10647">
          <cell r="B10647" t="str">
            <v>B272-400-AS-280-PP-071</v>
          </cell>
          <cell r="E10647" t="str">
            <v>P-763(1/2)</v>
          </cell>
        </row>
        <row r="10648">
          <cell r="B10648" t="str">
            <v>B272-400-AS-280-PP-071</v>
          </cell>
          <cell r="E10648" t="str">
            <v>P-763(2/2)</v>
          </cell>
        </row>
        <row r="10649">
          <cell r="B10649" t="str">
            <v>B272-400-AS-280-PP-071</v>
          </cell>
          <cell r="E10649" t="str">
            <v>P-767</v>
          </cell>
        </row>
        <row r="10650">
          <cell r="B10650" t="str">
            <v>B272-400-AS-280-PP-071</v>
          </cell>
          <cell r="E10650" t="str">
            <v>P-769(1/2)</v>
          </cell>
        </row>
        <row r="10651">
          <cell r="B10651" t="str">
            <v>B272-400-AS-280-PP-071</v>
          </cell>
          <cell r="E10651" t="str">
            <v>P-769(2/2)</v>
          </cell>
        </row>
        <row r="10652">
          <cell r="B10652" t="str">
            <v>B272-400-AS-280-PP-071</v>
          </cell>
          <cell r="E10652" t="str">
            <v>P-772</v>
          </cell>
        </row>
        <row r="10653">
          <cell r="B10653" t="str">
            <v>B272-400-AS-280-PP-071</v>
          </cell>
          <cell r="E10653" t="str">
            <v>P-773</v>
          </cell>
        </row>
        <row r="10654">
          <cell r="B10654" t="str">
            <v>B272-400-AS-280-PP-071</v>
          </cell>
          <cell r="E10654" t="str">
            <v>P-775</v>
          </cell>
        </row>
        <row r="10655">
          <cell r="B10655" t="str">
            <v>B272-400-AS-280-PP-071</v>
          </cell>
          <cell r="E10655" t="str">
            <v>P-847(1/2)</v>
          </cell>
        </row>
        <row r="10656">
          <cell r="B10656" t="str">
            <v>B272-400-AS-280-PP-071</v>
          </cell>
          <cell r="E10656" t="str">
            <v>P-847(2/2)</v>
          </cell>
        </row>
        <row r="10657">
          <cell r="B10657" t="str">
            <v>B272-400-AS-280-PP-071</v>
          </cell>
          <cell r="E10657" t="str">
            <v>P-1090</v>
          </cell>
        </row>
        <row r="10658">
          <cell r="B10658" t="str">
            <v>B272-400-AS-280-PP-071</v>
          </cell>
          <cell r="E10658" t="str">
            <v>W-37</v>
          </cell>
        </row>
        <row r="10659">
          <cell r="B10659" t="str">
            <v>B272-400-AS-280-PP-071</v>
          </cell>
          <cell r="E10659" t="str">
            <v>B1030</v>
          </cell>
        </row>
        <row r="10660">
          <cell r="B10660" t="str">
            <v>B272-400-AS-280-PP-071</v>
          </cell>
          <cell r="E10660" t="str">
            <v>B1035</v>
          </cell>
        </row>
        <row r="10661">
          <cell r="B10661" t="str">
            <v>B272-400-AS-280-PP-071</v>
          </cell>
          <cell r="E10661" t="str">
            <v>B1045</v>
          </cell>
        </row>
        <row r="10662">
          <cell r="B10662" t="str">
            <v>B272-400-AS-280-PP-072</v>
          </cell>
          <cell r="E10662" t="str">
            <v>hoàng anh</v>
          </cell>
        </row>
        <row r="10663">
          <cell r="B10663" t="str">
            <v>B272-400-AS-280-PP-072</v>
          </cell>
          <cell r="E10663" t="str">
            <v>G-25(1/3)</v>
          </cell>
        </row>
        <row r="10664">
          <cell r="B10664" t="str">
            <v>B272-400-AS-280-PP-072</v>
          </cell>
          <cell r="E10664" t="str">
            <v>G-25(2/3)</v>
          </cell>
        </row>
        <row r="10665">
          <cell r="B10665" t="str">
            <v>B272-400-AS-280-PP-072</v>
          </cell>
          <cell r="E10665" t="str">
            <v>G-25(3/3)</v>
          </cell>
        </row>
        <row r="10666">
          <cell r="B10666" t="str">
            <v>B272-400-AS-280-PP-072</v>
          </cell>
          <cell r="E10666" t="str">
            <v>P-570</v>
          </cell>
        </row>
        <row r="10667">
          <cell r="B10667" t="str">
            <v>B272-400-AS-280-PP-072</v>
          </cell>
          <cell r="E10667" t="str">
            <v>P-571</v>
          </cell>
        </row>
        <row r="10668">
          <cell r="B10668" t="str">
            <v>B272-400-AS-280-PP-072</v>
          </cell>
          <cell r="E10668" t="str">
            <v>P-741</v>
          </cell>
        </row>
        <row r="10669">
          <cell r="B10669" t="str">
            <v>B272-400-AS-280-PP-072</v>
          </cell>
          <cell r="E10669" t="str">
            <v>P-751(1/2)</v>
          </cell>
        </row>
        <row r="10670">
          <cell r="B10670" t="str">
            <v>B272-400-AS-280-PP-072</v>
          </cell>
          <cell r="E10670" t="str">
            <v>P-751(2/2)</v>
          </cell>
        </row>
        <row r="10671">
          <cell r="B10671" t="str">
            <v>B272-400-AS-280-PP-072</v>
          </cell>
          <cell r="E10671" t="str">
            <v>P-767</v>
          </cell>
        </row>
        <row r="10672">
          <cell r="B10672" t="str">
            <v>B272-400-AS-280-PP-072</v>
          </cell>
          <cell r="E10672" t="str">
            <v>P-772</v>
          </cell>
        </row>
        <row r="10673">
          <cell r="B10673" t="str">
            <v>B272-400-AS-280-PP-072</v>
          </cell>
          <cell r="E10673" t="str">
            <v>P-775</v>
          </cell>
        </row>
        <row r="10674">
          <cell r="B10674" t="str">
            <v>B272-400-AS-280-PP-072</v>
          </cell>
          <cell r="E10674" t="str">
            <v>P-839(1/2)</v>
          </cell>
        </row>
        <row r="10675">
          <cell r="B10675" t="str">
            <v>B272-400-AS-280-PP-072</v>
          </cell>
          <cell r="E10675" t="str">
            <v>P-839(2/2)</v>
          </cell>
        </row>
        <row r="10676">
          <cell r="B10676" t="str">
            <v>B272-400-AS-280-PP-072</v>
          </cell>
          <cell r="E10676" t="str">
            <v>P-840</v>
          </cell>
        </row>
        <row r="10677">
          <cell r="B10677" t="str">
            <v>B272-400-AS-280-PP-072</v>
          </cell>
          <cell r="E10677" t="str">
            <v>P-841</v>
          </cell>
        </row>
        <row r="10678">
          <cell r="B10678" t="str">
            <v>B272-400-AS-280-PP-072</v>
          </cell>
          <cell r="E10678" t="str">
            <v>P-842</v>
          </cell>
        </row>
        <row r="10679">
          <cell r="B10679" t="str">
            <v>B272-400-AS-280-PP-072</v>
          </cell>
          <cell r="E10679" t="str">
            <v>P-847(1/2)</v>
          </cell>
        </row>
        <row r="10680">
          <cell r="B10680" t="str">
            <v>B272-400-AS-280-PP-072</v>
          </cell>
          <cell r="E10680" t="str">
            <v>P-847(2/2)</v>
          </cell>
        </row>
        <row r="10681">
          <cell r="B10681" t="str">
            <v>B272-400-AS-280-PP-072</v>
          </cell>
          <cell r="E10681" t="str">
            <v>P-861</v>
          </cell>
        </row>
        <row r="10682">
          <cell r="B10682" t="str">
            <v>B272-400-AS-280-PP-072</v>
          </cell>
          <cell r="E10682" t="str">
            <v>P-862</v>
          </cell>
        </row>
        <row r="10683">
          <cell r="B10683" t="str">
            <v>B272-400-AS-280-PP-072</v>
          </cell>
          <cell r="E10683" t="str">
            <v>P-1090</v>
          </cell>
        </row>
        <row r="10684">
          <cell r="B10684" t="str">
            <v>B272-400-AS-280-PP-072</v>
          </cell>
          <cell r="E10684" t="str">
            <v>W-47</v>
          </cell>
        </row>
        <row r="10685">
          <cell r="B10685" t="str">
            <v>B272-400-AS-280-PP-072</v>
          </cell>
          <cell r="E10685" t="str">
            <v>B1030</v>
          </cell>
        </row>
        <row r="10686">
          <cell r="B10686" t="str">
            <v>B272-400-AS-280-PP-072</v>
          </cell>
          <cell r="E10686" t="str">
            <v>B1035</v>
          </cell>
        </row>
        <row r="10687">
          <cell r="B10687" t="str">
            <v>B272-400-AS-280-PP-072</v>
          </cell>
          <cell r="E10687" t="str">
            <v>B1045</v>
          </cell>
        </row>
        <row r="10688">
          <cell r="B10688" t="str">
            <v>B272-400-AS-280-PP-073</v>
          </cell>
          <cell r="E10688" t="str">
            <v>stack</v>
          </cell>
        </row>
        <row r="10689">
          <cell r="B10689" t="str">
            <v>B272-400-AS-280-PP-073</v>
          </cell>
          <cell r="E10689" t="str">
            <v>G-25(1/3)</v>
          </cell>
        </row>
        <row r="10690">
          <cell r="B10690" t="str">
            <v>B272-400-AS-280-PP-073</v>
          </cell>
          <cell r="E10690" t="str">
            <v>G-25(2/3)</v>
          </cell>
        </row>
        <row r="10691">
          <cell r="B10691" t="str">
            <v>B272-400-AS-280-PP-073</v>
          </cell>
          <cell r="E10691" t="str">
            <v>G-25(3/3)</v>
          </cell>
        </row>
        <row r="10692">
          <cell r="B10692" t="str">
            <v>B272-400-AS-280-PP-073</v>
          </cell>
          <cell r="E10692" t="str">
            <v>P-567(1/2)</v>
          </cell>
        </row>
        <row r="10693">
          <cell r="B10693" t="str">
            <v>B272-400-AS-280-PP-073</v>
          </cell>
          <cell r="E10693" t="str">
            <v>P-567(2/2)</v>
          </cell>
        </row>
        <row r="10694">
          <cell r="B10694" t="str">
            <v>B272-400-AS-280-PP-073</v>
          </cell>
          <cell r="E10694" t="str">
            <v>P-1191(1/2)</v>
          </cell>
        </row>
        <row r="10695">
          <cell r="B10695" t="str">
            <v>B272-400-AS-280-PP-073</v>
          </cell>
          <cell r="E10695" t="str">
            <v>P-1191(2/2)</v>
          </cell>
        </row>
        <row r="10696">
          <cell r="B10696" t="str">
            <v>B272-400-AS-280-PP-073</v>
          </cell>
          <cell r="E10696" t="str">
            <v>W-78</v>
          </cell>
        </row>
        <row r="10697">
          <cell r="B10697" t="str">
            <v>B272-400-AS-280-PP-073</v>
          </cell>
          <cell r="E10697" t="str">
            <v>B1035</v>
          </cell>
        </row>
        <row r="10698">
          <cell r="B10698" t="str">
            <v>B272-400-AS-280-PP-074</v>
          </cell>
          <cell r="E10698" t="str">
            <v>stack</v>
          </cell>
        </row>
        <row r="10699">
          <cell r="B10699" t="str">
            <v>B272-400-AS-280-PP-074</v>
          </cell>
          <cell r="E10699" t="str">
            <v>G-25(1/3)</v>
          </cell>
        </row>
        <row r="10700">
          <cell r="B10700" t="str">
            <v>B272-400-AS-280-PP-074</v>
          </cell>
          <cell r="E10700" t="str">
            <v>G-25(2/3)</v>
          </cell>
        </row>
        <row r="10701">
          <cell r="B10701" t="str">
            <v>B272-400-AS-280-PP-074</v>
          </cell>
          <cell r="E10701" t="str">
            <v>G-25(3/3)</v>
          </cell>
        </row>
        <row r="10702">
          <cell r="B10702" t="str">
            <v>B272-400-AS-280-PP-074</v>
          </cell>
          <cell r="E10702" t="str">
            <v>P-567(1/2)</v>
          </cell>
        </row>
        <row r="10703">
          <cell r="B10703" t="str">
            <v>B272-400-AS-280-PP-074</v>
          </cell>
          <cell r="E10703" t="str">
            <v>P-567(2/2)</v>
          </cell>
        </row>
        <row r="10704">
          <cell r="B10704" t="str">
            <v>B272-400-AS-280-PP-074</v>
          </cell>
          <cell r="E10704" t="str">
            <v>P-1191(1/2)</v>
          </cell>
        </row>
        <row r="10705">
          <cell r="B10705" t="str">
            <v>B272-400-AS-280-PP-074</v>
          </cell>
          <cell r="E10705" t="str">
            <v>P-1191(2/2)</v>
          </cell>
        </row>
        <row r="10706">
          <cell r="B10706" t="str">
            <v>B272-400-AS-280-PP-074</v>
          </cell>
          <cell r="E10706" t="str">
            <v>W-78</v>
          </cell>
        </row>
        <row r="10707">
          <cell r="B10707" t="str">
            <v>B272-400-AS-280-PP-074</v>
          </cell>
          <cell r="E10707" t="str">
            <v>B1030</v>
          </cell>
        </row>
        <row r="10708">
          <cell r="B10708" t="str">
            <v>B272-400-AS-280-PP-074</v>
          </cell>
          <cell r="E10708" t="str">
            <v>B1035</v>
          </cell>
        </row>
        <row r="10709">
          <cell r="B10709" t="str">
            <v>B272-400-AS-280-PP-075</v>
          </cell>
          <cell r="E10709" t="str">
            <v>stack</v>
          </cell>
        </row>
        <row r="10710">
          <cell r="B10710" t="str">
            <v>B272-400-AS-280-PP-075</v>
          </cell>
          <cell r="E10710" t="str">
            <v>G-25(1/3)</v>
          </cell>
        </row>
        <row r="10711">
          <cell r="B10711" t="str">
            <v>B272-400-AS-280-PP-075</v>
          </cell>
          <cell r="E10711" t="str">
            <v>G-25(2/3)</v>
          </cell>
        </row>
        <row r="10712">
          <cell r="B10712" t="str">
            <v>B272-400-AS-280-PP-075</v>
          </cell>
          <cell r="E10712" t="str">
            <v>G-25(3/3)</v>
          </cell>
        </row>
        <row r="10713">
          <cell r="B10713" t="str">
            <v>B272-400-AS-280-PP-075</v>
          </cell>
          <cell r="E10713" t="str">
            <v>P-567(1/2)</v>
          </cell>
        </row>
        <row r="10714">
          <cell r="B10714" t="str">
            <v>B272-400-AS-280-PP-075</v>
          </cell>
          <cell r="E10714" t="str">
            <v>P-567(2/2)</v>
          </cell>
        </row>
        <row r="10715">
          <cell r="B10715" t="str">
            <v>B272-400-AS-280-PP-075</v>
          </cell>
          <cell r="E10715" t="str">
            <v>P-1193(1/2)</v>
          </cell>
        </row>
        <row r="10716">
          <cell r="B10716" t="str">
            <v>B272-400-AS-280-PP-075</v>
          </cell>
          <cell r="E10716" t="str">
            <v>P-1193(2/2)</v>
          </cell>
        </row>
        <row r="10717">
          <cell r="B10717" t="str">
            <v>B272-400-AS-280-PP-075</v>
          </cell>
          <cell r="E10717" t="str">
            <v>W-91</v>
          </cell>
        </row>
        <row r="10718">
          <cell r="B10718" t="str">
            <v>B272-400-AS-280-PP-075</v>
          </cell>
          <cell r="E10718" t="str">
            <v>B1035</v>
          </cell>
        </row>
        <row r="10719">
          <cell r="B10719" t="str">
            <v>B272-400-AS-280-PP-076</v>
          </cell>
          <cell r="E10719" t="str">
            <v>stack</v>
          </cell>
        </row>
        <row r="10720">
          <cell r="B10720" t="str">
            <v>B272-400-AS-280-PP-076</v>
          </cell>
          <cell r="E10720" t="str">
            <v>G-25(1/3)</v>
          </cell>
        </row>
        <row r="10721">
          <cell r="B10721" t="str">
            <v>B272-400-AS-280-PP-076</v>
          </cell>
          <cell r="E10721" t="str">
            <v>G-25(2/3)</v>
          </cell>
        </row>
        <row r="10722">
          <cell r="B10722" t="str">
            <v>B272-400-AS-280-PP-076</v>
          </cell>
          <cell r="E10722" t="str">
            <v>G-25(3/3)</v>
          </cell>
        </row>
        <row r="10723">
          <cell r="B10723" t="str">
            <v>B272-400-AS-280-PP-076</v>
          </cell>
          <cell r="E10723" t="str">
            <v>P-567</v>
          </cell>
        </row>
        <row r="10724">
          <cell r="B10724" t="str">
            <v>B272-400-AS-280-PP-076</v>
          </cell>
          <cell r="E10724" t="str">
            <v>P-1193(1/2)</v>
          </cell>
        </row>
        <row r="10725">
          <cell r="B10725" t="str">
            <v>B272-400-AS-280-PP-076</v>
          </cell>
          <cell r="E10725" t="str">
            <v>P-1193(2/2)</v>
          </cell>
        </row>
        <row r="10726">
          <cell r="B10726" t="str">
            <v>B272-400-AS-280-PP-076</v>
          </cell>
          <cell r="E10726" t="str">
            <v>P-1198</v>
          </cell>
        </row>
        <row r="10727">
          <cell r="B10727" t="str">
            <v>B272-400-AS-280-PP-076</v>
          </cell>
          <cell r="E10727" t="str">
            <v>W-95</v>
          </cell>
        </row>
        <row r="10728">
          <cell r="B10728" t="str">
            <v>B272-400-AS-280-PP-076</v>
          </cell>
          <cell r="E10728" t="str">
            <v>B1030</v>
          </cell>
        </row>
        <row r="10729">
          <cell r="B10729" t="str">
            <v>B272-400-AS-280-PP-076</v>
          </cell>
          <cell r="E10729" t="str">
            <v>B1035</v>
          </cell>
        </row>
        <row r="10730">
          <cell r="B10730" t="str">
            <v>B272-400-AS-280-PP-077</v>
          </cell>
          <cell r="E10730" t="str">
            <v>stack</v>
          </cell>
        </row>
        <row r="10731">
          <cell r="B10731" t="str">
            <v>B272-400-AS-280-PP-077</v>
          </cell>
          <cell r="E10731" t="str">
            <v>G-25(1/3)</v>
          </cell>
        </row>
        <row r="10732">
          <cell r="B10732" t="str">
            <v>B272-400-AS-280-PP-077</v>
          </cell>
          <cell r="E10732" t="str">
            <v>G-25(2/3)</v>
          </cell>
        </row>
        <row r="10733">
          <cell r="B10733" t="str">
            <v>B272-400-AS-280-PP-077</v>
          </cell>
          <cell r="E10733" t="str">
            <v>G-25(3/3)</v>
          </cell>
        </row>
        <row r="10734">
          <cell r="B10734" t="str">
            <v>B272-400-AS-280-PP-077</v>
          </cell>
          <cell r="E10734" t="str">
            <v>P-567</v>
          </cell>
        </row>
        <row r="10735">
          <cell r="B10735" t="str">
            <v>B272-400-AS-280-PP-077</v>
          </cell>
          <cell r="E10735" t="str">
            <v>P-1225(1/2)</v>
          </cell>
        </row>
        <row r="10736">
          <cell r="B10736" t="str">
            <v>B272-400-AS-280-PP-077</v>
          </cell>
          <cell r="E10736" t="str">
            <v>P-1225(2/2)</v>
          </cell>
        </row>
        <row r="10737">
          <cell r="B10737" t="str">
            <v>B272-400-AS-280-PP-077</v>
          </cell>
          <cell r="E10737" t="str">
            <v>P-1227</v>
          </cell>
        </row>
        <row r="10738">
          <cell r="B10738" t="str">
            <v>B272-400-AS-280-PP-077</v>
          </cell>
          <cell r="E10738" t="str">
            <v>W-96</v>
          </cell>
        </row>
        <row r="10739">
          <cell r="B10739" t="str">
            <v>B272-400-AS-280-PP-077</v>
          </cell>
          <cell r="E10739" t="str">
            <v>B1035</v>
          </cell>
        </row>
        <row r="10740">
          <cell r="B10740" t="str">
            <v>B272-400-AS-280-PP-078</v>
          </cell>
          <cell r="E10740" t="str">
            <v>stack</v>
          </cell>
        </row>
        <row r="10741">
          <cell r="B10741" t="str">
            <v>B272-400-AS-280-PP-078</v>
          </cell>
          <cell r="E10741" t="str">
            <v>G-25(1/3)</v>
          </cell>
        </row>
        <row r="10742">
          <cell r="B10742" t="str">
            <v>B272-400-AS-280-PP-078</v>
          </cell>
          <cell r="E10742" t="str">
            <v>G-25(2/3)</v>
          </cell>
        </row>
        <row r="10743">
          <cell r="B10743" t="str">
            <v>B272-400-AS-280-PP-078</v>
          </cell>
          <cell r="E10743" t="str">
            <v>G-25(3/3)</v>
          </cell>
        </row>
        <row r="10744">
          <cell r="B10744" t="str">
            <v>B272-400-AS-280-PP-078</v>
          </cell>
          <cell r="E10744" t="str">
            <v>P-1225</v>
          </cell>
        </row>
        <row r="10745">
          <cell r="B10745" t="str">
            <v>B272-400-AS-280-PP-078</v>
          </cell>
          <cell r="E10745" t="str">
            <v>P-1228(1/2)</v>
          </cell>
        </row>
        <row r="10746">
          <cell r="B10746" t="str">
            <v>B272-400-AS-280-PP-078</v>
          </cell>
          <cell r="E10746" t="str">
            <v>P-1228(2/2)</v>
          </cell>
        </row>
        <row r="10747">
          <cell r="B10747" t="str">
            <v>B272-400-AS-280-PP-078</v>
          </cell>
          <cell r="E10747" t="str">
            <v>P-1230</v>
          </cell>
        </row>
        <row r="10748">
          <cell r="B10748" t="str">
            <v>B272-400-AS-280-PP-078</v>
          </cell>
          <cell r="E10748" t="str">
            <v>P-1231</v>
          </cell>
        </row>
        <row r="10749">
          <cell r="B10749" t="str">
            <v>B272-400-AS-280-PP-078</v>
          </cell>
          <cell r="E10749" t="str">
            <v>P-1232</v>
          </cell>
        </row>
        <row r="10750">
          <cell r="B10750" t="str">
            <v>B272-400-AS-280-PP-078</v>
          </cell>
          <cell r="E10750" t="str">
            <v>P-1233(1/2)</v>
          </cell>
        </row>
        <row r="10751">
          <cell r="B10751" t="str">
            <v>B272-400-AS-280-PP-078</v>
          </cell>
          <cell r="E10751" t="str">
            <v>P-1233(2/2)</v>
          </cell>
        </row>
        <row r="10752">
          <cell r="B10752" t="str">
            <v>B272-400-AS-280-PP-078</v>
          </cell>
          <cell r="E10752" t="str">
            <v>W-98</v>
          </cell>
        </row>
        <row r="10753">
          <cell r="B10753" t="str">
            <v>B272-400-AS-280-PP-078</v>
          </cell>
          <cell r="E10753" t="str">
            <v>B1030</v>
          </cell>
        </row>
        <row r="10754">
          <cell r="B10754" t="str">
            <v>B272-400-AS-280-PP-078</v>
          </cell>
          <cell r="E10754" t="str">
            <v>B1035</v>
          </cell>
        </row>
        <row r="10755">
          <cell r="B10755" t="str">
            <v>B272-400-AS-280-PP-079</v>
          </cell>
          <cell r="E10755" t="str">
            <v>stack</v>
          </cell>
        </row>
        <row r="10756">
          <cell r="B10756" t="str">
            <v>B272-400-AS-280-PP-079</v>
          </cell>
          <cell r="E10756" t="str">
            <v>G-25(1/6)</v>
          </cell>
        </row>
        <row r="10757">
          <cell r="B10757" t="str">
            <v>B272-400-AS-280-PP-079</v>
          </cell>
          <cell r="E10757" t="str">
            <v>G-25(2/6)</v>
          </cell>
        </row>
        <row r="10758">
          <cell r="B10758" t="str">
            <v>B272-400-AS-280-PP-079</v>
          </cell>
          <cell r="E10758" t="str">
            <v>G-25(3/6)</v>
          </cell>
        </row>
        <row r="10759">
          <cell r="B10759" t="str">
            <v>B272-400-AS-280-PP-079</v>
          </cell>
          <cell r="E10759" t="str">
            <v>G-25(4/6)</v>
          </cell>
        </row>
        <row r="10760">
          <cell r="B10760" t="str">
            <v>B272-400-AS-280-PP-079</v>
          </cell>
          <cell r="E10760" t="str">
            <v>G-25(5/6)</v>
          </cell>
        </row>
        <row r="10761">
          <cell r="B10761" t="str">
            <v>B272-400-AS-280-PP-079</v>
          </cell>
          <cell r="E10761" t="str">
            <v>G-25(6/6)</v>
          </cell>
        </row>
        <row r="10762">
          <cell r="B10762" t="str">
            <v>B272-400-AS-280-PP-079</v>
          </cell>
          <cell r="E10762" t="str">
            <v>P-567(1/2)</v>
          </cell>
        </row>
        <row r="10763">
          <cell r="B10763" t="str">
            <v>B272-400-AS-280-PP-079</v>
          </cell>
          <cell r="E10763" t="str">
            <v>P-567(2/2)</v>
          </cell>
        </row>
        <row r="10764">
          <cell r="B10764" t="str">
            <v>B272-400-AS-280-PP-079</v>
          </cell>
          <cell r="E10764" t="str">
            <v>P-1233(1/2)</v>
          </cell>
        </row>
        <row r="10765">
          <cell r="B10765" t="str">
            <v>B272-400-AS-280-PP-079</v>
          </cell>
          <cell r="E10765" t="str">
            <v>P-1233(2/2)</v>
          </cell>
        </row>
        <row r="10766">
          <cell r="B10766" t="str">
            <v>B272-400-AS-280-PP-079</v>
          </cell>
          <cell r="E10766" t="str">
            <v>P-1234</v>
          </cell>
        </row>
        <row r="10767">
          <cell r="B10767" t="str">
            <v>B272-400-AS-280-PP-079</v>
          </cell>
          <cell r="E10767" t="str">
            <v>P-1235</v>
          </cell>
        </row>
        <row r="10768">
          <cell r="B10768" t="str">
            <v>B272-400-AS-280-PP-079</v>
          </cell>
          <cell r="E10768" t="str">
            <v>P-1236</v>
          </cell>
        </row>
        <row r="10769">
          <cell r="B10769" t="str">
            <v>B272-400-AS-280-PP-079</v>
          </cell>
          <cell r="E10769" t="str">
            <v>P-1237</v>
          </cell>
        </row>
        <row r="10770">
          <cell r="B10770" t="str">
            <v>B272-400-AS-280-PP-079</v>
          </cell>
          <cell r="E10770" t="str">
            <v>W-105</v>
          </cell>
        </row>
        <row r="10771">
          <cell r="B10771" t="str">
            <v>B272-400-AS-280-PP-079</v>
          </cell>
          <cell r="E10771" t="str">
            <v>B1030</v>
          </cell>
        </row>
        <row r="10772">
          <cell r="B10772" t="str">
            <v>B272-400-AS-280-PP-079</v>
          </cell>
          <cell r="E10772" t="str">
            <v>B1035</v>
          </cell>
        </row>
        <row r="10773">
          <cell r="B10773" t="str">
            <v>B272-400-AS-280-PP-080</v>
          </cell>
          <cell r="E10773" t="str">
            <v>stack</v>
          </cell>
        </row>
        <row r="10774">
          <cell r="B10774" t="str">
            <v>B272-400-AS-280-PP-080</v>
          </cell>
          <cell r="E10774" t="str">
            <v>G-25(1/2)</v>
          </cell>
        </row>
        <row r="10775">
          <cell r="B10775" t="str">
            <v>B272-400-AS-280-PP-080</v>
          </cell>
          <cell r="E10775" t="str">
            <v>G-25(2/2)</v>
          </cell>
        </row>
        <row r="10776">
          <cell r="B10776" t="str">
            <v>B272-400-AS-280-PP-080</v>
          </cell>
          <cell r="E10776" t="str">
            <v>G-75</v>
          </cell>
        </row>
        <row r="10777">
          <cell r="B10777" t="str">
            <v>B272-400-AS-280-PP-080</v>
          </cell>
          <cell r="E10777" t="str">
            <v>P-433</v>
          </cell>
        </row>
        <row r="10778">
          <cell r="B10778" t="str">
            <v>B272-400-AS-280-PP-080</v>
          </cell>
          <cell r="E10778" t="str">
            <v>P-1071</v>
          </cell>
        </row>
        <row r="10779">
          <cell r="B10779" t="str">
            <v>B272-400-AS-280-PP-080</v>
          </cell>
          <cell r="E10779" t="str">
            <v>P-1137</v>
          </cell>
        </row>
        <row r="10780">
          <cell r="B10780" t="str">
            <v>B272-400-AS-280-PP-080</v>
          </cell>
          <cell r="E10780" t="str">
            <v>PX-80</v>
          </cell>
        </row>
        <row r="10781">
          <cell r="B10781" t="str">
            <v>B272-400-AS-280-PP-080</v>
          </cell>
          <cell r="E10781" t="str">
            <v>PX-81</v>
          </cell>
        </row>
        <row r="10782">
          <cell r="B10782" t="str">
            <v>B272-400-AS-280-PP-080</v>
          </cell>
          <cell r="E10782" t="str">
            <v>PX-92</v>
          </cell>
        </row>
        <row r="10783">
          <cell r="B10783" t="str">
            <v>B272-400-AS-280-PP-080</v>
          </cell>
          <cell r="E10783" t="str">
            <v>W-86</v>
          </cell>
        </row>
        <row r="10784">
          <cell r="B10784" t="str">
            <v>B272-400-AS-280-PP-080</v>
          </cell>
          <cell r="E10784" t="str">
            <v>B1030</v>
          </cell>
        </row>
        <row r="10785">
          <cell r="B10785" t="str">
            <v>B272-400-AS-280-PP-080</v>
          </cell>
          <cell r="E10785" t="str">
            <v>B1035</v>
          </cell>
        </row>
        <row r="10786">
          <cell r="B10786" t="str">
            <v>B272-400-AS-280-PP-081</v>
          </cell>
          <cell r="E10786" t="str">
            <v>stack</v>
          </cell>
        </row>
        <row r="10787">
          <cell r="B10787" t="str">
            <v>B272-400-AS-280-PP-081</v>
          </cell>
          <cell r="E10787" t="str">
            <v>G-25(1/2)</v>
          </cell>
        </row>
        <row r="10788">
          <cell r="B10788" t="str">
            <v>B272-400-AS-280-PP-081</v>
          </cell>
          <cell r="E10788" t="str">
            <v>G-25(2/2)</v>
          </cell>
        </row>
        <row r="10789">
          <cell r="B10789" t="str">
            <v>B272-400-AS-280-PP-081</v>
          </cell>
          <cell r="E10789" t="str">
            <v>G-75</v>
          </cell>
        </row>
        <row r="10790">
          <cell r="B10790" t="str">
            <v>B272-400-AS-280-PP-081</v>
          </cell>
          <cell r="E10790" t="str">
            <v>P-433</v>
          </cell>
        </row>
        <row r="10791">
          <cell r="B10791" t="str">
            <v>B272-400-AS-280-PP-081</v>
          </cell>
          <cell r="E10791" t="str">
            <v>P-1071</v>
          </cell>
        </row>
        <row r="10792">
          <cell r="B10792" t="str">
            <v>B272-400-AS-280-PP-081</v>
          </cell>
          <cell r="E10792" t="str">
            <v>P-1137</v>
          </cell>
        </row>
        <row r="10793">
          <cell r="B10793" t="str">
            <v>B272-400-AS-280-PP-081</v>
          </cell>
          <cell r="E10793" t="str">
            <v>PX-80</v>
          </cell>
        </row>
        <row r="10794">
          <cell r="B10794" t="str">
            <v>B272-400-AS-280-PP-081</v>
          </cell>
          <cell r="E10794" t="str">
            <v>PX-81</v>
          </cell>
        </row>
        <row r="10795">
          <cell r="B10795" t="str">
            <v>B272-400-AS-280-PP-081</v>
          </cell>
          <cell r="E10795" t="str">
            <v>PX-92</v>
          </cell>
        </row>
        <row r="10796">
          <cell r="B10796" t="str">
            <v>B272-400-AS-280-PP-081</v>
          </cell>
          <cell r="E10796" t="str">
            <v>W-93</v>
          </cell>
        </row>
        <row r="10797">
          <cell r="B10797" t="str">
            <v>B272-400-AS-280-PP-081</v>
          </cell>
          <cell r="E10797" t="str">
            <v>B1035</v>
          </cell>
        </row>
        <row r="10798">
          <cell r="B10798" t="str">
            <v>B272-400-AS-280-PP-082</v>
          </cell>
          <cell r="E10798" t="str">
            <v>convection</v>
          </cell>
        </row>
        <row r="10799">
          <cell r="B10799" t="str">
            <v>B272-400-AS-280-PP-082</v>
          </cell>
          <cell r="E10799" t="str">
            <v>G-25(1/2)</v>
          </cell>
        </row>
        <row r="10800">
          <cell r="B10800" t="str">
            <v>B272-400-AS-280-PP-082</v>
          </cell>
          <cell r="E10800" t="str">
            <v>G-25(2/2)</v>
          </cell>
        </row>
        <row r="10801">
          <cell r="B10801" t="str">
            <v>B272-400-AS-280-PP-082</v>
          </cell>
          <cell r="E10801" t="str">
            <v>P-400(1/2)</v>
          </cell>
        </row>
        <row r="10802">
          <cell r="B10802" t="str">
            <v>B272-400-AS-280-PP-082</v>
          </cell>
          <cell r="E10802" t="str">
            <v>P-400(2/2)</v>
          </cell>
        </row>
        <row r="10803">
          <cell r="B10803" t="str">
            <v>B272-400-AS-280-PP-082</v>
          </cell>
          <cell r="E10803" t="str">
            <v>P-439</v>
          </cell>
        </row>
        <row r="10804">
          <cell r="B10804" t="str">
            <v>B272-400-AS-280-PP-082</v>
          </cell>
          <cell r="E10804" t="str">
            <v>P-446</v>
          </cell>
        </row>
        <row r="10805">
          <cell r="B10805" t="str">
            <v>B272-400-AS-280-PP-082</v>
          </cell>
          <cell r="E10805" t="str">
            <v>P-460(1/2)</v>
          </cell>
        </row>
        <row r="10806">
          <cell r="B10806" t="str">
            <v>B272-400-AS-280-PP-082</v>
          </cell>
          <cell r="E10806" t="str">
            <v>P-460(2/2)</v>
          </cell>
        </row>
        <row r="10807">
          <cell r="B10807" t="str">
            <v>B272-400-AS-280-PP-082</v>
          </cell>
          <cell r="E10807" t="str">
            <v>P-597</v>
          </cell>
        </row>
        <row r="10808">
          <cell r="B10808" t="str">
            <v>B272-400-AS-280-PP-082</v>
          </cell>
          <cell r="E10808" t="str">
            <v>P-598(1/2)</v>
          </cell>
        </row>
        <row r="10809">
          <cell r="B10809" t="str">
            <v>B272-400-AS-280-PP-082</v>
          </cell>
          <cell r="E10809" t="str">
            <v>P-598(2/2)</v>
          </cell>
        </row>
        <row r="10810">
          <cell r="B10810" t="str">
            <v>B272-400-AS-280-PP-082</v>
          </cell>
          <cell r="E10810" t="str">
            <v>P-599</v>
          </cell>
        </row>
        <row r="10811">
          <cell r="B10811" t="str">
            <v>B272-400-AS-280-PP-082</v>
          </cell>
          <cell r="E10811" t="str">
            <v>P-600(1/2)</v>
          </cell>
        </row>
        <row r="10812">
          <cell r="B10812" t="str">
            <v>B272-400-AS-280-PP-082</v>
          </cell>
          <cell r="E10812" t="str">
            <v>P-600(2/2)</v>
          </cell>
        </row>
        <row r="10813">
          <cell r="B10813" t="str">
            <v>B272-400-AS-280-PP-082</v>
          </cell>
          <cell r="E10813" t="str">
            <v>W-61</v>
          </cell>
        </row>
        <row r="10814">
          <cell r="B10814" t="str">
            <v>B272-400-AS-280-PP-082</v>
          </cell>
          <cell r="E10814" t="str">
            <v>B1035</v>
          </cell>
        </row>
        <row r="10815">
          <cell r="B10815" t="str">
            <v>B272-400-AS-280-PP-083</v>
          </cell>
          <cell r="E10815" t="str">
            <v>convection</v>
          </cell>
        </row>
        <row r="10816">
          <cell r="B10816" t="str">
            <v>B272-400-AS-280-PP-083</v>
          </cell>
          <cell r="E10816" t="str">
            <v>G-25(1/2)</v>
          </cell>
        </row>
        <row r="10817">
          <cell r="B10817" t="str">
            <v>B272-400-AS-280-PP-083</v>
          </cell>
          <cell r="E10817" t="str">
            <v>G-25(2/2)</v>
          </cell>
        </row>
        <row r="10818">
          <cell r="B10818" t="str">
            <v>B272-400-AS-280-PP-083</v>
          </cell>
          <cell r="E10818" t="str">
            <v>P-400</v>
          </cell>
        </row>
        <row r="10819">
          <cell r="B10819" t="str">
            <v>B272-400-AS-280-PP-083</v>
          </cell>
          <cell r="E10819" t="str">
            <v>P-436</v>
          </cell>
        </row>
        <row r="10820">
          <cell r="B10820" t="str">
            <v>B272-400-AS-280-PP-083</v>
          </cell>
          <cell r="E10820" t="str">
            <v>P-438</v>
          </cell>
        </row>
        <row r="10821">
          <cell r="B10821" t="str">
            <v>B272-400-AS-280-PP-083</v>
          </cell>
          <cell r="E10821" t="str">
            <v>P-439(1/2)</v>
          </cell>
        </row>
        <row r="10822">
          <cell r="B10822" t="str">
            <v>B272-400-AS-280-PP-083</v>
          </cell>
          <cell r="E10822" t="str">
            <v>P-439(2/2)</v>
          </cell>
        </row>
        <row r="10823">
          <cell r="B10823" t="str">
            <v>B272-400-AS-280-PP-083</v>
          </cell>
          <cell r="E10823" t="str">
            <v>P-440</v>
          </cell>
        </row>
        <row r="10824">
          <cell r="B10824" t="str">
            <v>B272-400-AS-280-PP-083</v>
          </cell>
          <cell r="E10824" t="str">
            <v>P-441(1/2)</v>
          </cell>
        </row>
        <row r="10825">
          <cell r="B10825" t="str">
            <v>B272-400-AS-280-PP-083</v>
          </cell>
          <cell r="E10825" t="str">
            <v>P-441(2/2)</v>
          </cell>
        </row>
        <row r="10826">
          <cell r="B10826" t="str">
            <v>B272-400-AS-280-PP-083</v>
          </cell>
          <cell r="E10826" t="str">
            <v>W-10</v>
          </cell>
        </row>
        <row r="10827">
          <cell r="B10827" t="str">
            <v>B272-400-AS-280-PP-083</v>
          </cell>
          <cell r="E10827" t="str">
            <v>B1030</v>
          </cell>
        </row>
        <row r="10828">
          <cell r="B10828" t="str">
            <v>B272-400-AS-280-PP-083</v>
          </cell>
          <cell r="E10828" t="str">
            <v>B1035</v>
          </cell>
        </row>
        <row r="10829">
          <cell r="B10829" t="str">
            <v>B272-400-AS-280-PP-084</v>
          </cell>
          <cell r="E10829" t="str">
            <v>stack</v>
          </cell>
        </row>
        <row r="10830">
          <cell r="B10830" t="str">
            <v>B272-400-AS-280-PP-084</v>
          </cell>
          <cell r="E10830" t="str">
            <v>G-86</v>
          </cell>
        </row>
        <row r="10831">
          <cell r="B10831" t="str">
            <v>B272-400-AS-280-PP-084</v>
          </cell>
          <cell r="E10831" t="str">
            <v>stack</v>
          </cell>
        </row>
        <row r="10832">
          <cell r="B10832" t="str">
            <v>B272-400-AS-280-PP-084</v>
          </cell>
          <cell r="E10832" t="str">
            <v>G-86</v>
          </cell>
        </row>
        <row r="10833">
          <cell r="B10833" t="str">
            <v>B272-400-AS-280-PP-084</v>
          </cell>
          <cell r="E10833" t="str">
            <v>stack</v>
          </cell>
        </row>
        <row r="10834">
          <cell r="B10834" t="str">
            <v>B272-400-AS-280-PP-084</v>
          </cell>
          <cell r="E10834" t="str">
            <v>G-86</v>
          </cell>
        </row>
        <row r="10835">
          <cell r="B10835" t="str">
            <v>B272-400-AS-280-PP-084</v>
          </cell>
          <cell r="E10835" t="str">
            <v>stack</v>
          </cell>
        </row>
        <row r="10836">
          <cell r="B10836" t="str">
            <v>B272-400-AS-280-PP-084</v>
          </cell>
          <cell r="E10836" t="str">
            <v>G-86</v>
          </cell>
        </row>
        <row r="10837">
          <cell r="B10837" t="str">
            <v>B272-400-AS-280-PP-084</v>
          </cell>
          <cell r="E10837" t="str">
            <v>stack</v>
          </cell>
        </row>
        <row r="10838">
          <cell r="B10838" t="str">
            <v>B272-400-AS-280-PP-084</v>
          </cell>
          <cell r="E10838" t="str">
            <v>G-86</v>
          </cell>
        </row>
        <row r="10839">
          <cell r="B10839" t="str">
            <v>B272-400-AS-280-PP-084</v>
          </cell>
          <cell r="E10839" t="str">
            <v>stack</v>
          </cell>
        </row>
        <row r="10840">
          <cell r="B10840" t="str">
            <v>B272-400-AS-280-PP-084</v>
          </cell>
          <cell r="E10840" t="str">
            <v>G-86</v>
          </cell>
        </row>
        <row r="10841">
          <cell r="B10841" t="str">
            <v>B272-400-AS-280-PP-084</v>
          </cell>
          <cell r="E10841" t="str">
            <v>stack</v>
          </cell>
        </row>
        <row r="10842">
          <cell r="B10842" t="str">
            <v>B272-400-AS-280-PP-084</v>
          </cell>
          <cell r="E10842" t="str">
            <v>G-86</v>
          </cell>
        </row>
        <row r="10843">
          <cell r="B10843" t="str">
            <v>B272-400-AS-280-PP-085</v>
          </cell>
          <cell r="E10843" t="str">
            <v>convection</v>
          </cell>
        </row>
        <row r="10844">
          <cell r="B10844" t="str">
            <v>B272-400-AS-280-PP-085</v>
          </cell>
          <cell r="E10844" t="str">
            <v>G-25(1/2)</v>
          </cell>
        </row>
        <row r="10845">
          <cell r="B10845" t="str">
            <v>B272-400-AS-280-PP-085</v>
          </cell>
          <cell r="E10845" t="str">
            <v>G-25(2/2)</v>
          </cell>
        </row>
        <row r="10846">
          <cell r="B10846" t="str">
            <v>B272-400-AS-280-PP-085</v>
          </cell>
          <cell r="E10846" t="str">
            <v>P-435(1/2)</v>
          </cell>
        </row>
        <row r="10847">
          <cell r="B10847" t="str">
            <v>B272-400-AS-280-PP-085</v>
          </cell>
          <cell r="E10847" t="str">
            <v>P-435(2/2)</v>
          </cell>
        </row>
        <row r="10848">
          <cell r="B10848" t="str">
            <v>B272-400-AS-280-PP-085</v>
          </cell>
          <cell r="E10848" t="str">
            <v>P-445(1/2)</v>
          </cell>
        </row>
        <row r="10849">
          <cell r="B10849" t="str">
            <v>B272-400-AS-280-PP-085</v>
          </cell>
          <cell r="E10849" t="str">
            <v>P-445(2/2)</v>
          </cell>
        </row>
        <row r="10850">
          <cell r="B10850" t="str">
            <v>B272-400-AS-280-PP-085</v>
          </cell>
          <cell r="E10850" t="str">
            <v>W-14</v>
          </cell>
        </row>
        <row r="10851">
          <cell r="B10851" t="str">
            <v>B272-400-AS-280-PP-085</v>
          </cell>
          <cell r="E10851" t="str">
            <v>B1035</v>
          </cell>
        </row>
        <row r="10852">
          <cell r="B10852" t="str">
            <v>B272-400-AS-280-PP-086</v>
          </cell>
          <cell r="E10852" t="str">
            <v>hoàng anh</v>
          </cell>
        </row>
        <row r="10853">
          <cell r="B10853" t="str">
            <v>B272-400-AS-280-PP-086</v>
          </cell>
          <cell r="E10853" t="str">
            <v>G-25(1/2)</v>
          </cell>
        </row>
        <row r="10854">
          <cell r="B10854" t="str">
            <v>B272-400-AS-280-PP-086</v>
          </cell>
          <cell r="E10854" t="str">
            <v>G-25(2/2)</v>
          </cell>
        </row>
        <row r="10855">
          <cell r="B10855" t="str">
            <v>B272-400-AS-280-PP-086</v>
          </cell>
          <cell r="E10855" t="str">
            <v>P-435(1/2)</v>
          </cell>
        </row>
        <row r="10856">
          <cell r="B10856" t="str">
            <v>B272-400-AS-280-PP-086</v>
          </cell>
          <cell r="E10856" t="str">
            <v>P-435(2/2)</v>
          </cell>
        </row>
        <row r="10857">
          <cell r="B10857" t="str">
            <v>B272-400-AS-280-PP-086</v>
          </cell>
          <cell r="E10857" t="str">
            <v>P-576(1/2)</v>
          </cell>
        </row>
        <row r="10858">
          <cell r="B10858" t="str">
            <v>B272-400-AS-280-PP-086</v>
          </cell>
          <cell r="E10858" t="str">
            <v>P-576(2/2)</v>
          </cell>
        </row>
        <row r="10859">
          <cell r="B10859" t="str">
            <v>B272-400-AS-280-PP-086</v>
          </cell>
          <cell r="E10859" t="str">
            <v>W-25</v>
          </cell>
        </row>
        <row r="10860">
          <cell r="B10860" t="str">
            <v>B272-400-AS-280-PP-086</v>
          </cell>
          <cell r="E10860" t="str">
            <v>B1030</v>
          </cell>
        </row>
        <row r="10861">
          <cell r="B10861" t="str">
            <v>B272-400-AS-280-PP-086</v>
          </cell>
          <cell r="E10861" t="str">
            <v>B1035</v>
          </cell>
        </row>
        <row r="10862">
          <cell r="B10862" t="str">
            <v>B272-400-AS-280-PP-086</v>
          </cell>
          <cell r="E10862" t="str">
            <v>hoàng anh</v>
          </cell>
        </row>
        <row r="10863">
          <cell r="B10863" t="str">
            <v>B272-400-AS-280-PP-086</v>
          </cell>
          <cell r="E10863" t="str">
            <v>G-25(1/2)</v>
          </cell>
        </row>
        <row r="10864">
          <cell r="B10864" t="str">
            <v>B272-400-AS-280-PP-086</v>
          </cell>
          <cell r="E10864" t="str">
            <v>G-25(2/2)</v>
          </cell>
        </row>
        <row r="10865">
          <cell r="B10865" t="str">
            <v>B272-400-AS-280-PP-086</v>
          </cell>
          <cell r="E10865" t="str">
            <v>P-435(1/2)</v>
          </cell>
        </row>
        <row r="10866">
          <cell r="B10866" t="str">
            <v>B272-400-AS-280-PP-086</v>
          </cell>
          <cell r="E10866" t="str">
            <v>P-435(2/2)</v>
          </cell>
        </row>
        <row r="10867">
          <cell r="B10867" t="str">
            <v>B272-400-AS-280-PP-086</v>
          </cell>
          <cell r="E10867" t="str">
            <v>P-576(1/2)</v>
          </cell>
        </row>
        <row r="10868">
          <cell r="B10868" t="str">
            <v>B272-400-AS-280-PP-086</v>
          </cell>
          <cell r="E10868" t="str">
            <v>P-576(2/2)</v>
          </cell>
        </row>
        <row r="10869">
          <cell r="B10869" t="str">
            <v>B272-400-AS-280-PP-086</v>
          </cell>
          <cell r="E10869" t="str">
            <v>W-25</v>
          </cell>
        </row>
        <row r="10870">
          <cell r="B10870" t="str">
            <v>B272-400-AS-280-PP-086</v>
          </cell>
          <cell r="E10870" t="str">
            <v>B1030</v>
          </cell>
        </row>
        <row r="10871">
          <cell r="B10871" t="str">
            <v>B272-400-AS-280-PP-086</v>
          </cell>
          <cell r="E10871" t="str">
            <v>B1035</v>
          </cell>
        </row>
        <row r="10872">
          <cell r="B10872" t="str">
            <v>B272-400-AS-280-PP-086</v>
          </cell>
          <cell r="E10872" t="str">
            <v>hoàng anh</v>
          </cell>
        </row>
        <row r="10873">
          <cell r="B10873" t="str">
            <v>B272-400-AS-280-PP-086</v>
          </cell>
          <cell r="E10873" t="str">
            <v>G-25(1/2)</v>
          </cell>
        </row>
        <row r="10874">
          <cell r="B10874" t="str">
            <v>B272-400-AS-280-PP-086</v>
          </cell>
          <cell r="E10874" t="str">
            <v>G-25(2/2)</v>
          </cell>
        </row>
        <row r="10875">
          <cell r="B10875" t="str">
            <v>B272-400-AS-280-PP-086</v>
          </cell>
          <cell r="E10875" t="str">
            <v>P-435(1/2)</v>
          </cell>
        </row>
        <row r="10876">
          <cell r="B10876" t="str">
            <v>B272-400-AS-280-PP-086</v>
          </cell>
          <cell r="E10876" t="str">
            <v>P-435(2/2)</v>
          </cell>
        </row>
        <row r="10877">
          <cell r="B10877" t="str">
            <v>B272-400-AS-280-PP-086</v>
          </cell>
          <cell r="E10877" t="str">
            <v>P-576(1/2)</v>
          </cell>
        </row>
        <row r="10878">
          <cell r="B10878" t="str">
            <v>B272-400-AS-280-PP-086</v>
          </cell>
          <cell r="E10878" t="str">
            <v>P-576(2/2)</v>
          </cell>
        </row>
        <row r="10879">
          <cell r="B10879" t="str">
            <v>B272-400-AS-280-PP-086</v>
          </cell>
          <cell r="E10879" t="str">
            <v>W-25</v>
          </cell>
        </row>
        <row r="10880">
          <cell r="B10880" t="str">
            <v>B272-400-AS-280-PP-086</v>
          </cell>
          <cell r="E10880" t="str">
            <v>B1030</v>
          </cell>
        </row>
        <row r="10881">
          <cell r="B10881" t="str">
            <v>B272-400-AS-280-PP-086</v>
          </cell>
          <cell r="E10881" t="str">
            <v>B1035</v>
          </cell>
        </row>
        <row r="10882">
          <cell r="B10882" t="str">
            <v>B272-400-AS-280-PP-086</v>
          </cell>
          <cell r="E10882" t="str">
            <v>hoàng anh</v>
          </cell>
        </row>
        <row r="10883">
          <cell r="B10883" t="str">
            <v>B272-400-AS-280-PP-086</v>
          </cell>
          <cell r="E10883" t="str">
            <v>G-25(1/2)</v>
          </cell>
        </row>
        <row r="10884">
          <cell r="B10884" t="str">
            <v>B272-400-AS-280-PP-086</v>
          </cell>
          <cell r="E10884" t="str">
            <v>G-25(2/2)</v>
          </cell>
        </row>
        <row r="10885">
          <cell r="B10885" t="str">
            <v>B272-400-AS-280-PP-086</v>
          </cell>
          <cell r="E10885" t="str">
            <v>P-435(1/2)</v>
          </cell>
        </row>
        <row r="10886">
          <cell r="B10886" t="str">
            <v>B272-400-AS-280-PP-086</v>
          </cell>
          <cell r="E10886" t="str">
            <v>P-435(2/2)</v>
          </cell>
        </row>
        <row r="10887">
          <cell r="B10887" t="str">
            <v>B272-400-AS-280-PP-086</v>
          </cell>
          <cell r="E10887" t="str">
            <v>P-576(1/2)</v>
          </cell>
        </row>
        <row r="10888">
          <cell r="B10888" t="str">
            <v>B272-400-AS-280-PP-086</v>
          </cell>
          <cell r="E10888" t="str">
            <v>P-576(2/2)</v>
          </cell>
        </row>
        <row r="10889">
          <cell r="B10889" t="str">
            <v>B272-400-AS-280-PP-086</v>
          </cell>
          <cell r="E10889" t="str">
            <v>W-25</v>
          </cell>
        </row>
        <row r="10890">
          <cell r="B10890" t="str">
            <v>B272-400-AS-280-PP-086</v>
          </cell>
          <cell r="E10890" t="str">
            <v>B1030</v>
          </cell>
        </row>
        <row r="10891">
          <cell r="B10891" t="str">
            <v>B272-400-AS-280-PP-086</v>
          </cell>
          <cell r="E10891" t="str">
            <v>B1035</v>
          </cell>
        </row>
        <row r="10892">
          <cell r="B10892" t="str">
            <v>B272-400-AS-280-PP-087</v>
          </cell>
          <cell r="E10892" t="str">
            <v>convection</v>
          </cell>
        </row>
        <row r="10893">
          <cell r="B10893" t="str">
            <v>B272-400-AS-280-PP-087</v>
          </cell>
          <cell r="E10893" t="str">
            <v>G-25(1/2)</v>
          </cell>
        </row>
        <row r="10894">
          <cell r="B10894" t="str">
            <v>B272-400-AS-280-PP-087</v>
          </cell>
          <cell r="E10894" t="str">
            <v>G-25(2/2)</v>
          </cell>
        </row>
        <row r="10895">
          <cell r="B10895" t="str">
            <v>B272-400-AS-280-PP-087</v>
          </cell>
          <cell r="E10895" t="str">
            <v>P-435</v>
          </cell>
        </row>
        <row r="10896">
          <cell r="B10896" t="str">
            <v>B272-400-AS-280-PP-087</v>
          </cell>
          <cell r="E10896" t="str">
            <v>P-436</v>
          </cell>
        </row>
        <row r="10897">
          <cell r="B10897" t="str">
            <v>B272-400-AS-280-PP-087</v>
          </cell>
          <cell r="E10897" t="str">
            <v>P-438</v>
          </cell>
        </row>
        <row r="10898">
          <cell r="B10898" t="str">
            <v>B272-400-AS-280-PP-087</v>
          </cell>
          <cell r="E10898" t="str">
            <v>P-440</v>
          </cell>
        </row>
        <row r="10899">
          <cell r="B10899" t="str">
            <v>B272-400-AS-280-PP-087</v>
          </cell>
          <cell r="E10899" t="str">
            <v>P-442</v>
          </cell>
        </row>
        <row r="10900">
          <cell r="B10900" t="str">
            <v>B272-400-AS-280-PP-087</v>
          </cell>
          <cell r="E10900" t="str">
            <v>P-443</v>
          </cell>
        </row>
        <row r="10901">
          <cell r="B10901" t="str">
            <v>B272-400-AS-280-PP-087</v>
          </cell>
          <cell r="E10901" t="str">
            <v>P-444</v>
          </cell>
        </row>
        <row r="10902">
          <cell r="B10902" t="str">
            <v>B272-400-AS-280-PP-087</v>
          </cell>
          <cell r="E10902" t="str">
            <v>P-446</v>
          </cell>
        </row>
        <row r="10903">
          <cell r="B10903" t="str">
            <v>B272-400-AS-280-PP-087</v>
          </cell>
          <cell r="E10903" t="str">
            <v>P-447</v>
          </cell>
        </row>
        <row r="10904">
          <cell r="B10904" t="str">
            <v>B272-400-AS-280-PP-087</v>
          </cell>
          <cell r="E10904" t="str">
            <v>P-457(1/3)</v>
          </cell>
        </row>
        <row r="10905">
          <cell r="B10905" t="str">
            <v>B272-400-AS-280-PP-087</v>
          </cell>
          <cell r="E10905" t="str">
            <v>P-457(2/3)</v>
          </cell>
        </row>
        <row r="10906">
          <cell r="B10906" t="str">
            <v>B272-400-AS-280-PP-087</v>
          </cell>
          <cell r="E10906" t="str">
            <v>P-457(3/3)</v>
          </cell>
        </row>
        <row r="10907">
          <cell r="B10907" t="str">
            <v>B272-400-AS-280-PP-087</v>
          </cell>
          <cell r="E10907" t="str">
            <v>P-458</v>
          </cell>
        </row>
        <row r="10908">
          <cell r="B10908" t="str">
            <v>B272-400-AS-280-PP-087</v>
          </cell>
          <cell r="E10908" t="str">
            <v>P-874</v>
          </cell>
        </row>
        <row r="10909">
          <cell r="B10909" t="str">
            <v>B272-400-AS-280-PP-087</v>
          </cell>
          <cell r="E10909" t="str">
            <v>W-12</v>
          </cell>
        </row>
        <row r="10910">
          <cell r="B10910" t="str">
            <v>B272-400-AS-280-PP-087</v>
          </cell>
          <cell r="E10910" t="str">
            <v>B1035</v>
          </cell>
        </row>
        <row r="10911">
          <cell r="B10911" t="str">
            <v>B272-400-AS-280-PP-088</v>
          </cell>
          <cell r="E10911" t="str">
            <v>convection</v>
          </cell>
        </row>
        <row r="10912">
          <cell r="B10912" t="str">
            <v>B272-400-AS-280-PP-088</v>
          </cell>
          <cell r="E10912" t="str">
            <v>G-25(1/2)</v>
          </cell>
        </row>
        <row r="10913">
          <cell r="B10913" t="str">
            <v>B272-400-AS-280-PP-088</v>
          </cell>
          <cell r="E10913" t="str">
            <v>G-25(2/2)</v>
          </cell>
        </row>
        <row r="10914">
          <cell r="B10914" t="str">
            <v>B272-400-AS-280-PP-088</v>
          </cell>
          <cell r="E10914" t="str">
            <v>P-438(1/2)</v>
          </cell>
        </row>
        <row r="10915">
          <cell r="B10915" t="str">
            <v>B272-400-AS-280-PP-088</v>
          </cell>
          <cell r="E10915" t="str">
            <v>P-438(2/2)</v>
          </cell>
        </row>
        <row r="10916">
          <cell r="B10916" t="str">
            <v>B272-400-AS-280-PP-088</v>
          </cell>
          <cell r="E10916" t="str">
            <v>P-445(1/2)</v>
          </cell>
        </row>
        <row r="10917">
          <cell r="B10917" t="str">
            <v>B272-400-AS-280-PP-088</v>
          </cell>
          <cell r="E10917" t="str">
            <v>P-445(2/2)</v>
          </cell>
        </row>
        <row r="10918">
          <cell r="B10918" t="str">
            <v>B272-400-AS-280-PP-088</v>
          </cell>
          <cell r="E10918" t="str">
            <v>W-11</v>
          </cell>
        </row>
        <row r="10919">
          <cell r="B10919" t="str">
            <v>B272-400-AS-280-PP-088</v>
          </cell>
          <cell r="E10919" t="str">
            <v>B1030</v>
          </cell>
        </row>
        <row r="10920">
          <cell r="B10920" t="str">
            <v>B272-400-AS-280-PP-088</v>
          </cell>
          <cell r="E10920" t="str">
            <v>B1035</v>
          </cell>
        </row>
        <row r="10921">
          <cell r="B10921" t="str">
            <v>B272-400-AS-280-PP-089</v>
          </cell>
          <cell r="E10921" t="str">
            <v>convection</v>
          </cell>
        </row>
        <row r="10922">
          <cell r="B10922" t="str">
            <v>B272-400-AS-280-PP-089</v>
          </cell>
          <cell r="E10922" t="str">
            <v>G-25(1/2)</v>
          </cell>
        </row>
        <row r="10923">
          <cell r="B10923" t="str">
            <v>B272-400-AS-280-PP-089</v>
          </cell>
          <cell r="E10923" t="str">
            <v>G-25(2/2)</v>
          </cell>
        </row>
        <row r="10924">
          <cell r="B10924" t="str">
            <v>B272-400-AS-280-PP-089</v>
          </cell>
          <cell r="E10924" t="str">
            <v>P-438(1/2)</v>
          </cell>
        </row>
        <row r="10925">
          <cell r="B10925" t="str">
            <v>B272-400-AS-280-PP-089</v>
          </cell>
          <cell r="E10925" t="str">
            <v>P-438(2/2)</v>
          </cell>
        </row>
        <row r="10926">
          <cell r="B10926" t="str">
            <v>B272-400-AS-280-PP-089</v>
          </cell>
          <cell r="E10926" t="str">
            <v>P-597(1/2)</v>
          </cell>
        </row>
        <row r="10927">
          <cell r="B10927" t="str">
            <v>B272-400-AS-280-PP-089</v>
          </cell>
          <cell r="E10927" t="str">
            <v>P-597(2/2)</v>
          </cell>
        </row>
        <row r="10928">
          <cell r="B10928" t="str">
            <v>B272-400-AS-280-PP-089</v>
          </cell>
          <cell r="E10928" t="str">
            <v>W-16</v>
          </cell>
        </row>
        <row r="10929">
          <cell r="B10929" t="str">
            <v>B272-400-AS-280-PP-089</v>
          </cell>
          <cell r="E10929" t="str">
            <v>B1030</v>
          </cell>
        </row>
        <row r="10930">
          <cell r="B10930" t="str">
            <v>B272-400-AS-280-PP-089</v>
          </cell>
          <cell r="E10930" t="str">
            <v>B1035</v>
          </cell>
        </row>
        <row r="10931">
          <cell r="B10931" t="str">
            <v>B272-400-AS-280-PP-090</v>
          </cell>
          <cell r="E10931" t="str">
            <v>hoàng anh</v>
          </cell>
        </row>
        <row r="10932">
          <cell r="B10932" t="str">
            <v>B272-400-AS-280-PP-090</v>
          </cell>
          <cell r="E10932" t="str">
            <v>G-25(1/2)</v>
          </cell>
        </row>
        <row r="10933">
          <cell r="B10933" t="str">
            <v>B272-400-AS-280-PP-090</v>
          </cell>
          <cell r="E10933" t="str">
            <v>G-25(2/2)</v>
          </cell>
        </row>
        <row r="10934">
          <cell r="B10934" t="str">
            <v>B272-400-AS-280-PP-090</v>
          </cell>
          <cell r="E10934" t="str">
            <v>P-443</v>
          </cell>
        </row>
        <row r="10935">
          <cell r="B10935" t="str">
            <v>B272-400-AS-280-PP-090</v>
          </cell>
          <cell r="E10935" t="str">
            <v>P-566</v>
          </cell>
        </row>
        <row r="10936">
          <cell r="B10936" t="str">
            <v>B272-400-AS-280-PP-090</v>
          </cell>
          <cell r="E10936" t="str">
            <v>P-740</v>
          </cell>
        </row>
        <row r="10937">
          <cell r="B10937" t="str">
            <v>B272-400-AS-280-PP-090</v>
          </cell>
          <cell r="E10937" t="str">
            <v>P-775</v>
          </cell>
        </row>
        <row r="10938">
          <cell r="B10938" t="str">
            <v>B272-400-AS-280-PP-090</v>
          </cell>
          <cell r="E10938" t="str">
            <v>P-780</v>
          </cell>
        </row>
        <row r="10939">
          <cell r="B10939" t="str">
            <v>B272-400-AS-280-PP-090</v>
          </cell>
          <cell r="E10939" t="str">
            <v>P-847</v>
          </cell>
        </row>
        <row r="10940">
          <cell r="B10940" t="str">
            <v>B272-400-AS-280-PP-090</v>
          </cell>
          <cell r="E10940" t="str">
            <v>W-42</v>
          </cell>
        </row>
        <row r="10941">
          <cell r="B10941" t="str">
            <v>B272-400-AS-280-PP-090</v>
          </cell>
          <cell r="E10941" t="str">
            <v>B1030</v>
          </cell>
        </row>
        <row r="10942">
          <cell r="B10942" t="str">
            <v>B272-400-AS-280-PP-090</v>
          </cell>
          <cell r="E10942" t="str">
            <v>B1035</v>
          </cell>
        </row>
        <row r="10943">
          <cell r="B10943" t="str">
            <v>B272-400-AS-280-PP-091</v>
          </cell>
          <cell r="E10943" t="str">
            <v>hoàng anh</v>
          </cell>
        </row>
        <row r="10944">
          <cell r="B10944" t="str">
            <v>B272-400-AS-280-PP-091</v>
          </cell>
          <cell r="E10944" t="str">
            <v>G-25(1/2)</v>
          </cell>
        </row>
        <row r="10945">
          <cell r="B10945" t="str">
            <v>B272-400-AS-280-PP-091</v>
          </cell>
          <cell r="E10945" t="str">
            <v>G-25(2/2)</v>
          </cell>
        </row>
        <row r="10946">
          <cell r="B10946" t="str">
            <v>B272-400-AS-280-PP-091</v>
          </cell>
          <cell r="E10946" t="str">
            <v>P-566</v>
          </cell>
        </row>
        <row r="10947">
          <cell r="B10947" t="str">
            <v>B272-400-AS-280-PP-091</v>
          </cell>
          <cell r="E10947" t="str">
            <v>P-576</v>
          </cell>
        </row>
        <row r="10948">
          <cell r="B10948" t="str">
            <v>B272-400-AS-280-PP-091</v>
          </cell>
          <cell r="E10948" t="str">
            <v>P-740</v>
          </cell>
        </row>
        <row r="10949">
          <cell r="B10949" t="str">
            <v>B272-400-AS-280-PP-091</v>
          </cell>
          <cell r="E10949" t="str">
            <v>P-855</v>
          </cell>
        </row>
        <row r="10950">
          <cell r="B10950" t="str">
            <v>B272-400-AS-280-PP-091</v>
          </cell>
          <cell r="E10950" t="str">
            <v>P-859</v>
          </cell>
        </row>
        <row r="10951">
          <cell r="B10951" t="str">
            <v>B272-400-AS-280-PP-091</v>
          </cell>
          <cell r="E10951" t="str">
            <v>P-863</v>
          </cell>
        </row>
        <row r="10952">
          <cell r="B10952" t="str">
            <v>B272-400-AS-280-PP-091</v>
          </cell>
          <cell r="E10952" t="str">
            <v>W-52</v>
          </cell>
        </row>
        <row r="10953">
          <cell r="B10953" t="str">
            <v>B272-400-AS-280-PP-091</v>
          </cell>
          <cell r="E10953" t="str">
            <v>B1030</v>
          </cell>
        </row>
        <row r="10954">
          <cell r="B10954" t="str">
            <v>B272-400-AS-280-PP-091</v>
          </cell>
          <cell r="E10954" t="str">
            <v>B1035</v>
          </cell>
        </row>
        <row r="10955">
          <cell r="B10955" t="str">
            <v>B272-400-AS-280-PP-092</v>
          </cell>
          <cell r="E10955" t="str">
            <v>hoàng anh</v>
          </cell>
        </row>
        <row r="10956">
          <cell r="B10956" t="str">
            <v>B272-400-AS-280-PP-092</v>
          </cell>
          <cell r="E10956" t="str">
            <v>G-25(1/2)</v>
          </cell>
        </row>
        <row r="10957">
          <cell r="B10957" t="str">
            <v>B272-400-AS-280-PP-092</v>
          </cell>
          <cell r="E10957" t="str">
            <v>G-25(2/2)</v>
          </cell>
        </row>
        <row r="10958">
          <cell r="B10958" t="str">
            <v>B272-400-AS-280-PP-092</v>
          </cell>
          <cell r="E10958" t="str">
            <v>P-566</v>
          </cell>
        </row>
        <row r="10959">
          <cell r="B10959" t="str">
            <v>B272-400-AS-280-PP-092</v>
          </cell>
          <cell r="E10959" t="str">
            <v>P-576</v>
          </cell>
        </row>
        <row r="10960">
          <cell r="B10960" t="str">
            <v>B272-400-AS-280-PP-092</v>
          </cell>
          <cell r="E10960" t="str">
            <v>P-740</v>
          </cell>
        </row>
        <row r="10961">
          <cell r="B10961" t="str">
            <v>B272-400-AS-280-PP-092</v>
          </cell>
          <cell r="E10961" t="str">
            <v>P-855</v>
          </cell>
        </row>
        <row r="10962">
          <cell r="B10962" t="str">
            <v>B272-400-AS-280-PP-092</v>
          </cell>
          <cell r="E10962" t="str">
            <v>P-859</v>
          </cell>
        </row>
        <row r="10963">
          <cell r="B10963" t="str">
            <v>B272-400-AS-280-PP-092</v>
          </cell>
          <cell r="E10963" t="str">
            <v>P-863</v>
          </cell>
        </row>
        <row r="10964">
          <cell r="B10964" t="str">
            <v>B272-400-AS-280-PP-092</v>
          </cell>
          <cell r="E10964" t="str">
            <v>W-52</v>
          </cell>
        </row>
        <row r="10965">
          <cell r="B10965" t="str">
            <v>B272-400-AS-280-PP-092</v>
          </cell>
          <cell r="E10965" t="str">
            <v>B1030</v>
          </cell>
        </row>
        <row r="10966">
          <cell r="B10966" t="str">
            <v>B272-400-AS-280-PP-092</v>
          </cell>
          <cell r="E10966" t="str">
            <v>B1035</v>
          </cell>
        </row>
        <row r="10967">
          <cell r="B10967" t="str">
            <v>B272-400-AS-280-PP-093</v>
          </cell>
          <cell r="E10967" t="str">
            <v>convection</v>
          </cell>
        </row>
        <row r="10968">
          <cell r="B10968" t="str">
            <v>B272-400-AS-280-PP-093</v>
          </cell>
          <cell r="E10968" t="str">
            <v>G-25(1/2)</v>
          </cell>
        </row>
        <row r="10969">
          <cell r="B10969" t="str">
            <v>B272-400-AS-280-PP-093</v>
          </cell>
          <cell r="E10969" t="str">
            <v>G-25(2/2)</v>
          </cell>
        </row>
        <row r="10970">
          <cell r="B10970" t="str">
            <v>B272-400-AS-280-PP-093</v>
          </cell>
          <cell r="E10970" t="str">
            <v>P-603</v>
          </cell>
        </row>
        <row r="10971">
          <cell r="B10971" t="str">
            <v>B272-400-AS-280-PP-093</v>
          </cell>
          <cell r="E10971" t="str">
            <v>P-604</v>
          </cell>
        </row>
        <row r="10972">
          <cell r="B10972" t="str">
            <v>B272-400-AS-280-PP-093</v>
          </cell>
          <cell r="E10972" t="str">
            <v>P-605</v>
          </cell>
        </row>
        <row r="10973">
          <cell r="B10973" t="str">
            <v>B272-400-AS-280-PP-093</v>
          </cell>
          <cell r="E10973" t="str">
            <v>P-609</v>
          </cell>
        </row>
        <row r="10974">
          <cell r="B10974" t="str">
            <v>B272-400-AS-280-PP-093</v>
          </cell>
          <cell r="E10974" t="str">
            <v>P-614</v>
          </cell>
        </row>
        <row r="10975">
          <cell r="B10975" t="str">
            <v>B272-400-AS-280-PP-093</v>
          </cell>
          <cell r="E10975" t="str">
            <v>W-30</v>
          </cell>
        </row>
        <row r="10976">
          <cell r="B10976" t="str">
            <v>B272-400-AS-280-PP-093</v>
          </cell>
          <cell r="E10976" t="str">
            <v>B1030</v>
          </cell>
        </row>
        <row r="10977">
          <cell r="B10977" t="str">
            <v>B272-400-AS-280-PP-093</v>
          </cell>
          <cell r="E10977" t="str">
            <v>B1035</v>
          </cell>
        </row>
        <row r="10978">
          <cell r="B10978" t="str">
            <v>B272-400-AS-280-PP-094</v>
          </cell>
          <cell r="E10978" t="str">
            <v>convection</v>
          </cell>
        </row>
        <row r="10979">
          <cell r="B10979" t="str">
            <v>B272-400-AS-280-PP-094</v>
          </cell>
          <cell r="E10979" t="str">
            <v>G-25(1/2)</v>
          </cell>
        </row>
        <row r="10980">
          <cell r="B10980" t="str">
            <v>B272-400-AS-280-PP-094</v>
          </cell>
          <cell r="E10980" t="str">
            <v>G-25(2/2)</v>
          </cell>
        </row>
        <row r="10981">
          <cell r="B10981" t="str">
            <v>B272-400-AS-280-PP-094</v>
          </cell>
          <cell r="E10981" t="str">
            <v>P-603</v>
          </cell>
        </row>
        <row r="10982">
          <cell r="B10982" t="str">
            <v>B272-400-AS-280-PP-094</v>
          </cell>
          <cell r="E10982" t="str">
            <v>P-604</v>
          </cell>
        </row>
        <row r="10983">
          <cell r="B10983" t="str">
            <v>B272-400-AS-280-PP-094</v>
          </cell>
          <cell r="E10983" t="str">
            <v>P-605</v>
          </cell>
        </row>
        <row r="10984">
          <cell r="B10984" t="str">
            <v>B272-400-AS-280-PP-094</v>
          </cell>
          <cell r="E10984" t="str">
            <v>P-609</v>
          </cell>
        </row>
        <row r="10985">
          <cell r="B10985" t="str">
            <v>B272-400-AS-280-PP-094</v>
          </cell>
          <cell r="E10985" t="str">
            <v>P-614</v>
          </cell>
        </row>
        <row r="10986">
          <cell r="B10986" t="str">
            <v>B272-400-AS-280-PP-094</v>
          </cell>
          <cell r="E10986" t="str">
            <v>W-30</v>
          </cell>
        </row>
        <row r="10987">
          <cell r="B10987" t="str">
            <v>B272-400-AS-280-PP-094</v>
          </cell>
          <cell r="E10987" t="str">
            <v>B1030</v>
          </cell>
        </row>
        <row r="10988">
          <cell r="B10988" t="str">
            <v>B272-400-AS-280-PP-094</v>
          </cell>
          <cell r="E10988" t="str">
            <v>B1035</v>
          </cell>
        </row>
        <row r="10989">
          <cell r="B10989" t="str">
            <v>B272-400-AS-280-PP-095</v>
          </cell>
          <cell r="E10989" t="str">
            <v>hoàng anh</v>
          </cell>
        </row>
        <row r="10990">
          <cell r="B10990" t="str">
            <v>B272-400-AS-280-PP-095</v>
          </cell>
          <cell r="E10990" t="str">
            <v>G-25(1/3)</v>
          </cell>
        </row>
        <row r="10991">
          <cell r="B10991" t="str">
            <v>B272-400-AS-280-PP-095</v>
          </cell>
          <cell r="E10991" t="str">
            <v>G-25(2/3)</v>
          </cell>
        </row>
        <row r="10992">
          <cell r="B10992" t="str">
            <v>B272-400-AS-280-PP-095</v>
          </cell>
          <cell r="E10992" t="str">
            <v>G-25(3/3)</v>
          </cell>
        </row>
        <row r="10993">
          <cell r="B10993" t="str">
            <v>B272-400-AS-280-PP-095</v>
          </cell>
          <cell r="E10993" t="str">
            <v>P-566</v>
          </cell>
        </row>
        <row r="10994">
          <cell r="B10994" t="str">
            <v>B272-400-AS-280-PP-095</v>
          </cell>
          <cell r="E10994" t="str">
            <v>P-570</v>
          </cell>
        </row>
        <row r="10995">
          <cell r="B10995" t="str">
            <v>B272-400-AS-280-PP-095</v>
          </cell>
          <cell r="E10995" t="str">
            <v>P-571</v>
          </cell>
        </row>
        <row r="10996">
          <cell r="B10996" t="str">
            <v>B272-400-AS-280-PP-095</v>
          </cell>
          <cell r="E10996" t="str">
            <v>P-740(1/2)</v>
          </cell>
        </row>
        <row r="10997">
          <cell r="B10997" t="str">
            <v>B272-400-AS-280-PP-095</v>
          </cell>
          <cell r="E10997" t="str">
            <v>P-740(2/2)</v>
          </cell>
        </row>
        <row r="10998">
          <cell r="B10998" t="str">
            <v>B272-400-AS-280-PP-095</v>
          </cell>
          <cell r="E10998" t="str">
            <v>P-741</v>
          </cell>
        </row>
        <row r="10999">
          <cell r="B10999" t="str">
            <v>B272-400-AS-280-PP-095</v>
          </cell>
          <cell r="E10999" t="str">
            <v>P-775</v>
          </cell>
        </row>
        <row r="11000">
          <cell r="B11000" t="str">
            <v>B272-400-AS-280-PP-095</v>
          </cell>
          <cell r="E11000" t="str">
            <v>P-847(1/2)</v>
          </cell>
        </row>
        <row r="11001">
          <cell r="B11001" t="str">
            <v>B272-400-AS-280-PP-095</v>
          </cell>
          <cell r="E11001" t="str">
            <v>P-847(2/2)</v>
          </cell>
        </row>
        <row r="11002">
          <cell r="B11002" t="str">
            <v>B272-400-AS-280-PP-095</v>
          </cell>
          <cell r="E11002" t="str">
            <v>P-1090</v>
          </cell>
        </row>
        <row r="11003">
          <cell r="B11003" t="str">
            <v>B272-400-AS-280-PP-095</v>
          </cell>
          <cell r="E11003" t="str">
            <v>W-41</v>
          </cell>
        </row>
        <row r="11004">
          <cell r="B11004" t="str">
            <v>B272-400-AS-280-PP-095</v>
          </cell>
          <cell r="E11004" t="str">
            <v>B1035</v>
          </cell>
        </row>
        <row r="11005">
          <cell r="B11005" t="str">
            <v>B272-400-AS-280-PP-096</v>
          </cell>
          <cell r="E11005" t="str">
            <v>hoàng anh</v>
          </cell>
        </row>
        <row r="11006">
          <cell r="B11006" t="str">
            <v>B272-400-AS-280-PP-096</v>
          </cell>
          <cell r="E11006" t="str">
            <v>G-25</v>
          </cell>
        </row>
        <row r="11007">
          <cell r="B11007" t="str">
            <v>B272-400-AS-280-PP-096</v>
          </cell>
          <cell r="E11007" t="str">
            <v>P-435(1/2)</v>
          </cell>
        </row>
        <row r="11008">
          <cell r="B11008" t="str">
            <v>B272-400-AS-280-PP-096</v>
          </cell>
          <cell r="E11008" t="str">
            <v>P-435(2/2)</v>
          </cell>
        </row>
        <row r="11009">
          <cell r="B11009" t="str">
            <v>B272-400-AS-280-PP-096</v>
          </cell>
          <cell r="E11009" t="str">
            <v>P-577(1/2)</v>
          </cell>
        </row>
        <row r="11010">
          <cell r="B11010" t="str">
            <v>B272-400-AS-280-PP-096</v>
          </cell>
          <cell r="E11010" t="str">
            <v>P-577(2/2)</v>
          </cell>
        </row>
        <row r="11011">
          <cell r="B11011" t="str">
            <v>B272-400-AS-280-PP-096</v>
          </cell>
          <cell r="E11011" t="str">
            <v>W-26</v>
          </cell>
        </row>
        <row r="11012">
          <cell r="B11012" t="str">
            <v>B272-400-AS-280-PP-096</v>
          </cell>
          <cell r="E11012" t="str">
            <v>B1030</v>
          </cell>
        </row>
        <row r="11013">
          <cell r="B11013" t="str">
            <v>B272-400-AS-280-PP-096</v>
          </cell>
          <cell r="E11013" t="str">
            <v>B1035</v>
          </cell>
        </row>
        <row r="11014">
          <cell r="B11014" t="str">
            <v>B272-400-AS-280-PP-097</v>
          </cell>
          <cell r="E11014" t="str">
            <v>hoàng anh</v>
          </cell>
        </row>
        <row r="11015">
          <cell r="B11015" t="str">
            <v>B272-400-AS-280-PP-097</v>
          </cell>
          <cell r="E11015" t="str">
            <v>G-25</v>
          </cell>
        </row>
        <row r="11016">
          <cell r="B11016" t="str">
            <v>B272-400-AS-280-PP-097</v>
          </cell>
          <cell r="E11016" t="str">
            <v>P-435(1/2)</v>
          </cell>
        </row>
        <row r="11017">
          <cell r="B11017" t="str">
            <v>B272-400-AS-280-PP-097</v>
          </cell>
          <cell r="E11017" t="str">
            <v>P-435(2/2)</v>
          </cell>
        </row>
        <row r="11018">
          <cell r="B11018" t="str">
            <v>B272-400-AS-280-PP-097</v>
          </cell>
          <cell r="E11018" t="str">
            <v>P-577(1/2)</v>
          </cell>
        </row>
        <row r="11019">
          <cell r="B11019" t="str">
            <v>B272-400-AS-280-PP-097</v>
          </cell>
          <cell r="E11019" t="str">
            <v>P-577(2/2)</v>
          </cell>
        </row>
        <row r="11020">
          <cell r="B11020" t="str">
            <v>B272-400-AS-280-PP-097</v>
          </cell>
          <cell r="E11020" t="str">
            <v>W-26</v>
          </cell>
        </row>
        <row r="11021">
          <cell r="B11021" t="str">
            <v>B272-400-AS-280-PP-097</v>
          </cell>
          <cell r="E11021" t="str">
            <v>B1030</v>
          </cell>
        </row>
        <row r="11022">
          <cell r="B11022" t="str">
            <v>B272-400-AS-280-PP-097</v>
          </cell>
          <cell r="E11022" t="str">
            <v>B1035</v>
          </cell>
        </row>
        <row r="11023">
          <cell r="B11023" t="str">
            <v>B272-400-AS-280-PP-098</v>
          </cell>
          <cell r="E11023" t="str">
            <v>hoàng anh</v>
          </cell>
        </row>
        <row r="11024">
          <cell r="B11024" t="str">
            <v>B272-400-AS-280-PP-098</v>
          </cell>
          <cell r="E11024" t="str">
            <v>G-25</v>
          </cell>
        </row>
        <row r="11025">
          <cell r="B11025" t="str">
            <v>B272-400-AS-280-PP-098</v>
          </cell>
          <cell r="E11025" t="str">
            <v>P-442</v>
          </cell>
        </row>
        <row r="11026">
          <cell r="B11026" t="str">
            <v>B272-400-AS-280-PP-098</v>
          </cell>
          <cell r="E11026" t="str">
            <v>P-571</v>
          </cell>
        </row>
        <row r="11027">
          <cell r="B11027" t="str">
            <v>B272-400-AS-280-PP-098</v>
          </cell>
          <cell r="E11027" t="str">
            <v>P-740</v>
          </cell>
        </row>
        <row r="11028">
          <cell r="B11028" t="str">
            <v>B272-400-AS-280-PP-098</v>
          </cell>
          <cell r="E11028" t="str">
            <v>P-741</v>
          </cell>
        </row>
        <row r="11029">
          <cell r="B11029" t="str">
            <v>B272-400-AS-280-PP-098</v>
          </cell>
          <cell r="E11029" t="str">
            <v>P-780</v>
          </cell>
        </row>
        <row r="11030">
          <cell r="B11030" t="str">
            <v>B272-400-AS-280-PP-098</v>
          </cell>
          <cell r="E11030" t="str">
            <v>P-847</v>
          </cell>
        </row>
        <row r="11031">
          <cell r="B11031" t="str">
            <v>B272-400-AS-280-PP-098</v>
          </cell>
          <cell r="E11031" t="str">
            <v>W-51</v>
          </cell>
        </row>
        <row r="11032">
          <cell r="B11032" t="str">
            <v>B272-400-AS-280-PP-098</v>
          </cell>
          <cell r="E11032" t="str">
            <v>B1030</v>
          </cell>
        </row>
        <row r="11033">
          <cell r="B11033" t="str">
            <v>B272-400-AS-280-PP-098</v>
          </cell>
          <cell r="E11033" t="str">
            <v>B1035</v>
          </cell>
        </row>
        <row r="11034">
          <cell r="B11034" t="str">
            <v>B272-400-AS-280-PP-099</v>
          </cell>
          <cell r="E11034" t="str">
            <v>hoàng anh</v>
          </cell>
        </row>
        <row r="11035">
          <cell r="B11035" t="str">
            <v>B272-400-AS-280-PP-099</v>
          </cell>
          <cell r="E11035" t="str">
            <v>G-25</v>
          </cell>
        </row>
        <row r="11036">
          <cell r="B11036" t="str">
            <v>B272-400-AS-280-PP-099</v>
          </cell>
          <cell r="E11036" t="str">
            <v>P-442</v>
          </cell>
        </row>
        <row r="11037">
          <cell r="B11037" t="str">
            <v>B272-400-AS-280-PP-099</v>
          </cell>
          <cell r="E11037" t="str">
            <v>P-571</v>
          </cell>
        </row>
        <row r="11038">
          <cell r="B11038" t="str">
            <v>B272-400-AS-280-PP-099</v>
          </cell>
          <cell r="E11038" t="str">
            <v>P-740</v>
          </cell>
        </row>
        <row r="11039">
          <cell r="B11039" t="str">
            <v>B272-400-AS-280-PP-099</v>
          </cell>
          <cell r="E11039" t="str">
            <v>P-741</v>
          </cell>
        </row>
        <row r="11040">
          <cell r="B11040" t="str">
            <v>B272-400-AS-280-PP-099</v>
          </cell>
          <cell r="E11040" t="str">
            <v>P-780</v>
          </cell>
        </row>
        <row r="11041">
          <cell r="B11041" t="str">
            <v>B272-400-AS-280-PP-099</v>
          </cell>
          <cell r="E11041" t="str">
            <v>P-847</v>
          </cell>
        </row>
        <row r="11042">
          <cell r="B11042" t="str">
            <v>B272-400-AS-280-PP-099</v>
          </cell>
          <cell r="E11042" t="str">
            <v>W-51</v>
          </cell>
        </row>
        <row r="11043">
          <cell r="B11043" t="str">
            <v>B272-400-AS-280-PP-099</v>
          </cell>
          <cell r="E11043" t="str">
            <v>B1030</v>
          </cell>
        </row>
        <row r="11044">
          <cell r="B11044" t="str">
            <v>B272-400-AS-280-PP-099</v>
          </cell>
          <cell r="E11044" t="str">
            <v>B1035</v>
          </cell>
        </row>
        <row r="11045">
          <cell r="B11045" t="str">
            <v>B272-400-AS-280-PP-100</v>
          </cell>
          <cell r="E11045" t="str">
            <v>hoàng anh</v>
          </cell>
        </row>
        <row r="11046">
          <cell r="B11046" t="str">
            <v>B272-400-AS-280-PP-100</v>
          </cell>
          <cell r="E11046" t="str">
            <v>G-25</v>
          </cell>
        </row>
        <row r="11047">
          <cell r="B11047" t="str">
            <v>B272-400-AS-280-PP-100</v>
          </cell>
          <cell r="E11047" t="str">
            <v>P-442</v>
          </cell>
        </row>
        <row r="11048">
          <cell r="B11048" t="str">
            <v>B272-400-AS-280-PP-100</v>
          </cell>
          <cell r="E11048" t="str">
            <v>P-571</v>
          </cell>
        </row>
        <row r="11049">
          <cell r="B11049" t="str">
            <v>B272-400-AS-280-PP-100</v>
          </cell>
          <cell r="E11049" t="str">
            <v>P-740</v>
          </cell>
        </row>
        <row r="11050">
          <cell r="B11050" t="str">
            <v>B272-400-AS-280-PP-100</v>
          </cell>
          <cell r="E11050" t="str">
            <v>P-741</v>
          </cell>
        </row>
        <row r="11051">
          <cell r="B11051" t="str">
            <v>B272-400-AS-280-PP-100</v>
          </cell>
          <cell r="E11051" t="str">
            <v>P-780</v>
          </cell>
        </row>
        <row r="11052">
          <cell r="B11052" t="str">
            <v>B272-400-AS-280-PP-100</v>
          </cell>
          <cell r="E11052" t="str">
            <v>P-847</v>
          </cell>
        </row>
        <row r="11053">
          <cell r="B11053" t="str">
            <v>B272-400-AS-280-PP-100</v>
          </cell>
          <cell r="E11053" t="str">
            <v>W-54</v>
          </cell>
        </row>
        <row r="11054">
          <cell r="B11054" t="str">
            <v>B272-400-AS-280-PP-100</v>
          </cell>
          <cell r="E11054" t="str">
            <v>B1030</v>
          </cell>
        </row>
        <row r="11055">
          <cell r="B11055" t="str">
            <v>B272-400-AS-280-PP-100</v>
          </cell>
          <cell r="E11055" t="str">
            <v>B1035</v>
          </cell>
        </row>
        <row r="11056">
          <cell r="B11056" t="str">
            <v>B272-400-AS-280-PP-101</v>
          </cell>
          <cell r="E11056" t="str">
            <v>hoàng anh</v>
          </cell>
        </row>
        <row r="11057">
          <cell r="B11057" t="str">
            <v>B272-400-AS-280-PP-101</v>
          </cell>
          <cell r="E11057" t="str">
            <v>G-25</v>
          </cell>
        </row>
        <row r="11058">
          <cell r="B11058" t="str">
            <v>B272-400-AS-280-PP-101</v>
          </cell>
          <cell r="E11058" t="str">
            <v>P-577(1/2)</v>
          </cell>
        </row>
        <row r="11059">
          <cell r="B11059" t="str">
            <v>B272-400-AS-280-PP-101</v>
          </cell>
          <cell r="E11059" t="str">
            <v>P-577(2/2)</v>
          </cell>
        </row>
        <row r="11060">
          <cell r="B11060" t="str">
            <v>B272-400-AS-280-PP-101</v>
          </cell>
          <cell r="E11060" t="str">
            <v>P-866(1/2)</v>
          </cell>
        </row>
        <row r="11061">
          <cell r="B11061" t="str">
            <v>B272-400-AS-280-PP-101</v>
          </cell>
          <cell r="E11061" t="str">
            <v>P-866(2/2)</v>
          </cell>
        </row>
        <row r="11062">
          <cell r="B11062" t="str">
            <v>B272-400-AS-280-PP-101</v>
          </cell>
          <cell r="E11062" t="str">
            <v>W-26</v>
          </cell>
        </row>
        <row r="11063">
          <cell r="B11063" t="str">
            <v>B272-400-AS-280-PP-101</v>
          </cell>
          <cell r="E11063" t="str">
            <v>B1030</v>
          </cell>
        </row>
        <row r="11064">
          <cell r="B11064" t="str">
            <v>B272-400-AS-280-PP-101</v>
          </cell>
          <cell r="E11064" t="str">
            <v>B1035</v>
          </cell>
        </row>
        <row r="11065">
          <cell r="B11065" t="str">
            <v>B272-400-AS-280-PP-102</v>
          </cell>
          <cell r="E11065" t="str">
            <v>hoàng anh</v>
          </cell>
        </row>
        <row r="11066">
          <cell r="B11066" t="str">
            <v>B272-400-AS-280-PP-102</v>
          </cell>
          <cell r="E11066" t="str">
            <v>G-25</v>
          </cell>
        </row>
        <row r="11067">
          <cell r="B11067" t="str">
            <v>B272-400-AS-280-PP-102</v>
          </cell>
          <cell r="E11067" t="str">
            <v>P-577(1/2)</v>
          </cell>
        </row>
        <row r="11068">
          <cell r="B11068" t="str">
            <v>B272-400-AS-280-PP-102</v>
          </cell>
          <cell r="E11068" t="str">
            <v>P-577(2/2)</v>
          </cell>
        </row>
        <row r="11069">
          <cell r="B11069" t="str">
            <v>B272-400-AS-280-PP-102</v>
          </cell>
          <cell r="E11069" t="str">
            <v>P-866(1/2)</v>
          </cell>
        </row>
        <row r="11070">
          <cell r="B11070" t="str">
            <v>B272-400-AS-280-PP-102</v>
          </cell>
          <cell r="E11070" t="str">
            <v>P-866(2/2)</v>
          </cell>
        </row>
        <row r="11071">
          <cell r="B11071" t="str">
            <v>B272-400-AS-280-PP-102</v>
          </cell>
          <cell r="E11071" t="str">
            <v>W-26</v>
          </cell>
        </row>
        <row r="11072">
          <cell r="B11072" t="str">
            <v>B272-400-AS-280-PP-102</v>
          </cell>
          <cell r="E11072" t="str">
            <v>B1030</v>
          </cell>
        </row>
        <row r="11073">
          <cell r="B11073" t="str">
            <v>B272-400-AS-280-PP-102</v>
          </cell>
          <cell r="E11073" t="str">
            <v>B1035</v>
          </cell>
        </row>
        <row r="11074">
          <cell r="B11074" t="str">
            <v>B272-400-AS-280-PP-103</v>
          </cell>
          <cell r="E11074" t="str">
            <v>convection</v>
          </cell>
        </row>
        <row r="11075">
          <cell r="B11075" t="str">
            <v>B272-400-AS-280-PP-103</v>
          </cell>
          <cell r="E11075" t="str">
            <v>G-25</v>
          </cell>
        </row>
        <row r="11076">
          <cell r="B11076" t="str">
            <v>B272-400-AS-280-PP-103</v>
          </cell>
          <cell r="E11076" t="str">
            <v>P-615(1/2)</v>
          </cell>
        </row>
        <row r="11077">
          <cell r="B11077" t="str">
            <v>B272-400-AS-280-PP-103</v>
          </cell>
          <cell r="E11077" t="str">
            <v>P-615(2/2)</v>
          </cell>
        </row>
        <row r="11078">
          <cell r="B11078" t="str">
            <v>B272-400-AS-280-PP-103</v>
          </cell>
          <cell r="E11078" t="str">
            <v>P-873(1/2)</v>
          </cell>
        </row>
        <row r="11079">
          <cell r="B11079" t="str">
            <v>B272-400-AS-280-PP-103</v>
          </cell>
          <cell r="E11079" t="str">
            <v>P-873(2/2)</v>
          </cell>
        </row>
        <row r="11080">
          <cell r="B11080" t="str">
            <v>B272-400-AS-280-PP-103</v>
          </cell>
          <cell r="E11080" t="str">
            <v>W-31</v>
          </cell>
        </row>
        <row r="11081">
          <cell r="B11081" t="str">
            <v>B272-400-AS-280-PP-103</v>
          </cell>
          <cell r="E11081" t="str">
            <v>B1035</v>
          </cell>
        </row>
        <row r="11082">
          <cell r="B11082" t="str">
            <v>B272-400-AS-280-PP-104</v>
          </cell>
          <cell r="E11082" t="str">
            <v>convection</v>
          </cell>
        </row>
        <row r="11083">
          <cell r="B11083" t="str">
            <v>B272-400-AS-280-PP-104</v>
          </cell>
          <cell r="E11083" t="str">
            <v>G-25</v>
          </cell>
        </row>
        <row r="11084">
          <cell r="B11084" t="str">
            <v>B272-400-AS-280-PP-104</v>
          </cell>
          <cell r="E11084" t="str">
            <v>P-615(1/2)</v>
          </cell>
        </row>
        <row r="11085">
          <cell r="B11085" t="str">
            <v>B272-400-AS-280-PP-104</v>
          </cell>
          <cell r="E11085" t="str">
            <v>P-615(2/2)</v>
          </cell>
        </row>
        <row r="11086">
          <cell r="B11086" t="str">
            <v>B272-400-AS-280-PP-104</v>
          </cell>
          <cell r="E11086" t="str">
            <v>P-873(1/2)</v>
          </cell>
        </row>
        <row r="11087">
          <cell r="B11087" t="str">
            <v>B272-400-AS-280-PP-104</v>
          </cell>
          <cell r="E11087" t="str">
            <v>P-873(2/2)</v>
          </cell>
        </row>
        <row r="11088">
          <cell r="B11088" t="str">
            <v>B272-400-AS-280-PP-104</v>
          </cell>
          <cell r="E11088" t="str">
            <v>W-31</v>
          </cell>
        </row>
        <row r="11089">
          <cell r="B11089" t="str">
            <v>B272-400-AS-280-PP-104</v>
          </cell>
          <cell r="E11089" t="str">
            <v>B1035</v>
          </cell>
        </row>
        <row r="11090">
          <cell r="B11090" t="str">
            <v>B272-400-AS-280-PP-105</v>
          </cell>
          <cell r="E11090" t="str">
            <v>convection</v>
          </cell>
        </row>
        <row r="11091">
          <cell r="B11091" t="str">
            <v>B272-400-AS-280-PP-105</v>
          </cell>
          <cell r="E11091" t="str">
            <v>G-25</v>
          </cell>
        </row>
        <row r="11092">
          <cell r="B11092" t="str">
            <v>B272-400-AS-280-PP-105</v>
          </cell>
          <cell r="E11092" t="str">
            <v>P-615(1/2)</v>
          </cell>
        </row>
        <row r="11093">
          <cell r="B11093" t="str">
            <v>B272-400-AS-280-PP-105</v>
          </cell>
          <cell r="E11093" t="str">
            <v>P-615(2/2)</v>
          </cell>
        </row>
        <row r="11094">
          <cell r="B11094" t="str">
            <v>B272-400-AS-280-PP-105</v>
          </cell>
          <cell r="E11094" t="str">
            <v>P-974(1/2)</v>
          </cell>
        </row>
        <row r="11095">
          <cell r="B11095" t="str">
            <v>B272-400-AS-280-PP-105</v>
          </cell>
          <cell r="E11095" t="str">
            <v>P-974(2/2)</v>
          </cell>
        </row>
        <row r="11096">
          <cell r="B11096" t="str">
            <v>B272-400-AS-280-PP-105</v>
          </cell>
          <cell r="E11096" t="str">
            <v>W-32</v>
          </cell>
        </row>
        <row r="11097">
          <cell r="B11097" t="str">
            <v>B272-400-AS-280-PP-105</v>
          </cell>
          <cell r="E11097" t="str">
            <v>B1030</v>
          </cell>
        </row>
        <row r="11098">
          <cell r="B11098" t="str">
            <v>B272-400-AS-280-PP-105</v>
          </cell>
          <cell r="E11098" t="str">
            <v>B1035</v>
          </cell>
        </row>
        <row r="11099">
          <cell r="B11099" t="str">
            <v>B272-400-AS-280-PP-106</v>
          </cell>
          <cell r="E11099" t="str">
            <v>stack</v>
          </cell>
        </row>
        <row r="11100">
          <cell r="B11100" t="str">
            <v>B272-400-AS-280-PP-106</v>
          </cell>
          <cell r="E11100" t="str">
            <v>G-28</v>
          </cell>
        </row>
        <row r="11101">
          <cell r="B11101" t="str">
            <v>B272-400-AS-280-PP-106</v>
          </cell>
          <cell r="E11101" t="str">
            <v>stack</v>
          </cell>
        </row>
        <row r="11102">
          <cell r="B11102" t="str">
            <v>B272-400-AS-280-PP-106</v>
          </cell>
          <cell r="E11102" t="str">
            <v>G-28</v>
          </cell>
        </row>
        <row r="11103">
          <cell r="B11103" t="str">
            <v>B272-400-AS-280-PP-106</v>
          </cell>
          <cell r="E11103" t="str">
            <v>stack</v>
          </cell>
        </row>
        <row r="11104">
          <cell r="B11104" t="str">
            <v>B272-400-AS-280-PP-106</v>
          </cell>
          <cell r="E11104" t="str">
            <v>G-28</v>
          </cell>
        </row>
        <row r="11105">
          <cell r="B11105" t="str">
            <v>B272-400-AS-280-PP-106</v>
          </cell>
          <cell r="E11105" t="str">
            <v>stack</v>
          </cell>
        </row>
        <row r="11106">
          <cell r="B11106" t="str">
            <v>B272-400-AS-280-PP-106</v>
          </cell>
          <cell r="E11106" t="str">
            <v>G-28</v>
          </cell>
        </row>
        <row r="11107">
          <cell r="B11107" t="str">
            <v>B272-400-AS-280-PP-106</v>
          </cell>
          <cell r="E11107" t="str">
            <v>stack</v>
          </cell>
        </row>
        <row r="11108">
          <cell r="B11108" t="str">
            <v>B272-400-AS-280-PP-106</v>
          </cell>
          <cell r="E11108" t="str">
            <v>G-28</v>
          </cell>
        </row>
        <row r="11109">
          <cell r="B11109" t="str">
            <v>B272-400-AS-280-PP-106</v>
          </cell>
          <cell r="E11109" t="str">
            <v>stack</v>
          </cell>
        </row>
        <row r="11110">
          <cell r="B11110" t="str">
            <v>B272-400-AS-280-PP-106</v>
          </cell>
          <cell r="E11110" t="str">
            <v>G-28</v>
          </cell>
        </row>
        <row r="11111">
          <cell r="B11111" t="str">
            <v>B272-400-AS-280-PP-106</v>
          </cell>
          <cell r="E11111" t="str">
            <v>stack</v>
          </cell>
        </row>
        <row r="11112">
          <cell r="B11112" t="str">
            <v>B272-400-AS-280-PP-106</v>
          </cell>
          <cell r="E11112" t="str">
            <v>G-28</v>
          </cell>
        </row>
        <row r="11113">
          <cell r="B11113" t="str">
            <v>B272-400-AS-280-PP-106</v>
          </cell>
          <cell r="E11113" t="str">
            <v>stack</v>
          </cell>
        </row>
        <row r="11114">
          <cell r="B11114" t="str">
            <v>B272-400-AS-280-PP-106</v>
          </cell>
          <cell r="E11114" t="str">
            <v>G-28</v>
          </cell>
        </row>
        <row r="11115">
          <cell r="B11115" t="str">
            <v>B272-400-AS-280-PP-106</v>
          </cell>
          <cell r="E11115" t="str">
            <v>stack</v>
          </cell>
        </row>
        <row r="11116">
          <cell r="B11116" t="str">
            <v>B272-400-AS-280-PP-106</v>
          </cell>
          <cell r="E11116" t="str">
            <v>G-28</v>
          </cell>
        </row>
        <row r="11117">
          <cell r="B11117" t="str">
            <v>B272-400-AS-280-PP-106</v>
          </cell>
          <cell r="E11117" t="str">
            <v>stack</v>
          </cell>
        </row>
        <row r="11118">
          <cell r="B11118" t="str">
            <v>B272-400-AS-280-PP-106</v>
          </cell>
          <cell r="E11118" t="str">
            <v>G-28</v>
          </cell>
        </row>
        <row r="11119">
          <cell r="B11119" t="str">
            <v>B272-400-AS-280-PP-106</v>
          </cell>
          <cell r="E11119" t="str">
            <v>stack</v>
          </cell>
        </row>
        <row r="11120">
          <cell r="B11120" t="str">
            <v>B272-400-AS-280-PP-106</v>
          </cell>
          <cell r="E11120" t="str">
            <v>G-28</v>
          </cell>
        </row>
        <row r="11121">
          <cell r="B11121" t="str">
            <v>B272-400-AS-280-PP-106</v>
          </cell>
          <cell r="E11121" t="str">
            <v>stack</v>
          </cell>
        </row>
        <row r="11122">
          <cell r="B11122" t="str">
            <v>B272-400-AS-280-PP-106</v>
          </cell>
          <cell r="E11122" t="str">
            <v>G-28</v>
          </cell>
        </row>
        <row r="11123">
          <cell r="B11123" t="str">
            <v>B272-400-AS-280-PP-106</v>
          </cell>
          <cell r="E11123" t="str">
            <v>stack</v>
          </cell>
        </row>
        <row r="11124">
          <cell r="B11124" t="str">
            <v>B272-400-AS-280-PP-106</v>
          </cell>
          <cell r="E11124" t="str">
            <v>G-28</v>
          </cell>
        </row>
        <row r="11125">
          <cell r="B11125" t="str">
            <v>B272-400-AS-280-PP-106</v>
          </cell>
          <cell r="E11125" t="str">
            <v>stack</v>
          </cell>
        </row>
        <row r="11126">
          <cell r="B11126" t="str">
            <v>B272-400-AS-280-PP-106</v>
          </cell>
          <cell r="E11126" t="str">
            <v>G-28</v>
          </cell>
        </row>
        <row r="11127">
          <cell r="B11127" t="str">
            <v>B272-400-AS-280-PP-106</v>
          </cell>
          <cell r="E11127" t="str">
            <v>stack</v>
          </cell>
        </row>
        <row r="11128">
          <cell r="B11128" t="str">
            <v>B272-400-AS-280-PP-106</v>
          </cell>
          <cell r="E11128" t="str">
            <v>G-28</v>
          </cell>
        </row>
        <row r="11129">
          <cell r="B11129" t="str">
            <v>B272-400-AS-280-PP-106</v>
          </cell>
          <cell r="E11129" t="str">
            <v>stack</v>
          </cell>
        </row>
        <row r="11130">
          <cell r="B11130" t="str">
            <v>B272-400-AS-280-PP-106</v>
          </cell>
          <cell r="E11130" t="str">
            <v>G-28</v>
          </cell>
        </row>
        <row r="11131">
          <cell r="B11131" t="str">
            <v>B272-400-AS-280-PP-106</v>
          </cell>
          <cell r="E11131" t="str">
            <v>stack</v>
          </cell>
        </row>
        <row r="11132">
          <cell r="B11132" t="str">
            <v>B272-400-AS-280-PP-106</v>
          </cell>
          <cell r="E11132" t="str">
            <v>G-28</v>
          </cell>
        </row>
        <row r="11133">
          <cell r="B11133" t="str">
            <v>B272-400-AS-280-PP-106</v>
          </cell>
          <cell r="E11133" t="str">
            <v>stack</v>
          </cell>
        </row>
        <row r="11134">
          <cell r="B11134" t="str">
            <v>B272-400-AS-280-PP-106</v>
          </cell>
          <cell r="E11134" t="str">
            <v>G-28</v>
          </cell>
        </row>
        <row r="11135">
          <cell r="B11135" t="str">
            <v>B272-400-AS-280-PP-106</v>
          </cell>
          <cell r="E11135" t="str">
            <v>stack</v>
          </cell>
        </row>
        <row r="11136">
          <cell r="B11136" t="str">
            <v>B272-400-AS-280-PP-106</v>
          </cell>
          <cell r="E11136" t="str">
            <v>G-28</v>
          </cell>
        </row>
        <row r="11137">
          <cell r="B11137" t="str">
            <v>B272-400-AS-280-PP-106</v>
          </cell>
          <cell r="E11137" t="str">
            <v>stack</v>
          </cell>
        </row>
        <row r="11138">
          <cell r="B11138" t="str">
            <v>B272-400-AS-280-PP-106</v>
          </cell>
          <cell r="E11138" t="str">
            <v>G-28</v>
          </cell>
        </row>
        <row r="11139">
          <cell r="B11139" t="str">
            <v>B272-400-AS-280-PP-106</v>
          </cell>
          <cell r="E11139" t="str">
            <v>stack</v>
          </cell>
        </row>
        <row r="11140">
          <cell r="B11140" t="str">
            <v>B272-400-AS-280-PP-106</v>
          </cell>
          <cell r="E11140" t="str">
            <v>G-28</v>
          </cell>
        </row>
        <row r="11141">
          <cell r="B11141" t="str">
            <v>B272-400-AS-280-PP-106</v>
          </cell>
          <cell r="E11141" t="str">
            <v>stack</v>
          </cell>
        </row>
        <row r="11142">
          <cell r="B11142" t="str">
            <v>B272-400-AS-280-PP-106</v>
          </cell>
          <cell r="E11142" t="str">
            <v>G-28</v>
          </cell>
        </row>
        <row r="11143">
          <cell r="B11143" t="str">
            <v>B272-400-AS-280-PP-106</v>
          </cell>
          <cell r="E11143" t="str">
            <v>stack</v>
          </cell>
        </row>
        <row r="11144">
          <cell r="B11144" t="str">
            <v>B272-400-AS-280-PP-106</v>
          </cell>
          <cell r="E11144" t="str">
            <v>G-28</v>
          </cell>
        </row>
        <row r="11145">
          <cell r="B11145" t="str">
            <v>B272-400-AS-280-PP-106</v>
          </cell>
          <cell r="E11145" t="str">
            <v>stack</v>
          </cell>
        </row>
        <row r="11146">
          <cell r="B11146" t="str">
            <v>B272-400-AS-280-PP-106</v>
          </cell>
          <cell r="E11146" t="str">
            <v>G-28</v>
          </cell>
        </row>
        <row r="11147">
          <cell r="B11147" t="str">
            <v>B272-400-AS-280-PP-106</v>
          </cell>
          <cell r="E11147" t="str">
            <v>stack</v>
          </cell>
        </row>
        <row r="11148">
          <cell r="B11148" t="str">
            <v>B272-400-AS-280-PP-106</v>
          </cell>
          <cell r="E11148" t="str">
            <v>G-28</v>
          </cell>
        </row>
        <row r="11149">
          <cell r="B11149" t="str">
            <v>B272-400-AS-280-PP-106</v>
          </cell>
          <cell r="E11149" t="str">
            <v>stack</v>
          </cell>
        </row>
        <row r="11150">
          <cell r="B11150" t="str">
            <v>B272-400-AS-280-PP-106</v>
          </cell>
          <cell r="E11150" t="str">
            <v>G-28</v>
          </cell>
        </row>
        <row r="11151">
          <cell r="B11151" t="str">
            <v>B272-400-AS-280-PP-106</v>
          </cell>
          <cell r="E11151" t="str">
            <v>stack</v>
          </cell>
        </row>
        <row r="11152">
          <cell r="B11152" t="str">
            <v>B272-400-AS-280-PP-106</v>
          </cell>
          <cell r="E11152" t="str">
            <v>G-28</v>
          </cell>
        </row>
        <row r="11153">
          <cell r="B11153" t="str">
            <v>B272-400-AS-280-PP-106</v>
          </cell>
          <cell r="E11153" t="str">
            <v>stack</v>
          </cell>
        </row>
        <row r="11154">
          <cell r="B11154" t="str">
            <v>B272-400-AS-280-PP-106</v>
          </cell>
          <cell r="E11154" t="str">
            <v>G-28</v>
          </cell>
        </row>
        <row r="11155">
          <cell r="B11155" t="str">
            <v>B272-400-AS-280-PP-106</v>
          </cell>
          <cell r="E11155" t="str">
            <v>stack</v>
          </cell>
        </row>
        <row r="11156">
          <cell r="B11156" t="str">
            <v>B272-400-AS-280-PP-106</v>
          </cell>
          <cell r="E11156" t="str">
            <v>G-28</v>
          </cell>
        </row>
        <row r="11157">
          <cell r="B11157" t="str">
            <v>B272-400-AS-280-PP-106</v>
          </cell>
          <cell r="E11157" t="str">
            <v>stack</v>
          </cell>
        </row>
        <row r="11158">
          <cell r="B11158" t="str">
            <v>B272-400-AS-280-PP-106</v>
          </cell>
          <cell r="E11158" t="str">
            <v>G-28</v>
          </cell>
        </row>
        <row r="11159">
          <cell r="B11159" t="str">
            <v>B272-400-AS-280-PP-106</v>
          </cell>
          <cell r="E11159" t="str">
            <v>stack</v>
          </cell>
        </row>
        <row r="11160">
          <cell r="B11160" t="str">
            <v>B272-400-AS-280-PP-106</v>
          </cell>
          <cell r="E11160" t="str">
            <v>G-28</v>
          </cell>
        </row>
        <row r="11161">
          <cell r="B11161" t="str">
            <v>B272-400-AS-280-PP-106</v>
          </cell>
          <cell r="E11161" t="str">
            <v>stack</v>
          </cell>
        </row>
        <row r="11162">
          <cell r="B11162" t="str">
            <v>B272-400-AS-280-PP-106</v>
          </cell>
          <cell r="E11162" t="str">
            <v>G-28</v>
          </cell>
        </row>
        <row r="11163">
          <cell r="B11163" t="str">
            <v>B272-400-AS-280-PP-106</v>
          </cell>
          <cell r="E11163" t="str">
            <v>stack</v>
          </cell>
        </row>
        <row r="11164">
          <cell r="B11164" t="str">
            <v>B272-400-AS-280-PP-106</v>
          </cell>
          <cell r="E11164" t="str">
            <v>G-28</v>
          </cell>
        </row>
        <row r="11165">
          <cell r="B11165" t="str">
            <v>B272-400-AS-280-PP-106</v>
          </cell>
          <cell r="E11165" t="str">
            <v>stack</v>
          </cell>
        </row>
        <row r="11166">
          <cell r="B11166" t="str">
            <v>B272-400-AS-280-PP-106</v>
          </cell>
          <cell r="E11166" t="str">
            <v>G-28</v>
          </cell>
        </row>
        <row r="11167">
          <cell r="B11167" t="str">
            <v>B272-400-AS-280-PP-106</v>
          </cell>
          <cell r="E11167" t="str">
            <v>stack</v>
          </cell>
        </row>
        <row r="11168">
          <cell r="B11168" t="str">
            <v>B272-400-AS-280-PP-106</v>
          </cell>
          <cell r="E11168" t="str">
            <v>G-28</v>
          </cell>
        </row>
        <row r="11169">
          <cell r="B11169" t="str">
            <v>B272-400-AS-280-PP-106</v>
          </cell>
          <cell r="E11169" t="str">
            <v>stack</v>
          </cell>
        </row>
        <row r="11170">
          <cell r="B11170" t="str">
            <v>B272-400-AS-280-PP-106</v>
          </cell>
          <cell r="E11170" t="str">
            <v>G-28</v>
          </cell>
        </row>
        <row r="11171">
          <cell r="B11171" t="str">
            <v>B272-400-AS-280-PP-106</v>
          </cell>
          <cell r="E11171" t="str">
            <v>stack</v>
          </cell>
        </row>
        <row r="11172">
          <cell r="B11172" t="str">
            <v>B272-400-AS-280-PP-106</v>
          </cell>
          <cell r="E11172" t="str">
            <v>G-28</v>
          </cell>
        </row>
        <row r="11173">
          <cell r="B11173" t="str">
            <v>B272-400-AS-280-PP-106</v>
          </cell>
          <cell r="E11173" t="str">
            <v>stack</v>
          </cell>
        </row>
        <row r="11174">
          <cell r="B11174" t="str">
            <v>B272-400-AS-280-PP-106</v>
          </cell>
          <cell r="E11174" t="str">
            <v>G-28</v>
          </cell>
        </row>
        <row r="11175">
          <cell r="B11175" t="str">
            <v>B272-400-AS-280-PP-106</v>
          </cell>
          <cell r="E11175" t="str">
            <v>stack</v>
          </cell>
        </row>
        <row r="11176">
          <cell r="B11176" t="str">
            <v>B272-400-AS-280-PP-106</v>
          </cell>
          <cell r="E11176" t="str">
            <v>G-28</v>
          </cell>
        </row>
        <row r="11177">
          <cell r="B11177" t="str">
            <v>B272-400-AS-280-PP-106</v>
          </cell>
          <cell r="E11177" t="str">
            <v>stack</v>
          </cell>
        </row>
        <row r="11178">
          <cell r="B11178" t="str">
            <v>B272-400-AS-280-PP-106</v>
          </cell>
          <cell r="E11178" t="str">
            <v>G-28</v>
          </cell>
        </row>
        <row r="11179">
          <cell r="B11179" t="str">
            <v>B272-400-AS-280-PP-106</v>
          </cell>
          <cell r="E11179" t="str">
            <v>stack</v>
          </cell>
        </row>
        <row r="11180">
          <cell r="B11180" t="str">
            <v>B272-400-AS-280-PP-106</v>
          </cell>
          <cell r="E11180" t="str">
            <v>G-28</v>
          </cell>
        </row>
        <row r="11181">
          <cell r="B11181" t="str">
            <v>B272-400-AS-280-PP-106</v>
          </cell>
          <cell r="E11181" t="str">
            <v>stack</v>
          </cell>
        </row>
        <row r="11182">
          <cell r="B11182" t="str">
            <v>B272-400-AS-280-PP-106</v>
          </cell>
          <cell r="E11182" t="str">
            <v>G-28</v>
          </cell>
        </row>
        <row r="11183">
          <cell r="B11183" t="str">
            <v>B272-400-AS-280-PP-106</v>
          </cell>
          <cell r="E11183" t="str">
            <v>stack</v>
          </cell>
        </row>
        <row r="11184">
          <cell r="B11184" t="str">
            <v>B272-400-AS-280-PP-106</v>
          </cell>
          <cell r="E11184" t="str">
            <v>G-28</v>
          </cell>
        </row>
        <row r="11185">
          <cell r="B11185" t="str">
            <v>B272-400-AS-280-PP-106</v>
          </cell>
          <cell r="E11185" t="str">
            <v>stack</v>
          </cell>
        </row>
        <row r="11186">
          <cell r="B11186" t="str">
            <v>B272-400-AS-280-PP-106</v>
          </cell>
          <cell r="E11186" t="str">
            <v>G-28</v>
          </cell>
        </row>
        <row r="11187">
          <cell r="B11187" t="str">
            <v>B272-400-AS-280-PP-106</v>
          </cell>
          <cell r="E11187" t="str">
            <v>stack</v>
          </cell>
        </row>
        <row r="11188">
          <cell r="B11188" t="str">
            <v>B272-400-AS-280-PP-106</v>
          </cell>
          <cell r="E11188" t="str">
            <v>G-28</v>
          </cell>
        </row>
        <row r="11189">
          <cell r="B11189" t="str">
            <v>B272-400-AS-280-PP-106</v>
          </cell>
          <cell r="E11189" t="str">
            <v>stack</v>
          </cell>
        </row>
        <row r="11190">
          <cell r="B11190" t="str">
            <v>B272-400-AS-280-PP-106</v>
          </cell>
          <cell r="E11190" t="str">
            <v>G-28</v>
          </cell>
        </row>
        <row r="11191">
          <cell r="B11191" t="str">
            <v>B272-400-AS-280-PP-106</v>
          </cell>
          <cell r="E11191" t="str">
            <v>stack</v>
          </cell>
        </row>
        <row r="11192">
          <cell r="B11192" t="str">
            <v>B272-400-AS-280-PP-106</v>
          </cell>
          <cell r="E11192" t="str">
            <v>G-28</v>
          </cell>
        </row>
        <row r="11193">
          <cell r="B11193" t="str">
            <v>B272-400-AS-280-PP-106</v>
          </cell>
          <cell r="E11193" t="str">
            <v>stack</v>
          </cell>
        </row>
        <row r="11194">
          <cell r="B11194" t="str">
            <v>B272-400-AS-280-PP-106</v>
          </cell>
          <cell r="E11194" t="str">
            <v>G-28</v>
          </cell>
        </row>
        <row r="11195">
          <cell r="B11195" t="str">
            <v>B272-400-AS-280-PP-106</v>
          </cell>
          <cell r="E11195" t="str">
            <v>stack</v>
          </cell>
        </row>
        <row r="11196">
          <cell r="B11196" t="str">
            <v>B272-400-AS-280-PP-106</v>
          </cell>
          <cell r="E11196" t="str">
            <v>G-28</v>
          </cell>
        </row>
        <row r="11197">
          <cell r="B11197" t="str">
            <v>B272-400-AS-280-PP-106</v>
          </cell>
          <cell r="E11197" t="str">
            <v>stack</v>
          </cell>
        </row>
        <row r="11198">
          <cell r="B11198" t="str">
            <v>B272-400-AS-280-PP-106</v>
          </cell>
          <cell r="E11198" t="str">
            <v>G-28</v>
          </cell>
        </row>
        <row r="11199">
          <cell r="B11199" t="str">
            <v>B272-400-AS-280-PP-106</v>
          </cell>
          <cell r="E11199" t="str">
            <v>stack</v>
          </cell>
        </row>
        <row r="11200">
          <cell r="B11200" t="str">
            <v>B272-400-AS-280-PP-106</v>
          </cell>
          <cell r="E11200" t="str">
            <v>G-28</v>
          </cell>
        </row>
        <row r="11201">
          <cell r="B11201" t="str">
            <v>B272-400-AS-280-PP-106</v>
          </cell>
          <cell r="E11201" t="str">
            <v>stack</v>
          </cell>
        </row>
        <row r="11202">
          <cell r="B11202" t="str">
            <v>B272-400-AS-280-PP-106</v>
          </cell>
          <cell r="E11202" t="str">
            <v>G-28</v>
          </cell>
        </row>
        <row r="11203">
          <cell r="B11203" t="str">
            <v>B272-400-AS-280-PP-106</v>
          </cell>
          <cell r="E11203" t="str">
            <v>stack</v>
          </cell>
        </row>
        <row r="11204">
          <cell r="B11204" t="str">
            <v>B272-400-AS-280-PP-106</v>
          </cell>
          <cell r="E11204" t="str">
            <v>G-28</v>
          </cell>
        </row>
        <row r="11205">
          <cell r="B11205" t="str">
            <v>B272-400-AS-280-PP-106</v>
          </cell>
          <cell r="E11205" t="str">
            <v>stack</v>
          </cell>
        </row>
        <row r="11206">
          <cell r="B11206" t="str">
            <v>B272-400-AS-280-PP-106</v>
          </cell>
          <cell r="E11206" t="str">
            <v>G-28</v>
          </cell>
        </row>
        <row r="11207">
          <cell r="B11207" t="str">
            <v>B272-400-AS-280-PP-106</v>
          </cell>
          <cell r="E11207" t="str">
            <v>stack</v>
          </cell>
        </row>
        <row r="11208">
          <cell r="B11208" t="str">
            <v>B272-400-AS-280-PP-106</v>
          </cell>
          <cell r="E11208" t="str">
            <v>G-28</v>
          </cell>
        </row>
        <row r="11209">
          <cell r="B11209" t="str">
            <v>B272-400-AS-280-PP-106</v>
          </cell>
          <cell r="E11209" t="str">
            <v>stack</v>
          </cell>
        </row>
        <row r="11210">
          <cell r="B11210" t="str">
            <v>B272-400-AS-280-PP-106</v>
          </cell>
          <cell r="E11210" t="str">
            <v>G-28</v>
          </cell>
        </row>
        <row r="11211">
          <cell r="B11211" t="str">
            <v>B272-400-AS-280-PP-106</v>
          </cell>
          <cell r="E11211" t="str">
            <v>stack</v>
          </cell>
        </row>
        <row r="11212">
          <cell r="B11212" t="str">
            <v>B272-400-AS-280-PP-106</v>
          </cell>
          <cell r="E11212" t="str">
            <v>G-28</v>
          </cell>
        </row>
        <row r="11213">
          <cell r="B11213" t="str">
            <v>B272-400-AS-280-PP-106</v>
          </cell>
          <cell r="E11213" t="str">
            <v>stack</v>
          </cell>
        </row>
        <row r="11214">
          <cell r="B11214" t="str">
            <v>B272-400-AS-280-PP-106</v>
          </cell>
          <cell r="E11214" t="str">
            <v>G-28</v>
          </cell>
        </row>
        <row r="11215">
          <cell r="B11215" t="str">
            <v>B272-400-AS-280-PP-106</v>
          </cell>
          <cell r="E11215" t="str">
            <v>stack</v>
          </cell>
        </row>
        <row r="11216">
          <cell r="B11216" t="str">
            <v>B272-400-AS-280-PP-106</v>
          </cell>
          <cell r="E11216" t="str">
            <v>G-28</v>
          </cell>
        </row>
        <row r="11217">
          <cell r="B11217" t="str">
            <v>B272-400-AS-280-PP-106</v>
          </cell>
          <cell r="E11217" t="str">
            <v>stack</v>
          </cell>
        </row>
        <row r="11218">
          <cell r="B11218" t="str">
            <v>B272-400-AS-280-PP-106</v>
          </cell>
          <cell r="E11218" t="str">
            <v>G-28</v>
          </cell>
        </row>
        <row r="11219">
          <cell r="B11219" t="str">
            <v>B272-400-AS-280-PP-106</v>
          </cell>
          <cell r="E11219" t="str">
            <v>stack</v>
          </cell>
        </row>
        <row r="11220">
          <cell r="B11220" t="str">
            <v>B272-400-AS-280-PP-106</v>
          </cell>
          <cell r="E11220" t="str">
            <v>G-28</v>
          </cell>
        </row>
        <row r="11221">
          <cell r="B11221" t="str">
            <v>B272-400-AS-280-PP-106</v>
          </cell>
          <cell r="E11221" t="str">
            <v>stack</v>
          </cell>
        </row>
        <row r="11222">
          <cell r="B11222" t="str">
            <v>B272-400-AS-280-PP-106</v>
          </cell>
          <cell r="E11222" t="str">
            <v>G-28</v>
          </cell>
        </row>
        <row r="11223">
          <cell r="B11223" t="str">
            <v>B272-400-AS-280-PP-106</v>
          </cell>
          <cell r="E11223" t="str">
            <v>stack</v>
          </cell>
        </row>
        <row r="11224">
          <cell r="B11224" t="str">
            <v>B272-400-AS-280-PP-106</v>
          </cell>
          <cell r="E11224" t="str">
            <v>G-28</v>
          </cell>
        </row>
        <row r="11225">
          <cell r="B11225" t="str">
            <v>B272-400-AS-280-PP-106</v>
          </cell>
          <cell r="E11225" t="str">
            <v>stack</v>
          </cell>
        </row>
        <row r="11226">
          <cell r="B11226" t="str">
            <v>B272-400-AS-280-PP-106</v>
          </cell>
          <cell r="E11226" t="str">
            <v>G-28</v>
          </cell>
        </row>
        <row r="11227">
          <cell r="B11227" t="str">
            <v>B272-400-AS-280-PP-106</v>
          </cell>
          <cell r="E11227" t="str">
            <v>stack</v>
          </cell>
        </row>
        <row r="11228">
          <cell r="B11228" t="str">
            <v>B272-400-AS-280-PP-106</v>
          </cell>
          <cell r="E11228" t="str">
            <v>G-28</v>
          </cell>
        </row>
        <row r="11229">
          <cell r="B11229" t="str">
            <v>B272-400-AS-280-PP-106</v>
          </cell>
          <cell r="E11229" t="str">
            <v>stack</v>
          </cell>
        </row>
        <row r="11230">
          <cell r="B11230" t="str">
            <v>B272-400-AS-280-PP-106</v>
          </cell>
          <cell r="E11230" t="str">
            <v>G-28</v>
          </cell>
        </row>
        <row r="11231">
          <cell r="B11231" t="str">
            <v>B272-400-AS-280-PP-106</v>
          </cell>
          <cell r="E11231" t="str">
            <v>stack</v>
          </cell>
        </row>
        <row r="11232">
          <cell r="B11232" t="str">
            <v>B272-400-AS-280-PP-106</v>
          </cell>
          <cell r="E11232" t="str">
            <v>G-28</v>
          </cell>
        </row>
        <row r="11233">
          <cell r="B11233" t="str">
            <v>B272-400-AS-280-PP-106</v>
          </cell>
          <cell r="E11233" t="str">
            <v>stack</v>
          </cell>
        </row>
        <row r="11234">
          <cell r="B11234" t="str">
            <v>B272-400-AS-280-PP-106</v>
          </cell>
          <cell r="E11234" t="str">
            <v>G-28</v>
          </cell>
        </row>
        <row r="11235">
          <cell r="B11235" t="str">
            <v>B272-400-AS-280-PP-106</v>
          </cell>
          <cell r="E11235" t="str">
            <v>stack</v>
          </cell>
        </row>
        <row r="11236">
          <cell r="B11236" t="str">
            <v>B272-400-AS-280-PP-106</v>
          </cell>
          <cell r="E11236" t="str">
            <v>G-28</v>
          </cell>
        </row>
        <row r="11237">
          <cell r="B11237" t="str">
            <v>B272-400-AS-280-PP-106</v>
          </cell>
          <cell r="E11237" t="str">
            <v>stack</v>
          </cell>
        </row>
        <row r="11238">
          <cell r="B11238" t="str">
            <v>B272-400-AS-280-PP-106</v>
          </cell>
          <cell r="E11238" t="str">
            <v>G-28</v>
          </cell>
        </row>
        <row r="11239">
          <cell r="B11239" t="str">
            <v>B272-400-AS-280-PP-106</v>
          </cell>
          <cell r="E11239" t="str">
            <v>stack</v>
          </cell>
        </row>
        <row r="11240">
          <cell r="B11240" t="str">
            <v>B272-400-AS-280-PP-106</v>
          </cell>
          <cell r="E11240" t="str">
            <v>G-28</v>
          </cell>
        </row>
        <row r="11241">
          <cell r="B11241" t="str">
            <v>B272-400-AS-280-PP-106</v>
          </cell>
          <cell r="E11241" t="str">
            <v>stack</v>
          </cell>
        </row>
        <row r="11242">
          <cell r="B11242" t="str">
            <v>B272-400-AS-280-PP-106</v>
          </cell>
          <cell r="E11242" t="str">
            <v>G-28</v>
          </cell>
        </row>
        <row r="11243">
          <cell r="B11243" t="str">
            <v>B272-400-AS-280-PP-106</v>
          </cell>
          <cell r="E11243" t="str">
            <v>stack</v>
          </cell>
        </row>
        <row r="11244">
          <cell r="B11244" t="str">
            <v>B272-400-AS-280-PP-106</v>
          </cell>
          <cell r="E11244" t="str">
            <v>G-28</v>
          </cell>
        </row>
        <row r="11245">
          <cell r="B11245" t="str">
            <v>B272-400-AS-280-PP-106</v>
          </cell>
          <cell r="E11245" t="str">
            <v>stack</v>
          </cell>
        </row>
        <row r="11246">
          <cell r="B11246" t="str">
            <v>B272-400-AS-280-PP-106</v>
          </cell>
          <cell r="E11246" t="str">
            <v>G-28</v>
          </cell>
        </row>
        <row r="11247">
          <cell r="B11247" t="str">
            <v>B272-400-AS-280-PP-106</v>
          </cell>
          <cell r="E11247" t="str">
            <v>stack</v>
          </cell>
        </row>
        <row r="11248">
          <cell r="B11248" t="str">
            <v>B272-400-AS-280-PP-106</v>
          </cell>
          <cell r="E11248" t="str">
            <v>G-28</v>
          </cell>
        </row>
        <row r="11249">
          <cell r="B11249" t="str">
            <v>B272-400-AS-280-PP-106</v>
          </cell>
          <cell r="E11249" t="str">
            <v>stack</v>
          </cell>
        </row>
        <row r="11250">
          <cell r="B11250" t="str">
            <v>B272-400-AS-280-PP-106</v>
          </cell>
          <cell r="E11250" t="str">
            <v>G-28</v>
          </cell>
        </row>
        <row r="11251">
          <cell r="B11251" t="str">
            <v>B272-400-AS-280-PP-106</v>
          </cell>
          <cell r="E11251" t="str">
            <v>stack</v>
          </cell>
        </row>
        <row r="11252">
          <cell r="B11252" t="str">
            <v>B272-400-AS-280-PP-106</v>
          </cell>
          <cell r="E11252" t="str">
            <v>G-28</v>
          </cell>
        </row>
        <row r="11253">
          <cell r="B11253" t="str">
            <v>B272-400-AS-280-PP-106</v>
          </cell>
          <cell r="E11253" t="str">
            <v>stack</v>
          </cell>
        </row>
        <row r="11254">
          <cell r="B11254" t="str">
            <v>B272-400-AS-280-PP-106</v>
          </cell>
          <cell r="E11254" t="str">
            <v>G-28</v>
          </cell>
        </row>
        <row r="11255">
          <cell r="B11255" t="str">
            <v>B272-400-AS-280-PP-106</v>
          </cell>
          <cell r="E11255" t="str">
            <v>stack</v>
          </cell>
        </row>
        <row r="11256">
          <cell r="B11256" t="str">
            <v>B272-400-AS-280-PP-106</v>
          </cell>
          <cell r="E11256" t="str">
            <v>G-28</v>
          </cell>
        </row>
        <row r="11257">
          <cell r="B11257" t="str">
            <v>B272-400-AS-280-PP-106</v>
          </cell>
          <cell r="E11257" t="str">
            <v>stack</v>
          </cell>
        </row>
        <row r="11258">
          <cell r="B11258" t="str">
            <v>B272-400-AS-280-PP-106</v>
          </cell>
          <cell r="E11258" t="str">
            <v>G-28</v>
          </cell>
        </row>
        <row r="11259">
          <cell r="B11259" t="str">
            <v>B272-400-AS-280-PP-106</v>
          </cell>
          <cell r="E11259" t="str">
            <v>stack</v>
          </cell>
        </row>
        <row r="11260">
          <cell r="B11260" t="str">
            <v>B272-400-AS-280-PP-106</v>
          </cell>
          <cell r="E11260" t="str">
            <v>G-28</v>
          </cell>
        </row>
        <row r="11261">
          <cell r="B11261" t="str">
            <v>B272-400-AS-280-PP-106</v>
          </cell>
          <cell r="E11261" t="str">
            <v>stack</v>
          </cell>
        </row>
        <row r="11262">
          <cell r="B11262" t="str">
            <v>B272-400-AS-280-PP-106</v>
          </cell>
          <cell r="E11262" t="str">
            <v>G-28</v>
          </cell>
        </row>
        <row r="11263">
          <cell r="B11263" t="str">
            <v>B272-400-AS-280-PP-106</v>
          </cell>
          <cell r="E11263" t="str">
            <v>stack</v>
          </cell>
        </row>
        <row r="11264">
          <cell r="B11264" t="str">
            <v>B272-400-AS-280-PP-106</v>
          </cell>
          <cell r="E11264" t="str">
            <v>G-28</v>
          </cell>
        </row>
        <row r="11265">
          <cell r="B11265" t="str">
            <v>B272-400-AS-280-PP-106</v>
          </cell>
          <cell r="E11265" t="str">
            <v>stack</v>
          </cell>
        </row>
        <row r="11266">
          <cell r="B11266" t="str">
            <v>B272-400-AS-280-PP-106</v>
          </cell>
          <cell r="E11266" t="str">
            <v>G-28</v>
          </cell>
        </row>
        <row r="11267">
          <cell r="B11267" t="str">
            <v>B272-400-AS-280-PP-106</v>
          </cell>
          <cell r="E11267" t="str">
            <v>stack</v>
          </cell>
        </row>
        <row r="11268">
          <cell r="B11268" t="str">
            <v>B272-400-AS-280-PP-106</v>
          </cell>
          <cell r="E11268" t="str">
            <v>G-28</v>
          </cell>
        </row>
        <row r="11269">
          <cell r="B11269" t="str">
            <v>B272-400-AS-280-PP-106</v>
          </cell>
          <cell r="E11269" t="str">
            <v>stack</v>
          </cell>
        </row>
        <row r="11270">
          <cell r="B11270" t="str">
            <v>B272-400-AS-280-PP-106</v>
          </cell>
          <cell r="E11270" t="str">
            <v>G-28</v>
          </cell>
        </row>
        <row r="11271">
          <cell r="B11271" t="str">
            <v>B272-400-AS-280-PP-106</v>
          </cell>
          <cell r="E11271" t="str">
            <v>stack</v>
          </cell>
        </row>
        <row r="11272">
          <cell r="B11272" t="str">
            <v>B272-400-AS-280-PP-106</v>
          </cell>
          <cell r="E11272" t="str">
            <v>G-28</v>
          </cell>
        </row>
        <row r="11273">
          <cell r="B11273" t="str">
            <v>B272-400-AS-280-PP-106</v>
          </cell>
          <cell r="E11273" t="str">
            <v>stack</v>
          </cell>
        </row>
        <row r="11274">
          <cell r="B11274" t="str">
            <v>B272-400-AS-280-PP-106</v>
          </cell>
          <cell r="E11274" t="str">
            <v>G-28</v>
          </cell>
        </row>
        <row r="11275">
          <cell r="B11275" t="str">
            <v>B272-400-AS-280-PP-106</v>
          </cell>
          <cell r="E11275" t="str">
            <v>stack</v>
          </cell>
        </row>
        <row r="11276">
          <cell r="B11276" t="str">
            <v>B272-400-AS-280-PP-106</v>
          </cell>
          <cell r="E11276" t="str">
            <v>G-28</v>
          </cell>
        </row>
        <row r="11277">
          <cell r="B11277" t="str">
            <v>B272-400-AS-280-PP-106</v>
          </cell>
          <cell r="E11277" t="str">
            <v>stack</v>
          </cell>
        </row>
        <row r="11278">
          <cell r="B11278" t="str">
            <v>B272-400-AS-280-PP-106</v>
          </cell>
          <cell r="E11278" t="str">
            <v>G-28</v>
          </cell>
        </row>
        <row r="11279">
          <cell r="B11279" t="str">
            <v>B272-400-AS-280-PP-106</v>
          </cell>
          <cell r="E11279" t="str">
            <v>stack</v>
          </cell>
        </row>
        <row r="11280">
          <cell r="B11280" t="str">
            <v>B272-400-AS-280-PP-106</v>
          </cell>
          <cell r="E11280" t="str">
            <v>G-28</v>
          </cell>
        </row>
        <row r="11281">
          <cell r="B11281" t="str">
            <v>B272-400-AS-280-PP-106</v>
          </cell>
          <cell r="E11281" t="str">
            <v>stack</v>
          </cell>
        </row>
        <row r="11282">
          <cell r="B11282" t="str">
            <v>B272-400-AS-280-PP-106</v>
          </cell>
          <cell r="E11282" t="str">
            <v>G-28</v>
          </cell>
        </row>
        <row r="11283">
          <cell r="B11283" t="str">
            <v>B272-400-AS-280-PP-106</v>
          </cell>
          <cell r="E11283" t="str">
            <v>stack</v>
          </cell>
        </row>
        <row r="11284">
          <cell r="B11284" t="str">
            <v>B272-400-AS-280-PP-106</v>
          </cell>
          <cell r="E11284" t="str">
            <v>G-28</v>
          </cell>
        </row>
        <row r="11285">
          <cell r="B11285" t="str">
            <v>B272-400-AS-280-PP-106</v>
          </cell>
          <cell r="E11285" t="str">
            <v>stack</v>
          </cell>
        </row>
        <row r="11286">
          <cell r="B11286" t="str">
            <v>B272-400-AS-280-PP-106</v>
          </cell>
          <cell r="E11286" t="str">
            <v>G-28</v>
          </cell>
        </row>
        <row r="11287">
          <cell r="B11287" t="str">
            <v>B272-400-AS-280-PP-106</v>
          </cell>
          <cell r="E11287" t="str">
            <v>stack</v>
          </cell>
        </row>
        <row r="11288">
          <cell r="B11288" t="str">
            <v>B272-400-AS-280-PP-106</v>
          </cell>
          <cell r="E11288" t="str">
            <v>G-28</v>
          </cell>
        </row>
        <row r="11289">
          <cell r="B11289" t="str">
            <v>B272-400-AS-280-PP-106</v>
          </cell>
          <cell r="E11289" t="str">
            <v>stack</v>
          </cell>
        </row>
        <row r="11290">
          <cell r="B11290" t="str">
            <v>B272-400-AS-280-PP-106</v>
          </cell>
          <cell r="E11290" t="str">
            <v>G-28</v>
          </cell>
        </row>
        <row r="11291">
          <cell r="B11291" t="str">
            <v>B272-400-AS-280-PP-106</v>
          </cell>
          <cell r="E11291" t="str">
            <v>stack</v>
          </cell>
        </row>
        <row r="11292">
          <cell r="B11292" t="str">
            <v>B272-400-AS-280-PP-106</v>
          </cell>
          <cell r="E11292" t="str">
            <v>G-28</v>
          </cell>
        </row>
        <row r="11293">
          <cell r="B11293" t="str">
            <v>B272-400-AS-280-PP-106</v>
          </cell>
          <cell r="E11293" t="str">
            <v>stack</v>
          </cell>
        </row>
        <row r="11294">
          <cell r="B11294" t="str">
            <v>B272-400-AS-280-PP-106</v>
          </cell>
          <cell r="E11294" t="str">
            <v>G-28</v>
          </cell>
        </row>
        <row r="11295">
          <cell r="B11295" t="str">
            <v>B272-400-AS-280-PP-106</v>
          </cell>
          <cell r="E11295" t="str">
            <v>stack</v>
          </cell>
        </row>
        <row r="11296">
          <cell r="B11296" t="str">
            <v>B272-400-AS-280-PP-106</v>
          </cell>
          <cell r="E11296" t="str">
            <v>G-28</v>
          </cell>
        </row>
        <row r="11297">
          <cell r="B11297" t="str">
            <v>B272-400-AS-280-PP-106</v>
          </cell>
          <cell r="E11297" t="str">
            <v>stack</v>
          </cell>
        </row>
        <row r="11298">
          <cell r="B11298" t="str">
            <v>B272-400-AS-280-PP-106</v>
          </cell>
          <cell r="E11298" t="str">
            <v>G-28</v>
          </cell>
        </row>
        <row r="11299">
          <cell r="B11299" t="str">
            <v>B272-400-AS-280-PP-106</v>
          </cell>
          <cell r="E11299" t="str">
            <v>stack</v>
          </cell>
        </row>
        <row r="11300">
          <cell r="B11300" t="str">
            <v>B272-400-AS-280-PP-106</v>
          </cell>
          <cell r="E11300" t="str">
            <v>G-28</v>
          </cell>
        </row>
        <row r="11301">
          <cell r="B11301" t="str">
            <v>B272-400-AS-280-PP-106</v>
          </cell>
          <cell r="E11301" t="str">
            <v>stack</v>
          </cell>
        </row>
        <row r="11302">
          <cell r="B11302" t="str">
            <v>B272-400-AS-280-PP-106</v>
          </cell>
          <cell r="E11302" t="str">
            <v>G-28</v>
          </cell>
        </row>
        <row r="11303">
          <cell r="B11303" t="str">
            <v>B272-400-AS-280-PP-106</v>
          </cell>
          <cell r="E11303" t="str">
            <v>stack</v>
          </cell>
        </row>
        <row r="11304">
          <cell r="B11304" t="str">
            <v>B272-400-AS-280-PP-106</v>
          </cell>
          <cell r="E11304" t="str">
            <v>G-28</v>
          </cell>
        </row>
        <row r="11305">
          <cell r="B11305" t="str">
            <v>B272-400-AS-280-PP-106</v>
          </cell>
          <cell r="E11305" t="str">
            <v>stack</v>
          </cell>
        </row>
        <row r="11306">
          <cell r="B11306" t="str">
            <v>B272-400-AS-280-PP-106</v>
          </cell>
          <cell r="E11306" t="str">
            <v>G-28</v>
          </cell>
        </row>
        <row r="11307">
          <cell r="B11307" t="str">
            <v>B272-400-AS-280-PP-106</v>
          </cell>
          <cell r="E11307" t="str">
            <v>stack</v>
          </cell>
        </row>
        <row r="11308">
          <cell r="B11308" t="str">
            <v>B272-400-AS-280-PP-106</v>
          </cell>
          <cell r="E11308" t="str">
            <v>G-28</v>
          </cell>
        </row>
        <row r="11309">
          <cell r="B11309" t="str">
            <v>B272-400-AS-280-PP-106</v>
          </cell>
          <cell r="E11309" t="str">
            <v>stack</v>
          </cell>
        </row>
        <row r="11310">
          <cell r="B11310" t="str">
            <v>B272-400-AS-280-PP-106</v>
          </cell>
          <cell r="E11310" t="str">
            <v>G-28</v>
          </cell>
        </row>
        <row r="11311">
          <cell r="B11311" t="str">
            <v>B272-400-AS-280-PP-106</v>
          </cell>
          <cell r="E11311" t="str">
            <v>stack</v>
          </cell>
        </row>
        <row r="11312">
          <cell r="B11312" t="str">
            <v>B272-400-AS-280-PP-106</v>
          </cell>
          <cell r="E11312" t="str">
            <v>G-28</v>
          </cell>
        </row>
        <row r="11313">
          <cell r="B11313" t="str">
            <v>B272-400-AS-280-PP-106</v>
          </cell>
          <cell r="E11313" t="str">
            <v>stack</v>
          </cell>
        </row>
        <row r="11314">
          <cell r="B11314" t="str">
            <v>B272-400-AS-280-PP-106</v>
          </cell>
          <cell r="E11314" t="str">
            <v>G-28</v>
          </cell>
        </row>
        <row r="11315">
          <cell r="B11315" t="str">
            <v>B272-400-AS-280-PP-106</v>
          </cell>
          <cell r="E11315" t="str">
            <v>stack</v>
          </cell>
        </row>
        <row r="11316">
          <cell r="B11316" t="str">
            <v>B272-400-AS-280-PP-106</v>
          </cell>
          <cell r="E11316" t="str">
            <v>G-28</v>
          </cell>
        </row>
        <row r="11317">
          <cell r="B11317" t="str">
            <v>B272-400-AS-280-PP-106</v>
          </cell>
          <cell r="E11317" t="str">
            <v>stack</v>
          </cell>
        </row>
        <row r="11318">
          <cell r="B11318" t="str">
            <v>B272-400-AS-280-PP-106</v>
          </cell>
          <cell r="E11318" t="str">
            <v>G-28</v>
          </cell>
        </row>
        <row r="11319">
          <cell r="B11319" t="str">
            <v>B272-400-AS-280-PP-106</v>
          </cell>
          <cell r="E11319" t="str">
            <v>stack</v>
          </cell>
        </row>
        <row r="11320">
          <cell r="B11320" t="str">
            <v>B272-400-AS-280-PP-106</v>
          </cell>
          <cell r="E11320" t="str">
            <v>G-28</v>
          </cell>
        </row>
        <row r="11321">
          <cell r="B11321" t="str">
            <v>B272-400-AS-280-PP-106</v>
          </cell>
          <cell r="E11321" t="str">
            <v>stack</v>
          </cell>
        </row>
        <row r="11322">
          <cell r="B11322" t="str">
            <v>B272-400-AS-280-PP-106</v>
          </cell>
          <cell r="E11322" t="str">
            <v>G-28</v>
          </cell>
        </row>
        <row r="11323">
          <cell r="B11323" t="str">
            <v>B272-400-AS-280-PP-106</v>
          </cell>
          <cell r="E11323" t="str">
            <v>stack</v>
          </cell>
        </row>
        <row r="11324">
          <cell r="B11324" t="str">
            <v>B272-400-AS-280-PP-106</v>
          </cell>
          <cell r="E11324" t="str">
            <v>G-28</v>
          </cell>
        </row>
        <row r="11325">
          <cell r="B11325" t="str">
            <v>B272-400-AS-280-PP-106</v>
          </cell>
          <cell r="E11325" t="str">
            <v>stack</v>
          </cell>
        </row>
        <row r="11326">
          <cell r="B11326" t="str">
            <v>B272-400-AS-280-PP-106</v>
          </cell>
          <cell r="E11326" t="str">
            <v>G-28</v>
          </cell>
        </row>
        <row r="11327">
          <cell r="B11327" t="str">
            <v>B272-400-AS-280-PP-106</v>
          </cell>
          <cell r="E11327" t="str">
            <v>stack</v>
          </cell>
        </row>
        <row r="11328">
          <cell r="B11328" t="str">
            <v>B272-400-AS-280-PP-106</v>
          </cell>
          <cell r="E11328" t="str">
            <v>G-28</v>
          </cell>
        </row>
        <row r="11329">
          <cell r="B11329" t="str">
            <v>B272-400-AS-280-PP-106</v>
          </cell>
          <cell r="E11329" t="str">
            <v>stack</v>
          </cell>
        </row>
        <row r="11330">
          <cell r="B11330" t="str">
            <v>B272-400-AS-280-PP-106</v>
          </cell>
          <cell r="E11330" t="str">
            <v>G-28</v>
          </cell>
        </row>
        <row r="11331">
          <cell r="B11331" t="str">
            <v>B272-400-AS-280-PP-106</v>
          </cell>
          <cell r="E11331" t="str">
            <v>stack</v>
          </cell>
        </row>
        <row r="11332">
          <cell r="B11332" t="str">
            <v>B272-400-AS-280-PP-106</v>
          </cell>
          <cell r="E11332" t="str">
            <v>G-28</v>
          </cell>
        </row>
        <row r="11333">
          <cell r="B11333" t="str">
            <v>B272-400-AS-280-PP-106</v>
          </cell>
          <cell r="E11333" t="str">
            <v>stack</v>
          </cell>
        </row>
        <row r="11334">
          <cell r="B11334" t="str">
            <v>B272-400-AS-280-PP-106</v>
          </cell>
          <cell r="E11334" t="str">
            <v>G-28</v>
          </cell>
        </row>
        <row r="11335">
          <cell r="B11335" t="str">
            <v>B272-400-AS-280-PP-106</v>
          </cell>
          <cell r="E11335" t="str">
            <v>stack</v>
          </cell>
        </row>
        <row r="11336">
          <cell r="B11336" t="str">
            <v>B272-400-AS-280-PP-106</v>
          </cell>
          <cell r="E11336" t="str">
            <v>G-28</v>
          </cell>
        </row>
        <row r="11337">
          <cell r="B11337" t="str">
            <v>B272-400-AS-280-PP-106</v>
          </cell>
          <cell r="E11337" t="str">
            <v>stack</v>
          </cell>
        </row>
        <row r="11338">
          <cell r="B11338" t="str">
            <v>B272-400-AS-280-PP-106</v>
          </cell>
          <cell r="E11338" t="str">
            <v>G-28</v>
          </cell>
        </row>
        <row r="11339">
          <cell r="B11339" t="str">
            <v>B272-400-AS-280-PP-106</v>
          </cell>
          <cell r="E11339" t="str">
            <v>stack</v>
          </cell>
        </row>
        <row r="11340">
          <cell r="B11340" t="str">
            <v>B272-400-AS-280-PP-106</v>
          </cell>
          <cell r="E11340" t="str">
            <v>G-28</v>
          </cell>
        </row>
        <row r="11341">
          <cell r="B11341" t="str">
            <v>B272-400-AS-280-PP-106</v>
          </cell>
          <cell r="E11341" t="str">
            <v>stack</v>
          </cell>
        </row>
        <row r="11342">
          <cell r="B11342" t="str">
            <v>B272-400-AS-280-PP-106</v>
          </cell>
          <cell r="E11342" t="str">
            <v>G-28</v>
          </cell>
        </row>
        <row r="11343">
          <cell r="B11343" t="str">
            <v>B272-400-AS-280-PP-106</v>
          </cell>
          <cell r="E11343" t="str">
            <v>stack</v>
          </cell>
        </row>
        <row r="11344">
          <cell r="B11344" t="str">
            <v>B272-400-AS-280-PP-106</v>
          </cell>
          <cell r="E11344" t="str">
            <v>G-28</v>
          </cell>
        </row>
        <row r="11345">
          <cell r="B11345" t="str">
            <v>B272-400-AS-280-PP-106</v>
          </cell>
          <cell r="E11345" t="str">
            <v>stack</v>
          </cell>
        </row>
        <row r="11346">
          <cell r="B11346" t="str">
            <v>B272-400-AS-280-PP-106</v>
          </cell>
          <cell r="E11346" t="str">
            <v>G-28</v>
          </cell>
        </row>
        <row r="11347">
          <cell r="B11347" t="str">
            <v>B272-400-AS-280-PP-106</v>
          </cell>
          <cell r="E11347" t="str">
            <v>stack</v>
          </cell>
        </row>
        <row r="11348">
          <cell r="B11348" t="str">
            <v>B272-400-AS-280-PP-106</v>
          </cell>
          <cell r="E11348" t="str">
            <v>G-28</v>
          </cell>
        </row>
        <row r="11349">
          <cell r="B11349" t="str">
            <v>B272-400-AS-280-PP-106</v>
          </cell>
          <cell r="E11349" t="str">
            <v>stack</v>
          </cell>
        </row>
        <row r="11350">
          <cell r="B11350" t="str">
            <v>B272-400-AS-280-PP-106</v>
          </cell>
          <cell r="E11350" t="str">
            <v>G-28</v>
          </cell>
        </row>
        <row r="11351">
          <cell r="B11351" t="str">
            <v>B272-400-AS-280-PP-106</v>
          </cell>
          <cell r="E11351" t="str">
            <v>stack</v>
          </cell>
        </row>
        <row r="11352">
          <cell r="B11352" t="str">
            <v>B272-400-AS-280-PP-106</v>
          </cell>
          <cell r="E11352" t="str">
            <v>G-28</v>
          </cell>
        </row>
        <row r="11353">
          <cell r="B11353" t="str">
            <v>B272-400-AS-280-PP-106</v>
          </cell>
          <cell r="E11353" t="str">
            <v>stack</v>
          </cell>
        </row>
        <row r="11354">
          <cell r="B11354" t="str">
            <v>B272-400-AS-280-PP-106</v>
          </cell>
          <cell r="E11354" t="str">
            <v>G-28</v>
          </cell>
        </row>
        <row r="11355">
          <cell r="B11355" t="str">
            <v>B272-400-AS-280-PP-106</v>
          </cell>
          <cell r="E11355" t="str">
            <v>stack</v>
          </cell>
        </row>
        <row r="11356">
          <cell r="B11356" t="str">
            <v>B272-400-AS-280-PP-106</v>
          </cell>
          <cell r="E11356" t="str">
            <v>G-28</v>
          </cell>
        </row>
        <row r="11357">
          <cell r="B11357" t="str">
            <v>B272-400-AS-280-PP-106</v>
          </cell>
          <cell r="E11357" t="str">
            <v>stack</v>
          </cell>
        </row>
        <row r="11358">
          <cell r="B11358" t="str">
            <v>B272-400-AS-280-PP-106</v>
          </cell>
          <cell r="E11358" t="str">
            <v>G-28</v>
          </cell>
        </row>
        <row r="11359">
          <cell r="B11359" t="str">
            <v>B272-400-AS-280-PP-106</v>
          </cell>
          <cell r="E11359" t="str">
            <v>stack</v>
          </cell>
        </row>
        <row r="11360">
          <cell r="B11360" t="str">
            <v>B272-400-AS-280-PP-106</v>
          </cell>
          <cell r="E11360" t="str">
            <v>G-28</v>
          </cell>
        </row>
        <row r="11361">
          <cell r="B11361" t="str">
            <v>B272-400-AS-280-PP-106</v>
          </cell>
          <cell r="E11361" t="str">
            <v>stack</v>
          </cell>
        </row>
        <row r="11362">
          <cell r="B11362" t="str">
            <v>B272-400-AS-280-PP-106</v>
          </cell>
          <cell r="E11362" t="str">
            <v>G-28</v>
          </cell>
        </row>
        <row r="11363">
          <cell r="B11363" t="str">
            <v>B272-400-AS-280-PP-106</v>
          </cell>
          <cell r="E11363" t="str">
            <v>stack</v>
          </cell>
        </row>
        <row r="11364">
          <cell r="B11364" t="str">
            <v>B272-400-AS-280-PP-106</v>
          </cell>
          <cell r="E11364" t="str">
            <v>G-28</v>
          </cell>
        </row>
        <row r="11365">
          <cell r="B11365" t="str">
            <v>B272-400-AS-280-PP-106</v>
          </cell>
          <cell r="E11365" t="str">
            <v>stack</v>
          </cell>
        </row>
        <row r="11366">
          <cell r="B11366" t="str">
            <v>B272-400-AS-280-PP-106</v>
          </cell>
          <cell r="E11366" t="str">
            <v>G-28</v>
          </cell>
        </row>
        <row r="11367">
          <cell r="B11367" t="str">
            <v>B272-400-AS-280-PP-106</v>
          </cell>
          <cell r="E11367" t="str">
            <v>stack</v>
          </cell>
        </row>
        <row r="11368">
          <cell r="B11368" t="str">
            <v>B272-400-AS-280-PP-106</v>
          </cell>
          <cell r="E11368" t="str">
            <v>G-28</v>
          </cell>
        </row>
        <row r="11369">
          <cell r="B11369" t="str">
            <v>B272-400-AS-280-PP-106</v>
          </cell>
          <cell r="E11369" t="str">
            <v>stack</v>
          </cell>
        </row>
        <row r="11370">
          <cell r="B11370" t="str">
            <v>B272-400-AS-280-PP-106</v>
          </cell>
          <cell r="E11370" t="str">
            <v>G-28</v>
          </cell>
        </row>
        <row r="11371">
          <cell r="B11371" t="str">
            <v>B272-400-AS-280-PP-106</v>
          </cell>
          <cell r="E11371" t="str">
            <v>stack</v>
          </cell>
        </row>
        <row r="11372">
          <cell r="B11372" t="str">
            <v>B272-400-AS-280-PP-106</v>
          </cell>
          <cell r="E11372" t="str">
            <v>G-28</v>
          </cell>
        </row>
        <row r="11373">
          <cell r="B11373" t="str">
            <v>B272-400-AS-280-PP-106</v>
          </cell>
          <cell r="E11373" t="str">
            <v>stack</v>
          </cell>
        </row>
        <row r="11374">
          <cell r="B11374" t="str">
            <v>B272-400-AS-280-PP-106</v>
          </cell>
          <cell r="E11374" t="str">
            <v>G-28</v>
          </cell>
        </row>
        <row r="11375">
          <cell r="B11375" t="str">
            <v>B272-400-AS-280-PP-106</v>
          </cell>
          <cell r="E11375" t="str">
            <v>stack</v>
          </cell>
        </row>
        <row r="11376">
          <cell r="B11376" t="str">
            <v>B272-400-AS-280-PP-106</v>
          </cell>
          <cell r="E11376" t="str">
            <v>G-28</v>
          </cell>
        </row>
        <row r="11377">
          <cell r="B11377" t="str">
            <v>B272-400-AS-280-PP-106</v>
          </cell>
          <cell r="E11377" t="str">
            <v>stack</v>
          </cell>
        </row>
        <row r="11378">
          <cell r="B11378" t="str">
            <v>B272-400-AS-280-PP-106</v>
          </cell>
          <cell r="E11378" t="str">
            <v>G-28</v>
          </cell>
        </row>
        <row r="11379">
          <cell r="B11379" t="str">
            <v>B272-400-AS-280-PP-106</v>
          </cell>
          <cell r="E11379" t="str">
            <v>stack</v>
          </cell>
        </row>
        <row r="11380">
          <cell r="B11380" t="str">
            <v>B272-400-AS-280-PP-106</v>
          </cell>
          <cell r="E11380" t="str">
            <v>G-28</v>
          </cell>
        </row>
        <row r="11381">
          <cell r="B11381" t="str">
            <v>B272-400-AS-280-PP-106</v>
          </cell>
          <cell r="E11381" t="str">
            <v>stack</v>
          </cell>
        </row>
        <row r="11382">
          <cell r="B11382" t="str">
            <v>B272-400-AS-280-PP-106</v>
          </cell>
          <cell r="E11382" t="str">
            <v>G-28</v>
          </cell>
        </row>
        <row r="11383">
          <cell r="B11383" t="str">
            <v>B272-400-AS-280-PP-106</v>
          </cell>
          <cell r="E11383" t="str">
            <v>stack</v>
          </cell>
        </row>
        <row r="11384">
          <cell r="B11384" t="str">
            <v>B272-400-AS-280-PP-106</v>
          </cell>
          <cell r="E11384" t="str">
            <v>G-28</v>
          </cell>
        </row>
        <row r="11385">
          <cell r="B11385" t="str">
            <v>B272-400-AS-280-PP-106</v>
          </cell>
          <cell r="E11385" t="str">
            <v>stack</v>
          </cell>
        </row>
        <row r="11386">
          <cell r="B11386" t="str">
            <v>B272-400-AS-280-PP-106</v>
          </cell>
          <cell r="E11386" t="str">
            <v>G-28</v>
          </cell>
        </row>
        <row r="11387">
          <cell r="B11387" t="str">
            <v>B272-400-AS-280-PP-106</v>
          </cell>
          <cell r="E11387" t="str">
            <v>stack</v>
          </cell>
        </row>
        <row r="11388">
          <cell r="B11388" t="str">
            <v>B272-400-AS-280-PP-106</v>
          </cell>
          <cell r="E11388" t="str">
            <v>G-28</v>
          </cell>
        </row>
        <row r="11389">
          <cell r="B11389" t="str">
            <v>B272-400-AS-280-PP-106</v>
          </cell>
          <cell r="E11389" t="str">
            <v>stack</v>
          </cell>
        </row>
        <row r="11390">
          <cell r="B11390" t="str">
            <v>B272-400-AS-280-PP-106</v>
          </cell>
          <cell r="E11390" t="str">
            <v>G-28</v>
          </cell>
        </row>
        <row r="11391">
          <cell r="B11391" t="str">
            <v>B272-400-AS-280-PP-106</v>
          </cell>
          <cell r="E11391" t="str">
            <v>stack</v>
          </cell>
        </row>
        <row r="11392">
          <cell r="B11392" t="str">
            <v>B272-400-AS-280-PP-106</v>
          </cell>
          <cell r="E11392" t="str">
            <v>G-28</v>
          </cell>
        </row>
        <row r="11393">
          <cell r="B11393" t="str">
            <v>B272-400-AS-280-PP-106</v>
          </cell>
          <cell r="E11393" t="str">
            <v>stack</v>
          </cell>
        </row>
        <row r="11394">
          <cell r="B11394" t="str">
            <v>B272-400-AS-280-PP-106</v>
          </cell>
          <cell r="E11394" t="str">
            <v>G-28</v>
          </cell>
        </row>
        <row r="11395">
          <cell r="B11395" t="str">
            <v>B272-400-AS-280-PP-106</v>
          </cell>
          <cell r="E11395" t="str">
            <v>stack</v>
          </cell>
        </row>
        <row r="11396">
          <cell r="B11396" t="str">
            <v>B272-400-AS-280-PP-106</v>
          </cell>
          <cell r="E11396" t="str">
            <v>G-28</v>
          </cell>
        </row>
        <row r="11397">
          <cell r="B11397" t="str">
            <v>B272-400-AS-280-PP-106</v>
          </cell>
          <cell r="E11397" t="str">
            <v>stack</v>
          </cell>
        </row>
        <row r="11398">
          <cell r="B11398" t="str">
            <v>B272-400-AS-280-PP-106</v>
          </cell>
          <cell r="E11398" t="str">
            <v>G-28</v>
          </cell>
        </row>
        <row r="11399">
          <cell r="B11399" t="str">
            <v>B272-400-AS-280-PP-106</v>
          </cell>
          <cell r="E11399" t="str">
            <v>stack</v>
          </cell>
        </row>
        <row r="11400">
          <cell r="B11400" t="str">
            <v>B272-400-AS-280-PP-106</v>
          </cell>
          <cell r="E11400" t="str">
            <v>G-28</v>
          </cell>
        </row>
        <row r="11401">
          <cell r="B11401" t="str">
            <v>B272-400-AS-280-PP-106</v>
          </cell>
          <cell r="E11401" t="str">
            <v>stack</v>
          </cell>
        </row>
        <row r="11402">
          <cell r="B11402" t="str">
            <v>B272-400-AS-280-PP-106</v>
          </cell>
          <cell r="E11402" t="str">
            <v>G-28</v>
          </cell>
        </row>
        <row r="11403">
          <cell r="B11403" t="str">
            <v>B272-400-AS-280-PP-106</v>
          </cell>
          <cell r="E11403" t="str">
            <v>stack</v>
          </cell>
        </row>
        <row r="11404">
          <cell r="B11404" t="str">
            <v>B272-400-AS-280-PP-106</v>
          </cell>
          <cell r="E11404" t="str">
            <v>G-28</v>
          </cell>
        </row>
        <row r="11405">
          <cell r="B11405" t="str">
            <v>B272-400-AS-280-PP-106</v>
          </cell>
          <cell r="E11405" t="str">
            <v>stack</v>
          </cell>
        </row>
        <row r="11406">
          <cell r="B11406" t="str">
            <v>B272-400-AS-280-PP-106</v>
          </cell>
          <cell r="E11406" t="str">
            <v>G-28</v>
          </cell>
        </row>
        <row r="11407">
          <cell r="B11407" t="str">
            <v>B272-400-AS-280-PP-106</v>
          </cell>
          <cell r="E11407" t="str">
            <v>stack</v>
          </cell>
        </row>
        <row r="11408">
          <cell r="B11408" t="str">
            <v>B272-400-AS-280-PP-106</v>
          </cell>
          <cell r="E11408" t="str">
            <v>G-28</v>
          </cell>
        </row>
        <row r="11409">
          <cell r="B11409" t="str">
            <v>B272-400-AS-280-PP-106</v>
          </cell>
          <cell r="E11409" t="str">
            <v>stack</v>
          </cell>
        </row>
        <row r="11410">
          <cell r="B11410" t="str">
            <v>B272-400-AS-280-PP-106</v>
          </cell>
          <cell r="E11410" t="str">
            <v>G-28</v>
          </cell>
        </row>
        <row r="11411">
          <cell r="B11411" t="str">
            <v>B272-400-AS-280-PP-106</v>
          </cell>
          <cell r="E11411" t="str">
            <v>stack</v>
          </cell>
        </row>
        <row r="11412">
          <cell r="B11412" t="str">
            <v>B272-400-AS-280-PP-106</v>
          </cell>
          <cell r="E11412" t="str">
            <v>G-28</v>
          </cell>
        </row>
        <row r="11413">
          <cell r="B11413" t="str">
            <v>B272-400-AS-280-PP-106</v>
          </cell>
          <cell r="E11413" t="str">
            <v>stack</v>
          </cell>
        </row>
        <row r="11414">
          <cell r="B11414" t="str">
            <v>B272-400-AS-280-PP-106</v>
          </cell>
          <cell r="E11414" t="str">
            <v>G-28</v>
          </cell>
        </row>
        <row r="11415">
          <cell r="B11415" t="str">
            <v>B272-400-AS-280-PP-106</v>
          </cell>
          <cell r="E11415" t="str">
            <v>stack</v>
          </cell>
        </row>
        <row r="11416">
          <cell r="B11416" t="str">
            <v>B272-400-AS-280-PP-106</v>
          </cell>
          <cell r="E11416" t="str">
            <v>G-28</v>
          </cell>
        </row>
        <row r="11417">
          <cell r="B11417" t="str">
            <v>B272-400-AS-280-PP-106</v>
          </cell>
          <cell r="E11417" t="str">
            <v>stack</v>
          </cell>
        </row>
        <row r="11418">
          <cell r="B11418" t="str">
            <v>B272-400-AS-280-PP-106</v>
          </cell>
          <cell r="E11418" t="str">
            <v>G-28</v>
          </cell>
        </row>
        <row r="11419">
          <cell r="B11419" t="str">
            <v>B272-400-AS-280-PP-106</v>
          </cell>
          <cell r="E11419" t="str">
            <v>stack</v>
          </cell>
        </row>
        <row r="11420">
          <cell r="B11420" t="str">
            <v>B272-400-AS-280-PP-106</v>
          </cell>
          <cell r="E11420" t="str">
            <v>G-28</v>
          </cell>
        </row>
        <row r="11421">
          <cell r="B11421" t="str">
            <v>B272-400-AS-280-PP-106</v>
          </cell>
          <cell r="E11421" t="str">
            <v>stack</v>
          </cell>
        </row>
        <row r="11422">
          <cell r="B11422" t="str">
            <v>B272-400-AS-280-PP-106</v>
          </cell>
          <cell r="E11422" t="str">
            <v>G-28</v>
          </cell>
        </row>
        <row r="11423">
          <cell r="B11423" t="str">
            <v>B272-400-AS-280-PP-106</v>
          </cell>
          <cell r="E11423" t="str">
            <v>stack</v>
          </cell>
        </row>
        <row r="11424">
          <cell r="B11424" t="str">
            <v>B272-400-AS-280-PP-106</v>
          </cell>
          <cell r="E11424" t="str">
            <v>G-28</v>
          </cell>
        </row>
        <row r="11425">
          <cell r="B11425" t="str">
            <v>B272-400-AS-280-PP-106</v>
          </cell>
          <cell r="E11425" t="str">
            <v>stack</v>
          </cell>
        </row>
        <row r="11426">
          <cell r="B11426" t="str">
            <v>B272-400-AS-280-PP-106</v>
          </cell>
          <cell r="E11426" t="str">
            <v>G-28</v>
          </cell>
        </row>
        <row r="11427">
          <cell r="B11427" t="str">
            <v>B272-400-AS-280-PP-106</v>
          </cell>
          <cell r="E11427" t="str">
            <v>stack</v>
          </cell>
        </row>
        <row r="11428">
          <cell r="B11428" t="str">
            <v>B272-400-AS-280-PP-106</v>
          </cell>
          <cell r="E11428" t="str">
            <v>G-28</v>
          </cell>
        </row>
        <row r="11429">
          <cell r="B11429" t="str">
            <v>B272-400-AS-280-PP-106</v>
          </cell>
          <cell r="E11429" t="str">
            <v>stack</v>
          </cell>
        </row>
        <row r="11430">
          <cell r="B11430" t="str">
            <v>B272-400-AS-280-PP-106</v>
          </cell>
          <cell r="E11430" t="str">
            <v>G-28</v>
          </cell>
        </row>
        <row r="11431">
          <cell r="B11431" t="str">
            <v>B272-400-AS-280-PP-106</v>
          </cell>
          <cell r="E11431" t="str">
            <v>stack</v>
          </cell>
        </row>
        <row r="11432">
          <cell r="B11432" t="str">
            <v>B272-400-AS-280-PP-106</v>
          </cell>
          <cell r="E11432" t="str">
            <v>G-28</v>
          </cell>
        </row>
        <row r="11433">
          <cell r="B11433" t="str">
            <v>B272-400-AS-280-PP-106</v>
          </cell>
          <cell r="E11433" t="str">
            <v>stack</v>
          </cell>
        </row>
        <row r="11434">
          <cell r="B11434" t="str">
            <v>B272-400-AS-280-PP-106</v>
          </cell>
          <cell r="E11434" t="str">
            <v>G-28</v>
          </cell>
        </row>
        <row r="11435">
          <cell r="B11435" t="str">
            <v>B272-400-AS-280-PP-106</v>
          </cell>
          <cell r="E11435" t="str">
            <v>stack</v>
          </cell>
        </row>
        <row r="11436">
          <cell r="B11436" t="str">
            <v>B272-400-AS-280-PP-106</v>
          </cell>
          <cell r="E11436" t="str">
            <v>G-28</v>
          </cell>
        </row>
        <row r="11437">
          <cell r="B11437" t="str">
            <v>B272-400-AS-280-PP-106</v>
          </cell>
          <cell r="E11437" t="str">
            <v>stack</v>
          </cell>
        </row>
        <row r="11438">
          <cell r="B11438" t="str">
            <v>B272-400-AS-280-PP-106</v>
          </cell>
          <cell r="E11438" t="str">
            <v>G-28</v>
          </cell>
        </row>
        <row r="11439">
          <cell r="B11439" t="str">
            <v>B272-400-AS-280-PP-106</v>
          </cell>
          <cell r="E11439" t="str">
            <v>stack</v>
          </cell>
        </row>
        <row r="11440">
          <cell r="B11440" t="str">
            <v>B272-400-AS-280-PP-106</v>
          </cell>
          <cell r="E11440" t="str">
            <v>G-28</v>
          </cell>
        </row>
        <row r="11441">
          <cell r="B11441" t="str">
            <v>B272-400-AS-280-PP-106</v>
          </cell>
          <cell r="E11441" t="str">
            <v>stack</v>
          </cell>
        </row>
        <row r="11442">
          <cell r="B11442" t="str">
            <v>B272-400-AS-280-PP-106</v>
          </cell>
          <cell r="E11442" t="str">
            <v>G-28</v>
          </cell>
        </row>
        <row r="11443">
          <cell r="B11443" t="str">
            <v>B272-400-AS-280-PP-106</v>
          </cell>
          <cell r="E11443" t="str">
            <v>stack</v>
          </cell>
        </row>
        <row r="11444">
          <cell r="B11444" t="str">
            <v>B272-400-AS-280-PP-106</v>
          </cell>
          <cell r="E11444" t="str">
            <v>G-28</v>
          </cell>
        </row>
        <row r="11445">
          <cell r="B11445" t="str">
            <v>B272-400-AS-280-PP-106</v>
          </cell>
          <cell r="E11445" t="str">
            <v>stack</v>
          </cell>
        </row>
        <row r="11446">
          <cell r="B11446" t="str">
            <v>B272-400-AS-280-PP-106</v>
          </cell>
          <cell r="E11446" t="str">
            <v>G-28</v>
          </cell>
        </row>
        <row r="11447">
          <cell r="B11447" t="str">
            <v>B272-400-AS-280-PP-106</v>
          </cell>
          <cell r="E11447" t="str">
            <v>stack</v>
          </cell>
        </row>
        <row r="11448">
          <cell r="B11448" t="str">
            <v>B272-400-AS-280-PP-106</v>
          </cell>
          <cell r="E11448" t="str">
            <v>G-28</v>
          </cell>
        </row>
        <row r="11449">
          <cell r="B11449" t="str">
            <v>B272-400-AS-280-PP-106</v>
          </cell>
          <cell r="E11449" t="str">
            <v>stack</v>
          </cell>
        </row>
        <row r="11450">
          <cell r="B11450" t="str">
            <v>B272-400-AS-280-PP-106</v>
          </cell>
          <cell r="E11450" t="str">
            <v>G-28</v>
          </cell>
        </row>
        <row r="11451">
          <cell r="B11451" t="str">
            <v>B272-400-AS-280-PP-106</v>
          </cell>
          <cell r="E11451" t="str">
            <v>stack</v>
          </cell>
        </row>
        <row r="11452">
          <cell r="B11452" t="str">
            <v>B272-400-AS-280-PP-106</v>
          </cell>
          <cell r="E11452" t="str">
            <v>G-28</v>
          </cell>
        </row>
        <row r="11453">
          <cell r="B11453" t="str">
            <v>B272-400-AS-280-PP-106</v>
          </cell>
          <cell r="E11453" t="str">
            <v>stack</v>
          </cell>
        </row>
        <row r="11454">
          <cell r="B11454" t="str">
            <v>B272-400-AS-280-PP-106</v>
          </cell>
          <cell r="E11454" t="str">
            <v>G-28</v>
          </cell>
        </row>
        <row r="11455">
          <cell r="B11455" t="str">
            <v>B272-400-AS-280-PP-106</v>
          </cell>
          <cell r="E11455" t="str">
            <v>stack</v>
          </cell>
        </row>
        <row r="11456">
          <cell r="B11456" t="str">
            <v>B272-400-AS-280-PP-106</v>
          </cell>
          <cell r="E11456" t="str">
            <v>G-28</v>
          </cell>
        </row>
        <row r="11457">
          <cell r="B11457" t="str">
            <v>B272-400-AS-280-PP-106</v>
          </cell>
          <cell r="E11457" t="str">
            <v>stack</v>
          </cell>
        </row>
        <row r="11458">
          <cell r="B11458" t="str">
            <v>B272-400-AS-280-PP-106</v>
          </cell>
          <cell r="E11458" t="str">
            <v>G-28</v>
          </cell>
        </row>
        <row r="11459">
          <cell r="B11459" t="str">
            <v>B272-400-AS-280-PP-106</v>
          </cell>
          <cell r="E11459" t="str">
            <v>stack</v>
          </cell>
        </row>
        <row r="11460">
          <cell r="B11460" t="str">
            <v>B272-400-AS-280-PP-106</v>
          </cell>
          <cell r="E11460" t="str">
            <v>G-28</v>
          </cell>
        </row>
        <row r="11461">
          <cell r="B11461" t="str">
            <v>B272-400-AS-280-PP-106</v>
          </cell>
          <cell r="E11461" t="str">
            <v>stack</v>
          </cell>
        </row>
        <row r="11462">
          <cell r="B11462" t="str">
            <v>B272-400-AS-280-PP-106</v>
          </cell>
          <cell r="E11462" t="str">
            <v>G-28</v>
          </cell>
        </row>
        <row r="11463">
          <cell r="B11463" t="str">
            <v>B272-400-AS-280-PP-106</v>
          </cell>
          <cell r="E11463" t="str">
            <v>stack</v>
          </cell>
        </row>
        <row r="11464">
          <cell r="B11464" t="str">
            <v>B272-400-AS-280-PP-106</v>
          </cell>
          <cell r="E11464" t="str">
            <v>G-28</v>
          </cell>
        </row>
        <row r="11465">
          <cell r="B11465" t="str">
            <v>B272-400-AS-280-PP-106</v>
          </cell>
          <cell r="E11465" t="str">
            <v>stack</v>
          </cell>
        </row>
        <row r="11466">
          <cell r="B11466" t="str">
            <v>B272-400-AS-280-PP-106</v>
          </cell>
          <cell r="E11466" t="str">
            <v>G-28</v>
          </cell>
        </row>
        <row r="11467">
          <cell r="B11467" t="str">
            <v>B272-400-AS-280-PP-106</v>
          </cell>
          <cell r="E11467" t="str">
            <v>stack</v>
          </cell>
        </row>
        <row r="11468">
          <cell r="B11468" t="str">
            <v>B272-400-AS-280-PP-106</v>
          </cell>
          <cell r="E11468" t="str">
            <v>G-28</v>
          </cell>
        </row>
        <row r="11469">
          <cell r="B11469" t="str">
            <v>B272-400-AS-280-PP-106</v>
          </cell>
          <cell r="E11469" t="str">
            <v>stack</v>
          </cell>
        </row>
        <row r="11470">
          <cell r="B11470" t="str">
            <v>B272-400-AS-280-PP-106</v>
          </cell>
          <cell r="E11470" t="str">
            <v>G-28</v>
          </cell>
        </row>
        <row r="11471">
          <cell r="B11471" t="str">
            <v>B272-400-AS-280-PP-106</v>
          </cell>
          <cell r="E11471" t="str">
            <v>stack</v>
          </cell>
        </row>
        <row r="11472">
          <cell r="B11472" t="str">
            <v>B272-400-AS-280-PP-106</v>
          </cell>
          <cell r="E11472" t="str">
            <v>G-28</v>
          </cell>
        </row>
        <row r="11473">
          <cell r="B11473" t="str">
            <v>B272-400-AS-280-PP-106</v>
          </cell>
          <cell r="E11473" t="str">
            <v>stack</v>
          </cell>
        </row>
        <row r="11474">
          <cell r="B11474" t="str">
            <v>B272-400-AS-280-PP-106</v>
          </cell>
          <cell r="E11474" t="str">
            <v>G-28</v>
          </cell>
        </row>
        <row r="11475">
          <cell r="B11475" t="str">
            <v>B272-400-AS-280-PP-106</v>
          </cell>
          <cell r="E11475" t="str">
            <v>stack</v>
          </cell>
        </row>
        <row r="11476">
          <cell r="B11476" t="str">
            <v>B272-400-AS-280-PP-106</v>
          </cell>
          <cell r="E11476" t="str">
            <v>G-28</v>
          </cell>
        </row>
        <row r="11477">
          <cell r="B11477" t="str">
            <v>B272-400-AS-280-PP-106</v>
          </cell>
          <cell r="E11477" t="str">
            <v>stack</v>
          </cell>
        </row>
        <row r="11478">
          <cell r="B11478" t="str">
            <v>B272-400-AS-280-PP-106</v>
          </cell>
          <cell r="E11478" t="str">
            <v>G-28</v>
          </cell>
        </row>
        <row r="11479">
          <cell r="B11479" t="str">
            <v>B272-400-AS-280-PP-106</v>
          </cell>
          <cell r="E11479" t="str">
            <v>stack</v>
          </cell>
        </row>
        <row r="11480">
          <cell r="B11480" t="str">
            <v>B272-400-AS-280-PP-106</v>
          </cell>
          <cell r="E11480" t="str">
            <v>G-28</v>
          </cell>
        </row>
        <row r="11481">
          <cell r="B11481" t="str">
            <v>B272-400-AS-280-PP-106</v>
          </cell>
          <cell r="E11481" t="str">
            <v>stack</v>
          </cell>
        </row>
        <row r="11482">
          <cell r="B11482" t="str">
            <v>B272-400-AS-280-PP-106</v>
          </cell>
          <cell r="E11482" t="str">
            <v>G-28</v>
          </cell>
        </row>
        <row r="11483">
          <cell r="B11483" t="str">
            <v>B272-400-AS-280-PP-106</v>
          </cell>
          <cell r="E11483" t="str">
            <v>stack</v>
          </cell>
        </row>
        <row r="11484">
          <cell r="B11484" t="str">
            <v>B272-400-AS-280-PP-106</v>
          </cell>
          <cell r="E11484" t="str">
            <v>G-28</v>
          </cell>
        </row>
        <row r="11485">
          <cell r="B11485" t="str">
            <v>B272-400-AS-280-PP-106</v>
          </cell>
          <cell r="E11485" t="str">
            <v>stack</v>
          </cell>
        </row>
        <row r="11486">
          <cell r="B11486" t="str">
            <v>B272-400-AS-280-PP-106</v>
          </cell>
          <cell r="E11486" t="str">
            <v>G-28</v>
          </cell>
        </row>
        <row r="11487">
          <cell r="B11487" t="str">
            <v>B272-400-AS-280-PP-106</v>
          </cell>
          <cell r="E11487" t="str">
            <v>stack</v>
          </cell>
        </row>
        <row r="11488">
          <cell r="B11488" t="str">
            <v>B272-400-AS-280-PP-106</v>
          </cell>
          <cell r="E11488" t="str">
            <v>G-28</v>
          </cell>
        </row>
        <row r="11489">
          <cell r="B11489" t="str">
            <v>B272-400-AS-280-PP-106</v>
          </cell>
          <cell r="E11489" t="str">
            <v>stack</v>
          </cell>
        </row>
        <row r="11490">
          <cell r="B11490" t="str">
            <v>B272-400-AS-280-PP-106</v>
          </cell>
          <cell r="E11490" t="str">
            <v>G-28</v>
          </cell>
        </row>
        <row r="11491">
          <cell r="B11491" t="str">
            <v>B272-400-AS-280-PP-106</v>
          </cell>
          <cell r="E11491" t="str">
            <v>stack</v>
          </cell>
        </row>
        <row r="11492">
          <cell r="B11492" t="str">
            <v>B272-400-AS-280-PP-106</v>
          </cell>
          <cell r="E11492" t="str">
            <v>G-28</v>
          </cell>
        </row>
        <row r="11493">
          <cell r="B11493" t="str">
            <v>B272-400-AS-280-PP-106</v>
          </cell>
          <cell r="E11493" t="str">
            <v>stack</v>
          </cell>
        </row>
        <row r="11494">
          <cell r="B11494" t="str">
            <v>B272-400-AS-280-PP-106</v>
          </cell>
          <cell r="E11494" t="str">
            <v>G-28</v>
          </cell>
        </row>
        <row r="11495">
          <cell r="B11495" t="str">
            <v>B272-400-AS-280-PP-106</v>
          </cell>
          <cell r="E11495" t="str">
            <v>stack</v>
          </cell>
        </row>
        <row r="11496">
          <cell r="B11496" t="str">
            <v>B272-400-AS-280-PP-106</v>
          </cell>
          <cell r="E11496" t="str">
            <v>G-28</v>
          </cell>
        </row>
        <row r="11497">
          <cell r="B11497" t="str">
            <v>B272-400-AS-280-PP-106</v>
          </cell>
          <cell r="E11497" t="str">
            <v>stack</v>
          </cell>
        </row>
        <row r="11498">
          <cell r="B11498" t="str">
            <v>B272-400-AS-280-PP-106</v>
          </cell>
          <cell r="E11498" t="str">
            <v>G-28</v>
          </cell>
        </row>
        <row r="11499">
          <cell r="B11499" t="str">
            <v>B272-400-AS-280-PP-106</v>
          </cell>
          <cell r="E11499" t="str">
            <v>stack</v>
          </cell>
        </row>
        <row r="11500">
          <cell r="B11500" t="str">
            <v>B272-400-AS-280-PP-106</v>
          </cell>
          <cell r="E11500" t="str">
            <v>G-28</v>
          </cell>
        </row>
        <row r="11501">
          <cell r="B11501" t="str">
            <v>B272-400-AS-280-PP-106</v>
          </cell>
          <cell r="E11501" t="str">
            <v>stack</v>
          </cell>
        </row>
        <row r="11502">
          <cell r="B11502" t="str">
            <v>B272-400-AS-280-PP-106</v>
          </cell>
          <cell r="E11502" t="str">
            <v>G-28</v>
          </cell>
        </row>
        <row r="11503">
          <cell r="B11503" t="str">
            <v>B272-400-AS-280-PP-106</v>
          </cell>
          <cell r="E11503" t="str">
            <v>stack</v>
          </cell>
        </row>
        <row r="11504">
          <cell r="B11504" t="str">
            <v>B272-400-AS-280-PP-106</v>
          </cell>
          <cell r="E11504" t="str">
            <v>G-28</v>
          </cell>
        </row>
        <row r="11505">
          <cell r="B11505" t="str">
            <v>B272-400-AS-280-PP-106</v>
          </cell>
          <cell r="E11505" t="str">
            <v>stack</v>
          </cell>
        </row>
        <row r="11506">
          <cell r="B11506" t="str">
            <v>B272-400-AS-280-PP-106</v>
          </cell>
          <cell r="E11506" t="str">
            <v>G-28</v>
          </cell>
        </row>
        <row r="11507">
          <cell r="B11507" t="str">
            <v>B272-400-AS-280-PP-106</v>
          </cell>
          <cell r="E11507" t="str">
            <v>stack</v>
          </cell>
        </row>
        <row r="11508">
          <cell r="B11508" t="str">
            <v>B272-400-AS-280-PP-106</v>
          </cell>
          <cell r="E11508" t="str">
            <v>G-28</v>
          </cell>
        </row>
        <row r="11509">
          <cell r="B11509" t="str">
            <v>B272-400-AS-280-PP-106</v>
          </cell>
          <cell r="E11509" t="str">
            <v>stack</v>
          </cell>
        </row>
        <row r="11510">
          <cell r="B11510" t="str">
            <v>B272-400-AS-280-PP-106</v>
          </cell>
          <cell r="E11510" t="str">
            <v>G-28</v>
          </cell>
        </row>
        <row r="11511">
          <cell r="B11511" t="str">
            <v>B272-400-AS-280-PP-106</v>
          </cell>
          <cell r="E11511" t="str">
            <v>stack</v>
          </cell>
        </row>
        <row r="11512">
          <cell r="B11512" t="str">
            <v>B272-400-AS-280-PP-106</v>
          </cell>
          <cell r="E11512" t="str">
            <v>G-28</v>
          </cell>
        </row>
        <row r="11513">
          <cell r="B11513" t="str">
            <v>B272-400-AS-280-PP-106</v>
          </cell>
          <cell r="E11513" t="str">
            <v>stack</v>
          </cell>
        </row>
        <row r="11514">
          <cell r="B11514" t="str">
            <v>B272-400-AS-280-PP-106</v>
          </cell>
          <cell r="E11514" t="str">
            <v>G-28</v>
          </cell>
        </row>
        <row r="11515">
          <cell r="B11515" t="str">
            <v>B272-400-AS-280-PP-106</v>
          </cell>
          <cell r="E11515" t="str">
            <v>stack</v>
          </cell>
        </row>
        <row r="11516">
          <cell r="B11516" t="str">
            <v>B272-400-AS-280-PP-106</v>
          </cell>
          <cell r="E11516" t="str">
            <v>G-28</v>
          </cell>
        </row>
        <row r="11517">
          <cell r="B11517" t="str">
            <v>B272-400-AS-280-PP-106</v>
          </cell>
          <cell r="E11517" t="str">
            <v>stack</v>
          </cell>
        </row>
        <row r="11518">
          <cell r="B11518" t="str">
            <v>B272-400-AS-280-PP-106</v>
          </cell>
          <cell r="E11518" t="str">
            <v>G-28</v>
          </cell>
        </row>
        <row r="11519">
          <cell r="B11519" t="str">
            <v>B272-400-AS-280-PP-106</v>
          </cell>
          <cell r="E11519" t="str">
            <v>stack</v>
          </cell>
        </row>
        <row r="11520">
          <cell r="B11520" t="str">
            <v>B272-400-AS-280-PP-106</v>
          </cell>
          <cell r="E11520" t="str">
            <v>G-28</v>
          </cell>
        </row>
        <row r="11521">
          <cell r="B11521" t="str">
            <v>B272-400-AS-280-PP-106</v>
          </cell>
          <cell r="E11521" t="str">
            <v>stack</v>
          </cell>
        </row>
        <row r="11522">
          <cell r="B11522" t="str">
            <v>B272-400-AS-280-PP-106</v>
          </cell>
          <cell r="E11522" t="str">
            <v>G-28</v>
          </cell>
        </row>
        <row r="11523">
          <cell r="B11523" t="str">
            <v>B272-400-AS-280-PP-106</v>
          </cell>
          <cell r="E11523" t="str">
            <v>stack</v>
          </cell>
        </row>
        <row r="11524">
          <cell r="B11524" t="str">
            <v>B272-400-AS-280-PP-106</v>
          </cell>
          <cell r="E11524" t="str">
            <v>G-28</v>
          </cell>
        </row>
        <row r="11525">
          <cell r="B11525" t="str">
            <v>B272-400-AS-280-PP-106</v>
          </cell>
          <cell r="E11525" t="str">
            <v>stack</v>
          </cell>
        </row>
        <row r="11526">
          <cell r="B11526" t="str">
            <v>B272-400-AS-280-PP-106</v>
          </cell>
          <cell r="E11526" t="str">
            <v>G-28</v>
          </cell>
        </row>
        <row r="11527">
          <cell r="B11527" t="str">
            <v>B272-400-AS-280-PP-106</v>
          </cell>
          <cell r="E11527" t="str">
            <v>stack</v>
          </cell>
        </row>
        <row r="11528">
          <cell r="B11528" t="str">
            <v>B272-400-AS-280-PP-106</v>
          </cell>
          <cell r="E11528" t="str">
            <v>G-28</v>
          </cell>
        </row>
        <row r="11529">
          <cell r="B11529" t="str">
            <v>B272-400-AS-280-PP-106</v>
          </cell>
          <cell r="E11529" t="str">
            <v>stack</v>
          </cell>
        </row>
        <row r="11530">
          <cell r="B11530" t="str">
            <v>B272-400-AS-280-PP-106</v>
          </cell>
          <cell r="E11530" t="str">
            <v>G-28</v>
          </cell>
        </row>
        <row r="11531">
          <cell r="B11531" t="str">
            <v>B272-400-AS-280-PP-106</v>
          </cell>
          <cell r="E11531" t="str">
            <v>stack</v>
          </cell>
        </row>
        <row r="11532">
          <cell r="B11532" t="str">
            <v>B272-400-AS-280-PP-106</v>
          </cell>
          <cell r="E11532" t="str">
            <v>G-28</v>
          </cell>
        </row>
        <row r="11533">
          <cell r="B11533" t="str">
            <v>B272-400-AS-280-PP-106</v>
          </cell>
          <cell r="E11533" t="str">
            <v>stack</v>
          </cell>
        </row>
        <row r="11534">
          <cell r="B11534" t="str">
            <v>B272-400-AS-280-PP-106</v>
          </cell>
          <cell r="E11534" t="str">
            <v>G-28</v>
          </cell>
        </row>
        <row r="11535">
          <cell r="B11535" t="str">
            <v>B272-400-AS-280-PP-106</v>
          </cell>
          <cell r="E11535" t="str">
            <v>stack</v>
          </cell>
        </row>
        <row r="11536">
          <cell r="B11536" t="str">
            <v>B272-400-AS-280-PP-106</v>
          </cell>
          <cell r="E11536" t="str">
            <v>G-28</v>
          </cell>
        </row>
        <row r="11537">
          <cell r="B11537" t="str">
            <v>B272-400-AS-280-PP-106</v>
          </cell>
          <cell r="E11537" t="str">
            <v>stack</v>
          </cell>
        </row>
        <row r="11538">
          <cell r="B11538" t="str">
            <v>B272-400-AS-280-PP-106</v>
          </cell>
          <cell r="E11538" t="str">
            <v>G-28</v>
          </cell>
        </row>
        <row r="11539">
          <cell r="B11539" t="str">
            <v>B272-400-AS-280-PP-106</v>
          </cell>
          <cell r="E11539" t="str">
            <v>stack</v>
          </cell>
        </row>
        <row r="11540">
          <cell r="B11540" t="str">
            <v>B272-400-AS-280-PP-106</v>
          </cell>
          <cell r="E11540" t="str">
            <v>G-28</v>
          </cell>
        </row>
        <row r="11541">
          <cell r="B11541" t="str">
            <v>B272-400-AS-280-PP-106</v>
          </cell>
          <cell r="E11541" t="str">
            <v>stack</v>
          </cell>
        </row>
        <row r="11542">
          <cell r="B11542" t="str">
            <v>B272-400-AS-280-PP-106</v>
          </cell>
          <cell r="E11542" t="str">
            <v>G-28</v>
          </cell>
        </row>
        <row r="11543">
          <cell r="B11543" t="str">
            <v>B272-400-AS-280-PP-106</v>
          </cell>
          <cell r="E11543" t="str">
            <v>stack</v>
          </cell>
        </row>
        <row r="11544">
          <cell r="B11544" t="str">
            <v>B272-400-AS-280-PP-106</v>
          </cell>
          <cell r="E11544" t="str">
            <v>G-28</v>
          </cell>
        </row>
        <row r="11545">
          <cell r="B11545" t="str">
            <v>B272-400-AS-280-PP-106</v>
          </cell>
          <cell r="E11545" t="str">
            <v>stack</v>
          </cell>
        </row>
        <row r="11546">
          <cell r="B11546" t="str">
            <v>B272-400-AS-280-PP-106</v>
          </cell>
          <cell r="E11546" t="str">
            <v>G-28</v>
          </cell>
        </row>
        <row r="11547">
          <cell r="B11547" t="str">
            <v>B272-400-AS-280-PP-106</v>
          </cell>
          <cell r="E11547" t="str">
            <v>stack</v>
          </cell>
        </row>
        <row r="11548">
          <cell r="B11548" t="str">
            <v>B272-400-AS-280-PP-106</v>
          </cell>
          <cell r="E11548" t="str">
            <v>G-28</v>
          </cell>
        </row>
        <row r="11549">
          <cell r="B11549" t="str">
            <v>B272-400-AS-280-PP-106</v>
          </cell>
          <cell r="E11549" t="str">
            <v>stack</v>
          </cell>
        </row>
        <row r="11550">
          <cell r="B11550" t="str">
            <v>B272-400-AS-280-PP-106</v>
          </cell>
          <cell r="E11550" t="str">
            <v>G-28</v>
          </cell>
        </row>
        <row r="11551">
          <cell r="B11551" t="str">
            <v>B272-400-AS-280-PP-106</v>
          </cell>
          <cell r="E11551" t="str">
            <v>stack</v>
          </cell>
        </row>
        <row r="11552">
          <cell r="B11552" t="str">
            <v>B272-400-AS-280-PP-106</v>
          </cell>
          <cell r="E11552" t="str">
            <v>G-28</v>
          </cell>
        </row>
        <row r="11553">
          <cell r="B11553" t="str">
            <v>B272-400-AS-280-PP-106</v>
          </cell>
          <cell r="E11553" t="str">
            <v>stack</v>
          </cell>
        </row>
        <row r="11554">
          <cell r="B11554" t="str">
            <v>B272-400-AS-280-PP-106</v>
          </cell>
          <cell r="E11554" t="str">
            <v>G-28</v>
          </cell>
        </row>
        <row r="11555">
          <cell r="B11555" t="str">
            <v>B272-400-AS-280-PP-106</v>
          </cell>
          <cell r="E11555" t="str">
            <v>stack</v>
          </cell>
        </row>
        <row r="11556">
          <cell r="B11556" t="str">
            <v>B272-400-AS-280-PP-106</v>
          </cell>
          <cell r="E11556" t="str">
            <v>G-28</v>
          </cell>
        </row>
        <row r="11557">
          <cell r="B11557" t="str">
            <v>B272-400-AS-280-PP-106</v>
          </cell>
          <cell r="E11557" t="str">
            <v>stack</v>
          </cell>
        </row>
        <row r="11558">
          <cell r="B11558" t="str">
            <v>B272-400-AS-280-PP-106</v>
          </cell>
          <cell r="E11558" t="str">
            <v>G-28</v>
          </cell>
        </row>
        <row r="11559">
          <cell r="B11559" t="str">
            <v>B272-400-AS-280-PP-106</v>
          </cell>
          <cell r="E11559" t="str">
            <v>stack</v>
          </cell>
        </row>
        <row r="11560">
          <cell r="B11560" t="str">
            <v>B272-400-AS-280-PP-106</v>
          </cell>
          <cell r="E11560" t="str">
            <v>G-28</v>
          </cell>
        </row>
        <row r="11561">
          <cell r="B11561" t="str">
            <v>B272-400-AS-280-PP-106</v>
          </cell>
          <cell r="E11561" t="str">
            <v>stack</v>
          </cell>
        </row>
        <row r="11562">
          <cell r="B11562" t="str">
            <v>B272-400-AS-280-PP-106</v>
          </cell>
          <cell r="E11562" t="str">
            <v>G-28</v>
          </cell>
        </row>
        <row r="11563">
          <cell r="B11563" t="str">
            <v>B272-400-AS-280-PP-106</v>
          </cell>
          <cell r="E11563" t="str">
            <v>stack</v>
          </cell>
        </row>
        <row r="11564">
          <cell r="B11564" t="str">
            <v>B272-400-AS-280-PP-106</v>
          </cell>
          <cell r="E11564" t="str">
            <v>G-28</v>
          </cell>
        </row>
        <row r="11565">
          <cell r="B11565" t="str">
            <v>B272-400-AS-280-PP-106</v>
          </cell>
          <cell r="E11565" t="str">
            <v>stack</v>
          </cell>
        </row>
        <row r="11566">
          <cell r="B11566" t="str">
            <v>B272-400-AS-280-PP-106</v>
          </cell>
          <cell r="E11566" t="str">
            <v>G-28</v>
          </cell>
        </row>
        <row r="11567">
          <cell r="B11567" t="str">
            <v>B272-400-AS-280-PP-106</v>
          </cell>
          <cell r="E11567" t="str">
            <v>stack</v>
          </cell>
        </row>
        <row r="11568">
          <cell r="B11568" t="str">
            <v>B272-400-AS-280-PP-106</v>
          </cell>
          <cell r="E11568" t="str">
            <v>G-28</v>
          </cell>
        </row>
        <row r="11569">
          <cell r="B11569" t="str">
            <v>B272-400-AS-280-PP-106</v>
          </cell>
          <cell r="E11569" t="str">
            <v>stack</v>
          </cell>
        </row>
        <row r="11570">
          <cell r="B11570" t="str">
            <v>B272-400-AS-280-PP-106</v>
          </cell>
          <cell r="E11570" t="str">
            <v>G-28</v>
          </cell>
        </row>
        <row r="11571">
          <cell r="B11571" t="str">
            <v>B272-400-AS-280-PP-106</v>
          </cell>
          <cell r="E11571" t="str">
            <v>stack</v>
          </cell>
        </row>
        <row r="11572">
          <cell r="B11572" t="str">
            <v>B272-400-AS-280-PP-106</v>
          </cell>
          <cell r="E11572" t="str">
            <v>G-28</v>
          </cell>
        </row>
        <row r="11573">
          <cell r="B11573" t="str">
            <v>B272-400-AS-280-PP-106</v>
          </cell>
          <cell r="E11573" t="str">
            <v>stack</v>
          </cell>
        </row>
        <row r="11574">
          <cell r="B11574" t="str">
            <v>B272-400-AS-280-PP-106</v>
          </cell>
          <cell r="E11574" t="str">
            <v>G-28</v>
          </cell>
        </row>
        <row r="11575">
          <cell r="B11575" t="str">
            <v>B272-400-AS-280-PP-106</v>
          </cell>
          <cell r="E11575" t="str">
            <v>stack</v>
          </cell>
        </row>
        <row r="11576">
          <cell r="B11576" t="str">
            <v>B272-400-AS-280-PP-106</v>
          </cell>
          <cell r="E11576" t="str">
            <v>G-28</v>
          </cell>
        </row>
        <row r="11577">
          <cell r="B11577" t="str">
            <v>B272-400-AS-280-PP-106</v>
          </cell>
          <cell r="E11577" t="str">
            <v>stack</v>
          </cell>
        </row>
        <row r="11578">
          <cell r="B11578" t="str">
            <v>B272-400-AS-280-PP-106</v>
          </cell>
          <cell r="E11578" t="str">
            <v>G-28</v>
          </cell>
        </row>
        <row r="11579">
          <cell r="B11579" t="str">
            <v>B272-400-AS-280-PP-106</v>
          </cell>
          <cell r="E11579" t="str">
            <v>stack</v>
          </cell>
        </row>
        <row r="11580">
          <cell r="B11580" t="str">
            <v>B272-400-AS-280-PP-106</v>
          </cell>
          <cell r="E11580" t="str">
            <v>G-28</v>
          </cell>
        </row>
        <row r="11581">
          <cell r="B11581" t="str">
            <v>B272-400-AS-280-PP-106</v>
          </cell>
          <cell r="E11581" t="str">
            <v>stack</v>
          </cell>
        </row>
        <row r="11582">
          <cell r="B11582" t="str">
            <v>B272-400-AS-280-PP-106</v>
          </cell>
          <cell r="E11582" t="str">
            <v>G-28</v>
          </cell>
        </row>
        <row r="11583">
          <cell r="B11583" t="str">
            <v>B272-400-AS-280-PP-106</v>
          </cell>
          <cell r="E11583" t="str">
            <v>stack</v>
          </cell>
        </row>
        <row r="11584">
          <cell r="B11584" t="str">
            <v>B272-400-AS-280-PP-106</v>
          </cell>
          <cell r="E11584" t="str">
            <v>G-28</v>
          </cell>
        </row>
        <row r="11585">
          <cell r="B11585" t="str">
            <v>B272-400-AS-280-PP-106</v>
          </cell>
          <cell r="E11585" t="str">
            <v>stack</v>
          </cell>
        </row>
        <row r="11586">
          <cell r="B11586" t="str">
            <v>B272-400-AS-280-PP-106</v>
          </cell>
          <cell r="E11586" t="str">
            <v>G-28</v>
          </cell>
        </row>
        <row r="11587">
          <cell r="B11587" t="str">
            <v>B272-400-AS-280-PP-106</v>
          </cell>
          <cell r="E11587" t="str">
            <v>stack</v>
          </cell>
        </row>
        <row r="11588">
          <cell r="B11588" t="str">
            <v>B272-400-AS-280-PP-106</v>
          </cell>
          <cell r="E11588" t="str">
            <v>G-28</v>
          </cell>
        </row>
        <row r="11589">
          <cell r="B11589" t="str">
            <v>B272-400-AS-280-PP-106</v>
          </cell>
          <cell r="E11589" t="str">
            <v>stack</v>
          </cell>
        </row>
        <row r="11590">
          <cell r="B11590" t="str">
            <v>B272-400-AS-280-PP-106</v>
          </cell>
          <cell r="E11590" t="str">
            <v>G-28</v>
          </cell>
        </row>
        <row r="11591">
          <cell r="B11591" t="str">
            <v>B272-400-AS-280-PP-106</v>
          </cell>
          <cell r="E11591" t="str">
            <v>stack</v>
          </cell>
        </row>
        <row r="11592">
          <cell r="B11592" t="str">
            <v>B272-400-AS-280-PP-106</v>
          </cell>
          <cell r="E11592" t="str">
            <v>G-28</v>
          </cell>
        </row>
        <row r="11593">
          <cell r="B11593" t="str">
            <v>B272-400-AS-280-PP-106</v>
          </cell>
          <cell r="E11593" t="str">
            <v>stack</v>
          </cell>
        </row>
        <row r="11594">
          <cell r="B11594" t="str">
            <v>B272-400-AS-280-PP-106</v>
          </cell>
          <cell r="E11594" t="str">
            <v>G-28</v>
          </cell>
        </row>
        <row r="11595">
          <cell r="B11595" t="str">
            <v>B272-400-AS-280-PP-106</v>
          </cell>
          <cell r="E11595" t="str">
            <v>stack</v>
          </cell>
        </row>
        <row r="11596">
          <cell r="B11596" t="str">
            <v>B272-400-AS-280-PP-106</v>
          </cell>
          <cell r="E11596" t="str">
            <v>G-28</v>
          </cell>
        </row>
        <row r="11597">
          <cell r="B11597" t="str">
            <v>B272-400-AS-280-PP-106</v>
          </cell>
          <cell r="E11597" t="str">
            <v>stack</v>
          </cell>
        </row>
        <row r="11598">
          <cell r="B11598" t="str">
            <v>B272-400-AS-280-PP-106</v>
          </cell>
          <cell r="E11598" t="str">
            <v>G-28</v>
          </cell>
        </row>
        <row r="11599">
          <cell r="B11599" t="str">
            <v>B272-400-AS-280-PP-106</v>
          </cell>
          <cell r="E11599" t="str">
            <v>stack</v>
          </cell>
        </row>
        <row r="11600">
          <cell r="B11600" t="str">
            <v>B272-400-AS-280-PP-106</v>
          </cell>
          <cell r="E11600" t="str">
            <v>G-28</v>
          </cell>
        </row>
        <row r="11601">
          <cell r="B11601" t="str">
            <v>B272-400-AS-280-PP-106</v>
          </cell>
          <cell r="E11601" t="str">
            <v>stack</v>
          </cell>
        </row>
        <row r="11602">
          <cell r="B11602" t="str">
            <v>B272-400-AS-280-PP-106</v>
          </cell>
          <cell r="E11602" t="str">
            <v>G-28</v>
          </cell>
        </row>
        <row r="11603">
          <cell r="B11603" t="str">
            <v>B272-400-AS-280-PP-106</v>
          </cell>
          <cell r="E11603" t="str">
            <v>stack</v>
          </cell>
        </row>
        <row r="11604">
          <cell r="B11604" t="str">
            <v>B272-400-AS-280-PP-106</v>
          </cell>
          <cell r="E11604" t="str">
            <v>G-28</v>
          </cell>
        </row>
        <row r="11605">
          <cell r="B11605" t="str">
            <v>B272-400-AS-280-PP-106</v>
          </cell>
          <cell r="E11605" t="str">
            <v>stack</v>
          </cell>
        </row>
        <row r="11606">
          <cell r="B11606" t="str">
            <v>B272-400-AS-280-PP-106</v>
          </cell>
          <cell r="E11606" t="str">
            <v>G-28</v>
          </cell>
        </row>
        <row r="11607">
          <cell r="B11607" t="str">
            <v>B272-400-AS-280-PP-106</v>
          </cell>
          <cell r="E11607" t="str">
            <v>stack</v>
          </cell>
        </row>
        <row r="11608">
          <cell r="B11608" t="str">
            <v>B272-400-AS-280-PP-106</v>
          </cell>
          <cell r="E11608" t="str">
            <v>G-28</v>
          </cell>
        </row>
        <row r="11609">
          <cell r="B11609" t="str">
            <v>B272-400-AS-280-PP-106</v>
          </cell>
          <cell r="E11609" t="str">
            <v>stack</v>
          </cell>
        </row>
        <row r="11610">
          <cell r="B11610" t="str">
            <v>B272-400-AS-280-PP-106</v>
          </cell>
          <cell r="E11610" t="str">
            <v>G-28</v>
          </cell>
        </row>
        <row r="11611">
          <cell r="B11611" t="str">
            <v>B272-400-AS-280-PP-106</v>
          </cell>
          <cell r="E11611" t="str">
            <v>stack</v>
          </cell>
        </row>
        <row r="11612">
          <cell r="B11612" t="str">
            <v>B272-400-AS-280-PP-106</v>
          </cell>
          <cell r="E11612" t="str">
            <v>G-28</v>
          </cell>
        </row>
        <row r="11613">
          <cell r="B11613" t="str">
            <v>B272-400-AS-280-PP-106</v>
          </cell>
          <cell r="E11613" t="str">
            <v>stack</v>
          </cell>
        </row>
        <row r="11614">
          <cell r="B11614" t="str">
            <v>B272-400-AS-280-PP-106</v>
          </cell>
          <cell r="E11614" t="str">
            <v>G-28</v>
          </cell>
        </row>
        <row r="11615">
          <cell r="B11615" t="str">
            <v>B272-400-AS-280-PP-106</v>
          </cell>
          <cell r="E11615" t="str">
            <v>stack</v>
          </cell>
        </row>
        <row r="11616">
          <cell r="B11616" t="str">
            <v>B272-400-AS-280-PP-106</v>
          </cell>
          <cell r="E11616" t="str">
            <v>G-28</v>
          </cell>
        </row>
        <row r="11617">
          <cell r="B11617" t="str">
            <v>B272-400-AS-280-PP-106</v>
          </cell>
          <cell r="E11617" t="str">
            <v>stack</v>
          </cell>
        </row>
        <row r="11618">
          <cell r="B11618" t="str">
            <v>B272-400-AS-280-PP-106</v>
          </cell>
          <cell r="E11618" t="str">
            <v>G-28</v>
          </cell>
        </row>
        <row r="11619">
          <cell r="B11619" t="str">
            <v>B272-400-AS-280-PP-106</v>
          </cell>
          <cell r="E11619" t="str">
            <v>stack</v>
          </cell>
        </row>
        <row r="11620">
          <cell r="B11620" t="str">
            <v>B272-400-AS-280-PP-106</v>
          </cell>
          <cell r="E11620" t="str">
            <v>G-28</v>
          </cell>
        </row>
        <row r="11621">
          <cell r="B11621" t="str">
            <v>B272-400-AS-280-PP-106</v>
          </cell>
          <cell r="E11621" t="str">
            <v>stack</v>
          </cell>
        </row>
        <row r="11622">
          <cell r="B11622" t="str">
            <v>B272-400-AS-280-PP-106</v>
          </cell>
          <cell r="E11622" t="str">
            <v>G-28</v>
          </cell>
        </row>
        <row r="11623">
          <cell r="B11623" t="str">
            <v>B272-400-AS-280-PP-106</v>
          </cell>
          <cell r="E11623" t="str">
            <v>stack</v>
          </cell>
        </row>
        <row r="11624">
          <cell r="B11624" t="str">
            <v>B272-400-AS-280-PP-106</v>
          </cell>
          <cell r="E11624" t="str">
            <v>G-28</v>
          </cell>
        </row>
        <row r="11625">
          <cell r="B11625" t="str">
            <v>B272-400-AS-280-PP-106</v>
          </cell>
          <cell r="E11625" t="str">
            <v>stack</v>
          </cell>
        </row>
        <row r="11626">
          <cell r="B11626" t="str">
            <v>B272-400-AS-280-PP-106</v>
          </cell>
          <cell r="E11626" t="str">
            <v>G-28</v>
          </cell>
        </row>
        <row r="11627">
          <cell r="B11627" t="str">
            <v>B272-400-AS-280-PP-106</v>
          </cell>
          <cell r="E11627" t="str">
            <v>stack</v>
          </cell>
        </row>
        <row r="11628">
          <cell r="B11628" t="str">
            <v>B272-400-AS-280-PP-106</v>
          </cell>
          <cell r="E11628" t="str">
            <v>G-28</v>
          </cell>
        </row>
        <row r="11629">
          <cell r="B11629" t="str">
            <v>B272-400-AS-280-PP-106</v>
          </cell>
          <cell r="E11629" t="str">
            <v>stack</v>
          </cell>
        </row>
        <row r="11630">
          <cell r="B11630" t="str">
            <v>B272-400-AS-280-PP-106</v>
          </cell>
          <cell r="E11630" t="str">
            <v>G-28</v>
          </cell>
        </row>
        <row r="11631">
          <cell r="B11631" t="str">
            <v>B272-400-AS-280-PP-106</v>
          </cell>
          <cell r="E11631" t="str">
            <v>stack</v>
          </cell>
        </row>
        <row r="11632">
          <cell r="B11632" t="str">
            <v>B272-400-AS-280-PP-106</v>
          </cell>
          <cell r="E11632" t="str">
            <v>G-28</v>
          </cell>
        </row>
        <row r="11633">
          <cell r="B11633" t="str">
            <v>B272-400-AS-280-PP-106</v>
          </cell>
          <cell r="E11633" t="str">
            <v>stack</v>
          </cell>
        </row>
        <row r="11634">
          <cell r="B11634" t="str">
            <v>B272-400-AS-280-PP-106</v>
          </cell>
          <cell r="E11634" t="str">
            <v>G-28</v>
          </cell>
        </row>
        <row r="11635">
          <cell r="B11635" t="str">
            <v>B272-400-AS-280-PP-106</v>
          </cell>
          <cell r="E11635" t="str">
            <v>stack</v>
          </cell>
        </row>
        <row r="11636">
          <cell r="B11636" t="str">
            <v>B272-400-AS-280-PP-106</v>
          </cell>
          <cell r="E11636" t="str">
            <v>G-28</v>
          </cell>
        </row>
        <row r="11637">
          <cell r="B11637" t="str">
            <v>B272-400-AS-280-PP-106</v>
          </cell>
          <cell r="E11637" t="str">
            <v>stack</v>
          </cell>
        </row>
        <row r="11638">
          <cell r="B11638" t="str">
            <v>B272-400-AS-280-PP-106</v>
          </cell>
          <cell r="E11638" t="str">
            <v>G-28</v>
          </cell>
        </row>
        <row r="11639">
          <cell r="B11639" t="str">
            <v>B272-400-AS-280-PP-106</v>
          </cell>
          <cell r="E11639" t="str">
            <v>stack</v>
          </cell>
        </row>
        <row r="11640">
          <cell r="B11640" t="str">
            <v>B272-400-AS-280-PP-106</v>
          </cell>
          <cell r="E11640" t="str">
            <v>G-28</v>
          </cell>
        </row>
        <row r="11641">
          <cell r="B11641" t="str">
            <v>B272-400-AS-280-PP-106</v>
          </cell>
          <cell r="E11641" t="str">
            <v>stack</v>
          </cell>
        </row>
        <row r="11642">
          <cell r="B11642" t="str">
            <v>B272-400-AS-280-PP-106</v>
          </cell>
          <cell r="E11642" t="str">
            <v>G-28</v>
          </cell>
        </row>
        <row r="11643">
          <cell r="B11643" t="str">
            <v>B272-400-AS-280-PP-106</v>
          </cell>
          <cell r="E11643" t="str">
            <v>stack</v>
          </cell>
        </row>
        <row r="11644">
          <cell r="B11644" t="str">
            <v>B272-400-AS-280-PP-106</v>
          </cell>
          <cell r="E11644" t="str">
            <v>G-28</v>
          </cell>
        </row>
        <row r="11645">
          <cell r="B11645" t="str">
            <v>B272-400-AS-280-PP-106</v>
          </cell>
          <cell r="E11645" t="str">
            <v>stack</v>
          </cell>
        </row>
        <row r="11646">
          <cell r="B11646" t="str">
            <v>B272-400-AS-280-PP-106</v>
          </cell>
          <cell r="E11646" t="str">
            <v>G-28</v>
          </cell>
        </row>
        <row r="11647">
          <cell r="B11647" t="str">
            <v>B272-400-AS-280-PP-106</v>
          </cell>
          <cell r="E11647" t="str">
            <v>stack</v>
          </cell>
        </row>
        <row r="11648">
          <cell r="B11648" t="str">
            <v>B272-400-AS-280-PP-106</v>
          </cell>
          <cell r="E11648" t="str">
            <v>G-28</v>
          </cell>
        </row>
        <row r="11649">
          <cell r="B11649" t="str">
            <v>B272-400-AS-280-PP-106</v>
          </cell>
          <cell r="E11649" t="str">
            <v>stack</v>
          </cell>
        </row>
        <row r="11650">
          <cell r="B11650" t="str">
            <v>B272-400-AS-280-PP-106</v>
          </cell>
          <cell r="E11650" t="str">
            <v>G-28</v>
          </cell>
        </row>
        <row r="11651">
          <cell r="B11651" t="str">
            <v>B272-400-AS-280-PP-106</v>
          </cell>
          <cell r="E11651" t="str">
            <v>stack</v>
          </cell>
        </row>
        <row r="11652">
          <cell r="B11652" t="str">
            <v>B272-400-AS-280-PP-106</v>
          </cell>
          <cell r="E11652" t="str">
            <v>G-28</v>
          </cell>
        </row>
        <row r="11653">
          <cell r="B11653" t="str">
            <v>B272-400-AS-280-PP-106</v>
          </cell>
          <cell r="E11653" t="str">
            <v>stack</v>
          </cell>
        </row>
        <row r="11654">
          <cell r="B11654" t="str">
            <v>B272-400-AS-280-PP-106</v>
          </cell>
          <cell r="E11654" t="str">
            <v>G-28</v>
          </cell>
        </row>
        <row r="11655">
          <cell r="B11655" t="str">
            <v>B272-400-AS-280-PP-106</v>
          </cell>
          <cell r="E11655" t="str">
            <v>stack</v>
          </cell>
        </row>
        <row r="11656">
          <cell r="B11656" t="str">
            <v>B272-400-AS-280-PP-106</v>
          </cell>
          <cell r="E11656" t="str">
            <v>G-28</v>
          </cell>
        </row>
        <row r="11657">
          <cell r="B11657" t="str">
            <v>B272-400-AS-280-PP-106</v>
          </cell>
          <cell r="E11657" t="str">
            <v>stack</v>
          </cell>
        </row>
        <row r="11658">
          <cell r="B11658" t="str">
            <v>B272-400-AS-280-PP-106</v>
          </cell>
          <cell r="E11658" t="str">
            <v>G-28</v>
          </cell>
        </row>
        <row r="11659">
          <cell r="B11659" t="str">
            <v>B272-400-AS-280-PP-106</v>
          </cell>
          <cell r="E11659" t="str">
            <v>stack</v>
          </cell>
        </row>
        <row r="11660">
          <cell r="B11660" t="str">
            <v>B272-400-AS-280-PP-106</v>
          </cell>
          <cell r="E11660" t="str">
            <v>G-28</v>
          </cell>
        </row>
        <row r="11661">
          <cell r="B11661" t="str">
            <v>B272-400-AS-280-PP-106</v>
          </cell>
          <cell r="E11661" t="str">
            <v>stack</v>
          </cell>
        </row>
        <row r="11662">
          <cell r="B11662" t="str">
            <v>B272-400-AS-280-PP-106</v>
          </cell>
          <cell r="E11662" t="str">
            <v>G-28</v>
          </cell>
        </row>
        <row r="11663">
          <cell r="B11663" t="str">
            <v>B272-400-AS-280-PP-106</v>
          </cell>
          <cell r="E11663" t="str">
            <v>stack</v>
          </cell>
        </row>
        <row r="11664">
          <cell r="B11664" t="str">
            <v>B272-400-AS-280-PP-106</v>
          </cell>
          <cell r="E11664" t="str">
            <v>G-28</v>
          </cell>
        </row>
        <row r="11665">
          <cell r="B11665" t="str">
            <v>B272-400-AS-280-PP-106</v>
          </cell>
          <cell r="E11665" t="str">
            <v>stack</v>
          </cell>
        </row>
        <row r="11666">
          <cell r="B11666" t="str">
            <v>B272-400-AS-280-PP-106</v>
          </cell>
          <cell r="E11666" t="str">
            <v>G-28</v>
          </cell>
        </row>
        <row r="11667">
          <cell r="B11667" t="str">
            <v>B272-400-AS-280-PP-106</v>
          </cell>
          <cell r="E11667" t="str">
            <v>stack</v>
          </cell>
        </row>
        <row r="11668">
          <cell r="B11668" t="str">
            <v>B272-400-AS-280-PP-106</v>
          </cell>
          <cell r="E11668" t="str">
            <v>G-28</v>
          </cell>
        </row>
        <row r="11669">
          <cell r="B11669" t="str">
            <v>B272-400-AS-280-PP-106</v>
          </cell>
          <cell r="E11669" t="str">
            <v>stack</v>
          </cell>
        </row>
        <row r="11670">
          <cell r="B11670" t="str">
            <v>B272-400-AS-280-PP-106</v>
          </cell>
          <cell r="E11670" t="str">
            <v>G-28</v>
          </cell>
        </row>
        <row r="11671">
          <cell r="B11671" t="str">
            <v>B272-400-AS-280-PP-106</v>
          </cell>
          <cell r="E11671" t="str">
            <v>stack</v>
          </cell>
        </row>
        <row r="11672">
          <cell r="B11672" t="str">
            <v>B272-400-AS-280-PP-106</v>
          </cell>
          <cell r="E11672" t="str">
            <v>G-28</v>
          </cell>
        </row>
        <row r="11673">
          <cell r="B11673" t="str">
            <v>B272-400-AS-280-PP-106</v>
          </cell>
          <cell r="E11673" t="str">
            <v>stack</v>
          </cell>
        </row>
        <row r="11674">
          <cell r="B11674" t="str">
            <v>B272-400-AS-280-PP-106</v>
          </cell>
          <cell r="E11674" t="str">
            <v>G-28</v>
          </cell>
        </row>
        <row r="11675">
          <cell r="B11675" t="str">
            <v>B272-400-AS-280-PP-106</v>
          </cell>
          <cell r="E11675" t="str">
            <v>stack</v>
          </cell>
        </row>
        <row r="11676">
          <cell r="B11676" t="str">
            <v>B272-400-AS-280-PP-106</v>
          </cell>
          <cell r="E11676" t="str">
            <v>G-28</v>
          </cell>
        </row>
        <row r="11677">
          <cell r="B11677" t="str">
            <v>B272-400-AS-280-PP-106</v>
          </cell>
          <cell r="E11677" t="str">
            <v>stack</v>
          </cell>
        </row>
        <row r="11678">
          <cell r="B11678" t="str">
            <v>B272-400-AS-280-PP-106</v>
          </cell>
          <cell r="E11678" t="str">
            <v>G-28</v>
          </cell>
        </row>
        <row r="11679">
          <cell r="B11679" t="str">
            <v>B272-400-AS-280-PP-106</v>
          </cell>
          <cell r="E11679" t="str">
            <v>stack</v>
          </cell>
        </row>
        <row r="11680">
          <cell r="B11680" t="str">
            <v>B272-400-AS-280-PP-106</v>
          </cell>
          <cell r="E11680" t="str">
            <v>G-28</v>
          </cell>
        </row>
        <row r="11681">
          <cell r="B11681" t="str">
            <v>B272-400-AS-280-PP-106</v>
          </cell>
          <cell r="E11681" t="str">
            <v>stack</v>
          </cell>
        </row>
        <row r="11682">
          <cell r="B11682" t="str">
            <v>B272-400-AS-280-PP-106</v>
          </cell>
          <cell r="E11682" t="str">
            <v>G-28</v>
          </cell>
        </row>
        <row r="11683">
          <cell r="B11683" t="str">
            <v>B272-400-AS-280-PP-106</v>
          </cell>
          <cell r="E11683" t="str">
            <v>stack</v>
          </cell>
        </row>
        <row r="11684">
          <cell r="B11684" t="str">
            <v>B272-400-AS-280-PP-106</v>
          </cell>
          <cell r="E11684" t="str">
            <v>G-28</v>
          </cell>
        </row>
        <row r="11685">
          <cell r="B11685" t="str">
            <v>B272-400-AS-280-PP-106</v>
          </cell>
          <cell r="E11685" t="str">
            <v>stack</v>
          </cell>
        </row>
        <row r="11686">
          <cell r="B11686" t="str">
            <v>B272-400-AS-280-PP-106</v>
          </cell>
          <cell r="E11686" t="str">
            <v>G-28</v>
          </cell>
        </row>
        <row r="11687">
          <cell r="B11687" t="str">
            <v>B272-400-AS-280-PP-106</v>
          </cell>
          <cell r="E11687" t="str">
            <v>stack</v>
          </cell>
        </row>
        <row r="11688">
          <cell r="B11688" t="str">
            <v>B272-400-AS-280-PP-106</v>
          </cell>
          <cell r="E11688" t="str">
            <v>G-28</v>
          </cell>
        </row>
        <row r="11689">
          <cell r="B11689" t="str">
            <v>B272-400-AS-280-PP-106</v>
          </cell>
          <cell r="E11689" t="str">
            <v>stack</v>
          </cell>
        </row>
        <row r="11690">
          <cell r="B11690" t="str">
            <v>B272-400-AS-280-PP-106</v>
          </cell>
          <cell r="E11690" t="str">
            <v>G-28</v>
          </cell>
        </row>
        <row r="11691">
          <cell r="B11691" t="str">
            <v>B272-400-AS-280-PP-106</v>
          </cell>
          <cell r="E11691" t="str">
            <v>stack</v>
          </cell>
        </row>
        <row r="11692">
          <cell r="B11692" t="str">
            <v>B272-400-AS-280-PP-106</v>
          </cell>
          <cell r="E11692" t="str">
            <v>G-28</v>
          </cell>
        </row>
        <row r="11693">
          <cell r="B11693" t="str">
            <v>B272-400-AS-280-PP-106</v>
          </cell>
          <cell r="E11693" t="str">
            <v>stack</v>
          </cell>
        </row>
        <row r="11694">
          <cell r="B11694" t="str">
            <v>B272-400-AS-280-PP-106</v>
          </cell>
          <cell r="E11694" t="str">
            <v>G-28</v>
          </cell>
        </row>
        <row r="11695">
          <cell r="B11695" t="str">
            <v>B272-400-AS-280-PP-106</v>
          </cell>
          <cell r="E11695" t="str">
            <v>stack</v>
          </cell>
        </row>
        <row r="11696">
          <cell r="B11696" t="str">
            <v>B272-400-AS-280-PP-106</v>
          </cell>
          <cell r="E11696" t="str">
            <v>G-28</v>
          </cell>
        </row>
        <row r="11697">
          <cell r="B11697" t="str">
            <v>B272-400-AS-280-PP-106</v>
          </cell>
          <cell r="E11697" t="str">
            <v>stack</v>
          </cell>
        </row>
        <row r="11698">
          <cell r="B11698" t="str">
            <v>B272-400-AS-280-PP-106</v>
          </cell>
          <cell r="E11698" t="str">
            <v>G-28</v>
          </cell>
        </row>
        <row r="11699">
          <cell r="B11699" t="str">
            <v>B272-400-AS-280-PP-106</v>
          </cell>
          <cell r="E11699" t="str">
            <v>stack</v>
          </cell>
        </row>
        <row r="11700">
          <cell r="B11700" t="str">
            <v>B272-400-AS-280-PP-106</v>
          </cell>
          <cell r="E11700" t="str">
            <v>G-28</v>
          </cell>
        </row>
        <row r="11701">
          <cell r="B11701" t="str">
            <v>B272-400-AS-280-PP-106</v>
          </cell>
          <cell r="E11701" t="str">
            <v>stack</v>
          </cell>
        </row>
        <row r="11702">
          <cell r="B11702" t="str">
            <v>B272-400-AS-280-PP-106</v>
          </cell>
          <cell r="E11702" t="str">
            <v>G-28</v>
          </cell>
        </row>
        <row r="11703">
          <cell r="B11703" t="str">
            <v>B272-400-AS-280-PP-106</v>
          </cell>
          <cell r="E11703" t="str">
            <v>stack</v>
          </cell>
        </row>
        <row r="11704">
          <cell r="B11704" t="str">
            <v>B272-400-AS-280-PP-106</v>
          </cell>
          <cell r="E11704" t="str">
            <v>G-28</v>
          </cell>
        </row>
        <row r="11705">
          <cell r="B11705" t="str">
            <v>B272-400-AS-280-PP-106</v>
          </cell>
          <cell r="E11705" t="str">
            <v>stack</v>
          </cell>
        </row>
        <row r="11706">
          <cell r="B11706" t="str">
            <v>B272-400-AS-280-PP-106</v>
          </cell>
          <cell r="E11706" t="str">
            <v>G-28</v>
          </cell>
        </row>
        <row r="11707">
          <cell r="B11707" t="str">
            <v>B272-400-AS-280-PP-106</v>
          </cell>
          <cell r="E11707" t="str">
            <v>stack</v>
          </cell>
        </row>
        <row r="11708">
          <cell r="B11708" t="str">
            <v>B272-400-AS-280-PP-106</v>
          </cell>
          <cell r="E11708" t="str">
            <v>G-28</v>
          </cell>
        </row>
        <row r="11709">
          <cell r="B11709" t="str">
            <v>B272-400-AS-280-PP-106</v>
          </cell>
          <cell r="E11709" t="str">
            <v>stack</v>
          </cell>
        </row>
        <row r="11710">
          <cell r="B11710" t="str">
            <v>B272-400-AS-280-PP-106</v>
          </cell>
          <cell r="E11710" t="str">
            <v>G-28</v>
          </cell>
        </row>
        <row r="11711">
          <cell r="B11711" t="str">
            <v>B272-400-AS-280-PP-106</v>
          </cell>
          <cell r="E11711" t="str">
            <v>stack</v>
          </cell>
        </row>
        <row r="11712">
          <cell r="B11712" t="str">
            <v>B272-400-AS-280-PP-106</v>
          </cell>
          <cell r="E11712" t="str">
            <v>G-28</v>
          </cell>
        </row>
        <row r="11713">
          <cell r="B11713" t="str">
            <v>B272-400-AS-280-PP-106</v>
          </cell>
          <cell r="E11713" t="str">
            <v>stack</v>
          </cell>
        </row>
        <row r="11714">
          <cell r="B11714" t="str">
            <v>B272-400-AS-280-PP-106</v>
          </cell>
          <cell r="E11714" t="str">
            <v>G-28</v>
          </cell>
        </row>
        <row r="11715">
          <cell r="B11715" t="str">
            <v>B272-400-AS-280-PP-106</v>
          </cell>
          <cell r="E11715" t="str">
            <v>stack</v>
          </cell>
        </row>
        <row r="11716">
          <cell r="B11716" t="str">
            <v>B272-400-AS-280-PP-106</v>
          </cell>
          <cell r="E11716" t="str">
            <v>G-28</v>
          </cell>
        </row>
        <row r="11717">
          <cell r="B11717" t="str">
            <v>B272-400-AS-280-PP-106</v>
          </cell>
          <cell r="E11717" t="str">
            <v>stack</v>
          </cell>
        </row>
        <row r="11718">
          <cell r="B11718" t="str">
            <v>B272-400-AS-280-PP-106</v>
          </cell>
          <cell r="E11718" t="str">
            <v>G-28</v>
          </cell>
        </row>
        <row r="11719">
          <cell r="B11719" t="str">
            <v>B272-400-AS-280-PP-106</v>
          </cell>
          <cell r="E11719" t="str">
            <v>stack</v>
          </cell>
        </row>
        <row r="11720">
          <cell r="B11720" t="str">
            <v>B272-400-AS-280-PP-106</v>
          </cell>
          <cell r="E11720" t="str">
            <v>G-28</v>
          </cell>
        </row>
        <row r="11721">
          <cell r="B11721" t="str">
            <v>B272-400-AS-280-PP-106</v>
          </cell>
          <cell r="E11721" t="str">
            <v>stack</v>
          </cell>
        </row>
        <row r="11722">
          <cell r="B11722" t="str">
            <v>B272-400-AS-280-PP-106</v>
          </cell>
          <cell r="E11722" t="str">
            <v>G-28</v>
          </cell>
        </row>
        <row r="11723">
          <cell r="B11723" t="str">
            <v>B272-400-AS-280-PP-106</v>
          </cell>
          <cell r="E11723" t="str">
            <v>stack</v>
          </cell>
        </row>
        <row r="11724">
          <cell r="B11724" t="str">
            <v>B272-400-AS-280-PP-106</v>
          </cell>
          <cell r="E11724" t="str">
            <v>G-28</v>
          </cell>
        </row>
        <row r="11725">
          <cell r="B11725" t="str">
            <v>B272-400-AS-280-PP-106</v>
          </cell>
          <cell r="E11725" t="str">
            <v>stack</v>
          </cell>
        </row>
        <row r="11726">
          <cell r="B11726" t="str">
            <v>B272-400-AS-280-PP-106</v>
          </cell>
          <cell r="E11726" t="str">
            <v>G-28</v>
          </cell>
        </row>
        <row r="11727">
          <cell r="B11727" t="str">
            <v>B272-400-AS-280-PP-106</v>
          </cell>
          <cell r="E11727" t="str">
            <v>stack</v>
          </cell>
        </row>
        <row r="11728">
          <cell r="B11728" t="str">
            <v>B272-400-AS-280-PP-106</v>
          </cell>
          <cell r="E11728" t="str">
            <v>G-28</v>
          </cell>
        </row>
        <row r="11729">
          <cell r="B11729" t="str">
            <v>B272-400-AS-280-PP-106</v>
          </cell>
          <cell r="E11729" t="str">
            <v>stack</v>
          </cell>
        </row>
        <row r="11730">
          <cell r="B11730" t="str">
            <v>B272-400-AS-280-PP-106</v>
          </cell>
          <cell r="E11730" t="str">
            <v>G-28</v>
          </cell>
        </row>
        <row r="11731">
          <cell r="B11731" t="str">
            <v>B272-400-AS-280-PP-106</v>
          </cell>
          <cell r="E11731" t="str">
            <v>stack</v>
          </cell>
        </row>
        <row r="11732">
          <cell r="B11732" t="str">
            <v>B272-400-AS-280-PP-106</v>
          </cell>
          <cell r="E11732" t="str">
            <v>G-28</v>
          </cell>
        </row>
        <row r="11733">
          <cell r="B11733" t="str">
            <v>B272-400-AS-280-PP-106</v>
          </cell>
          <cell r="E11733" t="str">
            <v>stack</v>
          </cell>
        </row>
        <row r="11734">
          <cell r="B11734" t="str">
            <v>B272-400-AS-280-PP-106</v>
          </cell>
          <cell r="E11734" t="str">
            <v>G-28</v>
          </cell>
        </row>
        <row r="11735">
          <cell r="B11735" t="str">
            <v>B272-400-AS-280-PP-106</v>
          </cell>
          <cell r="E11735" t="str">
            <v>stack</v>
          </cell>
        </row>
        <row r="11736">
          <cell r="B11736" t="str">
            <v>B272-400-AS-280-PP-106</v>
          </cell>
          <cell r="E11736" t="str">
            <v>G-28</v>
          </cell>
        </row>
        <row r="11737">
          <cell r="B11737" t="str">
            <v>B272-400-AS-280-PP-106</v>
          </cell>
          <cell r="E11737" t="str">
            <v>stack</v>
          </cell>
        </row>
        <row r="11738">
          <cell r="B11738" t="str">
            <v>B272-400-AS-280-PP-106</v>
          </cell>
          <cell r="E11738" t="str">
            <v>G-28</v>
          </cell>
        </row>
        <row r="11739">
          <cell r="B11739" t="str">
            <v>B272-400-AS-280-PP-106</v>
          </cell>
          <cell r="E11739" t="str">
            <v>stack</v>
          </cell>
        </row>
        <row r="11740">
          <cell r="B11740" t="str">
            <v>B272-400-AS-280-PP-106</v>
          </cell>
          <cell r="E11740" t="str">
            <v>G-28</v>
          </cell>
        </row>
        <row r="11741">
          <cell r="B11741" t="str">
            <v>B272-400-AS-280-PP-106</v>
          </cell>
          <cell r="E11741" t="str">
            <v>stack</v>
          </cell>
        </row>
        <row r="11742">
          <cell r="B11742" t="str">
            <v>B272-400-AS-280-PP-106</v>
          </cell>
          <cell r="E11742" t="str">
            <v>G-28</v>
          </cell>
        </row>
        <row r="11743">
          <cell r="B11743" t="str">
            <v>B272-400-AS-280-PP-106</v>
          </cell>
          <cell r="E11743" t="str">
            <v>stack</v>
          </cell>
        </row>
        <row r="11744">
          <cell r="B11744" t="str">
            <v>B272-400-AS-280-PP-106</v>
          </cell>
          <cell r="E11744" t="str">
            <v>G-28</v>
          </cell>
        </row>
        <row r="11745">
          <cell r="B11745" t="str">
            <v>B272-400-AS-280-PP-106</v>
          </cell>
          <cell r="E11745" t="str">
            <v>stack</v>
          </cell>
        </row>
        <row r="11746">
          <cell r="B11746" t="str">
            <v>B272-400-AS-280-PP-106</v>
          </cell>
          <cell r="E11746" t="str">
            <v>G-28</v>
          </cell>
        </row>
        <row r="11747">
          <cell r="B11747" t="str">
            <v>B272-400-AS-280-PP-106</v>
          </cell>
          <cell r="E11747" t="str">
            <v>stack</v>
          </cell>
        </row>
        <row r="11748">
          <cell r="B11748" t="str">
            <v>B272-400-AS-280-PP-106</v>
          </cell>
          <cell r="E11748" t="str">
            <v>G-28</v>
          </cell>
        </row>
        <row r="11749">
          <cell r="B11749" t="str">
            <v>B272-400-AS-280-PP-106</v>
          </cell>
          <cell r="E11749" t="str">
            <v>stack</v>
          </cell>
        </row>
        <row r="11750">
          <cell r="B11750" t="str">
            <v>B272-400-AS-280-PP-106</v>
          </cell>
          <cell r="E11750" t="str">
            <v>G-28</v>
          </cell>
        </row>
        <row r="11751">
          <cell r="B11751" t="str">
            <v>B272-400-AS-280-PP-106</v>
          </cell>
          <cell r="E11751" t="str">
            <v>stack</v>
          </cell>
        </row>
        <row r="11752">
          <cell r="B11752" t="str">
            <v>B272-400-AS-280-PP-106</v>
          </cell>
          <cell r="E11752" t="str">
            <v>G-28</v>
          </cell>
        </row>
        <row r="11753">
          <cell r="B11753" t="str">
            <v>B272-400-AS-280-PP-106</v>
          </cell>
          <cell r="E11753" t="str">
            <v>stack</v>
          </cell>
        </row>
        <row r="11754">
          <cell r="B11754" t="str">
            <v>B272-400-AS-280-PP-106</v>
          </cell>
          <cell r="E11754" t="str">
            <v>G-28</v>
          </cell>
        </row>
        <row r="11755">
          <cell r="B11755" t="str">
            <v>B272-400-AS-280-PP-106</v>
          </cell>
          <cell r="E11755" t="str">
            <v>stack</v>
          </cell>
        </row>
        <row r="11756">
          <cell r="B11756" t="str">
            <v>B272-400-AS-280-PP-106</v>
          </cell>
          <cell r="E11756" t="str">
            <v>G-28</v>
          </cell>
        </row>
        <row r="11757">
          <cell r="B11757" t="str">
            <v>B272-400-AS-280-PP-106</v>
          </cell>
          <cell r="E11757" t="str">
            <v>stack</v>
          </cell>
        </row>
        <row r="11758">
          <cell r="B11758" t="str">
            <v>B272-400-AS-280-PP-106</v>
          </cell>
          <cell r="E11758" t="str">
            <v>G-28</v>
          </cell>
        </row>
        <row r="11759">
          <cell r="B11759" t="str">
            <v>B272-400-AS-280-PP-106</v>
          </cell>
          <cell r="E11759" t="str">
            <v>stack</v>
          </cell>
        </row>
        <row r="11760">
          <cell r="B11760" t="str">
            <v>B272-400-AS-280-PP-106</v>
          </cell>
          <cell r="E11760" t="str">
            <v>G-28</v>
          </cell>
        </row>
        <row r="11761">
          <cell r="B11761" t="str">
            <v>B272-400-AS-280-PP-106</v>
          </cell>
          <cell r="E11761" t="str">
            <v>stack</v>
          </cell>
        </row>
        <row r="11762">
          <cell r="B11762" t="str">
            <v>B272-400-AS-280-PP-106</v>
          </cell>
          <cell r="E11762" t="str">
            <v>G-28</v>
          </cell>
        </row>
        <row r="11763">
          <cell r="B11763" t="str">
            <v>B272-400-AS-280-PP-106</v>
          </cell>
          <cell r="E11763" t="str">
            <v>stack</v>
          </cell>
        </row>
        <row r="11764">
          <cell r="B11764" t="str">
            <v>B272-400-AS-280-PP-106</v>
          </cell>
          <cell r="E11764" t="str">
            <v>G-28</v>
          </cell>
        </row>
        <row r="11765">
          <cell r="B11765" t="str">
            <v>B272-400-AS-280-PP-106</v>
          </cell>
          <cell r="E11765" t="str">
            <v>stack</v>
          </cell>
        </row>
        <row r="11766">
          <cell r="B11766" t="str">
            <v>B272-400-AS-280-PP-106</v>
          </cell>
          <cell r="E11766" t="str">
            <v>G-28</v>
          </cell>
        </row>
        <row r="11767">
          <cell r="B11767" t="str">
            <v>B272-400-AS-280-PP-106</v>
          </cell>
          <cell r="E11767" t="str">
            <v>stack</v>
          </cell>
        </row>
        <row r="11768">
          <cell r="B11768" t="str">
            <v>B272-400-AS-280-PP-106</v>
          </cell>
          <cell r="E11768" t="str">
            <v>G-28</v>
          </cell>
        </row>
        <row r="11769">
          <cell r="B11769" t="str">
            <v>B272-400-AS-280-PP-106</v>
          </cell>
          <cell r="E11769" t="str">
            <v>stack</v>
          </cell>
        </row>
        <row r="11770">
          <cell r="B11770" t="str">
            <v>B272-400-AS-280-PP-106</v>
          </cell>
          <cell r="E11770" t="str">
            <v>G-28</v>
          </cell>
        </row>
        <row r="11771">
          <cell r="B11771" t="str">
            <v>B272-400-AS-280-PP-106</v>
          </cell>
          <cell r="E11771" t="str">
            <v>stack</v>
          </cell>
        </row>
        <row r="11772">
          <cell r="B11772" t="str">
            <v>B272-400-AS-280-PP-106</v>
          </cell>
          <cell r="E11772" t="str">
            <v>G-28</v>
          </cell>
        </row>
        <row r="11773">
          <cell r="B11773" t="str">
            <v>B272-400-AS-280-PP-106</v>
          </cell>
          <cell r="E11773" t="str">
            <v>stack</v>
          </cell>
        </row>
        <row r="11774">
          <cell r="B11774" t="str">
            <v>B272-400-AS-280-PP-106</v>
          </cell>
          <cell r="E11774" t="str">
            <v>G-28</v>
          </cell>
        </row>
        <row r="11775">
          <cell r="B11775" t="str">
            <v>B272-400-AS-280-PP-106</v>
          </cell>
          <cell r="E11775" t="str">
            <v>stack</v>
          </cell>
        </row>
        <row r="11776">
          <cell r="B11776" t="str">
            <v>B272-400-AS-280-PP-106</v>
          </cell>
          <cell r="E11776" t="str">
            <v>G-28</v>
          </cell>
        </row>
        <row r="11777">
          <cell r="B11777" t="str">
            <v>B272-400-AS-280-PP-106</v>
          </cell>
          <cell r="E11777" t="str">
            <v>stack</v>
          </cell>
        </row>
        <row r="11778">
          <cell r="B11778" t="str">
            <v>B272-400-AS-280-PP-106</v>
          </cell>
          <cell r="E11778" t="str">
            <v>G-28</v>
          </cell>
        </row>
        <row r="11779">
          <cell r="B11779" t="str">
            <v>B272-400-AS-280-PP-106</v>
          </cell>
          <cell r="E11779" t="str">
            <v>stack</v>
          </cell>
        </row>
        <row r="11780">
          <cell r="B11780" t="str">
            <v>B272-400-AS-280-PP-106</v>
          </cell>
          <cell r="E11780" t="str">
            <v>G-28</v>
          </cell>
        </row>
        <row r="11781">
          <cell r="B11781" t="str">
            <v>B272-400-AS-280-PP-106</v>
          </cell>
          <cell r="E11781" t="str">
            <v>stack</v>
          </cell>
        </row>
        <row r="11782">
          <cell r="B11782" t="str">
            <v>B272-400-AS-280-PP-106</v>
          </cell>
          <cell r="E11782" t="str">
            <v>G-28</v>
          </cell>
        </row>
        <row r="11783">
          <cell r="B11783" t="str">
            <v>B272-400-AS-280-PP-106</v>
          </cell>
          <cell r="E11783" t="str">
            <v>stack</v>
          </cell>
        </row>
        <row r="11784">
          <cell r="B11784" t="str">
            <v>B272-400-AS-280-PP-106</v>
          </cell>
          <cell r="E11784" t="str">
            <v>G-28</v>
          </cell>
        </row>
        <row r="11785">
          <cell r="B11785" t="str">
            <v>B272-400-AS-280-PP-106</v>
          </cell>
          <cell r="E11785" t="str">
            <v>stack</v>
          </cell>
        </row>
        <row r="11786">
          <cell r="B11786" t="str">
            <v>B272-400-AS-280-PP-106</v>
          </cell>
          <cell r="E11786" t="str">
            <v>G-28</v>
          </cell>
        </row>
        <row r="11787">
          <cell r="B11787" t="str">
            <v>B272-400-AS-280-PP-106</v>
          </cell>
          <cell r="E11787" t="str">
            <v>stack</v>
          </cell>
        </row>
        <row r="11788">
          <cell r="B11788" t="str">
            <v>B272-400-AS-280-PP-106</v>
          </cell>
          <cell r="E11788" t="str">
            <v>G-28</v>
          </cell>
        </row>
        <row r="11789">
          <cell r="B11789" t="str">
            <v>B272-400-AS-280-PP-106</v>
          </cell>
          <cell r="E11789" t="str">
            <v>stack</v>
          </cell>
        </row>
        <row r="11790">
          <cell r="B11790" t="str">
            <v>B272-400-AS-280-PP-106</v>
          </cell>
          <cell r="E11790" t="str">
            <v>G-28</v>
          </cell>
        </row>
        <row r="11791">
          <cell r="B11791" t="str">
            <v>B272-400-AS-280-PP-106</v>
          </cell>
          <cell r="E11791" t="str">
            <v>stack</v>
          </cell>
        </row>
        <row r="11792">
          <cell r="B11792" t="str">
            <v>B272-400-AS-280-PP-106</v>
          </cell>
          <cell r="E11792" t="str">
            <v>G-28</v>
          </cell>
        </row>
        <row r="11793">
          <cell r="B11793" t="str">
            <v>B272-400-AS-280-PP-106</v>
          </cell>
          <cell r="E11793" t="str">
            <v>stack</v>
          </cell>
        </row>
        <row r="11794">
          <cell r="B11794" t="str">
            <v>B272-400-AS-280-PP-106</v>
          </cell>
          <cell r="E11794" t="str">
            <v>G-28</v>
          </cell>
        </row>
        <row r="11795">
          <cell r="B11795" t="str">
            <v>B272-400-AS-280-PP-106</v>
          </cell>
          <cell r="E11795" t="str">
            <v>stack</v>
          </cell>
        </row>
        <row r="11796">
          <cell r="B11796" t="str">
            <v>B272-400-AS-280-PP-106</v>
          </cell>
          <cell r="E11796" t="str">
            <v>G-28</v>
          </cell>
        </row>
        <row r="11797">
          <cell r="B11797" t="str">
            <v>B272-400-AS-280-PP-106</v>
          </cell>
          <cell r="E11797" t="str">
            <v>stack</v>
          </cell>
        </row>
        <row r="11798">
          <cell r="B11798" t="str">
            <v>B272-400-AS-280-PP-106</v>
          </cell>
          <cell r="E11798" t="str">
            <v>G-28</v>
          </cell>
        </row>
        <row r="11799">
          <cell r="B11799" t="str">
            <v>B272-400-AS-280-PP-106</v>
          </cell>
          <cell r="E11799" t="str">
            <v>stack</v>
          </cell>
        </row>
        <row r="11800">
          <cell r="B11800" t="str">
            <v>B272-400-AS-280-PP-106</v>
          </cell>
          <cell r="E11800" t="str">
            <v>G-28</v>
          </cell>
        </row>
        <row r="11801">
          <cell r="B11801" t="str">
            <v>B272-400-AS-280-PP-106</v>
          </cell>
          <cell r="E11801" t="str">
            <v>stack</v>
          </cell>
        </row>
        <row r="11802">
          <cell r="B11802" t="str">
            <v>B272-400-AS-280-PP-106</v>
          </cell>
          <cell r="E11802" t="str">
            <v>G-28</v>
          </cell>
        </row>
        <row r="11803">
          <cell r="B11803" t="str">
            <v>B272-400-AS-280-PP-106</v>
          </cell>
          <cell r="E11803" t="str">
            <v>stack</v>
          </cell>
        </row>
        <row r="11804">
          <cell r="B11804" t="str">
            <v>B272-400-AS-280-PP-106</v>
          </cell>
          <cell r="E11804" t="str">
            <v>G-28</v>
          </cell>
        </row>
        <row r="11805">
          <cell r="B11805" t="str">
            <v>B272-400-AS-280-PP-106</v>
          </cell>
          <cell r="E11805" t="str">
            <v>stack</v>
          </cell>
        </row>
        <row r="11806">
          <cell r="B11806" t="str">
            <v>B272-400-AS-280-PP-106</v>
          </cell>
          <cell r="E11806" t="str">
            <v>G-28</v>
          </cell>
        </row>
        <row r="11807">
          <cell r="B11807" t="str">
            <v>B272-400-AS-280-PP-106</v>
          </cell>
          <cell r="E11807" t="str">
            <v>stack</v>
          </cell>
        </row>
        <row r="11808">
          <cell r="B11808" t="str">
            <v>B272-400-AS-280-PP-106</v>
          </cell>
          <cell r="E11808" t="str">
            <v>G-28</v>
          </cell>
        </row>
        <row r="11809">
          <cell r="B11809" t="str">
            <v>B272-400-AS-280-PP-106</v>
          </cell>
          <cell r="E11809" t="str">
            <v>stack</v>
          </cell>
        </row>
        <row r="11810">
          <cell r="B11810" t="str">
            <v>B272-400-AS-280-PP-106</v>
          </cell>
          <cell r="E11810" t="str">
            <v>G-28</v>
          </cell>
        </row>
        <row r="11811">
          <cell r="B11811" t="str">
            <v>B272-400-AS-280-PP-106</v>
          </cell>
          <cell r="E11811" t="str">
            <v>stack</v>
          </cell>
        </row>
        <row r="11812">
          <cell r="B11812" t="str">
            <v>B272-400-AS-280-PP-106</v>
          </cell>
          <cell r="E11812" t="str">
            <v>G-28</v>
          </cell>
        </row>
        <row r="11813">
          <cell r="B11813" t="str">
            <v>B272-400-AS-280-PP-106</v>
          </cell>
          <cell r="E11813" t="str">
            <v>stack</v>
          </cell>
        </row>
        <row r="11814">
          <cell r="B11814" t="str">
            <v>B272-400-AS-280-PP-106</v>
          </cell>
          <cell r="E11814" t="str">
            <v>G-28</v>
          </cell>
        </row>
        <row r="11815">
          <cell r="B11815" t="str">
            <v>B272-400-AS-280-PP-106</v>
          </cell>
          <cell r="E11815" t="str">
            <v>stack</v>
          </cell>
        </row>
        <row r="11816">
          <cell r="B11816" t="str">
            <v>B272-400-AS-280-PP-106</v>
          </cell>
          <cell r="E11816" t="str">
            <v>G-28</v>
          </cell>
        </row>
        <row r="11817">
          <cell r="B11817" t="str">
            <v>B272-400-AS-280-PP-106</v>
          </cell>
          <cell r="E11817" t="str">
            <v>stack</v>
          </cell>
        </row>
        <row r="11818">
          <cell r="B11818" t="str">
            <v>B272-400-AS-280-PP-106</v>
          </cell>
          <cell r="E11818" t="str">
            <v>G-28</v>
          </cell>
        </row>
        <row r="11819">
          <cell r="B11819" t="str">
            <v>B272-400-AS-280-PP-106</v>
          </cell>
          <cell r="E11819" t="str">
            <v>stack</v>
          </cell>
        </row>
        <row r="11820">
          <cell r="B11820" t="str">
            <v>B272-400-AS-280-PP-106</v>
          </cell>
          <cell r="E11820" t="str">
            <v>G-28</v>
          </cell>
        </row>
        <row r="11821">
          <cell r="B11821" t="str">
            <v>B272-400-AS-280-PP-106</v>
          </cell>
          <cell r="E11821" t="str">
            <v>stack</v>
          </cell>
        </row>
        <row r="11822">
          <cell r="B11822" t="str">
            <v>B272-400-AS-280-PP-106</v>
          </cell>
          <cell r="E11822" t="str">
            <v>G-28</v>
          </cell>
        </row>
        <row r="11823">
          <cell r="B11823" t="str">
            <v>B272-400-AS-280-PP-106</v>
          </cell>
          <cell r="E11823" t="str">
            <v>stack</v>
          </cell>
        </row>
        <row r="11824">
          <cell r="B11824" t="str">
            <v>B272-400-AS-280-PP-106</v>
          </cell>
          <cell r="E11824" t="str">
            <v>G-28</v>
          </cell>
        </row>
        <row r="11825">
          <cell r="B11825" t="str">
            <v>B272-400-AS-280-PP-106</v>
          </cell>
          <cell r="E11825" t="str">
            <v>stack</v>
          </cell>
        </row>
        <row r="11826">
          <cell r="B11826" t="str">
            <v>B272-400-AS-280-PP-106</v>
          </cell>
          <cell r="E11826" t="str">
            <v>G-28</v>
          </cell>
        </row>
        <row r="11827">
          <cell r="B11827" t="str">
            <v>B272-400-AS-280-PP-106</v>
          </cell>
          <cell r="E11827" t="str">
            <v>stack</v>
          </cell>
        </row>
        <row r="11828">
          <cell r="B11828" t="str">
            <v>B272-400-AS-280-PP-106</v>
          </cell>
          <cell r="E11828" t="str">
            <v>G-28</v>
          </cell>
        </row>
        <row r="11829">
          <cell r="B11829" t="str">
            <v>B272-400-AS-280-PP-106</v>
          </cell>
          <cell r="E11829" t="str">
            <v>stack</v>
          </cell>
        </row>
        <row r="11830">
          <cell r="B11830" t="str">
            <v>B272-400-AS-280-PP-106</v>
          </cell>
          <cell r="E11830" t="str">
            <v>G-28</v>
          </cell>
        </row>
        <row r="11831">
          <cell r="B11831" t="str">
            <v>B272-400-AS-280-PP-106</v>
          </cell>
          <cell r="E11831" t="str">
            <v>stack</v>
          </cell>
        </row>
        <row r="11832">
          <cell r="B11832" t="str">
            <v>B272-400-AS-280-PP-106</v>
          </cell>
          <cell r="E11832" t="str">
            <v>G-28</v>
          </cell>
        </row>
        <row r="11833">
          <cell r="B11833" t="str">
            <v>B272-400-AS-280-PP-106</v>
          </cell>
          <cell r="E11833" t="str">
            <v>stack</v>
          </cell>
        </row>
        <row r="11834">
          <cell r="B11834" t="str">
            <v>B272-400-AS-280-PP-106</v>
          </cell>
          <cell r="E11834" t="str">
            <v>G-28</v>
          </cell>
        </row>
        <row r="11835">
          <cell r="B11835" t="str">
            <v>B272-400-AS-280-PP-106</v>
          </cell>
          <cell r="E11835" t="str">
            <v>stack</v>
          </cell>
        </row>
        <row r="11836">
          <cell r="B11836" t="str">
            <v>B272-400-AS-280-PP-106</v>
          </cell>
          <cell r="E11836" t="str">
            <v>G-28</v>
          </cell>
        </row>
        <row r="11837">
          <cell r="B11837" t="str">
            <v>B272-400-AS-280-PP-106</v>
          </cell>
          <cell r="E11837" t="str">
            <v>stack</v>
          </cell>
        </row>
        <row r="11838">
          <cell r="B11838" t="str">
            <v>B272-400-AS-280-PP-106</v>
          </cell>
          <cell r="E11838" t="str">
            <v>G-28</v>
          </cell>
        </row>
        <row r="11839">
          <cell r="B11839" t="str">
            <v>B272-400-AS-280-PP-106</v>
          </cell>
          <cell r="E11839" t="str">
            <v>stack</v>
          </cell>
        </row>
        <row r="11840">
          <cell r="B11840" t="str">
            <v>B272-400-AS-280-PP-106</v>
          </cell>
          <cell r="E11840" t="str">
            <v>G-28</v>
          </cell>
        </row>
        <row r="11841">
          <cell r="B11841" t="str">
            <v>B272-400-AS-280-PP-106</v>
          </cell>
          <cell r="E11841" t="str">
            <v>stack</v>
          </cell>
        </row>
        <row r="11842">
          <cell r="B11842" t="str">
            <v>B272-400-AS-280-PP-106</v>
          </cell>
          <cell r="E11842" t="str">
            <v>G-28</v>
          </cell>
        </row>
        <row r="11843">
          <cell r="B11843" t="str">
            <v>B272-400-AS-280-PP-106</v>
          </cell>
          <cell r="E11843" t="str">
            <v>stack</v>
          </cell>
        </row>
        <row r="11844">
          <cell r="B11844" t="str">
            <v>B272-400-AS-280-PP-106</v>
          </cell>
          <cell r="E11844" t="str">
            <v>G-28</v>
          </cell>
        </row>
        <row r="11845">
          <cell r="B11845" t="str">
            <v>B272-400-AS-280-PP-106</v>
          </cell>
          <cell r="E11845" t="str">
            <v>stack</v>
          </cell>
        </row>
        <row r="11846">
          <cell r="B11846" t="str">
            <v>B272-400-AS-280-PP-106</v>
          </cell>
          <cell r="E11846" t="str">
            <v>G-28</v>
          </cell>
        </row>
        <row r="11847">
          <cell r="B11847" t="str">
            <v>B272-400-AS-280-PP-106</v>
          </cell>
          <cell r="E11847" t="str">
            <v>stack</v>
          </cell>
        </row>
        <row r="11848">
          <cell r="B11848" t="str">
            <v>B272-400-AS-280-PP-106</v>
          </cell>
          <cell r="E11848" t="str">
            <v>G-28</v>
          </cell>
        </row>
        <row r="11849">
          <cell r="B11849" t="str">
            <v>B272-400-AS-280-PP-106</v>
          </cell>
          <cell r="E11849" t="str">
            <v>stack</v>
          </cell>
        </row>
        <row r="11850">
          <cell r="B11850" t="str">
            <v>B272-400-AS-280-PP-106</v>
          </cell>
          <cell r="E11850" t="str">
            <v>G-28</v>
          </cell>
        </row>
        <row r="11851">
          <cell r="B11851" t="str">
            <v>B272-400-AS-280-PP-106</v>
          </cell>
          <cell r="E11851" t="str">
            <v>stack</v>
          </cell>
        </row>
        <row r="11852">
          <cell r="B11852" t="str">
            <v>B272-400-AS-280-PP-106</v>
          </cell>
          <cell r="E11852" t="str">
            <v>G-28</v>
          </cell>
        </row>
        <row r="11853">
          <cell r="B11853" t="str">
            <v>B272-400-AS-280-PP-106</v>
          </cell>
          <cell r="E11853" t="str">
            <v>stack</v>
          </cell>
        </row>
        <row r="11854">
          <cell r="B11854" t="str">
            <v>B272-400-AS-280-PP-106</v>
          </cell>
          <cell r="E11854" t="str">
            <v>G-28</v>
          </cell>
        </row>
        <row r="11855">
          <cell r="B11855" t="str">
            <v>B272-400-AS-280-PP-106</v>
          </cell>
          <cell r="E11855" t="str">
            <v>stack</v>
          </cell>
        </row>
        <row r="11856">
          <cell r="B11856" t="str">
            <v>B272-400-AS-280-PP-106</v>
          </cell>
          <cell r="E11856" t="str">
            <v>G-28</v>
          </cell>
        </row>
        <row r="11857">
          <cell r="B11857" t="str">
            <v>B272-400-AS-280-PP-106</v>
          </cell>
          <cell r="E11857" t="str">
            <v>stack</v>
          </cell>
        </row>
        <row r="11858">
          <cell r="B11858" t="str">
            <v>B272-400-AS-280-PP-106</v>
          </cell>
          <cell r="E11858" t="str">
            <v>G-28</v>
          </cell>
        </row>
        <row r="11859">
          <cell r="B11859" t="str">
            <v>B272-400-AS-280-PP-106</v>
          </cell>
          <cell r="E11859" t="str">
            <v>stack</v>
          </cell>
        </row>
        <row r="11860">
          <cell r="B11860" t="str">
            <v>B272-400-AS-280-PP-106</v>
          </cell>
          <cell r="E11860" t="str">
            <v>G-28</v>
          </cell>
        </row>
        <row r="11861">
          <cell r="B11861" t="str">
            <v>B272-400-AS-280-PP-106</v>
          </cell>
          <cell r="E11861" t="str">
            <v>stack</v>
          </cell>
        </row>
        <row r="11862">
          <cell r="B11862" t="str">
            <v>B272-400-AS-280-PP-106</v>
          </cell>
          <cell r="E11862" t="str">
            <v>G-28</v>
          </cell>
        </row>
        <row r="11863">
          <cell r="B11863" t="str">
            <v>B272-400-AS-280-PP-106</v>
          </cell>
          <cell r="E11863" t="str">
            <v>stack</v>
          </cell>
        </row>
        <row r="11864">
          <cell r="B11864" t="str">
            <v>B272-400-AS-280-PP-106</v>
          </cell>
          <cell r="E11864" t="str">
            <v>G-28</v>
          </cell>
        </row>
        <row r="11865">
          <cell r="B11865" t="str">
            <v>B272-400-AS-280-PP-106</v>
          </cell>
          <cell r="E11865" t="str">
            <v>stack</v>
          </cell>
        </row>
        <row r="11866">
          <cell r="B11866" t="str">
            <v>B272-400-AS-280-PP-106</v>
          </cell>
          <cell r="E11866" t="str">
            <v>G-28</v>
          </cell>
        </row>
        <row r="11867">
          <cell r="B11867" t="str">
            <v>B272-400-AS-280-PP-106</v>
          </cell>
          <cell r="E11867" t="str">
            <v>stack</v>
          </cell>
        </row>
        <row r="11868">
          <cell r="B11868" t="str">
            <v>B272-400-AS-280-PP-106</v>
          </cell>
          <cell r="E11868" t="str">
            <v>G-28</v>
          </cell>
        </row>
        <row r="11869">
          <cell r="B11869" t="str">
            <v>B272-400-AS-280-PP-106</v>
          </cell>
          <cell r="E11869" t="str">
            <v>stack</v>
          </cell>
        </row>
        <row r="11870">
          <cell r="B11870" t="str">
            <v>B272-400-AS-280-PP-106</v>
          </cell>
          <cell r="E11870" t="str">
            <v>G-28</v>
          </cell>
        </row>
        <row r="11871">
          <cell r="B11871" t="str">
            <v>B272-400-AS-280-PP-106</v>
          </cell>
          <cell r="E11871" t="str">
            <v>stack</v>
          </cell>
        </row>
        <row r="11872">
          <cell r="B11872" t="str">
            <v>B272-400-AS-280-PP-106</v>
          </cell>
          <cell r="E11872" t="str">
            <v>G-28</v>
          </cell>
        </row>
        <row r="11873">
          <cell r="B11873" t="str">
            <v>B272-400-AS-280-PP-106</v>
          </cell>
          <cell r="E11873" t="str">
            <v>stack</v>
          </cell>
        </row>
        <row r="11874">
          <cell r="B11874" t="str">
            <v>B272-400-AS-280-PP-106</v>
          </cell>
          <cell r="E11874" t="str">
            <v>G-28</v>
          </cell>
        </row>
        <row r="11875">
          <cell r="B11875" t="str">
            <v>B272-400-AS-280-PP-106</v>
          </cell>
          <cell r="E11875" t="str">
            <v>stack</v>
          </cell>
        </row>
        <row r="11876">
          <cell r="B11876" t="str">
            <v>B272-400-AS-280-PP-106</v>
          </cell>
          <cell r="E11876" t="str">
            <v>G-28</v>
          </cell>
        </row>
        <row r="11877">
          <cell r="B11877" t="str">
            <v>B272-400-AS-280-PP-106</v>
          </cell>
          <cell r="E11877" t="str">
            <v>stack</v>
          </cell>
        </row>
        <row r="11878">
          <cell r="B11878" t="str">
            <v>B272-400-AS-280-PP-106</v>
          </cell>
          <cell r="E11878" t="str">
            <v>G-28</v>
          </cell>
        </row>
        <row r="11879">
          <cell r="B11879" t="str">
            <v>B272-400-AS-280-PP-106</v>
          </cell>
          <cell r="E11879" t="str">
            <v>stack</v>
          </cell>
        </row>
        <row r="11880">
          <cell r="B11880" t="str">
            <v>B272-400-AS-280-PP-106</v>
          </cell>
          <cell r="E11880" t="str">
            <v>G-28</v>
          </cell>
        </row>
        <row r="11881">
          <cell r="B11881" t="str">
            <v>B272-400-AS-280-PP-106</v>
          </cell>
          <cell r="E11881" t="str">
            <v>stack</v>
          </cell>
        </row>
        <row r="11882">
          <cell r="B11882" t="str">
            <v>B272-400-AS-280-PP-106</v>
          </cell>
          <cell r="E11882" t="str">
            <v>G-28</v>
          </cell>
        </row>
        <row r="11883">
          <cell r="B11883" t="str">
            <v>B272-400-AS-280-PP-106</v>
          </cell>
          <cell r="E11883" t="str">
            <v>stack</v>
          </cell>
        </row>
        <row r="11884">
          <cell r="B11884" t="str">
            <v>B272-400-AS-280-PP-106</v>
          </cell>
          <cell r="E11884" t="str">
            <v>G-28</v>
          </cell>
        </row>
        <row r="11885">
          <cell r="B11885" t="str">
            <v>B272-400-AS-280-PP-106</v>
          </cell>
          <cell r="E11885" t="str">
            <v>stack</v>
          </cell>
        </row>
        <row r="11886">
          <cell r="B11886" t="str">
            <v>B272-400-AS-280-PP-106</v>
          </cell>
          <cell r="E11886" t="str">
            <v>G-28</v>
          </cell>
        </row>
        <row r="11887">
          <cell r="B11887" t="str">
            <v>B272-400-AS-280-PP-106</v>
          </cell>
          <cell r="E11887" t="str">
            <v>stack</v>
          </cell>
        </row>
        <row r="11888">
          <cell r="B11888" t="str">
            <v>B272-400-AS-280-PP-106</v>
          </cell>
          <cell r="E11888" t="str">
            <v>G-28</v>
          </cell>
        </row>
        <row r="11889">
          <cell r="B11889" t="str">
            <v>B272-400-AS-280-PP-106</v>
          </cell>
          <cell r="E11889" t="str">
            <v>stack</v>
          </cell>
        </row>
        <row r="11890">
          <cell r="B11890" t="str">
            <v>B272-400-AS-280-PP-106</v>
          </cell>
          <cell r="E11890" t="str">
            <v>G-28</v>
          </cell>
        </row>
        <row r="11891">
          <cell r="B11891" t="str">
            <v>B272-400-AS-280-PP-106</v>
          </cell>
          <cell r="E11891" t="str">
            <v>stack</v>
          </cell>
        </row>
        <row r="11892">
          <cell r="B11892" t="str">
            <v>B272-400-AS-280-PP-106</v>
          </cell>
          <cell r="E11892" t="str">
            <v>G-28</v>
          </cell>
        </row>
        <row r="11893">
          <cell r="B11893" t="str">
            <v>B272-400-AS-280-PP-106</v>
          </cell>
          <cell r="E11893" t="str">
            <v>stack</v>
          </cell>
        </row>
        <row r="11894">
          <cell r="B11894" t="str">
            <v>B272-400-AS-280-PP-106</v>
          </cell>
          <cell r="E11894" t="str">
            <v>G-28</v>
          </cell>
        </row>
        <row r="11895">
          <cell r="B11895" t="str">
            <v>B272-400-AS-280-PP-106</v>
          </cell>
          <cell r="E11895" t="str">
            <v>stack</v>
          </cell>
        </row>
        <row r="11896">
          <cell r="B11896" t="str">
            <v>B272-400-AS-280-PP-106</v>
          </cell>
          <cell r="E11896" t="str">
            <v>G-28</v>
          </cell>
        </row>
        <row r="11897">
          <cell r="B11897" t="str">
            <v>B272-400-AS-280-PP-106</v>
          </cell>
          <cell r="E11897" t="str">
            <v>stack</v>
          </cell>
        </row>
        <row r="11898">
          <cell r="B11898" t="str">
            <v>B272-400-AS-280-PP-106</v>
          </cell>
          <cell r="E11898" t="str">
            <v>G-28</v>
          </cell>
        </row>
        <row r="11899">
          <cell r="B11899" t="str">
            <v>B272-400-AS-280-PP-106</v>
          </cell>
          <cell r="E11899" t="str">
            <v>stack</v>
          </cell>
        </row>
        <row r="11900">
          <cell r="B11900" t="str">
            <v>B272-400-AS-280-PP-106</v>
          </cell>
          <cell r="E11900" t="str">
            <v>G-28</v>
          </cell>
        </row>
        <row r="11901">
          <cell r="B11901" t="str">
            <v>B272-400-AS-280-PP-106</v>
          </cell>
          <cell r="E11901" t="str">
            <v>stack</v>
          </cell>
        </row>
        <row r="11902">
          <cell r="B11902" t="str">
            <v>B272-400-AS-280-PP-106</v>
          </cell>
          <cell r="E11902" t="str">
            <v>G-28</v>
          </cell>
        </row>
        <row r="11903">
          <cell r="B11903" t="str">
            <v>B272-400-AS-280-PP-106</v>
          </cell>
          <cell r="E11903" t="str">
            <v>stack</v>
          </cell>
        </row>
        <row r="11904">
          <cell r="B11904" t="str">
            <v>B272-400-AS-280-PP-106</v>
          </cell>
          <cell r="E11904" t="str">
            <v>G-28</v>
          </cell>
        </row>
        <row r="11905">
          <cell r="B11905" t="str">
            <v>B272-400-AS-280-PP-106</v>
          </cell>
          <cell r="E11905" t="str">
            <v>stack</v>
          </cell>
        </row>
        <row r="11906">
          <cell r="B11906" t="str">
            <v>B272-400-AS-280-PP-106</v>
          </cell>
          <cell r="E11906" t="str">
            <v>G-28</v>
          </cell>
        </row>
        <row r="11907">
          <cell r="B11907" t="str">
            <v>B272-400-AS-280-PP-106</v>
          </cell>
          <cell r="E11907" t="str">
            <v>stack</v>
          </cell>
        </row>
        <row r="11908">
          <cell r="B11908" t="str">
            <v>B272-400-AS-280-PP-106</v>
          </cell>
          <cell r="E11908" t="str">
            <v>G-28</v>
          </cell>
        </row>
        <row r="11909">
          <cell r="B11909" t="str">
            <v>B272-400-AS-280-PP-106</v>
          </cell>
          <cell r="E11909" t="str">
            <v>stack</v>
          </cell>
        </row>
        <row r="11910">
          <cell r="B11910" t="str">
            <v>B272-400-AS-280-PP-106</v>
          </cell>
          <cell r="E11910" t="str">
            <v>G-28</v>
          </cell>
        </row>
        <row r="11911">
          <cell r="B11911" t="str">
            <v>B272-400-AS-280-PP-106</v>
          </cell>
          <cell r="E11911" t="str">
            <v>stack</v>
          </cell>
        </row>
        <row r="11912">
          <cell r="B11912" t="str">
            <v>B272-400-AS-280-PP-106</v>
          </cell>
          <cell r="E11912" t="str">
            <v>G-28</v>
          </cell>
        </row>
        <row r="11913">
          <cell r="B11913" t="str">
            <v>B272-400-AS-280-PP-106</v>
          </cell>
          <cell r="E11913" t="str">
            <v>stack</v>
          </cell>
        </row>
        <row r="11914">
          <cell r="B11914" t="str">
            <v>B272-400-AS-280-PP-106</v>
          </cell>
          <cell r="E11914" t="str">
            <v>G-28</v>
          </cell>
        </row>
        <row r="11915">
          <cell r="B11915" t="str">
            <v>B272-400-AS-280-PP-106</v>
          </cell>
          <cell r="E11915" t="str">
            <v>stack</v>
          </cell>
        </row>
        <row r="11916">
          <cell r="B11916" t="str">
            <v>B272-400-AS-280-PP-106</v>
          </cell>
          <cell r="E11916" t="str">
            <v>G-28</v>
          </cell>
        </row>
        <row r="11917">
          <cell r="B11917" t="str">
            <v>B272-400-AS-280-PP-106</v>
          </cell>
          <cell r="E11917" t="str">
            <v>stack</v>
          </cell>
        </row>
        <row r="11918">
          <cell r="B11918" t="str">
            <v>B272-400-AS-280-PP-106</v>
          </cell>
          <cell r="E11918" t="str">
            <v>G-28</v>
          </cell>
        </row>
        <row r="11919">
          <cell r="B11919" t="str">
            <v>B272-400-AS-280-PP-106</v>
          </cell>
          <cell r="E11919" t="str">
            <v>stack</v>
          </cell>
        </row>
        <row r="11920">
          <cell r="B11920" t="str">
            <v>B272-400-AS-280-PP-106</v>
          </cell>
          <cell r="E11920" t="str">
            <v>G-28</v>
          </cell>
        </row>
        <row r="11921">
          <cell r="B11921" t="str">
            <v>B272-400-AS-280-PP-106</v>
          </cell>
          <cell r="E11921" t="str">
            <v>stack</v>
          </cell>
        </row>
        <row r="11922">
          <cell r="B11922" t="str">
            <v>B272-400-AS-280-PP-106</v>
          </cell>
          <cell r="E11922" t="str">
            <v>G-28</v>
          </cell>
        </row>
        <row r="11923">
          <cell r="B11923" t="str">
            <v>B272-400-AS-280-PP-106</v>
          </cell>
          <cell r="E11923" t="str">
            <v>stack</v>
          </cell>
        </row>
        <row r="11924">
          <cell r="B11924" t="str">
            <v>B272-400-AS-280-PP-106</v>
          </cell>
          <cell r="E11924" t="str">
            <v>G-28</v>
          </cell>
        </row>
        <row r="11925">
          <cell r="B11925" t="str">
            <v>B272-400-AS-280-PP-106</v>
          </cell>
          <cell r="E11925" t="str">
            <v>stack</v>
          </cell>
        </row>
        <row r="11926">
          <cell r="B11926" t="str">
            <v>B272-400-AS-280-PP-106</v>
          </cell>
          <cell r="E11926" t="str">
            <v>G-28</v>
          </cell>
        </row>
        <row r="11927">
          <cell r="B11927" t="str">
            <v>B272-400-AS-280-PP-106</v>
          </cell>
          <cell r="E11927" t="str">
            <v>stack</v>
          </cell>
        </row>
        <row r="11928">
          <cell r="B11928" t="str">
            <v>B272-400-AS-280-PP-106</v>
          </cell>
          <cell r="E11928" t="str">
            <v>G-28</v>
          </cell>
        </row>
        <row r="11929">
          <cell r="B11929" t="str">
            <v>B272-400-AS-280-PP-106</v>
          </cell>
          <cell r="E11929" t="str">
            <v>stack</v>
          </cell>
        </row>
        <row r="11930">
          <cell r="B11930" t="str">
            <v>B272-400-AS-280-PP-106</v>
          </cell>
          <cell r="E11930" t="str">
            <v>G-28</v>
          </cell>
        </row>
        <row r="11931">
          <cell r="B11931" t="str">
            <v>B272-400-AS-280-PP-106</v>
          </cell>
          <cell r="E11931" t="str">
            <v>stack</v>
          </cell>
        </row>
        <row r="11932">
          <cell r="B11932" t="str">
            <v>B272-400-AS-280-PP-106</v>
          </cell>
          <cell r="E11932" t="str">
            <v>G-28</v>
          </cell>
        </row>
        <row r="11933">
          <cell r="B11933" t="str">
            <v>B272-400-AS-280-PP-106</v>
          </cell>
          <cell r="E11933" t="str">
            <v>stack</v>
          </cell>
        </row>
        <row r="11934">
          <cell r="B11934" t="str">
            <v>B272-400-AS-280-PP-106</v>
          </cell>
          <cell r="E11934" t="str">
            <v>G-28</v>
          </cell>
        </row>
        <row r="11935">
          <cell r="B11935" t="str">
            <v>B272-400-AS-280-PP-106</v>
          </cell>
          <cell r="E11935" t="str">
            <v>stack</v>
          </cell>
        </row>
        <row r="11936">
          <cell r="B11936" t="str">
            <v>B272-400-AS-280-PP-106</v>
          </cell>
          <cell r="E11936" t="str">
            <v>G-28</v>
          </cell>
        </row>
        <row r="11937">
          <cell r="B11937" t="str">
            <v>B272-400-AS-280-PP-106</v>
          </cell>
          <cell r="E11937" t="str">
            <v>stack</v>
          </cell>
        </row>
        <row r="11938">
          <cell r="B11938" t="str">
            <v>B272-400-AS-280-PP-106</v>
          </cell>
          <cell r="E11938" t="str">
            <v>G-28</v>
          </cell>
        </row>
        <row r="11939">
          <cell r="B11939" t="str">
            <v>B272-400-AS-280-PP-106</v>
          </cell>
          <cell r="E11939" t="str">
            <v>stack</v>
          </cell>
        </row>
        <row r="11940">
          <cell r="B11940" t="str">
            <v>B272-400-AS-280-PP-106</v>
          </cell>
          <cell r="E11940" t="str">
            <v>G-28</v>
          </cell>
        </row>
        <row r="11941">
          <cell r="B11941" t="str">
            <v>B272-400-AS-280-PP-106</v>
          </cell>
          <cell r="E11941" t="str">
            <v>stack</v>
          </cell>
        </row>
        <row r="11942">
          <cell r="B11942" t="str">
            <v>B272-400-AS-280-PP-106</v>
          </cell>
          <cell r="E11942" t="str">
            <v>G-28</v>
          </cell>
        </row>
        <row r="11943">
          <cell r="B11943" t="str">
            <v>B272-400-AS-280-PP-106</v>
          </cell>
          <cell r="E11943" t="str">
            <v>stack</v>
          </cell>
        </row>
        <row r="11944">
          <cell r="B11944" t="str">
            <v>B272-400-AS-280-PP-106</v>
          </cell>
          <cell r="E11944" t="str">
            <v>G-28</v>
          </cell>
        </row>
        <row r="11945">
          <cell r="B11945" t="str">
            <v>B272-400-AS-280-PP-106</v>
          </cell>
          <cell r="E11945" t="str">
            <v>stack</v>
          </cell>
        </row>
        <row r="11946">
          <cell r="B11946" t="str">
            <v>B272-400-AS-280-PP-106</v>
          </cell>
          <cell r="E11946" t="str">
            <v>G-28</v>
          </cell>
        </row>
        <row r="11947">
          <cell r="B11947" t="str">
            <v>B272-400-AS-280-PP-106</v>
          </cell>
          <cell r="E11947" t="str">
            <v>stack</v>
          </cell>
        </row>
        <row r="11948">
          <cell r="B11948" t="str">
            <v>B272-400-AS-280-PP-106</v>
          </cell>
          <cell r="E11948" t="str">
            <v>G-28</v>
          </cell>
        </row>
        <row r="11949">
          <cell r="B11949" t="str">
            <v>B272-400-AS-280-PP-106</v>
          </cell>
          <cell r="E11949" t="str">
            <v>stack</v>
          </cell>
        </row>
        <row r="11950">
          <cell r="B11950" t="str">
            <v>B272-400-AS-280-PP-106</v>
          </cell>
          <cell r="E11950" t="str">
            <v>G-28</v>
          </cell>
        </row>
        <row r="11951">
          <cell r="B11951" t="str">
            <v>B272-400-AS-280-PP-106</v>
          </cell>
          <cell r="E11951" t="str">
            <v>stack</v>
          </cell>
        </row>
        <row r="11952">
          <cell r="B11952" t="str">
            <v>B272-400-AS-280-PP-106</v>
          </cell>
          <cell r="E11952" t="str">
            <v>G-28</v>
          </cell>
        </row>
        <row r="11953">
          <cell r="B11953" t="str">
            <v>B272-400-AS-280-PP-106</v>
          </cell>
          <cell r="E11953" t="str">
            <v>stack</v>
          </cell>
        </row>
        <row r="11954">
          <cell r="B11954" t="str">
            <v>B272-400-AS-280-PP-106</v>
          </cell>
          <cell r="E11954" t="str">
            <v>G-28</v>
          </cell>
        </row>
        <row r="11955">
          <cell r="B11955" t="str">
            <v>B272-400-AS-280-PP-106</v>
          </cell>
          <cell r="E11955" t="str">
            <v>stack</v>
          </cell>
        </row>
        <row r="11956">
          <cell r="B11956" t="str">
            <v>B272-400-AS-280-PP-106</v>
          </cell>
          <cell r="E11956" t="str">
            <v>G-28</v>
          </cell>
        </row>
        <row r="11957">
          <cell r="B11957" t="str">
            <v>B272-400-AS-280-PP-106</v>
          </cell>
          <cell r="E11957" t="str">
            <v>stack</v>
          </cell>
        </row>
        <row r="11958">
          <cell r="B11958" t="str">
            <v>B272-400-AS-280-PP-106</v>
          </cell>
          <cell r="E11958" t="str">
            <v>G-28</v>
          </cell>
        </row>
        <row r="11959">
          <cell r="B11959" t="str">
            <v>B272-400-AS-280-PP-106</v>
          </cell>
          <cell r="E11959" t="str">
            <v>stack</v>
          </cell>
        </row>
        <row r="11960">
          <cell r="B11960" t="str">
            <v>B272-400-AS-280-PP-106</v>
          </cell>
          <cell r="E11960" t="str">
            <v>G-28</v>
          </cell>
        </row>
        <row r="11961">
          <cell r="B11961" t="str">
            <v>B272-400-AS-280-PP-106</v>
          </cell>
          <cell r="E11961" t="str">
            <v>stack</v>
          </cell>
        </row>
        <row r="11962">
          <cell r="B11962" t="str">
            <v>B272-400-AS-280-PP-106</v>
          </cell>
          <cell r="E11962" t="str">
            <v>G-28</v>
          </cell>
        </row>
        <row r="11963">
          <cell r="B11963" t="str">
            <v>B272-400-AS-280-PP-106</v>
          </cell>
          <cell r="E11963" t="str">
            <v>stack</v>
          </cell>
        </row>
        <row r="11964">
          <cell r="B11964" t="str">
            <v>B272-400-AS-280-PP-106</v>
          </cell>
          <cell r="E11964" t="str">
            <v>G-28</v>
          </cell>
        </row>
        <row r="11965">
          <cell r="B11965" t="str">
            <v>B272-400-AS-280-PP-106</v>
          </cell>
          <cell r="E11965" t="str">
            <v>stack</v>
          </cell>
        </row>
        <row r="11966">
          <cell r="B11966" t="str">
            <v>B272-400-AS-280-PP-106</v>
          </cell>
          <cell r="E11966" t="str">
            <v>G-28</v>
          </cell>
        </row>
        <row r="11967">
          <cell r="B11967" t="str">
            <v>B272-400-AS-280-PP-106</v>
          </cell>
          <cell r="E11967" t="str">
            <v>stack</v>
          </cell>
        </row>
        <row r="11968">
          <cell r="B11968" t="str">
            <v>B272-400-AS-280-PP-106</v>
          </cell>
          <cell r="E11968" t="str">
            <v>G-28</v>
          </cell>
        </row>
        <row r="11969">
          <cell r="B11969" t="str">
            <v>B272-400-AS-280-PP-106</v>
          </cell>
          <cell r="E11969" t="str">
            <v>stack</v>
          </cell>
        </row>
        <row r="11970">
          <cell r="B11970" t="str">
            <v>B272-400-AS-280-PP-106</v>
          </cell>
          <cell r="E11970" t="str">
            <v>G-28</v>
          </cell>
        </row>
        <row r="11971">
          <cell r="B11971" t="str">
            <v>B272-400-AS-280-PP-106</v>
          </cell>
          <cell r="E11971" t="str">
            <v>stack</v>
          </cell>
        </row>
        <row r="11972">
          <cell r="B11972" t="str">
            <v>B272-400-AS-280-PP-106</v>
          </cell>
          <cell r="E11972" t="str">
            <v>G-28</v>
          </cell>
        </row>
        <row r="11973">
          <cell r="B11973" t="str">
            <v>B272-400-AS-280-PP-106</v>
          </cell>
          <cell r="E11973" t="str">
            <v>stack</v>
          </cell>
        </row>
        <row r="11974">
          <cell r="B11974" t="str">
            <v>B272-400-AS-280-PP-106</v>
          </cell>
          <cell r="E11974" t="str">
            <v>G-28</v>
          </cell>
        </row>
        <row r="11975">
          <cell r="B11975" t="str">
            <v>B272-400-AS-280-PP-106</v>
          </cell>
          <cell r="E11975" t="str">
            <v>stack</v>
          </cell>
        </row>
        <row r="11976">
          <cell r="B11976" t="str">
            <v>B272-400-AS-280-PP-106</v>
          </cell>
          <cell r="E11976" t="str">
            <v>G-28</v>
          </cell>
        </row>
        <row r="11977">
          <cell r="B11977" t="str">
            <v>B272-400-AS-280-PP-106</v>
          </cell>
          <cell r="E11977" t="str">
            <v>stack</v>
          </cell>
        </row>
        <row r="11978">
          <cell r="B11978" t="str">
            <v>B272-400-AS-280-PP-106</v>
          </cell>
          <cell r="E11978" t="str">
            <v>G-28</v>
          </cell>
        </row>
        <row r="11979">
          <cell r="B11979" t="str">
            <v>B272-400-AS-280-PP-106</v>
          </cell>
          <cell r="E11979" t="str">
            <v>stack</v>
          </cell>
        </row>
        <row r="11980">
          <cell r="B11980" t="str">
            <v>B272-400-AS-280-PP-106</v>
          </cell>
          <cell r="E11980" t="str">
            <v>G-28</v>
          </cell>
        </row>
        <row r="11981">
          <cell r="B11981" t="str">
            <v>B272-400-AS-280-PP-106</v>
          </cell>
          <cell r="E11981" t="str">
            <v>stack</v>
          </cell>
        </row>
        <row r="11982">
          <cell r="B11982" t="str">
            <v>B272-400-AS-280-PP-106</v>
          </cell>
          <cell r="E11982" t="str">
            <v>G-28</v>
          </cell>
        </row>
        <row r="11983">
          <cell r="B11983" t="str">
            <v>B272-400-AS-280-PP-106</v>
          </cell>
          <cell r="E11983" t="str">
            <v>stack</v>
          </cell>
        </row>
        <row r="11984">
          <cell r="B11984" t="str">
            <v>B272-400-AS-280-PP-106</v>
          </cell>
          <cell r="E11984" t="str">
            <v>G-28</v>
          </cell>
        </row>
        <row r="11985">
          <cell r="B11985" t="str">
            <v>B272-400-AS-280-PP-106</v>
          </cell>
          <cell r="E11985" t="str">
            <v>stack</v>
          </cell>
        </row>
        <row r="11986">
          <cell r="B11986" t="str">
            <v>B272-400-AS-280-PP-106</v>
          </cell>
          <cell r="E11986" t="str">
            <v>G-28</v>
          </cell>
        </row>
        <row r="11987">
          <cell r="B11987" t="str">
            <v>B272-400-AS-280-PP-106</v>
          </cell>
          <cell r="E11987" t="str">
            <v>stack</v>
          </cell>
        </row>
        <row r="11988">
          <cell r="B11988" t="str">
            <v>B272-400-AS-280-PP-106</v>
          </cell>
          <cell r="E11988" t="str">
            <v>G-28</v>
          </cell>
        </row>
        <row r="11989">
          <cell r="B11989" t="str">
            <v>B272-400-AS-280-PP-106</v>
          </cell>
          <cell r="E11989" t="str">
            <v>stack</v>
          </cell>
        </row>
        <row r="11990">
          <cell r="B11990" t="str">
            <v>B272-400-AS-280-PP-106</v>
          </cell>
          <cell r="E11990" t="str">
            <v>G-28</v>
          </cell>
        </row>
        <row r="11991">
          <cell r="B11991" t="str">
            <v>B272-400-AS-280-PP-106</v>
          </cell>
          <cell r="E11991" t="str">
            <v>stack</v>
          </cell>
        </row>
        <row r="11992">
          <cell r="B11992" t="str">
            <v>B272-400-AS-280-PP-106</v>
          </cell>
          <cell r="E11992" t="str">
            <v>G-28</v>
          </cell>
        </row>
        <row r="11993">
          <cell r="B11993" t="str">
            <v>B272-400-AS-280-PP-106</v>
          </cell>
          <cell r="E11993" t="str">
            <v>stack</v>
          </cell>
        </row>
        <row r="11994">
          <cell r="B11994" t="str">
            <v>B272-400-AS-280-PP-106</v>
          </cell>
          <cell r="E11994" t="str">
            <v>G-28</v>
          </cell>
        </row>
        <row r="11995">
          <cell r="B11995" t="str">
            <v>B272-400-AS-280-PP-106</v>
          </cell>
          <cell r="E11995" t="str">
            <v>stack</v>
          </cell>
        </row>
        <row r="11996">
          <cell r="B11996" t="str">
            <v>B272-400-AS-280-PP-106</v>
          </cell>
          <cell r="E11996" t="str">
            <v>G-28</v>
          </cell>
        </row>
        <row r="11997">
          <cell r="B11997" t="str">
            <v>B272-400-AS-280-PP-106</v>
          </cell>
          <cell r="E11997" t="str">
            <v>stack</v>
          </cell>
        </row>
        <row r="11998">
          <cell r="B11998" t="str">
            <v>B272-400-AS-280-PP-106</v>
          </cell>
          <cell r="E11998" t="str">
            <v>G-28</v>
          </cell>
        </row>
        <row r="11999">
          <cell r="B11999" t="str">
            <v>B272-400-AS-280-PP-106</v>
          </cell>
          <cell r="E11999" t="str">
            <v>stack</v>
          </cell>
        </row>
        <row r="12000">
          <cell r="B12000" t="str">
            <v>B272-400-AS-280-PP-106</v>
          </cell>
          <cell r="E12000" t="str">
            <v>G-28</v>
          </cell>
        </row>
        <row r="12001">
          <cell r="B12001" t="str">
            <v>B272-400-AS-280-PP-106</v>
          </cell>
          <cell r="E12001" t="str">
            <v>stack</v>
          </cell>
        </row>
        <row r="12002">
          <cell r="B12002" t="str">
            <v>B272-400-AS-280-PP-106</v>
          </cell>
          <cell r="E12002" t="str">
            <v>G-28</v>
          </cell>
        </row>
        <row r="12003">
          <cell r="B12003" t="str">
            <v>B272-400-AS-280-PP-106</v>
          </cell>
          <cell r="E12003" t="str">
            <v>stack</v>
          </cell>
        </row>
        <row r="12004">
          <cell r="B12004" t="str">
            <v>B272-400-AS-280-PP-106</v>
          </cell>
          <cell r="E12004" t="str">
            <v>G-28</v>
          </cell>
        </row>
        <row r="12005">
          <cell r="B12005" t="str">
            <v>B272-400-AS-280-PP-106</v>
          </cell>
          <cell r="E12005" t="str">
            <v>stack</v>
          </cell>
        </row>
        <row r="12006">
          <cell r="B12006" t="str">
            <v>B272-400-AS-280-PP-106</v>
          </cell>
          <cell r="E12006" t="str">
            <v>G-28</v>
          </cell>
        </row>
        <row r="12007">
          <cell r="B12007" t="str">
            <v>B272-400-AS-280-PP-106</v>
          </cell>
          <cell r="E12007" t="str">
            <v>stack</v>
          </cell>
        </row>
        <row r="12008">
          <cell r="B12008" t="str">
            <v>B272-400-AS-280-PP-106</v>
          </cell>
          <cell r="E12008" t="str">
            <v>G-28</v>
          </cell>
        </row>
        <row r="12009">
          <cell r="B12009" t="str">
            <v>B272-400-AS-280-PP-106</v>
          </cell>
          <cell r="E12009" t="str">
            <v>stack</v>
          </cell>
        </row>
        <row r="12010">
          <cell r="B12010" t="str">
            <v>B272-400-AS-280-PP-106</v>
          </cell>
          <cell r="E12010" t="str">
            <v>G-28</v>
          </cell>
        </row>
        <row r="12011">
          <cell r="B12011" t="str">
            <v>B272-400-AS-280-PP-106</v>
          </cell>
          <cell r="E12011" t="str">
            <v>stack</v>
          </cell>
        </row>
        <row r="12012">
          <cell r="B12012" t="str">
            <v>B272-400-AS-280-PP-106</v>
          </cell>
          <cell r="E12012" t="str">
            <v>G-28</v>
          </cell>
        </row>
        <row r="12013">
          <cell r="B12013" t="str">
            <v>B272-400-AS-280-PP-106</v>
          </cell>
          <cell r="E12013" t="str">
            <v>stack</v>
          </cell>
        </row>
        <row r="12014">
          <cell r="B12014" t="str">
            <v>B272-400-AS-280-PP-106</v>
          </cell>
          <cell r="E12014" t="str">
            <v>G-28</v>
          </cell>
        </row>
        <row r="12015">
          <cell r="B12015" t="str">
            <v>B272-400-AS-280-PP-106</v>
          </cell>
          <cell r="E12015" t="str">
            <v>stack</v>
          </cell>
        </row>
        <row r="12016">
          <cell r="B12016" t="str">
            <v>B272-400-AS-280-PP-106</v>
          </cell>
          <cell r="E12016" t="str">
            <v>G-28</v>
          </cell>
        </row>
        <row r="12017">
          <cell r="B12017" t="str">
            <v>B272-400-AS-280-PP-106</v>
          </cell>
          <cell r="E12017" t="str">
            <v>stack</v>
          </cell>
        </row>
        <row r="12018">
          <cell r="B12018" t="str">
            <v>B272-400-AS-280-PP-106</v>
          </cell>
          <cell r="E12018" t="str">
            <v>G-28</v>
          </cell>
        </row>
        <row r="12019">
          <cell r="B12019" t="str">
            <v>B272-400-AS-280-PP-106</v>
          </cell>
          <cell r="E12019" t="str">
            <v>stack</v>
          </cell>
        </row>
        <row r="12020">
          <cell r="B12020" t="str">
            <v>B272-400-AS-280-PP-106</v>
          </cell>
          <cell r="E12020" t="str">
            <v>G-28</v>
          </cell>
        </row>
        <row r="12021">
          <cell r="B12021" t="str">
            <v>B272-400-AS-280-PP-106</v>
          </cell>
          <cell r="E12021" t="str">
            <v>stack</v>
          </cell>
        </row>
        <row r="12022">
          <cell r="B12022" t="str">
            <v>B272-400-AS-280-PP-106</v>
          </cell>
          <cell r="E12022" t="str">
            <v>G-28</v>
          </cell>
        </row>
        <row r="12023">
          <cell r="B12023" t="str">
            <v>B272-400-AS-280-PP-106</v>
          </cell>
          <cell r="E12023" t="str">
            <v>stack</v>
          </cell>
        </row>
        <row r="12024">
          <cell r="B12024" t="str">
            <v>B272-400-AS-280-PP-106</v>
          </cell>
          <cell r="E12024" t="str">
            <v>G-28</v>
          </cell>
        </row>
        <row r="12025">
          <cell r="B12025" t="str">
            <v>B272-400-AS-280-PP-106</v>
          </cell>
          <cell r="E12025" t="str">
            <v>stack</v>
          </cell>
        </row>
        <row r="12026">
          <cell r="B12026" t="str">
            <v>B272-400-AS-280-PP-106</v>
          </cell>
          <cell r="E12026" t="str">
            <v>G-28</v>
          </cell>
        </row>
        <row r="12027">
          <cell r="B12027" t="str">
            <v>B272-400-AS-280-PP-106</v>
          </cell>
          <cell r="E12027" t="str">
            <v>stack</v>
          </cell>
        </row>
        <row r="12028">
          <cell r="B12028" t="str">
            <v>B272-400-AS-280-PP-106</v>
          </cell>
          <cell r="E12028" t="str">
            <v>G-28</v>
          </cell>
        </row>
        <row r="12029">
          <cell r="B12029" t="str">
            <v>B272-400-AS-280-PP-106</v>
          </cell>
          <cell r="E12029" t="str">
            <v>stack</v>
          </cell>
        </row>
        <row r="12030">
          <cell r="B12030" t="str">
            <v>B272-400-AS-280-PP-106</v>
          </cell>
          <cell r="E12030" t="str">
            <v>G-28</v>
          </cell>
        </row>
        <row r="12031">
          <cell r="B12031" t="str">
            <v>B272-400-AS-280-PP-106</v>
          </cell>
          <cell r="E12031" t="str">
            <v>stack</v>
          </cell>
        </row>
        <row r="12032">
          <cell r="B12032" t="str">
            <v>B272-400-AS-280-PP-106</v>
          </cell>
          <cell r="E12032" t="str">
            <v>G-28</v>
          </cell>
        </row>
        <row r="12033">
          <cell r="B12033" t="str">
            <v>B272-400-AS-280-PP-106</v>
          </cell>
          <cell r="E12033" t="str">
            <v>stack</v>
          </cell>
        </row>
        <row r="12034">
          <cell r="B12034" t="str">
            <v>B272-400-AS-280-PP-106</v>
          </cell>
          <cell r="E12034" t="str">
            <v>G-28</v>
          </cell>
        </row>
        <row r="12035">
          <cell r="B12035" t="str">
            <v>B272-400-AS-280-PP-106</v>
          </cell>
          <cell r="E12035" t="str">
            <v>stack</v>
          </cell>
        </row>
        <row r="12036">
          <cell r="B12036" t="str">
            <v>B272-400-AS-280-PP-106</v>
          </cell>
          <cell r="E12036" t="str">
            <v>G-28</v>
          </cell>
        </row>
        <row r="12037">
          <cell r="B12037" t="str">
            <v>B272-400-AS-280-PP-106</v>
          </cell>
          <cell r="E12037" t="str">
            <v>stack</v>
          </cell>
        </row>
        <row r="12038">
          <cell r="B12038" t="str">
            <v>B272-400-AS-280-PP-106</v>
          </cell>
          <cell r="E12038" t="str">
            <v>G-28</v>
          </cell>
        </row>
        <row r="12039">
          <cell r="B12039" t="str">
            <v>B272-400-AS-280-PP-106</v>
          </cell>
          <cell r="E12039" t="str">
            <v>stack</v>
          </cell>
        </row>
        <row r="12040">
          <cell r="B12040" t="str">
            <v>B272-400-AS-280-PP-106</v>
          </cell>
          <cell r="E12040" t="str">
            <v>G-28</v>
          </cell>
        </row>
        <row r="12041">
          <cell r="B12041" t="str">
            <v>B272-400-AS-280-PP-106</v>
          </cell>
          <cell r="E12041" t="str">
            <v>stack</v>
          </cell>
        </row>
        <row r="12042">
          <cell r="B12042" t="str">
            <v>B272-400-AS-280-PP-106</v>
          </cell>
          <cell r="E12042" t="str">
            <v>G-28</v>
          </cell>
        </row>
        <row r="12043">
          <cell r="B12043" t="str">
            <v>B272-400-AS-280-PP-106</v>
          </cell>
          <cell r="E12043" t="str">
            <v>stack</v>
          </cell>
        </row>
        <row r="12044">
          <cell r="B12044" t="str">
            <v>B272-400-AS-280-PP-106</v>
          </cell>
          <cell r="E12044" t="str">
            <v>G-28</v>
          </cell>
        </row>
        <row r="12045">
          <cell r="B12045" t="str">
            <v>B272-400-AS-280-PP-106</v>
          </cell>
          <cell r="E12045" t="str">
            <v>stack</v>
          </cell>
        </row>
        <row r="12046">
          <cell r="B12046" t="str">
            <v>B272-400-AS-280-PP-106</v>
          </cell>
          <cell r="E12046" t="str">
            <v>G-28</v>
          </cell>
        </row>
        <row r="12047">
          <cell r="B12047" t="str">
            <v>B272-400-AS-280-PP-106</v>
          </cell>
          <cell r="E12047" t="str">
            <v>stack</v>
          </cell>
        </row>
        <row r="12048">
          <cell r="B12048" t="str">
            <v>B272-400-AS-280-PP-106</v>
          </cell>
          <cell r="E12048" t="str">
            <v>G-28</v>
          </cell>
        </row>
        <row r="12049">
          <cell r="B12049" t="str">
            <v>B272-400-AS-280-PP-106</v>
          </cell>
          <cell r="E12049" t="str">
            <v>stack</v>
          </cell>
        </row>
        <row r="12050">
          <cell r="B12050" t="str">
            <v>B272-400-AS-280-PP-106</v>
          </cell>
          <cell r="E12050" t="str">
            <v>G-28</v>
          </cell>
        </row>
        <row r="12051">
          <cell r="B12051" t="str">
            <v>B272-400-AS-280-PP-106</v>
          </cell>
          <cell r="E12051" t="str">
            <v>stack</v>
          </cell>
        </row>
        <row r="12052">
          <cell r="B12052" t="str">
            <v>B272-400-AS-280-PP-106</v>
          </cell>
          <cell r="E12052" t="str">
            <v>G-28</v>
          </cell>
        </row>
        <row r="12053">
          <cell r="B12053" t="str">
            <v>B272-400-AS-280-PP-106</v>
          </cell>
          <cell r="E12053" t="str">
            <v>stack</v>
          </cell>
        </row>
        <row r="12054">
          <cell r="B12054" t="str">
            <v>B272-400-AS-280-PP-106</v>
          </cell>
          <cell r="E12054" t="str">
            <v>G-28</v>
          </cell>
        </row>
        <row r="12055">
          <cell r="B12055" t="str">
            <v>B272-400-AS-280-PP-106</v>
          </cell>
          <cell r="E12055" t="str">
            <v>stack</v>
          </cell>
        </row>
        <row r="12056">
          <cell r="B12056" t="str">
            <v>B272-400-AS-280-PP-106</v>
          </cell>
          <cell r="E12056" t="str">
            <v>G-28</v>
          </cell>
        </row>
        <row r="12057">
          <cell r="B12057" t="str">
            <v>B272-400-AS-280-PP-106</v>
          </cell>
          <cell r="E12057" t="str">
            <v>stack</v>
          </cell>
        </row>
        <row r="12058">
          <cell r="B12058" t="str">
            <v>B272-400-AS-280-PP-106</v>
          </cell>
          <cell r="E12058" t="str">
            <v>G-28</v>
          </cell>
        </row>
        <row r="12059">
          <cell r="B12059" t="str">
            <v>B272-400-AS-280-PP-106</v>
          </cell>
          <cell r="E12059" t="str">
            <v>stack</v>
          </cell>
        </row>
        <row r="12060">
          <cell r="B12060" t="str">
            <v>B272-400-AS-280-PP-106</v>
          </cell>
          <cell r="E12060" t="str">
            <v>G-28</v>
          </cell>
        </row>
        <row r="12061">
          <cell r="B12061" t="str">
            <v>B272-400-AS-280-PP-106</v>
          </cell>
          <cell r="E12061" t="str">
            <v>stack</v>
          </cell>
        </row>
        <row r="12062">
          <cell r="B12062" t="str">
            <v>B272-400-AS-280-PP-106</v>
          </cell>
          <cell r="E12062" t="str">
            <v>G-28</v>
          </cell>
        </row>
        <row r="12063">
          <cell r="B12063" t="str">
            <v>B272-400-AS-280-PP-106</v>
          </cell>
          <cell r="E12063" t="str">
            <v>stack</v>
          </cell>
        </row>
        <row r="12064">
          <cell r="B12064" t="str">
            <v>B272-400-AS-280-PP-106</v>
          </cell>
          <cell r="E12064" t="str">
            <v>G-28</v>
          </cell>
        </row>
        <row r="12065">
          <cell r="B12065" t="str">
            <v>B272-400-AS-280-PP-106</v>
          </cell>
          <cell r="E12065" t="str">
            <v>stack</v>
          </cell>
        </row>
        <row r="12066">
          <cell r="B12066" t="str">
            <v>B272-400-AS-280-PP-106</v>
          </cell>
          <cell r="E12066" t="str">
            <v>G-28</v>
          </cell>
        </row>
        <row r="12067">
          <cell r="B12067" t="str">
            <v>B272-400-AS-280-PP-106</v>
          </cell>
          <cell r="E12067" t="str">
            <v>stack</v>
          </cell>
        </row>
        <row r="12068">
          <cell r="B12068" t="str">
            <v>B272-400-AS-280-PP-106</v>
          </cell>
          <cell r="E12068" t="str">
            <v>G-28</v>
          </cell>
        </row>
        <row r="12069">
          <cell r="B12069" t="str">
            <v>B272-400-AS-280-PP-106</v>
          </cell>
          <cell r="E12069" t="str">
            <v>stack</v>
          </cell>
        </row>
        <row r="12070">
          <cell r="B12070" t="str">
            <v>B272-400-AS-280-PP-106</v>
          </cell>
          <cell r="E12070" t="str">
            <v>G-28</v>
          </cell>
        </row>
        <row r="12071">
          <cell r="B12071" t="str">
            <v>B272-400-AS-280-PP-106</v>
          </cell>
          <cell r="E12071" t="str">
            <v>stack</v>
          </cell>
        </row>
        <row r="12072">
          <cell r="B12072" t="str">
            <v>B272-400-AS-280-PP-106</v>
          </cell>
          <cell r="E12072" t="str">
            <v>G-28</v>
          </cell>
        </row>
        <row r="12073">
          <cell r="B12073" t="str">
            <v>B272-400-AS-280-PP-106</v>
          </cell>
          <cell r="E12073" t="str">
            <v>stack</v>
          </cell>
        </row>
        <row r="12074">
          <cell r="B12074" t="str">
            <v>B272-400-AS-280-PP-106</v>
          </cell>
          <cell r="E12074" t="str">
            <v>G-28</v>
          </cell>
        </row>
        <row r="12075">
          <cell r="B12075" t="str">
            <v>B272-400-AS-280-PP-106</v>
          </cell>
          <cell r="E12075" t="str">
            <v>stack</v>
          </cell>
        </row>
        <row r="12076">
          <cell r="B12076" t="str">
            <v>B272-400-AS-280-PP-106</v>
          </cell>
          <cell r="E12076" t="str">
            <v>G-28</v>
          </cell>
        </row>
        <row r="12077">
          <cell r="B12077" t="str">
            <v>B272-400-AS-280-PP-106</v>
          </cell>
          <cell r="E12077" t="str">
            <v>stack</v>
          </cell>
        </row>
        <row r="12078">
          <cell r="B12078" t="str">
            <v>B272-400-AS-280-PP-106</v>
          </cell>
          <cell r="E12078" t="str">
            <v>G-28</v>
          </cell>
        </row>
        <row r="12079">
          <cell r="B12079" t="str">
            <v>B272-400-AS-280-PP-106</v>
          </cell>
          <cell r="E12079" t="str">
            <v>stack</v>
          </cell>
        </row>
        <row r="12080">
          <cell r="B12080" t="str">
            <v>B272-400-AS-280-PP-106</v>
          </cell>
          <cell r="E12080" t="str">
            <v>G-28</v>
          </cell>
        </row>
        <row r="12081">
          <cell r="B12081" t="str">
            <v>B272-400-AS-280-PP-106</v>
          </cell>
          <cell r="E12081" t="str">
            <v>stack</v>
          </cell>
        </row>
        <row r="12082">
          <cell r="B12082" t="str">
            <v>B272-400-AS-280-PP-106</v>
          </cell>
          <cell r="E12082" t="str">
            <v>G-28</v>
          </cell>
        </row>
        <row r="12083">
          <cell r="B12083" t="str">
            <v>B272-400-AS-280-PP-106</v>
          </cell>
          <cell r="E12083" t="str">
            <v>stack</v>
          </cell>
        </row>
        <row r="12084">
          <cell r="B12084" t="str">
            <v>B272-400-AS-280-PP-106</v>
          </cell>
          <cell r="E12084" t="str">
            <v>G-28</v>
          </cell>
        </row>
        <row r="12085">
          <cell r="B12085" t="str">
            <v>B272-400-AS-280-PP-106</v>
          </cell>
          <cell r="E12085" t="str">
            <v>stack</v>
          </cell>
        </row>
        <row r="12086">
          <cell r="B12086" t="str">
            <v>B272-400-AS-280-PP-106</v>
          </cell>
          <cell r="E12086" t="str">
            <v>G-28</v>
          </cell>
        </row>
        <row r="12087">
          <cell r="B12087" t="str">
            <v>B272-400-AS-280-PP-106</v>
          </cell>
          <cell r="E12087" t="str">
            <v>stack</v>
          </cell>
        </row>
        <row r="12088">
          <cell r="B12088" t="str">
            <v>B272-400-AS-280-PP-106</v>
          </cell>
          <cell r="E12088" t="str">
            <v>G-28</v>
          </cell>
        </row>
        <row r="12089">
          <cell r="B12089" t="str">
            <v>B272-400-AS-280-PP-106</v>
          </cell>
          <cell r="E12089" t="str">
            <v>stack</v>
          </cell>
        </row>
        <row r="12090">
          <cell r="B12090" t="str">
            <v>B272-400-AS-280-PP-106</v>
          </cell>
          <cell r="E12090" t="str">
            <v>G-28</v>
          </cell>
        </row>
        <row r="12091">
          <cell r="B12091" t="str">
            <v>B272-400-AS-280-PP-106</v>
          </cell>
          <cell r="E12091" t="str">
            <v>stack</v>
          </cell>
        </row>
        <row r="12092">
          <cell r="B12092" t="str">
            <v>B272-400-AS-280-PP-106</v>
          </cell>
          <cell r="E12092" t="str">
            <v>G-28</v>
          </cell>
        </row>
        <row r="12093">
          <cell r="B12093" t="str">
            <v>B272-400-AS-280-PP-106</v>
          </cell>
          <cell r="E12093" t="str">
            <v>stack</v>
          </cell>
        </row>
        <row r="12094">
          <cell r="B12094" t="str">
            <v>B272-400-AS-280-PP-106</v>
          </cell>
          <cell r="E12094" t="str">
            <v>G-28</v>
          </cell>
        </row>
        <row r="12095">
          <cell r="B12095" t="str">
            <v>B272-400-AS-280-PP-106</v>
          </cell>
          <cell r="E12095" t="str">
            <v>stack</v>
          </cell>
        </row>
        <row r="12096">
          <cell r="B12096" t="str">
            <v>B272-400-AS-280-PP-106</v>
          </cell>
          <cell r="E12096" t="str">
            <v>G-28</v>
          </cell>
        </row>
        <row r="12097">
          <cell r="B12097" t="str">
            <v>B272-400-AS-280-PP-106</v>
          </cell>
          <cell r="E12097" t="str">
            <v>stack</v>
          </cell>
        </row>
        <row r="12098">
          <cell r="B12098" t="str">
            <v>B272-400-AS-280-PP-106</v>
          </cell>
          <cell r="E12098" t="str">
            <v>G-28</v>
          </cell>
        </row>
        <row r="12099">
          <cell r="B12099" t="str">
            <v>B272-400-AS-280-PP-106</v>
          </cell>
          <cell r="E12099" t="str">
            <v>stack</v>
          </cell>
        </row>
        <row r="12100">
          <cell r="B12100" t="str">
            <v>B272-400-AS-280-PP-106</v>
          </cell>
          <cell r="E12100" t="str">
            <v>G-28</v>
          </cell>
        </row>
        <row r="12101">
          <cell r="B12101" t="str">
            <v>B272-400-AS-280-PP-106</v>
          </cell>
          <cell r="E12101" t="str">
            <v>stack</v>
          </cell>
        </row>
        <row r="12102">
          <cell r="B12102" t="str">
            <v>B272-400-AS-280-PP-106</v>
          </cell>
          <cell r="E12102" t="str">
            <v>G-28</v>
          </cell>
        </row>
        <row r="12103">
          <cell r="B12103" t="str">
            <v>B272-400-AS-280-PP-106</v>
          </cell>
          <cell r="E12103" t="str">
            <v>stack</v>
          </cell>
        </row>
        <row r="12104">
          <cell r="B12104" t="str">
            <v>B272-400-AS-280-PP-106</v>
          </cell>
          <cell r="E12104" t="str">
            <v>G-28</v>
          </cell>
        </row>
        <row r="12105">
          <cell r="B12105" t="str">
            <v>B272-400-AS-280-PP-106</v>
          </cell>
          <cell r="E12105" t="str">
            <v>stack</v>
          </cell>
        </row>
        <row r="12106">
          <cell r="B12106" t="str">
            <v>B272-400-AS-280-PP-106</v>
          </cell>
          <cell r="E12106" t="str">
            <v>G-28</v>
          </cell>
        </row>
        <row r="12107">
          <cell r="B12107" t="str">
            <v>B272-400-AS-280-PP-106</v>
          </cell>
          <cell r="E12107" t="str">
            <v>stack</v>
          </cell>
        </row>
        <row r="12108">
          <cell r="B12108" t="str">
            <v>B272-400-AS-280-PP-106</v>
          </cell>
          <cell r="E12108" t="str">
            <v>G-28</v>
          </cell>
        </row>
        <row r="12109">
          <cell r="B12109" t="str">
            <v>B272-400-AS-280-PP-106</v>
          </cell>
          <cell r="E12109" t="str">
            <v>stack</v>
          </cell>
        </row>
        <row r="12110">
          <cell r="B12110" t="str">
            <v>B272-400-AS-280-PP-106</v>
          </cell>
          <cell r="E12110" t="str">
            <v>G-28</v>
          </cell>
        </row>
        <row r="12111">
          <cell r="B12111" t="str">
            <v>B272-400-AS-280-PP-106</v>
          </cell>
          <cell r="E12111" t="str">
            <v>stack</v>
          </cell>
        </row>
        <row r="12112">
          <cell r="B12112" t="str">
            <v>B272-400-AS-280-PP-106</v>
          </cell>
          <cell r="E12112" t="str">
            <v>G-28</v>
          </cell>
        </row>
        <row r="12113">
          <cell r="B12113" t="str">
            <v>B272-400-AS-280-PP-106</v>
          </cell>
          <cell r="E12113" t="str">
            <v>stack</v>
          </cell>
        </row>
        <row r="12114">
          <cell r="B12114" t="str">
            <v>B272-400-AS-280-PP-106</v>
          </cell>
          <cell r="E12114" t="str">
            <v>G-28</v>
          </cell>
        </row>
        <row r="12115">
          <cell r="B12115" t="str">
            <v>B272-400-AS-280-PP-106</v>
          </cell>
          <cell r="E12115" t="str">
            <v>stack</v>
          </cell>
        </row>
        <row r="12116">
          <cell r="B12116" t="str">
            <v>B272-400-AS-280-PP-106</v>
          </cell>
          <cell r="E12116" t="str">
            <v>G-28</v>
          </cell>
        </row>
        <row r="12117">
          <cell r="B12117" t="str">
            <v>B272-400-AS-280-PP-106</v>
          </cell>
          <cell r="E12117" t="str">
            <v>stack</v>
          </cell>
        </row>
        <row r="12118">
          <cell r="B12118" t="str">
            <v>B272-400-AS-280-PP-106</v>
          </cell>
          <cell r="E12118" t="str">
            <v>G-28</v>
          </cell>
        </row>
        <row r="12119">
          <cell r="B12119" t="str">
            <v>B272-400-AS-280-PP-106</v>
          </cell>
          <cell r="E12119" t="str">
            <v>stack</v>
          </cell>
        </row>
        <row r="12120">
          <cell r="B12120" t="str">
            <v>B272-400-AS-280-PP-106</v>
          </cell>
          <cell r="E12120" t="str">
            <v>G-28</v>
          </cell>
        </row>
        <row r="12121">
          <cell r="B12121" t="str">
            <v>B272-400-AS-280-PP-106</v>
          </cell>
          <cell r="E12121" t="str">
            <v>stack</v>
          </cell>
        </row>
        <row r="12122">
          <cell r="B12122" t="str">
            <v>B272-400-AS-280-PP-106</v>
          </cell>
          <cell r="E12122" t="str">
            <v>G-28</v>
          </cell>
        </row>
        <row r="12123">
          <cell r="B12123" t="str">
            <v>B272-400-AS-280-PP-106</v>
          </cell>
          <cell r="E12123" t="str">
            <v>stack</v>
          </cell>
        </row>
        <row r="12124">
          <cell r="B12124" t="str">
            <v>B272-400-AS-280-PP-106</v>
          </cell>
          <cell r="E12124" t="str">
            <v>G-28</v>
          </cell>
        </row>
        <row r="12125">
          <cell r="B12125" t="str">
            <v>B272-400-AS-280-PP-106</v>
          </cell>
          <cell r="E12125" t="str">
            <v>stack</v>
          </cell>
        </row>
        <row r="12126">
          <cell r="B12126" t="str">
            <v>B272-400-AS-280-PP-106</v>
          </cell>
          <cell r="E12126" t="str">
            <v>G-28</v>
          </cell>
        </row>
        <row r="12127">
          <cell r="B12127" t="str">
            <v>B272-400-AS-280-PP-106</v>
          </cell>
          <cell r="E12127" t="str">
            <v>stack</v>
          </cell>
        </row>
        <row r="12128">
          <cell r="B12128" t="str">
            <v>B272-400-AS-280-PP-106</v>
          </cell>
          <cell r="E12128" t="str">
            <v>G-28</v>
          </cell>
        </row>
        <row r="12129">
          <cell r="B12129" t="str">
            <v>B272-400-AS-280-PP-106</v>
          </cell>
          <cell r="E12129" t="str">
            <v>stack</v>
          </cell>
        </row>
        <row r="12130">
          <cell r="B12130" t="str">
            <v>B272-400-AS-280-PP-106</v>
          </cell>
          <cell r="E12130" t="str">
            <v>G-28</v>
          </cell>
        </row>
        <row r="12131">
          <cell r="B12131" t="str">
            <v>B272-400-AS-280-PP-106</v>
          </cell>
          <cell r="E12131" t="str">
            <v>stack</v>
          </cell>
        </row>
        <row r="12132">
          <cell r="B12132" t="str">
            <v>B272-400-AS-280-PP-106</v>
          </cell>
          <cell r="E12132" t="str">
            <v>G-28</v>
          </cell>
        </row>
        <row r="12133">
          <cell r="B12133" t="str">
            <v>B272-400-AS-280-PP-106</v>
          </cell>
          <cell r="E12133" t="str">
            <v>stack</v>
          </cell>
        </row>
        <row r="12134">
          <cell r="B12134" t="str">
            <v>B272-400-AS-280-PP-106</v>
          </cell>
          <cell r="E12134" t="str">
            <v>G-28</v>
          </cell>
        </row>
        <row r="12135">
          <cell r="B12135" t="str">
            <v>B272-400-AS-280-PP-106</v>
          </cell>
          <cell r="E12135" t="str">
            <v>stack</v>
          </cell>
        </row>
        <row r="12136">
          <cell r="B12136" t="str">
            <v>B272-400-AS-280-PP-106</v>
          </cell>
          <cell r="E12136" t="str">
            <v>G-28</v>
          </cell>
        </row>
        <row r="12137">
          <cell r="B12137" t="str">
            <v>B272-400-AS-280-PP-106</v>
          </cell>
          <cell r="E12137" t="str">
            <v>stack</v>
          </cell>
        </row>
        <row r="12138">
          <cell r="B12138" t="str">
            <v>B272-400-AS-280-PP-106</v>
          </cell>
          <cell r="E12138" t="str">
            <v>G-28</v>
          </cell>
        </row>
        <row r="12139">
          <cell r="B12139" t="str">
            <v>B272-400-AS-280-PP-106</v>
          </cell>
          <cell r="E12139" t="str">
            <v>stack</v>
          </cell>
        </row>
        <row r="12140">
          <cell r="B12140" t="str">
            <v>B272-400-AS-280-PP-106</v>
          </cell>
          <cell r="E12140" t="str">
            <v>G-28</v>
          </cell>
        </row>
        <row r="12141">
          <cell r="B12141" t="str">
            <v>B272-400-AS-280-PP-106</v>
          </cell>
          <cell r="E12141" t="str">
            <v>stack</v>
          </cell>
        </row>
        <row r="12142">
          <cell r="B12142" t="str">
            <v>B272-400-AS-280-PP-106</v>
          </cell>
          <cell r="E12142" t="str">
            <v>G-28</v>
          </cell>
        </row>
        <row r="12143">
          <cell r="B12143" t="str">
            <v>B272-400-AS-280-PP-106</v>
          </cell>
          <cell r="E12143" t="str">
            <v>stack</v>
          </cell>
        </row>
        <row r="12144">
          <cell r="B12144" t="str">
            <v>B272-400-AS-280-PP-106</v>
          </cell>
          <cell r="E12144" t="str">
            <v>G-28</v>
          </cell>
        </row>
        <row r="12145">
          <cell r="B12145" t="str">
            <v>B272-400-AS-280-PP-106</v>
          </cell>
          <cell r="E12145" t="str">
            <v>stack</v>
          </cell>
        </row>
        <row r="12146">
          <cell r="B12146" t="str">
            <v>B272-400-AS-280-PP-106</v>
          </cell>
          <cell r="E12146" t="str">
            <v>G-28</v>
          </cell>
        </row>
        <row r="12147">
          <cell r="B12147" t="str">
            <v>B272-400-AS-280-PP-106</v>
          </cell>
          <cell r="E12147" t="str">
            <v>stack</v>
          </cell>
        </row>
        <row r="12148">
          <cell r="B12148" t="str">
            <v>B272-400-AS-280-PP-106</v>
          </cell>
          <cell r="E12148" t="str">
            <v>G-28</v>
          </cell>
        </row>
        <row r="12149">
          <cell r="B12149" t="str">
            <v>B272-400-AS-280-PP-106</v>
          </cell>
          <cell r="E12149" t="str">
            <v>stack</v>
          </cell>
        </row>
        <row r="12150">
          <cell r="B12150" t="str">
            <v>B272-400-AS-280-PP-106</v>
          </cell>
          <cell r="E12150" t="str">
            <v>G-28</v>
          </cell>
        </row>
        <row r="12151">
          <cell r="B12151" t="str">
            <v>B272-400-AS-280-PP-106</v>
          </cell>
          <cell r="E12151" t="str">
            <v>stack</v>
          </cell>
        </row>
        <row r="12152">
          <cell r="B12152" t="str">
            <v>B272-400-AS-280-PP-106</v>
          </cell>
          <cell r="E12152" t="str">
            <v>G-28</v>
          </cell>
        </row>
        <row r="12153">
          <cell r="B12153" t="str">
            <v>B272-400-AS-280-PP-106</v>
          </cell>
          <cell r="E12153" t="str">
            <v>stack</v>
          </cell>
        </row>
        <row r="12154">
          <cell r="B12154" t="str">
            <v>B272-400-AS-280-PP-106</v>
          </cell>
          <cell r="E12154" t="str">
            <v>G-28</v>
          </cell>
        </row>
        <row r="12155">
          <cell r="B12155" t="str">
            <v>B272-400-AS-280-PP-106</v>
          </cell>
          <cell r="E12155" t="str">
            <v>stack</v>
          </cell>
        </row>
        <row r="12156">
          <cell r="B12156" t="str">
            <v>B272-400-AS-280-PP-106</v>
          </cell>
          <cell r="E12156" t="str">
            <v>G-28</v>
          </cell>
        </row>
        <row r="12157">
          <cell r="B12157" t="str">
            <v>B272-400-AS-280-PP-106</v>
          </cell>
          <cell r="E12157" t="str">
            <v>stack</v>
          </cell>
        </row>
        <row r="12158">
          <cell r="B12158" t="str">
            <v>B272-400-AS-280-PP-106</v>
          </cell>
          <cell r="E12158" t="str">
            <v>G-28</v>
          </cell>
        </row>
        <row r="12159">
          <cell r="B12159" t="str">
            <v>B272-400-AS-280-PP-106</v>
          </cell>
          <cell r="E12159" t="str">
            <v>stack</v>
          </cell>
        </row>
        <row r="12160">
          <cell r="B12160" t="str">
            <v>B272-400-AS-280-PP-106</v>
          </cell>
          <cell r="E12160" t="str">
            <v>G-28</v>
          </cell>
        </row>
        <row r="12161">
          <cell r="B12161" t="str">
            <v>B272-400-AS-280-PP-106</v>
          </cell>
          <cell r="E12161" t="str">
            <v>stack</v>
          </cell>
        </row>
        <row r="12162">
          <cell r="B12162" t="str">
            <v>B272-400-AS-280-PP-106</v>
          </cell>
          <cell r="E12162" t="str">
            <v>G-28</v>
          </cell>
        </row>
        <row r="12163">
          <cell r="B12163" t="str">
            <v>B272-400-AS-280-PP-106</v>
          </cell>
          <cell r="E12163" t="str">
            <v>stack</v>
          </cell>
        </row>
        <row r="12164">
          <cell r="B12164" t="str">
            <v>B272-400-AS-280-PP-106</v>
          </cell>
          <cell r="E12164" t="str">
            <v>G-28</v>
          </cell>
        </row>
        <row r="12165">
          <cell r="B12165" t="str">
            <v>B272-400-AS-280-PP-106</v>
          </cell>
          <cell r="E12165" t="str">
            <v>stack</v>
          </cell>
        </row>
        <row r="12166">
          <cell r="B12166" t="str">
            <v>B272-400-AS-280-PP-106</v>
          </cell>
          <cell r="E12166" t="str">
            <v>G-28</v>
          </cell>
        </row>
        <row r="12167">
          <cell r="B12167" t="str">
            <v>B272-400-AS-280-PP-106</v>
          </cell>
          <cell r="E12167" t="str">
            <v>stack</v>
          </cell>
        </row>
        <row r="12168">
          <cell r="B12168" t="str">
            <v>B272-400-AS-280-PP-106</v>
          </cell>
          <cell r="E12168" t="str">
            <v>G-28</v>
          </cell>
        </row>
        <row r="12169">
          <cell r="B12169" t="str">
            <v>B272-400-AS-280-PP-106</v>
          </cell>
          <cell r="E12169" t="str">
            <v>stack</v>
          </cell>
        </row>
        <row r="12170">
          <cell r="B12170" t="str">
            <v>B272-400-AS-280-PP-106</v>
          </cell>
          <cell r="E12170" t="str">
            <v>G-28</v>
          </cell>
        </row>
        <row r="12171">
          <cell r="B12171" t="str">
            <v>B272-400-AS-280-PP-106</v>
          </cell>
          <cell r="E12171" t="str">
            <v>stack</v>
          </cell>
        </row>
        <row r="12172">
          <cell r="B12172" t="str">
            <v>B272-400-AS-280-PP-106</v>
          </cell>
          <cell r="E12172" t="str">
            <v>G-28</v>
          </cell>
        </row>
        <row r="12173">
          <cell r="B12173" t="str">
            <v>B272-400-AS-280-PP-106</v>
          </cell>
          <cell r="E12173" t="str">
            <v>stack</v>
          </cell>
        </row>
        <row r="12174">
          <cell r="B12174" t="str">
            <v>B272-400-AS-280-PP-106</v>
          </cell>
          <cell r="E12174" t="str">
            <v>G-28</v>
          </cell>
        </row>
        <row r="12175">
          <cell r="B12175" t="str">
            <v>B272-400-AS-280-PP-106</v>
          </cell>
          <cell r="E12175" t="str">
            <v>stack</v>
          </cell>
        </row>
        <row r="12176">
          <cell r="B12176" t="str">
            <v>B272-400-AS-280-PP-106</v>
          </cell>
          <cell r="E12176" t="str">
            <v>G-28</v>
          </cell>
        </row>
        <row r="12177">
          <cell r="B12177" t="str">
            <v>B272-400-AS-280-PP-106</v>
          </cell>
          <cell r="E12177" t="str">
            <v>stack</v>
          </cell>
        </row>
        <row r="12178">
          <cell r="B12178" t="str">
            <v>B272-400-AS-280-PP-106</v>
          </cell>
          <cell r="E12178" t="str">
            <v>G-28</v>
          </cell>
        </row>
        <row r="12179">
          <cell r="B12179" t="str">
            <v>B272-400-AS-280-PP-106</v>
          </cell>
          <cell r="E12179" t="str">
            <v>stack</v>
          </cell>
        </row>
        <row r="12180">
          <cell r="B12180" t="str">
            <v>B272-400-AS-280-PP-106</v>
          </cell>
          <cell r="E12180" t="str">
            <v>G-28</v>
          </cell>
        </row>
        <row r="12181">
          <cell r="B12181" t="str">
            <v>B272-400-AS-280-PP-106</v>
          </cell>
          <cell r="E12181" t="str">
            <v>stack</v>
          </cell>
        </row>
        <row r="12182">
          <cell r="B12182" t="str">
            <v>B272-400-AS-280-PP-106</v>
          </cell>
          <cell r="E12182" t="str">
            <v>G-28</v>
          </cell>
        </row>
        <row r="12183">
          <cell r="B12183" t="str">
            <v>B272-400-AS-280-PP-106</v>
          </cell>
          <cell r="E12183" t="str">
            <v>stack</v>
          </cell>
        </row>
        <row r="12184">
          <cell r="B12184" t="str">
            <v>B272-400-AS-280-PP-106</v>
          </cell>
          <cell r="E12184" t="str">
            <v>G-28</v>
          </cell>
        </row>
        <row r="12185">
          <cell r="B12185" t="str">
            <v>B272-400-AS-280-PP-106</v>
          </cell>
          <cell r="E12185" t="str">
            <v>stack</v>
          </cell>
        </row>
        <row r="12186">
          <cell r="B12186" t="str">
            <v>B272-400-AS-280-PP-106</v>
          </cell>
          <cell r="E12186" t="str">
            <v>G-28</v>
          </cell>
        </row>
        <row r="12187">
          <cell r="B12187" t="str">
            <v>B272-400-AS-280-PP-106</v>
          </cell>
          <cell r="E12187" t="str">
            <v>stack</v>
          </cell>
        </row>
        <row r="12188">
          <cell r="B12188" t="str">
            <v>B272-400-AS-280-PP-106</v>
          </cell>
          <cell r="E12188" t="str">
            <v>G-28</v>
          </cell>
        </row>
        <row r="12189">
          <cell r="B12189" t="str">
            <v>B272-400-AS-280-PP-106</v>
          </cell>
          <cell r="E12189" t="str">
            <v>stack</v>
          </cell>
        </row>
        <row r="12190">
          <cell r="B12190" t="str">
            <v>B272-400-AS-280-PP-106</v>
          </cell>
          <cell r="E12190" t="str">
            <v>G-28</v>
          </cell>
        </row>
        <row r="12191">
          <cell r="B12191" t="str">
            <v>B272-400-AS-280-PP-106</v>
          </cell>
          <cell r="E12191" t="str">
            <v>stack</v>
          </cell>
        </row>
        <row r="12192">
          <cell r="B12192" t="str">
            <v>B272-400-AS-280-PP-106</v>
          </cell>
          <cell r="E12192" t="str">
            <v>G-28</v>
          </cell>
        </row>
        <row r="12193">
          <cell r="B12193" t="str">
            <v>B272-400-AS-280-PP-106</v>
          </cell>
          <cell r="E12193" t="str">
            <v>stack</v>
          </cell>
        </row>
        <row r="12194">
          <cell r="B12194" t="str">
            <v>B272-400-AS-280-PP-106</v>
          </cell>
          <cell r="E12194" t="str">
            <v>G-28</v>
          </cell>
        </row>
        <row r="12195">
          <cell r="B12195" t="str">
            <v>B272-400-AS-280-PP-106</v>
          </cell>
          <cell r="E12195" t="str">
            <v>stack</v>
          </cell>
        </row>
        <row r="12196">
          <cell r="B12196" t="str">
            <v>B272-400-AS-280-PP-106</v>
          </cell>
          <cell r="E12196" t="str">
            <v>G-28</v>
          </cell>
        </row>
        <row r="12197">
          <cell r="B12197" t="str">
            <v>B272-400-AS-280-PP-106</v>
          </cell>
          <cell r="E12197" t="str">
            <v>stack</v>
          </cell>
        </row>
        <row r="12198">
          <cell r="B12198" t="str">
            <v>B272-400-AS-280-PP-106</v>
          </cell>
          <cell r="E12198" t="str">
            <v>G-28</v>
          </cell>
        </row>
        <row r="12199">
          <cell r="B12199" t="str">
            <v>B272-400-AS-280-PP-106</v>
          </cell>
          <cell r="E12199" t="str">
            <v>stack</v>
          </cell>
        </row>
        <row r="12200">
          <cell r="B12200" t="str">
            <v>B272-400-AS-280-PP-106</v>
          </cell>
          <cell r="E12200" t="str">
            <v>G-28</v>
          </cell>
        </row>
        <row r="12201">
          <cell r="B12201" t="str">
            <v>B272-400-AS-280-PP-106</v>
          </cell>
          <cell r="E12201" t="str">
            <v>stack</v>
          </cell>
        </row>
        <row r="12202">
          <cell r="B12202" t="str">
            <v>B272-400-AS-280-PP-106</v>
          </cell>
          <cell r="E12202" t="str">
            <v>G-28</v>
          </cell>
        </row>
        <row r="12203">
          <cell r="B12203" t="str">
            <v>B272-400-AS-280-PP-106</v>
          </cell>
          <cell r="E12203" t="str">
            <v>stack</v>
          </cell>
        </row>
        <row r="12204">
          <cell r="B12204" t="str">
            <v>B272-400-AS-280-PP-106</v>
          </cell>
          <cell r="E12204" t="str">
            <v>G-28</v>
          </cell>
        </row>
        <row r="12205">
          <cell r="B12205" t="str">
            <v>B272-400-AS-280-PP-106</v>
          </cell>
          <cell r="E12205" t="str">
            <v>stack</v>
          </cell>
        </row>
        <row r="12206">
          <cell r="B12206" t="str">
            <v>B272-400-AS-280-PP-106</v>
          </cell>
          <cell r="E12206" t="str">
            <v>G-28</v>
          </cell>
        </row>
        <row r="12207">
          <cell r="B12207" t="str">
            <v>B272-400-AS-280-PP-106</v>
          </cell>
          <cell r="E12207" t="str">
            <v>stack</v>
          </cell>
        </row>
        <row r="12208">
          <cell r="B12208" t="str">
            <v>B272-400-AS-280-PP-106</v>
          </cell>
          <cell r="E12208" t="str">
            <v>G-28</v>
          </cell>
        </row>
        <row r="12209">
          <cell r="B12209" t="str">
            <v>B272-400-AS-280-PP-106</v>
          </cell>
          <cell r="E12209" t="str">
            <v>stack</v>
          </cell>
        </row>
        <row r="12210">
          <cell r="B12210" t="str">
            <v>B272-400-AS-280-PP-106</v>
          </cell>
          <cell r="E12210" t="str">
            <v>G-28</v>
          </cell>
        </row>
        <row r="12211">
          <cell r="B12211" t="str">
            <v>B272-400-AS-280-PP-106</v>
          </cell>
          <cell r="E12211" t="str">
            <v>stack</v>
          </cell>
        </row>
        <row r="12212">
          <cell r="B12212" t="str">
            <v>B272-400-AS-280-PP-106</v>
          </cell>
          <cell r="E12212" t="str">
            <v>G-28</v>
          </cell>
        </row>
        <row r="12213">
          <cell r="B12213" t="str">
            <v>B272-400-AS-280-PP-106</v>
          </cell>
          <cell r="E12213" t="str">
            <v>stack</v>
          </cell>
        </row>
        <row r="12214">
          <cell r="B12214" t="str">
            <v>B272-400-AS-280-PP-106</v>
          </cell>
          <cell r="E12214" t="str">
            <v>G-28</v>
          </cell>
        </row>
        <row r="12215">
          <cell r="B12215" t="str">
            <v>B272-400-AS-280-PP-106</v>
          </cell>
          <cell r="E12215" t="str">
            <v>stack</v>
          </cell>
        </row>
        <row r="12216">
          <cell r="B12216" t="str">
            <v>B272-400-AS-280-PP-106</v>
          </cell>
          <cell r="E12216" t="str">
            <v>G-28</v>
          </cell>
        </row>
        <row r="12217">
          <cell r="B12217" t="str">
            <v>B272-400-AS-280-PP-106</v>
          </cell>
          <cell r="E12217" t="str">
            <v>stack</v>
          </cell>
        </row>
        <row r="12218">
          <cell r="B12218" t="str">
            <v>B272-400-AS-280-PP-106</v>
          </cell>
          <cell r="E12218" t="str">
            <v>G-28</v>
          </cell>
        </row>
        <row r="12219">
          <cell r="B12219" t="str">
            <v>B272-400-AS-280-PP-106</v>
          </cell>
          <cell r="E12219" t="str">
            <v>stack</v>
          </cell>
        </row>
        <row r="12220">
          <cell r="B12220" t="str">
            <v>B272-400-AS-280-PP-106</v>
          </cell>
          <cell r="E12220" t="str">
            <v>G-28</v>
          </cell>
        </row>
        <row r="12221">
          <cell r="B12221" t="str">
            <v>B272-400-AS-280-PP-106</v>
          </cell>
          <cell r="E12221" t="str">
            <v>stack</v>
          </cell>
        </row>
        <row r="12222">
          <cell r="B12222" t="str">
            <v>B272-400-AS-280-PP-106</v>
          </cell>
          <cell r="E12222" t="str">
            <v>G-28</v>
          </cell>
        </row>
        <row r="12223">
          <cell r="B12223" t="str">
            <v>B272-400-AS-280-PP-106</v>
          </cell>
          <cell r="E12223" t="str">
            <v>stack</v>
          </cell>
        </row>
        <row r="12224">
          <cell r="B12224" t="str">
            <v>B272-400-AS-280-PP-106</v>
          </cell>
          <cell r="E12224" t="str">
            <v>G-28</v>
          </cell>
        </row>
        <row r="12225">
          <cell r="B12225" t="str">
            <v>B272-400-AS-280-PP-106</v>
          </cell>
          <cell r="E12225" t="str">
            <v>stack</v>
          </cell>
        </row>
        <row r="12226">
          <cell r="B12226" t="str">
            <v>B272-400-AS-280-PP-106</v>
          </cell>
          <cell r="E12226" t="str">
            <v>G-28</v>
          </cell>
        </row>
        <row r="12227">
          <cell r="B12227" t="str">
            <v>B272-400-AS-280-PP-106</v>
          </cell>
          <cell r="E12227" t="str">
            <v>stack</v>
          </cell>
        </row>
        <row r="12228">
          <cell r="B12228" t="str">
            <v>B272-400-AS-280-PP-106</v>
          </cell>
          <cell r="E12228" t="str">
            <v>G-28</v>
          </cell>
        </row>
        <row r="12229">
          <cell r="B12229" t="str">
            <v>B272-400-AS-280-PP-106</v>
          </cell>
          <cell r="E12229" t="str">
            <v>stack</v>
          </cell>
        </row>
        <row r="12230">
          <cell r="B12230" t="str">
            <v>B272-400-AS-280-PP-106</v>
          </cell>
          <cell r="E12230" t="str">
            <v>G-28</v>
          </cell>
        </row>
        <row r="12231">
          <cell r="B12231" t="str">
            <v>B272-400-AS-280-PP-106</v>
          </cell>
          <cell r="E12231" t="str">
            <v>stack</v>
          </cell>
        </row>
        <row r="12232">
          <cell r="B12232" t="str">
            <v>B272-400-AS-280-PP-106</v>
          </cell>
          <cell r="E12232" t="str">
            <v>G-28</v>
          </cell>
        </row>
        <row r="12233">
          <cell r="B12233" t="str">
            <v>B272-400-AS-280-PP-106</v>
          </cell>
          <cell r="E12233" t="str">
            <v>stack</v>
          </cell>
        </row>
        <row r="12234">
          <cell r="B12234" t="str">
            <v>B272-400-AS-280-PP-106</v>
          </cell>
          <cell r="E12234" t="str">
            <v>G-28</v>
          </cell>
        </row>
        <row r="12235">
          <cell r="B12235" t="str">
            <v>B272-400-AS-280-PP-106</v>
          </cell>
          <cell r="E12235" t="str">
            <v>stack</v>
          </cell>
        </row>
        <row r="12236">
          <cell r="B12236" t="str">
            <v>B272-400-AS-280-PP-106</v>
          </cell>
          <cell r="E12236" t="str">
            <v>G-28</v>
          </cell>
        </row>
        <row r="12237">
          <cell r="B12237" t="str">
            <v>B272-400-AS-280-PP-106</v>
          </cell>
          <cell r="E12237" t="str">
            <v>stack</v>
          </cell>
        </row>
        <row r="12238">
          <cell r="B12238" t="str">
            <v>B272-400-AS-280-PP-106</v>
          </cell>
          <cell r="E12238" t="str">
            <v>G-28</v>
          </cell>
        </row>
        <row r="12239">
          <cell r="B12239" t="str">
            <v>B272-400-AS-280-PP-106</v>
          </cell>
          <cell r="E12239" t="str">
            <v>stack</v>
          </cell>
        </row>
        <row r="12240">
          <cell r="B12240" t="str">
            <v>B272-400-AS-280-PP-106</v>
          </cell>
          <cell r="E12240" t="str">
            <v>G-28</v>
          </cell>
        </row>
        <row r="12241">
          <cell r="B12241" t="str">
            <v>B272-400-AS-280-PP-106</v>
          </cell>
          <cell r="E12241" t="str">
            <v>stack</v>
          </cell>
        </row>
        <row r="12242">
          <cell r="B12242" t="str">
            <v>B272-400-AS-280-PP-106</v>
          </cell>
          <cell r="E12242" t="str">
            <v>G-28</v>
          </cell>
        </row>
        <row r="12243">
          <cell r="B12243" t="str">
            <v>B272-400-AS-280-PP-106</v>
          </cell>
          <cell r="E12243" t="str">
            <v>stack</v>
          </cell>
        </row>
        <row r="12244">
          <cell r="B12244" t="str">
            <v>B272-400-AS-280-PP-106</v>
          </cell>
          <cell r="E12244" t="str">
            <v>G-28</v>
          </cell>
        </row>
        <row r="12245">
          <cell r="B12245" t="str">
            <v>B272-400-AS-280-PP-106</v>
          </cell>
          <cell r="E12245" t="str">
            <v>stack</v>
          </cell>
        </row>
        <row r="12246">
          <cell r="B12246" t="str">
            <v>B272-400-AS-280-PP-106</v>
          </cell>
          <cell r="E12246" t="str">
            <v>G-28</v>
          </cell>
        </row>
        <row r="12247">
          <cell r="B12247" t="str">
            <v>B272-400-AS-280-PP-106</v>
          </cell>
          <cell r="E12247" t="str">
            <v>stack</v>
          </cell>
        </row>
        <row r="12248">
          <cell r="B12248" t="str">
            <v>B272-400-AS-280-PP-106</v>
          </cell>
          <cell r="E12248" t="str">
            <v>G-28</v>
          </cell>
        </row>
        <row r="12249">
          <cell r="B12249" t="str">
            <v>B272-400-AS-280-PP-106</v>
          </cell>
          <cell r="E12249" t="str">
            <v>stack</v>
          </cell>
        </row>
        <row r="12250">
          <cell r="B12250" t="str">
            <v>B272-400-AS-280-PP-106</v>
          </cell>
          <cell r="E12250" t="str">
            <v>G-28</v>
          </cell>
        </row>
        <row r="12251">
          <cell r="B12251" t="str">
            <v>B272-400-AS-280-PP-106</v>
          </cell>
          <cell r="E12251" t="str">
            <v>stack</v>
          </cell>
        </row>
        <row r="12252">
          <cell r="B12252" t="str">
            <v>B272-400-AS-280-PP-106</v>
          </cell>
          <cell r="E12252" t="str">
            <v>G-28</v>
          </cell>
        </row>
        <row r="12253">
          <cell r="B12253" t="str">
            <v>B272-400-AS-280-PP-106</v>
          </cell>
          <cell r="E12253" t="str">
            <v>stack</v>
          </cell>
        </row>
        <row r="12254">
          <cell r="B12254" t="str">
            <v>B272-400-AS-280-PP-106</v>
          </cell>
          <cell r="E12254" t="str">
            <v>G-28</v>
          </cell>
        </row>
        <row r="12255">
          <cell r="B12255" t="str">
            <v>B272-400-AS-280-PP-106</v>
          </cell>
          <cell r="E12255" t="str">
            <v>stack</v>
          </cell>
        </row>
        <row r="12256">
          <cell r="B12256" t="str">
            <v>B272-400-AS-280-PP-106</v>
          </cell>
          <cell r="E12256" t="str">
            <v>G-28</v>
          </cell>
        </row>
        <row r="12257">
          <cell r="B12257" t="str">
            <v>B272-400-AS-280-PP-106</v>
          </cell>
          <cell r="E12257" t="str">
            <v>stack</v>
          </cell>
        </row>
        <row r="12258">
          <cell r="B12258" t="str">
            <v>B272-400-AS-280-PP-106</v>
          </cell>
          <cell r="E12258" t="str">
            <v>G-28</v>
          </cell>
        </row>
        <row r="12259">
          <cell r="B12259" t="str">
            <v>B272-400-AS-280-PP-106</v>
          </cell>
          <cell r="E12259" t="str">
            <v>stack</v>
          </cell>
        </row>
        <row r="12260">
          <cell r="B12260" t="str">
            <v>B272-400-AS-280-PP-106</v>
          </cell>
          <cell r="E12260" t="str">
            <v>G-28</v>
          </cell>
        </row>
        <row r="12261">
          <cell r="B12261" t="str">
            <v>B272-400-AS-280-PP-106</v>
          </cell>
          <cell r="E12261" t="str">
            <v>stack</v>
          </cell>
        </row>
        <row r="12262">
          <cell r="B12262" t="str">
            <v>B272-400-AS-280-PP-106</v>
          </cell>
          <cell r="E12262" t="str">
            <v>G-28</v>
          </cell>
        </row>
        <row r="12263">
          <cell r="B12263" t="str">
            <v>B272-400-AS-280-PP-106</v>
          </cell>
          <cell r="E12263" t="str">
            <v>stack</v>
          </cell>
        </row>
        <row r="12264">
          <cell r="B12264" t="str">
            <v>B272-400-AS-280-PP-106</v>
          </cell>
          <cell r="E12264" t="str">
            <v>G-28</v>
          </cell>
        </row>
        <row r="12265">
          <cell r="B12265" t="str">
            <v>B272-400-AS-280-PP-106</v>
          </cell>
          <cell r="E12265" t="str">
            <v>stack</v>
          </cell>
        </row>
        <row r="12266">
          <cell r="B12266" t="str">
            <v>B272-400-AS-280-PP-106</v>
          </cell>
          <cell r="E12266" t="str">
            <v>G-28</v>
          </cell>
        </row>
        <row r="12267">
          <cell r="B12267" t="str">
            <v>B272-400-AS-280-PP-106</v>
          </cell>
          <cell r="E12267" t="str">
            <v>stack</v>
          </cell>
        </row>
        <row r="12268">
          <cell r="B12268" t="str">
            <v>B272-400-AS-280-PP-106</v>
          </cell>
          <cell r="E12268" t="str">
            <v>G-28</v>
          </cell>
        </row>
        <row r="12269">
          <cell r="B12269" t="str">
            <v>B272-400-AS-280-PP-106</v>
          </cell>
          <cell r="E12269" t="str">
            <v>stack</v>
          </cell>
        </row>
        <row r="12270">
          <cell r="B12270" t="str">
            <v>B272-400-AS-280-PP-106</v>
          </cell>
          <cell r="E12270" t="str">
            <v>G-28</v>
          </cell>
        </row>
        <row r="12271">
          <cell r="B12271" t="str">
            <v>B272-400-AS-280-PP-106</v>
          </cell>
          <cell r="E12271" t="str">
            <v>stack</v>
          </cell>
        </row>
        <row r="12272">
          <cell r="B12272" t="str">
            <v>B272-400-AS-280-PP-106</v>
          </cell>
          <cell r="E12272" t="str">
            <v>G-28</v>
          </cell>
        </row>
        <row r="12273">
          <cell r="B12273" t="str">
            <v>B272-400-AS-280-PP-106</v>
          </cell>
          <cell r="E12273" t="str">
            <v>stack</v>
          </cell>
        </row>
        <row r="12274">
          <cell r="B12274" t="str">
            <v>B272-400-AS-280-PP-106</v>
          </cell>
          <cell r="E12274" t="str">
            <v>G-28</v>
          </cell>
        </row>
        <row r="12275">
          <cell r="B12275" t="str">
            <v>B272-400-AS-280-PP-106</v>
          </cell>
          <cell r="E12275" t="str">
            <v>stack</v>
          </cell>
        </row>
        <row r="12276">
          <cell r="B12276" t="str">
            <v>B272-400-AS-280-PP-106</v>
          </cell>
          <cell r="E12276" t="str">
            <v>G-28</v>
          </cell>
        </row>
        <row r="12277">
          <cell r="B12277" t="str">
            <v>B272-400-AS-280-PP-106</v>
          </cell>
          <cell r="E12277" t="str">
            <v>stack</v>
          </cell>
        </row>
        <row r="12278">
          <cell r="B12278" t="str">
            <v>B272-400-AS-280-PP-106</v>
          </cell>
          <cell r="E12278" t="str">
            <v>G-28</v>
          </cell>
        </row>
        <row r="12279">
          <cell r="B12279" t="str">
            <v>B272-400-AS-280-PP-106</v>
          </cell>
          <cell r="E12279" t="str">
            <v>stack</v>
          </cell>
        </row>
        <row r="12280">
          <cell r="B12280" t="str">
            <v>B272-400-AS-280-PP-106</v>
          </cell>
          <cell r="E12280" t="str">
            <v>G-28</v>
          </cell>
        </row>
        <row r="12281">
          <cell r="B12281" t="str">
            <v>B272-400-AS-280-PP-106</v>
          </cell>
          <cell r="E12281" t="str">
            <v>stack</v>
          </cell>
        </row>
        <row r="12282">
          <cell r="B12282" t="str">
            <v>B272-400-AS-280-PP-106</v>
          </cell>
          <cell r="E12282" t="str">
            <v>G-28</v>
          </cell>
        </row>
        <row r="12283">
          <cell r="B12283" t="str">
            <v>B272-400-AS-280-PP-106</v>
          </cell>
          <cell r="E12283" t="str">
            <v>stack</v>
          </cell>
        </row>
        <row r="12284">
          <cell r="B12284" t="str">
            <v>B272-400-AS-280-PP-106</v>
          </cell>
          <cell r="E12284" t="str">
            <v>G-28</v>
          </cell>
        </row>
        <row r="12285">
          <cell r="B12285" t="str">
            <v>B272-400-AS-280-PP-106</v>
          </cell>
          <cell r="E12285" t="str">
            <v>stack</v>
          </cell>
        </row>
        <row r="12286">
          <cell r="B12286" t="str">
            <v>B272-400-AS-280-PP-106</v>
          </cell>
          <cell r="E12286" t="str">
            <v>G-28</v>
          </cell>
        </row>
        <row r="12287">
          <cell r="B12287" t="str">
            <v>B272-400-AS-280-PP-106</v>
          </cell>
          <cell r="E12287" t="str">
            <v>stack</v>
          </cell>
        </row>
        <row r="12288">
          <cell r="B12288" t="str">
            <v>B272-400-AS-280-PP-106</v>
          </cell>
          <cell r="E12288" t="str">
            <v>G-28</v>
          </cell>
        </row>
        <row r="12289">
          <cell r="B12289" t="str">
            <v>B272-400-AS-280-PP-106</v>
          </cell>
          <cell r="E12289" t="str">
            <v>stack</v>
          </cell>
        </row>
        <row r="12290">
          <cell r="B12290" t="str">
            <v>B272-400-AS-280-PP-106</v>
          </cell>
          <cell r="E12290" t="str">
            <v>G-28</v>
          </cell>
        </row>
        <row r="12291">
          <cell r="B12291" t="str">
            <v>B272-400-AS-280-PP-106</v>
          </cell>
          <cell r="E12291" t="str">
            <v>stack</v>
          </cell>
        </row>
        <row r="12292">
          <cell r="B12292" t="str">
            <v>B272-400-AS-280-PP-106</v>
          </cell>
          <cell r="E12292" t="str">
            <v>G-28</v>
          </cell>
        </row>
        <row r="12293">
          <cell r="B12293" t="str">
            <v>B272-400-AS-280-PP-106</v>
          </cell>
          <cell r="E12293" t="str">
            <v>stack</v>
          </cell>
        </row>
        <row r="12294">
          <cell r="B12294" t="str">
            <v>B272-400-AS-280-PP-106</v>
          </cell>
          <cell r="E12294" t="str">
            <v>G-28</v>
          </cell>
        </row>
        <row r="12295">
          <cell r="B12295" t="str">
            <v>B272-400-AS-280-PP-106</v>
          </cell>
          <cell r="E12295" t="str">
            <v>stack</v>
          </cell>
        </row>
        <row r="12296">
          <cell r="B12296" t="str">
            <v>B272-400-AS-280-PP-106</v>
          </cell>
          <cell r="E12296" t="str">
            <v>G-28</v>
          </cell>
        </row>
        <row r="12297">
          <cell r="B12297" t="str">
            <v>B272-400-AS-280-PP-106</v>
          </cell>
          <cell r="E12297" t="str">
            <v>stack</v>
          </cell>
        </row>
        <row r="12298">
          <cell r="B12298" t="str">
            <v>B272-400-AS-280-PP-106</v>
          </cell>
          <cell r="E12298" t="str">
            <v>G-28</v>
          </cell>
        </row>
        <row r="12299">
          <cell r="B12299" t="str">
            <v>B272-400-AS-280-PP-106</v>
          </cell>
          <cell r="E12299" t="str">
            <v>stack</v>
          </cell>
        </row>
        <row r="12300">
          <cell r="B12300" t="str">
            <v>B272-400-AS-280-PP-106</v>
          </cell>
          <cell r="E12300" t="str">
            <v>G-28</v>
          </cell>
        </row>
        <row r="12301">
          <cell r="B12301" t="str">
            <v>B272-400-AS-280-PP-106</v>
          </cell>
          <cell r="E12301" t="str">
            <v>stack</v>
          </cell>
        </row>
        <row r="12302">
          <cell r="B12302" t="str">
            <v>B272-400-AS-280-PP-106</v>
          </cell>
          <cell r="E12302" t="str">
            <v>G-28</v>
          </cell>
        </row>
        <row r="12303">
          <cell r="B12303" t="str">
            <v>B272-400-AS-280-PP-106</v>
          </cell>
          <cell r="E12303" t="str">
            <v>stack</v>
          </cell>
        </row>
        <row r="12304">
          <cell r="B12304" t="str">
            <v>B272-400-AS-280-PP-106</v>
          </cell>
          <cell r="E12304" t="str">
            <v>G-28</v>
          </cell>
        </row>
        <row r="12305">
          <cell r="B12305" t="str">
            <v>B272-400-AS-280-PP-106</v>
          </cell>
          <cell r="E12305" t="str">
            <v>stack</v>
          </cell>
        </row>
        <row r="12306">
          <cell r="B12306" t="str">
            <v>B272-400-AS-280-PP-106</v>
          </cell>
          <cell r="E12306" t="str">
            <v>G-28</v>
          </cell>
        </row>
        <row r="12307">
          <cell r="B12307" t="str">
            <v>B272-400-AS-280-PP-106</v>
          </cell>
          <cell r="E12307" t="str">
            <v>stack</v>
          </cell>
        </row>
        <row r="12308">
          <cell r="B12308" t="str">
            <v>B272-400-AS-280-PP-106</v>
          </cell>
          <cell r="E12308" t="str">
            <v>G-28</v>
          </cell>
        </row>
        <row r="12309">
          <cell r="B12309" t="str">
            <v>B272-400-AS-280-PP-106</v>
          </cell>
          <cell r="E12309" t="str">
            <v>stack</v>
          </cell>
        </row>
        <row r="12310">
          <cell r="B12310" t="str">
            <v>B272-400-AS-280-PP-106</v>
          </cell>
          <cell r="E12310" t="str">
            <v>G-28</v>
          </cell>
        </row>
        <row r="12311">
          <cell r="B12311" t="str">
            <v>B272-400-AS-280-PP-106</v>
          </cell>
          <cell r="E12311" t="str">
            <v>stack</v>
          </cell>
        </row>
        <row r="12312">
          <cell r="B12312" t="str">
            <v>B272-400-AS-280-PP-106</v>
          </cell>
          <cell r="E12312" t="str">
            <v>G-28</v>
          </cell>
        </row>
        <row r="12313">
          <cell r="B12313" t="str">
            <v>B272-400-AS-280-PP-106</v>
          </cell>
          <cell r="E12313" t="str">
            <v>stack</v>
          </cell>
        </row>
        <row r="12314">
          <cell r="B12314" t="str">
            <v>B272-400-AS-280-PP-106</v>
          </cell>
          <cell r="E12314" t="str">
            <v>G-28</v>
          </cell>
        </row>
        <row r="12315">
          <cell r="B12315" t="str">
            <v>B272-400-AS-280-PP-106</v>
          </cell>
          <cell r="E12315" t="str">
            <v>stack</v>
          </cell>
        </row>
        <row r="12316">
          <cell r="B12316" t="str">
            <v>B272-400-AS-280-PP-106</v>
          </cell>
          <cell r="E12316" t="str">
            <v>G-28</v>
          </cell>
        </row>
        <row r="12317">
          <cell r="B12317" t="str">
            <v>B272-400-AS-280-PP-106</v>
          </cell>
          <cell r="E12317" t="str">
            <v>stack</v>
          </cell>
        </row>
        <row r="12318">
          <cell r="B12318" t="str">
            <v>B272-400-AS-280-PP-106</v>
          </cell>
          <cell r="E12318" t="str">
            <v>G-28</v>
          </cell>
        </row>
        <row r="12319">
          <cell r="B12319" t="str">
            <v>B272-400-AS-280-PP-106</v>
          </cell>
          <cell r="E12319" t="str">
            <v>stack</v>
          </cell>
        </row>
        <row r="12320">
          <cell r="B12320" t="str">
            <v>B272-400-AS-280-PP-106</v>
          </cell>
          <cell r="E12320" t="str">
            <v>G-28</v>
          </cell>
        </row>
        <row r="12321">
          <cell r="B12321" t="str">
            <v>B272-400-AS-280-PP-106</v>
          </cell>
          <cell r="E12321" t="str">
            <v>stack</v>
          </cell>
        </row>
        <row r="12322">
          <cell r="B12322" t="str">
            <v>B272-400-AS-280-PP-106</v>
          </cell>
          <cell r="E12322" t="str">
            <v>G-28</v>
          </cell>
        </row>
        <row r="12323">
          <cell r="B12323" t="str">
            <v>B272-400-AS-280-PP-106</v>
          </cell>
          <cell r="E12323" t="str">
            <v>stack</v>
          </cell>
        </row>
        <row r="12324">
          <cell r="B12324" t="str">
            <v>B272-400-AS-280-PP-106</v>
          </cell>
          <cell r="E12324" t="str">
            <v>G-28</v>
          </cell>
        </row>
        <row r="12325">
          <cell r="B12325" t="str">
            <v>B272-400-AS-280-PP-106</v>
          </cell>
          <cell r="E12325" t="str">
            <v>stack</v>
          </cell>
        </row>
        <row r="12326">
          <cell r="B12326" t="str">
            <v>B272-400-AS-280-PP-106</v>
          </cell>
          <cell r="E12326" t="str">
            <v>G-28</v>
          </cell>
        </row>
        <row r="12327">
          <cell r="B12327" t="str">
            <v>B272-400-AS-280-PP-106</v>
          </cell>
          <cell r="E12327" t="str">
            <v>stack</v>
          </cell>
        </row>
        <row r="12328">
          <cell r="B12328" t="str">
            <v>B272-400-AS-280-PP-106</v>
          </cell>
          <cell r="E12328" t="str">
            <v>G-28</v>
          </cell>
        </row>
        <row r="12329">
          <cell r="B12329" t="str">
            <v>B272-400-AS-280-PP-106</v>
          </cell>
          <cell r="E12329" t="str">
            <v>stack</v>
          </cell>
        </row>
        <row r="12330">
          <cell r="B12330" t="str">
            <v>B272-400-AS-280-PP-106</v>
          </cell>
          <cell r="E12330" t="str">
            <v>G-28</v>
          </cell>
        </row>
        <row r="12331">
          <cell r="B12331" t="str">
            <v>B272-400-AS-280-PP-106</v>
          </cell>
          <cell r="E12331" t="str">
            <v>stack</v>
          </cell>
        </row>
        <row r="12332">
          <cell r="B12332" t="str">
            <v>B272-400-AS-280-PP-106</v>
          </cell>
          <cell r="E12332" t="str">
            <v>G-28</v>
          </cell>
        </row>
        <row r="12333">
          <cell r="B12333" t="str">
            <v>B272-400-AS-280-PP-106</v>
          </cell>
          <cell r="E12333" t="str">
            <v>stack</v>
          </cell>
        </row>
        <row r="12334">
          <cell r="B12334" t="str">
            <v>B272-400-AS-280-PP-106</v>
          </cell>
          <cell r="E12334" t="str">
            <v>G-28</v>
          </cell>
        </row>
        <row r="12335">
          <cell r="B12335" t="str">
            <v>B272-400-AS-280-PP-106</v>
          </cell>
          <cell r="E12335" t="str">
            <v>stack</v>
          </cell>
        </row>
        <row r="12336">
          <cell r="B12336" t="str">
            <v>B272-400-AS-280-PP-106</v>
          </cell>
          <cell r="E12336" t="str">
            <v>G-28</v>
          </cell>
        </row>
        <row r="12337">
          <cell r="B12337" t="str">
            <v>B272-400-AS-280-PP-106</v>
          </cell>
          <cell r="E12337" t="str">
            <v>stack</v>
          </cell>
        </row>
        <row r="12338">
          <cell r="B12338" t="str">
            <v>B272-400-AS-280-PP-106</v>
          </cell>
          <cell r="E12338" t="str">
            <v>G-28</v>
          </cell>
        </row>
        <row r="12339">
          <cell r="B12339" t="str">
            <v>B272-400-AS-280-PP-106</v>
          </cell>
          <cell r="E12339" t="str">
            <v>stack</v>
          </cell>
        </row>
        <row r="12340">
          <cell r="B12340" t="str">
            <v>B272-400-AS-280-PP-106</v>
          </cell>
          <cell r="E12340" t="str">
            <v>G-28</v>
          </cell>
        </row>
        <row r="12341">
          <cell r="B12341" t="str">
            <v>B272-400-AS-280-PP-106</v>
          </cell>
          <cell r="E12341" t="str">
            <v>stack</v>
          </cell>
        </row>
        <row r="12342">
          <cell r="B12342" t="str">
            <v>B272-400-AS-280-PP-106</v>
          </cell>
          <cell r="E12342" t="str">
            <v>G-28</v>
          </cell>
        </row>
        <row r="12343">
          <cell r="B12343" t="str">
            <v>B272-400-AS-280-PP-106</v>
          </cell>
          <cell r="E12343" t="str">
            <v>stack</v>
          </cell>
        </row>
        <row r="12344">
          <cell r="B12344" t="str">
            <v>B272-400-AS-280-PP-106</v>
          </cell>
          <cell r="E12344" t="str">
            <v>G-28</v>
          </cell>
        </row>
        <row r="12345">
          <cell r="B12345" t="str">
            <v>B272-400-AS-280-PP-106</v>
          </cell>
          <cell r="E12345" t="str">
            <v>stack</v>
          </cell>
        </row>
        <row r="12346">
          <cell r="B12346" t="str">
            <v>B272-400-AS-280-PP-106</v>
          </cell>
          <cell r="E12346" t="str">
            <v>G-28</v>
          </cell>
        </row>
        <row r="12347">
          <cell r="B12347" t="str">
            <v>B272-400-AS-280-PP-106</v>
          </cell>
          <cell r="E12347" t="str">
            <v>stack</v>
          </cell>
        </row>
        <row r="12348">
          <cell r="B12348" t="str">
            <v>B272-400-AS-280-PP-106</v>
          </cell>
          <cell r="E12348" t="str">
            <v>G-28</v>
          </cell>
        </row>
        <row r="12349">
          <cell r="B12349" t="str">
            <v>B272-400-AS-280-PP-106</v>
          </cell>
          <cell r="E12349" t="str">
            <v>stack</v>
          </cell>
        </row>
        <row r="12350">
          <cell r="B12350" t="str">
            <v>B272-400-AS-280-PP-106</v>
          </cell>
          <cell r="E12350" t="str">
            <v>G-28</v>
          </cell>
        </row>
        <row r="12351">
          <cell r="B12351" t="str">
            <v>B272-400-AS-280-PP-106</v>
          </cell>
          <cell r="E12351" t="str">
            <v>stack</v>
          </cell>
        </row>
        <row r="12352">
          <cell r="B12352" t="str">
            <v>B272-400-AS-280-PP-106</v>
          </cell>
          <cell r="E12352" t="str">
            <v>G-28</v>
          </cell>
        </row>
        <row r="12353">
          <cell r="B12353" t="str">
            <v>B272-400-AS-280-PP-106</v>
          </cell>
          <cell r="E12353" t="str">
            <v>stack</v>
          </cell>
        </row>
        <row r="12354">
          <cell r="B12354" t="str">
            <v>B272-400-AS-280-PP-106</v>
          </cell>
          <cell r="E12354" t="str">
            <v>G-28</v>
          </cell>
        </row>
        <row r="12355">
          <cell r="B12355" t="str">
            <v>B272-400-AS-280-PP-106</v>
          </cell>
          <cell r="E12355" t="str">
            <v>stack</v>
          </cell>
        </row>
        <row r="12356">
          <cell r="B12356" t="str">
            <v>B272-400-AS-280-PP-106</v>
          </cell>
          <cell r="E12356" t="str">
            <v>G-28</v>
          </cell>
        </row>
        <row r="12357">
          <cell r="B12357" t="str">
            <v>B272-400-AS-280-PP-106</v>
          </cell>
          <cell r="E12357" t="str">
            <v>stack</v>
          </cell>
        </row>
        <row r="12358">
          <cell r="B12358" t="str">
            <v>B272-400-AS-280-PP-106</v>
          </cell>
          <cell r="E12358" t="str">
            <v>G-28</v>
          </cell>
        </row>
        <row r="12359">
          <cell r="B12359" t="str">
            <v>B272-400-AS-280-PP-106</v>
          </cell>
          <cell r="E12359" t="str">
            <v>stack</v>
          </cell>
        </row>
        <row r="12360">
          <cell r="B12360" t="str">
            <v>B272-400-AS-280-PP-106</v>
          </cell>
          <cell r="E12360" t="str">
            <v>G-28</v>
          </cell>
        </row>
        <row r="12361">
          <cell r="B12361" t="str">
            <v>B272-400-AS-280-PP-106</v>
          </cell>
          <cell r="E12361" t="str">
            <v>stack</v>
          </cell>
        </row>
        <row r="12362">
          <cell r="B12362" t="str">
            <v>B272-400-AS-280-PP-106</v>
          </cell>
          <cell r="E12362" t="str">
            <v>G-28</v>
          </cell>
        </row>
        <row r="12363">
          <cell r="B12363" t="str">
            <v>B272-400-AS-280-PP-106</v>
          </cell>
          <cell r="E12363" t="str">
            <v>stack</v>
          </cell>
        </row>
        <row r="12364">
          <cell r="B12364" t="str">
            <v>B272-400-AS-280-PP-106</v>
          </cell>
          <cell r="E12364" t="str">
            <v>G-28</v>
          </cell>
        </row>
        <row r="12365">
          <cell r="B12365" t="str">
            <v>B272-400-AS-280-PP-106</v>
          </cell>
          <cell r="E12365" t="str">
            <v>stack</v>
          </cell>
        </row>
        <row r="12366">
          <cell r="B12366" t="str">
            <v>B272-400-AS-280-PP-106</v>
          </cell>
          <cell r="E12366" t="str">
            <v>G-28</v>
          </cell>
        </row>
        <row r="12367">
          <cell r="B12367" t="str">
            <v>B272-400-AS-280-PP-106</v>
          </cell>
          <cell r="E12367" t="str">
            <v>stack</v>
          </cell>
        </row>
        <row r="12368">
          <cell r="B12368" t="str">
            <v>B272-400-AS-280-PP-106</v>
          </cell>
          <cell r="E12368" t="str">
            <v>G-28</v>
          </cell>
        </row>
        <row r="12369">
          <cell r="B12369" t="str">
            <v>B272-400-AS-280-PP-106</v>
          </cell>
          <cell r="E12369" t="str">
            <v>stack</v>
          </cell>
        </row>
        <row r="12370">
          <cell r="B12370" t="str">
            <v>B272-400-AS-280-PP-106</v>
          </cell>
          <cell r="E12370" t="str">
            <v>G-28</v>
          </cell>
        </row>
        <row r="12371">
          <cell r="B12371" t="str">
            <v>B272-400-AS-280-PP-106</v>
          </cell>
          <cell r="E12371" t="str">
            <v>stack</v>
          </cell>
        </row>
        <row r="12372">
          <cell r="B12372" t="str">
            <v>B272-400-AS-280-PP-106</v>
          </cell>
          <cell r="E12372" t="str">
            <v>G-28</v>
          </cell>
        </row>
        <row r="12373">
          <cell r="B12373" t="str">
            <v>B272-400-AS-280-PP-106</v>
          </cell>
          <cell r="E12373" t="str">
            <v>stack</v>
          </cell>
        </row>
        <row r="12374">
          <cell r="B12374" t="str">
            <v>B272-400-AS-280-PP-106</v>
          </cell>
          <cell r="E12374" t="str">
            <v>G-28</v>
          </cell>
        </row>
        <row r="12375">
          <cell r="B12375" t="str">
            <v>B272-400-AS-280-PP-106</v>
          </cell>
          <cell r="E12375" t="str">
            <v>stack</v>
          </cell>
        </row>
        <row r="12376">
          <cell r="B12376" t="str">
            <v>B272-400-AS-280-PP-106</v>
          </cell>
          <cell r="E12376" t="str">
            <v>G-28</v>
          </cell>
        </row>
        <row r="12377">
          <cell r="B12377" t="str">
            <v>B272-400-AS-280-PP-106</v>
          </cell>
          <cell r="E12377" t="str">
            <v>stack</v>
          </cell>
        </row>
        <row r="12378">
          <cell r="B12378" t="str">
            <v>B272-400-AS-280-PP-106</v>
          </cell>
          <cell r="E12378" t="str">
            <v>G-28</v>
          </cell>
        </row>
        <row r="12379">
          <cell r="B12379" t="str">
            <v>B272-400-AS-280-PP-106</v>
          </cell>
          <cell r="E12379" t="str">
            <v>stack</v>
          </cell>
        </row>
        <row r="12380">
          <cell r="B12380" t="str">
            <v>B272-400-AS-280-PP-106</v>
          </cell>
          <cell r="E12380" t="str">
            <v>G-28</v>
          </cell>
        </row>
        <row r="12381">
          <cell r="B12381" t="str">
            <v>B272-400-AS-280-PP-106</v>
          </cell>
          <cell r="E12381" t="str">
            <v>stack</v>
          </cell>
        </row>
        <row r="12382">
          <cell r="B12382" t="str">
            <v>B272-400-AS-280-PP-106</v>
          </cell>
          <cell r="E12382" t="str">
            <v>G-28</v>
          </cell>
        </row>
        <row r="12383">
          <cell r="B12383" t="str">
            <v>B272-400-AS-280-PP-106</v>
          </cell>
          <cell r="E12383" t="str">
            <v>stack</v>
          </cell>
        </row>
        <row r="12384">
          <cell r="B12384" t="str">
            <v>B272-400-AS-280-PP-106</v>
          </cell>
          <cell r="E12384" t="str">
            <v>G-28</v>
          </cell>
        </row>
        <row r="12385">
          <cell r="B12385" t="str">
            <v>B272-400-AS-280-PP-106</v>
          </cell>
          <cell r="E12385" t="str">
            <v>stack</v>
          </cell>
        </row>
        <row r="12386">
          <cell r="B12386" t="str">
            <v>B272-400-AS-280-PP-106</v>
          </cell>
          <cell r="E12386" t="str">
            <v>G-28</v>
          </cell>
        </row>
        <row r="12387">
          <cell r="B12387" t="str">
            <v>B272-400-AS-280-PP-106</v>
          </cell>
          <cell r="E12387" t="str">
            <v>stack</v>
          </cell>
        </row>
        <row r="12388">
          <cell r="B12388" t="str">
            <v>B272-400-AS-280-PP-106</v>
          </cell>
          <cell r="E12388" t="str">
            <v>G-28</v>
          </cell>
        </row>
        <row r="12389">
          <cell r="B12389" t="str">
            <v>B272-400-AS-280-PP-106</v>
          </cell>
          <cell r="E12389" t="str">
            <v>stack</v>
          </cell>
        </row>
        <row r="12390">
          <cell r="B12390" t="str">
            <v>B272-400-AS-280-PP-106</v>
          </cell>
          <cell r="E12390" t="str">
            <v>G-28</v>
          </cell>
        </row>
        <row r="12391">
          <cell r="B12391" t="str">
            <v>B272-400-AS-280-PP-106</v>
          </cell>
          <cell r="E12391" t="str">
            <v>stack</v>
          </cell>
        </row>
        <row r="12392">
          <cell r="B12392" t="str">
            <v>B272-400-AS-280-PP-106</v>
          </cell>
          <cell r="E12392" t="str">
            <v>G-28</v>
          </cell>
        </row>
        <row r="12393">
          <cell r="B12393" t="str">
            <v>B272-400-AS-280-PP-106</v>
          </cell>
          <cell r="E12393" t="str">
            <v>stack</v>
          </cell>
        </row>
        <row r="12394">
          <cell r="B12394" t="str">
            <v>B272-400-AS-280-PP-106</v>
          </cell>
          <cell r="E12394" t="str">
            <v>G-28</v>
          </cell>
        </row>
        <row r="12395">
          <cell r="B12395" t="str">
            <v>B272-400-AS-280-PP-106</v>
          </cell>
          <cell r="E12395" t="str">
            <v>stack</v>
          </cell>
        </row>
        <row r="12396">
          <cell r="B12396" t="str">
            <v>B272-400-AS-280-PP-106</v>
          </cell>
          <cell r="E12396" t="str">
            <v>G-28</v>
          </cell>
        </row>
        <row r="12397">
          <cell r="B12397" t="str">
            <v>B272-400-AS-280-PP-106</v>
          </cell>
          <cell r="E12397" t="str">
            <v>stack</v>
          </cell>
        </row>
        <row r="12398">
          <cell r="B12398" t="str">
            <v>B272-400-AS-280-PP-106</v>
          </cell>
          <cell r="E12398" t="str">
            <v>G-28</v>
          </cell>
        </row>
        <row r="12399">
          <cell r="B12399" t="str">
            <v>B272-400-AS-280-PP-106</v>
          </cell>
          <cell r="E12399" t="str">
            <v>stack</v>
          </cell>
        </row>
        <row r="12400">
          <cell r="B12400" t="str">
            <v>B272-400-AS-280-PP-106</v>
          </cell>
          <cell r="E12400" t="str">
            <v>G-28</v>
          </cell>
        </row>
        <row r="12401">
          <cell r="B12401" t="str">
            <v>B272-400-AS-280-PP-106</v>
          </cell>
          <cell r="E12401" t="str">
            <v>stack</v>
          </cell>
        </row>
        <row r="12402">
          <cell r="B12402" t="str">
            <v>B272-400-AS-280-PP-106</v>
          </cell>
          <cell r="E12402" t="str">
            <v>G-28</v>
          </cell>
        </row>
        <row r="12403">
          <cell r="B12403" t="str">
            <v>B272-400-AS-280-PP-106</v>
          </cell>
          <cell r="E12403" t="str">
            <v>stack</v>
          </cell>
        </row>
        <row r="12404">
          <cell r="B12404" t="str">
            <v>B272-400-AS-280-PP-106</v>
          </cell>
          <cell r="E12404" t="str">
            <v>G-28</v>
          </cell>
        </row>
        <row r="12405">
          <cell r="B12405" t="str">
            <v>B272-400-AS-280-PP-106</v>
          </cell>
          <cell r="E12405" t="str">
            <v>stack</v>
          </cell>
        </row>
        <row r="12406">
          <cell r="B12406" t="str">
            <v>B272-400-AS-280-PP-106</v>
          </cell>
          <cell r="E12406" t="str">
            <v>G-28</v>
          </cell>
        </row>
        <row r="12407">
          <cell r="B12407" t="str">
            <v>B272-400-AS-280-PP-106</v>
          </cell>
          <cell r="E12407" t="str">
            <v>stack</v>
          </cell>
        </row>
        <row r="12408">
          <cell r="B12408" t="str">
            <v>B272-400-AS-280-PP-106</v>
          </cell>
          <cell r="E12408" t="str">
            <v>G-28</v>
          </cell>
        </row>
        <row r="12409">
          <cell r="B12409" t="str">
            <v>B272-400-AS-280-PP-106</v>
          </cell>
          <cell r="E12409" t="str">
            <v>stack</v>
          </cell>
        </row>
        <row r="12410">
          <cell r="B12410" t="str">
            <v>B272-400-AS-280-PP-106</v>
          </cell>
          <cell r="E12410" t="str">
            <v>G-28</v>
          </cell>
        </row>
        <row r="12411">
          <cell r="B12411" t="str">
            <v>B272-400-AS-280-PP-106</v>
          </cell>
          <cell r="E12411" t="str">
            <v>stack</v>
          </cell>
        </row>
        <row r="12412">
          <cell r="B12412" t="str">
            <v>B272-400-AS-280-PP-106</v>
          </cell>
          <cell r="E12412" t="str">
            <v>G-28</v>
          </cell>
        </row>
        <row r="12413">
          <cell r="B12413" t="str">
            <v>B272-400-AS-280-PP-106</v>
          </cell>
          <cell r="E12413" t="str">
            <v>stack</v>
          </cell>
        </row>
        <row r="12414">
          <cell r="B12414" t="str">
            <v>B272-400-AS-280-PP-106</v>
          </cell>
          <cell r="E12414" t="str">
            <v>G-28</v>
          </cell>
        </row>
        <row r="12415">
          <cell r="B12415" t="str">
            <v>B272-400-AS-280-PP-106</v>
          </cell>
          <cell r="E12415" t="str">
            <v>stack</v>
          </cell>
        </row>
        <row r="12416">
          <cell r="B12416" t="str">
            <v>B272-400-AS-280-PP-106</v>
          </cell>
          <cell r="E12416" t="str">
            <v>G-28</v>
          </cell>
        </row>
        <row r="12417">
          <cell r="B12417" t="str">
            <v>B272-400-AS-280-PP-106</v>
          </cell>
          <cell r="E12417" t="str">
            <v>stack</v>
          </cell>
        </row>
        <row r="12418">
          <cell r="B12418" t="str">
            <v>B272-400-AS-280-PP-106</v>
          </cell>
          <cell r="E12418" t="str">
            <v>G-28</v>
          </cell>
        </row>
        <row r="12419">
          <cell r="B12419" t="str">
            <v>B272-400-AS-280-PP-106</v>
          </cell>
          <cell r="E12419" t="str">
            <v>stack</v>
          </cell>
        </row>
        <row r="12420">
          <cell r="B12420" t="str">
            <v>B272-400-AS-280-PP-106</v>
          </cell>
          <cell r="E12420" t="str">
            <v>G-28</v>
          </cell>
        </row>
        <row r="12421">
          <cell r="B12421" t="str">
            <v>B272-400-AS-280-PP-106</v>
          </cell>
          <cell r="E12421" t="str">
            <v>stack</v>
          </cell>
        </row>
        <row r="12422">
          <cell r="B12422" t="str">
            <v>B272-400-AS-280-PP-106</v>
          </cell>
          <cell r="E12422" t="str">
            <v>G-28</v>
          </cell>
        </row>
        <row r="12423">
          <cell r="B12423" t="str">
            <v>B272-400-AS-280-PP-106</v>
          </cell>
          <cell r="E12423" t="str">
            <v>stack</v>
          </cell>
        </row>
        <row r="12424">
          <cell r="B12424" t="str">
            <v>B272-400-AS-280-PP-106</v>
          </cell>
          <cell r="E12424" t="str">
            <v>G-28</v>
          </cell>
        </row>
        <row r="12425">
          <cell r="B12425" t="str">
            <v>B272-400-AS-280-PP-106</v>
          </cell>
          <cell r="E12425" t="str">
            <v>stack</v>
          </cell>
        </row>
        <row r="12426">
          <cell r="B12426" t="str">
            <v>B272-400-AS-280-PP-106</v>
          </cell>
          <cell r="E12426" t="str">
            <v>G-28</v>
          </cell>
        </row>
        <row r="12427">
          <cell r="B12427" t="str">
            <v>B272-400-AS-280-PP-106</v>
          </cell>
          <cell r="E12427" t="str">
            <v>stack</v>
          </cell>
        </row>
        <row r="12428">
          <cell r="B12428" t="str">
            <v>B272-400-AS-280-PP-106</v>
          </cell>
          <cell r="E12428" t="str">
            <v>G-28</v>
          </cell>
        </row>
        <row r="12429">
          <cell r="B12429" t="str">
            <v>B272-400-AS-280-PP-106</v>
          </cell>
          <cell r="E12429" t="str">
            <v>stack</v>
          </cell>
        </row>
        <row r="12430">
          <cell r="B12430" t="str">
            <v>B272-400-AS-280-PP-106</v>
          </cell>
          <cell r="E12430" t="str">
            <v>G-28</v>
          </cell>
        </row>
        <row r="12431">
          <cell r="B12431" t="str">
            <v>B272-400-AS-280-PP-106</v>
          </cell>
          <cell r="E12431" t="str">
            <v>stack</v>
          </cell>
        </row>
        <row r="12432">
          <cell r="B12432" t="str">
            <v>B272-400-AS-280-PP-106</v>
          </cell>
          <cell r="E12432" t="str">
            <v>G-28</v>
          </cell>
        </row>
        <row r="12433">
          <cell r="B12433" t="str">
            <v>B272-400-AS-280-PP-106</v>
          </cell>
          <cell r="E12433" t="str">
            <v>stack</v>
          </cell>
        </row>
        <row r="12434">
          <cell r="B12434" t="str">
            <v>B272-400-AS-280-PP-106</v>
          </cell>
          <cell r="E12434" t="str">
            <v>G-28</v>
          </cell>
        </row>
        <row r="12435">
          <cell r="B12435" t="str">
            <v>B272-400-AS-280-PP-106</v>
          </cell>
          <cell r="E12435" t="str">
            <v>stack</v>
          </cell>
        </row>
        <row r="12436">
          <cell r="B12436" t="str">
            <v>B272-400-AS-280-PP-106</v>
          </cell>
          <cell r="E12436" t="str">
            <v>G-28</v>
          </cell>
        </row>
        <row r="12437">
          <cell r="B12437" t="str">
            <v>B272-400-AS-280-PP-106</v>
          </cell>
          <cell r="E12437" t="str">
            <v>stack</v>
          </cell>
        </row>
        <row r="12438">
          <cell r="B12438" t="str">
            <v>B272-400-AS-280-PP-106</v>
          </cell>
          <cell r="E12438" t="str">
            <v>G-28</v>
          </cell>
        </row>
        <row r="12439">
          <cell r="B12439" t="str">
            <v>B272-400-AS-280-PP-106</v>
          </cell>
          <cell r="E12439" t="str">
            <v>stack</v>
          </cell>
        </row>
        <row r="12440">
          <cell r="B12440" t="str">
            <v>B272-400-AS-280-PP-106</v>
          </cell>
          <cell r="E12440" t="str">
            <v>G-28</v>
          </cell>
        </row>
        <row r="12441">
          <cell r="B12441" t="str">
            <v>B272-400-AS-280-PP-106</v>
          </cell>
          <cell r="E12441" t="str">
            <v>stack</v>
          </cell>
        </row>
        <row r="12442">
          <cell r="B12442" t="str">
            <v>B272-400-AS-280-PP-106</v>
          </cell>
          <cell r="E12442" t="str">
            <v>G-28</v>
          </cell>
        </row>
        <row r="12443">
          <cell r="B12443" t="str">
            <v>B272-400-AS-280-PP-106</v>
          </cell>
          <cell r="E12443" t="str">
            <v>stack</v>
          </cell>
        </row>
        <row r="12444">
          <cell r="B12444" t="str">
            <v>B272-400-AS-280-PP-106</v>
          </cell>
          <cell r="E12444" t="str">
            <v>G-28</v>
          </cell>
        </row>
        <row r="12445">
          <cell r="B12445" t="str">
            <v>B272-400-AS-280-PP-106</v>
          </cell>
          <cell r="E12445" t="str">
            <v>stack</v>
          </cell>
        </row>
        <row r="12446">
          <cell r="B12446" t="str">
            <v>B272-400-AS-280-PP-106</v>
          </cell>
          <cell r="E12446" t="str">
            <v>G-28</v>
          </cell>
        </row>
        <row r="12447">
          <cell r="B12447" t="str">
            <v>B272-400-AS-280-PP-107</v>
          </cell>
          <cell r="E12447" t="str">
            <v>hoàng anh</v>
          </cell>
        </row>
        <row r="12448">
          <cell r="B12448" t="str">
            <v>B272-400-AS-280-PP-107</v>
          </cell>
          <cell r="E12448" t="str">
            <v>P-400</v>
          </cell>
        </row>
        <row r="12449">
          <cell r="B12449" t="str">
            <v>B272-400-AS-280-PP-107</v>
          </cell>
          <cell r="E12449" t="str">
            <v>P-460(1/2)</v>
          </cell>
        </row>
        <row r="12450">
          <cell r="B12450" t="str">
            <v>B272-400-AS-280-PP-107</v>
          </cell>
          <cell r="E12450" t="str">
            <v>P-460(2/2)</v>
          </cell>
        </row>
        <row r="12451">
          <cell r="B12451" t="str">
            <v>B272-400-AS-280-PP-107</v>
          </cell>
          <cell r="E12451" t="str">
            <v>P-847(1/2)</v>
          </cell>
        </row>
        <row r="12452">
          <cell r="B12452" t="str">
            <v>B272-400-AS-280-PP-107</v>
          </cell>
          <cell r="E12452" t="str">
            <v>P-847(2/2)</v>
          </cell>
        </row>
        <row r="12453">
          <cell r="B12453" t="str">
            <v>B272-400-AS-280-PP-107</v>
          </cell>
          <cell r="E12453" t="str">
            <v>P-891</v>
          </cell>
        </row>
        <row r="12454">
          <cell r="B12454" t="str">
            <v>B272-400-AS-280-PP-107</v>
          </cell>
          <cell r="E12454" t="str">
            <v>P-1090</v>
          </cell>
        </row>
        <row r="12455">
          <cell r="B12455" t="str">
            <v>B272-400-AS-280-PP-107</v>
          </cell>
          <cell r="E12455" t="str">
            <v>P-1092</v>
          </cell>
        </row>
        <row r="12456">
          <cell r="B12456" t="str">
            <v>B272-400-AS-280-PP-107</v>
          </cell>
          <cell r="E12456" t="str">
            <v>W-4</v>
          </cell>
        </row>
        <row r="12457">
          <cell r="B12457" t="str">
            <v>B272-400-AS-280-PP-107</v>
          </cell>
          <cell r="E12457" t="str">
            <v>B1035</v>
          </cell>
        </row>
        <row r="12458">
          <cell r="B12458" t="str">
            <v>B272-400-AS-280-PP-108</v>
          </cell>
          <cell r="E12458" t="str">
            <v>stack</v>
          </cell>
        </row>
        <row r="12459">
          <cell r="B12459" t="str">
            <v>B272-400-AS-280-PP-108</v>
          </cell>
          <cell r="E12459" t="str">
            <v>G-34</v>
          </cell>
        </row>
        <row r="12460">
          <cell r="B12460" t="str">
            <v>B272-400-AS-280-PP-108</v>
          </cell>
          <cell r="E12460" t="str">
            <v>stack</v>
          </cell>
        </row>
        <row r="12461">
          <cell r="B12461" t="str">
            <v>B272-400-AS-280-PP-108</v>
          </cell>
          <cell r="E12461" t="str">
            <v>G-34</v>
          </cell>
        </row>
        <row r="12462">
          <cell r="B12462" t="str">
            <v>B272-400-AS-280-PP-108</v>
          </cell>
          <cell r="E12462" t="str">
            <v>stack</v>
          </cell>
        </row>
        <row r="12463">
          <cell r="B12463" t="str">
            <v>B272-400-AS-280-PP-108</v>
          </cell>
          <cell r="E12463" t="str">
            <v>G-34</v>
          </cell>
        </row>
        <row r="12464">
          <cell r="B12464" t="str">
            <v>B272-400-AS-280-PP-108</v>
          </cell>
          <cell r="E12464" t="str">
            <v>stack</v>
          </cell>
        </row>
        <row r="12465">
          <cell r="B12465" t="str">
            <v>B272-400-AS-280-PP-108</v>
          </cell>
          <cell r="E12465" t="str">
            <v>G-34</v>
          </cell>
        </row>
        <row r="12466">
          <cell r="B12466" t="str">
            <v>B272-400-AS-280-PP-108</v>
          </cell>
          <cell r="E12466" t="str">
            <v>stack</v>
          </cell>
        </row>
        <row r="12467">
          <cell r="B12467" t="str">
            <v>B272-400-AS-280-PP-108</v>
          </cell>
          <cell r="E12467" t="str">
            <v>G-34</v>
          </cell>
        </row>
        <row r="12468">
          <cell r="B12468" t="str">
            <v>B272-400-AS-280-PP-108</v>
          </cell>
          <cell r="E12468" t="str">
            <v>stack</v>
          </cell>
        </row>
        <row r="12469">
          <cell r="B12469" t="str">
            <v>B272-400-AS-280-PP-108</v>
          </cell>
          <cell r="E12469" t="str">
            <v>G-34</v>
          </cell>
        </row>
        <row r="12470">
          <cell r="B12470" t="str">
            <v>B272-400-AS-280-PP-108</v>
          </cell>
          <cell r="E12470" t="str">
            <v>stack</v>
          </cell>
        </row>
        <row r="12471">
          <cell r="B12471" t="str">
            <v>B272-400-AS-280-PP-108</v>
          </cell>
          <cell r="E12471" t="str">
            <v>G-34</v>
          </cell>
        </row>
        <row r="12472">
          <cell r="B12472" t="str">
            <v>B272-400-AS-280-PP-108</v>
          </cell>
          <cell r="E12472" t="str">
            <v>stack</v>
          </cell>
        </row>
        <row r="12473">
          <cell r="B12473" t="str">
            <v>B272-400-AS-280-PP-108</v>
          </cell>
          <cell r="E12473" t="str">
            <v>G-34</v>
          </cell>
        </row>
        <row r="12474">
          <cell r="B12474" t="str">
            <v>B272-400-AS-280-PP-108</v>
          </cell>
          <cell r="E12474" t="str">
            <v>stack</v>
          </cell>
        </row>
        <row r="12475">
          <cell r="B12475" t="str">
            <v>B272-400-AS-280-PP-108</v>
          </cell>
          <cell r="E12475" t="str">
            <v>G-34</v>
          </cell>
        </row>
        <row r="12476">
          <cell r="B12476" t="str">
            <v>B272-400-AS-280-PP-108</v>
          </cell>
          <cell r="E12476" t="str">
            <v>stack</v>
          </cell>
        </row>
        <row r="12477">
          <cell r="B12477" t="str">
            <v>B272-400-AS-280-PP-108</v>
          </cell>
          <cell r="E12477" t="str">
            <v>G-34</v>
          </cell>
        </row>
        <row r="12478">
          <cell r="B12478" t="str">
            <v>B272-400-AS-280-PP-108</v>
          </cell>
          <cell r="E12478" t="str">
            <v>stack</v>
          </cell>
        </row>
        <row r="12479">
          <cell r="B12479" t="str">
            <v>B272-400-AS-280-PP-108</v>
          </cell>
          <cell r="E12479" t="str">
            <v>G-34</v>
          </cell>
        </row>
        <row r="12480">
          <cell r="B12480" t="str">
            <v>B272-400-AS-280-PP-108</v>
          </cell>
          <cell r="E12480" t="str">
            <v>stack</v>
          </cell>
        </row>
        <row r="12481">
          <cell r="B12481" t="str">
            <v>B272-400-AS-280-PP-108</v>
          </cell>
          <cell r="E12481" t="str">
            <v>G-34</v>
          </cell>
        </row>
        <row r="12482">
          <cell r="B12482" t="str">
            <v>B272-400-AS-280-PP-108</v>
          </cell>
          <cell r="E12482" t="str">
            <v>stack</v>
          </cell>
        </row>
        <row r="12483">
          <cell r="B12483" t="str">
            <v>B272-400-AS-280-PP-108</v>
          </cell>
          <cell r="E12483" t="str">
            <v>G-34</v>
          </cell>
        </row>
        <row r="12484">
          <cell r="B12484" t="str">
            <v>B272-400-AS-280-PP-108</v>
          </cell>
          <cell r="E12484" t="str">
            <v>stack</v>
          </cell>
        </row>
        <row r="12485">
          <cell r="B12485" t="str">
            <v>B272-400-AS-280-PP-108</v>
          </cell>
          <cell r="E12485" t="str">
            <v>G-34</v>
          </cell>
        </row>
        <row r="12486">
          <cell r="B12486" t="str">
            <v>B272-400-AS-280-PP-108</v>
          </cell>
          <cell r="E12486" t="str">
            <v>stack</v>
          </cell>
        </row>
        <row r="12487">
          <cell r="B12487" t="str">
            <v>B272-400-AS-280-PP-108</v>
          </cell>
          <cell r="E12487" t="str">
            <v>G-34</v>
          </cell>
        </row>
        <row r="12488">
          <cell r="B12488" t="str">
            <v>B272-400-AS-280-PP-108</v>
          </cell>
          <cell r="E12488" t="str">
            <v>stack</v>
          </cell>
        </row>
        <row r="12489">
          <cell r="B12489" t="str">
            <v>B272-400-AS-280-PP-108</v>
          </cell>
          <cell r="E12489" t="str">
            <v>G-34</v>
          </cell>
        </row>
        <row r="12490">
          <cell r="B12490" t="str">
            <v>B272-400-AS-280-PP-108</v>
          </cell>
          <cell r="E12490" t="str">
            <v>stack</v>
          </cell>
        </row>
        <row r="12491">
          <cell r="B12491" t="str">
            <v>B272-400-AS-280-PP-108</v>
          </cell>
          <cell r="E12491" t="str">
            <v>G-34</v>
          </cell>
        </row>
        <row r="12492">
          <cell r="B12492" t="str">
            <v>B272-400-AS-280-PP-108</v>
          </cell>
          <cell r="E12492" t="str">
            <v>stack</v>
          </cell>
        </row>
        <row r="12493">
          <cell r="B12493" t="str">
            <v>B272-400-AS-280-PP-108</v>
          </cell>
          <cell r="E12493" t="str">
            <v>G-34</v>
          </cell>
        </row>
        <row r="12494">
          <cell r="B12494" t="str">
            <v>B272-400-AS-280-PP-108</v>
          </cell>
          <cell r="E12494" t="str">
            <v>stack</v>
          </cell>
        </row>
        <row r="12495">
          <cell r="B12495" t="str">
            <v>B272-400-AS-280-PP-108</v>
          </cell>
          <cell r="E12495" t="str">
            <v>G-34</v>
          </cell>
        </row>
        <row r="12496">
          <cell r="B12496" t="str">
            <v>B272-400-AS-280-PP-108</v>
          </cell>
          <cell r="E12496" t="str">
            <v>stack</v>
          </cell>
        </row>
        <row r="12497">
          <cell r="B12497" t="str">
            <v>B272-400-AS-280-PP-108</v>
          </cell>
          <cell r="E12497" t="str">
            <v>G-34</v>
          </cell>
        </row>
        <row r="12498">
          <cell r="B12498" t="str">
            <v>B272-400-AS-280-PP-108</v>
          </cell>
          <cell r="E12498" t="str">
            <v>stack</v>
          </cell>
        </row>
        <row r="12499">
          <cell r="B12499" t="str">
            <v>B272-400-AS-280-PP-108</v>
          </cell>
          <cell r="E12499" t="str">
            <v>G-34</v>
          </cell>
        </row>
        <row r="12500">
          <cell r="B12500" t="str">
            <v>B272-400-AS-280-PP-108</v>
          </cell>
          <cell r="E12500" t="str">
            <v>stack</v>
          </cell>
        </row>
        <row r="12501">
          <cell r="B12501" t="str">
            <v>B272-400-AS-280-PP-108</v>
          </cell>
          <cell r="E12501" t="str">
            <v>G-34</v>
          </cell>
        </row>
        <row r="12502">
          <cell r="B12502" t="str">
            <v>B272-400-AS-280-PP-108</v>
          </cell>
          <cell r="E12502" t="str">
            <v>stack</v>
          </cell>
        </row>
        <row r="12503">
          <cell r="B12503" t="str">
            <v>B272-400-AS-280-PP-108</v>
          </cell>
          <cell r="E12503" t="str">
            <v>G-34</v>
          </cell>
        </row>
        <row r="12504">
          <cell r="B12504" t="str">
            <v>B272-400-AS-280-PP-108</v>
          </cell>
          <cell r="E12504" t="str">
            <v>stack</v>
          </cell>
        </row>
        <row r="12505">
          <cell r="B12505" t="str">
            <v>B272-400-AS-280-PP-108</v>
          </cell>
          <cell r="E12505" t="str">
            <v>G-34</v>
          </cell>
        </row>
        <row r="12506">
          <cell r="B12506" t="str">
            <v>B272-400-AS-280-PP-108</v>
          </cell>
          <cell r="E12506" t="str">
            <v>stack</v>
          </cell>
        </row>
        <row r="12507">
          <cell r="B12507" t="str">
            <v>B272-400-AS-280-PP-108</v>
          </cell>
          <cell r="E12507" t="str">
            <v>G-34</v>
          </cell>
        </row>
        <row r="12508">
          <cell r="B12508" t="str">
            <v>B272-400-AS-280-PP-108</v>
          </cell>
          <cell r="E12508" t="str">
            <v>stack</v>
          </cell>
        </row>
        <row r="12509">
          <cell r="B12509" t="str">
            <v>B272-400-AS-280-PP-108</v>
          </cell>
          <cell r="E12509" t="str">
            <v>G-34</v>
          </cell>
        </row>
        <row r="12510">
          <cell r="B12510" t="str">
            <v>B272-400-AS-280-PP-108</v>
          </cell>
          <cell r="E12510" t="str">
            <v>stack</v>
          </cell>
        </row>
        <row r="12511">
          <cell r="B12511" t="str">
            <v>B272-400-AS-280-PP-108</v>
          </cell>
          <cell r="E12511" t="str">
            <v>G-34</v>
          </cell>
        </row>
        <row r="12512">
          <cell r="B12512" t="str">
            <v>B272-400-AS-280-PP-108</v>
          </cell>
          <cell r="E12512" t="str">
            <v>stack</v>
          </cell>
        </row>
        <row r="12513">
          <cell r="B12513" t="str">
            <v>B272-400-AS-280-PP-108</v>
          </cell>
          <cell r="E12513" t="str">
            <v>G-34</v>
          </cell>
        </row>
        <row r="12514">
          <cell r="B12514" t="str">
            <v>B272-400-AS-280-PP-108</v>
          </cell>
          <cell r="E12514" t="str">
            <v>stack</v>
          </cell>
        </row>
        <row r="12515">
          <cell r="B12515" t="str">
            <v>B272-400-AS-280-PP-108</v>
          </cell>
          <cell r="E12515" t="str">
            <v>G-34</v>
          </cell>
        </row>
        <row r="12516">
          <cell r="B12516" t="str">
            <v>B272-400-AS-280-PP-108</v>
          </cell>
          <cell r="E12516" t="str">
            <v>stack</v>
          </cell>
        </row>
        <row r="12517">
          <cell r="B12517" t="str">
            <v>B272-400-AS-280-PP-108</v>
          </cell>
          <cell r="E12517" t="str">
            <v>G-34</v>
          </cell>
        </row>
        <row r="12518">
          <cell r="B12518" t="str">
            <v>B272-400-AS-280-PP-108</v>
          </cell>
          <cell r="E12518" t="str">
            <v>stack</v>
          </cell>
        </row>
        <row r="12519">
          <cell r="B12519" t="str">
            <v>B272-400-AS-280-PP-108</v>
          </cell>
          <cell r="E12519" t="str">
            <v>G-34</v>
          </cell>
        </row>
        <row r="12520">
          <cell r="B12520" t="str">
            <v>B272-400-AS-280-PP-108</v>
          </cell>
          <cell r="E12520" t="str">
            <v>stack</v>
          </cell>
        </row>
        <row r="12521">
          <cell r="B12521" t="str">
            <v>B272-400-AS-280-PP-108</v>
          </cell>
          <cell r="E12521" t="str">
            <v>G-34</v>
          </cell>
        </row>
        <row r="12522">
          <cell r="B12522" t="str">
            <v>B272-400-AS-280-PP-108</v>
          </cell>
          <cell r="E12522" t="str">
            <v>stack</v>
          </cell>
        </row>
        <row r="12523">
          <cell r="B12523" t="str">
            <v>B272-400-AS-280-PP-108</v>
          </cell>
          <cell r="E12523" t="str">
            <v>G-34</v>
          </cell>
        </row>
        <row r="12524">
          <cell r="B12524" t="str">
            <v>B272-400-AS-280-PP-108</v>
          </cell>
          <cell r="E12524" t="str">
            <v>stack</v>
          </cell>
        </row>
        <row r="12525">
          <cell r="B12525" t="str">
            <v>B272-400-AS-280-PP-108</v>
          </cell>
          <cell r="E12525" t="str">
            <v>G-34</v>
          </cell>
        </row>
        <row r="12526">
          <cell r="B12526" t="str">
            <v>B272-400-AS-280-PP-108</v>
          </cell>
          <cell r="E12526" t="str">
            <v>stack</v>
          </cell>
        </row>
        <row r="12527">
          <cell r="B12527" t="str">
            <v>B272-400-AS-280-PP-108</v>
          </cell>
          <cell r="E12527" t="str">
            <v>G-34</v>
          </cell>
        </row>
        <row r="12528">
          <cell r="B12528" t="str">
            <v>B272-400-AS-280-PP-108</v>
          </cell>
          <cell r="E12528" t="str">
            <v>stack</v>
          </cell>
        </row>
        <row r="12529">
          <cell r="B12529" t="str">
            <v>B272-400-AS-280-PP-108</v>
          </cell>
          <cell r="E12529" t="str">
            <v>G-34</v>
          </cell>
        </row>
        <row r="12530">
          <cell r="B12530" t="str">
            <v>B272-400-AS-280-PP-108</v>
          </cell>
          <cell r="E12530" t="str">
            <v>stack</v>
          </cell>
        </row>
        <row r="12531">
          <cell r="B12531" t="str">
            <v>B272-400-AS-280-PP-108</v>
          </cell>
          <cell r="E12531" t="str">
            <v>G-34</v>
          </cell>
        </row>
        <row r="12532">
          <cell r="B12532" t="str">
            <v>B272-400-AS-280-PP-108</v>
          </cell>
          <cell r="E12532" t="str">
            <v>stack</v>
          </cell>
        </row>
        <row r="12533">
          <cell r="B12533" t="str">
            <v>B272-400-AS-280-PP-108</v>
          </cell>
          <cell r="E12533" t="str">
            <v>G-34</v>
          </cell>
        </row>
        <row r="12534">
          <cell r="B12534" t="str">
            <v>B272-400-AS-280-PP-108</v>
          </cell>
          <cell r="E12534" t="str">
            <v>stack</v>
          </cell>
        </row>
        <row r="12535">
          <cell r="B12535" t="str">
            <v>B272-400-AS-280-PP-108</v>
          </cell>
          <cell r="E12535" t="str">
            <v>G-34</v>
          </cell>
        </row>
        <row r="12536">
          <cell r="B12536" t="str">
            <v>B272-400-AS-280-PP-108</v>
          </cell>
          <cell r="E12536" t="str">
            <v>stack</v>
          </cell>
        </row>
        <row r="12537">
          <cell r="B12537" t="str">
            <v>B272-400-AS-280-PP-108</v>
          </cell>
          <cell r="E12537" t="str">
            <v>G-34</v>
          </cell>
        </row>
        <row r="12538">
          <cell r="B12538" t="str">
            <v>B272-400-AS-280-PP-108</v>
          </cell>
          <cell r="E12538" t="str">
            <v>stack</v>
          </cell>
        </row>
        <row r="12539">
          <cell r="B12539" t="str">
            <v>B272-400-AS-280-PP-108</v>
          </cell>
          <cell r="E12539" t="str">
            <v>G-34</v>
          </cell>
        </row>
        <row r="12540">
          <cell r="B12540" t="str">
            <v>B272-400-AS-280-PP-108</v>
          </cell>
          <cell r="E12540" t="str">
            <v>stack</v>
          </cell>
        </row>
        <row r="12541">
          <cell r="B12541" t="str">
            <v>B272-400-AS-280-PP-108</v>
          </cell>
          <cell r="E12541" t="str">
            <v>G-34</v>
          </cell>
        </row>
        <row r="12542">
          <cell r="B12542" t="str">
            <v>B272-400-AS-280-PP-108</v>
          </cell>
          <cell r="E12542" t="str">
            <v>stack</v>
          </cell>
        </row>
        <row r="12543">
          <cell r="B12543" t="str">
            <v>B272-400-AS-280-PP-108</v>
          </cell>
          <cell r="E12543" t="str">
            <v>G-34</v>
          </cell>
        </row>
        <row r="12544">
          <cell r="B12544" t="str">
            <v>B272-400-AS-280-PP-108</v>
          </cell>
          <cell r="E12544" t="str">
            <v>stack</v>
          </cell>
        </row>
        <row r="12545">
          <cell r="B12545" t="str">
            <v>B272-400-AS-280-PP-108</v>
          </cell>
          <cell r="E12545" t="str">
            <v>G-34</v>
          </cell>
        </row>
        <row r="12546">
          <cell r="B12546" t="str">
            <v>B272-400-AS-280-PP-108</v>
          </cell>
          <cell r="E12546" t="str">
            <v>stack</v>
          </cell>
        </row>
        <row r="12547">
          <cell r="B12547" t="str">
            <v>B272-400-AS-280-PP-108</v>
          </cell>
          <cell r="E12547" t="str">
            <v>G-34</v>
          </cell>
        </row>
        <row r="12548">
          <cell r="B12548" t="str">
            <v>B272-400-AS-280-PP-108</v>
          </cell>
          <cell r="E12548" t="str">
            <v>stack</v>
          </cell>
        </row>
        <row r="12549">
          <cell r="B12549" t="str">
            <v>B272-400-AS-280-PP-108</v>
          </cell>
          <cell r="E12549" t="str">
            <v>G-34</v>
          </cell>
        </row>
        <row r="12550">
          <cell r="B12550" t="str">
            <v>B272-400-AS-280-PP-108</v>
          </cell>
          <cell r="E12550" t="str">
            <v>stack</v>
          </cell>
        </row>
        <row r="12551">
          <cell r="B12551" t="str">
            <v>B272-400-AS-280-PP-108</v>
          </cell>
          <cell r="E12551" t="str">
            <v>G-34</v>
          </cell>
        </row>
        <row r="12552">
          <cell r="B12552" t="str">
            <v>B272-400-AS-280-PP-108</v>
          </cell>
          <cell r="E12552" t="str">
            <v>stack</v>
          </cell>
        </row>
        <row r="12553">
          <cell r="B12553" t="str">
            <v>B272-400-AS-280-PP-108</v>
          </cell>
          <cell r="E12553" t="str">
            <v>G-34</v>
          </cell>
        </row>
        <row r="12554">
          <cell r="B12554" t="str">
            <v>B272-400-AS-280-PP-108</v>
          </cell>
          <cell r="E12554" t="str">
            <v>stack</v>
          </cell>
        </row>
        <row r="12555">
          <cell r="B12555" t="str">
            <v>B272-400-AS-280-PP-108</v>
          </cell>
          <cell r="E12555" t="str">
            <v>G-34</v>
          </cell>
        </row>
        <row r="12556">
          <cell r="B12556" t="str">
            <v>B272-400-AS-280-PP-108</v>
          </cell>
          <cell r="E12556" t="str">
            <v>stack</v>
          </cell>
        </row>
        <row r="12557">
          <cell r="B12557" t="str">
            <v>B272-400-AS-280-PP-108</v>
          </cell>
          <cell r="E12557" t="str">
            <v>G-34</v>
          </cell>
        </row>
        <row r="12558">
          <cell r="B12558" t="str">
            <v>B272-400-AS-280-PP-108</v>
          </cell>
          <cell r="E12558" t="str">
            <v>stack</v>
          </cell>
        </row>
        <row r="12559">
          <cell r="B12559" t="str">
            <v>B272-400-AS-280-PP-108</v>
          </cell>
          <cell r="E12559" t="str">
            <v>G-34</v>
          </cell>
        </row>
        <row r="12560">
          <cell r="B12560" t="str">
            <v>B272-400-AS-280-PP-108</v>
          </cell>
          <cell r="E12560" t="str">
            <v>stack</v>
          </cell>
        </row>
        <row r="12561">
          <cell r="B12561" t="str">
            <v>B272-400-AS-280-PP-108</v>
          </cell>
          <cell r="E12561" t="str">
            <v>G-34</v>
          </cell>
        </row>
        <row r="12562">
          <cell r="B12562" t="str">
            <v>B272-400-AS-280-PP-108</v>
          </cell>
          <cell r="E12562" t="str">
            <v>stack</v>
          </cell>
        </row>
        <row r="12563">
          <cell r="B12563" t="str">
            <v>B272-400-AS-280-PP-108</v>
          </cell>
          <cell r="E12563" t="str">
            <v>G-34</v>
          </cell>
        </row>
        <row r="12564">
          <cell r="B12564" t="str">
            <v>B272-400-AS-280-PP-108</v>
          </cell>
          <cell r="E12564" t="str">
            <v>stack</v>
          </cell>
        </row>
        <row r="12565">
          <cell r="B12565" t="str">
            <v>B272-400-AS-280-PP-108</v>
          </cell>
          <cell r="E12565" t="str">
            <v>G-34</v>
          </cell>
        </row>
        <row r="12566">
          <cell r="B12566" t="str">
            <v>B272-400-AS-280-PP-108</v>
          </cell>
          <cell r="E12566" t="str">
            <v>stack</v>
          </cell>
        </row>
        <row r="12567">
          <cell r="B12567" t="str">
            <v>B272-400-AS-280-PP-108</v>
          </cell>
          <cell r="E12567" t="str">
            <v>G-34</v>
          </cell>
        </row>
        <row r="12568">
          <cell r="B12568" t="str">
            <v>B272-400-AS-280-PP-108</v>
          </cell>
          <cell r="E12568" t="str">
            <v>stack</v>
          </cell>
        </row>
        <row r="12569">
          <cell r="B12569" t="str">
            <v>B272-400-AS-280-PP-108</v>
          </cell>
          <cell r="E12569" t="str">
            <v>G-34</v>
          </cell>
        </row>
        <row r="12570">
          <cell r="B12570" t="str">
            <v>B272-400-AS-280-PP-108</v>
          </cell>
          <cell r="E12570" t="str">
            <v>stack</v>
          </cell>
        </row>
        <row r="12571">
          <cell r="B12571" t="str">
            <v>B272-400-AS-280-PP-108</v>
          </cell>
          <cell r="E12571" t="str">
            <v>G-34</v>
          </cell>
        </row>
        <row r="12572">
          <cell r="B12572" t="str">
            <v>B272-400-AS-280-PP-108</v>
          </cell>
          <cell r="E12572" t="str">
            <v>stack</v>
          </cell>
        </row>
        <row r="12573">
          <cell r="B12573" t="str">
            <v>B272-400-AS-280-PP-108</v>
          </cell>
          <cell r="E12573" t="str">
            <v>G-34</v>
          </cell>
        </row>
        <row r="12574">
          <cell r="B12574" t="str">
            <v>B272-400-AS-280-PP-108</v>
          </cell>
          <cell r="E12574" t="str">
            <v>stack</v>
          </cell>
        </row>
        <row r="12575">
          <cell r="B12575" t="str">
            <v>B272-400-AS-280-PP-108</v>
          </cell>
          <cell r="E12575" t="str">
            <v>G-34</v>
          </cell>
        </row>
        <row r="12576">
          <cell r="B12576" t="str">
            <v>B272-400-AS-280-PP-108</v>
          </cell>
          <cell r="E12576" t="str">
            <v>stack</v>
          </cell>
        </row>
        <row r="12577">
          <cell r="B12577" t="str">
            <v>B272-400-AS-280-PP-108</v>
          </cell>
          <cell r="E12577" t="str">
            <v>G-34</v>
          </cell>
        </row>
        <row r="12578">
          <cell r="B12578" t="str">
            <v>B272-400-AS-280-PP-108</v>
          </cell>
          <cell r="E12578" t="str">
            <v>stack</v>
          </cell>
        </row>
        <row r="12579">
          <cell r="B12579" t="str">
            <v>B272-400-AS-280-PP-108</v>
          </cell>
          <cell r="E12579" t="str">
            <v>G-34</v>
          </cell>
        </row>
        <row r="12580">
          <cell r="B12580" t="str">
            <v>B272-400-AS-280-PP-108</v>
          </cell>
          <cell r="E12580" t="str">
            <v>stack</v>
          </cell>
        </row>
        <row r="12581">
          <cell r="B12581" t="str">
            <v>B272-400-AS-280-PP-108</v>
          </cell>
          <cell r="E12581" t="str">
            <v>G-34</v>
          </cell>
        </row>
        <row r="12582">
          <cell r="B12582" t="str">
            <v>B272-400-AS-280-PP-108</v>
          </cell>
          <cell r="E12582" t="str">
            <v>stack</v>
          </cell>
        </row>
        <row r="12583">
          <cell r="B12583" t="str">
            <v>B272-400-AS-280-PP-108</v>
          </cell>
          <cell r="E12583" t="str">
            <v>G-34</v>
          </cell>
        </row>
        <row r="12584">
          <cell r="B12584" t="str">
            <v>B272-400-AS-280-PP-108</v>
          </cell>
          <cell r="E12584" t="str">
            <v>stack</v>
          </cell>
        </row>
        <row r="12585">
          <cell r="B12585" t="str">
            <v>B272-400-AS-280-PP-108</v>
          </cell>
          <cell r="E12585" t="str">
            <v>G-34</v>
          </cell>
        </row>
        <row r="12586">
          <cell r="B12586" t="str">
            <v>B272-400-AS-280-PP-108</v>
          </cell>
          <cell r="E12586" t="str">
            <v>stack</v>
          </cell>
        </row>
        <row r="12587">
          <cell r="B12587" t="str">
            <v>B272-400-AS-280-PP-108</v>
          </cell>
          <cell r="E12587" t="str">
            <v>G-34</v>
          </cell>
        </row>
        <row r="12588">
          <cell r="B12588" t="str">
            <v>B272-400-AS-280-PP-108</v>
          </cell>
          <cell r="E12588" t="str">
            <v>stack</v>
          </cell>
        </row>
        <row r="12589">
          <cell r="B12589" t="str">
            <v>B272-400-AS-280-PP-108</v>
          </cell>
          <cell r="E12589" t="str">
            <v>G-34</v>
          </cell>
        </row>
        <row r="12590">
          <cell r="B12590" t="str">
            <v>B272-400-AS-280-PP-108</v>
          </cell>
          <cell r="E12590" t="str">
            <v>stack</v>
          </cell>
        </row>
        <row r="12591">
          <cell r="B12591" t="str">
            <v>B272-400-AS-280-PP-108</v>
          </cell>
          <cell r="E12591" t="str">
            <v>G-34</v>
          </cell>
        </row>
        <row r="12592">
          <cell r="B12592" t="str">
            <v>B272-400-AS-280-PP-108</v>
          </cell>
          <cell r="E12592" t="str">
            <v>stack</v>
          </cell>
        </row>
        <row r="12593">
          <cell r="B12593" t="str">
            <v>B272-400-AS-280-PP-108</v>
          </cell>
          <cell r="E12593" t="str">
            <v>G-34</v>
          </cell>
        </row>
        <row r="12594">
          <cell r="B12594" t="str">
            <v>B272-400-AS-280-PP-108</v>
          </cell>
          <cell r="E12594" t="str">
            <v>stack</v>
          </cell>
        </row>
        <row r="12595">
          <cell r="B12595" t="str">
            <v>B272-400-AS-280-PP-108</v>
          </cell>
          <cell r="E12595" t="str">
            <v>G-34</v>
          </cell>
        </row>
        <row r="12596">
          <cell r="B12596" t="str">
            <v>B272-400-AS-280-PP-108</v>
          </cell>
          <cell r="E12596" t="str">
            <v>stack</v>
          </cell>
        </row>
        <row r="12597">
          <cell r="B12597" t="str">
            <v>B272-400-AS-280-PP-108</v>
          </cell>
          <cell r="E12597" t="str">
            <v>G-34</v>
          </cell>
        </row>
        <row r="12598">
          <cell r="B12598" t="str">
            <v>B272-400-AS-280-PP-108</v>
          </cell>
          <cell r="E12598" t="str">
            <v>stack</v>
          </cell>
        </row>
        <row r="12599">
          <cell r="B12599" t="str">
            <v>B272-400-AS-280-PP-108</v>
          </cell>
          <cell r="E12599" t="str">
            <v>G-34</v>
          </cell>
        </row>
        <row r="12600">
          <cell r="B12600" t="str">
            <v>B272-400-AS-280-PP-108</v>
          </cell>
          <cell r="E12600" t="str">
            <v>stack</v>
          </cell>
        </row>
        <row r="12601">
          <cell r="B12601" t="str">
            <v>B272-400-AS-280-PP-108</v>
          </cell>
          <cell r="E12601" t="str">
            <v>G-34</v>
          </cell>
        </row>
        <row r="12602">
          <cell r="B12602" t="str">
            <v>B272-400-AS-280-PP-108</v>
          </cell>
          <cell r="E12602" t="str">
            <v>stack</v>
          </cell>
        </row>
        <row r="12603">
          <cell r="B12603" t="str">
            <v>B272-400-AS-280-PP-108</v>
          </cell>
          <cell r="E12603" t="str">
            <v>G-34</v>
          </cell>
        </row>
        <row r="12604">
          <cell r="B12604" t="str">
            <v>B272-400-AS-280-PP-108</v>
          </cell>
          <cell r="E12604" t="str">
            <v>stack</v>
          </cell>
        </row>
        <row r="12605">
          <cell r="B12605" t="str">
            <v>B272-400-AS-280-PP-108</v>
          </cell>
          <cell r="E12605" t="str">
            <v>G-34</v>
          </cell>
        </row>
        <row r="12606">
          <cell r="B12606" t="str">
            <v>B272-400-AS-280-PP-108</v>
          </cell>
          <cell r="E12606" t="str">
            <v>stack</v>
          </cell>
        </row>
        <row r="12607">
          <cell r="B12607" t="str">
            <v>B272-400-AS-280-PP-108</v>
          </cell>
          <cell r="E12607" t="str">
            <v>G-34</v>
          </cell>
        </row>
        <row r="12608">
          <cell r="B12608" t="str">
            <v>B272-400-AS-280-PP-108</v>
          </cell>
          <cell r="E12608" t="str">
            <v>stack</v>
          </cell>
        </row>
        <row r="12609">
          <cell r="B12609" t="str">
            <v>B272-400-AS-280-PP-108</v>
          </cell>
          <cell r="E12609" t="str">
            <v>G-34</v>
          </cell>
        </row>
        <row r="12610">
          <cell r="B12610" t="str">
            <v>B272-400-AS-280-PP-108</v>
          </cell>
          <cell r="E12610" t="str">
            <v>stack</v>
          </cell>
        </row>
        <row r="12611">
          <cell r="B12611" t="str">
            <v>B272-400-AS-280-PP-108</v>
          </cell>
          <cell r="E12611" t="str">
            <v>G-34</v>
          </cell>
        </row>
        <row r="12612">
          <cell r="B12612" t="str">
            <v>B272-400-AS-280-PP-108</v>
          </cell>
          <cell r="E12612" t="str">
            <v>stack</v>
          </cell>
        </row>
        <row r="12613">
          <cell r="B12613" t="str">
            <v>B272-400-AS-280-PP-108</v>
          </cell>
          <cell r="E12613" t="str">
            <v>G-34</v>
          </cell>
        </row>
        <row r="12614">
          <cell r="B12614" t="str">
            <v>B272-400-AS-280-PP-108</v>
          </cell>
          <cell r="E12614" t="str">
            <v>stack</v>
          </cell>
        </row>
        <row r="12615">
          <cell r="B12615" t="str">
            <v>B272-400-AS-280-PP-108</v>
          </cell>
          <cell r="E12615" t="str">
            <v>G-34</v>
          </cell>
        </row>
        <row r="12616">
          <cell r="B12616" t="str">
            <v>B272-400-AS-280-PP-108</v>
          </cell>
          <cell r="E12616" t="str">
            <v>stack</v>
          </cell>
        </row>
        <row r="12617">
          <cell r="B12617" t="str">
            <v>B272-400-AS-280-PP-108</v>
          </cell>
          <cell r="E12617" t="str">
            <v>G-34</v>
          </cell>
        </row>
        <row r="12618">
          <cell r="B12618" t="str">
            <v>B272-400-AS-280-PP-108</v>
          </cell>
          <cell r="E12618" t="str">
            <v>stack</v>
          </cell>
        </row>
        <row r="12619">
          <cell r="B12619" t="str">
            <v>B272-400-AS-280-PP-108</v>
          </cell>
          <cell r="E12619" t="str">
            <v>G-34</v>
          </cell>
        </row>
        <row r="12620">
          <cell r="B12620" t="str">
            <v>B272-400-AS-280-PP-108</v>
          </cell>
          <cell r="E12620" t="str">
            <v>stack</v>
          </cell>
        </row>
        <row r="12621">
          <cell r="B12621" t="str">
            <v>B272-400-AS-280-PP-108</v>
          </cell>
          <cell r="E12621" t="str">
            <v>G-34</v>
          </cell>
        </row>
        <row r="12622">
          <cell r="B12622" t="str">
            <v>B272-400-AS-280-PP-108</v>
          </cell>
          <cell r="E12622" t="str">
            <v>stack</v>
          </cell>
        </row>
        <row r="12623">
          <cell r="B12623" t="str">
            <v>B272-400-AS-280-PP-108</v>
          </cell>
          <cell r="E12623" t="str">
            <v>G-34</v>
          </cell>
        </row>
        <row r="12624">
          <cell r="B12624" t="str">
            <v>B272-400-AS-280-PP-108</v>
          </cell>
          <cell r="E12624" t="str">
            <v>stack</v>
          </cell>
        </row>
        <row r="12625">
          <cell r="B12625" t="str">
            <v>B272-400-AS-280-PP-108</v>
          </cell>
          <cell r="E12625" t="str">
            <v>G-34</v>
          </cell>
        </row>
        <row r="12626">
          <cell r="B12626" t="str">
            <v>B272-400-AS-280-PP-108</v>
          </cell>
          <cell r="E12626" t="str">
            <v>stack</v>
          </cell>
        </row>
        <row r="12627">
          <cell r="B12627" t="str">
            <v>B272-400-AS-280-PP-108</v>
          </cell>
          <cell r="E12627" t="str">
            <v>G-34</v>
          </cell>
        </row>
        <row r="12628">
          <cell r="B12628" t="str">
            <v>B272-400-AS-280-PP-108</v>
          </cell>
          <cell r="E12628" t="str">
            <v>stack</v>
          </cell>
        </row>
        <row r="12629">
          <cell r="B12629" t="str">
            <v>B272-400-AS-280-PP-108</v>
          </cell>
          <cell r="E12629" t="str">
            <v>G-34</v>
          </cell>
        </row>
        <row r="12630">
          <cell r="B12630" t="str">
            <v>B272-400-AS-280-PP-108</v>
          </cell>
          <cell r="E12630" t="str">
            <v>stack</v>
          </cell>
        </row>
        <row r="12631">
          <cell r="B12631" t="str">
            <v>B272-400-AS-280-PP-108</v>
          </cell>
          <cell r="E12631" t="str">
            <v>G-34</v>
          </cell>
        </row>
        <row r="12632">
          <cell r="B12632" t="str">
            <v>B272-400-AS-280-PP-108</v>
          </cell>
          <cell r="E12632" t="str">
            <v>stack</v>
          </cell>
        </row>
        <row r="12633">
          <cell r="B12633" t="str">
            <v>B272-400-AS-280-PP-108</v>
          </cell>
          <cell r="E12633" t="str">
            <v>G-34</v>
          </cell>
        </row>
        <row r="12634">
          <cell r="B12634" t="str">
            <v>B272-400-AS-280-PP-108</v>
          </cell>
          <cell r="E12634" t="str">
            <v>stack</v>
          </cell>
        </row>
        <row r="12635">
          <cell r="B12635" t="str">
            <v>B272-400-AS-280-PP-108</v>
          </cell>
          <cell r="E12635" t="str">
            <v>G-34</v>
          </cell>
        </row>
        <row r="12636">
          <cell r="B12636" t="str">
            <v>B272-400-AS-280-PP-108</v>
          </cell>
          <cell r="E12636" t="str">
            <v>stack</v>
          </cell>
        </row>
        <row r="12637">
          <cell r="B12637" t="str">
            <v>B272-400-AS-280-PP-108</v>
          </cell>
          <cell r="E12637" t="str">
            <v>G-34</v>
          </cell>
        </row>
        <row r="12638">
          <cell r="B12638" t="str">
            <v>B272-400-AS-280-PP-108</v>
          </cell>
          <cell r="E12638" t="str">
            <v>stack</v>
          </cell>
        </row>
        <row r="12639">
          <cell r="B12639" t="str">
            <v>B272-400-AS-280-PP-108</v>
          </cell>
          <cell r="E12639" t="str">
            <v>G-34</v>
          </cell>
        </row>
        <row r="12640">
          <cell r="B12640" t="str">
            <v>B272-400-AS-280-PP-108</v>
          </cell>
          <cell r="E12640" t="str">
            <v>stack</v>
          </cell>
        </row>
        <row r="12641">
          <cell r="B12641" t="str">
            <v>B272-400-AS-280-PP-108</v>
          </cell>
          <cell r="E12641" t="str">
            <v>G-34</v>
          </cell>
        </row>
        <row r="12642">
          <cell r="B12642" t="str">
            <v>B272-400-AS-280-PP-108</v>
          </cell>
          <cell r="E12642" t="str">
            <v>stack</v>
          </cell>
        </row>
        <row r="12643">
          <cell r="B12643" t="str">
            <v>B272-400-AS-280-PP-108</v>
          </cell>
          <cell r="E12643" t="str">
            <v>G-34</v>
          </cell>
        </row>
        <row r="12644">
          <cell r="B12644" t="str">
            <v>B272-400-AS-280-PP-108</v>
          </cell>
          <cell r="E12644" t="str">
            <v>stack</v>
          </cell>
        </row>
        <row r="12645">
          <cell r="B12645" t="str">
            <v>B272-400-AS-280-PP-108</v>
          </cell>
          <cell r="E12645" t="str">
            <v>G-34</v>
          </cell>
        </row>
        <row r="12646">
          <cell r="B12646" t="str">
            <v>B272-400-AS-280-PP-108</v>
          </cell>
          <cell r="E12646" t="str">
            <v>stack</v>
          </cell>
        </row>
        <row r="12647">
          <cell r="B12647" t="str">
            <v>B272-400-AS-280-PP-108</v>
          </cell>
          <cell r="E12647" t="str">
            <v>G-34</v>
          </cell>
        </row>
        <row r="12648">
          <cell r="B12648" t="str">
            <v>B272-400-AS-280-PP-108</v>
          </cell>
          <cell r="E12648" t="str">
            <v>stack</v>
          </cell>
        </row>
        <row r="12649">
          <cell r="B12649" t="str">
            <v>B272-400-AS-280-PP-108</v>
          </cell>
          <cell r="E12649" t="str">
            <v>G-34</v>
          </cell>
        </row>
        <row r="12650">
          <cell r="B12650" t="str">
            <v>B272-400-AS-280-PP-108</v>
          </cell>
          <cell r="E12650" t="str">
            <v>stack</v>
          </cell>
        </row>
        <row r="12651">
          <cell r="B12651" t="str">
            <v>B272-400-AS-280-PP-108</v>
          </cell>
          <cell r="E12651" t="str">
            <v>G-34</v>
          </cell>
        </row>
        <row r="12652">
          <cell r="B12652" t="str">
            <v>B272-400-AS-280-PP-108</v>
          </cell>
          <cell r="E12652" t="str">
            <v>stack</v>
          </cell>
        </row>
        <row r="12653">
          <cell r="B12653" t="str">
            <v>B272-400-AS-280-PP-108</v>
          </cell>
          <cell r="E12653" t="str">
            <v>G-34</v>
          </cell>
        </row>
        <row r="12654">
          <cell r="B12654" t="str">
            <v>B272-400-AS-280-PP-108</v>
          </cell>
          <cell r="E12654" t="str">
            <v>stack</v>
          </cell>
        </row>
        <row r="12655">
          <cell r="B12655" t="str">
            <v>B272-400-AS-280-PP-108</v>
          </cell>
          <cell r="E12655" t="str">
            <v>G-34</v>
          </cell>
        </row>
        <row r="12656">
          <cell r="B12656" t="str">
            <v>B272-400-AS-280-PP-108</v>
          </cell>
          <cell r="E12656" t="str">
            <v>stack</v>
          </cell>
        </row>
        <row r="12657">
          <cell r="B12657" t="str">
            <v>B272-400-AS-280-PP-108</v>
          </cell>
          <cell r="E12657" t="str">
            <v>G-34</v>
          </cell>
        </row>
        <row r="12658">
          <cell r="B12658" t="str">
            <v>B272-400-AS-280-PP-108</v>
          </cell>
          <cell r="E12658" t="str">
            <v>stack</v>
          </cell>
        </row>
        <row r="12659">
          <cell r="B12659" t="str">
            <v>B272-400-AS-280-PP-108</v>
          </cell>
          <cell r="E12659" t="str">
            <v>G-34</v>
          </cell>
        </row>
        <row r="12660">
          <cell r="B12660" t="str">
            <v>B272-400-AS-280-PP-108</v>
          </cell>
          <cell r="E12660" t="str">
            <v>stack</v>
          </cell>
        </row>
        <row r="12661">
          <cell r="B12661" t="str">
            <v>B272-400-AS-280-PP-108</v>
          </cell>
          <cell r="E12661" t="str">
            <v>G-34</v>
          </cell>
        </row>
        <row r="12662">
          <cell r="B12662" t="str">
            <v>B272-400-AS-280-PP-108</v>
          </cell>
          <cell r="E12662" t="str">
            <v>stack</v>
          </cell>
        </row>
        <row r="12663">
          <cell r="B12663" t="str">
            <v>B272-400-AS-280-PP-108</v>
          </cell>
          <cell r="E12663" t="str">
            <v>G-34</v>
          </cell>
        </row>
        <row r="12664">
          <cell r="B12664" t="str">
            <v>B272-400-AS-280-PP-108</v>
          </cell>
          <cell r="E12664" t="str">
            <v>stack</v>
          </cell>
        </row>
        <row r="12665">
          <cell r="B12665" t="str">
            <v>B272-400-AS-280-PP-108</v>
          </cell>
          <cell r="E12665" t="str">
            <v>G-34</v>
          </cell>
        </row>
        <row r="12666">
          <cell r="B12666" t="str">
            <v>B272-400-AS-280-PP-108</v>
          </cell>
          <cell r="E12666" t="str">
            <v>stack</v>
          </cell>
        </row>
        <row r="12667">
          <cell r="B12667" t="str">
            <v>B272-400-AS-280-PP-108</v>
          </cell>
          <cell r="E12667" t="str">
            <v>G-34</v>
          </cell>
        </row>
        <row r="12668">
          <cell r="B12668" t="str">
            <v>B272-400-AS-280-PP-108</v>
          </cell>
          <cell r="E12668" t="str">
            <v>stack</v>
          </cell>
        </row>
        <row r="12669">
          <cell r="B12669" t="str">
            <v>B272-400-AS-280-PP-108</v>
          </cell>
          <cell r="E12669" t="str">
            <v>G-34</v>
          </cell>
        </row>
        <row r="12670">
          <cell r="B12670" t="str">
            <v>B272-400-AS-280-PP-108</v>
          </cell>
          <cell r="E12670" t="str">
            <v>stack</v>
          </cell>
        </row>
        <row r="12671">
          <cell r="B12671" t="str">
            <v>B272-400-AS-280-PP-108</v>
          </cell>
          <cell r="E12671" t="str">
            <v>G-34</v>
          </cell>
        </row>
        <row r="12672">
          <cell r="B12672" t="str">
            <v>B272-400-AS-280-PP-108</v>
          </cell>
          <cell r="E12672" t="str">
            <v>stack</v>
          </cell>
        </row>
        <row r="12673">
          <cell r="B12673" t="str">
            <v>B272-400-AS-280-PP-108</v>
          </cell>
          <cell r="E12673" t="str">
            <v>G-34</v>
          </cell>
        </row>
        <row r="12674">
          <cell r="B12674" t="str">
            <v>B272-400-AS-280-PP-108</v>
          </cell>
          <cell r="E12674" t="str">
            <v>stack</v>
          </cell>
        </row>
        <row r="12675">
          <cell r="B12675" t="str">
            <v>B272-400-AS-280-PP-108</v>
          </cell>
          <cell r="E12675" t="str">
            <v>G-34</v>
          </cell>
        </row>
        <row r="12676">
          <cell r="B12676" t="str">
            <v>B272-400-AS-280-PP-108</v>
          </cell>
          <cell r="E12676" t="str">
            <v>stack</v>
          </cell>
        </row>
        <row r="12677">
          <cell r="B12677" t="str">
            <v>B272-400-AS-280-PP-108</v>
          </cell>
          <cell r="E12677" t="str">
            <v>G-34</v>
          </cell>
        </row>
        <row r="12678">
          <cell r="B12678" t="str">
            <v>B272-400-AS-280-PP-108</v>
          </cell>
          <cell r="E12678" t="str">
            <v>stack</v>
          </cell>
        </row>
        <row r="12679">
          <cell r="B12679" t="str">
            <v>B272-400-AS-280-PP-108</v>
          </cell>
          <cell r="E12679" t="str">
            <v>G-34</v>
          </cell>
        </row>
        <row r="12680">
          <cell r="B12680" t="str">
            <v>B272-400-AS-280-PP-108</v>
          </cell>
          <cell r="E12680" t="str">
            <v>stack</v>
          </cell>
        </row>
        <row r="12681">
          <cell r="B12681" t="str">
            <v>B272-400-AS-280-PP-108</v>
          </cell>
          <cell r="E12681" t="str">
            <v>G-34</v>
          </cell>
        </row>
        <row r="12682">
          <cell r="B12682" t="str">
            <v>B272-400-AS-280-PP-108</v>
          </cell>
          <cell r="E12682" t="str">
            <v>stack</v>
          </cell>
        </row>
        <row r="12683">
          <cell r="B12683" t="str">
            <v>B272-400-AS-280-PP-108</v>
          </cell>
          <cell r="E12683" t="str">
            <v>G-34</v>
          </cell>
        </row>
        <row r="12684">
          <cell r="B12684" t="str">
            <v>B272-400-AS-280-PP-108</v>
          </cell>
          <cell r="E12684" t="str">
            <v>stack</v>
          </cell>
        </row>
        <row r="12685">
          <cell r="B12685" t="str">
            <v>B272-400-AS-280-PP-108</v>
          </cell>
          <cell r="E12685" t="str">
            <v>G-34</v>
          </cell>
        </row>
        <row r="12686">
          <cell r="B12686" t="str">
            <v>B272-400-AS-280-PP-108</v>
          </cell>
          <cell r="E12686" t="str">
            <v>stack</v>
          </cell>
        </row>
        <row r="12687">
          <cell r="B12687" t="str">
            <v>B272-400-AS-280-PP-108</v>
          </cell>
          <cell r="E12687" t="str">
            <v>G-34</v>
          </cell>
        </row>
        <row r="12688">
          <cell r="B12688" t="str">
            <v>B272-400-AS-280-PP-108</v>
          </cell>
          <cell r="E12688" t="str">
            <v>stack</v>
          </cell>
        </row>
        <row r="12689">
          <cell r="B12689" t="str">
            <v>B272-400-AS-280-PP-108</v>
          </cell>
          <cell r="E12689" t="str">
            <v>G-34</v>
          </cell>
        </row>
        <row r="12690">
          <cell r="B12690" t="str">
            <v>B272-400-AS-280-PP-108</v>
          </cell>
          <cell r="E12690" t="str">
            <v>stack</v>
          </cell>
        </row>
        <row r="12691">
          <cell r="B12691" t="str">
            <v>B272-400-AS-280-PP-108</v>
          </cell>
          <cell r="E12691" t="str">
            <v>G-34</v>
          </cell>
        </row>
        <row r="12692">
          <cell r="B12692" t="str">
            <v>B272-400-AS-280-PP-108</v>
          </cell>
          <cell r="E12692" t="str">
            <v>stack</v>
          </cell>
        </row>
        <row r="12693">
          <cell r="B12693" t="str">
            <v>B272-400-AS-280-PP-108</v>
          </cell>
          <cell r="E12693" t="str">
            <v>G-34</v>
          </cell>
        </row>
        <row r="12694">
          <cell r="B12694" t="str">
            <v>B272-400-AS-280-PP-108</v>
          </cell>
          <cell r="E12694" t="str">
            <v>stack</v>
          </cell>
        </row>
        <row r="12695">
          <cell r="B12695" t="str">
            <v>B272-400-AS-280-PP-108</v>
          </cell>
          <cell r="E12695" t="str">
            <v>G-34</v>
          </cell>
        </row>
        <row r="12696">
          <cell r="B12696" t="str">
            <v>B272-400-AS-280-PP-108</v>
          </cell>
          <cell r="E12696" t="str">
            <v>stack</v>
          </cell>
        </row>
        <row r="12697">
          <cell r="B12697" t="str">
            <v>B272-400-AS-280-PP-108</v>
          </cell>
          <cell r="E12697" t="str">
            <v>G-34</v>
          </cell>
        </row>
        <row r="12698">
          <cell r="B12698" t="str">
            <v>B272-400-AS-280-PP-108</v>
          </cell>
          <cell r="E12698" t="str">
            <v>stack</v>
          </cell>
        </row>
        <row r="12699">
          <cell r="B12699" t="str">
            <v>B272-400-AS-280-PP-108</v>
          </cell>
          <cell r="E12699" t="str">
            <v>G-34</v>
          </cell>
        </row>
        <row r="12700">
          <cell r="B12700" t="str">
            <v>B272-400-AS-280-PP-108</v>
          </cell>
          <cell r="E12700" t="str">
            <v>stack</v>
          </cell>
        </row>
        <row r="12701">
          <cell r="B12701" t="str">
            <v>B272-400-AS-280-PP-108</v>
          </cell>
          <cell r="E12701" t="str">
            <v>G-34</v>
          </cell>
        </row>
        <row r="12702">
          <cell r="B12702" t="str">
            <v>B272-400-AS-280-PP-108</v>
          </cell>
          <cell r="E12702" t="str">
            <v>stack</v>
          </cell>
        </row>
        <row r="12703">
          <cell r="B12703" t="str">
            <v>B272-400-AS-280-PP-108</v>
          </cell>
          <cell r="E12703" t="str">
            <v>G-34</v>
          </cell>
        </row>
        <row r="12704">
          <cell r="B12704" t="str">
            <v>B272-400-AS-280-PP-108</v>
          </cell>
          <cell r="E12704" t="str">
            <v>stack</v>
          </cell>
        </row>
        <row r="12705">
          <cell r="B12705" t="str">
            <v>B272-400-AS-280-PP-108</v>
          </cell>
          <cell r="E12705" t="str">
            <v>G-34</v>
          </cell>
        </row>
        <row r="12706">
          <cell r="B12706" t="str">
            <v>B272-400-AS-280-PP-108</v>
          </cell>
          <cell r="E12706" t="str">
            <v>stack</v>
          </cell>
        </row>
        <row r="12707">
          <cell r="B12707" t="str">
            <v>B272-400-AS-280-PP-108</v>
          </cell>
          <cell r="E12707" t="str">
            <v>G-34</v>
          </cell>
        </row>
        <row r="12708">
          <cell r="B12708" t="str">
            <v>B272-400-AS-280-PP-108</v>
          </cell>
          <cell r="E12708" t="str">
            <v>stack</v>
          </cell>
        </row>
        <row r="12709">
          <cell r="B12709" t="str">
            <v>B272-400-AS-280-PP-108</v>
          </cell>
          <cell r="E12709" t="str">
            <v>G-34</v>
          </cell>
        </row>
        <row r="12710">
          <cell r="B12710" t="str">
            <v>B272-400-AS-280-PP-108</v>
          </cell>
          <cell r="E12710" t="str">
            <v>stack</v>
          </cell>
        </row>
        <row r="12711">
          <cell r="B12711" t="str">
            <v>B272-400-AS-280-PP-108</v>
          </cell>
          <cell r="E12711" t="str">
            <v>G-34</v>
          </cell>
        </row>
        <row r="12712">
          <cell r="B12712" t="str">
            <v>B272-400-AS-280-PP-108</v>
          </cell>
          <cell r="E12712" t="str">
            <v>stack</v>
          </cell>
        </row>
        <row r="12713">
          <cell r="B12713" t="str">
            <v>B272-400-AS-280-PP-108</v>
          </cell>
          <cell r="E12713" t="str">
            <v>G-34</v>
          </cell>
        </row>
        <row r="12714">
          <cell r="B12714" t="str">
            <v>B272-400-AS-280-PP-108</v>
          </cell>
          <cell r="E12714" t="str">
            <v>stack</v>
          </cell>
        </row>
        <row r="12715">
          <cell r="B12715" t="str">
            <v>B272-400-AS-280-PP-108</v>
          </cell>
          <cell r="E12715" t="str">
            <v>G-34</v>
          </cell>
        </row>
        <row r="12716">
          <cell r="B12716" t="str">
            <v>B272-400-AS-280-PP-108</v>
          </cell>
          <cell r="E12716" t="str">
            <v>stack</v>
          </cell>
        </row>
        <row r="12717">
          <cell r="B12717" t="str">
            <v>B272-400-AS-280-PP-108</v>
          </cell>
          <cell r="E12717" t="str">
            <v>G-34</v>
          </cell>
        </row>
        <row r="12718">
          <cell r="B12718" t="str">
            <v>B272-400-AS-280-PP-108</v>
          </cell>
          <cell r="E12718" t="str">
            <v>stack</v>
          </cell>
        </row>
        <row r="12719">
          <cell r="B12719" t="str">
            <v>B272-400-AS-280-PP-108</v>
          </cell>
          <cell r="E12719" t="str">
            <v>G-34</v>
          </cell>
        </row>
        <row r="12720">
          <cell r="B12720" t="str">
            <v>B272-400-AS-280-PP-108</v>
          </cell>
          <cell r="E12720" t="str">
            <v>stack</v>
          </cell>
        </row>
        <row r="12721">
          <cell r="B12721" t="str">
            <v>B272-400-AS-280-PP-108</v>
          </cell>
          <cell r="E12721" t="str">
            <v>G-34</v>
          </cell>
        </row>
        <row r="12722">
          <cell r="B12722" t="str">
            <v>B272-400-AS-280-PP-108</v>
          </cell>
          <cell r="E12722" t="str">
            <v>stack</v>
          </cell>
        </row>
        <row r="12723">
          <cell r="B12723" t="str">
            <v>B272-400-AS-280-PP-108</v>
          </cell>
          <cell r="E12723" t="str">
            <v>G-34</v>
          </cell>
        </row>
        <row r="12724">
          <cell r="B12724" t="str">
            <v>B272-400-AS-280-PP-108</v>
          </cell>
          <cell r="E12724" t="str">
            <v>stack</v>
          </cell>
        </row>
        <row r="12725">
          <cell r="B12725" t="str">
            <v>B272-400-AS-280-PP-108</v>
          </cell>
          <cell r="E12725" t="str">
            <v>G-34</v>
          </cell>
        </row>
        <row r="12726">
          <cell r="B12726" t="str">
            <v>B272-400-AS-280-PP-108</v>
          </cell>
          <cell r="E12726" t="str">
            <v>stack</v>
          </cell>
        </row>
        <row r="12727">
          <cell r="B12727" t="str">
            <v>B272-400-AS-280-PP-108</v>
          </cell>
          <cell r="E12727" t="str">
            <v>G-34</v>
          </cell>
        </row>
        <row r="12728">
          <cell r="B12728" t="str">
            <v>B272-400-AS-280-PP-108</v>
          </cell>
          <cell r="E12728" t="str">
            <v>stack</v>
          </cell>
        </row>
        <row r="12729">
          <cell r="B12729" t="str">
            <v>B272-400-AS-280-PP-108</v>
          </cell>
          <cell r="E12729" t="str">
            <v>G-34</v>
          </cell>
        </row>
        <row r="12730">
          <cell r="B12730" t="str">
            <v>B272-400-AS-280-PP-108</v>
          </cell>
          <cell r="E12730" t="str">
            <v>stack</v>
          </cell>
        </row>
        <row r="12731">
          <cell r="B12731" t="str">
            <v>B272-400-AS-280-PP-108</v>
          </cell>
          <cell r="E12731" t="str">
            <v>G-34</v>
          </cell>
        </row>
        <row r="12732">
          <cell r="B12732" t="str">
            <v>B272-400-AS-280-PP-108</v>
          </cell>
          <cell r="E12732" t="str">
            <v>stack</v>
          </cell>
        </row>
        <row r="12733">
          <cell r="B12733" t="str">
            <v>B272-400-AS-280-PP-108</v>
          </cell>
          <cell r="E12733" t="str">
            <v>G-34</v>
          </cell>
        </row>
        <row r="12734">
          <cell r="B12734" t="str">
            <v>B272-400-AS-280-PP-108</v>
          </cell>
          <cell r="E12734" t="str">
            <v>stack</v>
          </cell>
        </row>
        <row r="12735">
          <cell r="B12735" t="str">
            <v>B272-400-AS-280-PP-108</v>
          </cell>
          <cell r="E12735" t="str">
            <v>G-34</v>
          </cell>
        </row>
        <row r="12736">
          <cell r="B12736" t="str">
            <v>B272-400-AS-280-PP-108</v>
          </cell>
          <cell r="E12736" t="str">
            <v>stack</v>
          </cell>
        </row>
        <row r="12737">
          <cell r="B12737" t="str">
            <v>B272-400-AS-280-PP-108</v>
          </cell>
          <cell r="E12737" t="str">
            <v>G-34</v>
          </cell>
        </row>
        <row r="12738">
          <cell r="B12738" t="str">
            <v>B272-400-AS-280-PP-108</v>
          </cell>
          <cell r="E12738" t="str">
            <v>stack</v>
          </cell>
        </row>
        <row r="12739">
          <cell r="B12739" t="str">
            <v>B272-400-AS-280-PP-108</v>
          </cell>
          <cell r="E12739" t="str">
            <v>G-34</v>
          </cell>
        </row>
        <row r="12740">
          <cell r="B12740" t="str">
            <v>B272-400-AS-280-PP-108</v>
          </cell>
          <cell r="E12740" t="str">
            <v>stack</v>
          </cell>
        </row>
        <row r="12741">
          <cell r="B12741" t="str">
            <v>B272-400-AS-280-PP-108</v>
          </cell>
          <cell r="E12741" t="str">
            <v>G-34</v>
          </cell>
        </row>
        <row r="12742">
          <cell r="B12742" t="str">
            <v>B272-400-AS-280-PP-108</v>
          </cell>
          <cell r="E12742" t="str">
            <v>stack</v>
          </cell>
        </row>
        <row r="12743">
          <cell r="B12743" t="str">
            <v>B272-400-AS-280-PP-108</v>
          </cell>
          <cell r="E12743" t="str">
            <v>G-34</v>
          </cell>
        </row>
        <row r="12744">
          <cell r="B12744" t="str">
            <v>B272-400-AS-280-PP-108</v>
          </cell>
          <cell r="E12744" t="str">
            <v>stack</v>
          </cell>
        </row>
        <row r="12745">
          <cell r="B12745" t="str">
            <v>B272-400-AS-280-PP-108</v>
          </cell>
          <cell r="E12745" t="str">
            <v>G-34</v>
          </cell>
        </row>
        <row r="12746">
          <cell r="B12746" t="str">
            <v>B272-400-AS-280-PP-108</v>
          </cell>
          <cell r="E12746" t="str">
            <v>stack</v>
          </cell>
        </row>
        <row r="12747">
          <cell r="B12747" t="str">
            <v>B272-400-AS-280-PP-108</v>
          </cell>
          <cell r="E12747" t="str">
            <v>G-34</v>
          </cell>
        </row>
        <row r="12748">
          <cell r="B12748" t="str">
            <v>B272-400-AS-280-PP-108</v>
          </cell>
          <cell r="E12748" t="str">
            <v>stack</v>
          </cell>
        </row>
        <row r="12749">
          <cell r="B12749" t="str">
            <v>B272-400-AS-280-PP-108</v>
          </cell>
          <cell r="E12749" t="str">
            <v>G-34</v>
          </cell>
        </row>
        <row r="12750">
          <cell r="B12750" t="str">
            <v>B272-400-AS-280-PP-108</v>
          </cell>
          <cell r="E12750" t="str">
            <v>stack</v>
          </cell>
        </row>
        <row r="12751">
          <cell r="B12751" t="str">
            <v>B272-400-AS-280-PP-108</v>
          </cell>
          <cell r="E12751" t="str">
            <v>G-34</v>
          </cell>
        </row>
        <row r="12752">
          <cell r="B12752" t="str">
            <v>B272-400-AS-280-PP-108</v>
          </cell>
          <cell r="E12752" t="str">
            <v>stack</v>
          </cell>
        </row>
        <row r="12753">
          <cell r="B12753" t="str">
            <v>B272-400-AS-280-PP-108</v>
          </cell>
          <cell r="E12753" t="str">
            <v>G-34</v>
          </cell>
        </row>
        <row r="12754">
          <cell r="B12754" t="str">
            <v>B272-400-AS-280-PP-108</v>
          </cell>
          <cell r="E12754" t="str">
            <v>stack</v>
          </cell>
        </row>
        <row r="12755">
          <cell r="B12755" t="str">
            <v>B272-400-AS-280-PP-108</v>
          </cell>
          <cell r="E12755" t="str">
            <v>G-34</v>
          </cell>
        </row>
        <row r="12756">
          <cell r="B12756" t="str">
            <v>B272-400-AS-280-PP-108</v>
          </cell>
          <cell r="E12756" t="str">
            <v>stack</v>
          </cell>
        </row>
        <row r="12757">
          <cell r="B12757" t="str">
            <v>B272-400-AS-280-PP-108</v>
          </cell>
          <cell r="E12757" t="str">
            <v>G-34</v>
          </cell>
        </row>
        <row r="12758">
          <cell r="B12758" t="str">
            <v>B272-400-AS-280-PP-108</v>
          </cell>
          <cell r="E12758" t="str">
            <v>stack</v>
          </cell>
        </row>
        <row r="12759">
          <cell r="B12759" t="str">
            <v>B272-400-AS-280-PP-108</v>
          </cell>
          <cell r="E12759" t="str">
            <v>G-34</v>
          </cell>
        </row>
        <row r="12760">
          <cell r="B12760" t="str">
            <v>B272-400-AS-280-PP-108</v>
          </cell>
          <cell r="E12760" t="str">
            <v>stack</v>
          </cell>
        </row>
        <row r="12761">
          <cell r="B12761" t="str">
            <v>B272-400-AS-280-PP-108</v>
          </cell>
          <cell r="E12761" t="str">
            <v>G-34</v>
          </cell>
        </row>
        <row r="12762">
          <cell r="B12762" t="str">
            <v>B272-400-AS-280-PP-108</v>
          </cell>
          <cell r="E12762" t="str">
            <v>stack</v>
          </cell>
        </row>
        <row r="12763">
          <cell r="B12763" t="str">
            <v>B272-400-AS-280-PP-108</v>
          </cell>
          <cell r="E12763" t="str">
            <v>G-34</v>
          </cell>
        </row>
        <row r="12764">
          <cell r="B12764" t="str">
            <v>B272-400-AS-280-PP-108</v>
          </cell>
          <cell r="E12764" t="str">
            <v>stack</v>
          </cell>
        </row>
        <row r="12765">
          <cell r="B12765" t="str">
            <v>B272-400-AS-280-PP-108</v>
          </cell>
          <cell r="E12765" t="str">
            <v>G-34</v>
          </cell>
        </row>
        <row r="12766">
          <cell r="B12766" t="str">
            <v>B272-400-AS-280-PP-108</v>
          </cell>
          <cell r="E12766" t="str">
            <v>stack</v>
          </cell>
        </row>
        <row r="12767">
          <cell r="B12767" t="str">
            <v>B272-400-AS-280-PP-108</v>
          </cell>
          <cell r="E12767" t="str">
            <v>G-34</v>
          </cell>
        </row>
        <row r="12768">
          <cell r="B12768" t="str">
            <v>B272-400-AS-280-PP-108</v>
          </cell>
          <cell r="E12768" t="str">
            <v>stack</v>
          </cell>
        </row>
        <row r="12769">
          <cell r="B12769" t="str">
            <v>B272-400-AS-280-PP-108</v>
          </cell>
          <cell r="E12769" t="str">
            <v>G-34</v>
          </cell>
        </row>
        <row r="12770">
          <cell r="B12770" t="str">
            <v>B272-400-AS-280-PP-108</v>
          </cell>
          <cell r="E12770" t="str">
            <v>stack</v>
          </cell>
        </row>
        <row r="12771">
          <cell r="B12771" t="str">
            <v>B272-400-AS-280-PP-108</v>
          </cell>
          <cell r="E12771" t="str">
            <v>G-34</v>
          </cell>
        </row>
        <row r="12772">
          <cell r="B12772" t="str">
            <v>B272-400-AS-280-PP-108</v>
          </cell>
          <cell r="E12772" t="str">
            <v>stack</v>
          </cell>
        </row>
        <row r="12773">
          <cell r="B12773" t="str">
            <v>B272-400-AS-280-PP-108</v>
          </cell>
          <cell r="E12773" t="str">
            <v>G-34</v>
          </cell>
        </row>
        <row r="12774">
          <cell r="B12774" t="str">
            <v>B272-400-AS-280-PP-108</v>
          </cell>
          <cell r="E12774" t="str">
            <v>stack</v>
          </cell>
        </row>
        <row r="12775">
          <cell r="B12775" t="str">
            <v>B272-400-AS-280-PP-108</v>
          </cell>
          <cell r="E12775" t="str">
            <v>G-34</v>
          </cell>
        </row>
        <row r="12776">
          <cell r="B12776" t="str">
            <v>B272-400-AS-280-PP-108</v>
          </cell>
          <cell r="E12776" t="str">
            <v>stack</v>
          </cell>
        </row>
        <row r="12777">
          <cell r="B12777" t="str">
            <v>B272-400-AS-280-PP-108</v>
          </cell>
          <cell r="E12777" t="str">
            <v>G-34</v>
          </cell>
        </row>
        <row r="12778">
          <cell r="B12778" t="str">
            <v>B272-400-AS-280-PP-108</v>
          </cell>
          <cell r="E12778" t="str">
            <v>stack</v>
          </cell>
        </row>
        <row r="12779">
          <cell r="B12779" t="str">
            <v>B272-400-AS-280-PP-108</v>
          </cell>
          <cell r="E12779" t="str">
            <v>G-34</v>
          </cell>
        </row>
        <row r="12780">
          <cell r="B12780" t="str">
            <v>B272-400-AS-280-PP-108</v>
          </cell>
          <cell r="E12780" t="str">
            <v>stack</v>
          </cell>
        </row>
        <row r="12781">
          <cell r="B12781" t="str">
            <v>B272-400-AS-280-PP-108</v>
          </cell>
          <cell r="E12781" t="str">
            <v>G-34</v>
          </cell>
        </row>
        <row r="12782">
          <cell r="B12782" t="str">
            <v>B272-400-AS-280-PP-108</v>
          </cell>
          <cell r="E12782" t="str">
            <v>stack</v>
          </cell>
        </row>
        <row r="12783">
          <cell r="B12783" t="str">
            <v>B272-400-AS-280-PP-108</v>
          </cell>
          <cell r="E12783" t="str">
            <v>G-34</v>
          </cell>
        </row>
        <row r="12784">
          <cell r="B12784" t="str">
            <v>B272-400-AS-280-PP-108</v>
          </cell>
          <cell r="E12784" t="str">
            <v>stack</v>
          </cell>
        </row>
        <row r="12785">
          <cell r="B12785" t="str">
            <v>B272-400-AS-280-PP-108</v>
          </cell>
          <cell r="E12785" t="str">
            <v>G-34</v>
          </cell>
        </row>
        <row r="12786">
          <cell r="B12786" t="str">
            <v>B272-400-AS-280-PP-108</v>
          </cell>
          <cell r="E12786" t="str">
            <v>stack</v>
          </cell>
        </row>
        <row r="12787">
          <cell r="B12787" t="str">
            <v>B272-400-AS-280-PP-108</v>
          </cell>
          <cell r="E12787" t="str">
            <v>G-34</v>
          </cell>
        </row>
        <row r="12788">
          <cell r="B12788" t="str">
            <v>B272-400-AS-280-PP-108</v>
          </cell>
          <cell r="E12788" t="str">
            <v>stack</v>
          </cell>
        </row>
        <row r="12789">
          <cell r="B12789" t="str">
            <v>B272-400-AS-280-PP-108</v>
          </cell>
          <cell r="E12789" t="str">
            <v>G-34</v>
          </cell>
        </row>
        <row r="12790">
          <cell r="B12790" t="str">
            <v>B272-400-AS-280-PP-108</v>
          </cell>
          <cell r="E12790" t="str">
            <v>stack</v>
          </cell>
        </row>
        <row r="12791">
          <cell r="B12791" t="str">
            <v>B272-400-AS-280-PP-108</v>
          </cell>
          <cell r="E12791" t="str">
            <v>G-34</v>
          </cell>
        </row>
        <row r="12792">
          <cell r="B12792" t="str">
            <v>B272-400-AS-280-PP-108</v>
          </cell>
          <cell r="E12792" t="str">
            <v>stack</v>
          </cell>
        </row>
        <row r="12793">
          <cell r="B12793" t="str">
            <v>B272-400-AS-280-PP-108</v>
          </cell>
          <cell r="E12793" t="str">
            <v>G-34</v>
          </cell>
        </row>
        <row r="12794">
          <cell r="B12794" t="str">
            <v>B272-400-AS-280-PP-108</v>
          </cell>
          <cell r="E12794" t="str">
            <v>stack</v>
          </cell>
        </row>
        <row r="12795">
          <cell r="B12795" t="str">
            <v>B272-400-AS-280-PP-108</v>
          </cell>
          <cell r="E12795" t="str">
            <v>G-34</v>
          </cell>
        </row>
        <row r="12796">
          <cell r="B12796" t="str">
            <v>B272-400-AS-280-PP-108</v>
          </cell>
          <cell r="E12796" t="str">
            <v>stack</v>
          </cell>
        </row>
        <row r="12797">
          <cell r="B12797" t="str">
            <v>B272-400-AS-280-PP-108</v>
          </cell>
          <cell r="E12797" t="str">
            <v>G-34</v>
          </cell>
        </row>
        <row r="12798">
          <cell r="B12798" t="str">
            <v>B272-400-AS-280-PP-108</v>
          </cell>
          <cell r="E12798" t="str">
            <v>stack</v>
          </cell>
        </row>
        <row r="12799">
          <cell r="B12799" t="str">
            <v>B272-400-AS-280-PP-108</v>
          </cell>
          <cell r="E12799" t="str">
            <v>G-34</v>
          </cell>
        </row>
        <row r="12800">
          <cell r="B12800" t="str">
            <v>B272-400-AS-280-PP-108</v>
          </cell>
          <cell r="E12800" t="str">
            <v>stack</v>
          </cell>
        </row>
        <row r="12801">
          <cell r="B12801" t="str">
            <v>B272-400-AS-280-PP-108</v>
          </cell>
          <cell r="E12801" t="str">
            <v>G-34</v>
          </cell>
        </row>
        <row r="12802">
          <cell r="B12802" t="str">
            <v>B272-400-AS-280-PP-108</v>
          </cell>
          <cell r="E12802" t="str">
            <v>stack</v>
          </cell>
        </row>
        <row r="12803">
          <cell r="B12803" t="str">
            <v>B272-400-AS-280-PP-108</v>
          </cell>
          <cell r="E12803" t="str">
            <v>G-34</v>
          </cell>
        </row>
        <row r="12804">
          <cell r="B12804" t="str">
            <v>B272-400-AS-280-PP-108</v>
          </cell>
          <cell r="E12804" t="str">
            <v>stack</v>
          </cell>
        </row>
        <row r="12805">
          <cell r="B12805" t="str">
            <v>B272-400-AS-280-PP-108</v>
          </cell>
          <cell r="E12805" t="str">
            <v>G-34</v>
          </cell>
        </row>
        <row r="12806">
          <cell r="B12806" t="str">
            <v>B272-400-AS-280-PP-108</v>
          </cell>
          <cell r="E12806" t="str">
            <v>stack</v>
          </cell>
        </row>
        <row r="12807">
          <cell r="B12807" t="str">
            <v>B272-400-AS-280-PP-108</v>
          </cell>
          <cell r="E12807" t="str">
            <v>G-34</v>
          </cell>
        </row>
        <row r="12808">
          <cell r="B12808" t="str">
            <v>B272-400-AS-280-PP-108</v>
          </cell>
          <cell r="E12808" t="str">
            <v>stack</v>
          </cell>
        </row>
        <row r="12809">
          <cell r="B12809" t="str">
            <v>B272-400-AS-280-PP-108</v>
          </cell>
          <cell r="E12809" t="str">
            <v>G-34</v>
          </cell>
        </row>
        <row r="12810">
          <cell r="B12810" t="str">
            <v>B272-400-AS-280-PP-108</v>
          </cell>
          <cell r="E12810" t="str">
            <v>stack</v>
          </cell>
        </row>
        <row r="12811">
          <cell r="B12811" t="str">
            <v>B272-400-AS-280-PP-108</v>
          </cell>
          <cell r="E12811" t="str">
            <v>G-34</v>
          </cell>
        </row>
        <row r="12812">
          <cell r="B12812" t="str">
            <v>B272-400-AS-280-PP-108</v>
          </cell>
          <cell r="E12812" t="str">
            <v>stack</v>
          </cell>
        </row>
        <row r="12813">
          <cell r="B12813" t="str">
            <v>B272-400-AS-280-PP-108</v>
          </cell>
          <cell r="E12813" t="str">
            <v>G-34</v>
          </cell>
        </row>
        <row r="12814">
          <cell r="B12814" t="str">
            <v>B272-400-AS-280-PP-108</v>
          </cell>
          <cell r="E12814" t="str">
            <v>stack</v>
          </cell>
        </row>
        <row r="12815">
          <cell r="B12815" t="str">
            <v>B272-400-AS-280-PP-108</v>
          </cell>
          <cell r="E12815" t="str">
            <v>G-34</v>
          </cell>
        </row>
        <row r="12816">
          <cell r="B12816" t="str">
            <v>B272-400-AS-280-PP-108</v>
          </cell>
          <cell r="E12816" t="str">
            <v>stack</v>
          </cell>
        </row>
        <row r="12817">
          <cell r="B12817" t="str">
            <v>B272-400-AS-280-PP-108</v>
          </cell>
          <cell r="E12817" t="str">
            <v>G-34</v>
          </cell>
        </row>
        <row r="12818">
          <cell r="B12818" t="str">
            <v>B272-400-AS-280-PP-108</v>
          </cell>
          <cell r="E12818" t="str">
            <v>stack</v>
          </cell>
        </row>
        <row r="12819">
          <cell r="B12819" t="str">
            <v>B272-400-AS-280-PP-108</v>
          </cell>
          <cell r="E12819" t="str">
            <v>G-34</v>
          </cell>
        </row>
        <row r="12820">
          <cell r="B12820" t="str">
            <v>B272-400-AS-280-PP-108</v>
          </cell>
          <cell r="E12820" t="str">
            <v>stack</v>
          </cell>
        </row>
        <row r="12821">
          <cell r="B12821" t="str">
            <v>B272-400-AS-280-PP-108</v>
          </cell>
          <cell r="E12821" t="str">
            <v>G-34</v>
          </cell>
        </row>
        <row r="12822">
          <cell r="B12822" t="str">
            <v>B272-400-AS-280-PP-108</v>
          </cell>
          <cell r="E12822" t="str">
            <v>stack</v>
          </cell>
        </row>
        <row r="12823">
          <cell r="B12823" t="str">
            <v>B272-400-AS-280-PP-108</v>
          </cell>
          <cell r="E12823" t="str">
            <v>G-34</v>
          </cell>
        </row>
        <row r="12824">
          <cell r="B12824" t="str">
            <v>B272-400-AS-280-PP-108</v>
          </cell>
          <cell r="E12824" t="str">
            <v>stack</v>
          </cell>
        </row>
        <row r="12825">
          <cell r="B12825" t="str">
            <v>B272-400-AS-280-PP-108</v>
          </cell>
          <cell r="E12825" t="str">
            <v>G-34</v>
          </cell>
        </row>
        <row r="12826">
          <cell r="B12826" t="str">
            <v>B272-400-AS-280-PP-108</v>
          </cell>
          <cell r="E12826" t="str">
            <v>stack</v>
          </cell>
        </row>
        <row r="12827">
          <cell r="B12827" t="str">
            <v>B272-400-AS-280-PP-108</v>
          </cell>
          <cell r="E12827" t="str">
            <v>G-34</v>
          </cell>
        </row>
        <row r="12828">
          <cell r="B12828" t="str">
            <v>B272-400-AS-280-PP-108</v>
          </cell>
          <cell r="E12828" t="str">
            <v>stack</v>
          </cell>
        </row>
        <row r="12829">
          <cell r="B12829" t="str">
            <v>B272-400-AS-280-PP-108</v>
          </cell>
          <cell r="E12829" t="str">
            <v>G-34</v>
          </cell>
        </row>
        <row r="12830">
          <cell r="B12830" t="str">
            <v>B272-400-AS-280-PP-108</v>
          </cell>
          <cell r="E12830" t="str">
            <v>stack</v>
          </cell>
        </row>
        <row r="12831">
          <cell r="B12831" t="str">
            <v>B272-400-AS-280-PP-108</v>
          </cell>
          <cell r="E12831" t="str">
            <v>G-34</v>
          </cell>
        </row>
        <row r="12832">
          <cell r="B12832" t="str">
            <v>B272-400-AS-280-PP-108</v>
          </cell>
          <cell r="E12832" t="str">
            <v>stack</v>
          </cell>
        </row>
        <row r="12833">
          <cell r="B12833" t="str">
            <v>B272-400-AS-280-PP-108</v>
          </cell>
          <cell r="E12833" t="str">
            <v>G-34</v>
          </cell>
        </row>
        <row r="12834">
          <cell r="B12834" t="str">
            <v>B272-400-AS-280-PP-108</v>
          </cell>
          <cell r="E12834" t="str">
            <v>stack</v>
          </cell>
        </row>
        <row r="12835">
          <cell r="B12835" t="str">
            <v>B272-400-AS-280-PP-108</v>
          </cell>
          <cell r="E12835" t="str">
            <v>G-34</v>
          </cell>
        </row>
        <row r="12836">
          <cell r="B12836" t="str">
            <v>B272-400-AS-280-PP-108</v>
          </cell>
          <cell r="E12836" t="str">
            <v>stack</v>
          </cell>
        </row>
        <row r="12837">
          <cell r="B12837" t="str">
            <v>B272-400-AS-280-PP-108</v>
          </cell>
          <cell r="E12837" t="str">
            <v>G-34</v>
          </cell>
        </row>
        <row r="12838">
          <cell r="B12838" t="str">
            <v>B272-400-AS-280-PP-108</v>
          </cell>
          <cell r="E12838" t="str">
            <v>stack</v>
          </cell>
        </row>
        <row r="12839">
          <cell r="B12839" t="str">
            <v>B272-400-AS-280-PP-108</v>
          </cell>
          <cell r="E12839" t="str">
            <v>G-34</v>
          </cell>
        </row>
        <row r="12840">
          <cell r="B12840" t="str">
            <v>B272-400-AS-280-PP-108</v>
          </cell>
          <cell r="E12840" t="str">
            <v>stack</v>
          </cell>
        </row>
        <row r="12841">
          <cell r="B12841" t="str">
            <v>B272-400-AS-280-PP-108</v>
          </cell>
          <cell r="E12841" t="str">
            <v>G-34</v>
          </cell>
        </row>
        <row r="12842">
          <cell r="B12842" t="str">
            <v>B272-400-AS-280-PP-108</v>
          </cell>
          <cell r="E12842" t="str">
            <v>stack</v>
          </cell>
        </row>
        <row r="12843">
          <cell r="B12843" t="str">
            <v>B272-400-AS-280-PP-108</v>
          </cell>
          <cell r="E12843" t="str">
            <v>G-34</v>
          </cell>
        </row>
        <row r="12844">
          <cell r="B12844" t="str">
            <v>B272-400-AS-280-PP-108</v>
          </cell>
          <cell r="E12844" t="str">
            <v>stack</v>
          </cell>
        </row>
        <row r="12845">
          <cell r="B12845" t="str">
            <v>B272-400-AS-280-PP-108</v>
          </cell>
          <cell r="E12845" t="str">
            <v>G-34</v>
          </cell>
        </row>
        <row r="12846">
          <cell r="B12846" t="str">
            <v>B272-400-AS-280-PP-108</v>
          </cell>
          <cell r="E12846" t="str">
            <v>stack</v>
          </cell>
        </row>
        <row r="12847">
          <cell r="B12847" t="str">
            <v>B272-400-AS-280-PP-108</v>
          </cell>
          <cell r="E12847" t="str">
            <v>G-34</v>
          </cell>
        </row>
        <row r="12848">
          <cell r="B12848" t="str">
            <v>B272-400-AS-280-PP-108</v>
          </cell>
          <cell r="E12848" t="str">
            <v>stack</v>
          </cell>
        </row>
        <row r="12849">
          <cell r="B12849" t="str">
            <v>B272-400-AS-280-PP-108</v>
          </cell>
          <cell r="E12849" t="str">
            <v>G-34</v>
          </cell>
        </row>
        <row r="12850">
          <cell r="B12850" t="str">
            <v>B272-400-AS-280-PP-108</v>
          </cell>
          <cell r="E12850" t="str">
            <v>stack</v>
          </cell>
        </row>
        <row r="12851">
          <cell r="B12851" t="str">
            <v>B272-400-AS-280-PP-108</v>
          </cell>
          <cell r="E12851" t="str">
            <v>G-34</v>
          </cell>
        </row>
        <row r="12852">
          <cell r="B12852" t="str">
            <v>B272-400-AS-280-PP-108</v>
          </cell>
          <cell r="E12852" t="str">
            <v>stack</v>
          </cell>
        </row>
        <row r="12853">
          <cell r="B12853" t="str">
            <v>B272-400-AS-280-PP-108</v>
          </cell>
          <cell r="E12853" t="str">
            <v>G-34</v>
          </cell>
        </row>
        <row r="12854">
          <cell r="B12854" t="str">
            <v>B272-400-AS-280-PP-108</v>
          </cell>
          <cell r="E12854" t="str">
            <v>stack</v>
          </cell>
        </row>
        <row r="12855">
          <cell r="B12855" t="str">
            <v>B272-400-AS-280-PP-108</v>
          </cell>
          <cell r="E12855" t="str">
            <v>G-34</v>
          </cell>
        </row>
        <row r="12856">
          <cell r="B12856" t="str">
            <v>B272-400-AS-280-PP-108</v>
          </cell>
          <cell r="E12856" t="str">
            <v>stack</v>
          </cell>
        </row>
        <row r="12857">
          <cell r="B12857" t="str">
            <v>B272-400-AS-280-PP-108</v>
          </cell>
          <cell r="E12857" t="str">
            <v>G-34</v>
          </cell>
        </row>
        <row r="12858">
          <cell r="B12858" t="str">
            <v>B272-400-AS-280-PP-108</v>
          </cell>
          <cell r="E12858" t="str">
            <v>stack</v>
          </cell>
        </row>
        <row r="12859">
          <cell r="B12859" t="str">
            <v>B272-400-AS-280-PP-108</v>
          </cell>
          <cell r="E12859" t="str">
            <v>G-34</v>
          </cell>
        </row>
        <row r="12860">
          <cell r="B12860" t="str">
            <v>B272-400-AS-280-PP-108</v>
          </cell>
          <cell r="E12860" t="str">
            <v>stack</v>
          </cell>
        </row>
        <row r="12861">
          <cell r="B12861" t="str">
            <v>B272-400-AS-280-PP-108</v>
          </cell>
          <cell r="E12861" t="str">
            <v>G-34</v>
          </cell>
        </row>
        <row r="12862">
          <cell r="B12862" t="str">
            <v>B272-400-AS-280-PP-108</v>
          </cell>
          <cell r="E12862" t="str">
            <v>stack</v>
          </cell>
        </row>
        <row r="12863">
          <cell r="B12863" t="str">
            <v>B272-400-AS-280-PP-108</v>
          </cell>
          <cell r="E12863" t="str">
            <v>G-34</v>
          </cell>
        </row>
        <row r="12864">
          <cell r="B12864" t="str">
            <v>B272-400-AS-280-PP-108</v>
          </cell>
          <cell r="E12864" t="str">
            <v>stack</v>
          </cell>
        </row>
        <row r="12865">
          <cell r="B12865" t="str">
            <v>B272-400-AS-280-PP-108</v>
          </cell>
          <cell r="E12865" t="str">
            <v>G-34</v>
          </cell>
        </row>
        <row r="12866">
          <cell r="B12866" t="str">
            <v>B272-400-AS-280-PP-108</v>
          </cell>
          <cell r="E12866" t="str">
            <v>stack</v>
          </cell>
        </row>
        <row r="12867">
          <cell r="B12867" t="str">
            <v>B272-400-AS-280-PP-108</v>
          </cell>
          <cell r="E12867" t="str">
            <v>G-34</v>
          </cell>
        </row>
        <row r="12868">
          <cell r="B12868" t="str">
            <v>B272-400-AS-280-PP-108</v>
          </cell>
          <cell r="E12868" t="str">
            <v>stack</v>
          </cell>
        </row>
        <row r="12869">
          <cell r="B12869" t="str">
            <v>B272-400-AS-280-PP-108</v>
          </cell>
          <cell r="E12869" t="str">
            <v>G-34</v>
          </cell>
        </row>
        <row r="12870">
          <cell r="B12870" t="str">
            <v>B272-400-AS-280-PP-108</v>
          </cell>
          <cell r="E12870" t="str">
            <v>stack</v>
          </cell>
        </row>
        <row r="12871">
          <cell r="B12871" t="str">
            <v>B272-400-AS-280-PP-108</v>
          </cell>
          <cell r="E12871" t="str">
            <v>G-34</v>
          </cell>
        </row>
        <row r="12872">
          <cell r="B12872" t="str">
            <v>B272-400-AS-280-PP-108</v>
          </cell>
          <cell r="E12872" t="str">
            <v>stack</v>
          </cell>
        </row>
        <row r="12873">
          <cell r="B12873" t="str">
            <v>B272-400-AS-280-PP-108</v>
          </cell>
          <cell r="E12873" t="str">
            <v>G-34</v>
          </cell>
        </row>
        <row r="12874">
          <cell r="B12874" t="str">
            <v>B272-400-AS-280-PP-108</v>
          </cell>
          <cell r="E12874" t="str">
            <v>stack</v>
          </cell>
        </row>
        <row r="12875">
          <cell r="B12875" t="str">
            <v>B272-400-AS-280-PP-108</v>
          </cell>
          <cell r="E12875" t="str">
            <v>G-34</v>
          </cell>
        </row>
        <row r="12876">
          <cell r="B12876" t="str">
            <v>B272-400-AS-280-PP-108</v>
          </cell>
          <cell r="E12876" t="str">
            <v>stack</v>
          </cell>
        </row>
        <row r="12877">
          <cell r="B12877" t="str">
            <v>B272-400-AS-280-PP-108</v>
          </cell>
          <cell r="E12877" t="str">
            <v>G-34</v>
          </cell>
        </row>
        <row r="12878">
          <cell r="B12878" t="str">
            <v>B272-400-AS-280-PP-108</v>
          </cell>
          <cell r="E12878" t="str">
            <v>stack</v>
          </cell>
        </row>
        <row r="12879">
          <cell r="B12879" t="str">
            <v>B272-400-AS-280-PP-108</v>
          </cell>
          <cell r="E12879" t="str">
            <v>G-34</v>
          </cell>
        </row>
        <row r="12880">
          <cell r="B12880" t="str">
            <v>B272-400-AS-280-PP-108</v>
          </cell>
          <cell r="E12880" t="str">
            <v>stack</v>
          </cell>
        </row>
        <row r="12881">
          <cell r="B12881" t="str">
            <v>B272-400-AS-280-PP-108</v>
          </cell>
          <cell r="E12881" t="str">
            <v>G-34</v>
          </cell>
        </row>
        <row r="12882">
          <cell r="B12882" t="str">
            <v>B272-400-AS-280-PP-108</v>
          </cell>
          <cell r="E12882" t="str">
            <v>stack</v>
          </cell>
        </row>
        <row r="12883">
          <cell r="B12883" t="str">
            <v>B272-400-AS-280-PP-108</v>
          </cell>
          <cell r="E12883" t="str">
            <v>G-34</v>
          </cell>
        </row>
        <row r="12884">
          <cell r="B12884" t="str">
            <v>B272-400-AS-280-PP-108</v>
          </cell>
          <cell r="E12884" t="str">
            <v>stack</v>
          </cell>
        </row>
        <row r="12885">
          <cell r="B12885" t="str">
            <v>B272-400-AS-280-PP-108</v>
          </cell>
          <cell r="E12885" t="str">
            <v>G-34</v>
          </cell>
        </row>
        <row r="12886">
          <cell r="B12886" t="str">
            <v>B272-400-AS-280-PP-108</v>
          </cell>
          <cell r="E12886" t="str">
            <v>stack</v>
          </cell>
        </row>
        <row r="12887">
          <cell r="B12887" t="str">
            <v>B272-400-AS-280-PP-108</v>
          </cell>
          <cell r="E12887" t="str">
            <v>G-34</v>
          </cell>
        </row>
        <row r="12888">
          <cell r="B12888" t="str">
            <v>B272-400-AS-280-PP-108</v>
          </cell>
          <cell r="E12888" t="str">
            <v>stack</v>
          </cell>
        </row>
        <row r="12889">
          <cell r="B12889" t="str">
            <v>B272-400-AS-280-PP-108</v>
          </cell>
          <cell r="E12889" t="str">
            <v>G-34</v>
          </cell>
        </row>
        <row r="12890">
          <cell r="B12890" t="str">
            <v>B272-400-AS-280-PP-108</v>
          </cell>
          <cell r="E12890" t="str">
            <v>stack</v>
          </cell>
        </row>
        <row r="12891">
          <cell r="B12891" t="str">
            <v>B272-400-AS-280-PP-108</v>
          </cell>
          <cell r="E12891" t="str">
            <v>G-34</v>
          </cell>
        </row>
        <row r="12892">
          <cell r="B12892" t="str">
            <v>B272-400-AS-280-PP-108</v>
          </cell>
          <cell r="E12892" t="str">
            <v>stack</v>
          </cell>
        </row>
        <row r="12893">
          <cell r="B12893" t="str">
            <v>B272-400-AS-280-PP-108</v>
          </cell>
          <cell r="E12893" t="str">
            <v>G-34</v>
          </cell>
        </row>
        <row r="12894">
          <cell r="B12894" t="str">
            <v>B272-400-AS-280-PP-108</v>
          </cell>
          <cell r="E12894" t="str">
            <v>stack</v>
          </cell>
        </row>
        <row r="12895">
          <cell r="B12895" t="str">
            <v>B272-400-AS-280-PP-108</v>
          </cell>
          <cell r="E12895" t="str">
            <v>G-34</v>
          </cell>
        </row>
        <row r="12896">
          <cell r="B12896" t="str">
            <v>B272-400-AS-280-PP-108</v>
          </cell>
          <cell r="E12896" t="str">
            <v>stack</v>
          </cell>
        </row>
        <row r="12897">
          <cell r="B12897" t="str">
            <v>B272-400-AS-280-PP-108</v>
          </cell>
          <cell r="E12897" t="str">
            <v>G-34</v>
          </cell>
        </row>
        <row r="12898">
          <cell r="B12898" t="str">
            <v>B272-400-AS-280-PP-108</v>
          </cell>
          <cell r="E12898" t="str">
            <v>stack</v>
          </cell>
        </row>
        <row r="12899">
          <cell r="B12899" t="str">
            <v>B272-400-AS-280-PP-108</v>
          </cell>
          <cell r="E12899" t="str">
            <v>G-34</v>
          </cell>
        </row>
        <row r="12900">
          <cell r="B12900" t="str">
            <v>B272-400-AS-280-PP-108</v>
          </cell>
          <cell r="E12900" t="str">
            <v>stack</v>
          </cell>
        </row>
        <row r="12901">
          <cell r="B12901" t="str">
            <v>B272-400-AS-280-PP-108</v>
          </cell>
          <cell r="E12901" t="str">
            <v>G-34</v>
          </cell>
        </row>
        <row r="12902">
          <cell r="B12902" t="str">
            <v>B272-400-AS-280-PP-108</v>
          </cell>
          <cell r="E12902" t="str">
            <v>stack</v>
          </cell>
        </row>
        <row r="12903">
          <cell r="B12903" t="str">
            <v>B272-400-AS-280-PP-108</v>
          </cell>
          <cell r="E12903" t="str">
            <v>G-34</v>
          </cell>
        </row>
        <row r="12904">
          <cell r="B12904" t="str">
            <v>B272-400-AS-280-PP-108</v>
          </cell>
          <cell r="E12904" t="str">
            <v>stack</v>
          </cell>
        </row>
        <row r="12905">
          <cell r="B12905" t="str">
            <v>B272-400-AS-280-PP-108</v>
          </cell>
          <cell r="E12905" t="str">
            <v>G-34</v>
          </cell>
        </row>
        <row r="12906">
          <cell r="B12906" t="str">
            <v>B272-400-AS-280-PP-108</v>
          </cell>
          <cell r="E12906" t="str">
            <v>stack</v>
          </cell>
        </row>
        <row r="12907">
          <cell r="B12907" t="str">
            <v>B272-400-AS-280-PP-108</v>
          </cell>
          <cell r="E12907" t="str">
            <v>G-34</v>
          </cell>
        </row>
        <row r="12908">
          <cell r="B12908" t="str">
            <v>B272-400-AS-280-PP-108</v>
          </cell>
          <cell r="E12908" t="str">
            <v>stack</v>
          </cell>
        </row>
        <row r="12909">
          <cell r="B12909" t="str">
            <v>B272-400-AS-280-PP-108</v>
          </cell>
          <cell r="E12909" t="str">
            <v>G-34</v>
          </cell>
        </row>
        <row r="12910">
          <cell r="B12910" t="str">
            <v>B272-400-AS-280-PP-108</v>
          </cell>
          <cell r="E12910" t="str">
            <v>stack</v>
          </cell>
        </row>
        <row r="12911">
          <cell r="B12911" t="str">
            <v>B272-400-AS-280-PP-108</v>
          </cell>
          <cell r="E12911" t="str">
            <v>G-34</v>
          </cell>
        </row>
        <row r="12912">
          <cell r="B12912" t="str">
            <v>B272-400-AS-280-PP-108</v>
          </cell>
          <cell r="E12912" t="str">
            <v>stack</v>
          </cell>
        </row>
        <row r="12913">
          <cell r="B12913" t="str">
            <v>B272-400-AS-280-PP-108</v>
          </cell>
          <cell r="E12913" t="str">
            <v>G-34</v>
          </cell>
        </row>
        <row r="12914">
          <cell r="B12914" t="str">
            <v>B272-400-AS-280-PP-108</v>
          </cell>
          <cell r="E12914" t="str">
            <v>stack</v>
          </cell>
        </row>
        <row r="12915">
          <cell r="B12915" t="str">
            <v>B272-400-AS-280-PP-108</v>
          </cell>
          <cell r="E12915" t="str">
            <v>G-34</v>
          </cell>
        </row>
        <row r="12916">
          <cell r="B12916" t="str">
            <v>B272-400-AS-280-PP-108</v>
          </cell>
          <cell r="E12916" t="str">
            <v>stack</v>
          </cell>
        </row>
        <row r="12917">
          <cell r="B12917" t="str">
            <v>B272-400-AS-280-PP-108</v>
          </cell>
          <cell r="E12917" t="str">
            <v>G-34</v>
          </cell>
        </row>
        <row r="12918">
          <cell r="B12918" t="str">
            <v>B272-400-AS-280-PP-108</v>
          </cell>
          <cell r="E12918" t="str">
            <v>stack</v>
          </cell>
        </row>
        <row r="12919">
          <cell r="B12919" t="str">
            <v>B272-400-AS-280-PP-108</v>
          </cell>
          <cell r="E12919" t="str">
            <v>G-34</v>
          </cell>
        </row>
        <row r="12920">
          <cell r="B12920" t="str">
            <v>B272-400-AS-280-PP-108</v>
          </cell>
          <cell r="E12920" t="str">
            <v>stack</v>
          </cell>
        </row>
        <row r="12921">
          <cell r="B12921" t="str">
            <v>B272-400-AS-280-PP-108</v>
          </cell>
          <cell r="E12921" t="str">
            <v>G-34</v>
          </cell>
        </row>
        <row r="12922">
          <cell r="B12922" t="str">
            <v>B272-400-AS-280-PP-108</v>
          </cell>
          <cell r="E12922" t="str">
            <v>stack</v>
          </cell>
        </row>
        <row r="12923">
          <cell r="B12923" t="str">
            <v>B272-400-AS-280-PP-108</v>
          </cell>
          <cell r="E12923" t="str">
            <v>G-34</v>
          </cell>
        </row>
        <row r="12924">
          <cell r="B12924" t="str">
            <v>B272-400-AS-280-PP-108</v>
          </cell>
          <cell r="E12924" t="str">
            <v>stack</v>
          </cell>
        </row>
        <row r="12925">
          <cell r="B12925" t="str">
            <v>B272-400-AS-280-PP-108</v>
          </cell>
          <cell r="E12925" t="str">
            <v>G-34</v>
          </cell>
        </row>
        <row r="12926">
          <cell r="B12926" t="str">
            <v>B272-400-AS-280-PP-108</v>
          </cell>
          <cell r="E12926" t="str">
            <v>stack</v>
          </cell>
        </row>
        <row r="12927">
          <cell r="B12927" t="str">
            <v>B272-400-AS-280-PP-108</v>
          </cell>
          <cell r="E12927" t="str">
            <v>G-34</v>
          </cell>
        </row>
        <row r="12928">
          <cell r="B12928" t="str">
            <v>B272-400-AS-280-PP-108</v>
          </cell>
          <cell r="E12928" t="str">
            <v>stack</v>
          </cell>
        </row>
        <row r="12929">
          <cell r="B12929" t="str">
            <v>B272-400-AS-280-PP-108</v>
          </cell>
          <cell r="E12929" t="str">
            <v>G-34</v>
          </cell>
        </row>
        <row r="12930">
          <cell r="B12930" t="str">
            <v>B272-400-AS-280-PP-108</v>
          </cell>
          <cell r="E12930" t="str">
            <v>stack</v>
          </cell>
        </row>
        <row r="12931">
          <cell r="B12931" t="str">
            <v>B272-400-AS-280-PP-108</v>
          </cell>
          <cell r="E12931" t="str">
            <v>G-34</v>
          </cell>
        </row>
        <row r="12932">
          <cell r="B12932" t="str">
            <v>B272-400-AS-280-PP-108</v>
          </cell>
          <cell r="E12932" t="str">
            <v>stack</v>
          </cell>
        </row>
        <row r="12933">
          <cell r="B12933" t="str">
            <v>B272-400-AS-280-PP-108</v>
          </cell>
          <cell r="E12933" t="str">
            <v>G-34</v>
          </cell>
        </row>
        <row r="12934">
          <cell r="B12934" t="str">
            <v>B272-400-AS-280-PP-108</v>
          </cell>
          <cell r="E12934" t="str">
            <v>stack</v>
          </cell>
        </row>
        <row r="12935">
          <cell r="B12935" t="str">
            <v>B272-400-AS-280-PP-108</v>
          </cell>
          <cell r="E12935" t="str">
            <v>G-34</v>
          </cell>
        </row>
        <row r="12936">
          <cell r="B12936" t="str">
            <v>B272-400-AS-280-PP-108</v>
          </cell>
          <cell r="E12936" t="str">
            <v>stack</v>
          </cell>
        </row>
        <row r="12937">
          <cell r="B12937" t="str">
            <v>B272-400-AS-280-PP-108</v>
          </cell>
          <cell r="E12937" t="str">
            <v>G-34</v>
          </cell>
        </row>
        <row r="12938">
          <cell r="B12938" t="str">
            <v>B272-400-AS-280-PP-108</v>
          </cell>
          <cell r="E12938" t="str">
            <v>stack</v>
          </cell>
        </row>
        <row r="12939">
          <cell r="B12939" t="str">
            <v>B272-400-AS-280-PP-108</v>
          </cell>
          <cell r="E12939" t="str">
            <v>G-34</v>
          </cell>
        </row>
        <row r="12940">
          <cell r="B12940" t="str">
            <v>B272-400-AS-280-PP-108</v>
          </cell>
          <cell r="E12940" t="str">
            <v>stack</v>
          </cell>
        </row>
        <row r="12941">
          <cell r="B12941" t="str">
            <v>B272-400-AS-280-PP-108</v>
          </cell>
          <cell r="E12941" t="str">
            <v>G-34</v>
          </cell>
        </row>
        <row r="12942">
          <cell r="B12942" t="str">
            <v>B272-400-AS-280-PP-108</v>
          </cell>
          <cell r="E12942" t="str">
            <v>stack</v>
          </cell>
        </row>
        <row r="12943">
          <cell r="B12943" t="str">
            <v>B272-400-AS-280-PP-108</v>
          </cell>
          <cell r="E12943" t="str">
            <v>G-34</v>
          </cell>
        </row>
        <row r="12944">
          <cell r="B12944" t="str">
            <v>B272-400-AS-280-PP-108</v>
          </cell>
          <cell r="E12944" t="str">
            <v>stack</v>
          </cell>
        </row>
        <row r="12945">
          <cell r="B12945" t="str">
            <v>B272-400-AS-280-PP-108</v>
          </cell>
          <cell r="E12945" t="str">
            <v>G-34</v>
          </cell>
        </row>
        <row r="12946">
          <cell r="B12946" t="str">
            <v>B272-400-AS-280-PP-108</v>
          </cell>
          <cell r="E12946" t="str">
            <v>stack</v>
          </cell>
        </row>
        <row r="12947">
          <cell r="B12947" t="str">
            <v>B272-400-AS-280-PP-108</v>
          </cell>
          <cell r="E12947" t="str">
            <v>G-34</v>
          </cell>
        </row>
        <row r="12948">
          <cell r="B12948" t="str">
            <v>B272-400-AS-280-PP-108</v>
          </cell>
          <cell r="E12948" t="str">
            <v>stack</v>
          </cell>
        </row>
        <row r="12949">
          <cell r="B12949" t="str">
            <v>B272-400-AS-280-PP-108</v>
          </cell>
          <cell r="E12949" t="str">
            <v>G-34</v>
          </cell>
        </row>
        <row r="12950">
          <cell r="B12950" t="str">
            <v>B272-400-AS-280-PP-108</v>
          </cell>
          <cell r="E12950" t="str">
            <v>stack</v>
          </cell>
        </row>
        <row r="12951">
          <cell r="B12951" t="str">
            <v>B272-400-AS-280-PP-108</v>
          </cell>
          <cell r="E12951" t="str">
            <v>G-34</v>
          </cell>
        </row>
        <row r="12952">
          <cell r="B12952" t="str">
            <v>B272-400-AS-280-PP-108</v>
          </cell>
          <cell r="E12952" t="str">
            <v>stack</v>
          </cell>
        </row>
        <row r="12953">
          <cell r="B12953" t="str">
            <v>B272-400-AS-280-PP-108</v>
          </cell>
          <cell r="E12953" t="str">
            <v>G-34</v>
          </cell>
        </row>
        <row r="12954">
          <cell r="B12954" t="str">
            <v>B272-400-AS-280-PP-108</v>
          </cell>
          <cell r="E12954" t="str">
            <v>stack</v>
          </cell>
        </row>
        <row r="12955">
          <cell r="B12955" t="str">
            <v>B272-400-AS-280-PP-108</v>
          </cell>
          <cell r="E12955" t="str">
            <v>G-34</v>
          </cell>
        </row>
        <row r="12956">
          <cell r="B12956" t="str">
            <v>B272-400-AS-280-PP-108</v>
          </cell>
          <cell r="E12956" t="str">
            <v>stack</v>
          </cell>
        </row>
        <row r="12957">
          <cell r="B12957" t="str">
            <v>B272-400-AS-280-PP-108</v>
          </cell>
          <cell r="E12957" t="str">
            <v>G-34</v>
          </cell>
        </row>
        <row r="12958">
          <cell r="B12958" t="str">
            <v>B272-400-AS-280-PP-108</v>
          </cell>
          <cell r="E12958" t="str">
            <v>stack</v>
          </cell>
        </row>
        <row r="12959">
          <cell r="B12959" t="str">
            <v>B272-400-AS-280-PP-108</v>
          </cell>
          <cell r="E12959" t="str">
            <v>G-34</v>
          </cell>
        </row>
        <row r="12960">
          <cell r="B12960" t="str">
            <v>B272-400-AS-280-PP-108</v>
          </cell>
          <cell r="E12960" t="str">
            <v>stack</v>
          </cell>
        </row>
        <row r="12961">
          <cell r="B12961" t="str">
            <v>B272-400-AS-280-PP-108</v>
          </cell>
          <cell r="E12961" t="str">
            <v>G-34</v>
          </cell>
        </row>
        <row r="12962">
          <cell r="B12962" t="str">
            <v>B272-400-AS-280-PP-108</v>
          </cell>
          <cell r="E12962" t="str">
            <v>stack</v>
          </cell>
        </row>
        <row r="12963">
          <cell r="B12963" t="str">
            <v>B272-400-AS-280-PP-108</v>
          </cell>
          <cell r="E12963" t="str">
            <v>G-34</v>
          </cell>
        </row>
        <row r="12964">
          <cell r="B12964" t="str">
            <v>B272-400-AS-280-PP-108</v>
          </cell>
          <cell r="E12964" t="str">
            <v>stack</v>
          </cell>
        </row>
        <row r="12965">
          <cell r="B12965" t="str">
            <v>B272-400-AS-280-PP-108</v>
          </cell>
          <cell r="E12965" t="str">
            <v>G-34</v>
          </cell>
        </row>
        <row r="12966">
          <cell r="B12966" t="str">
            <v>B272-400-AS-280-PP-108</v>
          </cell>
          <cell r="E12966" t="str">
            <v>stack</v>
          </cell>
        </row>
        <row r="12967">
          <cell r="B12967" t="str">
            <v>B272-400-AS-280-PP-108</v>
          </cell>
          <cell r="E12967" t="str">
            <v>G-34</v>
          </cell>
        </row>
        <row r="12968">
          <cell r="B12968" t="str">
            <v>B272-400-AS-280-PP-108</v>
          </cell>
          <cell r="E12968" t="str">
            <v>stack</v>
          </cell>
        </row>
        <row r="12969">
          <cell r="B12969" t="str">
            <v>B272-400-AS-280-PP-108</v>
          </cell>
          <cell r="E12969" t="str">
            <v>G-34</v>
          </cell>
        </row>
        <row r="12970">
          <cell r="B12970" t="str">
            <v>B272-400-AS-280-PP-108</v>
          </cell>
          <cell r="E12970" t="str">
            <v>stack</v>
          </cell>
        </row>
        <row r="12971">
          <cell r="B12971" t="str">
            <v>B272-400-AS-280-PP-108</v>
          </cell>
          <cell r="E12971" t="str">
            <v>G-34</v>
          </cell>
        </row>
        <row r="12972">
          <cell r="B12972" t="str">
            <v>B272-400-AS-280-PP-108</v>
          </cell>
          <cell r="E12972" t="str">
            <v>stack</v>
          </cell>
        </row>
        <row r="12973">
          <cell r="B12973" t="str">
            <v>B272-400-AS-280-PP-108</v>
          </cell>
          <cell r="E12973" t="str">
            <v>G-34</v>
          </cell>
        </row>
        <row r="12974">
          <cell r="B12974" t="str">
            <v>B272-400-AS-280-PP-108</v>
          </cell>
          <cell r="E12974" t="str">
            <v>stack</v>
          </cell>
        </row>
        <row r="12975">
          <cell r="B12975" t="str">
            <v>B272-400-AS-280-PP-108</v>
          </cell>
          <cell r="E12975" t="str">
            <v>G-34</v>
          </cell>
        </row>
        <row r="12976">
          <cell r="B12976" t="str">
            <v>B272-400-AS-280-PP-108</v>
          </cell>
          <cell r="E12976" t="str">
            <v>stack</v>
          </cell>
        </row>
        <row r="12977">
          <cell r="B12977" t="str">
            <v>B272-400-AS-280-PP-108</v>
          </cell>
          <cell r="E12977" t="str">
            <v>G-34</v>
          </cell>
        </row>
        <row r="12978">
          <cell r="B12978" t="str">
            <v>B272-400-AS-280-PP-108</v>
          </cell>
          <cell r="E12978" t="str">
            <v>stack</v>
          </cell>
        </row>
        <row r="12979">
          <cell r="B12979" t="str">
            <v>B272-400-AS-280-PP-108</v>
          </cell>
          <cell r="E12979" t="str">
            <v>G-34</v>
          </cell>
        </row>
        <row r="12980">
          <cell r="B12980" t="str">
            <v>B272-400-AS-280-PP-108</v>
          </cell>
          <cell r="E12980" t="str">
            <v>stack</v>
          </cell>
        </row>
        <row r="12981">
          <cell r="B12981" t="str">
            <v>B272-400-AS-280-PP-108</v>
          </cell>
          <cell r="E12981" t="str">
            <v>G-34</v>
          </cell>
        </row>
        <row r="12982">
          <cell r="B12982" t="str">
            <v>B272-400-AS-280-PP-108</v>
          </cell>
          <cell r="E12982" t="str">
            <v>stack</v>
          </cell>
        </row>
        <row r="12983">
          <cell r="B12983" t="str">
            <v>B272-400-AS-280-PP-108</v>
          </cell>
          <cell r="E12983" t="str">
            <v>G-34</v>
          </cell>
        </row>
        <row r="12984">
          <cell r="B12984" t="str">
            <v>B272-400-AS-280-PP-108</v>
          </cell>
          <cell r="E12984" t="str">
            <v>stack</v>
          </cell>
        </row>
        <row r="12985">
          <cell r="B12985" t="str">
            <v>B272-400-AS-280-PP-108</v>
          </cell>
          <cell r="E12985" t="str">
            <v>G-34</v>
          </cell>
        </row>
        <row r="12986">
          <cell r="B12986" t="str">
            <v>B272-400-AS-280-PP-108</v>
          </cell>
          <cell r="E12986" t="str">
            <v>stack</v>
          </cell>
        </row>
        <row r="12987">
          <cell r="B12987" t="str">
            <v>B272-400-AS-280-PP-108</v>
          </cell>
          <cell r="E12987" t="str">
            <v>G-34</v>
          </cell>
        </row>
        <row r="12988">
          <cell r="B12988" t="str">
            <v>B272-400-AS-280-PP-108</v>
          </cell>
          <cell r="E12988" t="str">
            <v>stack</v>
          </cell>
        </row>
        <row r="12989">
          <cell r="B12989" t="str">
            <v>B272-400-AS-280-PP-108</v>
          </cell>
          <cell r="E12989" t="str">
            <v>G-34</v>
          </cell>
        </row>
        <row r="12990">
          <cell r="B12990" t="str">
            <v>B272-400-AS-280-PP-108</v>
          </cell>
          <cell r="E12990" t="str">
            <v>stack</v>
          </cell>
        </row>
        <row r="12991">
          <cell r="B12991" t="str">
            <v>B272-400-AS-280-PP-108</v>
          </cell>
          <cell r="E12991" t="str">
            <v>G-34</v>
          </cell>
        </row>
        <row r="12992">
          <cell r="B12992" t="str">
            <v>B272-400-AS-280-PP-108</v>
          </cell>
          <cell r="E12992" t="str">
            <v>stack</v>
          </cell>
        </row>
        <row r="12993">
          <cell r="B12993" t="str">
            <v>B272-400-AS-280-PP-108</v>
          </cell>
          <cell r="E12993" t="str">
            <v>G-34</v>
          </cell>
        </row>
        <row r="12994">
          <cell r="B12994" t="str">
            <v>B272-400-AS-280-PP-108</v>
          </cell>
          <cell r="E12994" t="str">
            <v>stack</v>
          </cell>
        </row>
        <row r="12995">
          <cell r="B12995" t="str">
            <v>B272-400-AS-280-PP-108</v>
          </cell>
          <cell r="E12995" t="str">
            <v>G-34</v>
          </cell>
        </row>
        <row r="12996">
          <cell r="B12996" t="str">
            <v>B272-400-AS-280-PP-108</v>
          </cell>
          <cell r="E12996" t="str">
            <v>stack</v>
          </cell>
        </row>
        <row r="12997">
          <cell r="B12997" t="str">
            <v>B272-400-AS-280-PP-108</v>
          </cell>
          <cell r="E12997" t="str">
            <v>G-34</v>
          </cell>
        </row>
        <row r="12998">
          <cell r="B12998" t="str">
            <v>B272-400-AS-280-PP-108</v>
          </cell>
          <cell r="E12998" t="str">
            <v>stack</v>
          </cell>
        </row>
        <row r="12999">
          <cell r="B12999" t="str">
            <v>B272-400-AS-280-PP-108</v>
          </cell>
          <cell r="E12999" t="str">
            <v>G-34</v>
          </cell>
        </row>
        <row r="13000">
          <cell r="B13000" t="str">
            <v>B272-400-AS-280-PP-108</v>
          </cell>
          <cell r="E13000" t="str">
            <v>stack</v>
          </cell>
        </row>
        <row r="13001">
          <cell r="B13001" t="str">
            <v>B272-400-AS-280-PP-108</v>
          </cell>
          <cell r="E13001" t="str">
            <v>G-34</v>
          </cell>
        </row>
        <row r="13002">
          <cell r="B13002" t="str">
            <v>B272-400-AS-280-PP-108</v>
          </cell>
          <cell r="E13002" t="str">
            <v>stack</v>
          </cell>
        </row>
        <row r="13003">
          <cell r="B13003" t="str">
            <v>B272-400-AS-280-PP-108</v>
          </cell>
          <cell r="E13003" t="str">
            <v>G-34</v>
          </cell>
        </row>
        <row r="13004">
          <cell r="B13004" t="str">
            <v>B272-400-AS-280-PP-108</v>
          </cell>
          <cell r="E13004" t="str">
            <v>stack</v>
          </cell>
        </row>
        <row r="13005">
          <cell r="B13005" t="str">
            <v>B272-400-AS-280-PP-108</v>
          </cell>
          <cell r="E13005" t="str">
            <v>G-34</v>
          </cell>
        </row>
        <row r="13006">
          <cell r="B13006" t="str">
            <v>B272-400-AS-280-PP-108</v>
          </cell>
          <cell r="E13006" t="str">
            <v>stack</v>
          </cell>
        </row>
        <row r="13007">
          <cell r="B13007" t="str">
            <v>B272-400-AS-280-PP-108</v>
          </cell>
          <cell r="E13007" t="str">
            <v>G-34</v>
          </cell>
        </row>
        <row r="13008">
          <cell r="B13008" t="str">
            <v>B272-400-AS-280-PP-108</v>
          </cell>
          <cell r="E13008" t="str">
            <v>stack</v>
          </cell>
        </row>
        <row r="13009">
          <cell r="B13009" t="str">
            <v>B272-400-AS-280-PP-108</v>
          </cell>
          <cell r="E13009" t="str">
            <v>G-34</v>
          </cell>
        </row>
        <row r="13010">
          <cell r="B13010" t="str">
            <v>B272-400-AS-280-PP-108</v>
          </cell>
          <cell r="E13010" t="str">
            <v>stack</v>
          </cell>
        </row>
        <row r="13011">
          <cell r="B13011" t="str">
            <v>B272-400-AS-280-PP-108</v>
          </cell>
          <cell r="E13011" t="str">
            <v>G-34</v>
          </cell>
        </row>
        <row r="13012">
          <cell r="B13012" t="str">
            <v>B272-400-AS-280-PP-108</v>
          </cell>
          <cell r="E13012" t="str">
            <v>stack</v>
          </cell>
        </row>
        <row r="13013">
          <cell r="B13013" t="str">
            <v>B272-400-AS-280-PP-108</v>
          </cell>
          <cell r="E13013" t="str">
            <v>G-34</v>
          </cell>
        </row>
        <row r="13014">
          <cell r="B13014" t="str">
            <v>B272-400-AS-280-PP-108</v>
          </cell>
          <cell r="E13014" t="str">
            <v>stack</v>
          </cell>
        </row>
        <row r="13015">
          <cell r="B13015" t="str">
            <v>B272-400-AS-280-PP-108</v>
          </cell>
          <cell r="E13015" t="str">
            <v>G-34</v>
          </cell>
        </row>
        <row r="13016">
          <cell r="B13016" t="str">
            <v>B272-400-AS-280-PP-108</v>
          </cell>
          <cell r="E13016" t="str">
            <v>stack</v>
          </cell>
        </row>
        <row r="13017">
          <cell r="B13017" t="str">
            <v>B272-400-AS-280-PP-108</v>
          </cell>
          <cell r="E13017" t="str">
            <v>G-34</v>
          </cell>
        </row>
        <row r="13018">
          <cell r="B13018" t="str">
            <v>B272-400-AS-280-PP-108</v>
          </cell>
          <cell r="E13018" t="str">
            <v>stack</v>
          </cell>
        </row>
        <row r="13019">
          <cell r="B13019" t="str">
            <v>B272-400-AS-280-PP-108</v>
          </cell>
          <cell r="E13019" t="str">
            <v>G-34</v>
          </cell>
        </row>
        <row r="13020">
          <cell r="B13020" t="str">
            <v>B272-400-AS-280-PP-108</v>
          </cell>
          <cell r="E13020" t="str">
            <v>stack</v>
          </cell>
        </row>
        <row r="13021">
          <cell r="B13021" t="str">
            <v>B272-400-AS-280-PP-108</v>
          </cell>
          <cell r="E13021" t="str">
            <v>G-34</v>
          </cell>
        </row>
        <row r="13022">
          <cell r="B13022" t="str">
            <v>B272-400-AS-280-PP-108</v>
          </cell>
          <cell r="E13022" t="str">
            <v>stack</v>
          </cell>
        </row>
        <row r="13023">
          <cell r="B13023" t="str">
            <v>B272-400-AS-280-PP-108</v>
          </cell>
          <cell r="E13023" t="str">
            <v>G-34</v>
          </cell>
        </row>
        <row r="13024">
          <cell r="B13024" t="str">
            <v>B272-400-AS-280-PP-108</v>
          </cell>
          <cell r="E13024" t="str">
            <v>stack</v>
          </cell>
        </row>
        <row r="13025">
          <cell r="B13025" t="str">
            <v>B272-400-AS-280-PP-108</v>
          </cell>
          <cell r="E13025" t="str">
            <v>G-34</v>
          </cell>
        </row>
        <row r="13026">
          <cell r="B13026" t="str">
            <v>B272-400-AS-280-PP-108</v>
          </cell>
          <cell r="E13026" t="str">
            <v>stack</v>
          </cell>
        </row>
        <row r="13027">
          <cell r="B13027" t="str">
            <v>B272-400-AS-280-PP-108</v>
          </cell>
          <cell r="E13027" t="str">
            <v>G-34</v>
          </cell>
        </row>
        <row r="13028">
          <cell r="B13028" t="str">
            <v>B272-400-AS-280-PP-108</v>
          </cell>
          <cell r="E13028" t="str">
            <v>stack</v>
          </cell>
        </row>
        <row r="13029">
          <cell r="B13029" t="str">
            <v>B272-400-AS-280-PP-108</v>
          </cell>
          <cell r="E13029" t="str">
            <v>G-34</v>
          </cell>
        </row>
        <row r="13030">
          <cell r="B13030" t="str">
            <v>B272-400-AS-280-PP-108</v>
          </cell>
          <cell r="E13030" t="str">
            <v>stack</v>
          </cell>
        </row>
        <row r="13031">
          <cell r="B13031" t="str">
            <v>B272-400-AS-280-PP-108</v>
          </cell>
          <cell r="E13031" t="str">
            <v>G-34</v>
          </cell>
        </row>
        <row r="13032">
          <cell r="B13032" t="str">
            <v>B272-400-AS-280-PP-108</v>
          </cell>
          <cell r="E13032" t="str">
            <v>stack</v>
          </cell>
        </row>
        <row r="13033">
          <cell r="B13033" t="str">
            <v>B272-400-AS-280-PP-108</v>
          </cell>
          <cell r="E13033" t="str">
            <v>G-34</v>
          </cell>
        </row>
        <row r="13034">
          <cell r="B13034" t="str">
            <v>B272-400-AS-280-PP-108</v>
          </cell>
          <cell r="E13034" t="str">
            <v>stack</v>
          </cell>
        </row>
        <row r="13035">
          <cell r="B13035" t="str">
            <v>B272-400-AS-280-PP-108</v>
          </cell>
          <cell r="E13035" t="str">
            <v>G-34</v>
          </cell>
        </row>
        <row r="13036">
          <cell r="B13036" t="str">
            <v>B272-400-AS-280-PP-108</v>
          </cell>
          <cell r="E13036" t="str">
            <v>stack</v>
          </cell>
        </row>
        <row r="13037">
          <cell r="B13037" t="str">
            <v>B272-400-AS-280-PP-108</v>
          </cell>
          <cell r="E13037" t="str">
            <v>G-34</v>
          </cell>
        </row>
        <row r="13038">
          <cell r="B13038" t="str">
            <v>B272-400-AS-280-PP-108</v>
          </cell>
          <cell r="E13038" t="str">
            <v>stack</v>
          </cell>
        </row>
        <row r="13039">
          <cell r="B13039" t="str">
            <v>B272-400-AS-280-PP-108</v>
          </cell>
          <cell r="E13039" t="str">
            <v>G-34</v>
          </cell>
        </row>
        <row r="13040">
          <cell r="B13040" t="str">
            <v>B272-400-AS-280-PP-108</v>
          </cell>
          <cell r="E13040" t="str">
            <v>stack</v>
          </cell>
        </row>
        <row r="13041">
          <cell r="B13041" t="str">
            <v>B272-400-AS-280-PP-108</v>
          </cell>
          <cell r="E13041" t="str">
            <v>G-34</v>
          </cell>
        </row>
        <row r="13042">
          <cell r="B13042" t="str">
            <v>B272-400-AS-280-PP-108</v>
          </cell>
          <cell r="E13042" t="str">
            <v>stack</v>
          </cell>
        </row>
        <row r="13043">
          <cell r="B13043" t="str">
            <v>B272-400-AS-280-PP-108</v>
          </cell>
          <cell r="E13043" t="str">
            <v>G-34</v>
          </cell>
        </row>
        <row r="13044">
          <cell r="B13044" t="str">
            <v>B272-400-AS-280-PP-108</v>
          </cell>
          <cell r="E13044" t="str">
            <v>stack</v>
          </cell>
        </row>
        <row r="13045">
          <cell r="B13045" t="str">
            <v>B272-400-AS-280-PP-108</v>
          </cell>
          <cell r="E13045" t="str">
            <v>G-34</v>
          </cell>
        </row>
        <row r="13046">
          <cell r="B13046" t="str">
            <v>B272-400-AS-280-PP-108</v>
          </cell>
          <cell r="E13046" t="str">
            <v>stack</v>
          </cell>
        </row>
        <row r="13047">
          <cell r="B13047" t="str">
            <v>B272-400-AS-280-PP-108</v>
          </cell>
          <cell r="E13047" t="str">
            <v>G-34</v>
          </cell>
        </row>
        <row r="13048">
          <cell r="B13048" t="str">
            <v>B272-400-AS-280-PP-108</v>
          </cell>
          <cell r="E13048" t="str">
            <v>stack</v>
          </cell>
        </row>
        <row r="13049">
          <cell r="B13049" t="str">
            <v>B272-400-AS-280-PP-108</v>
          </cell>
          <cell r="E13049" t="str">
            <v>G-34</v>
          </cell>
        </row>
        <row r="13050">
          <cell r="B13050" t="str">
            <v>B272-400-AS-280-PP-108</v>
          </cell>
          <cell r="E13050" t="str">
            <v>stack</v>
          </cell>
        </row>
        <row r="13051">
          <cell r="B13051" t="str">
            <v>B272-400-AS-280-PP-108</v>
          </cell>
          <cell r="E13051" t="str">
            <v>G-34</v>
          </cell>
        </row>
        <row r="13052">
          <cell r="B13052" t="str">
            <v>B272-400-AS-280-PP-108</v>
          </cell>
          <cell r="E13052" t="str">
            <v>stack</v>
          </cell>
        </row>
        <row r="13053">
          <cell r="B13053" t="str">
            <v>B272-400-AS-280-PP-108</v>
          </cell>
          <cell r="E13053" t="str">
            <v>G-34</v>
          </cell>
        </row>
        <row r="13054">
          <cell r="B13054" t="str">
            <v>B272-400-AS-280-PP-108</v>
          </cell>
          <cell r="E13054" t="str">
            <v>stack</v>
          </cell>
        </row>
        <row r="13055">
          <cell r="B13055" t="str">
            <v>B272-400-AS-280-PP-108</v>
          </cell>
          <cell r="E13055" t="str">
            <v>G-34</v>
          </cell>
        </row>
        <row r="13056">
          <cell r="B13056" t="str">
            <v>B272-400-AS-280-PP-108</v>
          </cell>
          <cell r="E13056" t="str">
            <v>stack</v>
          </cell>
        </row>
        <row r="13057">
          <cell r="B13057" t="str">
            <v>B272-400-AS-280-PP-108</v>
          </cell>
          <cell r="E13057" t="str">
            <v>G-34</v>
          </cell>
        </row>
        <row r="13058">
          <cell r="B13058" t="str">
            <v>B272-400-AS-280-PP-108</v>
          </cell>
          <cell r="E13058" t="str">
            <v>stack</v>
          </cell>
        </row>
        <row r="13059">
          <cell r="B13059" t="str">
            <v>B272-400-AS-280-PP-108</v>
          </cell>
          <cell r="E13059" t="str">
            <v>G-34</v>
          </cell>
        </row>
        <row r="13060">
          <cell r="B13060" t="str">
            <v>B272-400-AS-280-PP-108</v>
          </cell>
          <cell r="E13060" t="str">
            <v>stack</v>
          </cell>
        </row>
        <row r="13061">
          <cell r="B13061" t="str">
            <v>B272-400-AS-280-PP-108</v>
          </cell>
          <cell r="E13061" t="str">
            <v>G-34</v>
          </cell>
        </row>
        <row r="13062">
          <cell r="B13062" t="str">
            <v>B272-400-AS-280-PP-108</v>
          </cell>
          <cell r="E13062" t="str">
            <v>stack</v>
          </cell>
        </row>
        <row r="13063">
          <cell r="B13063" t="str">
            <v>B272-400-AS-280-PP-108</v>
          </cell>
          <cell r="E13063" t="str">
            <v>G-34</v>
          </cell>
        </row>
        <row r="13064">
          <cell r="B13064" t="str">
            <v>B272-400-AS-280-PP-108</v>
          </cell>
          <cell r="E13064" t="str">
            <v>stack</v>
          </cell>
        </row>
        <row r="13065">
          <cell r="B13065" t="str">
            <v>B272-400-AS-280-PP-108</v>
          </cell>
          <cell r="E13065" t="str">
            <v>G-34</v>
          </cell>
        </row>
        <row r="13066">
          <cell r="B13066" t="str">
            <v>B272-400-AS-280-PP-108</v>
          </cell>
          <cell r="E13066" t="str">
            <v>stack</v>
          </cell>
        </row>
        <row r="13067">
          <cell r="B13067" t="str">
            <v>B272-400-AS-280-PP-108</v>
          </cell>
          <cell r="E13067" t="str">
            <v>G-34</v>
          </cell>
        </row>
        <row r="13068">
          <cell r="B13068" t="str">
            <v>B272-400-AS-280-PP-108</v>
          </cell>
          <cell r="E13068" t="str">
            <v>stack</v>
          </cell>
        </row>
        <row r="13069">
          <cell r="B13069" t="str">
            <v>B272-400-AS-280-PP-108</v>
          </cell>
          <cell r="E13069" t="str">
            <v>G-34</v>
          </cell>
        </row>
        <row r="13070">
          <cell r="B13070" t="str">
            <v>B272-400-AS-280-PP-108</v>
          </cell>
          <cell r="E13070" t="str">
            <v>stack</v>
          </cell>
        </row>
        <row r="13071">
          <cell r="B13071" t="str">
            <v>B272-400-AS-280-PP-108</v>
          </cell>
          <cell r="E13071" t="str">
            <v>G-34</v>
          </cell>
        </row>
        <row r="13072">
          <cell r="B13072" t="str">
            <v>B272-400-AS-280-PP-108</v>
          </cell>
          <cell r="E13072" t="str">
            <v>stack</v>
          </cell>
        </row>
        <row r="13073">
          <cell r="B13073" t="str">
            <v>B272-400-AS-280-PP-108</v>
          </cell>
          <cell r="E13073" t="str">
            <v>G-34</v>
          </cell>
        </row>
        <row r="13074">
          <cell r="B13074" t="str">
            <v>B272-400-AS-280-PP-108</v>
          </cell>
          <cell r="E13074" t="str">
            <v>stack</v>
          </cell>
        </row>
        <row r="13075">
          <cell r="B13075" t="str">
            <v>B272-400-AS-280-PP-108</v>
          </cell>
          <cell r="E13075" t="str">
            <v>G-34</v>
          </cell>
        </row>
        <row r="13076">
          <cell r="B13076" t="str">
            <v>B272-400-AS-280-PP-108</v>
          </cell>
          <cell r="E13076" t="str">
            <v>stack</v>
          </cell>
        </row>
        <row r="13077">
          <cell r="B13077" t="str">
            <v>B272-400-AS-280-PP-108</v>
          </cell>
          <cell r="E13077" t="str">
            <v>G-34</v>
          </cell>
        </row>
        <row r="13078">
          <cell r="B13078" t="str">
            <v>B272-400-AS-280-PP-108</v>
          </cell>
          <cell r="E13078" t="str">
            <v>stack</v>
          </cell>
        </row>
        <row r="13079">
          <cell r="B13079" t="str">
            <v>B272-400-AS-280-PP-108</v>
          </cell>
          <cell r="E13079" t="str">
            <v>G-34</v>
          </cell>
        </row>
        <row r="13080">
          <cell r="B13080" t="str">
            <v>B272-400-AS-280-PP-108</v>
          </cell>
          <cell r="E13080" t="str">
            <v>stack</v>
          </cell>
        </row>
        <row r="13081">
          <cell r="B13081" t="str">
            <v>B272-400-AS-280-PP-108</v>
          </cell>
          <cell r="E13081" t="str">
            <v>G-34</v>
          </cell>
        </row>
        <row r="13082">
          <cell r="B13082" t="str">
            <v>B272-400-AS-280-PP-108</v>
          </cell>
          <cell r="E13082" t="str">
            <v>stack</v>
          </cell>
        </row>
        <row r="13083">
          <cell r="B13083" t="str">
            <v>B272-400-AS-280-PP-108</v>
          </cell>
          <cell r="E13083" t="str">
            <v>G-34</v>
          </cell>
        </row>
        <row r="13084">
          <cell r="B13084" t="str">
            <v>B272-400-AS-280-PP-108</v>
          </cell>
          <cell r="E13084" t="str">
            <v>stack</v>
          </cell>
        </row>
        <row r="13085">
          <cell r="B13085" t="str">
            <v>B272-400-AS-280-PP-108</v>
          </cell>
          <cell r="E13085" t="str">
            <v>G-34</v>
          </cell>
        </row>
        <row r="13086">
          <cell r="B13086" t="str">
            <v>B272-400-AS-280-PP-108</v>
          </cell>
          <cell r="E13086" t="str">
            <v>stack</v>
          </cell>
        </row>
        <row r="13087">
          <cell r="B13087" t="str">
            <v>B272-400-AS-280-PP-108</v>
          </cell>
          <cell r="E13087" t="str">
            <v>G-34</v>
          </cell>
        </row>
        <row r="13088">
          <cell r="B13088" t="str">
            <v>B272-400-AS-280-PP-108</v>
          </cell>
          <cell r="E13088" t="str">
            <v>stack</v>
          </cell>
        </row>
        <row r="13089">
          <cell r="B13089" t="str">
            <v>B272-400-AS-280-PP-108</v>
          </cell>
          <cell r="E13089" t="str">
            <v>G-34</v>
          </cell>
        </row>
        <row r="13090">
          <cell r="B13090" t="str">
            <v>B272-400-AS-280-PP-108</v>
          </cell>
          <cell r="E13090" t="str">
            <v>stack</v>
          </cell>
        </row>
        <row r="13091">
          <cell r="B13091" t="str">
            <v>B272-400-AS-280-PP-108</v>
          </cell>
          <cell r="E13091" t="str">
            <v>G-34</v>
          </cell>
        </row>
        <row r="13092">
          <cell r="B13092" t="str">
            <v>B272-400-AS-280-PP-108</v>
          </cell>
          <cell r="E13092" t="str">
            <v>stack</v>
          </cell>
        </row>
        <row r="13093">
          <cell r="B13093" t="str">
            <v>B272-400-AS-280-PP-108</v>
          </cell>
          <cell r="E13093" t="str">
            <v>G-34</v>
          </cell>
        </row>
        <row r="13094">
          <cell r="B13094" t="str">
            <v>B272-400-AS-280-PP-108</v>
          </cell>
          <cell r="E13094" t="str">
            <v>stack</v>
          </cell>
        </row>
        <row r="13095">
          <cell r="B13095" t="str">
            <v>B272-400-AS-280-PP-108</v>
          </cell>
          <cell r="E13095" t="str">
            <v>G-34</v>
          </cell>
        </row>
        <row r="13096">
          <cell r="B13096" t="str">
            <v>B272-400-AS-280-PP-108</v>
          </cell>
          <cell r="E13096" t="str">
            <v>stack</v>
          </cell>
        </row>
        <row r="13097">
          <cell r="B13097" t="str">
            <v>B272-400-AS-280-PP-108</v>
          </cell>
          <cell r="E13097" t="str">
            <v>G-34</v>
          </cell>
        </row>
        <row r="13098">
          <cell r="B13098" t="str">
            <v>B272-400-AS-280-PP-108</v>
          </cell>
          <cell r="E13098" t="str">
            <v>stack</v>
          </cell>
        </row>
        <row r="13099">
          <cell r="B13099" t="str">
            <v>B272-400-AS-280-PP-108</v>
          </cell>
          <cell r="E13099" t="str">
            <v>G-34</v>
          </cell>
        </row>
        <row r="13100">
          <cell r="B13100" t="str">
            <v>B272-400-AS-280-PP-108</v>
          </cell>
          <cell r="E13100" t="str">
            <v>stack</v>
          </cell>
        </row>
        <row r="13101">
          <cell r="B13101" t="str">
            <v>B272-400-AS-280-PP-108</v>
          </cell>
          <cell r="E13101" t="str">
            <v>G-34</v>
          </cell>
        </row>
        <row r="13102">
          <cell r="B13102" t="str">
            <v>B272-400-AS-280-PP-108</v>
          </cell>
          <cell r="E13102" t="str">
            <v>stack</v>
          </cell>
        </row>
        <row r="13103">
          <cell r="B13103" t="str">
            <v>B272-400-AS-280-PP-108</v>
          </cell>
          <cell r="E13103" t="str">
            <v>G-34</v>
          </cell>
        </row>
        <row r="13104">
          <cell r="B13104" t="str">
            <v>B272-400-AS-280-PP-108</v>
          </cell>
          <cell r="E13104" t="str">
            <v>stack</v>
          </cell>
        </row>
        <row r="13105">
          <cell r="B13105" t="str">
            <v>B272-400-AS-280-PP-108</v>
          </cell>
          <cell r="E13105" t="str">
            <v>G-34</v>
          </cell>
        </row>
        <row r="13106">
          <cell r="B13106" t="str">
            <v>B272-400-AS-280-PP-108</v>
          </cell>
          <cell r="E13106" t="str">
            <v>stack</v>
          </cell>
        </row>
        <row r="13107">
          <cell r="B13107" t="str">
            <v>B272-400-AS-280-PP-108</v>
          </cell>
          <cell r="E13107" t="str">
            <v>G-34</v>
          </cell>
        </row>
        <row r="13108">
          <cell r="B13108" t="str">
            <v>B272-400-AS-280-PP-108</v>
          </cell>
          <cell r="E13108" t="str">
            <v>stack</v>
          </cell>
        </row>
        <row r="13109">
          <cell r="B13109" t="str">
            <v>B272-400-AS-280-PP-108</v>
          </cell>
          <cell r="E13109" t="str">
            <v>G-34</v>
          </cell>
        </row>
        <row r="13110">
          <cell r="B13110" t="str">
            <v>B272-400-AS-280-PP-108</v>
          </cell>
          <cell r="E13110" t="str">
            <v>stack</v>
          </cell>
        </row>
        <row r="13111">
          <cell r="B13111" t="str">
            <v>B272-400-AS-280-PP-108</v>
          </cell>
          <cell r="E13111" t="str">
            <v>G-34</v>
          </cell>
        </row>
        <row r="13112">
          <cell r="B13112" t="str">
            <v>B272-400-AS-280-PP-108</v>
          </cell>
          <cell r="E13112" t="str">
            <v>stack</v>
          </cell>
        </row>
        <row r="13113">
          <cell r="B13113" t="str">
            <v>B272-400-AS-280-PP-108</v>
          </cell>
          <cell r="E13113" t="str">
            <v>G-34</v>
          </cell>
        </row>
        <row r="13114">
          <cell r="B13114" t="str">
            <v>B272-400-AS-280-PP-108</v>
          </cell>
          <cell r="E13114" t="str">
            <v>stack</v>
          </cell>
        </row>
        <row r="13115">
          <cell r="B13115" t="str">
            <v>B272-400-AS-280-PP-108</v>
          </cell>
          <cell r="E13115" t="str">
            <v>G-34</v>
          </cell>
        </row>
        <row r="13116">
          <cell r="B13116" t="str">
            <v>B272-400-AS-280-PP-108</v>
          </cell>
          <cell r="E13116" t="str">
            <v>stack</v>
          </cell>
        </row>
        <row r="13117">
          <cell r="B13117" t="str">
            <v>B272-400-AS-280-PP-108</v>
          </cell>
          <cell r="E13117" t="str">
            <v>G-34</v>
          </cell>
        </row>
        <row r="13118">
          <cell r="B13118" t="str">
            <v>B272-400-AS-280-PP-108</v>
          </cell>
          <cell r="E13118" t="str">
            <v>stack</v>
          </cell>
        </row>
        <row r="13119">
          <cell r="B13119" t="str">
            <v>B272-400-AS-280-PP-108</v>
          </cell>
          <cell r="E13119" t="str">
            <v>G-34</v>
          </cell>
        </row>
        <row r="13120">
          <cell r="B13120" t="str">
            <v>B272-400-AS-280-PP-108</v>
          </cell>
          <cell r="E13120" t="str">
            <v>stack</v>
          </cell>
        </row>
        <row r="13121">
          <cell r="B13121" t="str">
            <v>B272-400-AS-280-PP-108</v>
          </cell>
          <cell r="E13121" t="str">
            <v>G-34</v>
          </cell>
        </row>
        <row r="13122">
          <cell r="B13122" t="str">
            <v>B272-400-AS-280-PP-108</v>
          </cell>
          <cell r="E13122" t="str">
            <v>stack</v>
          </cell>
        </row>
        <row r="13123">
          <cell r="B13123" t="str">
            <v>B272-400-AS-280-PP-108</v>
          </cell>
          <cell r="E13123" t="str">
            <v>G-34</v>
          </cell>
        </row>
        <row r="13124">
          <cell r="B13124" t="str">
            <v>B272-400-AS-280-PP-108</v>
          </cell>
          <cell r="E13124" t="str">
            <v>stack</v>
          </cell>
        </row>
        <row r="13125">
          <cell r="B13125" t="str">
            <v>B272-400-AS-280-PP-108</v>
          </cell>
          <cell r="E13125" t="str">
            <v>G-34</v>
          </cell>
        </row>
        <row r="13126">
          <cell r="B13126" t="str">
            <v>B272-400-AS-280-PP-108</v>
          </cell>
          <cell r="E13126" t="str">
            <v>stack</v>
          </cell>
        </row>
        <row r="13127">
          <cell r="B13127" t="str">
            <v>B272-400-AS-280-PP-108</v>
          </cell>
          <cell r="E13127" t="str">
            <v>G-34</v>
          </cell>
        </row>
        <row r="13128">
          <cell r="B13128" t="str">
            <v>B272-400-AS-280-PP-108</v>
          </cell>
          <cell r="E13128" t="str">
            <v>stack</v>
          </cell>
        </row>
        <row r="13129">
          <cell r="B13129" t="str">
            <v>B272-400-AS-280-PP-108</v>
          </cell>
          <cell r="E13129" t="str">
            <v>G-34</v>
          </cell>
        </row>
        <row r="13130">
          <cell r="B13130" t="str">
            <v>B272-400-AS-280-PP-108</v>
          </cell>
          <cell r="E13130" t="str">
            <v>stack</v>
          </cell>
        </row>
        <row r="13131">
          <cell r="B13131" t="str">
            <v>B272-400-AS-280-PP-108</v>
          </cell>
          <cell r="E13131" t="str">
            <v>G-34</v>
          </cell>
        </row>
        <row r="13132">
          <cell r="B13132" t="str">
            <v>B272-400-AS-280-PP-108</v>
          </cell>
          <cell r="E13132" t="str">
            <v>stack</v>
          </cell>
        </row>
        <row r="13133">
          <cell r="B13133" t="str">
            <v>B272-400-AS-280-PP-108</v>
          </cell>
          <cell r="E13133" t="str">
            <v>G-34</v>
          </cell>
        </row>
        <row r="13134">
          <cell r="B13134" t="str">
            <v>B272-400-AS-280-PP-108</v>
          </cell>
          <cell r="E13134" t="str">
            <v>stack</v>
          </cell>
        </row>
        <row r="13135">
          <cell r="B13135" t="str">
            <v>B272-400-AS-280-PP-108</v>
          </cell>
          <cell r="E13135" t="str">
            <v>G-34</v>
          </cell>
        </row>
        <row r="13136">
          <cell r="B13136" t="str">
            <v>B272-400-AS-280-PP-108</v>
          </cell>
          <cell r="E13136" t="str">
            <v>stack</v>
          </cell>
        </row>
        <row r="13137">
          <cell r="B13137" t="str">
            <v>B272-400-AS-280-PP-108</v>
          </cell>
          <cell r="E13137" t="str">
            <v>G-34</v>
          </cell>
        </row>
        <row r="13138">
          <cell r="B13138" t="str">
            <v>B272-400-AS-280-PP-108</v>
          </cell>
          <cell r="E13138" t="str">
            <v>stack</v>
          </cell>
        </row>
        <row r="13139">
          <cell r="B13139" t="str">
            <v>B272-400-AS-280-PP-108</v>
          </cell>
          <cell r="E13139" t="str">
            <v>G-34</v>
          </cell>
        </row>
        <row r="13140">
          <cell r="B13140" t="str">
            <v>B272-400-AS-280-PP-108</v>
          </cell>
          <cell r="E13140" t="str">
            <v>stack</v>
          </cell>
        </row>
        <row r="13141">
          <cell r="B13141" t="str">
            <v>B272-400-AS-280-PP-108</v>
          </cell>
          <cell r="E13141" t="str">
            <v>G-34</v>
          </cell>
        </row>
        <row r="13142">
          <cell r="B13142" t="str">
            <v>B272-400-AS-280-PP-108</v>
          </cell>
          <cell r="E13142" t="str">
            <v>stack</v>
          </cell>
        </row>
        <row r="13143">
          <cell r="B13143" t="str">
            <v>B272-400-AS-280-PP-108</v>
          </cell>
          <cell r="E13143" t="str">
            <v>G-34</v>
          </cell>
        </row>
        <row r="13144">
          <cell r="B13144" t="str">
            <v>B272-400-AS-280-PP-108</v>
          </cell>
          <cell r="E13144" t="str">
            <v>stack</v>
          </cell>
        </row>
        <row r="13145">
          <cell r="B13145" t="str">
            <v>B272-400-AS-280-PP-108</v>
          </cell>
          <cell r="E13145" t="str">
            <v>G-34</v>
          </cell>
        </row>
        <row r="13146">
          <cell r="B13146" t="str">
            <v>B272-400-AS-280-PP-108</v>
          </cell>
          <cell r="E13146" t="str">
            <v>stack</v>
          </cell>
        </row>
        <row r="13147">
          <cell r="B13147" t="str">
            <v>B272-400-AS-280-PP-108</v>
          </cell>
          <cell r="E13147" t="str">
            <v>G-34</v>
          </cell>
        </row>
        <row r="13148">
          <cell r="B13148" t="str">
            <v>B272-400-AS-280-PP-108</v>
          </cell>
          <cell r="E13148" t="str">
            <v>stack</v>
          </cell>
        </row>
        <row r="13149">
          <cell r="B13149" t="str">
            <v>B272-400-AS-280-PP-108</v>
          </cell>
          <cell r="E13149" t="str">
            <v>G-34</v>
          </cell>
        </row>
        <row r="13150">
          <cell r="B13150" t="str">
            <v>B272-400-AS-280-PP-108</v>
          </cell>
          <cell r="E13150" t="str">
            <v>stack</v>
          </cell>
        </row>
        <row r="13151">
          <cell r="B13151" t="str">
            <v>B272-400-AS-280-PP-108</v>
          </cell>
          <cell r="E13151" t="str">
            <v>G-34</v>
          </cell>
        </row>
        <row r="13152">
          <cell r="B13152" t="str">
            <v>B272-400-AS-280-PP-108</v>
          </cell>
          <cell r="E13152" t="str">
            <v>stack</v>
          </cell>
        </row>
        <row r="13153">
          <cell r="B13153" t="str">
            <v>B272-400-AS-280-PP-108</v>
          </cell>
          <cell r="E13153" t="str">
            <v>G-34</v>
          </cell>
        </row>
        <row r="13154">
          <cell r="B13154" t="str">
            <v>B272-400-AS-280-PP-108</v>
          </cell>
          <cell r="E13154" t="str">
            <v>stack</v>
          </cell>
        </row>
        <row r="13155">
          <cell r="B13155" t="str">
            <v>B272-400-AS-280-PP-108</v>
          </cell>
          <cell r="E13155" t="str">
            <v>G-34</v>
          </cell>
        </row>
        <row r="13156">
          <cell r="B13156" t="str">
            <v>B272-400-AS-280-PP-108</v>
          </cell>
          <cell r="E13156" t="str">
            <v>stack</v>
          </cell>
        </row>
        <row r="13157">
          <cell r="B13157" t="str">
            <v>B272-400-AS-280-PP-108</v>
          </cell>
          <cell r="E13157" t="str">
            <v>G-34</v>
          </cell>
        </row>
        <row r="13158">
          <cell r="B13158" t="str">
            <v>B272-400-AS-280-PP-108</v>
          </cell>
          <cell r="E13158" t="str">
            <v>stack</v>
          </cell>
        </row>
        <row r="13159">
          <cell r="B13159" t="str">
            <v>B272-400-AS-280-PP-108</v>
          </cell>
          <cell r="E13159" t="str">
            <v>G-34</v>
          </cell>
        </row>
        <row r="13160">
          <cell r="B13160" t="str">
            <v>B272-400-AS-280-PP-108</v>
          </cell>
          <cell r="E13160" t="str">
            <v>stack</v>
          </cell>
        </row>
        <row r="13161">
          <cell r="B13161" t="str">
            <v>B272-400-AS-280-PP-108</v>
          </cell>
          <cell r="E13161" t="str">
            <v>G-34</v>
          </cell>
        </row>
        <row r="13162">
          <cell r="B13162" t="str">
            <v>B272-400-AS-280-PP-108</v>
          </cell>
          <cell r="E13162" t="str">
            <v>stack</v>
          </cell>
        </row>
        <row r="13163">
          <cell r="B13163" t="str">
            <v>B272-400-AS-280-PP-108</v>
          </cell>
          <cell r="E13163" t="str">
            <v>G-34</v>
          </cell>
        </row>
        <row r="13164">
          <cell r="B13164" t="str">
            <v>B272-400-AS-280-PP-108</v>
          </cell>
          <cell r="E13164" t="str">
            <v>stack</v>
          </cell>
        </row>
        <row r="13165">
          <cell r="B13165" t="str">
            <v>B272-400-AS-280-PP-108</v>
          </cell>
          <cell r="E13165" t="str">
            <v>G-34</v>
          </cell>
        </row>
        <row r="13166">
          <cell r="B13166" t="str">
            <v>B272-400-AS-280-PP-108</v>
          </cell>
          <cell r="E13166" t="str">
            <v>stack</v>
          </cell>
        </row>
        <row r="13167">
          <cell r="B13167" t="str">
            <v>B272-400-AS-280-PP-108</v>
          </cell>
          <cell r="E13167" t="str">
            <v>G-34</v>
          </cell>
        </row>
        <row r="13168">
          <cell r="B13168" t="str">
            <v>B272-400-AS-280-PP-108</v>
          </cell>
          <cell r="E13168" t="str">
            <v>stack</v>
          </cell>
        </row>
        <row r="13169">
          <cell r="B13169" t="str">
            <v>B272-400-AS-280-PP-108</v>
          </cell>
          <cell r="E13169" t="str">
            <v>G-34</v>
          </cell>
        </row>
        <row r="13170">
          <cell r="B13170" t="str">
            <v>B272-400-AS-280-PP-108</v>
          </cell>
          <cell r="E13170" t="str">
            <v>stack</v>
          </cell>
        </row>
        <row r="13171">
          <cell r="B13171" t="str">
            <v>B272-400-AS-280-PP-108</v>
          </cell>
          <cell r="E13171" t="str">
            <v>G-34</v>
          </cell>
        </row>
        <row r="13172">
          <cell r="B13172" t="str">
            <v>B272-400-AS-280-PP-108</v>
          </cell>
          <cell r="E13172" t="str">
            <v>stack</v>
          </cell>
        </row>
        <row r="13173">
          <cell r="B13173" t="str">
            <v>B272-400-AS-280-PP-108</v>
          </cell>
          <cell r="E13173" t="str">
            <v>G-34</v>
          </cell>
        </row>
        <row r="13174">
          <cell r="B13174" t="str">
            <v>B272-400-AS-280-PP-108</v>
          </cell>
          <cell r="E13174" t="str">
            <v>stack</v>
          </cell>
        </row>
        <row r="13175">
          <cell r="B13175" t="str">
            <v>B272-400-AS-280-PP-108</v>
          </cell>
          <cell r="E13175" t="str">
            <v>G-34</v>
          </cell>
        </row>
        <row r="13176">
          <cell r="B13176" t="str">
            <v>B272-400-AS-280-PP-108</v>
          </cell>
          <cell r="E13176" t="str">
            <v>stack</v>
          </cell>
        </row>
        <row r="13177">
          <cell r="B13177" t="str">
            <v>B272-400-AS-280-PP-108</v>
          </cell>
          <cell r="E13177" t="str">
            <v>G-34</v>
          </cell>
        </row>
        <row r="13178">
          <cell r="B13178" t="str">
            <v>B272-400-AS-280-PP-108</v>
          </cell>
          <cell r="E13178" t="str">
            <v>stack</v>
          </cell>
        </row>
        <row r="13179">
          <cell r="B13179" t="str">
            <v>B272-400-AS-280-PP-108</v>
          </cell>
          <cell r="E13179" t="str">
            <v>G-34</v>
          </cell>
        </row>
        <row r="13180">
          <cell r="B13180" t="str">
            <v>B272-400-AS-280-PP-108</v>
          </cell>
          <cell r="E13180" t="str">
            <v>stack</v>
          </cell>
        </row>
        <row r="13181">
          <cell r="B13181" t="str">
            <v>B272-400-AS-280-PP-108</v>
          </cell>
          <cell r="E13181" t="str">
            <v>G-34</v>
          </cell>
        </row>
        <row r="13182">
          <cell r="B13182" t="str">
            <v>B272-400-AS-280-PP-108</v>
          </cell>
          <cell r="E13182" t="str">
            <v>stack</v>
          </cell>
        </row>
        <row r="13183">
          <cell r="B13183" t="str">
            <v>B272-400-AS-280-PP-108</v>
          </cell>
          <cell r="E13183" t="str">
            <v>G-34</v>
          </cell>
        </row>
        <row r="13184">
          <cell r="B13184" t="str">
            <v>B272-400-AS-280-PP-108</v>
          </cell>
          <cell r="E13184" t="str">
            <v>stack</v>
          </cell>
        </row>
        <row r="13185">
          <cell r="B13185" t="str">
            <v>B272-400-AS-280-PP-108</v>
          </cell>
          <cell r="E13185" t="str">
            <v>G-34</v>
          </cell>
        </row>
        <row r="13186">
          <cell r="B13186" t="str">
            <v>B272-400-AS-280-PP-108</v>
          </cell>
          <cell r="E13186" t="str">
            <v>stack</v>
          </cell>
        </row>
        <row r="13187">
          <cell r="B13187" t="str">
            <v>B272-400-AS-280-PP-108</v>
          </cell>
          <cell r="E13187" t="str">
            <v>G-34</v>
          </cell>
        </row>
        <row r="13188">
          <cell r="B13188" t="str">
            <v>B272-400-AS-280-PP-108</v>
          </cell>
          <cell r="E13188" t="str">
            <v>stack</v>
          </cell>
        </row>
        <row r="13189">
          <cell r="B13189" t="str">
            <v>B272-400-AS-280-PP-108</v>
          </cell>
          <cell r="E13189" t="str">
            <v>G-34</v>
          </cell>
        </row>
        <row r="13190">
          <cell r="B13190" t="str">
            <v>B272-400-AS-280-PP-108</v>
          </cell>
          <cell r="E13190" t="str">
            <v>stack</v>
          </cell>
        </row>
        <row r="13191">
          <cell r="B13191" t="str">
            <v>B272-400-AS-280-PP-108</v>
          </cell>
          <cell r="E13191" t="str">
            <v>G-34</v>
          </cell>
        </row>
        <row r="13192">
          <cell r="B13192" t="str">
            <v>B272-400-AS-280-PP-108</v>
          </cell>
          <cell r="E13192" t="str">
            <v>stack</v>
          </cell>
        </row>
        <row r="13193">
          <cell r="B13193" t="str">
            <v>B272-400-AS-280-PP-108</v>
          </cell>
          <cell r="E13193" t="str">
            <v>G-34</v>
          </cell>
        </row>
        <row r="13194">
          <cell r="B13194" t="str">
            <v>B272-400-AS-280-PP-108</v>
          </cell>
          <cell r="E13194" t="str">
            <v>stack</v>
          </cell>
        </row>
        <row r="13195">
          <cell r="B13195" t="str">
            <v>B272-400-AS-280-PP-108</v>
          </cell>
          <cell r="E13195" t="str">
            <v>G-34</v>
          </cell>
        </row>
        <row r="13196">
          <cell r="B13196" t="str">
            <v>B272-400-AS-280-PP-108</v>
          </cell>
          <cell r="E13196" t="str">
            <v>stack</v>
          </cell>
        </row>
        <row r="13197">
          <cell r="B13197" t="str">
            <v>B272-400-AS-280-PP-108</v>
          </cell>
          <cell r="E13197" t="str">
            <v>G-34</v>
          </cell>
        </row>
        <row r="13198">
          <cell r="B13198" t="str">
            <v>B272-400-AS-280-PP-108</v>
          </cell>
          <cell r="E13198" t="str">
            <v>stack</v>
          </cell>
        </row>
        <row r="13199">
          <cell r="B13199" t="str">
            <v>B272-400-AS-280-PP-108</v>
          </cell>
          <cell r="E13199" t="str">
            <v>G-34</v>
          </cell>
        </row>
        <row r="13200">
          <cell r="B13200" t="str">
            <v>B272-400-AS-280-PP-108</v>
          </cell>
          <cell r="E13200" t="str">
            <v>stack</v>
          </cell>
        </row>
        <row r="13201">
          <cell r="B13201" t="str">
            <v>B272-400-AS-280-PP-108</v>
          </cell>
          <cell r="E13201" t="str">
            <v>G-34</v>
          </cell>
        </row>
        <row r="13202">
          <cell r="B13202" t="str">
            <v>B272-400-AS-280-PP-108</v>
          </cell>
          <cell r="E13202" t="str">
            <v>stack</v>
          </cell>
        </row>
        <row r="13203">
          <cell r="B13203" t="str">
            <v>B272-400-AS-280-PP-108</v>
          </cell>
          <cell r="E13203" t="str">
            <v>G-34</v>
          </cell>
        </row>
        <row r="13204">
          <cell r="B13204" t="str">
            <v>B272-400-AS-280-PP-108</v>
          </cell>
          <cell r="E13204" t="str">
            <v>stack</v>
          </cell>
        </row>
        <row r="13205">
          <cell r="B13205" t="str">
            <v>B272-400-AS-280-PP-108</v>
          </cell>
          <cell r="E13205" t="str">
            <v>G-34</v>
          </cell>
        </row>
        <row r="13206">
          <cell r="B13206" t="str">
            <v>B272-400-AS-280-PP-108</v>
          </cell>
          <cell r="E13206" t="str">
            <v>stack</v>
          </cell>
        </row>
        <row r="13207">
          <cell r="B13207" t="str">
            <v>B272-400-AS-280-PP-108</v>
          </cell>
          <cell r="E13207" t="str">
            <v>G-34</v>
          </cell>
        </row>
        <row r="13208">
          <cell r="B13208" t="str">
            <v>B272-400-AS-280-PP-108</v>
          </cell>
          <cell r="E13208" t="str">
            <v>stack</v>
          </cell>
        </row>
        <row r="13209">
          <cell r="B13209" t="str">
            <v>B272-400-AS-280-PP-108</v>
          </cell>
          <cell r="E13209" t="str">
            <v>G-34</v>
          </cell>
        </row>
        <row r="13210">
          <cell r="B13210" t="str">
            <v>B272-400-AS-280-PP-108</v>
          </cell>
          <cell r="E13210" t="str">
            <v>stack</v>
          </cell>
        </row>
        <row r="13211">
          <cell r="B13211" t="str">
            <v>B272-400-AS-280-PP-108</v>
          </cell>
          <cell r="E13211" t="str">
            <v>G-34</v>
          </cell>
        </row>
        <row r="13212">
          <cell r="B13212" t="str">
            <v>B272-400-AS-280-PP-108</v>
          </cell>
          <cell r="E13212" t="str">
            <v>stack</v>
          </cell>
        </row>
        <row r="13213">
          <cell r="B13213" t="str">
            <v>B272-400-AS-280-PP-108</v>
          </cell>
          <cell r="E13213" t="str">
            <v>G-34</v>
          </cell>
        </row>
        <row r="13214">
          <cell r="B13214" t="str">
            <v>B272-400-AS-280-PP-108</v>
          </cell>
          <cell r="E13214" t="str">
            <v>stack</v>
          </cell>
        </row>
        <row r="13215">
          <cell r="B13215" t="str">
            <v>B272-400-AS-280-PP-108</v>
          </cell>
          <cell r="E13215" t="str">
            <v>G-34</v>
          </cell>
        </row>
        <row r="13216">
          <cell r="B13216" t="str">
            <v>B272-400-AS-280-PP-108</v>
          </cell>
          <cell r="E13216" t="str">
            <v>stack</v>
          </cell>
        </row>
        <row r="13217">
          <cell r="B13217" t="str">
            <v>B272-400-AS-280-PP-108</v>
          </cell>
          <cell r="E13217" t="str">
            <v>G-34</v>
          </cell>
        </row>
        <row r="13218">
          <cell r="B13218" t="str">
            <v>B272-400-AS-280-PP-108</v>
          </cell>
          <cell r="E13218" t="str">
            <v>stack</v>
          </cell>
        </row>
        <row r="13219">
          <cell r="B13219" t="str">
            <v>B272-400-AS-280-PP-108</v>
          </cell>
          <cell r="E13219" t="str">
            <v>G-34</v>
          </cell>
        </row>
        <row r="13220">
          <cell r="B13220" t="str">
            <v>B272-400-AS-280-PP-108</v>
          </cell>
          <cell r="E13220" t="str">
            <v>stack</v>
          </cell>
        </row>
        <row r="13221">
          <cell r="B13221" t="str">
            <v>B272-400-AS-280-PP-108</v>
          </cell>
          <cell r="E13221" t="str">
            <v>G-34</v>
          </cell>
        </row>
        <row r="13222">
          <cell r="B13222" t="str">
            <v>B272-400-AS-280-PP-108</v>
          </cell>
          <cell r="E13222" t="str">
            <v>stack</v>
          </cell>
        </row>
        <row r="13223">
          <cell r="B13223" t="str">
            <v>B272-400-AS-280-PP-108</v>
          </cell>
          <cell r="E13223" t="str">
            <v>G-34</v>
          </cell>
        </row>
        <row r="13224">
          <cell r="B13224" t="str">
            <v>B272-400-AS-280-PP-108</v>
          </cell>
          <cell r="E13224" t="str">
            <v>stack</v>
          </cell>
        </row>
        <row r="13225">
          <cell r="B13225" t="str">
            <v>B272-400-AS-280-PP-108</v>
          </cell>
          <cell r="E13225" t="str">
            <v>G-34</v>
          </cell>
        </row>
        <row r="13226">
          <cell r="B13226" t="str">
            <v>B272-400-AS-280-PP-108</v>
          </cell>
          <cell r="E13226" t="str">
            <v>stack</v>
          </cell>
        </row>
        <row r="13227">
          <cell r="B13227" t="str">
            <v>B272-400-AS-280-PP-108</v>
          </cell>
          <cell r="E13227" t="str">
            <v>G-34</v>
          </cell>
        </row>
        <row r="13228">
          <cell r="B13228" t="str">
            <v>B272-400-AS-280-PP-108</v>
          </cell>
          <cell r="E13228" t="str">
            <v>stack</v>
          </cell>
        </row>
        <row r="13229">
          <cell r="B13229" t="str">
            <v>B272-400-AS-280-PP-108</v>
          </cell>
          <cell r="E13229" t="str">
            <v>G-34</v>
          </cell>
        </row>
        <row r="13230">
          <cell r="B13230" t="str">
            <v>B272-400-AS-280-PP-108</v>
          </cell>
          <cell r="E13230" t="str">
            <v>stack</v>
          </cell>
        </row>
        <row r="13231">
          <cell r="B13231" t="str">
            <v>B272-400-AS-280-PP-108</v>
          </cell>
          <cell r="E13231" t="str">
            <v>G-34</v>
          </cell>
        </row>
        <row r="13232">
          <cell r="B13232" t="str">
            <v>B272-400-AS-280-PP-108</v>
          </cell>
          <cell r="E13232" t="str">
            <v>stack</v>
          </cell>
        </row>
        <row r="13233">
          <cell r="B13233" t="str">
            <v>B272-400-AS-280-PP-108</v>
          </cell>
          <cell r="E13233" t="str">
            <v>G-34</v>
          </cell>
        </row>
        <row r="13234">
          <cell r="B13234" t="str">
            <v>B272-400-AS-280-PP-108</v>
          </cell>
          <cell r="E13234" t="str">
            <v>stack</v>
          </cell>
        </row>
        <row r="13235">
          <cell r="B13235" t="str">
            <v>B272-400-AS-280-PP-108</v>
          </cell>
          <cell r="E13235" t="str">
            <v>G-34</v>
          </cell>
        </row>
        <row r="13236">
          <cell r="B13236" t="str">
            <v>B272-400-AS-280-PP-108</v>
          </cell>
          <cell r="E13236" t="str">
            <v>stack</v>
          </cell>
        </row>
        <row r="13237">
          <cell r="B13237" t="str">
            <v>B272-400-AS-280-PP-108</v>
          </cell>
          <cell r="E13237" t="str">
            <v>G-34</v>
          </cell>
        </row>
        <row r="13238">
          <cell r="B13238" t="str">
            <v>B272-400-AS-280-PP-108</v>
          </cell>
          <cell r="E13238" t="str">
            <v>stack</v>
          </cell>
        </row>
        <row r="13239">
          <cell r="B13239" t="str">
            <v>B272-400-AS-280-PP-108</v>
          </cell>
          <cell r="E13239" t="str">
            <v>G-34</v>
          </cell>
        </row>
        <row r="13240">
          <cell r="B13240" t="str">
            <v>B272-400-AS-280-PP-108</v>
          </cell>
          <cell r="E13240" t="str">
            <v>stack</v>
          </cell>
        </row>
        <row r="13241">
          <cell r="B13241" t="str">
            <v>B272-400-AS-280-PP-108</v>
          </cell>
          <cell r="E13241" t="str">
            <v>G-34</v>
          </cell>
        </row>
        <row r="13242">
          <cell r="B13242" t="str">
            <v>B272-400-AS-280-PP-108</v>
          </cell>
          <cell r="E13242" t="str">
            <v>stack</v>
          </cell>
        </row>
        <row r="13243">
          <cell r="B13243" t="str">
            <v>B272-400-AS-280-PP-108</v>
          </cell>
          <cell r="E13243" t="str">
            <v>G-34</v>
          </cell>
        </row>
        <row r="13244">
          <cell r="B13244" t="str">
            <v>B272-400-AS-280-PP-108</v>
          </cell>
          <cell r="E13244" t="str">
            <v>stack</v>
          </cell>
        </row>
        <row r="13245">
          <cell r="B13245" t="str">
            <v>B272-400-AS-280-PP-108</v>
          </cell>
          <cell r="E13245" t="str">
            <v>G-34</v>
          </cell>
        </row>
        <row r="13246">
          <cell r="B13246" t="str">
            <v>B272-400-AS-280-PP-108</v>
          </cell>
          <cell r="E13246" t="str">
            <v>stack</v>
          </cell>
        </row>
        <row r="13247">
          <cell r="B13247" t="str">
            <v>B272-400-AS-280-PP-108</v>
          </cell>
          <cell r="E13247" t="str">
            <v>G-34</v>
          </cell>
        </row>
        <row r="13248">
          <cell r="B13248" t="str">
            <v>B272-400-AS-280-PP-108</v>
          </cell>
          <cell r="E13248" t="str">
            <v>stack</v>
          </cell>
        </row>
        <row r="13249">
          <cell r="B13249" t="str">
            <v>B272-400-AS-280-PP-108</v>
          </cell>
          <cell r="E13249" t="str">
            <v>G-34</v>
          </cell>
        </row>
        <row r="13250">
          <cell r="B13250" t="str">
            <v>B272-400-AS-280-PP-108</v>
          </cell>
          <cell r="E13250" t="str">
            <v>stack</v>
          </cell>
        </row>
        <row r="13251">
          <cell r="B13251" t="str">
            <v>B272-400-AS-280-PP-108</v>
          </cell>
          <cell r="E13251" t="str">
            <v>G-34</v>
          </cell>
        </row>
        <row r="13252">
          <cell r="B13252" t="str">
            <v>B272-400-AS-280-PP-108</v>
          </cell>
          <cell r="E13252" t="str">
            <v>stack</v>
          </cell>
        </row>
        <row r="13253">
          <cell r="B13253" t="str">
            <v>B272-400-AS-280-PP-108</v>
          </cell>
          <cell r="E13253" t="str">
            <v>G-34</v>
          </cell>
        </row>
        <row r="13254">
          <cell r="B13254" t="str">
            <v>B272-400-AS-280-PP-108</v>
          </cell>
          <cell r="E13254" t="str">
            <v>stack</v>
          </cell>
        </row>
        <row r="13255">
          <cell r="B13255" t="str">
            <v>B272-400-AS-280-PP-108</v>
          </cell>
          <cell r="E13255" t="str">
            <v>G-34</v>
          </cell>
        </row>
        <row r="13256">
          <cell r="B13256" t="str">
            <v>B272-400-AS-280-PP-108</v>
          </cell>
          <cell r="E13256" t="str">
            <v>stack</v>
          </cell>
        </row>
        <row r="13257">
          <cell r="B13257" t="str">
            <v>B272-400-AS-280-PP-108</v>
          </cell>
          <cell r="E13257" t="str">
            <v>G-34</v>
          </cell>
        </row>
        <row r="13258">
          <cell r="B13258" t="str">
            <v>B272-400-AS-280-PP-108</v>
          </cell>
          <cell r="E13258" t="str">
            <v>stack</v>
          </cell>
        </row>
        <row r="13259">
          <cell r="B13259" t="str">
            <v>B272-400-AS-280-PP-108</v>
          </cell>
          <cell r="E13259" t="str">
            <v>G-34</v>
          </cell>
        </row>
        <row r="13260">
          <cell r="B13260" t="str">
            <v>B272-400-AS-280-PP-108</v>
          </cell>
          <cell r="E13260" t="str">
            <v>stack</v>
          </cell>
        </row>
        <row r="13261">
          <cell r="B13261" t="str">
            <v>B272-400-AS-280-PP-108</v>
          </cell>
          <cell r="E13261" t="str">
            <v>G-34</v>
          </cell>
        </row>
        <row r="13262">
          <cell r="B13262" t="str">
            <v>B272-400-AS-280-PP-108</v>
          </cell>
          <cell r="E13262" t="str">
            <v>stack</v>
          </cell>
        </row>
        <row r="13263">
          <cell r="B13263" t="str">
            <v>B272-400-AS-280-PP-108</v>
          </cell>
          <cell r="E13263" t="str">
            <v>G-34</v>
          </cell>
        </row>
        <row r="13264">
          <cell r="B13264" t="str">
            <v>B272-400-AS-280-PP-108</v>
          </cell>
          <cell r="E13264" t="str">
            <v>stack</v>
          </cell>
        </row>
        <row r="13265">
          <cell r="B13265" t="str">
            <v>B272-400-AS-280-PP-108</v>
          </cell>
          <cell r="E13265" t="str">
            <v>G-34</v>
          </cell>
        </row>
        <row r="13266">
          <cell r="B13266" t="str">
            <v>B272-400-AS-280-PP-108</v>
          </cell>
          <cell r="E13266" t="str">
            <v>stack</v>
          </cell>
        </row>
        <row r="13267">
          <cell r="B13267" t="str">
            <v>B272-400-AS-280-PP-108</v>
          </cell>
          <cell r="E13267" t="str">
            <v>G-34</v>
          </cell>
        </row>
        <row r="13268">
          <cell r="B13268" t="str">
            <v>B272-400-AS-280-PP-108</v>
          </cell>
          <cell r="E13268" t="str">
            <v>stack</v>
          </cell>
        </row>
        <row r="13269">
          <cell r="B13269" t="str">
            <v>B272-400-AS-280-PP-108</v>
          </cell>
          <cell r="E13269" t="str">
            <v>G-34</v>
          </cell>
        </row>
        <row r="13270">
          <cell r="B13270" t="str">
            <v>B272-400-AS-280-PP-108</v>
          </cell>
          <cell r="E13270" t="str">
            <v>stack</v>
          </cell>
        </row>
        <row r="13271">
          <cell r="B13271" t="str">
            <v>B272-400-AS-280-PP-108</v>
          </cell>
          <cell r="E13271" t="str">
            <v>G-34</v>
          </cell>
        </row>
        <row r="13272">
          <cell r="B13272" t="str">
            <v>B272-400-AS-280-PP-108</v>
          </cell>
          <cell r="E13272" t="str">
            <v>stack</v>
          </cell>
        </row>
        <row r="13273">
          <cell r="B13273" t="str">
            <v>B272-400-AS-280-PP-108</v>
          </cell>
          <cell r="E13273" t="str">
            <v>G-34</v>
          </cell>
        </row>
        <row r="13274">
          <cell r="B13274" t="str">
            <v>B272-400-AS-280-PP-108</v>
          </cell>
          <cell r="E13274" t="str">
            <v>stack</v>
          </cell>
        </row>
        <row r="13275">
          <cell r="B13275" t="str">
            <v>B272-400-AS-280-PP-108</v>
          </cell>
          <cell r="E13275" t="str">
            <v>G-34</v>
          </cell>
        </row>
        <row r="13276">
          <cell r="B13276" t="str">
            <v>B272-400-AS-280-PP-108</v>
          </cell>
          <cell r="E13276" t="str">
            <v>stack</v>
          </cell>
        </row>
        <row r="13277">
          <cell r="B13277" t="str">
            <v>B272-400-AS-280-PP-108</v>
          </cell>
          <cell r="E13277" t="str">
            <v>G-34</v>
          </cell>
        </row>
        <row r="13278">
          <cell r="B13278" t="str">
            <v>B272-400-AS-280-PP-108</v>
          </cell>
          <cell r="E13278" t="str">
            <v>stack</v>
          </cell>
        </row>
        <row r="13279">
          <cell r="B13279" t="str">
            <v>B272-400-AS-280-PP-108</v>
          </cell>
          <cell r="E13279" t="str">
            <v>G-34</v>
          </cell>
        </row>
        <row r="13280">
          <cell r="B13280" t="str">
            <v>B272-400-AS-280-PP-108</v>
          </cell>
          <cell r="E13280" t="str">
            <v>stack</v>
          </cell>
        </row>
        <row r="13281">
          <cell r="B13281" t="str">
            <v>B272-400-AS-280-PP-108</v>
          </cell>
          <cell r="E13281" t="str">
            <v>G-34</v>
          </cell>
        </row>
        <row r="13282">
          <cell r="B13282" t="str">
            <v>B272-400-AS-280-PP-108</v>
          </cell>
          <cell r="E13282" t="str">
            <v>stack</v>
          </cell>
        </row>
        <row r="13283">
          <cell r="B13283" t="str">
            <v>B272-400-AS-280-PP-108</v>
          </cell>
          <cell r="E13283" t="str">
            <v>G-34</v>
          </cell>
        </row>
        <row r="13284">
          <cell r="B13284" t="str">
            <v>B272-400-AS-280-PP-108</v>
          </cell>
          <cell r="E13284" t="str">
            <v>stack</v>
          </cell>
        </row>
        <row r="13285">
          <cell r="B13285" t="str">
            <v>B272-400-AS-280-PP-108</v>
          </cell>
          <cell r="E13285" t="str">
            <v>G-34</v>
          </cell>
        </row>
        <row r="13286">
          <cell r="B13286" t="str">
            <v>B272-400-AS-280-PP-108</v>
          </cell>
          <cell r="E13286" t="str">
            <v>stack</v>
          </cell>
        </row>
        <row r="13287">
          <cell r="B13287" t="str">
            <v>B272-400-AS-280-PP-108</v>
          </cell>
          <cell r="E13287" t="str">
            <v>G-34</v>
          </cell>
        </row>
        <row r="13288">
          <cell r="B13288" t="str">
            <v>B272-400-AS-280-PP-108</v>
          </cell>
          <cell r="E13288" t="str">
            <v>stack</v>
          </cell>
        </row>
        <row r="13289">
          <cell r="B13289" t="str">
            <v>B272-400-AS-280-PP-108</v>
          </cell>
          <cell r="E13289" t="str">
            <v>G-34</v>
          </cell>
        </row>
        <row r="13290">
          <cell r="B13290" t="str">
            <v>B272-400-AS-280-PP-108</v>
          </cell>
          <cell r="E13290" t="str">
            <v>stack</v>
          </cell>
        </row>
        <row r="13291">
          <cell r="B13291" t="str">
            <v>B272-400-AS-280-PP-108</v>
          </cell>
          <cell r="E13291" t="str">
            <v>G-34</v>
          </cell>
        </row>
        <row r="13292">
          <cell r="B13292" t="str">
            <v>B272-400-AS-280-PP-108</v>
          </cell>
          <cell r="E13292" t="str">
            <v>stack</v>
          </cell>
        </row>
        <row r="13293">
          <cell r="B13293" t="str">
            <v>B272-400-AS-280-PP-108</v>
          </cell>
          <cell r="E13293" t="str">
            <v>G-34</v>
          </cell>
        </row>
        <row r="13294">
          <cell r="B13294" t="str">
            <v>B272-400-AS-280-PP-108</v>
          </cell>
          <cell r="E13294" t="str">
            <v>stack</v>
          </cell>
        </row>
        <row r="13295">
          <cell r="B13295" t="str">
            <v>B272-400-AS-280-PP-108</v>
          </cell>
          <cell r="E13295" t="str">
            <v>G-34</v>
          </cell>
        </row>
        <row r="13296">
          <cell r="B13296" t="str">
            <v>B272-400-AS-280-PP-108</v>
          </cell>
          <cell r="E13296" t="str">
            <v>stack</v>
          </cell>
        </row>
        <row r="13297">
          <cell r="B13297" t="str">
            <v>B272-400-AS-280-PP-108</v>
          </cell>
          <cell r="E13297" t="str">
            <v>G-34</v>
          </cell>
        </row>
        <row r="13298">
          <cell r="B13298" t="str">
            <v>B272-400-AS-280-PP-108</v>
          </cell>
          <cell r="E13298" t="str">
            <v>stack</v>
          </cell>
        </row>
        <row r="13299">
          <cell r="B13299" t="str">
            <v>B272-400-AS-280-PP-108</v>
          </cell>
          <cell r="E13299" t="str">
            <v>G-34</v>
          </cell>
        </row>
        <row r="13300">
          <cell r="B13300" t="str">
            <v>B272-400-AS-280-PP-108</v>
          </cell>
          <cell r="E13300" t="str">
            <v>stack</v>
          </cell>
        </row>
        <row r="13301">
          <cell r="B13301" t="str">
            <v>B272-400-AS-280-PP-108</v>
          </cell>
          <cell r="E13301" t="str">
            <v>G-34</v>
          </cell>
        </row>
        <row r="13302">
          <cell r="B13302" t="str">
            <v>B272-400-AS-280-PP-108</v>
          </cell>
          <cell r="E13302" t="str">
            <v>stack</v>
          </cell>
        </row>
        <row r="13303">
          <cell r="B13303" t="str">
            <v>B272-400-AS-280-PP-108</v>
          </cell>
          <cell r="E13303" t="str">
            <v>G-34</v>
          </cell>
        </row>
        <row r="13304">
          <cell r="B13304" t="str">
            <v>B272-400-AS-280-PP-108</v>
          </cell>
          <cell r="E13304" t="str">
            <v>stack</v>
          </cell>
        </row>
        <row r="13305">
          <cell r="B13305" t="str">
            <v>B272-400-AS-280-PP-108</v>
          </cell>
          <cell r="E13305" t="str">
            <v>G-34</v>
          </cell>
        </row>
        <row r="13306">
          <cell r="B13306" t="str">
            <v>B272-400-AS-280-PP-108</v>
          </cell>
          <cell r="E13306" t="str">
            <v>stack</v>
          </cell>
        </row>
        <row r="13307">
          <cell r="B13307" t="str">
            <v>B272-400-AS-280-PP-108</v>
          </cell>
          <cell r="E13307" t="str">
            <v>G-34</v>
          </cell>
        </row>
        <row r="13308">
          <cell r="B13308" t="str">
            <v>B272-400-AS-280-PP-108</v>
          </cell>
          <cell r="E13308" t="str">
            <v>stack</v>
          </cell>
        </row>
        <row r="13309">
          <cell r="B13309" t="str">
            <v>B272-400-AS-280-PP-108</v>
          </cell>
          <cell r="E13309" t="str">
            <v>G-34</v>
          </cell>
        </row>
        <row r="13310">
          <cell r="B13310" t="str">
            <v>B272-400-AS-280-PP-108</v>
          </cell>
          <cell r="E13310" t="str">
            <v>stack</v>
          </cell>
        </row>
        <row r="13311">
          <cell r="B13311" t="str">
            <v>B272-400-AS-280-PP-108</v>
          </cell>
          <cell r="E13311" t="str">
            <v>G-34</v>
          </cell>
        </row>
        <row r="13312">
          <cell r="B13312" t="str">
            <v>B272-400-AS-280-PP-108</v>
          </cell>
          <cell r="E13312" t="str">
            <v>stack</v>
          </cell>
        </row>
        <row r="13313">
          <cell r="B13313" t="str">
            <v>B272-400-AS-280-PP-108</v>
          </cell>
          <cell r="E13313" t="str">
            <v>G-34</v>
          </cell>
        </row>
        <row r="13314">
          <cell r="B13314" t="str">
            <v>B272-400-AS-280-PP-108</v>
          </cell>
          <cell r="E13314" t="str">
            <v>stack</v>
          </cell>
        </row>
        <row r="13315">
          <cell r="B13315" t="str">
            <v>B272-400-AS-280-PP-108</v>
          </cell>
          <cell r="E13315" t="str">
            <v>G-34</v>
          </cell>
        </row>
        <row r="13316">
          <cell r="B13316" t="str">
            <v>B272-400-AS-280-PP-108</v>
          </cell>
          <cell r="E13316" t="str">
            <v>stack</v>
          </cell>
        </row>
        <row r="13317">
          <cell r="B13317" t="str">
            <v>B272-400-AS-280-PP-108</v>
          </cell>
          <cell r="E13317" t="str">
            <v>G-34</v>
          </cell>
        </row>
        <row r="13318">
          <cell r="B13318" t="str">
            <v>B272-400-AS-280-PP-108</v>
          </cell>
          <cell r="E13318" t="str">
            <v>stack</v>
          </cell>
        </row>
        <row r="13319">
          <cell r="B13319" t="str">
            <v>B272-400-AS-280-PP-108</v>
          </cell>
          <cell r="E13319" t="str">
            <v>G-34</v>
          </cell>
        </row>
        <row r="13320">
          <cell r="B13320" t="str">
            <v>B272-400-AS-280-PP-108</v>
          </cell>
          <cell r="E13320" t="str">
            <v>stack</v>
          </cell>
        </row>
        <row r="13321">
          <cell r="B13321" t="str">
            <v>B272-400-AS-280-PP-108</v>
          </cell>
          <cell r="E13321" t="str">
            <v>G-34</v>
          </cell>
        </row>
        <row r="13322">
          <cell r="B13322" t="str">
            <v>B272-400-AS-280-PP-108</v>
          </cell>
          <cell r="E13322" t="str">
            <v>stack</v>
          </cell>
        </row>
        <row r="13323">
          <cell r="B13323" t="str">
            <v>B272-400-AS-280-PP-108</v>
          </cell>
          <cell r="E13323" t="str">
            <v>G-34</v>
          </cell>
        </row>
        <row r="13324">
          <cell r="B13324" t="str">
            <v>B272-400-AS-280-PP-108</v>
          </cell>
          <cell r="E13324" t="str">
            <v>stack</v>
          </cell>
        </row>
        <row r="13325">
          <cell r="B13325" t="str">
            <v>B272-400-AS-280-PP-108</v>
          </cell>
          <cell r="E13325" t="str">
            <v>G-34</v>
          </cell>
        </row>
        <row r="13326">
          <cell r="B13326" t="str">
            <v>B272-400-AS-280-PP-108</v>
          </cell>
          <cell r="E13326" t="str">
            <v>stack</v>
          </cell>
        </row>
        <row r="13327">
          <cell r="B13327" t="str">
            <v>B272-400-AS-280-PP-108</v>
          </cell>
          <cell r="E13327" t="str">
            <v>G-34</v>
          </cell>
        </row>
        <row r="13328">
          <cell r="B13328" t="str">
            <v>B272-400-AS-280-PP-108</v>
          </cell>
          <cell r="E13328" t="str">
            <v>stack</v>
          </cell>
        </row>
        <row r="13329">
          <cell r="B13329" t="str">
            <v>B272-400-AS-280-PP-108</v>
          </cell>
          <cell r="E13329" t="str">
            <v>G-34</v>
          </cell>
        </row>
        <row r="13330">
          <cell r="B13330" t="str">
            <v>B272-400-AS-280-PP-108</v>
          </cell>
          <cell r="E13330" t="str">
            <v>stack</v>
          </cell>
        </row>
        <row r="13331">
          <cell r="B13331" t="str">
            <v>B272-400-AS-280-PP-108</v>
          </cell>
          <cell r="E13331" t="str">
            <v>G-34</v>
          </cell>
        </row>
        <row r="13332">
          <cell r="B13332" t="str">
            <v>B272-400-AS-280-PP-108</v>
          </cell>
          <cell r="E13332" t="str">
            <v>stack</v>
          </cell>
        </row>
        <row r="13333">
          <cell r="B13333" t="str">
            <v>B272-400-AS-280-PP-108</v>
          </cell>
          <cell r="E13333" t="str">
            <v>G-34</v>
          </cell>
        </row>
        <row r="13334">
          <cell r="B13334" t="str">
            <v>B272-400-AS-280-PP-108</v>
          </cell>
          <cell r="E13334" t="str">
            <v>stack</v>
          </cell>
        </row>
        <row r="13335">
          <cell r="B13335" t="str">
            <v>B272-400-AS-280-PP-108</v>
          </cell>
          <cell r="E13335" t="str">
            <v>G-34</v>
          </cell>
        </row>
        <row r="13336">
          <cell r="B13336" t="str">
            <v>B272-400-AS-280-PP-108</v>
          </cell>
          <cell r="E13336" t="str">
            <v>stack</v>
          </cell>
        </row>
        <row r="13337">
          <cell r="B13337" t="str">
            <v>B272-400-AS-280-PP-108</v>
          </cell>
          <cell r="E13337" t="str">
            <v>G-34</v>
          </cell>
        </row>
        <row r="13338">
          <cell r="B13338" t="str">
            <v>B272-400-AS-280-PP-108</v>
          </cell>
          <cell r="E13338" t="str">
            <v>stack</v>
          </cell>
        </row>
        <row r="13339">
          <cell r="B13339" t="str">
            <v>B272-400-AS-280-PP-108</v>
          </cell>
          <cell r="E13339" t="str">
            <v>G-34</v>
          </cell>
        </row>
        <row r="13340">
          <cell r="B13340" t="str">
            <v>B272-400-AS-280-PP-109</v>
          </cell>
          <cell r="E13340" t="str">
            <v>stack</v>
          </cell>
        </row>
        <row r="13341">
          <cell r="B13341" t="str">
            <v>B272-400-AS-280-PP-109</v>
          </cell>
          <cell r="E13341" t="str">
            <v>G-25(1/8)</v>
          </cell>
        </row>
        <row r="13342">
          <cell r="B13342" t="str">
            <v>B272-400-AS-280-PP-109</v>
          </cell>
          <cell r="E13342" t="str">
            <v>G-25(2/8)</v>
          </cell>
        </row>
        <row r="13343">
          <cell r="B13343" t="str">
            <v>B272-400-AS-280-PP-109</v>
          </cell>
          <cell r="E13343" t="str">
            <v>G-25(3/8)</v>
          </cell>
        </row>
        <row r="13344">
          <cell r="B13344" t="str">
            <v>B272-400-AS-280-PP-109</v>
          </cell>
          <cell r="E13344" t="str">
            <v>G-25(4/8)</v>
          </cell>
        </row>
        <row r="13345">
          <cell r="B13345" t="str">
            <v>B272-400-AS-280-PP-109</v>
          </cell>
          <cell r="E13345" t="str">
            <v>G-25(5/8)</v>
          </cell>
        </row>
        <row r="13346">
          <cell r="B13346" t="str">
            <v>B272-400-AS-280-PP-109</v>
          </cell>
          <cell r="E13346" t="str">
            <v>G-25(6/8)</v>
          </cell>
        </row>
        <row r="13347">
          <cell r="B13347" t="str">
            <v>B272-400-AS-280-PP-109</v>
          </cell>
          <cell r="E13347" t="str">
            <v>G-25(7/8)</v>
          </cell>
        </row>
        <row r="13348">
          <cell r="B13348" t="str">
            <v>B272-400-AS-280-PP-109</v>
          </cell>
          <cell r="E13348" t="str">
            <v>G-25(8/8)</v>
          </cell>
        </row>
        <row r="13349">
          <cell r="B13349" t="str">
            <v>B272-400-AS-280-PP-109</v>
          </cell>
          <cell r="E13349" t="str">
            <v>P-403</v>
          </cell>
        </row>
        <row r="13350">
          <cell r="B13350" t="str">
            <v>B272-400-AS-280-PP-109</v>
          </cell>
          <cell r="E13350" t="str">
            <v>P-405</v>
          </cell>
        </row>
        <row r="13351">
          <cell r="B13351" t="str">
            <v>B272-400-AS-280-PP-109</v>
          </cell>
          <cell r="E13351" t="str">
            <v>P-579-1</v>
          </cell>
        </row>
        <row r="13352">
          <cell r="B13352" t="str">
            <v>B272-400-AS-280-PP-109</v>
          </cell>
          <cell r="E13352" t="str">
            <v>P-620</v>
          </cell>
        </row>
        <row r="13353">
          <cell r="B13353" t="str">
            <v>B272-400-AS-280-PP-109</v>
          </cell>
          <cell r="E13353" t="str">
            <v>P-1192(1/2)</v>
          </cell>
        </row>
        <row r="13354">
          <cell r="B13354" t="str">
            <v>B272-400-AS-280-PP-109</v>
          </cell>
          <cell r="E13354" t="str">
            <v>P-1192(2/2)</v>
          </cell>
        </row>
        <row r="13355">
          <cell r="B13355" t="str">
            <v>B272-400-AS-280-PP-109</v>
          </cell>
          <cell r="E13355" t="str">
            <v>P-1254</v>
          </cell>
        </row>
        <row r="13356">
          <cell r="B13356" t="str">
            <v>B272-400-AS-280-PP-109</v>
          </cell>
          <cell r="E13356" t="str">
            <v>P-1255</v>
          </cell>
        </row>
        <row r="13357">
          <cell r="B13357" t="str">
            <v>B272-400-AS-280-PP-109</v>
          </cell>
          <cell r="E13357" t="str">
            <v>P-1255-1</v>
          </cell>
        </row>
        <row r="13358">
          <cell r="B13358" t="str">
            <v>B272-400-AS-280-PP-109</v>
          </cell>
          <cell r="E13358" t="str">
            <v>P-1261</v>
          </cell>
        </row>
        <row r="13359">
          <cell r="B13359" t="str">
            <v>B272-400-AS-280-PP-109</v>
          </cell>
          <cell r="E13359" t="str">
            <v>P-1263</v>
          </cell>
        </row>
        <row r="13360">
          <cell r="B13360" t="str">
            <v>B272-400-AS-280-PP-109</v>
          </cell>
          <cell r="E13360" t="str">
            <v>P-1264</v>
          </cell>
        </row>
        <row r="13361">
          <cell r="B13361" t="str">
            <v>B272-400-AS-280-PP-109</v>
          </cell>
          <cell r="E13361" t="str">
            <v>P-1266</v>
          </cell>
        </row>
        <row r="13362">
          <cell r="B13362" t="str">
            <v>B272-400-AS-280-PP-109</v>
          </cell>
          <cell r="E13362" t="str">
            <v>P-1267</v>
          </cell>
        </row>
        <row r="13363">
          <cell r="B13363" t="str">
            <v>B272-400-AS-280-PP-109</v>
          </cell>
          <cell r="E13363" t="str">
            <v>P-1269</v>
          </cell>
        </row>
        <row r="13364">
          <cell r="B13364" t="str">
            <v>B272-400-AS-280-PP-109</v>
          </cell>
          <cell r="E13364" t="str">
            <v>P-1270</v>
          </cell>
        </row>
        <row r="13365">
          <cell r="B13365" t="str">
            <v>B272-400-AS-280-PP-109</v>
          </cell>
          <cell r="E13365" t="str">
            <v>P-1271</v>
          </cell>
        </row>
        <row r="13366">
          <cell r="B13366" t="str">
            <v>B272-400-AS-280-PP-109</v>
          </cell>
          <cell r="E13366" t="str">
            <v>P-1272</v>
          </cell>
        </row>
        <row r="13367">
          <cell r="B13367" t="str">
            <v>B272-400-AS-280-PP-109</v>
          </cell>
          <cell r="E13367" t="str">
            <v>P-1273(1/2)</v>
          </cell>
        </row>
        <row r="13368">
          <cell r="B13368" t="str">
            <v>B272-400-AS-280-PP-109</v>
          </cell>
          <cell r="E13368" t="str">
            <v>P-1273(2/2)</v>
          </cell>
        </row>
        <row r="13369">
          <cell r="B13369" t="str">
            <v>B272-400-AS-280-PP-109</v>
          </cell>
          <cell r="E13369" t="str">
            <v>P-1274</v>
          </cell>
        </row>
        <row r="13370">
          <cell r="B13370" t="str">
            <v>B272-400-AS-280-PP-109</v>
          </cell>
          <cell r="E13370" t="str">
            <v>P-1275</v>
          </cell>
        </row>
        <row r="13371">
          <cell r="B13371" t="str">
            <v>B272-400-AS-280-PP-109</v>
          </cell>
          <cell r="E13371" t="str">
            <v>W-104</v>
          </cell>
        </row>
        <row r="13372">
          <cell r="B13372" t="str">
            <v>B272-400-AS-280-PP-109</v>
          </cell>
          <cell r="E13372" t="str">
            <v>B1030</v>
          </cell>
        </row>
        <row r="13373">
          <cell r="B13373" t="str">
            <v>B272-400-AS-280-PP-109</v>
          </cell>
          <cell r="E13373" t="str">
            <v>B1035</v>
          </cell>
        </row>
        <row r="13374">
          <cell r="B13374" t="str">
            <v>B272-400-AS-280-PP-110</v>
          </cell>
          <cell r="E13374" t="str">
            <v>stack</v>
          </cell>
        </row>
        <row r="13375">
          <cell r="B13375" t="str">
            <v>B272-400-AS-280-PP-110</v>
          </cell>
          <cell r="E13375" t="str">
            <v>G-25(1/8)</v>
          </cell>
        </row>
        <row r="13376">
          <cell r="B13376" t="str">
            <v>B272-400-AS-280-PP-110</v>
          </cell>
          <cell r="E13376" t="str">
            <v>G-25(2/8)</v>
          </cell>
        </row>
        <row r="13377">
          <cell r="B13377" t="str">
            <v>B272-400-AS-280-PP-110</v>
          </cell>
          <cell r="E13377" t="str">
            <v>G-25(3/8)</v>
          </cell>
        </row>
        <row r="13378">
          <cell r="B13378" t="str">
            <v>B272-400-AS-280-PP-110</v>
          </cell>
          <cell r="E13378" t="str">
            <v>G-25(4/8)</v>
          </cell>
        </row>
        <row r="13379">
          <cell r="B13379" t="str">
            <v>B272-400-AS-280-PP-110</v>
          </cell>
          <cell r="E13379" t="str">
            <v>G-25(5/8)</v>
          </cell>
        </row>
        <row r="13380">
          <cell r="B13380" t="str">
            <v>B272-400-AS-280-PP-110</v>
          </cell>
          <cell r="E13380" t="str">
            <v>G-25(6/8)</v>
          </cell>
        </row>
        <row r="13381">
          <cell r="B13381" t="str">
            <v>B272-400-AS-280-PP-110</v>
          </cell>
          <cell r="E13381" t="str">
            <v>G-25(7/8)</v>
          </cell>
        </row>
        <row r="13382">
          <cell r="B13382" t="str">
            <v>B272-400-AS-280-PP-110</v>
          </cell>
          <cell r="E13382" t="str">
            <v>G-25(8/8)</v>
          </cell>
        </row>
        <row r="13383">
          <cell r="B13383" t="str">
            <v>B272-400-AS-280-PP-110</v>
          </cell>
          <cell r="E13383" t="str">
            <v>P-403(1/2)</v>
          </cell>
        </row>
        <row r="13384">
          <cell r="B13384" t="str">
            <v>B272-400-AS-280-PP-110</v>
          </cell>
          <cell r="E13384" t="str">
            <v>P-403(2/2)</v>
          </cell>
        </row>
        <row r="13385">
          <cell r="B13385" t="str">
            <v>B272-400-AS-280-PP-110</v>
          </cell>
          <cell r="E13385" t="str">
            <v>P-405(1/2)</v>
          </cell>
        </row>
        <row r="13386">
          <cell r="B13386" t="str">
            <v>B272-400-AS-280-PP-110</v>
          </cell>
          <cell r="E13386" t="str">
            <v>P-405(2/2)</v>
          </cell>
        </row>
        <row r="13387">
          <cell r="B13387" t="str">
            <v>B272-400-AS-280-PP-110</v>
          </cell>
          <cell r="E13387" t="str">
            <v>P-567</v>
          </cell>
        </row>
        <row r="13388">
          <cell r="B13388" t="str">
            <v>B272-400-AS-280-PP-110</v>
          </cell>
          <cell r="E13388" t="str">
            <v>P-609(1/2)</v>
          </cell>
        </row>
        <row r="13389">
          <cell r="B13389" t="str">
            <v>B272-400-AS-280-PP-110</v>
          </cell>
          <cell r="E13389" t="str">
            <v>P-609(2/2)</v>
          </cell>
        </row>
        <row r="13390">
          <cell r="B13390" t="str">
            <v>B272-400-AS-280-PP-110</v>
          </cell>
          <cell r="E13390" t="str">
            <v>P-1192(1/2)</v>
          </cell>
        </row>
        <row r="13391">
          <cell r="B13391" t="str">
            <v>B272-400-AS-280-PP-110</v>
          </cell>
          <cell r="E13391" t="str">
            <v>P-1192(2/2)</v>
          </cell>
        </row>
        <row r="13392">
          <cell r="B13392" t="str">
            <v>B272-400-AS-280-PP-110</v>
          </cell>
          <cell r="E13392" t="str">
            <v>P-1254</v>
          </cell>
        </row>
        <row r="13393">
          <cell r="B13393" t="str">
            <v>B272-400-AS-280-PP-110</v>
          </cell>
          <cell r="E13393" t="str">
            <v>P-1257(1/2)</v>
          </cell>
        </row>
        <row r="13394">
          <cell r="B13394" t="str">
            <v>B272-400-AS-280-PP-110</v>
          </cell>
          <cell r="E13394" t="str">
            <v>P-1257(2/2)</v>
          </cell>
        </row>
        <row r="13395">
          <cell r="B13395" t="str">
            <v>B272-400-AS-280-PP-110</v>
          </cell>
          <cell r="E13395" t="str">
            <v>P-1258(1/2)</v>
          </cell>
        </row>
        <row r="13396">
          <cell r="B13396" t="str">
            <v>B272-400-AS-280-PP-110</v>
          </cell>
          <cell r="E13396" t="str">
            <v>P-1258(2/2)</v>
          </cell>
        </row>
        <row r="13397">
          <cell r="B13397" t="str">
            <v>B272-400-AS-280-PP-110</v>
          </cell>
          <cell r="E13397" t="str">
            <v>P-1259(1/2)</v>
          </cell>
        </row>
        <row r="13398">
          <cell r="B13398" t="str">
            <v>B272-400-AS-280-PP-110</v>
          </cell>
          <cell r="E13398" t="str">
            <v>P-1259(2/2)</v>
          </cell>
        </row>
        <row r="13399">
          <cell r="B13399" t="str">
            <v>B272-400-AS-280-PP-110</v>
          </cell>
          <cell r="E13399" t="str">
            <v>P-1265</v>
          </cell>
        </row>
        <row r="13400">
          <cell r="B13400" t="str">
            <v>B272-400-AS-280-PP-110</v>
          </cell>
          <cell r="E13400" t="str">
            <v>P-1269</v>
          </cell>
        </row>
        <row r="13401">
          <cell r="B13401" t="str">
            <v>B272-400-AS-280-PP-110</v>
          </cell>
          <cell r="E13401" t="str">
            <v>W-103</v>
          </cell>
        </row>
        <row r="13402">
          <cell r="B13402" t="str">
            <v>B272-400-AS-280-PP-110</v>
          </cell>
          <cell r="E13402" t="str">
            <v>B1030</v>
          </cell>
        </row>
        <row r="13403">
          <cell r="B13403" t="str">
            <v>B272-400-AS-280-PP-110</v>
          </cell>
          <cell r="E13403" t="str">
            <v>B1035</v>
          </cell>
        </row>
        <row r="13404">
          <cell r="B13404" t="str">
            <v>B272-400-AS-280-PP-110</v>
          </cell>
          <cell r="E13404" t="str">
            <v>B1040</v>
          </cell>
        </row>
        <row r="13405">
          <cell r="B13405" t="str">
            <v>B272-400-AS-280-PP-113</v>
          </cell>
          <cell r="E13405" t="str">
            <v>stack</v>
          </cell>
        </row>
        <row r="13406">
          <cell r="B13406" t="str">
            <v>B272-400-AS-280-PP-113</v>
          </cell>
          <cell r="E13406" t="str">
            <v>G-2001</v>
          </cell>
        </row>
        <row r="13407">
          <cell r="B13407" t="str">
            <v>B272-400-AS-280-PP-114</v>
          </cell>
          <cell r="E13407" t="str">
            <v>convection</v>
          </cell>
        </row>
        <row r="13408">
          <cell r="B13408" t="str">
            <v>B272-400-AS-280-PP-114</v>
          </cell>
          <cell r="E13408" t="str">
            <v>G-25(1/2)</v>
          </cell>
        </row>
        <row r="13409">
          <cell r="B13409" t="str">
            <v>B272-400-AS-280-PP-114</v>
          </cell>
          <cell r="E13409" t="str">
            <v>G-25(2/2)</v>
          </cell>
        </row>
        <row r="13410">
          <cell r="B13410" t="str">
            <v>B272-400-AS-280-PP-114</v>
          </cell>
          <cell r="E13410" t="str">
            <v>P-406</v>
          </cell>
        </row>
        <row r="13411">
          <cell r="B13411" t="str">
            <v>B272-400-AS-280-PP-114</v>
          </cell>
          <cell r="E13411" t="str">
            <v>P-408</v>
          </cell>
        </row>
        <row r="13412">
          <cell r="B13412" t="str">
            <v>B272-400-AS-280-PP-114</v>
          </cell>
          <cell r="E13412" t="str">
            <v>P-409</v>
          </cell>
        </row>
        <row r="13413">
          <cell r="B13413" t="str">
            <v>B272-400-AS-280-PP-114</v>
          </cell>
          <cell r="E13413" t="str">
            <v>P-847</v>
          </cell>
        </row>
        <row r="13414">
          <cell r="B13414" t="str">
            <v>B272-400-AS-280-PP-114</v>
          </cell>
          <cell r="E13414" t="str">
            <v>P-974</v>
          </cell>
        </row>
        <row r="13415">
          <cell r="B13415" t="str">
            <v>B272-400-AS-280-PP-114</v>
          </cell>
          <cell r="E13415" t="str">
            <v>P-1008</v>
          </cell>
        </row>
        <row r="13416">
          <cell r="B13416" t="str">
            <v>B272-400-AS-280-PP-114</v>
          </cell>
          <cell r="E13416" t="str">
            <v>W-9</v>
          </cell>
        </row>
        <row r="13417">
          <cell r="B13417" t="str">
            <v>B272-400-AS-280-PP-114</v>
          </cell>
          <cell r="E13417" t="str">
            <v>B1030</v>
          </cell>
        </row>
        <row r="13418">
          <cell r="B13418" t="str">
            <v>B272-400-AS-280-PP-114</v>
          </cell>
          <cell r="E13418" t="str">
            <v>B1035</v>
          </cell>
        </row>
        <row r="13419">
          <cell r="B13419" t="str">
            <v>B272-400-AS-280-PP-115</v>
          </cell>
          <cell r="E13419" t="str">
            <v>hoàng anh</v>
          </cell>
        </row>
        <row r="13420">
          <cell r="B13420" t="str">
            <v>B272-400-AS-280-PP-115</v>
          </cell>
          <cell r="E13420" t="str">
            <v>P-442</v>
          </cell>
        </row>
        <row r="13421">
          <cell r="B13421" t="str">
            <v>B272-400-AS-280-PP-115</v>
          </cell>
          <cell r="E13421" t="str">
            <v>P-566</v>
          </cell>
        </row>
        <row r="13422">
          <cell r="B13422" t="str">
            <v>B272-400-AS-280-PP-115</v>
          </cell>
          <cell r="E13422" t="str">
            <v>P-570</v>
          </cell>
        </row>
        <row r="13423">
          <cell r="B13423" t="str">
            <v>B272-400-AS-280-PP-115</v>
          </cell>
          <cell r="E13423" t="str">
            <v>P-741(1/2)</v>
          </cell>
        </row>
        <row r="13424">
          <cell r="B13424" t="str">
            <v>B272-400-AS-280-PP-115</v>
          </cell>
          <cell r="E13424" t="str">
            <v>P-741(2/2)</v>
          </cell>
        </row>
        <row r="13425">
          <cell r="B13425" t="str">
            <v>B272-400-AS-280-PP-115</v>
          </cell>
          <cell r="E13425" t="str">
            <v>P-746(1/2)</v>
          </cell>
        </row>
        <row r="13426">
          <cell r="B13426" t="str">
            <v>B272-400-AS-280-PP-115</v>
          </cell>
          <cell r="E13426" t="str">
            <v>P-746(2/2)</v>
          </cell>
        </row>
        <row r="13427">
          <cell r="B13427" t="str">
            <v>B272-400-AS-280-PP-115</v>
          </cell>
          <cell r="E13427" t="str">
            <v>P-747</v>
          </cell>
        </row>
        <row r="13428">
          <cell r="B13428" t="str">
            <v>B272-400-AS-280-PP-115</v>
          </cell>
          <cell r="E13428" t="str">
            <v>P-749</v>
          </cell>
        </row>
        <row r="13429">
          <cell r="B13429" t="str">
            <v>B272-400-AS-280-PP-115</v>
          </cell>
          <cell r="E13429" t="str">
            <v>P-775</v>
          </cell>
        </row>
        <row r="13430">
          <cell r="B13430" t="str">
            <v>B272-400-AS-280-PP-115</v>
          </cell>
          <cell r="E13430" t="str">
            <v>P-847(1/3)</v>
          </cell>
        </row>
        <row r="13431">
          <cell r="B13431" t="str">
            <v>B272-400-AS-280-PP-115</v>
          </cell>
          <cell r="E13431" t="str">
            <v>P-847(2/3)</v>
          </cell>
        </row>
        <row r="13432">
          <cell r="B13432" t="str">
            <v>B272-400-AS-280-PP-115</v>
          </cell>
          <cell r="E13432" t="str">
            <v>P-847(3/3)</v>
          </cell>
        </row>
        <row r="13433">
          <cell r="B13433" t="str">
            <v>B272-400-AS-280-PP-115</v>
          </cell>
          <cell r="E13433" t="str">
            <v>P-1090</v>
          </cell>
        </row>
        <row r="13434">
          <cell r="B13434" t="str">
            <v>B272-400-AS-280-PP-115</v>
          </cell>
          <cell r="E13434" t="str">
            <v>W-35</v>
          </cell>
        </row>
        <row r="13435">
          <cell r="B13435" t="str">
            <v>B272-400-AS-280-PP-115</v>
          </cell>
          <cell r="E13435" t="str">
            <v>B1035</v>
          </cell>
        </row>
        <row r="13436">
          <cell r="B13436" t="str">
            <v>B272-400-AS-280-PP-115</v>
          </cell>
          <cell r="E13436" t="str">
            <v>B1045</v>
          </cell>
        </row>
        <row r="13437">
          <cell r="B13437" t="str">
            <v>B272-400-AS-280-PP-116</v>
          </cell>
          <cell r="E13437" t="str">
            <v>hoàng anh</v>
          </cell>
        </row>
        <row r="13438">
          <cell r="B13438" t="str">
            <v>B272-400-AS-280-PP-116</v>
          </cell>
          <cell r="E13438" t="str">
            <v>P-442</v>
          </cell>
        </row>
        <row r="13439">
          <cell r="B13439" t="str">
            <v>B272-400-AS-280-PP-116</v>
          </cell>
          <cell r="E13439" t="str">
            <v>P-566</v>
          </cell>
        </row>
        <row r="13440">
          <cell r="B13440" t="str">
            <v>B272-400-AS-280-PP-116</v>
          </cell>
          <cell r="E13440" t="str">
            <v>P-570</v>
          </cell>
        </row>
        <row r="13441">
          <cell r="B13441" t="str">
            <v>B272-400-AS-280-PP-116</v>
          </cell>
          <cell r="E13441" t="str">
            <v>P-741(1/2)</v>
          </cell>
        </row>
        <row r="13442">
          <cell r="B13442" t="str">
            <v>B272-400-AS-280-PP-116</v>
          </cell>
          <cell r="E13442" t="str">
            <v>P-741(2/2)</v>
          </cell>
        </row>
        <row r="13443">
          <cell r="B13443" t="str">
            <v>B272-400-AS-280-PP-116</v>
          </cell>
          <cell r="E13443" t="str">
            <v>P-746(1/2)</v>
          </cell>
        </row>
        <row r="13444">
          <cell r="B13444" t="str">
            <v>B272-400-AS-280-PP-116</v>
          </cell>
          <cell r="E13444" t="str">
            <v>P-746(2/2)</v>
          </cell>
        </row>
        <row r="13445">
          <cell r="B13445" t="str">
            <v>B272-400-AS-280-PP-116</v>
          </cell>
          <cell r="E13445" t="str">
            <v>P-775</v>
          </cell>
        </row>
        <row r="13446">
          <cell r="B13446" t="str">
            <v>B272-400-AS-280-PP-116</v>
          </cell>
          <cell r="E13446" t="str">
            <v>P-834</v>
          </cell>
        </row>
        <row r="13447">
          <cell r="B13447" t="str">
            <v>B272-400-AS-280-PP-116</v>
          </cell>
          <cell r="E13447" t="str">
            <v>P-847(1/3)</v>
          </cell>
        </row>
        <row r="13448">
          <cell r="B13448" t="str">
            <v>B272-400-AS-280-PP-116</v>
          </cell>
          <cell r="E13448" t="str">
            <v>P-847(2/3)</v>
          </cell>
        </row>
        <row r="13449">
          <cell r="B13449" t="str">
            <v>B272-400-AS-280-PP-116</v>
          </cell>
          <cell r="E13449" t="str">
            <v>P-847(3/3)</v>
          </cell>
        </row>
        <row r="13450">
          <cell r="B13450" t="str">
            <v>B272-400-AS-280-PP-116</v>
          </cell>
          <cell r="E13450" t="str">
            <v>P-944</v>
          </cell>
        </row>
        <row r="13451">
          <cell r="B13451" t="str">
            <v>B272-400-AS-280-PP-116</v>
          </cell>
          <cell r="E13451" t="str">
            <v>P-1090</v>
          </cell>
        </row>
        <row r="13452">
          <cell r="B13452" t="str">
            <v>B272-400-AS-280-PP-116</v>
          </cell>
          <cell r="E13452" t="str">
            <v>W-45</v>
          </cell>
        </row>
        <row r="13453">
          <cell r="B13453" t="str">
            <v>B272-400-AS-280-PP-116</v>
          </cell>
          <cell r="E13453" t="str">
            <v>B1035</v>
          </cell>
        </row>
        <row r="13454">
          <cell r="B13454" t="str">
            <v>B272-400-AS-280-PP-116</v>
          </cell>
          <cell r="E13454" t="str">
            <v>B1045</v>
          </cell>
        </row>
        <row r="13455">
          <cell r="B13455" t="str">
            <v>B272-400-AS-280-PP-117</v>
          </cell>
          <cell r="E13455" t="str">
            <v>hoàng anh</v>
          </cell>
        </row>
        <row r="13456">
          <cell r="B13456" t="str">
            <v>B272-400-AS-280-PP-117</v>
          </cell>
          <cell r="E13456" t="str">
            <v>P-570</v>
          </cell>
        </row>
        <row r="13457">
          <cell r="B13457" t="str">
            <v>B272-400-AS-280-PP-117</v>
          </cell>
          <cell r="E13457" t="str">
            <v>P-741(1/2)</v>
          </cell>
        </row>
        <row r="13458">
          <cell r="B13458" t="str">
            <v>B272-400-AS-280-PP-117</v>
          </cell>
          <cell r="E13458" t="str">
            <v>P-741(2/2)</v>
          </cell>
        </row>
        <row r="13459">
          <cell r="B13459" t="str">
            <v>B272-400-AS-280-PP-117</v>
          </cell>
          <cell r="E13459" t="str">
            <v>P-746(1/2)</v>
          </cell>
        </row>
        <row r="13460">
          <cell r="B13460" t="str">
            <v>B272-400-AS-280-PP-117</v>
          </cell>
          <cell r="E13460" t="str">
            <v>P-746(2/2)</v>
          </cell>
        </row>
        <row r="13461">
          <cell r="B13461" t="str">
            <v>B272-400-AS-280-PP-117</v>
          </cell>
          <cell r="E13461" t="str">
            <v>P-775(1/2)</v>
          </cell>
        </row>
        <row r="13462">
          <cell r="B13462" t="str">
            <v>B272-400-AS-280-PP-117</v>
          </cell>
          <cell r="E13462" t="str">
            <v>P-775(2/2)</v>
          </cell>
        </row>
        <row r="13463">
          <cell r="B13463" t="str">
            <v>B272-400-AS-280-PP-117</v>
          </cell>
          <cell r="E13463" t="str">
            <v>P-776</v>
          </cell>
        </row>
        <row r="13464">
          <cell r="B13464" t="str">
            <v>B272-400-AS-280-PP-117</v>
          </cell>
          <cell r="E13464" t="str">
            <v>P-778</v>
          </cell>
        </row>
        <row r="13465">
          <cell r="B13465" t="str">
            <v>B272-400-AS-280-PP-117</v>
          </cell>
          <cell r="E13465" t="str">
            <v>P-847(1/4)</v>
          </cell>
        </row>
        <row r="13466">
          <cell r="B13466" t="str">
            <v>B272-400-AS-280-PP-117</v>
          </cell>
          <cell r="E13466" t="str">
            <v>P-847(2/4)</v>
          </cell>
        </row>
        <row r="13467">
          <cell r="B13467" t="str">
            <v>B272-400-AS-280-PP-117</v>
          </cell>
          <cell r="E13467" t="str">
            <v>P-847(3/4)</v>
          </cell>
        </row>
        <row r="13468">
          <cell r="B13468" t="str">
            <v>B272-400-AS-280-PP-117</v>
          </cell>
          <cell r="E13468" t="str">
            <v>P-847(4/4)</v>
          </cell>
        </row>
        <row r="13469">
          <cell r="B13469" t="str">
            <v>B272-400-AS-280-PP-117</v>
          </cell>
          <cell r="E13469" t="str">
            <v>P-1090(1/2)</v>
          </cell>
        </row>
        <row r="13470">
          <cell r="B13470" t="str">
            <v>B272-400-AS-280-PP-117</v>
          </cell>
          <cell r="E13470" t="str">
            <v>P-1090(2/2)</v>
          </cell>
        </row>
        <row r="13471">
          <cell r="B13471" t="str">
            <v>B272-400-AS-280-PP-117</v>
          </cell>
          <cell r="E13471" t="str">
            <v>P-1091</v>
          </cell>
        </row>
        <row r="13472">
          <cell r="B13472" t="str">
            <v>B272-400-AS-280-PP-117</v>
          </cell>
          <cell r="E13472" t="str">
            <v>W-40</v>
          </cell>
        </row>
        <row r="13473">
          <cell r="B13473" t="str">
            <v>B272-400-AS-280-PP-117</v>
          </cell>
          <cell r="E13473" t="str">
            <v>B1035</v>
          </cell>
        </row>
        <row r="13474">
          <cell r="B13474" t="str">
            <v>B272-400-AS-280-PP-117</v>
          </cell>
          <cell r="E13474" t="str">
            <v>B1045</v>
          </cell>
        </row>
        <row r="13475">
          <cell r="B13475" t="str">
            <v>B272-400-AS-280-PP-118</v>
          </cell>
          <cell r="E13475" t="str">
            <v>hoàng anh</v>
          </cell>
        </row>
        <row r="13476">
          <cell r="B13476" t="str">
            <v>B272-400-AS-280-PP-118</v>
          </cell>
          <cell r="E13476" t="str">
            <v>P-442</v>
          </cell>
        </row>
        <row r="13477">
          <cell r="B13477" t="str">
            <v>B272-400-AS-280-PP-118</v>
          </cell>
          <cell r="E13477" t="str">
            <v>P-566</v>
          </cell>
        </row>
        <row r="13478">
          <cell r="B13478" t="str">
            <v>B272-400-AS-280-PP-118</v>
          </cell>
          <cell r="E13478" t="str">
            <v>P-570</v>
          </cell>
        </row>
        <row r="13479">
          <cell r="B13479" t="str">
            <v>B272-400-AS-280-PP-118</v>
          </cell>
          <cell r="E13479" t="str">
            <v>P-741(1/2)</v>
          </cell>
        </row>
        <row r="13480">
          <cell r="B13480" t="str">
            <v>B272-400-AS-280-PP-118</v>
          </cell>
          <cell r="E13480" t="str">
            <v>P-741(2/2)</v>
          </cell>
        </row>
        <row r="13481">
          <cell r="B13481" t="str">
            <v>B272-400-AS-280-PP-118</v>
          </cell>
          <cell r="E13481" t="str">
            <v>P-746(1/2)</v>
          </cell>
        </row>
        <row r="13482">
          <cell r="B13482" t="str">
            <v>B272-400-AS-280-PP-118</v>
          </cell>
          <cell r="E13482" t="str">
            <v>P-746(2/2)</v>
          </cell>
        </row>
        <row r="13483">
          <cell r="B13483" t="str">
            <v>B272-400-AS-280-PP-118</v>
          </cell>
          <cell r="E13483" t="str">
            <v>P-775</v>
          </cell>
        </row>
        <row r="13484">
          <cell r="B13484" t="str">
            <v>B272-400-AS-280-PP-118</v>
          </cell>
          <cell r="E13484" t="str">
            <v>P-846</v>
          </cell>
        </row>
        <row r="13485">
          <cell r="B13485" t="str">
            <v>B272-400-AS-280-PP-118</v>
          </cell>
          <cell r="E13485" t="str">
            <v>P-847(1/3)</v>
          </cell>
        </row>
        <row r="13486">
          <cell r="B13486" t="str">
            <v>B272-400-AS-280-PP-118</v>
          </cell>
          <cell r="E13486" t="str">
            <v>P-847(2/3)</v>
          </cell>
        </row>
        <row r="13487">
          <cell r="B13487" t="str">
            <v>B272-400-AS-280-PP-118</v>
          </cell>
          <cell r="E13487" t="str">
            <v>P-847(3/3)</v>
          </cell>
        </row>
        <row r="13488">
          <cell r="B13488" t="str">
            <v>B272-400-AS-280-PP-118</v>
          </cell>
          <cell r="E13488" t="str">
            <v>P-1090</v>
          </cell>
        </row>
        <row r="13489">
          <cell r="B13489" t="str">
            <v>B272-400-AS-280-PP-118</v>
          </cell>
          <cell r="E13489" t="str">
            <v>P-1093</v>
          </cell>
        </row>
        <row r="13490">
          <cell r="B13490" t="str">
            <v>B272-400-AS-280-PP-118</v>
          </cell>
          <cell r="E13490" t="str">
            <v>W-50</v>
          </cell>
        </row>
        <row r="13491">
          <cell r="B13491" t="str">
            <v>B272-400-AS-280-PP-118</v>
          </cell>
          <cell r="E13491" t="str">
            <v>B1035</v>
          </cell>
        </row>
        <row r="13492">
          <cell r="B13492" t="str">
            <v>B272-400-AS-280-PP-118</v>
          </cell>
          <cell r="E13492" t="str">
            <v>B1045</v>
          </cell>
        </row>
        <row r="13493">
          <cell r="B13493" t="str">
            <v>B272-400-AS-280-PP-119</v>
          </cell>
          <cell r="E13493" t="str">
            <v>hoàng anh</v>
          </cell>
        </row>
        <row r="13494">
          <cell r="B13494" t="str">
            <v>B272-400-AS-280-PP-119</v>
          </cell>
          <cell r="E13494" t="str">
            <v>G-2002</v>
          </cell>
        </row>
        <row r="13495">
          <cell r="B13495" t="str">
            <v>B272-400-AS-280-PP-119</v>
          </cell>
          <cell r="E13495" t="str">
            <v>P-2037</v>
          </cell>
        </row>
        <row r="13496">
          <cell r="B13496" t="str">
            <v>B272-400-AS-280-PP-119</v>
          </cell>
          <cell r="E13496" t="str">
            <v>P-2038</v>
          </cell>
        </row>
        <row r="13497">
          <cell r="B13497" t="str">
            <v>B272-400-AS-280-PP-119</v>
          </cell>
          <cell r="E13497" t="str">
            <v>W-2000</v>
          </cell>
        </row>
        <row r="13498">
          <cell r="B13498" t="str">
            <v>B272-400-AS-280-PP-119</v>
          </cell>
          <cell r="E13498" t="str">
            <v>B1030</v>
          </cell>
        </row>
        <row r="13499">
          <cell r="B13499" t="str">
            <v>B272-400-AS-280-PP-119</v>
          </cell>
          <cell r="E13499" t="str">
            <v>B1035</v>
          </cell>
        </row>
        <row r="13500">
          <cell r="B13500" t="str">
            <v>B272-400-AS-280-PP-120</v>
          </cell>
          <cell r="E13500" t="str">
            <v>hoàng anh</v>
          </cell>
        </row>
        <row r="13501">
          <cell r="B13501" t="str">
            <v>B272-400-AS-280-PP-120</v>
          </cell>
          <cell r="E13501" t="str">
            <v>P-2031</v>
          </cell>
        </row>
        <row r="13502">
          <cell r="B13502" t="str">
            <v>B272-400-AS-280-PP-120</v>
          </cell>
          <cell r="E13502" t="str">
            <v>P-2032</v>
          </cell>
        </row>
        <row r="13503">
          <cell r="B13503" t="str">
            <v>B272-400-AS-280-PP-120</v>
          </cell>
          <cell r="E13503" t="str">
            <v>P-2033</v>
          </cell>
        </row>
        <row r="13504">
          <cell r="B13504" t="str">
            <v>B272-400-AS-280-PP-120</v>
          </cell>
          <cell r="E13504" t="str">
            <v>P-2034</v>
          </cell>
        </row>
        <row r="13505">
          <cell r="B13505" t="str">
            <v>B272-400-AS-280-PP-120</v>
          </cell>
          <cell r="E13505" t="str">
            <v>P-2035</v>
          </cell>
        </row>
        <row r="13506">
          <cell r="B13506" t="str">
            <v>B272-400-AS-280-PP-120</v>
          </cell>
          <cell r="E13506" t="str">
            <v>P-2036</v>
          </cell>
        </row>
        <row r="13507">
          <cell r="B13507" t="str">
            <v>B272-400-AS-280-PP-120</v>
          </cell>
          <cell r="E13507" t="str">
            <v>W-107</v>
          </cell>
        </row>
        <row r="13508">
          <cell r="B13508" t="str">
            <v>B272-400-AS-280-PP-120</v>
          </cell>
          <cell r="E13508" t="str">
            <v>B1035</v>
          </cell>
        </row>
        <row r="13509">
          <cell r="B13509" t="str">
            <v>B272-400-AS-290-AD-001</v>
          </cell>
        </row>
        <row r="13510">
          <cell r="B13510" t="str">
            <v>B272-400-AS-290-AD-001</v>
          </cell>
          <cell r="E13510" t="str">
            <v>GC-1</v>
          </cell>
        </row>
        <row r="13511">
          <cell r="B13511" t="str">
            <v>B272-400-AS-290-AD-001</v>
          </cell>
          <cell r="E13511" t="str">
            <v>P-57(1/2)</v>
          </cell>
        </row>
        <row r="13512">
          <cell r="B13512" t="str">
            <v>B272-400-AS-290-AD-001</v>
          </cell>
          <cell r="E13512" t="str">
            <v>P-57(2/2)</v>
          </cell>
        </row>
        <row r="13513">
          <cell r="B13513" t="str">
            <v>B272-400-AS-290-AD-001</v>
          </cell>
          <cell r="E13513" t="str">
            <v>P-125</v>
          </cell>
        </row>
        <row r="13514">
          <cell r="B13514" t="str">
            <v>B272-400-AS-290-AD-001</v>
          </cell>
          <cell r="E13514" t="str">
            <v>P-126(1/4)</v>
          </cell>
        </row>
        <row r="13515">
          <cell r="B13515" t="str">
            <v>B272-400-AS-290-AD-001</v>
          </cell>
          <cell r="E13515" t="str">
            <v>P-126(2/4)</v>
          </cell>
        </row>
        <row r="13516">
          <cell r="B13516" t="str">
            <v>B272-400-AS-290-AD-001</v>
          </cell>
          <cell r="E13516" t="str">
            <v>P-126(3/4)</v>
          </cell>
        </row>
        <row r="13517">
          <cell r="B13517" t="str">
            <v>B272-400-AS-290-AD-001</v>
          </cell>
          <cell r="E13517" t="str">
            <v>P-126(4/4)</v>
          </cell>
        </row>
        <row r="13518">
          <cell r="B13518" t="str">
            <v>B272-400-AS-290-AD-001</v>
          </cell>
          <cell r="E13518" t="str">
            <v>P-391</v>
          </cell>
        </row>
        <row r="13519">
          <cell r="B13519" t="str">
            <v>B272-400-AS-290-AD-001</v>
          </cell>
          <cell r="E13519" t="str">
            <v>P-939(1/2)</v>
          </cell>
        </row>
        <row r="13520">
          <cell r="B13520" t="str">
            <v>B272-400-AS-290-AD-001</v>
          </cell>
          <cell r="E13520" t="str">
            <v>P-939(2/2)</v>
          </cell>
        </row>
        <row r="13521">
          <cell r="B13521" t="str">
            <v>B272-400-AS-290-AD-001</v>
          </cell>
          <cell r="E13521" t="str">
            <v>P-1116</v>
          </cell>
        </row>
        <row r="13522">
          <cell r="B13522" t="str">
            <v>B272-400-AS-290-AD-001</v>
          </cell>
          <cell r="E13522" t="str">
            <v>P-1117(1/2)</v>
          </cell>
        </row>
        <row r="13523">
          <cell r="B13523" t="str">
            <v>B272-400-AS-290-AD-001</v>
          </cell>
          <cell r="E13523" t="str">
            <v>P-1117(2/2)</v>
          </cell>
        </row>
        <row r="13524">
          <cell r="B13524" t="str">
            <v>B272-400-AS-290-AD-001</v>
          </cell>
          <cell r="E13524" t="str">
            <v>P-1197(1/2)</v>
          </cell>
        </row>
        <row r="13525">
          <cell r="B13525" t="str">
            <v>B272-400-AS-290-AD-001</v>
          </cell>
          <cell r="E13525" t="str">
            <v>P-1197(2/2)</v>
          </cell>
        </row>
        <row r="13526">
          <cell r="B13526" t="str">
            <v>B272-400-AS-290-AD-001</v>
          </cell>
          <cell r="E13526" t="str">
            <v>R-1(1/2)</v>
          </cell>
        </row>
        <row r="13527">
          <cell r="B13527" t="str">
            <v>B272-400-AS-290-AD-001</v>
          </cell>
          <cell r="E13527" t="str">
            <v>R-1(2/2)</v>
          </cell>
        </row>
        <row r="13528">
          <cell r="B13528" t="str">
            <v>B272-400-AS-290-AD-001</v>
          </cell>
          <cell r="E13528" t="str">
            <v>R-2(1/2)</v>
          </cell>
        </row>
        <row r="13529">
          <cell r="B13529" t="str">
            <v>B272-400-AS-290-AD-001</v>
          </cell>
          <cell r="E13529" t="str">
            <v>R-2(2/2)</v>
          </cell>
        </row>
        <row r="13530">
          <cell r="B13530" t="str">
            <v>B272-400-AS-290-AD-001</v>
          </cell>
          <cell r="E13530" t="str">
            <v>RX-1(1/2)</v>
          </cell>
        </row>
        <row r="13531">
          <cell r="B13531" t="str">
            <v>B272-400-AS-290-AD-001</v>
          </cell>
          <cell r="E13531" t="str">
            <v>RX-1(2/2)</v>
          </cell>
        </row>
        <row r="13532">
          <cell r="B13532" t="str">
            <v>B272-400-AS-290-AD-001</v>
          </cell>
          <cell r="E13532" t="str">
            <v>RZ-5(1/4)</v>
          </cell>
        </row>
        <row r="13533">
          <cell r="B13533" t="str">
            <v>B272-400-AS-290-AD-001</v>
          </cell>
          <cell r="E13533" t="str">
            <v>RZ-5(2/4)</v>
          </cell>
        </row>
        <row r="13534">
          <cell r="B13534" t="str">
            <v>B272-400-AS-290-AD-001</v>
          </cell>
          <cell r="E13534" t="str">
            <v>RZ-5(3/4)</v>
          </cell>
        </row>
        <row r="13535">
          <cell r="B13535" t="str">
            <v>B272-400-AS-290-AD-001</v>
          </cell>
          <cell r="E13535" t="str">
            <v>RZ-5(4/4)</v>
          </cell>
        </row>
        <row r="13536">
          <cell r="B13536" t="str">
            <v>B272-400-AS-290-AD-001</v>
          </cell>
          <cell r="E13536" t="str">
            <v>W-72(1/4)</v>
          </cell>
        </row>
        <row r="13537">
          <cell r="B13537" t="str">
            <v>B272-400-AS-290-AD-001</v>
          </cell>
          <cell r="E13537" t="str">
            <v>W-72(2/4)</v>
          </cell>
        </row>
        <row r="13538">
          <cell r="B13538" t="str">
            <v>B272-400-AS-290-AD-001</v>
          </cell>
          <cell r="E13538" t="str">
            <v>W-72(3/4)</v>
          </cell>
        </row>
        <row r="13539">
          <cell r="B13539" t="str">
            <v>B272-400-AS-290-AD-001</v>
          </cell>
          <cell r="E13539" t="str">
            <v>W-72(4/4)</v>
          </cell>
        </row>
        <row r="13540">
          <cell r="B13540" t="str">
            <v>B272-400-AS-290-AD-001</v>
          </cell>
          <cell r="E13540" t="str">
            <v>W-87(1/4)</v>
          </cell>
        </row>
        <row r="13541">
          <cell r="B13541" t="str">
            <v>B272-400-AS-290-AD-001</v>
          </cell>
          <cell r="E13541" t="str">
            <v>W-87(2/4)</v>
          </cell>
        </row>
        <row r="13542">
          <cell r="B13542" t="str">
            <v>B272-400-AS-290-AD-001</v>
          </cell>
          <cell r="E13542" t="str">
            <v>W-87(3/4)</v>
          </cell>
        </row>
        <row r="13543">
          <cell r="B13543" t="str">
            <v>B272-400-AS-290-AD-001</v>
          </cell>
          <cell r="E13543" t="str">
            <v>W-87(4/4)</v>
          </cell>
        </row>
        <row r="13544">
          <cell r="B13544" t="str">
            <v>B272-400-AS-290-AD-001</v>
          </cell>
          <cell r="E13544" t="str">
            <v>W-89(1/2)</v>
          </cell>
        </row>
        <row r="13545">
          <cell r="B13545" t="str">
            <v>B272-400-AS-290-AD-001</v>
          </cell>
          <cell r="E13545" t="str">
            <v>W-89(2/2)</v>
          </cell>
        </row>
        <row r="13546">
          <cell r="B13546" t="str">
            <v>B272-400-AS-290-AD-001</v>
          </cell>
          <cell r="E13546" t="str">
            <v>B1660</v>
          </cell>
        </row>
        <row r="13547">
          <cell r="B13547" t="str">
            <v>B272-400-AS-290-AD-001</v>
          </cell>
        </row>
        <row r="13548">
          <cell r="B13548" t="str">
            <v>B272-400-AS-290-AD-001</v>
          </cell>
          <cell r="E13548" t="str">
            <v>GC-1</v>
          </cell>
        </row>
        <row r="13549">
          <cell r="B13549" t="str">
            <v>B272-400-AS-290-AD-001</v>
          </cell>
          <cell r="E13549" t="str">
            <v>P-57(1/2)</v>
          </cell>
        </row>
        <row r="13550">
          <cell r="B13550" t="str">
            <v>B272-400-AS-290-AD-001</v>
          </cell>
          <cell r="E13550" t="str">
            <v>P-57(2/2)</v>
          </cell>
        </row>
        <row r="13551">
          <cell r="B13551" t="str">
            <v>B272-400-AS-290-AD-001</v>
          </cell>
          <cell r="E13551" t="str">
            <v>P-125</v>
          </cell>
        </row>
        <row r="13552">
          <cell r="B13552" t="str">
            <v>B272-400-AS-290-AD-001</v>
          </cell>
          <cell r="E13552" t="str">
            <v>P-126(1/4)</v>
          </cell>
        </row>
        <row r="13553">
          <cell r="B13553" t="str">
            <v>B272-400-AS-290-AD-001</v>
          </cell>
          <cell r="E13553" t="str">
            <v>P-126(2/4)</v>
          </cell>
        </row>
        <row r="13554">
          <cell r="B13554" t="str">
            <v>B272-400-AS-290-AD-001</v>
          </cell>
          <cell r="E13554" t="str">
            <v>P-126(3/4)</v>
          </cell>
        </row>
        <row r="13555">
          <cell r="B13555" t="str">
            <v>B272-400-AS-290-AD-001</v>
          </cell>
          <cell r="E13555" t="str">
            <v>P-126(4/4)</v>
          </cell>
        </row>
        <row r="13556">
          <cell r="B13556" t="str">
            <v>B272-400-AS-290-AD-001</v>
          </cell>
          <cell r="E13556" t="str">
            <v>P-391</v>
          </cell>
        </row>
        <row r="13557">
          <cell r="B13557" t="str">
            <v>B272-400-AS-290-AD-001</v>
          </cell>
          <cell r="E13557" t="str">
            <v>P-939(1/2)</v>
          </cell>
        </row>
        <row r="13558">
          <cell r="B13558" t="str">
            <v>B272-400-AS-290-AD-001</v>
          </cell>
          <cell r="E13558" t="str">
            <v>P-939(2/2)</v>
          </cell>
        </row>
        <row r="13559">
          <cell r="B13559" t="str">
            <v>B272-400-AS-290-AD-001</v>
          </cell>
          <cell r="E13559" t="str">
            <v>P-1116</v>
          </cell>
        </row>
        <row r="13560">
          <cell r="B13560" t="str">
            <v>B272-400-AS-290-AD-001</v>
          </cell>
          <cell r="E13560" t="str">
            <v>P-1117(1/2)</v>
          </cell>
        </row>
        <row r="13561">
          <cell r="B13561" t="str">
            <v>B272-400-AS-290-AD-001</v>
          </cell>
          <cell r="E13561" t="str">
            <v>P-1117(2/2)</v>
          </cell>
        </row>
        <row r="13562">
          <cell r="B13562" t="str">
            <v>B272-400-AS-290-AD-001</v>
          </cell>
          <cell r="E13562" t="str">
            <v>P-1197(1/2)</v>
          </cell>
        </row>
        <row r="13563">
          <cell r="B13563" t="str">
            <v>B272-400-AS-290-AD-001</v>
          </cell>
          <cell r="E13563" t="str">
            <v>P-1197(2/2)</v>
          </cell>
        </row>
        <row r="13564">
          <cell r="B13564" t="str">
            <v>B272-400-AS-290-AD-001</v>
          </cell>
          <cell r="E13564" t="str">
            <v>R-1(1/2)</v>
          </cell>
        </row>
        <row r="13565">
          <cell r="B13565" t="str">
            <v>B272-400-AS-290-AD-001</v>
          </cell>
          <cell r="E13565" t="str">
            <v>R-1(2/2)</v>
          </cell>
        </row>
        <row r="13566">
          <cell r="B13566" t="str">
            <v>B272-400-AS-290-AD-001</v>
          </cell>
          <cell r="E13566" t="str">
            <v>R-2(1/2)</v>
          </cell>
        </row>
        <row r="13567">
          <cell r="B13567" t="str">
            <v>B272-400-AS-290-AD-001</v>
          </cell>
          <cell r="E13567" t="str">
            <v>R-2(2/2)</v>
          </cell>
        </row>
        <row r="13568">
          <cell r="B13568" t="str">
            <v>B272-400-AS-290-AD-001</v>
          </cell>
          <cell r="E13568" t="str">
            <v>RX-1(1/2)</v>
          </cell>
        </row>
        <row r="13569">
          <cell r="B13569" t="str">
            <v>B272-400-AS-290-AD-001</v>
          </cell>
          <cell r="E13569" t="str">
            <v>RX-1(2/2)</v>
          </cell>
        </row>
        <row r="13570">
          <cell r="B13570" t="str">
            <v>B272-400-AS-290-AD-001</v>
          </cell>
          <cell r="E13570" t="str">
            <v>RZ-5(1/4)</v>
          </cell>
        </row>
        <row r="13571">
          <cell r="B13571" t="str">
            <v>B272-400-AS-290-AD-001</v>
          </cell>
          <cell r="E13571" t="str">
            <v>RZ-5(2/4)</v>
          </cell>
        </row>
        <row r="13572">
          <cell r="B13572" t="str">
            <v>B272-400-AS-290-AD-001</v>
          </cell>
          <cell r="E13572" t="str">
            <v>RZ-5(3/4)</v>
          </cell>
        </row>
        <row r="13573">
          <cell r="B13573" t="str">
            <v>B272-400-AS-290-AD-001</v>
          </cell>
          <cell r="E13573" t="str">
            <v>RZ-5(4/4)</v>
          </cell>
        </row>
        <row r="13574">
          <cell r="B13574" t="str">
            <v>B272-400-AS-290-AD-001</v>
          </cell>
          <cell r="E13574" t="str">
            <v>W-72(1/4)</v>
          </cell>
        </row>
        <row r="13575">
          <cell r="B13575" t="str">
            <v>B272-400-AS-290-AD-001</v>
          </cell>
          <cell r="E13575" t="str">
            <v>W-72(2/4)</v>
          </cell>
        </row>
        <row r="13576">
          <cell r="B13576" t="str">
            <v>B272-400-AS-290-AD-001</v>
          </cell>
          <cell r="E13576" t="str">
            <v>W-72(3/4)</v>
          </cell>
        </row>
        <row r="13577">
          <cell r="B13577" t="str">
            <v>B272-400-AS-290-AD-001</v>
          </cell>
          <cell r="E13577" t="str">
            <v>W-72(4/4)</v>
          </cell>
        </row>
        <row r="13578">
          <cell r="B13578" t="str">
            <v>B272-400-AS-290-AD-001</v>
          </cell>
          <cell r="E13578" t="str">
            <v>W-87(1/4)</v>
          </cell>
        </row>
        <row r="13579">
          <cell r="B13579" t="str">
            <v>B272-400-AS-290-AD-001</v>
          </cell>
          <cell r="E13579" t="str">
            <v>W-87(2/4)</v>
          </cell>
        </row>
        <row r="13580">
          <cell r="B13580" t="str">
            <v>B272-400-AS-290-AD-001</v>
          </cell>
          <cell r="E13580" t="str">
            <v>W-87(3/4)</v>
          </cell>
        </row>
        <row r="13581">
          <cell r="B13581" t="str">
            <v>B272-400-AS-290-AD-001</v>
          </cell>
          <cell r="E13581" t="str">
            <v>W-87(4/4)</v>
          </cell>
        </row>
        <row r="13582">
          <cell r="B13582" t="str">
            <v>B272-400-AS-290-AD-001</v>
          </cell>
          <cell r="E13582" t="str">
            <v>W-89(1/2)</v>
          </cell>
        </row>
        <row r="13583">
          <cell r="B13583" t="str">
            <v>B272-400-AS-290-AD-001</v>
          </cell>
          <cell r="E13583" t="str">
            <v>W-89(2/2)</v>
          </cell>
        </row>
        <row r="13584">
          <cell r="B13584" t="str">
            <v>B272-400-AS-290-AD-001</v>
          </cell>
          <cell r="E13584" t="str">
            <v>B1660</v>
          </cell>
        </row>
        <row r="13585">
          <cell r="B13585" t="str">
            <v>B272-400-AS-290-AD-001</v>
          </cell>
        </row>
        <row r="13586">
          <cell r="B13586" t="str">
            <v>B272-400-AS-290-AD-001</v>
          </cell>
          <cell r="E13586" t="str">
            <v>GC-1</v>
          </cell>
        </row>
        <row r="13587">
          <cell r="B13587" t="str">
            <v>B272-400-AS-290-AD-001</v>
          </cell>
          <cell r="E13587" t="str">
            <v>P-57(1/2)</v>
          </cell>
        </row>
        <row r="13588">
          <cell r="B13588" t="str">
            <v>B272-400-AS-290-AD-001</v>
          </cell>
          <cell r="E13588" t="str">
            <v>P-57(2/2)</v>
          </cell>
        </row>
        <row r="13589">
          <cell r="B13589" t="str">
            <v>B272-400-AS-290-AD-001</v>
          </cell>
          <cell r="E13589" t="str">
            <v>P-125</v>
          </cell>
        </row>
        <row r="13590">
          <cell r="B13590" t="str">
            <v>B272-400-AS-290-AD-001</v>
          </cell>
          <cell r="E13590" t="str">
            <v>P-126(1/4)</v>
          </cell>
        </row>
        <row r="13591">
          <cell r="B13591" t="str">
            <v>B272-400-AS-290-AD-001</v>
          </cell>
          <cell r="E13591" t="str">
            <v>P-126(2/4)</v>
          </cell>
        </row>
        <row r="13592">
          <cell r="B13592" t="str">
            <v>B272-400-AS-290-AD-001</v>
          </cell>
          <cell r="E13592" t="str">
            <v>P-126(3/4)</v>
          </cell>
        </row>
        <row r="13593">
          <cell r="B13593" t="str">
            <v>B272-400-AS-290-AD-001</v>
          </cell>
          <cell r="E13593" t="str">
            <v>P-126(4/4)</v>
          </cell>
        </row>
        <row r="13594">
          <cell r="B13594" t="str">
            <v>B272-400-AS-290-AD-001</v>
          </cell>
          <cell r="E13594" t="str">
            <v>P-391</v>
          </cell>
        </row>
        <row r="13595">
          <cell r="B13595" t="str">
            <v>B272-400-AS-290-AD-001</v>
          </cell>
          <cell r="E13595" t="str">
            <v>P-939(1/2)</v>
          </cell>
        </row>
        <row r="13596">
          <cell r="B13596" t="str">
            <v>B272-400-AS-290-AD-001</v>
          </cell>
          <cell r="E13596" t="str">
            <v>P-939(2/2)</v>
          </cell>
        </row>
        <row r="13597">
          <cell r="B13597" t="str">
            <v>B272-400-AS-290-AD-001</v>
          </cell>
          <cell r="E13597" t="str">
            <v>P-1116</v>
          </cell>
        </row>
        <row r="13598">
          <cell r="B13598" t="str">
            <v>B272-400-AS-290-AD-001</v>
          </cell>
          <cell r="E13598" t="str">
            <v>P-1117(1/2)</v>
          </cell>
        </row>
        <row r="13599">
          <cell r="B13599" t="str">
            <v>B272-400-AS-290-AD-001</v>
          </cell>
          <cell r="E13599" t="str">
            <v>P-1117(2/2)</v>
          </cell>
        </row>
        <row r="13600">
          <cell r="B13600" t="str">
            <v>B272-400-AS-290-AD-001</v>
          </cell>
          <cell r="E13600" t="str">
            <v>P-1197(1/2)</v>
          </cell>
        </row>
        <row r="13601">
          <cell r="B13601" t="str">
            <v>B272-400-AS-290-AD-001</v>
          </cell>
          <cell r="E13601" t="str">
            <v>P-1197(2/2)</v>
          </cell>
        </row>
        <row r="13602">
          <cell r="B13602" t="str">
            <v>B272-400-AS-290-AD-001</v>
          </cell>
          <cell r="E13602" t="str">
            <v>R-1(1/2)</v>
          </cell>
        </row>
        <row r="13603">
          <cell r="B13603" t="str">
            <v>B272-400-AS-290-AD-001</v>
          </cell>
          <cell r="E13603" t="str">
            <v>R-1(2/2)</v>
          </cell>
        </row>
        <row r="13604">
          <cell r="B13604" t="str">
            <v>B272-400-AS-290-AD-001</v>
          </cell>
          <cell r="E13604" t="str">
            <v>R-2(1/2)</v>
          </cell>
        </row>
        <row r="13605">
          <cell r="B13605" t="str">
            <v>B272-400-AS-290-AD-001</v>
          </cell>
          <cell r="E13605" t="str">
            <v>R-2(2/2)</v>
          </cell>
        </row>
        <row r="13606">
          <cell r="B13606" t="str">
            <v>B272-400-AS-290-AD-001</v>
          </cell>
          <cell r="E13606" t="str">
            <v>RX-1(1/2)</v>
          </cell>
        </row>
        <row r="13607">
          <cell r="B13607" t="str">
            <v>B272-400-AS-290-AD-001</v>
          </cell>
          <cell r="E13607" t="str">
            <v>RX-1(2/2)</v>
          </cell>
        </row>
        <row r="13608">
          <cell r="B13608" t="str">
            <v>B272-400-AS-290-AD-001</v>
          </cell>
          <cell r="E13608" t="str">
            <v>RZ-5(1/4)</v>
          </cell>
        </row>
        <row r="13609">
          <cell r="B13609" t="str">
            <v>B272-400-AS-290-AD-001</v>
          </cell>
          <cell r="E13609" t="str">
            <v>RZ-5(2/4)</v>
          </cell>
        </row>
        <row r="13610">
          <cell r="B13610" t="str">
            <v>B272-400-AS-290-AD-001</v>
          </cell>
          <cell r="E13610" t="str">
            <v>RZ-5(3/4)</v>
          </cell>
        </row>
        <row r="13611">
          <cell r="B13611" t="str">
            <v>B272-400-AS-290-AD-001</v>
          </cell>
          <cell r="E13611" t="str">
            <v>RZ-5(4/4)</v>
          </cell>
        </row>
        <row r="13612">
          <cell r="B13612" t="str">
            <v>B272-400-AS-290-AD-001</v>
          </cell>
          <cell r="E13612" t="str">
            <v>W-72(1/4)</v>
          </cell>
        </row>
        <row r="13613">
          <cell r="B13613" t="str">
            <v>B272-400-AS-290-AD-001</v>
          </cell>
          <cell r="E13613" t="str">
            <v>W-72(2/4)</v>
          </cell>
        </row>
        <row r="13614">
          <cell r="B13614" t="str">
            <v>B272-400-AS-290-AD-001</v>
          </cell>
          <cell r="E13614" t="str">
            <v>W-72(3/4)</v>
          </cell>
        </row>
        <row r="13615">
          <cell r="B13615" t="str">
            <v>B272-400-AS-290-AD-001</v>
          </cell>
          <cell r="E13615" t="str">
            <v>W-72(4/4)</v>
          </cell>
        </row>
        <row r="13616">
          <cell r="B13616" t="str">
            <v>B272-400-AS-290-AD-001</v>
          </cell>
          <cell r="E13616" t="str">
            <v>W-87(1/4)</v>
          </cell>
        </row>
        <row r="13617">
          <cell r="B13617" t="str">
            <v>B272-400-AS-290-AD-001</v>
          </cell>
          <cell r="E13617" t="str">
            <v>W-87(2/4)</v>
          </cell>
        </row>
        <row r="13618">
          <cell r="B13618" t="str">
            <v>B272-400-AS-290-AD-001</v>
          </cell>
          <cell r="E13618" t="str">
            <v>W-87(3/4)</v>
          </cell>
        </row>
        <row r="13619">
          <cell r="B13619" t="str">
            <v>B272-400-AS-290-AD-001</v>
          </cell>
          <cell r="E13619" t="str">
            <v>W-87(4/4)</v>
          </cell>
        </row>
        <row r="13620">
          <cell r="B13620" t="str">
            <v>B272-400-AS-290-AD-001</v>
          </cell>
          <cell r="E13620" t="str">
            <v>W-89(1/2)</v>
          </cell>
        </row>
        <row r="13621">
          <cell r="B13621" t="str">
            <v>B272-400-AS-290-AD-001</v>
          </cell>
          <cell r="E13621" t="str">
            <v>W-89(2/2)</v>
          </cell>
        </row>
        <row r="13622">
          <cell r="B13622" t="str">
            <v>B272-400-AS-290-AD-001</v>
          </cell>
          <cell r="E13622" t="str">
            <v>B1660</v>
          </cell>
        </row>
        <row r="13623">
          <cell r="B13623" t="str">
            <v>B272-400-AS-290-AD-001</v>
          </cell>
        </row>
        <row r="13624">
          <cell r="B13624" t="str">
            <v>B272-400-AS-290-AD-001</v>
          </cell>
          <cell r="E13624" t="str">
            <v>GC-1</v>
          </cell>
        </row>
        <row r="13625">
          <cell r="B13625" t="str">
            <v>B272-400-AS-290-AD-001</v>
          </cell>
          <cell r="E13625" t="str">
            <v>P-57(1/2)</v>
          </cell>
        </row>
        <row r="13626">
          <cell r="B13626" t="str">
            <v>B272-400-AS-290-AD-001</v>
          </cell>
          <cell r="E13626" t="str">
            <v>P-57(2/2)</v>
          </cell>
        </row>
        <row r="13627">
          <cell r="B13627" t="str">
            <v>B272-400-AS-290-AD-001</v>
          </cell>
          <cell r="E13627" t="str">
            <v>P-125</v>
          </cell>
        </row>
        <row r="13628">
          <cell r="B13628" t="str">
            <v>B272-400-AS-290-AD-001</v>
          </cell>
          <cell r="E13628" t="str">
            <v>P-126(1/4)</v>
          </cell>
        </row>
        <row r="13629">
          <cell r="B13629" t="str">
            <v>B272-400-AS-290-AD-001</v>
          </cell>
          <cell r="E13629" t="str">
            <v>P-126(2/4)</v>
          </cell>
        </row>
        <row r="13630">
          <cell r="B13630" t="str">
            <v>B272-400-AS-290-AD-001</v>
          </cell>
          <cell r="E13630" t="str">
            <v>P-126(3/4)</v>
          </cell>
        </row>
        <row r="13631">
          <cell r="B13631" t="str">
            <v>B272-400-AS-290-AD-001</v>
          </cell>
          <cell r="E13631" t="str">
            <v>P-126(4/4)</v>
          </cell>
        </row>
        <row r="13632">
          <cell r="B13632" t="str">
            <v>B272-400-AS-290-AD-001</v>
          </cell>
          <cell r="E13632" t="str">
            <v>P-391</v>
          </cell>
        </row>
        <row r="13633">
          <cell r="B13633" t="str">
            <v>B272-400-AS-290-AD-001</v>
          </cell>
          <cell r="E13633" t="str">
            <v>P-939(1/2)</v>
          </cell>
        </row>
        <row r="13634">
          <cell r="B13634" t="str">
            <v>B272-400-AS-290-AD-001</v>
          </cell>
          <cell r="E13634" t="str">
            <v>P-939(2/2)</v>
          </cell>
        </row>
        <row r="13635">
          <cell r="B13635" t="str">
            <v>B272-400-AS-290-AD-001</v>
          </cell>
          <cell r="E13635" t="str">
            <v>P-1116</v>
          </cell>
        </row>
        <row r="13636">
          <cell r="B13636" t="str">
            <v>B272-400-AS-290-AD-001</v>
          </cell>
          <cell r="E13636" t="str">
            <v>P-1117(1/2)</v>
          </cell>
        </row>
        <row r="13637">
          <cell r="B13637" t="str">
            <v>B272-400-AS-290-AD-001</v>
          </cell>
          <cell r="E13637" t="str">
            <v>P-1117(2/2)</v>
          </cell>
        </row>
        <row r="13638">
          <cell r="B13638" t="str">
            <v>B272-400-AS-290-AD-001</v>
          </cell>
          <cell r="E13638" t="str">
            <v>P-1197(1/2)</v>
          </cell>
        </row>
        <row r="13639">
          <cell r="B13639" t="str">
            <v>B272-400-AS-290-AD-001</v>
          </cell>
          <cell r="E13639" t="str">
            <v>P-1197(2/2)</v>
          </cell>
        </row>
        <row r="13640">
          <cell r="B13640" t="str">
            <v>B272-400-AS-290-AD-001</v>
          </cell>
          <cell r="E13640" t="str">
            <v>R-1(1/2)</v>
          </cell>
        </row>
        <row r="13641">
          <cell r="B13641" t="str">
            <v>B272-400-AS-290-AD-001</v>
          </cell>
          <cell r="E13641" t="str">
            <v>R-1(2/2)</v>
          </cell>
        </row>
        <row r="13642">
          <cell r="B13642" t="str">
            <v>B272-400-AS-290-AD-001</v>
          </cell>
          <cell r="E13642" t="str">
            <v>R-2(1/2)</v>
          </cell>
        </row>
        <row r="13643">
          <cell r="B13643" t="str">
            <v>B272-400-AS-290-AD-001</v>
          </cell>
          <cell r="E13643" t="str">
            <v>R-2(2/2)</v>
          </cell>
        </row>
        <row r="13644">
          <cell r="B13644" t="str">
            <v>B272-400-AS-290-AD-001</v>
          </cell>
          <cell r="E13644" t="str">
            <v>RX-1(1/2)</v>
          </cell>
        </row>
        <row r="13645">
          <cell r="B13645" t="str">
            <v>B272-400-AS-290-AD-001</v>
          </cell>
          <cell r="E13645" t="str">
            <v>RX-1(2/2)</v>
          </cell>
        </row>
        <row r="13646">
          <cell r="B13646" t="str">
            <v>B272-400-AS-290-AD-001</v>
          </cell>
          <cell r="E13646" t="str">
            <v>RZ-5(1/4)</v>
          </cell>
        </row>
        <row r="13647">
          <cell r="B13647" t="str">
            <v>B272-400-AS-290-AD-001</v>
          </cell>
          <cell r="E13647" t="str">
            <v>RZ-5(2/4)</v>
          </cell>
        </row>
        <row r="13648">
          <cell r="B13648" t="str">
            <v>B272-400-AS-290-AD-001</v>
          </cell>
          <cell r="E13648" t="str">
            <v>RZ-5(3/4)</v>
          </cell>
        </row>
        <row r="13649">
          <cell r="B13649" t="str">
            <v>B272-400-AS-290-AD-001</v>
          </cell>
          <cell r="E13649" t="str">
            <v>RZ-5(4/4)</v>
          </cell>
        </row>
        <row r="13650">
          <cell r="B13650" t="str">
            <v>B272-400-AS-290-AD-001</v>
          </cell>
          <cell r="E13650" t="str">
            <v>W-72(1/4)</v>
          </cell>
        </row>
        <row r="13651">
          <cell r="B13651" t="str">
            <v>B272-400-AS-290-AD-001</v>
          </cell>
          <cell r="E13651" t="str">
            <v>W-72(2/4)</v>
          </cell>
        </row>
        <row r="13652">
          <cell r="B13652" t="str">
            <v>B272-400-AS-290-AD-001</v>
          </cell>
          <cell r="E13652" t="str">
            <v>W-72(3/4)</v>
          </cell>
        </row>
        <row r="13653">
          <cell r="B13653" t="str">
            <v>B272-400-AS-290-AD-001</v>
          </cell>
          <cell r="E13653" t="str">
            <v>W-72(4/4)</v>
          </cell>
        </row>
        <row r="13654">
          <cell r="B13654" t="str">
            <v>B272-400-AS-290-AD-001</v>
          </cell>
          <cell r="E13654" t="str">
            <v>W-87(1/4)</v>
          </cell>
        </row>
        <row r="13655">
          <cell r="B13655" t="str">
            <v>B272-400-AS-290-AD-001</v>
          </cell>
          <cell r="E13655" t="str">
            <v>W-87(2/4)</v>
          </cell>
        </row>
        <row r="13656">
          <cell r="B13656" t="str">
            <v>B272-400-AS-290-AD-001</v>
          </cell>
          <cell r="E13656" t="str">
            <v>W-87(3/4)</v>
          </cell>
        </row>
        <row r="13657">
          <cell r="B13657" t="str">
            <v>B272-400-AS-290-AD-001</v>
          </cell>
          <cell r="E13657" t="str">
            <v>W-87(4/4)</v>
          </cell>
        </row>
        <row r="13658">
          <cell r="B13658" t="str">
            <v>B272-400-AS-290-AD-001</v>
          </cell>
          <cell r="E13658" t="str">
            <v>W-89(1/2)</v>
          </cell>
        </row>
        <row r="13659">
          <cell r="B13659" t="str">
            <v>B272-400-AS-290-AD-001</v>
          </cell>
          <cell r="E13659" t="str">
            <v>W-89(2/2)</v>
          </cell>
        </row>
        <row r="13660">
          <cell r="B13660" t="str">
            <v>B272-400-AS-290-AD-001</v>
          </cell>
          <cell r="E13660" t="str">
            <v>B1660</v>
          </cell>
        </row>
        <row r="13661">
          <cell r="B13661" t="str">
            <v>B272-400-AS-290-AD-001</v>
          </cell>
        </row>
        <row r="13662">
          <cell r="B13662" t="str">
            <v>B272-400-AS-290-AD-001</v>
          </cell>
          <cell r="E13662" t="str">
            <v>GC-1</v>
          </cell>
        </row>
        <row r="13663">
          <cell r="B13663" t="str">
            <v>B272-400-AS-290-AD-001</v>
          </cell>
          <cell r="E13663" t="str">
            <v>P-57(1/2)</v>
          </cell>
        </row>
        <row r="13664">
          <cell r="B13664" t="str">
            <v>B272-400-AS-290-AD-001</v>
          </cell>
          <cell r="E13664" t="str">
            <v>P-57(2/2)</v>
          </cell>
        </row>
        <row r="13665">
          <cell r="B13665" t="str">
            <v>B272-400-AS-290-AD-001</v>
          </cell>
          <cell r="E13665" t="str">
            <v>P-125</v>
          </cell>
        </row>
        <row r="13666">
          <cell r="B13666" t="str">
            <v>B272-400-AS-290-AD-001</v>
          </cell>
          <cell r="E13666" t="str">
            <v>P-126(1/4)</v>
          </cell>
        </row>
        <row r="13667">
          <cell r="B13667" t="str">
            <v>B272-400-AS-290-AD-001</v>
          </cell>
          <cell r="E13667" t="str">
            <v>P-126(2/4)</v>
          </cell>
        </row>
        <row r="13668">
          <cell r="B13668" t="str">
            <v>B272-400-AS-290-AD-001</v>
          </cell>
          <cell r="E13668" t="str">
            <v>P-126(3/4)</v>
          </cell>
        </row>
        <row r="13669">
          <cell r="B13669" t="str">
            <v>B272-400-AS-290-AD-001</v>
          </cell>
          <cell r="E13669" t="str">
            <v>P-126(4/4)</v>
          </cell>
        </row>
        <row r="13670">
          <cell r="B13670" t="str">
            <v>B272-400-AS-290-AD-001</v>
          </cell>
          <cell r="E13670" t="str">
            <v>P-391</v>
          </cell>
        </row>
        <row r="13671">
          <cell r="B13671" t="str">
            <v>B272-400-AS-290-AD-001</v>
          </cell>
          <cell r="E13671" t="str">
            <v>P-939(1/2)</v>
          </cell>
        </row>
        <row r="13672">
          <cell r="B13672" t="str">
            <v>B272-400-AS-290-AD-001</v>
          </cell>
          <cell r="E13672" t="str">
            <v>P-939(2/2)</v>
          </cell>
        </row>
        <row r="13673">
          <cell r="B13673" t="str">
            <v>B272-400-AS-290-AD-001</v>
          </cell>
          <cell r="E13673" t="str">
            <v>P-1116</v>
          </cell>
        </row>
        <row r="13674">
          <cell r="B13674" t="str">
            <v>B272-400-AS-290-AD-001</v>
          </cell>
          <cell r="E13674" t="str">
            <v>P-1117(1/2)</v>
          </cell>
        </row>
        <row r="13675">
          <cell r="B13675" t="str">
            <v>B272-400-AS-290-AD-001</v>
          </cell>
          <cell r="E13675" t="str">
            <v>P-1117(2/2)</v>
          </cell>
        </row>
        <row r="13676">
          <cell r="B13676" t="str">
            <v>B272-400-AS-290-AD-001</v>
          </cell>
          <cell r="E13676" t="str">
            <v>P-1197(1/2)</v>
          </cell>
        </row>
        <row r="13677">
          <cell r="B13677" t="str">
            <v>B272-400-AS-290-AD-001</v>
          </cell>
          <cell r="E13677" t="str">
            <v>P-1197(2/2)</v>
          </cell>
        </row>
        <row r="13678">
          <cell r="B13678" t="str">
            <v>B272-400-AS-290-AD-001</v>
          </cell>
          <cell r="E13678" t="str">
            <v>R-1(1/2)</v>
          </cell>
        </row>
        <row r="13679">
          <cell r="B13679" t="str">
            <v>B272-400-AS-290-AD-001</v>
          </cell>
          <cell r="E13679" t="str">
            <v>R-1(2/2)</v>
          </cell>
        </row>
        <row r="13680">
          <cell r="B13680" t="str">
            <v>B272-400-AS-290-AD-001</v>
          </cell>
          <cell r="E13680" t="str">
            <v>R-2(1/2)</v>
          </cell>
        </row>
        <row r="13681">
          <cell r="B13681" t="str">
            <v>B272-400-AS-290-AD-001</v>
          </cell>
          <cell r="E13681" t="str">
            <v>R-2(2/2)</v>
          </cell>
        </row>
        <row r="13682">
          <cell r="B13682" t="str">
            <v>B272-400-AS-290-AD-001</v>
          </cell>
          <cell r="E13682" t="str">
            <v>RX-1(1/2)</v>
          </cell>
        </row>
        <row r="13683">
          <cell r="B13683" t="str">
            <v>B272-400-AS-290-AD-001</v>
          </cell>
          <cell r="E13683" t="str">
            <v>RX-1(2/2)</v>
          </cell>
        </row>
        <row r="13684">
          <cell r="B13684" t="str">
            <v>B272-400-AS-290-AD-001</v>
          </cell>
          <cell r="E13684" t="str">
            <v>RZ-5(1/4)</v>
          </cell>
        </row>
        <row r="13685">
          <cell r="B13685" t="str">
            <v>B272-400-AS-290-AD-001</v>
          </cell>
          <cell r="E13685" t="str">
            <v>RZ-5(2/4)</v>
          </cell>
        </row>
        <row r="13686">
          <cell r="B13686" t="str">
            <v>B272-400-AS-290-AD-001</v>
          </cell>
          <cell r="E13686" t="str">
            <v>RZ-5(3/4)</v>
          </cell>
        </row>
        <row r="13687">
          <cell r="B13687" t="str">
            <v>B272-400-AS-290-AD-001</v>
          </cell>
          <cell r="E13687" t="str">
            <v>RZ-5(4/4)</v>
          </cell>
        </row>
        <row r="13688">
          <cell r="B13688" t="str">
            <v>B272-400-AS-290-AD-001</v>
          </cell>
          <cell r="E13688" t="str">
            <v>W-72(1/4)</v>
          </cell>
        </row>
        <row r="13689">
          <cell r="B13689" t="str">
            <v>B272-400-AS-290-AD-001</v>
          </cell>
          <cell r="E13689" t="str">
            <v>W-72(2/4)</v>
          </cell>
        </row>
        <row r="13690">
          <cell r="B13690" t="str">
            <v>B272-400-AS-290-AD-001</v>
          </cell>
          <cell r="E13690" t="str">
            <v>W-72(3/4)</v>
          </cell>
        </row>
        <row r="13691">
          <cell r="B13691" t="str">
            <v>B272-400-AS-290-AD-001</v>
          </cell>
          <cell r="E13691" t="str">
            <v>W-72(4/4)</v>
          </cell>
        </row>
        <row r="13692">
          <cell r="B13692" t="str">
            <v>B272-400-AS-290-AD-001</v>
          </cell>
          <cell r="E13692" t="str">
            <v>W-87(1/4)</v>
          </cell>
        </row>
        <row r="13693">
          <cell r="B13693" t="str">
            <v>B272-400-AS-290-AD-001</v>
          </cell>
          <cell r="E13693" t="str">
            <v>W-87(2/4)</v>
          </cell>
        </row>
        <row r="13694">
          <cell r="B13694" t="str">
            <v>B272-400-AS-290-AD-001</v>
          </cell>
          <cell r="E13694" t="str">
            <v>W-87(3/4)</v>
          </cell>
        </row>
        <row r="13695">
          <cell r="B13695" t="str">
            <v>B272-400-AS-290-AD-001</v>
          </cell>
          <cell r="E13695" t="str">
            <v>W-87(4/4)</v>
          </cell>
        </row>
        <row r="13696">
          <cell r="B13696" t="str">
            <v>B272-400-AS-290-AD-001</v>
          </cell>
          <cell r="E13696" t="str">
            <v>W-89(1/2)</v>
          </cell>
        </row>
        <row r="13697">
          <cell r="B13697" t="str">
            <v>B272-400-AS-290-AD-001</v>
          </cell>
          <cell r="E13697" t="str">
            <v>W-89(2/2)</v>
          </cell>
        </row>
        <row r="13698">
          <cell r="B13698" t="str">
            <v>B272-400-AS-290-AD-001</v>
          </cell>
          <cell r="E13698" t="str">
            <v>B1660</v>
          </cell>
        </row>
        <row r="13699">
          <cell r="B13699" t="str">
            <v>B272-400-AS-290-AD-001</v>
          </cell>
        </row>
        <row r="13700">
          <cell r="B13700" t="str">
            <v>B272-400-AS-290-AD-001</v>
          </cell>
          <cell r="E13700" t="str">
            <v>GC-1</v>
          </cell>
        </row>
        <row r="13701">
          <cell r="B13701" t="str">
            <v>B272-400-AS-290-AD-001</v>
          </cell>
          <cell r="E13701" t="str">
            <v>P-57(1/2)</v>
          </cell>
        </row>
        <row r="13702">
          <cell r="B13702" t="str">
            <v>B272-400-AS-290-AD-001</v>
          </cell>
          <cell r="E13702" t="str">
            <v>P-57(2/2)</v>
          </cell>
        </row>
        <row r="13703">
          <cell r="B13703" t="str">
            <v>B272-400-AS-290-AD-001</v>
          </cell>
          <cell r="E13703" t="str">
            <v>P-125</v>
          </cell>
        </row>
        <row r="13704">
          <cell r="B13704" t="str">
            <v>B272-400-AS-290-AD-001</v>
          </cell>
          <cell r="E13704" t="str">
            <v>P-126(1/4)</v>
          </cell>
        </row>
        <row r="13705">
          <cell r="B13705" t="str">
            <v>B272-400-AS-290-AD-001</v>
          </cell>
          <cell r="E13705" t="str">
            <v>P-126(2/4)</v>
          </cell>
        </row>
        <row r="13706">
          <cell r="B13706" t="str">
            <v>B272-400-AS-290-AD-001</v>
          </cell>
          <cell r="E13706" t="str">
            <v>P-126(3/4)</v>
          </cell>
        </row>
        <row r="13707">
          <cell r="B13707" t="str">
            <v>B272-400-AS-290-AD-001</v>
          </cell>
          <cell r="E13707" t="str">
            <v>P-126(4/4)</v>
          </cell>
        </row>
        <row r="13708">
          <cell r="B13708" t="str">
            <v>B272-400-AS-290-AD-001</v>
          </cell>
          <cell r="E13708" t="str">
            <v>P-391</v>
          </cell>
        </row>
        <row r="13709">
          <cell r="B13709" t="str">
            <v>B272-400-AS-290-AD-001</v>
          </cell>
          <cell r="E13709" t="str">
            <v>P-939(1/2)</v>
          </cell>
        </row>
        <row r="13710">
          <cell r="B13710" t="str">
            <v>B272-400-AS-290-AD-001</v>
          </cell>
          <cell r="E13710" t="str">
            <v>P-939(2/2)</v>
          </cell>
        </row>
        <row r="13711">
          <cell r="B13711" t="str">
            <v>B272-400-AS-290-AD-001</v>
          </cell>
          <cell r="E13711" t="str">
            <v>P-1116</v>
          </cell>
        </row>
        <row r="13712">
          <cell r="B13712" t="str">
            <v>B272-400-AS-290-AD-001</v>
          </cell>
          <cell r="E13712" t="str">
            <v>P-1117(1/2)</v>
          </cell>
        </row>
        <row r="13713">
          <cell r="B13713" t="str">
            <v>B272-400-AS-290-AD-001</v>
          </cell>
          <cell r="E13713" t="str">
            <v>P-1117(2/2)</v>
          </cell>
        </row>
        <row r="13714">
          <cell r="B13714" t="str">
            <v>B272-400-AS-290-AD-001</v>
          </cell>
          <cell r="E13714" t="str">
            <v>P-1197(1/2)</v>
          </cell>
        </row>
        <row r="13715">
          <cell r="B13715" t="str">
            <v>B272-400-AS-290-AD-001</v>
          </cell>
          <cell r="E13715" t="str">
            <v>P-1197(2/2)</v>
          </cell>
        </row>
        <row r="13716">
          <cell r="B13716" t="str">
            <v>B272-400-AS-290-AD-001</v>
          </cell>
          <cell r="E13716" t="str">
            <v>R-1(1/2)</v>
          </cell>
        </row>
        <row r="13717">
          <cell r="B13717" t="str">
            <v>B272-400-AS-290-AD-001</v>
          </cell>
          <cell r="E13717" t="str">
            <v>R-1(2/2)</v>
          </cell>
        </row>
        <row r="13718">
          <cell r="B13718" t="str">
            <v>B272-400-AS-290-AD-001</v>
          </cell>
          <cell r="E13718" t="str">
            <v>R-2(1/2)</v>
          </cell>
        </row>
        <row r="13719">
          <cell r="B13719" t="str">
            <v>B272-400-AS-290-AD-001</v>
          </cell>
          <cell r="E13719" t="str">
            <v>R-2(2/2)</v>
          </cell>
        </row>
        <row r="13720">
          <cell r="B13720" t="str">
            <v>B272-400-AS-290-AD-001</v>
          </cell>
          <cell r="E13720" t="str">
            <v>RX-1(1/2)</v>
          </cell>
        </row>
        <row r="13721">
          <cell r="B13721" t="str">
            <v>B272-400-AS-290-AD-001</v>
          </cell>
          <cell r="E13721" t="str">
            <v>RX-1(2/2)</v>
          </cell>
        </row>
        <row r="13722">
          <cell r="B13722" t="str">
            <v>B272-400-AS-290-AD-001</v>
          </cell>
          <cell r="E13722" t="str">
            <v>RZ-5(1/4)</v>
          </cell>
        </row>
        <row r="13723">
          <cell r="B13723" t="str">
            <v>B272-400-AS-290-AD-001</v>
          </cell>
          <cell r="E13723" t="str">
            <v>RZ-5(2/4)</v>
          </cell>
        </row>
        <row r="13724">
          <cell r="B13724" t="str">
            <v>B272-400-AS-290-AD-001</v>
          </cell>
          <cell r="E13724" t="str">
            <v>RZ-5(3/4)</v>
          </cell>
        </row>
        <row r="13725">
          <cell r="B13725" t="str">
            <v>B272-400-AS-290-AD-001</v>
          </cell>
          <cell r="E13725" t="str">
            <v>RZ-5(4/4)</v>
          </cell>
        </row>
        <row r="13726">
          <cell r="B13726" t="str">
            <v>B272-400-AS-290-AD-001</v>
          </cell>
          <cell r="E13726" t="str">
            <v>W-72(1/4)</v>
          </cell>
        </row>
        <row r="13727">
          <cell r="B13727" t="str">
            <v>B272-400-AS-290-AD-001</v>
          </cell>
          <cell r="E13727" t="str">
            <v>W-72(2/4)</v>
          </cell>
        </row>
        <row r="13728">
          <cell r="B13728" t="str">
            <v>B272-400-AS-290-AD-001</v>
          </cell>
          <cell r="E13728" t="str">
            <v>W-72(3/4)</v>
          </cell>
        </row>
        <row r="13729">
          <cell r="B13729" t="str">
            <v>B272-400-AS-290-AD-001</v>
          </cell>
          <cell r="E13729" t="str">
            <v>W-72(4/4)</v>
          </cell>
        </row>
        <row r="13730">
          <cell r="B13730" t="str">
            <v>B272-400-AS-290-AD-001</v>
          </cell>
          <cell r="E13730" t="str">
            <v>W-87(1/4)</v>
          </cell>
        </row>
        <row r="13731">
          <cell r="B13731" t="str">
            <v>B272-400-AS-290-AD-001</v>
          </cell>
          <cell r="E13731" t="str">
            <v>W-87(2/4)</v>
          </cell>
        </row>
        <row r="13732">
          <cell r="B13732" t="str">
            <v>B272-400-AS-290-AD-001</v>
          </cell>
          <cell r="E13732" t="str">
            <v>W-87(3/4)</v>
          </cell>
        </row>
        <row r="13733">
          <cell r="B13733" t="str">
            <v>B272-400-AS-290-AD-001</v>
          </cell>
          <cell r="E13733" t="str">
            <v>W-87(4/4)</v>
          </cell>
        </row>
        <row r="13734">
          <cell r="B13734" t="str">
            <v>B272-400-AS-290-AD-001</v>
          </cell>
          <cell r="E13734" t="str">
            <v>W-89(1/2)</v>
          </cell>
        </row>
        <row r="13735">
          <cell r="B13735" t="str">
            <v>B272-400-AS-290-AD-001</v>
          </cell>
          <cell r="E13735" t="str">
            <v>W-89(2/2)</v>
          </cell>
        </row>
        <row r="13736">
          <cell r="B13736" t="str">
            <v>B272-400-AS-290-AD-001</v>
          </cell>
          <cell r="E13736" t="str">
            <v>B1660</v>
          </cell>
        </row>
        <row r="13737">
          <cell r="B13737" t="str">
            <v>B272-400-AS-290-AD-002</v>
          </cell>
        </row>
        <row r="13738">
          <cell r="B13738" t="str">
            <v>B272-400-AS-290-AD-002</v>
          </cell>
          <cell r="E13738" t="str">
            <v>P-127</v>
          </cell>
        </row>
        <row r="13739">
          <cell r="B13739" t="str">
            <v>B272-400-AS-290-AD-002</v>
          </cell>
          <cell r="E13739" t="str">
            <v>P-879</v>
          </cell>
        </row>
        <row r="13740">
          <cell r="B13740" t="str">
            <v>B272-400-AS-290-AD-002</v>
          </cell>
          <cell r="E13740" t="str">
            <v>P-880(1/2)</v>
          </cell>
        </row>
        <row r="13741">
          <cell r="B13741" t="str">
            <v>B272-400-AS-290-AD-002</v>
          </cell>
          <cell r="E13741" t="str">
            <v>P-880(2/2)</v>
          </cell>
        </row>
        <row r="13742">
          <cell r="B13742" t="str">
            <v>B272-400-AS-290-AD-002</v>
          </cell>
          <cell r="E13742" t="str">
            <v>P-938(1/2)</v>
          </cell>
        </row>
        <row r="13743">
          <cell r="B13743" t="str">
            <v>B272-400-AS-290-AD-002</v>
          </cell>
          <cell r="E13743" t="str">
            <v>P-938(2/2)</v>
          </cell>
        </row>
        <row r="13744">
          <cell r="B13744" t="str">
            <v>B272-400-AS-290-AD-002</v>
          </cell>
          <cell r="E13744" t="str">
            <v>P-1077(1/2)</v>
          </cell>
        </row>
        <row r="13745">
          <cell r="B13745" t="str">
            <v>B272-400-AS-290-AD-002</v>
          </cell>
          <cell r="E13745" t="str">
            <v>P-1077(2/2)</v>
          </cell>
        </row>
        <row r="13746">
          <cell r="B13746" t="str">
            <v>B272-400-AS-290-AD-002</v>
          </cell>
          <cell r="E13746" t="str">
            <v>RX-1(1/2)</v>
          </cell>
        </row>
        <row r="13747">
          <cell r="B13747" t="str">
            <v>B272-400-AS-290-AD-002</v>
          </cell>
          <cell r="E13747" t="str">
            <v>RX-1(2/2)</v>
          </cell>
        </row>
        <row r="13748">
          <cell r="B13748" t="str">
            <v>B272-400-AS-290-AD-002</v>
          </cell>
        </row>
        <row r="13749">
          <cell r="B13749" t="str">
            <v>B272-400-AS-290-AD-002</v>
          </cell>
          <cell r="E13749" t="str">
            <v>P-127</v>
          </cell>
        </row>
        <row r="13750">
          <cell r="B13750" t="str">
            <v>B272-400-AS-290-AD-002</v>
          </cell>
          <cell r="E13750" t="str">
            <v>P-879</v>
          </cell>
        </row>
        <row r="13751">
          <cell r="B13751" t="str">
            <v>B272-400-AS-290-AD-002</v>
          </cell>
          <cell r="E13751" t="str">
            <v>P-880(1/2)</v>
          </cell>
        </row>
        <row r="13752">
          <cell r="B13752" t="str">
            <v>B272-400-AS-290-AD-002</v>
          </cell>
          <cell r="E13752" t="str">
            <v>P-880(2/2)</v>
          </cell>
        </row>
        <row r="13753">
          <cell r="B13753" t="str">
            <v>B272-400-AS-290-AD-002</v>
          </cell>
          <cell r="E13753" t="str">
            <v>P-938(1/2)</v>
          </cell>
        </row>
        <row r="13754">
          <cell r="B13754" t="str">
            <v>B272-400-AS-290-AD-002</v>
          </cell>
          <cell r="E13754" t="str">
            <v>P-938(2/2)</v>
          </cell>
        </row>
        <row r="13755">
          <cell r="B13755" t="str">
            <v>B272-400-AS-290-AD-002</v>
          </cell>
          <cell r="E13755" t="str">
            <v>P-1077(1/2)</v>
          </cell>
        </row>
        <row r="13756">
          <cell r="B13756" t="str">
            <v>B272-400-AS-290-AD-002</v>
          </cell>
          <cell r="E13756" t="str">
            <v>P-1077(2/2)</v>
          </cell>
        </row>
        <row r="13757">
          <cell r="B13757" t="str">
            <v>B272-400-AS-290-AD-002</v>
          </cell>
          <cell r="E13757" t="str">
            <v>RX-1(1/2)</v>
          </cell>
        </row>
        <row r="13758">
          <cell r="B13758" t="str">
            <v>B272-400-AS-290-AD-002</v>
          </cell>
          <cell r="E13758" t="str">
            <v>RX-1(2/2)</v>
          </cell>
        </row>
        <row r="13759">
          <cell r="B13759" t="str">
            <v>B272-400-AS-290-AD-002</v>
          </cell>
        </row>
        <row r="13760">
          <cell r="B13760" t="str">
            <v>B272-400-AS-290-AD-002</v>
          </cell>
          <cell r="E13760" t="str">
            <v>P-127</v>
          </cell>
        </row>
        <row r="13761">
          <cell r="B13761" t="str">
            <v>B272-400-AS-290-AD-002</v>
          </cell>
          <cell r="E13761" t="str">
            <v>P-879</v>
          </cell>
        </row>
        <row r="13762">
          <cell r="B13762" t="str">
            <v>B272-400-AS-290-AD-002</v>
          </cell>
          <cell r="E13762" t="str">
            <v>P-880(1/2)</v>
          </cell>
        </row>
        <row r="13763">
          <cell r="B13763" t="str">
            <v>B272-400-AS-290-AD-002</v>
          </cell>
          <cell r="E13763" t="str">
            <v>P-880(2/2)</v>
          </cell>
        </row>
        <row r="13764">
          <cell r="B13764" t="str">
            <v>B272-400-AS-290-AD-002</v>
          </cell>
          <cell r="E13764" t="str">
            <v>P-938(1/2)</v>
          </cell>
        </row>
        <row r="13765">
          <cell r="B13765" t="str">
            <v>B272-400-AS-290-AD-002</v>
          </cell>
          <cell r="E13765" t="str">
            <v>P-938(2/2)</v>
          </cell>
        </row>
        <row r="13766">
          <cell r="B13766" t="str">
            <v>B272-400-AS-290-AD-002</v>
          </cell>
          <cell r="E13766" t="str">
            <v>P-1077(1/2)</v>
          </cell>
        </row>
        <row r="13767">
          <cell r="B13767" t="str">
            <v>B272-400-AS-290-AD-002</v>
          </cell>
          <cell r="E13767" t="str">
            <v>P-1077(2/2)</v>
          </cell>
        </row>
        <row r="13768">
          <cell r="B13768" t="str">
            <v>B272-400-AS-290-AD-002</v>
          </cell>
          <cell r="E13768" t="str">
            <v>RX-1(1/2)</v>
          </cell>
        </row>
        <row r="13769">
          <cell r="B13769" t="str">
            <v>B272-400-AS-290-AD-002</v>
          </cell>
          <cell r="E13769" t="str">
            <v>RX-1(2/2)</v>
          </cell>
        </row>
        <row r="13770">
          <cell r="B13770" t="str">
            <v>B272-400-AS-290-AD-002</v>
          </cell>
        </row>
        <row r="13771">
          <cell r="B13771" t="str">
            <v>B272-400-AS-290-AD-002</v>
          </cell>
          <cell r="E13771" t="str">
            <v>P-127</v>
          </cell>
        </row>
        <row r="13772">
          <cell r="B13772" t="str">
            <v>B272-400-AS-290-AD-002</v>
          </cell>
          <cell r="E13772" t="str">
            <v>P-879</v>
          </cell>
        </row>
        <row r="13773">
          <cell r="B13773" t="str">
            <v>B272-400-AS-290-AD-002</v>
          </cell>
          <cell r="E13773" t="str">
            <v>P-880(1/2)</v>
          </cell>
        </row>
        <row r="13774">
          <cell r="B13774" t="str">
            <v>B272-400-AS-290-AD-002</v>
          </cell>
          <cell r="E13774" t="str">
            <v>P-880(2/2)</v>
          </cell>
        </row>
        <row r="13775">
          <cell r="B13775" t="str">
            <v>B272-400-AS-290-AD-002</v>
          </cell>
          <cell r="E13775" t="str">
            <v>P-938(1/2)</v>
          </cell>
        </row>
        <row r="13776">
          <cell r="B13776" t="str">
            <v>B272-400-AS-290-AD-002</v>
          </cell>
          <cell r="E13776" t="str">
            <v>P-938(2/2)</v>
          </cell>
        </row>
        <row r="13777">
          <cell r="B13777" t="str">
            <v>B272-400-AS-290-AD-002</v>
          </cell>
          <cell r="E13777" t="str">
            <v>P-1077(1/2)</v>
          </cell>
        </row>
        <row r="13778">
          <cell r="B13778" t="str">
            <v>B272-400-AS-290-AD-002</v>
          </cell>
          <cell r="E13778" t="str">
            <v>P-1077(2/2)</v>
          </cell>
        </row>
        <row r="13779">
          <cell r="B13779" t="str">
            <v>B272-400-AS-290-AD-002</v>
          </cell>
          <cell r="E13779" t="str">
            <v>RX-1(1/2)</v>
          </cell>
        </row>
        <row r="13780">
          <cell r="B13780" t="str">
            <v>B272-400-AS-290-AD-002</v>
          </cell>
          <cell r="E13780" t="str">
            <v>RX-1(2/2)</v>
          </cell>
        </row>
        <row r="13781">
          <cell r="B13781" t="str">
            <v>B272-400-AS-290-AD-002</v>
          </cell>
        </row>
        <row r="13782">
          <cell r="B13782" t="str">
            <v>B272-400-AS-290-AD-002</v>
          </cell>
          <cell r="E13782" t="str">
            <v>P-127</v>
          </cell>
        </row>
        <row r="13783">
          <cell r="B13783" t="str">
            <v>B272-400-AS-290-AD-002</v>
          </cell>
          <cell r="E13783" t="str">
            <v>P-879</v>
          </cell>
        </row>
        <row r="13784">
          <cell r="B13784" t="str">
            <v>B272-400-AS-290-AD-002</v>
          </cell>
          <cell r="E13784" t="str">
            <v>P-880(1/2)</v>
          </cell>
        </row>
        <row r="13785">
          <cell r="B13785" t="str">
            <v>B272-400-AS-290-AD-002</v>
          </cell>
          <cell r="E13785" t="str">
            <v>P-880(2/2)</v>
          </cell>
        </row>
        <row r="13786">
          <cell r="B13786" t="str">
            <v>B272-400-AS-290-AD-002</v>
          </cell>
          <cell r="E13786" t="str">
            <v>P-938(1/2)</v>
          </cell>
        </row>
        <row r="13787">
          <cell r="B13787" t="str">
            <v>B272-400-AS-290-AD-002</v>
          </cell>
          <cell r="E13787" t="str">
            <v>P-938(2/2)</v>
          </cell>
        </row>
        <row r="13788">
          <cell r="B13788" t="str">
            <v>B272-400-AS-290-AD-002</v>
          </cell>
          <cell r="E13788" t="str">
            <v>P-1077(1/2)</v>
          </cell>
        </row>
        <row r="13789">
          <cell r="B13789" t="str">
            <v>B272-400-AS-290-AD-002</v>
          </cell>
          <cell r="E13789" t="str">
            <v>P-1077(2/2)</v>
          </cell>
        </row>
        <row r="13790">
          <cell r="B13790" t="str">
            <v>B272-400-AS-290-AD-002</v>
          </cell>
          <cell r="E13790" t="str">
            <v>RX-1(1/2)</v>
          </cell>
        </row>
        <row r="13791">
          <cell r="B13791" t="str">
            <v>B272-400-AS-290-AD-002</v>
          </cell>
          <cell r="E13791" t="str">
            <v>RX-1(2/2)</v>
          </cell>
        </row>
        <row r="13792">
          <cell r="B13792" t="str">
            <v>B272-400-AS-290-AD-002</v>
          </cell>
        </row>
        <row r="13793">
          <cell r="B13793" t="str">
            <v>B272-400-AS-290-AD-002</v>
          </cell>
          <cell r="E13793" t="str">
            <v>P-127</v>
          </cell>
        </row>
        <row r="13794">
          <cell r="B13794" t="str">
            <v>B272-400-AS-290-AD-002</v>
          </cell>
          <cell r="E13794" t="str">
            <v>P-879</v>
          </cell>
        </row>
        <row r="13795">
          <cell r="B13795" t="str">
            <v>B272-400-AS-290-AD-002</v>
          </cell>
          <cell r="E13795" t="str">
            <v>P-880(1/2)</v>
          </cell>
        </row>
        <row r="13796">
          <cell r="B13796" t="str">
            <v>B272-400-AS-290-AD-002</v>
          </cell>
          <cell r="E13796" t="str">
            <v>P-880(2/2)</v>
          </cell>
        </row>
        <row r="13797">
          <cell r="B13797" t="str">
            <v>B272-400-AS-290-AD-002</v>
          </cell>
          <cell r="E13797" t="str">
            <v>P-938(1/2)</v>
          </cell>
        </row>
        <row r="13798">
          <cell r="B13798" t="str">
            <v>B272-400-AS-290-AD-002</v>
          </cell>
          <cell r="E13798" t="str">
            <v>P-938(2/2)</v>
          </cell>
        </row>
        <row r="13799">
          <cell r="B13799" t="str">
            <v>B272-400-AS-290-AD-002</v>
          </cell>
          <cell r="E13799" t="str">
            <v>P-1077(1/2)</v>
          </cell>
        </row>
        <row r="13800">
          <cell r="B13800" t="str">
            <v>B272-400-AS-290-AD-002</v>
          </cell>
          <cell r="E13800" t="str">
            <v>P-1077(2/2)</v>
          </cell>
        </row>
        <row r="13801">
          <cell r="B13801" t="str">
            <v>B272-400-AS-290-AD-002</v>
          </cell>
          <cell r="E13801" t="str">
            <v>RX-1(1/2)</v>
          </cell>
        </row>
        <row r="13802">
          <cell r="B13802" t="str">
            <v>B272-400-AS-290-AD-002</v>
          </cell>
          <cell r="E13802" t="str">
            <v>RX-1(2/2)</v>
          </cell>
        </row>
        <row r="13803">
          <cell r="B13803" t="str">
            <v>B272-400-AS-370-SD-001</v>
          </cell>
        </row>
        <row r="13804">
          <cell r="B13804" t="str">
            <v>B272-400-AS-370-SD-001</v>
          </cell>
          <cell r="E13804" t="str">
            <v>G-11</v>
          </cell>
        </row>
        <row r="13805">
          <cell r="B13805" t="str">
            <v>B272-400-AS-370-SD-001</v>
          </cell>
          <cell r="E13805" t="str">
            <v>P-138(1/2)</v>
          </cell>
        </row>
        <row r="13806">
          <cell r="B13806" t="str">
            <v>B272-400-AS-370-SD-001</v>
          </cell>
          <cell r="E13806" t="str">
            <v>P-138(2/2)</v>
          </cell>
        </row>
        <row r="13807">
          <cell r="B13807" t="str">
            <v>B272-400-AS-370-SD-001</v>
          </cell>
          <cell r="E13807" t="str">
            <v>P-141(1/2)</v>
          </cell>
        </row>
        <row r="13808">
          <cell r="B13808" t="str">
            <v>B272-400-AS-370-SD-001</v>
          </cell>
          <cell r="E13808" t="str">
            <v>P-141(2/2)</v>
          </cell>
        </row>
        <row r="13809">
          <cell r="B13809" t="str">
            <v>B272-400-AS-370-SD-001</v>
          </cell>
          <cell r="E13809" t="str">
            <v>P-142</v>
          </cell>
        </row>
        <row r="13810">
          <cell r="B13810" t="str">
            <v>B272-400-AS-370-SD-001</v>
          </cell>
          <cell r="E13810" t="str">
            <v>P-293</v>
          </cell>
        </row>
        <row r="13811">
          <cell r="B13811" t="str">
            <v>B272-400-AS-370-SD-001</v>
          </cell>
          <cell r="E13811" t="str">
            <v>P-1106(1/4)</v>
          </cell>
        </row>
        <row r="13812">
          <cell r="B13812" t="str">
            <v>B272-400-AS-370-SD-001</v>
          </cell>
          <cell r="E13812" t="str">
            <v>P-1106(2/4)</v>
          </cell>
        </row>
        <row r="13813">
          <cell r="B13813" t="str">
            <v>B272-400-AS-370-SD-001</v>
          </cell>
          <cell r="E13813" t="str">
            <v>P-1106(3/4)</v>
          </cell>
        </row>
        <row r="13814">
          <cell r="B13814" t="str">
            <v>B272-400-AS-370-SD-001</v>
          </cell>
          <cell r="E13814" t="str">
            <v>P-1106(4/4)</v>
          </cell>
        </row>
        <row r="13815">
          <cell r="B13815" t="str">
            <v>B272-400-AS-370-SD-001</v>
          </cell>
          <cell r="E13815" t="str">
            <v>P-1107(1/2)</v>
          </cell>
        </row>
        <row r="13816">
          <cell r="B13816" t="str">
            <v>B272-400-AS-370-SD-001</v>
          </cell>
          <cell r="E13816" t="str">
            <v>P-1107(2/2)</v>
          </cell>
        </row>
        <row r="13817">
          <cell r="B13817" t="str">
            <v>B272-400-AS-370-SD-001</v>
          </cell>
        </row>
        <row r="13818">
          <cell r="B13818" t="str">
            <v>B272-400-AS-370-SD-001</v>
          </cell>
          <cell r="E13818" t="str">
            <v>G-11</v>
          </cell>
        </row>
        <row r="13819">
          <cell r="B13819" t="str">
            <v>B272-400-AS-370-SD-001</v>
          </cell>
          <cell r="E13819" t="str">
            <v>P-138(1/2)</v>
          </cell>
        </row>
        <row r="13820">
          <cell r="B13820" t="str">
            <v>B272-400-AS-370-SD-001</v>
          </cell>
          <cell r="E13820" t="str">
            <v>P-138(2/2)</v>
          </cell>
        </row>
        <row r="13821">
          <cell r="B13821" t="str">
            <v>B272-400-AS-370-SD-001</v>
          </cell>
          <cell r="E13821" t="str">
            <v>P-141(1/2)</v>
          </cell>
        </row>
        <row r="13822">
          <cell r="B13822" t="str">
            <v>B272-400-AS-370-SD-001</v>
          </cell>
          <cell r="E13822" t="str">
            <v>P-141(2/2)</v>
          </cell>
        </row>
        <row r="13823">
          <cell r="B13823" t="str">
            <v>B272-400-AS-370-SD-001</v>
          </cell>
          <cell r="E13823" t="str">
            <v>P-142</v>
          </cell>
        </row>
        <row r="13824">
          <cell r="B13824" t="str">
            <v>B272-400-AS-370-SD-001</v>
          </cell>
          <cell r="E13824" t="str">
            <v>P-293</v>
          </cell>
        </row>
        <row r="13825">
          <cell r="B13825" t="str">
            <v>B272-400-AS-370-SD-001</v>
          </cell>
          <cell r="E13825" t="str">
            <v>P-1106(1/4)</v>
          </cell>
        </row>
        <row r="13826">
          <cell r="B13826" t="str">
            <v>B272-400-AS-370-SD-001</v>
          </cell>
          <cell r="E13826" t="str">
            <v>P-1106(2/4)</v>
          </cell>
        </row>
        <row r="13827">
          <cell r="B13827" t="str">
            <v>B272-400-AS-370-SD-001</v>
          </cell>
          <cell r="E13827" t="str">
            <v>P-1106(3/4)</v>
          </cell>
        </row>
        <row r="13828">
          <cell r="B13828" t="str">
            <v>B272-400-AS-370-SD-001</v>
          </cell>
          <cell r="E13828" t="str">
            <v>P-1106(4/4)</v>
          </cell>
        </row>
        <row r="13829">
          <cell r="B13829" t="str">
            <v>B272-400-AS-370-SD-001</v>
          </cell>
          <cell r="E13829" t="str">
            <v>P-1107(1/2)</v>
          </cell>
        </row>
        <row r="13830">
          <cell r="B13830" t="str">
            <v>B272-400-AS-370-SD-001</v>
          </cell>
          <cell r="E13830" t="str">
            <v>P-1107(2/2)</v>
          </cell>
        </row>
        <row r="13831">
          <cell r="B13831" t="str">
            <v>B272-400-AS-370-SD-002</v>
          </cell>
        </row>
        <row r="13832">
          <cell r="B13832" t="str">
            <v>B272-400-AS-370-SD-002</v>
          </cell>
          <cell r="E13832" t="str">
            <v>G-12</v>
          </cell>
        </row>
        <row r="13833">
          <cell r="B13833" t="str">
            <v>B272-400-AS-370-SD-002</v>
          </cell>
          <cell r="E13833" t="str">
            <v>P-144(1/2)</v>
          </cell>
        </row>
        <row r="13834">
          <cell r="B13834" t="str">
            <v>B272-400-AS-370-SD-002</v>
          </cell>
          <cell r="E13834" t="str">
            <v>P-144(2/2)</v>
          </cell>
        </row>
        <row r="13835">
          <cell r="B13835" t="str">
            <v>B272-400-AS-370-SD-002</v>
          </cell>
          <cell r="E13835" t="str">
            <v>P-145(1/2)</v>
          </cell>
        </row>
        <row r="13836">
          <cell r="B13836" t="str">
            <v>B272-400-AS-370-SD-002</v>
          </cell>
          <cell r="E13836" t="str">
            <v>P-145(2/2)</v>
          </cell>
        </row>
        <row r="13837">
          <cell r="B13837" t="str">
            <v>B272-400-AS-370-SD-002</v>
          </cell>
          <cell r="E13837" t="str">
            <v>P-146</v>
          </cell>
        </row>
        <row r="13838">
          <cell r="B13838" t="str">
            <v>B272-400-AS-370-SD-002</v>
          </cell>
          <cell r="E13838" t="str">
            <v>P-149</v>
          </cell>
        </row>
        <row r="13839">
          <cell r="B13839" t="str">
            <v>B272-400-AS-370-SD-002</v>
          </cell>
          <cell r="E13839" t="str">
            <v>P-293</v>
          </cell>
        </row>
        <row r="13840">
          <cell r="B13840" t="str">
            <v>B272-400-AS-370-SD-002</v>
          </cell>
        </row>
        <row r="13841">
          <cell r="B13841" t="str">
            <v>B272-400-AS-370-SD-002</v>
          </cell>
          <cell r="E13841" t="str">
            <v>G-12</v>
          </cell>
        </row>
        <row r="13842">
          <cell r="B13842" t="str">
            <v>B272-400-AS-370-SD-002</v>
          </cell>
          <cell r="E13842" t="str">
            <v>P-144(1/2)</v>
          </cell>
        </row>
        <row r="13843">
          <cell r="B13843" t="str">
            <v>B272-400-AS-370-SD-002</v>
          </cell>
          <cell r="E13843" t="str">
            <v>P-144(2/2)</v>
          </cell>
        </row>
        <row r="13844">
          <cell r="B13844" t="str">
            <v>B272-400-AS-370-SD-002</v>
          </cell>
          <cell r="E13844" t="str">
            <v>P-145(1/2)</v>
          </cell>
        </row>
        <row r="13845">
          <cell r="B13845" t="str">
            <v>B272-400-AS-370-SD-002</v>
          </cell>
          <cell r="E13845" t="str">
            <v>P-145(2/2)</v>
          </cell>
        </row>
        <row r="13846">
          <cell r="B13846" t="str">
            <v>B272-400-AS-370-SD-002</v>
          </cell>
          <cell r="E13846" t="str">
            <v>P-146</v>
          </cell>
        </row>
        <row r="13847">
          <cell r="B13847" t="str">
            <v>B272-400-AS-370-SD-002</v>
          </cell>
          <cell r="E13847" t="str">
            <v>P-149</v>
          </cell>
        </row>
        <row r="13848">
          <cell r="B13848" t="str">
            <v>B272-400-AS-370-SD-002</v>
          </cell>
          <cell r="E13848" t="str">
            <v>P-293</v>
          </cell>
        </row>
        <row r="13849">
          <cell r="B13849" t="str">
            <v>B272-400-AS-370-SD-002</v>
          </cell>
        </row>
        <row r="13850">
          <cell r="B13850" t="str">
            <v>B272-400-AS-370-SD-002</v>
          </cell>
          <cell r="E13850" t="str">
            <v>G-12</v>
          </cell>
        </row>
        <row r="13851">
          <cell r="B13851" t="str">
            <v>B272-400-AS-370-SD-002</v>
          </cell>
          <cell r="E13851" t="str">
            <v>P-144(1/2)</v>
          </cell>
        </row>
        <row r="13852">
          <cell r="B13852" t="str">
            <v>B272-400-AS-370-SD-002</v>
          </cell>
          <cell r="E13852" t="str">
            <v>P-144(2/2)</v>
          </cell>
        </row>
        <row r="13853">
          <cell r="B13853" t="str">
            <v>B272-400-AS-370-SD-002</v>
          </cell>
          <cell r="E13853" t="str">
            <v>P-145(1/2)</v>
          </cell>
        </row>
        <row r="13854">
          <cell r="B13854" t="str">
            <v>B272-400-AS-370-SD-002</v>
          </cell>
          <cell r="E13854" t="str">
            <v>P-145(2/2)</v>
          </cell>
        </row>
        <row r="13855">
          <cell r="B13855" t="str">
            <v>B272-400-AS-370-SD-002</v>
          </cell>
          <cell r="E13855" t="str">
            <v>P-146</v>
          </cell>
        </row>
        <row r="13856">
          <cell r="B13856" t="str">
            <v>B272-400-AS-370-SD-002</v>
          </cell>
          <cell r="E13856" t="str">
            <v>P-149</v>
          </cell>
        </row>
        <row r="13857">
          <cell r="B13857" t="str">
            <v>B272-400-AS-370-SD-002</v>
          </cell>
          <cell r="E13857" t="str">
            <v>P-293</v>
          </cell>
        </row>
        <row r="13858">
          <cell r="B13858" t="str">
            <v>B272-400-AS-370-SD-002</v>
          </cell>
        </row>
        <row r="13859">
          <cell r="B13859" t="str">
            <v>B272-400-AS-370-SD-002</v>
          </cell>
          <cell r="E13859" t="str">
            <v>G-12</v>
          </cell>
        </row>
        <row r="13860">
          <cell r="B13860" t="str">
            <v>B272-400-AS-370-SD-002</v>
          </cell>
          <cell r="E13860" t="str">
            <v>P-144(1/2)</v>
          </cell>
        </row>
        <row r="13861">
          <cell r="B13861" t="str">
            <v>B272-400-AS-370-SD-002</v>
          </cell>
          <cell r="E13861" t="str">
            <v>P-144(2/2)</v>
          </cell>
        </row>
        <row r="13862">
          <cell r="B13862" t="str">
            <v>B272-400-AS-370-SD-002</v>
          </cell>
          <cell r="E13862" t="str">
            <v>P-145(1/2)</v>
          </cell>
        </row>
        <row r="13863">
          <cell r="B13863" t="str">
            <v>B272-400-AS-370-SD-002</v>
          </cell>
          <cell r="E13863" t="str">
            <v>P-145(2/2)</v>
          </cell>
        </row>
        <row r="13864">
          <cell r="B13864" t="str">
            <v>B272-400-AS-370-SD-002</v>
          </cell>
          <cell r="E13864" t="str">
            <v>P-146</v>
          </cell>
        </row>
        <row r="13865">
          <cell r="B13865" t="str">
            <v>B272-400-AS-370-SD-002</v>
          </cell>
          <cell r="E13865" t="str">
            <v>P-149</v>
          </cell>
        </row>
        <row r="13866">
          <cell r="B13866" t="str">
            <v>B272-400-AS-370-SD-002</v>
          </cell>
          <cell r="E13866" t="str">
            <v>P-293</v>
          </cell>
        </row>
        <row r="13867">
          <cell r="B13867" t="str">
            <v>B272-400-AS-370-SD-002</v>
          </cell>
        </row>
        <row r="13868">
          <cell r="B13868" t="str">
            <v>B272-400-AS-370-SD-002</v>
          </cell>
          <cell r="E13868" t="str">
            <v>G-12</v>
          </cell>
        </row>
        <row r="13869">
          <cell r="B13869" t="str">
            <v>B272-400-AS-370-SD-002</v>
          </cell>
          <cell r="E13869" t="str">
            <v>P-144(1/2)</v>
          </cell>
        </row>
        <row r="13870">
          <cell r="B13870" t="str">
            <v>B272-400-AS-370-SD-002</v>
          </cell>
          <cell r="E13870" t="str">
            <v>P-144(2/2)</v>
          </cell>
        </row>
        <row r="13871">
          <cell r="B13871" t="str">
            <v>B272-400-AS-370-SD-002</v>
          </cell>
          <cell r="E13871" t="str">
            <v>P-145(1/2)</v>
          </cell>
        </row>
        <row r="13872">
          <cell r="B13872" t="str">
            <v>B272-400-AS-370-SD-002</v>
          </cell>
          <cell r="E13872" t="str">
            <v>P-145(2/2)</v>
          </cell>
        </row>
        <row r="13873">
          <cell r="B13873" t="str">
            <v>B272-400-AS-370-SD-002</v>
          </cell>
          <cell r="E13873" t="str">
            <v>P-146</v>
          </cell>
        </row>
        <row r="13874">
          <cell r="B13874" t="str">
            <v>B272-400-AS-370-SD-002</v>
          </cell>
          <cell r="E13874" t="str">
            <v>P-149</v>
          </cell>
        </row>
        <row r="13875">
          <cell r="B13875" t="str">
            <v>B272-400-AS-370-SD-002</v>
          </cell>
          <cell r="E13875" t="str">
            <v>P-293</v>
          </cell>
        </row>
        <row r="13876">
          <cell r="B13876" t="str">
            <v>B272-400-AS-370-SD-002</v>
          </cell>
        </row>
        <row r="13877">
          <cell r="B13877" t="str">
            <v>B272-400-AS-370-SD-002</v>
          </cell>
          <cell r="E13877" t="str">
            <v>G-12</v>
          </cell>
        </row>
        <row r="13878">
          <cell r="B13878" t="str">
            <v>B272-400-AS-370-SD-002</v>
          </cell>
          <cell r="E13878" t="str">
            <v>P-144(1/2)</v>
          </cell>
        </row>
        <row r="13879">
          <cell r="B13879" t="str">
            <v>B272-400-AS-370-SD-002</v>
          </cell>
          <cell r="E13879" t="str">
            <v>P-144(2/2)</v>
          </cell>
        </row>
        <row r="13880">
          <cell r="B13880" t="str">
            <v>B272-400-AS-370-SD-002</v>
          </cell>
          <cell r="E13880" t="str">
            <v>P-145(1/2)</v>
          </cell>
        </row>
        <row r="13881">
          <cell r="B13881" t="str">
            <v>B272-400-AS-370-SD-002</v>
          </cell>
          <cell r="E13881" t="str">
            <v>P-145(2/2)</v>
          </cell>
        </row>
        <row r="13882">
          <cell r="B13882" t="str">
            <v>B272-400-AS-370-SD-002</v>
          </cell>
          <cell r="E13882" t="str">
            <v>P-146</v>
          </cell>
        </row>
        <row r="13883">
          <cell r="B13883" t="str">
            <v>B272-400-AS-370-SD-002</v>
          </cell>
          <cell r="E13883" t="str">
            <v>P-149</v>
          </cell>
        </row>
        <row r="13884">
          <cell r="B13884" t="str">
            <v>B272-400-AS-370-SD-002</v>
          </cell>
          <cell r="E13884" t="str">
            <v>P-293</v>
          </cell>
        </row>
        <row r="13885">
          <cell r="B13885" t="str">
            <v>SPARE PART FOR SITE</v>
          </cell>
        </row>
        <row r="13886">
          <cell r="B13886" t="str">
            <v>SPARE PART FOR SITE</v>
          </cell>
          <cell r="E13886" t="str">
            <v>SUB-B-001</v>
          </cell>
        </row>
        <row r="13887">
          <cell r="B13887" t="str">
            <v>SPARE PART FOR SITE</v>
          </cell>
          <cell r="E13887" t="str">
            <v>SUB-B-002</v>
          </cell>
        </row>
        <row r="13888">
          <cell r="B13888" t="str">
            <v>SPARE PART FOR SITE</v>
          </cell>
          <cell r="E13888" t="str">
            <v>SUB-B-003</v>
          </cell>
        </row>
        <row r="13889">
          <cell r="B13889" t="str">
            <v>SPARE PART FOR SITE</v>
          </cell>
          <cell r="E13889" t="str">
            <v>SUB-B-004</v>
          </cell>
        </row>
        <row r="13890">
          <cell r="B13890" t="str">
            <v>SPARE PART FOR SITE</v>
          </cell>
          <cell r="E13890" t="str">
            <v>SUB-B-005</v>
          </cell>
        </row>
        <row r="13891">
          <cell r="B13891" t="str">
            <v>SPARE PART FOR SITE</v>
          </cell>
          <cell r="E13891" t="str">
            <v>SUB-B-006</v>
          </cell>
        </row>
        <row r="13892">
          <cell r="B13892" t="str">
            <v>SPARE PART FOR SITE</v>
          </cell>
          <cell r="E13892" t="str">
            <v>SUB-B-007</v>
          </cell>
        </row>
        <row r="13893">
          <cell r="B13893" t="str">
            <v>SPARE PART FOR SITE</v>
          </cell>
          <cell r="E13893" t="str">
            <v>SUB-B-008</v>
          </cell>
        </row>
        <row r="13894">
          <cell r="B13894" t="str">
            <v>SPARE PART FOR SITE</v>
          </cell>
          <cell r="E13894" t="str">
            <v>SUB-B-009</v>
          </cell>
        </row>
        <row r="13895">
          <cell r="B13895" t="str">
            <v>SPARE PART FOR SITE</v>
          </cell>
          <cell r="E13895" t="str">
            <v>SUB-B-010</v>
          </cell>
        </row>
        <row r="13896">
          <cell r="B13896" t="str">
            <v>SPARE PART FOR SITE</v>
          </cell>
          <cell r="E13896" t="str">
            <v>SUB-B-011</v>
          </cell>
        </row>
        <row r="13897">
          <cell r="B13897" t="str">
            <v>SPARE PART FOR SITE</v>
          </cell>
          <cell r="E13897" t="str">
            <v>SUB-B-012</v>
          </cell>
        </row>
        <row r="13898">
          <cell r="B13898" t="str">
            <v>SPARE PART FOR SITE</v>
          </cell>
          <cell r="E13898" t="str">
            <v>SUB-B-013</v>
          </cell>
        </row>
        <row r="13899">
          <cell r="B13899" t="str">
            <v>SPARE PART FOR SITE</v>
          </cell>
          <cell r="E13899" t="str">
            <v>SUB-B-014</v>
          </cell>
        </row>
        <row r="13900">
          <cell r="B13900" t="str">
            <v>SPARE PART FOR SITE</v>
          </cell>
          <cell r="E13900" t="str">
            <v>SUB-B-015</v>
          </cell>
        </row>
        <row r="13901">
          <cell r="B13901" t="str">
            <v>SPARE PART FOR SITE</v>
          </cell>
          <cell r="E13901" t="str">
            <v>SUB-B-016</v>
          </cell>
        </row>
        <row r="13902">
          <cell r="B13902" t="str">
            <v>SPARE PART FOR SITE</v>
          </cell>
          <cell r="E13902" t="str">
            <v>SUB-B-017</v>
          </cell>
        </row>
        <row r="13903">
          <cell r="B13903" t="str">
            <v>SPARE PART FOR SITE</v>
          </cell>
          <cell r="E13903" t="str">
            <v>SUB-B-018</v>
          </cell>
        </row>
        <row r="13904">
          <cell r="B13904" t="str">
            <v>SPARE PART FOR SITE</v>
          </cell>
          <cell r="E13904" t="str">
            <v>SUB-B-019</v>
          </cell>
        </row>
        <row r="13905">
          <cell r="B13905" t="str">
            <v>SPARE PART FOR SITE</v>
          </cell>
          <cell r="E13905" t="str">
            <v>SUB-B-020</v>
          </cell>
        </row>
        <row r="13906">
          <cell r="B13906" t="str">
            <v>SPARE PART FOR SITE</v>
          </cell>
          <cell r="E13906" t="str">
            <v>SUB-B-021</v>
          </cell>
        </row>
        <row r="13907">
          <cell r="B13907" t="str">
            <v>SPARE PART FOR SITE</v>
          </cell>
          <cell r="E13907" t="str">
            <v>SUB-B-022</v>
          </cell>
        </row>
        <row r="13908">
          <cell r="B13908" t="str">
            <v>SPARE PART FOR SITE</v>
          </cell>
          <cell r="E13908" t="str">
            <v>SUB-B-023</v>
          </cell>
        </row>
        <row r="13909">
          <cell r="B13909" t="str">
            <v>SPARE PART FOR SITE</v>
          </cell>
          <cell r="E13909" t="str">
            <v>SUB-B-024</v>
          </cell>
        </row>
        <row r="13910">
          <cell r="B13910" t="str">
            <v>SPARE PART FOR SITE</v>
          </cell>
          <cell r="E13910" t="str">
            <v>SUB-B-025</v>
          </cell>
        </row>
        <row r="13911">
          <cell r="B13911" t="str">
            <v>SPARE PART FOR SITE</v>
          </cell>
          <cell r="E13911" t="str">
            <v>SUB-B-026</v>
          </cell>
        </row>
        <row r="13912">
          <cell r="B13912" t="str">
            <v>SPARE PART FOR SITE</v>
          </cell>
          <cell r="E13912" t="str">
            <v>SUB-B-027</v>
          </cell>
        </row>
        <row r="13913">
          <cell r="B13913" t="str">
            <v>SPARE PART FOR SITE</v>
          </cell>
          <cell r="E13913" t="str">
            <v>SUB-B-028</v>
          </cell>
        </row>
        <row r="13914">
          <cell r="B13914" t="str">
            <v>SPARE PART FOR SITE</v>
          </cell>
          <cell r="E13914" t="str">
            <v>SUB-B-029</v>
          </cell>
        </row>
        <row r="13915">
          <cell r="B13915" t="str">
            <v>SPARE PART FOR SITE</v>
          </cell>
          <cell r="E13915" t="str">
            <v>SUB-B-030</v>
          </cell>
        </row>
        <row r="13916">
          <cell r="B13916" t="str">
            <v>SPARE PART FOR SITE</v>
          </cell>
          <cell r="E13916" t="str">
            <v>SUB-B-031</v>
          </cell>
        </row>
        <row r="13917">
          <cell r="B13917" t="str">
            <v>SPARE PART FOR SITE</v>
          </cell>
          <cell r="E13917" t="str">
            <v>SUB-B-032</v>
          </cell>
        </row>
        <row r="13918">
          <cell r="B13918" t="str">
            <v>SPARE PART FOR SITE</v>
          </cell>
          <cell r="E13918" t="str">
            <v>SUB-B-033</v>
          </cell>
        </row>
        <row r="13919">
          <cell r="B13919" t="str">
            <v>SPARE PART FOR SITE</v>
          </cell>
          <cell r="E13919" t="str">
            <v>SUB-B-034</v>
          </cell>
        </row>
        <row r="13920">
          <cell r="B13920" t="str">
            <v>SPARE PART FOR SITE</v>
          </cell>
          <cell r="E13920" t="str">
            <v>SUB-B-035</v>
          </cell>
        </row>
        <row r="13921">
          <cell r="B13921" t="str">
            <v>SPARE PART FOR SITE</v>
          </cell>
          <cell r="E13921" t="str">
            <v>SUB-B-036</v>
          </cell>
        </row>
        <row r="13922">
          <cell r="B13922" t="str">
            <v>SPARE PART FOR SITE</v>
          </cell>
          <cell r="E13922" t="str">
            <v>SUB-B-037</v>
          </cell>
        </row>
        <row r="13923">
          <cell r="B13923" t="str">
            <v>SPARE PART FOR SITE</v>
          </cell>
          <cell r="E13923" t="str">
            <v>SUB-B-038</v>
          </cell>
        </row>
        <row r="13924">
          <cell r="B13924" t="str">
            <v>SPARE PART FOR SITE</v>
          </cell>
          <cell r="E13924" t="str">
            <v>SUB-B-039</v>
          </cell>
        </row>
        <row r="13925">
          <cell r="B13925" t="str">
            <v>SPARE PART FOR SITE</v>
          </cell>
          <cell r="E13925" t="str">
            <v>SUB-B-040</v>
          </cell>
        </row>
        <row r="13926">
          <cell r="B13926" t="str">
            <v>SPARE PART FOR SITE</v>
          </cell>
          <cell r="E13926" t="str">
            <v>SUB-B-041</v>
          </cell>
        </row>
        <row r="13927">
          <cell r="B13927" t="str">
            <v>SPARE PART FOR SITE</v>
          </cell>
          <cell r="E13927" t="str">
            <v>SUB-B-042</v>
          </cell>
        </row>
        <row r="13928">
          <cell r="B13928" t="str">
            <v>SPARE PART FOR SITE</v>
          </cell>
          <cell r="E13928" t="str">
            <v>SUB-B-043</v>
          </cell>
        </row>
        <row r="13929">
          <cell r="B13929" t="str">
            <v>SPARE PART FOR SITE</v>
          </cell>
          <cell r="E13929" t="str">
            <v>SUB-B-044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D9" t="str">
            <v>200-LS-004</v>
          </cell>
          <cell r="F9">
            <v>1</v>
          </cell>
        </row>
        <row r="10">
          <cell r="D10" t="str">
            <v>200-LS-005</v>
          </cell>
          <cell r="F10">
            <v>1</v>
          </cell>
        </row>
        <row r="11">
          <cell r="D11" t="str">
            <v>200-LS-013</v>
          </cell>
          <cell r="F11">
            <v>1</v>
          </cell>
        </row>
        <row r="12">
          <cell r="D12" t="str">
            <v>280-PP-084</v>
          </cell>
          <cell r="F12">
            <v>7</v>
          </cell>
        </row>
        <row r="13">
          <cell r="D13" t="str">
            <v>280-PP-106</v>
          </cell>
          <cell r="F13">
            <v>674</v>
          </cell>
        </row>
        <row r="14">
          <cell r="D14" t="str">
            <v>280-PP-108</v>
          </cell>
          <cell r="F14">
            <v>441</v>
          </cell>
        </row>
        <row r="15">
          <cell r="D15" t="str">
            <v>280-PP-113</v>
          </cell>
          <cell r="F15">
            <v>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6.677093055558" createdVersion="8" refreshedVersion="8" minRefreshableVersion="3" recordCount="570" xr:uid="{4067F58C-28E2-44CB-8FA2-A8EFFD878FFB}">
  <cacheSource type="worksheet">
    <worksheetSource ref="A3:BA583" sheet="Progress"/>
  </cacheSource>
  <cacheFields count="53">
    <cacheField name="TT" numFmtId="0">
      <sharedItems containsMixedTypes="1" containsNumber="1" containsInteger="1" minValue="1" maxValue="540"/>
    </cacheField>
    <cacheField name="Số Dự Án" numFmtId="0">
      <sharedItems containsBlank="1" count="2">
        <s v="B272"/>
        <m/>
      </sharedItems>
    </cacheField>
    <cacheField name="Group ID" numFmtId="0">
      <sharedItems containsBlank="1"/>
    </cacheField>
    <cacheField name="Group/Shipment" numFmtId="0">
      <sharedItems containsBlank="1" count="3">
        <s v="Shipment 1"/>
        <m/>
        <s v="Shipment 2"/>
      </sharedItems>
    </cacheField>
    <cacheField name="Hạng mục" numFmtId="0">
      <sharedItems containsBlank="1" containsMixedTypes="1" containsNumber="1" containsInteger="1" minValue="400" maxValue="400" count="3">
        <s v="400 Template"/>
        <m/>
        <n v="400"/>
      </sharedItems>
    </cacheField>
    <cacheField name="MH" numFmtId="0">
      <sharedItems containsBlank="1"/>
    </cacheField>
    <cacheField name="Ngày giao hàng(WO)" numFmtId="14">
      <sharedItems containsNonDate="0" containsDate="1" containsString="0" containsBlank="1" minDate="2025-08-22T00:00:00" maxDate="2025-11-30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674"/>
    </cacheField>
    <cacheField name="U.Weight" numFmtId="43">
      <sharedItems containsString="0" containsBlank="1" containsNumber="1" minValue="0" maxValue="5670.46"/>
    </cacheField>
    <cacheField name="T.Weight" numFmtId="43">
      <sharedItems containsString="0" containsBlank="1" containsNumber="1" minValue="0.05" maxValue="5670.46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String="0" containsBlank="1" containsNumber="1" containsInteger="1" minValue="0" maxValue="0"/>
    </cacheField>
    <cacheField name="Note1" numFmtId="0">
      <sharedItems containsNonDate="0" containsString="0" containsBlank="1"/>
    </cacheField>
    <cacheField name="Control List" numFmtId="0">
      <sharedItems containsBlank="1"/>
    </cacheField>
    <cacheField name="Rev Control List" numFmtId="0">
      <sharedItems containsBlank="1"/>
    </cacheField>
    <cacheField name="Date Control List" numFmtId="14">
      <sharedItems containsNonDate="0" containsDate="1" containsString="0" containsBlank="1" minDate="2025-08-17T00:00:00" maxDate="2025-08-18T00:00:00"/>
    </cacheField>
    <cacheField name="APL" numFmtId="14">
      <sharedItems containsBlank="1"/>
    </cacheField>
    <cacheField name="Rev APL" numFmtId="0">
      <sharedItems containsString="0" containsBlank="1" containsNumber="1" containsInteger="1" minValue="0" maxValue="0"/>
    </cacheField>
    <cacheField name="DATE APL" numFmtId="14">
      <sharedItems containsNonDate="0" containsDate="1" containsString="0" containsBlank="1" minDate="2025-07-19T00:00:00" maxDate="2025-07-20T00:00:00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5670.4600000000009"/>
    </cacheField>
    <cacheField name="Còn lại" numFmtId="43">
      <sharedItems containsSemiMixedTypes="0" containsString="0" containsNumber="1" minValue="0" maxValue="1575.09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5-08-16T00:00:00" maxDate="2026-04-08T00:00:00"/>
    </cacheField>
    <cacheField name="SL Gá" numFmtId="0">
      <sharedItems containsString="0" containsBlank="1" containsNumber="1" containsInteger="1" minValue="1" maxValue="24"/>
    </cacheField>
    <cacheField name="KL Gá" numFmtId="43">
      <sharedItems containsSemiMixedTypes="0" containsString="0" containsNumber="1" minValue="0" maxValue="5670.46"/>
    </cacheField>
    <cacheField name="Ngày Hàn" numFmtId="14">
      <sharedItems containsNonDate="0" containsDate="1" containsString="0" containsBlank="1" minDate="2025-08-17T00:00:00" maxDate="2026-04-08T00:00:00"/>
    </cacheField>
    <cacheField name="SL Hàn" numFmtId="0">
      <sharedItems containsString="0" containsBlank="1" containsNumber="1" containsInteger="1" minValue="1" maxValue="24"/>
    </cacheField>
    <cacheField name="KL Hàn" numFmtId="43">
      <sharedItems containsSemiMixedTypes="0" containsString="0" containsNumber="1" minValue="0" maxValue="5670.46"/>
    </cacheField>
    <cacheField name="Ngày TH" numFmtId="14">
      <sharedItems containsNonDate="0" containsDate="1" containsString="0" containsBlank="1" minDate="2025-08-21T00:00:00" maxDate="2026-04-05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tring="0" containsBlank="1" containsNumber="1" minValue="0" maxValue="5670.46"/>
    </cacheField>
    <cacheField name="Số AFI" numFmtId="0">
      <sharedItems containsBlank="1"/>
    </cacheField>
    <cacheField name="Ngày NT" numFmtId="14">
      <sharedItems containsNonDate="0" containsDate="1" containsString="0" containsBlank="1" minDate="2025-08-22T00:00:00" maxDate="2026-04-05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5670.46"/>
    </cacheField>
    <cacheField name="Ngày BG" numFmtId="14">
      <sharedItems containsNonDate="0" containsDate="1" containsString="0" containsBlank="1" minDate="2025-08-29T00:00:00" maxDate="2026-04-08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5670.46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">
  <r>
    <n v="1"/>
    <x v="0"/>
    <s v="Shipment 1 400 Template"/>
    <x v="0"/>
    <x v="0"/>
    <s v="B272-400"/>
    <d v="2025-08-22T00:00:00"/>
    <s v="HEATER"/>
    <s v="HTR03"/>
    <s v="Mr Phúc"/>
    <s v="B272-400-AS-390-TP-001"/>
    <s v="390-TP-001"/>
    <s v="TEMPLATE"/>
    <n v="1"/>
    <n v="755.9"/>
    <n v="755.9"/>
    <m/>
    <m/>
    <m/>
    <n v="0"/>
    <m/>
    <s v="B272-400-ADCL-001"/>
    <s v="A"/>
    <d v="2025-08-17T00:00:00"/>
    <s v="B272-400-APL-001"/>
    <n v="0"/>
    <d v="2025-07-19T00:00:00"/>
    <m/>
    <m/>
    <m/>
    <n v="755.9"/>
    <n v="0"/>
    <m/>
    <m/>
    <n v="0"/>
    <d v="2025-08-16T00:00:00"/>
    <n v="1"/>
    <n v="755.9"/>
    <d v="2025-08-17T00:00:00"/>
    <n v="1"/>
    <n v="755.9"/>
    <d v="2025-08-21T00:00:00"/>
    <n v="1"/>
    <n v="755.9"/>
    <s v="B272-Template-001"/>
    <d v="2025-08-22T00:00:00"/>
    <n v="1"/>
    <n v="755.9"/>
    <d v="2025-08-29T00:00:00"/>
    <n v="1"/>
    <n v="755.9"/>
    <s v="PAC"/>
    <s v="B272-001"/>
  </r>
  <r>
    <n v="2"/>
    <x v="0"/>
    <s v="Shipment 1 400 Template"/>
    <x v="0"/>
    <x v="0"/>
    <s v="B272-400"/>
    <d v="2025-08-22T00:00:00"/>
    <s v="HEATER"/>
    <s v="HTR03"/>
    <s v="Mr Phúc"/>
    <s v="B272-400-AS-390-TP-002"/>
    <s v="390-TP-002"/>
    <s v="TEMPLATE"/>
    <n v="1"/>
    <n v="755.9"/>
    <n v="755.9"/>
    <m/>
    <m/>
    <m/>
    <n v="0"/>
    <m/>
    <s v="B272-400-ADCL-001"/>
    <s v="A"/>
    <d v="2025-08-17T00:00:00"/>
    <s v="B272-400-APL-001"/>
    <n v="0"/>
    <d v="2025-07-19T00:00:00"/>
    <m/>
    <m/>
    <m/>
    <n v="755.9"/>
    <n v="0"/>
    <m/>
    <m/>
    <n v="0"/>
    <d v="2025-08-16T00:00:00"/>
    <n v="1"/>
    <n v="755.9"/>
    <d v="2025-08-21T00:00:00"/>
    <n v="1"/>
    <n v="755.9"/>
    <d v="2025-08-21T00:00:00"/>
    <n v="1"/>
    <n v="755.9"/>
    <s v="B272-Template-001"/>
    <d v="2025-08-22T00:00:00"/>
    <n v="1"/>
    <n v="755.9"/>
    <d v="2025-08-29T00:00:00"/>
    <n v="1"/>
    <n v="755.9"/>
    <s v="PAC"/>
    <s v="B272-001"/>
  </r>
  <r>
    <n v="3"/>
    <x v="0"/>
    <s v="Shipment 1 400 Template"/>
    <x v="0"/>
    <x v="0"/>
    <m/>
    <m/>
    <s v="HEATER"/>
    <s v="HTR03"/>
    <s v="Mr Phúc"/>
    <s v="B272-400-AS-390-TP-003"/>
    <s v="390-TP-003"/>
    <s v="TEMPLATE"/>
    <n v="1"/>
    <n v="428.4"/>
    <n v="428.4"/>
    <m/>
    <m/>
    <m/>
    <n v="0"/>
    <m/>
    <s v="B272-400-ADCL-001"/>
    <s v="A"/>
    <d v="2025-08-17T00:00:00"/>
    <s v="B272-400-APL-001"/>
    <n v="0"/>
    <d v="2025-07-19T00:00:00"/>
    <m/>
    <m/>
    <m/>
    <n v="428.4"/>
    <n v="0"/>
    <m/>
    <m/>
    <n v="0"/>
    <d v="2025-08-16T00:00:00"/>
    <n v="1"/>
    <n v="428.4"/>
    <d v="2025-08-21T00:00:00"/>
    <n v="1"/>
    <n v="428.4"/>
    <d v="2025-08-21T00:00:00"/>
    <n v="1"/>
    <n v="428.4"/>
    <s v="B272-Template-001"/>
    <d v="2025-08-22T00:00:00"/>
    <n v="1"/>
    <n v="428.4"/>
    <d v="2025-08-29T00:00:00"/>
    <n v="1"/>
    <n v="428.4"/>
    <s v="PAC"/>
    <s v="B272-001"/>
  </r>
  <r>
    <s v=""/>
    <x v="1"/>
    <m/>
    <x v="1"/>
    <x v="1"/>
    <s v="B272-400"/>
    <m/>
    <s v="HEATER"/>
    <s v="HTR03"/>
    <s v="Mr Phúc"/>
    <s v="B272-400-AS-390-TP-004"/>
    <s v="390-TP-004"/>
    <s v="TEM PLATE"/>
    <n v="1"/>
    <n v="1575.09"/>
    <n v="1575.09"/>
    <m/>
    <m/>
    <s v="Bỏ"/>
    <m/>
    <m/>
    <m/>
    <m/>
    <m/>
    <m/>
    <m/>
    <m/>
    <m/>
    <m/>
    <m/>
    <n v="0"/>
    <n v="1575.09"/>
    <m/>
    <m/>
    <n v="0"/>
    <m/>
    <m/>
    <n v="0"/>
    <m/>
    <m/>
    <n v="0"/>
    <m/>
    <m/>
    <n v="0"/>
    <m/>
    <m/>
    <m/>
    <n v="0"/>
    <m/>
    <m/>
    <n v="0"/>
    <s v="PAC"/>
    <m/>
  </r>
  <r>
    <n v="4"/>
    <x v="0"/>
    <s v="Shipment 1 400"/>
    <x v="0"/>
    <x v="2"/>
    <m/>
    <d v="2025-11-29T00:00:00"/>
    <s v="HEATER"/>
    <s v="HTR02"/>
    <s v="Hoàng Anh"/>
    <s v="B272-400-AS-010-RF-001"/>
    <s v="010-RF-001"/>
    <s v="RADIANT FLOOR"/>
    <n v="1"/>
    <n v="506.7"/>
    <n v="506.7"/>
    <s v="(3230x1350x486)"/>
    <m/>
    <m/>
    <m/>
    <m/>
    <m/>
    <m/>
    <m/>
    <m/>
    <m/>
    <m/>
    <m/>
    <m/>
    <m/>
    <n v="456.03"/>
    <n v="50.670000000000016"/>
    <m/>
    <m/>
    <n v="0"/>
    <d v="2026-01-17T00:00:00"/>
    <n v="1"/>
    <n v="506.7"/>
    <d v="2026-01-21T00:00:00"/>
    <n v="1"/>
    <n v="506.7"/>
    <m/>
    <m/>
    <n v="0"/>
    <m/>
    <m/>
    <m/>
    <n v="0"/>
    <m/>
    <m/>
    <n v="0"/>
    <s v="PAC"/>
    <m/>
  </r>
  <r>
    <n v="5"/>
    <x v="0"/>
    <s v="Shipment 1 400"/>
    <x v="0"/>
    <x v="2"/>
    <m/>
    <d v="2025-11-29T00:00:00"/>
    <s v="HEATER"/>
    <s v="HTR02"/>
    <s v="Hoàng Anh"/>
    <s v="B272-400-AS-010-RF-002"/>
    <s v="010-RF-002"/>
    <s v="RADIANT FLOOR"/>
    <n v="1"/>
    <n v="486"/>
    <n v="486"/>
    <s v="(3230x360x980)"/>
    <m/>
    <m/>
    <m/>
    <m/>
    <m/>
    <m/>
    <m/>
    <m/>
    <m/>
    <m/>
    <m/>
    <m/>
    <m/>
    <n v="437.4"/>
    <n v="48.600000000000023"/>
    <m/>
    <m/>
    <n v="0"/>
    <d v="2026-01-17T00:00:00"/>
    <n v="1"/>
    <n v="486"/>
    <d v="2026-01-21T00:00:00"/>
    <n v="1"/>
    <n v="486"/>
    <m/>
    <m/>
    <n v="0"/>
    <m/>
    <m/>
    <m/>
    <n v="0"/>
    <m/>
    <m/>
    <n v="0"/>
    <s v="PAC"/>
    <m/>
  </r>
  <r>
    <n v="6"/>
    <x v="0"/>
    <s v="Shipment 1 400"/>
    <x v="0"/>
    <x v="2"/>
    <m/>
    <d v="2025-11-29T00:00:00"/>
    <s v="HEATER"/>
    <s v="HTR02"/>
    <s v="Hoàng Anh"/>
    <s v="B272-400-AS-010-RF-003"/>
    <s v="010-RF-003"/>
    <s v="RADIANT FLOOR"/>
    <n v="1"/>
    <n v="384.5"/>
    <n v="384.5"/>
    <s v="(3380x480x310)"/>
    <m/>
    <m/>
    <m/>
    <m/>
    <m/>
    <m/>
    <m/>
    <m/>
    <m/>
    <m/>
    <m/>
    <m/>
    <m/>
    <n v="346.05"/>
    <n v="38.449999999999989"/>
    <m/>
    <m/>
    <n v="0"/>
    <d v="2026-01-17T00:00:00"/>
    <n v="1"/>
    <n v="384.5"/>
    <d v="2026-01-21T00:00:00"/>
    <n v="1"/>
    <n v="384.5"/>
    <m/>
    <m/>
    <n v="0"/>
    <m/>
    <m/>
    <m/>
    <n v="0"/>
    <m/>
    <m/>
    <n v="0"/>
    <s v="PAC"/>
    <m/>
  </r>
  <r>
    <n v="7"/>
    <x v="0"/>
    <s v="Shipment 1 400"/>
    <x v="0"/>
    <x v="2"/>
    <m/>
    <d v="2025-11-29T00:00:00"/>
    <s v="HEATER"/>
    <s v="HTR02"/>
    <s v="Hoàng Anh"/>
    <s v="B272-400-AS-010-RF-004"/>
    <s v="010-RF-004"/>
    <s v="RADIANT FLOOR"/>
    <n v="1"/>
    <n v="373.1"/>
    <n v="373.1"/>
    <s v="(3610x580x360)"/>
    <m/>
    <m/>
    <m/>
    <m/>
    <m/>
    <m/>
    <m/>
    <m/>
    <m/>
    <m/>
    <m/>
    <m/>
    <m/>
    <n v="335.79"/>
    <n v="37.31"/>
    <m/>
    <m/>
    <n v="0"/>
    <d v="2026-01-17T00:00:00"/>
    <n v="1"/>
    <n v="373.1"/>
    <d v="2026-01-21T00:00:00"/>
    <n v="1"/>
    <n v="373.1"/>
    <m/>
    <m/>
    <n v="0"/>
    <m/>
    <m/>
    <m/>
    <n v="0"/>
    <m/>
    <m/>
    <n v="0"/>
    <s v="PAC"/>
    <m/>
  </r>
  <r>
    <n v="8"/>
    <x v="0"/>
    <s v="Shipment 1 400"/>
    <x v="0"/>
    <x v="2"/>
    <m/>
    <d v="2025-11-29T00:00:00"/>
    <s v="HEATER"/>
    <s v="HTR02"/>
    <s v="Hoàng Anh"/>
    <s v="B272-400-AS-010-RF-005"/>
    <s v="010-RF-005"/>
    <s v="RADIANT FLOOR"/>
    <n v="1"/>
    <n v="587.6"/>
    <n v="587.6"/>
    <s v="(486x3610x979)"/>
    <m/>
    <m/>
    <m/>
    <m/>
    <m/>
    <m/>
    <m/>
    <m/>
    <m/>
    <m/>
    <m/>
    <m/>
    <m/>
    <n v="528.84"/>
    <n v="58.759999999999991"/>
    <m/>
    <m/>
    <n v="0"/>
    <d v="2026-01-17T00:00:00"/>
    <n v="1"/>
    <n v="587.6"/>
    <d v="2026-01-21T00:00:00"/>
    <n v="1"/>
    <n v="587.6"/>
    <m/>
    <m/>
    <n v="0"/>
    <m/>
    <m/>
    <m/>
    <n v="0"/>
    <m/>
    <m/>
    <n v="0"/>
    <s v="PAC"/>
    <m/>
  </r>
  <r>
    <n v="9"/>
    <x v="0"/>
    <s v="Shipment 1 400"/>
    <x v="0"/>
    <x v="2"/>
    <m/>
    <d v="2025-11-29T00:00:00"/>
    <s v="HEATER"/>
    <s v="HTR02"/>
    <s v="Hoàng Anh"/>
    <s v="B272-400-AS-010-RF-006"/>
    <s v="010-RF-006"/>
    <s v="RADIANT FLOOR"/>
    <n v="1"/>
    <n v="410.9"/>
    <n v="410.9"/>
    <s v="(3610x480x310)"/>
    <m/>
    <m/>
    <m/>
    <m/>
    <m/>
    <m/>
    <m/>
    <m/>
    <m/>
    <m/>
    <m/>
    <m/>
    <m/>
    <n v="369.81"/>
    <n v="41.089999999999975"/>
    <m/>
    <m/>
    <n v="0"/>
    <d v="2026-01-17T00:00:00"/>
    <n v="1"/>
    <n v="410.9"/>
    <d v="2026-01-21T00:00:00"/>
    <n v="1"/>
    <n v="410.9"/>
    <m/>
    <m/>
    <n v="0"/>
    <m/>
    <m/>
    <m/>
    <n v="0"/>
    <m/>
    <m/>
    <n v="0"/>
    <s v="PAC"/>
    <m/>
  </r>
  <r>
    <n v="10"/>
    <x v="0"/>
    <s v="Shipment 1 400"/>
    <x v="0"/>
    <x v="2"/>
    <m/>
    <d v="2025-11-29T00:00:00"/>
    <s v="HEATER"/>
    <s v="HTR02"/>
    <s v="Hoàng Anh"/>
    <s v="B272-400-AS-010-RF-007"/>
    <s v="010-RF-007"/>
    <s v="RADIANT FLOOR"/>
    <n v="1"/>
    <n v="410.9"/>
    <n v="410.9"/>
    <s v="(3610x480x310)"/>
    <m/>
    <m/>
    <m/>
    <m/>
    <m/>
    <m/>
    <m/>
    <m/>
    <m/>
    <m/>
    <m/>
    <m/>
    <m/>
    <n v="369.81"/>
    <n v="41.089999999999975"/>
    <m/>
    <m/>
    <n v="0"/>
    <d v="2026-01-17T00:00:00"/>
    <n v="1"/>
    <n v="410.9"/>
    <d v="2026-01-21T00:00:00"/>
    <n v="1"/>
    <n v="410.9"/>
    <m/>
    <m/>
    <n v="0"/>
    <m/>
    <m/>
    <m/>
    <n v="0"/>
    <m/>
    <m/>
    <n v="0"/>
    <s v="PAC"/>
    <m/>
  </r>
  <r>
    <n v="11"/>
    <x v="0"/>
    <s v="Shipment 1 400"/>
    <x v="0"/>
    <x v="2"/>
    <m/>
    <d v="2025-11-29T00:00:00"/>
    <s v="HEATER"/>
    <s v="HTR02"/>
    <s v="Hoàng Anh"/>
    <s v="B272-400-AS-010-RF-008"/>
    <s v="010-RF-008"/>
    <s v="RADIANT FLOOR"/>
    <n v="1"/>
    <n v="580.29999999999995"/>
    <n v="580.29999999999995"/>
    <s v="(3610x979x360)"/>
    <m/>
    <m/>
    <m/>
    <m/>
    <m/>
    <m/>
    <m/>
    <m/>
    <m/>
    <m/>
    <m/>
    <m/>
    <m/>
    <n v="522.27"/>
    <n v="58.029999999999973"/>
    <m/>
    <m/>
    <n v="0"/>
    <d v="2026-01-17T00:00:00"/>
    <n v="1"/>
    <n v="580.29999999999995"/>
    <d v="2026-01-21T00:00:00"/>
    <n v="1"/>
    <n v="580.29999999999995"/>
    <m/>
    <m/>
    <n v="0"/>
    <m/>
    <m/>
    <m/>
    <n v="0"/>
    <m/>
    <m/>
    <n v="0"/>
    <s v="PAC"/>
    <m/>
  </r>
  <r>
    <n v="12"/>
    <x v="0"/>
    <s v="Shipment 1 400"/>
    <x v="0"/>
    <x v="2"/>
    <m/>
    <d v="2025-11-29T00:00:00"/>
    <s v="HEATER"/>
    <s v="HTR02"/>
    <s v="Hoàng Anh"/>
    <s v="B272-400-AS-010-RF-009"/>
    <s v="010-RF-009"/>
    <s v="RADIANT FLOOR"/>
    <n v="1"/>
    <n v="384.5"/>
    <n v="384.5"/>
    <s v="(3380x480x310)"/>
    <m/>
    <m/>
    <m/>
    <m/>
    <m/>
    <m/>
    <m/>
    <m/>
    <m/>
    <m/>
    <m/>
    <m/>
    <m/>
    <n v="346.05"/>
    <n v="38.449999999999989"/>
    <m/>
    <m/>
    <n v="0"/>
    <d v="2026-01-17T00:00:00"/>
    <n v="1"/>
    <n v="384.5"/>
    <d v="2026-01-21T00:00:00"/>
    <n v="1"/>
    <n v="384.5"/>
    <m/>
    <m/>
    <n v="0"/>
    <m/>
    <m/>
    <m/>
    <n v="0"/>
    <m/>
    <m/>
    <n v="0"/>
    <s v="PAC"/>
    <m/>
  </r>
  <r>
    <n v="13"/>
    <x v="0"/>
    <s v="Shipment 1 400"/>
    <x v="0"/>
    <x v="2"/>
    <m/>
    <d v="2025-11-29T00:00:00"/>
    <s v="HEATER"/>
    <s v="HTR02"/>
    <s v="Hoàng Anh"/>
    <s v="B272-400-AS-010-RF-010"/>
    <s v="010-RF-010"/>
    <s v="RADIANT FLOOR"/>
    <n v="1"/>
    <n v="784.48"/>
    <n v="784.48"/>
    <s v="(3610x210x1542)"/>
    <m/>
    <m/>
    <m/>
    <m/>
    <m/>
    <m/>
    <m/>
    <m/>
    <m/>
    <m/>
    <m/>
    <m/>
    <m/>
    <n v="706.03200000000004"/>
    <n v="78.447999999999979"/>
    <m/>
    <m/>
    <n v="0"/>
    <d v="2026-01-17T00:00:00"/>
    <n v="1"/>
    <n v="784.48"/>
    <d v="2026-01-21T00:00:00"/>
    <n v="1"/>
    <n v="784.48"/>
    <m/>
    <m/>
    <n v="0"/>
    <m/>
    <m/>
    <m/>
    <n v="0"/>
    <m/>
    <m/>
    <n v="0"/>
    <s v="PAC"/>
    <m/>
  </r>
  <r>
    <n v="14"/>
    <x v="0"/>
    <s v="Shipment 1 400"/>
    <x v="0"/>
    <x v="2"/>
    <m/>
    <d v="2025-11-29T00:00:00"/>
    <s v="HEATER"/>
    <s v="HTR02"/>
    <s v="Hoàng Anh"/>
    <s v="B272-400-AS-010-RF-011"/>
    <s v="010-RF-011"/>
    <s v="RADIANT FLOOR"/>
    <n v="1"/>
    <n v="672.87"/>
    <n v="672.87"/>
    <s v="(3230x210x1542)"/>
    <m/>
    <m/>
    <m/>
    <m/>
    <m/>
    <m/>
    <m/>
    <m/>
    <m/>
    <m/>
    <m/>
    <m/>
    <m/>
    <n v="605.58300000000008"/>
    <n v="67.286999999999921"/>
    <m/>
    <m/>
    <n v="0"/>
    <d v="2026-01-17T00:00:00"/>
    <n v="1"/>
    <n v="672.87"/>
    <d v="2026-01-21T00:00:00"/>
    <n v="1"/>
    <n v="672.87"/>
    <m/>
    <m/>
    <n v="0"/>
    <m/>
    <m/>
    <m/>
    <n v="0"/>
    <m/>
    <m/>
    <n v="0"/>
    <s v="PAC"/>
    <m/>
  </r>
  <r>
    <n v="15"/>
    <x v="0"/>
    <s v="Shipment 1 400"/>
    <x v="0"/>
    <x v="2"/>
    <m/>
    <d v="2025-11-29T00:00:00"/>
    <s v="HEATER"/>
    <s v="HTR02"/>
    <s v="Hoàng Anh"/>
    <s v="B272-400-AS-010-RF-012"/>
    <s v="010-RF-012"/>
    <s v="RADIANT FLOOR"/>
    <n v="1"/>
    <n v="672.87"/>
    <n v="672.87"/>
    <s v="(3230x210x1542)"/>
    <m/>
    <m/>
    <m/>
    <m/>
    <m/>
    <m/>
    <m/>
    <m/>
    <m/>
    <m/>
    <m/>
    <m/>
    <m/>
    <n v="605.58300000000008"/>
    <n v="67.286999999999921"/>
    <m/>
    <m/>
    <n v="0"/>
    <d v="2026-01-17T00:00:00"/>
    <n v="1"/>
    <n v="672.87"/>
    <d v="2026-01-21T00:00:00"/>
    <n v="1"/>
    <n v="672.87"/>
    <m/>
    <m/>
    <n v="0"/>
    <m/>
    <m/>
    <m/>
    <n v="0"/>
    <m/>
    <m/>
    <n v="0"/>
    <s v="PAC"/>
    <m/>
  </r>
  <r>
    <n v="16"/>
    <x v="0"/>
    <s v="Shipment 1 400"/>
    <x v="0"/>
    <x v="2"/>
    <m/>
    <d v="2025-11-29T00:00:00"/>
    <s v="HEATER"/>
    <s v="HTR02"/>
    <s v="Hoàng Anh"/>
    <s v="B272-400-AS-010-RF-013"/>
    <s v="010-RF-013"/>
    <s v="RADIANT FLOOR"/>
    <n v="1"/>
    <n v="499.4"/>
    <n v="499.4"/>
    <s v="(3230x1350x360)"/>
    <m/>
    <m/>
    <m/>
    <m/>
    <m/>
    <m/>
    <m/>
    <m/>
    <m/>
    <m/>
    <m/>
    <m/>
    <m/>
    <n v="449.46"/>
    <n v="49.94"/>
    <m/>
    <m/>
    <n v="0"/>
    <d v="2025-11-27T00:00:00"/>
    <n v="1"/>
    <n v="499.4"/>
    <d v="2026-01-21T00:00:00"/>
    <n v="1"/>
    <n v="499.4"/>
    <m/>
    <m/>
    <n v="0"/>
    <m/>
    <m/>
    <m/>
    <n v="0"/>
    <m/>
    <m/>
    <n v="0"/>
    <s v="PAC"/>
    <m/>
  </r>
  <r>
    <n v="17"/>
    <x v="0"/>
    <s v="Shipment 1 400"/>
    <x v="0"/>
    <x v="2"/>
    <m/>
    <d v="2025-11-29T00:00:00"/>
    <s v="HEATER"/>
    <s v="HTR02"/>
    <s v="Hoàng Anh"/>
    <s v="B272-400-AS-010-RF-014"/>
    <s v="010-RF-014"/>
    <s v="RADIANT FLOOR"/>
    <n v="1"/>
    <n v="493.3"/>
    <n v="493.3"/>
    <s v="(980x3230x486)"/>
    <m/>
    <m/>
    <m/>
    <m/>
    <m/>
    <m/>
    <m/>
    <m/>
    <m/>
    <m/>
    <m/>
    <m/>
    <m/>
    <n v="443.97"/>
    <n v="49.329999999999984"/>
    <m/>
    <m/>
    <n v="0"/>
    <d v="2025-11-27T00:00:00"/>
    <n v="1"/>
    <n v="493.3"/>
    <d v="2026-01-21T00:00:00"/>
    <n v="1"/>
    <n v="493.3"/>
    <m/>
    <m/>
    <n v="0"/>
    <m/>
    <m/>
    <m/>
    <n v="0"/>
    <m/>
    <m/>
    <n v="0"/>
    <s v="PAC"/>
    <m/>
  </r>
  <r>
    <n v="18"/>
    <x v="0"/>
    <s v="Shipment 1 400"/>
    <x v="0"/>
    <x v="2"/>
    <m/>
    <d v="2025-11-29T00:00:00"/>
    <s v="HEATER"/>
    <s v="HTR02"/>
    <s v="Hoàng Anh"/>
    <s v="B272-400-AS-010-RF-015"/>
    <s v="010-RF-015"/>
    <s v="RADIANT FLOOR"/>
    <n v="1"/>
    <n v="373.1"/>
    <n v="373.1"/>
    <s v="(3610x580x360)"/>
    <m/>
    <m/>
    <m/>
    <m/>
    <m/>
    <m/>
    <m/>
    <m/>
    <m/>
    <m/>
    <m/>
    <m/>
    <m/>
    <n v="335.79"/>
    <n v="37.31"/>
    <m/>
    <m/>
    <n v="0"/>
    <d v="2026-01-21T00:00:00"/>
    <n v="1"/>
    <n v="373.1"/>
    <d v="2026-01-30T00:00:00"/>
    <n v="1"/>
    <n v="373.1"/>
    <m/>
    <m/>
    <n v="0"/>
    <m/>
    <m/>
    <m/>
    <n v="0"/>
    <m/>
    <m/>
    <n v="0"/>
    <s v="PAC"/>
    <m/>
  </r>
  <r>
    <n v="19"/>
    <x v="0"/>
    <s v="Shipment 1 400"/>
    <x v="0"/>
    <x v="2"/>
    <m/>
    <d v="2025-11-29T00:00:00"/>
    <s v="HEATER"/>
    <s v="HTR02"/>
    <s v="Hoàng Anh"/>
    <s v="B272-400-AS-010-RF-016"/>
    <s v="010-RF-016(1/2)"/>
    <s v="RADIANT FLOOR"/>
    <n v="1"/>
    <n v="9.6999999999999993"/>
    <n v="9.6999999999999993"/>
    <s v="(220x75x1075)"/>
    <m/>
    <m/>
    <m/>
    <m/>
    <m/>
    <m/>
    <m/>
    <m/>
    <m/>
    <m/>
    <m/>
    <m/>
    <m/>
    <n v="8.73"/>
    <n v="0.96999999999999886"/>
    <m/>
    <m/>
    <n v="0"/>
    <d v="2026-01-23T00:00:00"/>
    <n v="1"/>
    <n v="9.6999999999999993"/>
    <d v="2026-02-04T00:00:00"/>
    <n v="1"/>
    <n v="9.6999999999999993"/>
    <m/>
    <m/>
    <n v="0"/>
    <m/>
    <m/>
    <m/>
    <n v="0"/>
    <m/>
    <m/>
    <n v="0"/>
    <s v="PAC"/>
    <m/>
  </r>
  <r>
    <n v="20"/>
    <x v="0"/>
    <s v="Shipment 1 400"/>
    <x v="0"/>
    <x v="2"/>
    <m/>
    <d v="2025-11-29T00:00:00"/>
    <s v="HEATER"/>
    <s v="HTR02"/>
    <s v="Hoàng Anh"/>
    <s v="B272-400-AS-010-RF-016"/>
    <s v="010-RF-016(2/2)"/>
    <s v="RADIANT FLOOR"/>
    <n v="1"/>
    <n v="9.6999999999999993"/>
    <n v="9.6999999999999993"/>
    <s v="(220x75x1075)"/>
    <m/>
    <m/>
    <m/>
    <m/>
    <m/>
    <m/>
    <m/>
    <m/>
    <m/>
    <m/>
    <m/>
    <m/>
    <m/>
    <n v="8.73"/>
    <n v="0.96999999999999886"/>
    <m/>
    <m/>
    <n v="0"/>
    <d v="2026-01-23T00:00:00"/>
    <n v="1"/>
    <n v="9.6999999999999993"/>
    <d v="2026-02-04T00:00:00"/>
    <n v="1"/>
    <n v="9.6999999999999993"/>
    <m/>
    <m/>
    <n v="0"/>
    <m/>
    <m/>
    <m/>
    <n v="0"/>
    <m/>
    <m/>
    <n v="0"/>
    <s v="PAC"/>
    <m/>
  </r>
  <r>
    <n v="21"/>
    <x v="0"/>
    <s v="Shipment 1 400"/>
    <x v="0"/>
    <x v="2"/>
    <m/>
    <d v="2025-11-29T00:00:00"/>
    <s v="HEATER"/>
    <s v="HTR02"/>
    <s v="Hoàng Anh"/>
    <s v="B272-400-AS-010-RF-017"/>
    <s v="010-RF-017(1/2)"/>
    <s v="RADIANT FLOOR"/>
    <n v="1"/>
    <n v="9.6999999999999993"/>
    <n v="9.6999999999999993"/>
    <s v="(220x75x1075)"/>
    <m/>
    <m/>
    <m/>
    <m/>
    <m/>
    <m/>
    <m/>
    <m/>
    <m/>
    <m/>
    <m/>
    <m/>
    <m/>
    <n v="8.73"/>
    <n v="0.96999999999999886"/>
    <m/>
    <m/>
    <n v="0"/>
    <d v="2025-11-27T00:00:00"/>
    <n v="1"/>
    <n v="9.6999999999999993"/>
    <d v="2026-01-12T00:00:00"/>
    <n v="1"/>
    <n v="9.6999999999999993"/>
    <m/>
    <m/>
    <n v="0"/>
    <m/>
    <m/>
    <m/>
    <n v="0"/>
    <m/>
    <m/>
    <n v="0"/>
    <s v="PAC"/>
    <m/>
  </r>
  <r>
    <n v="22"/>
    <x v="0"/>
    <s v="Shipment 1 400"/>
    <x v="0"/>
    <x v="2"/>
    <m/>
    <d v="2025-11-29T00:00:00"/>
    <s v="HEATER"/>
    <s v="HTR02"/>
    <s v="Hoàng Anh"/>
    <s v="B272-400-AS-010-RF-017"/>
    <s v="010-RF-017(2/2)"/>
    <s v="RADIANT FLOOR"/>
    <n v="1"/>
    <n v="9.6999999999999993"/>
    <n v="9.6999999999999993"/>
    <s v="(220x75x1075)"/>
    <m/>
    <m/>
    <m/>
    <m/>
    <m/>
    <m/>
    <m/>
    <m/>
    <m/>
    <m/>
    <m/>
    <m/>
    <m/>
    <n v="8.73"/>
    <n v="0.96999999999999886"/>
    <m/>
    <m/>
    <n v="0"/>
    <d v="2025-11-27T00:00:00"/>
    <n v="1"/>
    <n v="9.6999999999999993"/>
    <d v="2026-01-12T00:00:00"/>
    <n v="1"/>
    <n v="9.6999999999999993"/>
    <m/>
    <m/>
    <n v="0"/>
    <m/>
    <m/>
    <m/>
    <n v="0"/>
    <m/>
    <m/>
    <n v="0"/>
    <s v="PAC"/>
    <m/>
  </r>
  <r>
    <n v="23"/>
    <x v="0"/>
    <s v="Shipment 1 400"/>
    <x v="0"/>
    <x v="2"/>
    <m/>
    <d v="2025-11-29T00:00:00"/>
    <s v="HEATER"/>
    <s v="HTR02"/>
    <s v="Hoàng Anh"/>
    <s v="B272-400-AS-010-RF-018"/>
    <s v="010-RF-018"/>
    <s v="RADIANT FLOOR"/>
    <n v="24"/>
    <n v="8.1999999999999993"/>
    <n v="195.7"/>
    <s v="(220x75x888)"/>
    <m/>
    <m/>
    <m/>
    <m/>
    <m/>
    <m/>
    <m/>
    <m/>
    <m/>
    <m/>
    <m/>
    <m/>
    <m/>
    <n v="176.12999999999997"/>
    <n v="19.570000000000022"/>
    <m/>
    <m/>
    <n v="0"/>
    <d v="2025-11-27T00:00:00"/>
    <n v="24"/>
    <n v="195.69999999999996"/>
    <d v="2026-01-12T00:00:00"/>
    <n v="24"/>
    <n v="195.69999999999996"/>
    <m/>
    <m/>
    <n v="0"/>
    <m/>
    <m/>
    <m/>
    <n v="0"/>
    <m/>
    <m/>
    <n v="0"/>
    <s v="PAC"/>
    <m/>
  </r>
  <r>
    <n v="24"/>
    <x v="0"/>
    <s v="Shipment 1 400"/>
    <x v="0"/>
    <x v="2"/>
    <m/>
    <d v="2025-11-29T00:00:00"/>
    <s v="HEATER"/>
    <s v="HTR02"/>
    <s v="Hoàng Anh"/>
    <s v="B272-400-AS-010-RF-019"/>
    <s v="010-RF-019(1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25"/>
    <x v="0"/>
    <s v="Shipment 1 400"/>
    <x v="0"/>
    <x v="2"/>
    <m/>
    <d v="2025-11-29T00:00:00"/>
    <s v="HEATER"/>
    <s v="HTR02"/>
    <s v="Hoàng Anh"/>
    <s v="B272-400-AS-010-RF-019"/>
    <s v="010-RF-019(2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26"/>
    <x v="0"/>
    <s v="Shipment 1 400"/>
    <x v="0"/>
    <x v="2"/>
    <m/>
    <d v="2025-11-29T00:00:00"/>
    <s v="HEATER"/>
    <s v="HTR02"/>
    <s v="Hoàng Anh"/>
    <s v="B272-400-AS-010-RF-019"/>
    <s v="010-RF-019(3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27"/>
    <x v="0"/>
    <s v="Shipment 1 400"/>
    <x v="0"/>
    <x v="2"/>
    <m/>
    <d v="2025-11-29T00:00:00"/>
    <s v="HEATER"/>
    <s v="HTR02"/>
    <s v="Hoàng Anh"/>
    <s v="B272-400-AS-010-RF-019"/>
    <s v="010-RF-019(4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28"/>
    <x v="0"/>
    <s v="Shipment 1 400"/>
    <x v="0"/>
    <x v="2"/>
    <m/>
    <d v="2025-11-29T00:00:00"/>
    <s v="HEATER"/>
    <s v="HTR02"/>
    <s v="Hoàng Anh"/>
    <s v="B272-400-AS-010-RF-019"/>
    <s v="010-RF-019(5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29"/>
    <x v="0"/>
    <s v="Shipment 1 400"/>
    <x v="0"/>
    <x v="2"/>
    <m/>
    <d v="2025-11-29T00:00:00"/>
    <s v="HEATER"/>
    <s v="HTR02"/>
    <s v="Hoàng Anh"/>
    <s v="B272-400-AS-010-RF-019"/>
    <s v="010-RF-019(6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1-12T00:00:00"/>
    <n v="1"/>
    <n v="8.6"/>
    <m/>
    <m/>
    <n v="0"/>
    <m/>
    <m/>
    <m/>
    <n v="0"/>
    <m/>
    <m/>
    <n v="0"/>
    <s v="PAC"/>
    <m/>
  </r>
  <r>
    <n v="30"/>
    <x v="0"/>
    <s v="Shipment 1 400"/>
    <x v="0"/>
    <x v="2"/>
    <m/>
    <d v="2025-11-29T00:00:00"/>
    <s v="HEATER"/>
    <s v="HTR02"/>
    <s v="Hoàng Anh"/>
    <s v="B272-400-AS-010-RF-019"/>
    <s v="010-RF-019(7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2-04T00:00:00"/>
    <n v="1"/>
    <n v="8.6"/>
    <m/>
    <m/>
    <n v="0"/>
    <m/>
    <m/>
    <m/>
    <n v="0"/>
    <m/>
    <m/>
    <n v="0"/>
    <s v="PAC"/>
    <m/>
  </r>
  <r>
    <n v="31"/>
    <x v="0"/>
    <s v="Shipment 1 400"/>
    <x v="0"/>
    <x v="2"/>
    <m/>
    <d v="2025-11-29T00:00:00"/>
    <s v="HEATER"/>
    <s v="HTR02"/>
    <s v="Hoàng Anh"/>
    <s v="B272-400-AS-010-RF-019"/>
    <s v="010-RF-019(8/8)"/>
    <s v="RADIANT FLOOR"/>
    <n v="1"/>
    <n v="8.6"/>
    <n v="8.6"/>
    <s v="(220x75x938)"/>
    <m/>
    <m/>
    <m/>
    <m/>
    <m/>
    <m/>
    <m/>
    <m/>
    <m/>
    <m/>
    <m/>
    <m/>
    <m/>
    <n v="7.74"/>
    <n v="0.85999999999999943"/>
    <m/>
    <m/>
    <n v="0"/>
    <d v="2025-11-27T00:00:00"/>
    <n v="1"/>
    <n v="8.6"/>
    <d v="2026-02-04T00:00:00"/>
    <n v="1"/>
    <n v="8.6"/>
    <m/>
    <m/>
    <n v="0"/>
    <m/>
    <m/>
    <m/>
    <n v="0"/>
    <m/>
    <m/>
    <n v="0"/>
    <s v="PAC"/>
    <m/>
  </r>
  <r>
    <n v="32"/>
    <x v="0"/>
    <s v="Shipment 1 400"/>
    <x v="0"/>
    <x v="2"/>
    <m/>
    <d v="2025-11-29T00:00:00"/>
    <s v="HEATER"/>
    <s v="HTR02"/>
    <s v="Hoàng Anh"/>
    <s v="B272-400-AS-010-RF-020"/>
    <s v="010-RF-020(1/2)"/>
    <s v="RADIANT FLOOR"/>
    <n v="1"/>
    <n v="6.9"/>
    <n v="6.9"/>
    <s v="(220x75x734)"/>
    <m/>
    <m/>
    <m/>
    <m/>
    <m/>
    <m/>
    <m/>
    <m/>
    <m/>
    <m/>
    <m/>
    <m/>
    <m/>
    <n v="6.2100000000000009"/>
    <n v="0.6899999999999995"/>
    <m/>
    <m/>
    <n v="0"/>
    <d v="2025-11-27T00:00:00"/>
    <n v="1"/>
    <n v="6.9"/>
    <d v="2026-02-04T00:00:00"/>
    <n v="1"/>
    <n v="6.9"/>
    <m/>
    <m/>
    <n v="0"/>
    <m/>
    <m/>
    <m/>
    <n v="0"/>
    <m/>
    <m/>
    <n v="0"/>
    <s v="PAC"/>
    <m/>
  </r>
  <r>
    <n v="33"/>
    <x v="0"/>
    <s v="Shipment 1 400"/>
    <x v="0"/>
    <x v="2"/>
    <m/>
    <d v="2025-11-29T00:00:00"/>
    <s v="HEATER"/>
    <s v="HTR02"/>
    <s v="Hoàng Anh"/>
    <s v="B272-400-AS-010-RF-020"/>
    <s v="010-RF-020(2/2)"/>
    <s v="RADIANT FLOOR"/>
    <n v="1"/>
    <n v="6.9"/>
    <n v="6.9"/>
    <s v="(220x75x734)"/>
    <m/>
    <m/>
    <m/>
    <m/>
    <m/>
    <m/>
    <m/>
    <m/>
    <m/>
    <m/>
    <m/>
    <m/>
    <m/>
    <n v="6.2100000000000009"/>
    <n v="0.6899999999999995"/>
    <m/>
    <m/>
    <n v="0"/>
    <d v="2025-11-27T00:00:00"/>
    <n v="1"/>
    <n v="6.9"/>
    <d v="2026-02-04T00:00:00"/>
    <n v="1"/>
    <n v="6.9"/>
    <m/>
    <m/>
    <n v="0"/>
    <m/>
    <m/>
    <m/>
    <n v="0"/>
    <m/>
    <m/>
    <n v="0"/>
    <s v="PAC"/>
    <m/>
  </r>
  <r>
    <n v="34"/>
    <x v="0"/>
    <s v="Shipment 1 400"/>
    <x v="0"/>
    <x v="2"/>
    <m/>
    <d v="2025-11-29T00:00:00"/>
    <s v="HEATER"/>
    <s v="HTR02"/>
    <s v="Hoàng Anh"/>
    <s v="B272-400-AS-010-RF-021"/>
    <s v="010-RF-021(1/2)"/>
    <s v="RADIANT FLOOR"/>
    <n v="1"/>
    <n v="6.9"/>
    <n v="6.9"/>
    <s v="(220x75x734)"/>
    <m/>
    <m/>
    <m/>
    <m/>
    <m/>
    <m/>
    <m/>
    <m/>
    <m/>
    <m/>
    <m/>
    <m/>
    <m/>
    <n v="6.2100000000000009"/>
    <n v="0.6899999999999995"/>
    <m/>
    <m/>
    <n v="0"/>
    <d v="2025-11-27T00:00:00"/>
    <n v="1"/>
    <n v="6.9"/>
    <d v="2026-02-04T00:00:00"/>
    <n v="1"/>
    <n v="6.9"/>
    <m/>
    <m/>
    <n v="0"/>
    <m/>
    <m/>
    <m/>
    <n v="0"/>
    <m/>
    <m/>
    <n v="0"/>
    <s v="PAC"/>
    <m/>
  </r>
  <r>
    <n v="35"/>
    <x v="0"/>
    <s v="Shipment 1 400"/>
    <x v="0"/>
    <x v="2"/>
    <m/>
    <d v="2025-11-29T00:00:00"/>
    <s v="HEATER"/>
    <s v="HTR02"/>
    <s v="Hoàng Anh"/>
    <s v="B272-400-AS-010-RF-021"/>
    <s v="010-RF-021(2/2)"/>
    <s v="RADIANT FLOOR"/>
    <n v="1"/>
    <n v="6.9"/>
    <n v="6.9"/>
    <s v="(220x75x734)"/>
    <m/>
    <m/>
    <m/>
    <m/>
    <m/>
    <m/>
    <m/>
    <m/>
    <m/>
    <m/>
    <m/>
    <m/>
    <m/>
    <n v="6.2100000000000009"/>
    <n v="0.6899999999999995"/>
    <m/>
    <m/>
    <n v="0"/>
    <d v="2025-11-27T00:00:00"/>
    <n v="1"/>
    <n v="6.9"/>
    <d v="2026-02-04T00:00:00"/>
    <n v="1"/>
    <n v="6.9"/>
    <m/>
    <m/>
    <n v="0"/>
    <m/>
    <m/>
    <m/>
    <n v="0"/>
    <m/>
    <m/>
    <n v="0"/>
    <s v="PAC"/>
    <m/>
  </r>
  <r>
    <n v="36"/>
    <x v="0"/>
    <s v="Shipment 1 400"/>
    <x v="0"/>
    <x v="2"/>
    <m/>
    <d v="2025-11-29T00:00:00"/>
    <s v="HEATER"/>
    <s v="HTR02"/>
    <s v="Hoàng Anh"/>
    <s v="B272-400-AS-010-RF-022"/>
    <s v="010-RF-022"/>
    <s v="RADIANT FLOOR"/>
    <n v="1"/>
    <n v="384.5"/>
    <n v="384.5"/>
    <s v="(3380x480x310)"/>
    <m/>
    <m/>
    <m/>
    <m/>
    <m/>
    <m/>
    <m/>
    <m/>
    <m/>
    <m/>
    <m/>
    <m/>
    <m/>
    <n v="346.05"/>
    <n v="38.449999999999989"/>
    <m/>
    <m/>
    <n v="0"/>
    <d v="2025-11-27T00:00:00"/>
    <n v="1"/>
    <n v="384.5"/>
    <d v="2025-11-28T00:00:00"/>
    <n v="1"/>
    <n v="384.5"/>
    <m/>
    <m/>
    <n v="0"/>
    <m/>
    <m/>
    <m/>
    <n v="0"/>
    <m/>
    <m/>
    <n v="0"/>
    <s v="PAC"/>
    <m/>
  </r>
  <r>
    <n v="37"/>
    <x v="0"/>
    <s v="Shipment 1 400"/>
    <x v="0"/>
    <x v="2"/>
    <m/>
    <d v="2025-11-29T00:00:00"/>
    <s v="HEATER"/>
    <s v="HTR02"/>
    <s v="Hoàng Anh"/>
    <s v="B272-400-AS-010-RF-023"/>
    <s v="010-RF-023"/>
    <s v="RADIANT FLOOR"/>
    <n v="1"/>
    <n v="336.4"/>
    <n v="336.4"/>
    <s v="(3230x580x360)"/>
    <m/>
    <m/>
    <m/>
    <m/>
    <m/>
    <m/>
    <m/>
    <m/>
    <m/>
    <m/>
    <m/>
    <m/>
    <m/>
    <n v="302.76"/>
    <n v="33.639999999999986"/>
    <m/>
    <m/>
    <n v="0"/>
    <d v="2025-11-27T00:00:00"/>
    <n v="1"/>
    <n v="336.4"/>
    <d v="2025-11-28T00:00:00"/>
    <n v="1"/>
    <n v="336.4"/>
    <m/>
    <m/>
    <n v="0"/>
    <m/>
    <m/>
    <m/>
    <n v="0"/>
    <m/>
    <m/>
    <n v="0"/>
    <s v="PAC"/>
    <m/>
  </r>
  <r>
    <n v="38"/>
    <x v="0"/>
    <s v="Shipment 1 400"/>
    <x v="0"/>
    <x v="2"/>
    <m/>
    <d v="2025-11-29T00:00:00"/>
    <s v="HEATER"/>
    <s v="HTR02"/>
    <s v="Hoàng Anh"/>
    <s v="B272-400-AS-010-RF-024"/>
    <s v="010-RF-024"/>
    <s v="RADIANT FLOOR"/>
    <n v="1"/>
    <n v="349.7"/>
    <n v="349.7"/>
    <s v="(3230x950x360)"/>
    <m/>
    <m/>
    <m/>
    <m/>
    <m/>
    <m/>
    <m/>
    <m/>
    <m/>
    <m/>
    <m/>
    <m/>
    <m/>
    <n v="314.73"/>
    <n v="34.96999999999997"/>
    <m/>
    <m/>
    <n v="0"/>
    <d v="2025-11-27T00:00:00"/>
    <n v="1"/>
    <n v="349.7"/>
    <d v="2025-11-28T00:00:00"/>
    <n v="1"/>
    <n v="349.7"/>
    <m/>
    <m/>
    <n v="0"/>
    <m/>
    <m/>
    <m/>
    <n v="0"/>
    <m/>
    <m/>
    <n v="0"/>
    <s v="PAC"/>
    <m/>
  </r>
  <r>
    <n v="39"/>
    <x v="0"/>
    <s v="Shipment 1 400"/>
    <x v="0"/>
    <x v="2"/>
    <m/>
    <d v="2025-11-29T00:00:00"/>
    <s v="HEATER"/>
    <s v="HTR02"/>
    <s v="Hoàng Anh"/>
    <s v="B272-400-AS-010-RF-025"/>
    <s v="010-RF-025"/>
    <s v="RADIANT FLOOR"/>
    <n v="1"/>
    <n v="384.5"/>
    <n v="384.5"/>
    <s v="(3380x480x310)"/>
    <m/>
    <m/>
    <m/>
    <m/>
    <m/>
    <m/>
    <m/>
    <m/>
    <m/>
    <m/>
    <m/>
    <m/>
    <m/>
    <n v="346.05"/>
    <n v="38.449999999999989"/>
    <m/>
    <m/>
    <n v="0"/>
    <d v="2025-11-27T00:00:00"/>
    <n v="1"/>
    <n v="384.5"/>
    <d v="2026-02-05T00:00:00"/>
    <n v="1"/>
    <n v="384.5"/>
    <m/>
    <m/>
    <n v="0"/>
    <m/>
    <m/>
    <m/>
    <n v="0"/>
    <m/>
    <m/>
    <n v="0"/>
    <s v="PAC"/>
    <m/>
  </r>
  <r>
    <n v="40"/>
    <x v="0"/>
    <s v="Shipment 1 400"/>
    <x v="0"/>
    <x v="2"/>
    <m/>
    <d v="2025-11-29T00:00:00"/>
    <s v="HEATER"/>
    <s v="HTR02"/>
    <s v="Hoàng Anh"/>
    <s v="B272-400-AS-010-RF-026"/>
    <s v="010-RF-026"/>
    <s v="RADIANT FLOOR"/>
    <n v="1"/>
    <n v="349.7"/>
    <n v="349.7"/>
    <s v="(3230x950x360)"/>
    <m/>
    <m/>
    <m/>
    <m/>
    <m/>
    <m/>
    <m/>
    <m/>
    <m/>
    <m/>
    <m/>
    <m/>
    <m/>
    <n v="314.73"/>
    <n v="34.96999999999997"/>
    <m/>
    <m/>
    <n v="0"/>
    <d v="2025-11-27T00:00:00"/>
    <n v="1"/>
    <n v="349.7"/>
    <d v="2026-02-05T00:00:00"/>
    <n v="1"/>
    <n v="349.7"/>
    <m/>
    <m/>
    <n v="0"/>
    <m/>
    <m/>
    <m/>
    <n v="0"/>
    <m/>
    <m/>
    <n v="0"/>
    <s v="PAC"/>
    <m/>
  </r>
  <r>
    <n v="41"/>
    <x v="0"/>
    <s v="Shipment 1 400"/>
    <x v="0"/>
    <x v="2"/>
    <m/>
    <d v="2025-11-29T00:00:00"/>
    <s v="HEATER"/>
    <s v="HTR02"/>
    <s v="Hoàng Anh"/>
    <s v="B272-400-AS-010-RF-027"/>
    <s v="010-RF-027"/>
    <s v="RADIANT FLOOR"/>
    <n v="1"/>
    <n v="336.4"/>
    <n v="336.4"/>
    <s v="(3230x580x360)"/>
    <m/>
    <m/>
    <m/>
    <m/>
    <m/>
    <m/>
    <m/>
    <m/>
    <m/>
    <m/>
    <m/>
    <m/>
    <m/>
    <n v="302.76"/>
    <n v="33.639999999999986"/>
    <m/>
    <m/>
    <n v="0"/>
    <d v="2026-01-23T00:00:00"/>
    <n v="1"/>
    <n v="336.4"/>
    <d v="2026-02-05T00:00:00"/>
    <n v="1"/>
    <n v="336.4"/>
    <m/>
    <m/>
    <n v="0"/>
    <m/>
    <m/>
    <m/>
    <n v="0"/>
    <m/>
    <m/>
    <n v="0"/>
    <s v="PAC"/>
    <m/>
  </r>
  <r>
    <n v="42"/>
    <x v="0"/>
    <s v="Shipment 1 400"/>
    <x v="0"/>
    <x v="2"/>
    <m/>
    <d v="2025-11-29T00:00:00"/>
    <s v="HEATER"/>
    <s v="HTR02"/>
    <s v="Hoàng Anh"/>
    <s v="B272-400-AS-020-RA-001"/>
    <s v="020-RA-001"/>
    <s v="RADIANT ARCH"/>
    <n v="1"/>
    <n v="2977.64"/>
    <n v="2977.64"/>
    <s v="(10350x2491x506)"/>
    <m/>
    <m/>
    <m/>
    <m/>
    <m/>
    <m/>
    <m/>
    <m/>
    <m/>
    <m/>
    <m/>
    <m/>
    <m/>
    <n v="2679.8760000000002"/>
    <n v="297.76399999999967"/>
    <m/>
    <m/>
    <n v="0"/>
    <d v="2025-11-25T00:00:00"/>
    <n v="1"/>
    <n v="2977.64"/>
    <d v="2025-12-01T00:00:00"/>
    <n v="1"/>
    <n v="2977.64"/>
    <m/>
    <m/>
    <n v="0"/>
    <m/>
    <m/>
    <m/>
    <n v="0"/>
    <m/>
    <m/>
    <n v="0"/>
    <s v="PAC"/>
    <m/>
  </r>
  <r>
    <n v="43"/>
    <x v="0"/>
    <s v="Shipment 1 400"/>
    <x v="0"/>
    <x v="2"/>
    <m/>
    <d v="2025-11-29T00:00:00"/>
    <s v="HEATER"/>
    <s v="HTR02"/>
    <s v="Hoàng Anh"/>
    <s v="B272-400-AS-020-RA-002"/>
    <s v="020-RA-002"/>
    <s v="RADIANT ARCH"/>
    <n v="1"/>
    <n v="2938.3"/>
    <n v="2938.3"/>
    <s v="(2491x10350x446)"/>
    <m/>
    <m/>
    <m/>
    <m/>
    <m/>
    <m/>
    <m/>
    <m/>
    <m/>
    <m/>
    <m/>
    <m/>
    <m/>
    <n v="2644.4700000000003"/>
    <n v="293.82999999999993"/>
    <m/>
    <m/>
    <n v="0"/>
    <d v="2025-11-25T00:00:00"/>
    <n v="1"/>
    <n v="2938.3"/>
    <d v="2026-02-05T00:00:00"/>
    <n v="1"/>
    <n v="2938.3"/>
    <m/>
    <m/>
    <n v="0"/>
    <m/>
    <m/>
    <m/>
    <n v="0"/>
    <m/>
    <m/>
    <n v="0"/>
    <s v="PAC"/>
    <m/>
  </r>
  <r>
    <n v="44"/>
    <x v="0"/>
    <s v="Shipment 1 400"/>
    <x v="0"/>
    <x v="2"/>
    <m/>
    <d v="2025-11-29T00:00:00"/>
    <s v="HEATER"/>
    <s v="HTR02"/>
    <s v="Hoàng Anh"/>
    <s v="B272-400-AS-020-RA-003"/>
    <s v="020-RA-003"/>
    <s v="RADIANT ARCH"/>
    <n v="1"/>
    <n v="298.39999999999998"/>
    <n v="298.39999999999998"/>
    <s v="(1640x575x306)"/>
    <m/>
    <m/>
    <m/>
    <m/>
    <m/>
    <m/>
    <m/>
    <m/>
    <m/>
    <m/>
    <m/>
    <m/>
    <m/>
    <n v="268.56"/>
    <n v="29.839999999999975"/>
    <m/>
    <m/>
    <n v="0"/>
    <d v="2026-01-23T00:00:00"/>
    <n v="1"/>
    <n v="298.39999999999998"/>
    <d v="2026-02-05T00:00:00"/>
    <n v="1"/>
    <n v="298.39999999999998"/>
    <m/>
    <m/>
    <n v="0"/>
    <m/>
    <m/>
    <m/>
    <n v="0"/>
    <m/>
    <m/>
    <n v="0"/>
    <s v="PAC"/>
    <m/>
  </r>
  <r>
    <n v="45"/>
    <x v="0"/>
    <s v="Shipment 1 400"/>
    <x v="0"/>
    <x v="2"/>
    <m/>
    <d v="2025-11-29T00:00:00"/>
    <s v="HEATER"/>
    <s v="HTR02"/>
    <s v="Hoàng Anh"/>
    <s v="B272-400-AS-020-RA-004"/>
    <s v="020-RA-004"/>
    <s v="RADIANT ARCH"/>
    <n v="1"/>
    <n v="298.39999999999998"/>
    <n v="298.39999999999998"/>
    <s v="(1640x575x306)"/>
    <m/>
    <m/>
    <m/>
    <m/>
    <m/>
    <m/>
    <m/>
    <m/>
    <m/>
    <m/>
    <m/>
    <m/>
    <m/>
    <n v="268.56"/>
    <n v="29.839999999999975"/>
    <m/>
    <m/>
    <n v="0"/>
    <d v="2026-01-23T00:00:00"/>
    <n v="1"/>
    <n v="298.39999999999998"/>
    <d v="2026-02-05T00:00:00"/>
    <n v="1"/>
    <n v="298.39999999999998"/>
    <m/>
    <m/>
    <n v="0"/>
    <m/>
    <m/>
    <m/>
    <n v="0"/>
    <m/>
    <m/>
    <n v="0"/>
    <s v="PAC"/>
    <m/>
  </r>
  <r>
    <n v="46"/>
    <x v="0"/>
    <s v="Shipment 1 400"/>
    <x v="0"/>
    <x v="2"/>
    <m/>
    <d v="2025-11-29T00:00:00"/>
    <s v="HEATER"/>
    <s v="HTR02"/>
    <s v="Hoàng Anh"/>
    <s v="B272-400-AS-030-RW-001"/>
    <s v="030-RW-001"/>
    <s v="RADIANT WALL"/>
    <n v="1"/>
    <n v="2890.1"/>
    <n v="2890.1"/>
    <s v="(12610x2290x965)"/>
    <m/>
    <m/>
    <m/>
    <m/>
    <m/>
    <m/>
    <m/>
    <m/>
    <m/>
    <m/>
    <m/>
    <m/>
    <m/>
    <n v="2601.09"/>
    <n v="289.00999999999976"/>
    <m/>
    <m/>
    <n v="0"/>
    <d v="2025-11-19T00:00:00"/>
    <n v="1"/>
    <n v="2890.1"/>
    <d v="2025-11-26T00:00:00"/>
    <n v="1"/>
    <n v="2890.1"/>
    <m/>
    <m/>
    <n v="0"/>
    <m/>
    <m/>
    <m/>
    <n v="0"/>
    <m/>
    <m/>
    <n v="0"/>
    <s v="PAC"/>
    <m/>
  </r>
  <r>
    <n v="47"/>
    <x v="0"/>
    <s v="Shipment 1 400"/>
    <x v="0"/>
    <x v="2"/>
    <m/>
    <d v="2025-11-29T00:00:00"/>
    <s v="HEATER"/>
    <s v="HTR02"/>
    <s v="Hoàng Anh"/>
    <s v="B272-400-AS-030-RW-002"/>
    <s v="030-RW-002"/>
    <s v="RADIANT WALL"/>
    <n v="1"/>
    <n v="1543.4"/>
    <n v="1543.4"/>
    <s v="(12364x1320x798)"/>
    <m/>
    <m/>
    <m/>
    <m/>
    <m/>
    <m/>
    <m/>
    <m/>
    <m/>
    <m/>
    <m/>
    <m/>
    <m/>
    <n v="1389.0600000000002"/>
    <n v="154.33999999999992"/>
    <m/>
    <m/>
    <n v="0"/>
    <d v="2025-11-26T00:00:00"/>
    <n v="1"/>
    <n v="1543.4"/>
    <d v="2025-12-02T00:00:00"/>
    <n v="1"/>
    <n v="1543.4"/>
    <m/>
    <m/>
    <n v="0"/>
    <m/>
    <m/>
    <m/>
    <n v="0"/>
    <m/>
    <m/>
    <n v="0"/>
    <s v="PAC"/>
    <m/>
  </r>
  <r>
    <n v="48"/>
    <x v="0"/>
    <s v="Shipment 1 400"/>
    <x v="0"/>
    <x v="2"/>
    <m/>
    <d v="2025-11-29T00:00:00"/>
    <s v="HEATER"/>
    <s v="HTR02"/>
    <s v="Hoàng Anh"/>
    <s v="B272-400-AS-030-RW-003"/>
    <s v="030-RW-003"/>
    <s v="RADIANT WALL"/>
    <n v="1"/>
    <n v="1888.9"/>
    <n v="1888.9"/>
    <s v="(12364x1805x780)"/>
    <m/>
    <m/>
    <m/>
    <m/>
    <m/>
    <m/>
    <m/>
    <m/>
    <m/>
    <m/>
    <m/>
    <m/>
    <m/>
    <n v="1700.0100000000002"/>
    <n v="188.88999999999987"/>
    <m/>
    <m/>
    <n v="0"/>
    <d v="2025-11-26T00:00:00"/>
    <n v="1"/>
    <n v="1888.9"/>
    <d v="2025-12-06T00:00:00"/>
    <n v="1"/>
    <n v="1888.9"/>
    <m/>
    <m/>
    <n v="0"/>
    <m/>
    <m/>
    <m/>
    <n v="0"/>
    <m/>
    <m/>
    <n v="0"/>
    <s v="PAC"/>
    <m/>
  </r>
  <r>
    <n v="49"/>
    <x v="0"/>
    <s v="Shipment 1 400"/>
    <x v="0"/>
    <x v="2"/>
    <m/>
    <d v="2025-11-29T00:00:00"/>
    <s v="HEATER"/>
    <s v="HTR02"/>
    <s v="Hoàng Anh"/>
    <s v="B272-400-AS-030-RW-004"/>
    <s v="030-RW-004"/>
    <s v="RADIANT WALL"/>
    <n v="1"/>
    <n v="1893"/>
    <n v="1893"/>
    <s v="(12364x1805x745)"/>
    <m/>
    <m/>
    <m/>
    <m/>
    <m/>
    <m/>
    <m/>
    <m/>
    <m/>
    <m/>
    <m/>
    <m/>
    <m/>
    <n v="1703.7"/>
    <n v="189.29999999999995"/>
    <m/>
    <m/>
    <n v="0"/>
    <d v="2025-11-26T00:00:00"/>
    <n v="1"/>
    <n v="1893"/>
    <d v="2025-12-13T00:00:00"/>
    <n v="1"/>
    <n v="1893"/>
    <m/>
    <m/>
    <n v="0"/>
    <m/>
    <m/>
    <m/>
    <n v="0"/>
    <m/>
    <m/>
    <n v="0"/>
    <s v="PAC"/>
    <m/>
  </r>
  <r>
    <n v="50"/>
    <x v="0"/>
    <s v="Shipment 1 400"/>
    <x v="0"/>
    <x v="2"/>
    <m/>
    <d v="2025-11-29T00:00:00"/>
    <s v="HEATER"/>
    <s v="HTR02"/>
    <s v="Hoàng Anh"/>
    <s v="B272-400-AS-030-RW-005"/>
    <s v="030-RW-005"/>
    <s v="RADIANT WALL"/>
    <n v="1"/>
    <n v="2832.8"/>
    <n v="2832.8"/>
    <s v="(12610x2220x805)"/>
    <m/>
    <m/>
    <m/>
    <m/>
    <m/>
    <m/>
    <m/>
    <m/>
    <m/>
    <m/>
    <m/>
    <m/>
    <m/>
    <n v="2549.5200000000004"/>
    <n v="283.27999999999975"/>
    <m/>
    <m/>
    <n v="0"/>
    <d v="2025-12-06T00:00:00"/>
    <n v="1"/>
    <n v="2832.8"/>
    <d v="2025-12-16T00:00:00"/>
    <n v="1"/>
    <n v="2832.8"/>
    <m/>
    <m/>
    <n v="0"/>
    <m/>
    <m/>
    <m/>
    <n v="0"/>
    <m/>
    <m/>
    <n v="0"/>
    <s v="PAC"/>
    <m/>
  </r>
  <r>
    <n v="51"/>
    <x v="0"/>
    <s v="Shipment 1 400"/>
    <x v="0"/>
    <x v="2"/>
    <m/>
    <d v="2025-11-29T00:00:00"/>
    <s v="HEATER"/>
    <s v="HTR02"/>
    <s v="Hoàng Anh"/>
    <s v="B272-400-AS-030-RW-006"/>
    <s v="030-RW-006"/>
    <s v="RADIANT WALL"/>
    <n v="1"/>
    <n v="1541.1"/>
    <n v="1541.1"/>
    <s v="(12364x1320x780)"/>
    <m/>
    <m/>
    <m/>
    <m/>
    <m/>
    <m/>
    <m/>
    <m/>
    <m/>
    <m/>
    <m/>
    <m/>
    <m/>
    <n v="1386.99"/>
    <n v="154.1099999999999"/>
    <m/>
    <m/>
    <n v="0"/>
    <d v="2025-12-06T00:00:00"/>
    <n v="1"/>
    <n v="1541.1"/>
    <d v="2025-12-18T00:00:00"/>
    <n v="1"/>
    <n v="1541.1"/>
    <m/>
    <m/>
    <n v="0"/>
    <m/>
    <m/>
    <m/>
    <n v="0"/>
    <m/>
    <m/>
    <n v="0"/>
    <s v="PAC"/>
    <m/>
  </r>
  <r>
    <n v="52"/>
    <x v="0"/>
    <s v="Shipment 1 400"/>
    <x v="0"/>
    <x v="2"/>
    <m/>
    <d v="2025-11-29T00:00:00"/>
    <s v="HEATER"/>
    <s v="HTR02"/>
    <s v="Hoàng Anh"/>
    <s v="B272-400-AS-030-RW-007"/>
    <s v="030-RW-007"/>
    <s v="RADIANT WALL"/>
    <n v="1"/>
    <n v="2878.93"/>
    <n v="2878.93"/>
    <s v="(12610x2220x805)"/>
    <m/>
    <m/>
    <m/>
    <m/>
    <m/>
    <m/>
    <m/>
    <m/>
    <m/>
    <m/>
    <m/>
    <m/>
    <m/>
    <n v="2591.0369999999998"/>
    <n v="287.89300000000003"/>
    <m/>
    <m/>
    <n v="0"/>
    <d v="2025-12-12T00:00:00"/>
    <n v="1"/>
    <n v="2878.93"/>
    <d v="2025-12-18T00:00:00"/>
    <n v="1"/>
    <n v="2878.93"/>
    <m/>
    <m/>
    <n v="0"/>
    <m/>
    <m/>
    <m/>
    <n v="0"/>
    <m/>
    <m/>
    <n v="0"/>
    <s v="PAC"/>
    <m/>
  </r>
  <r>
    <n v="53"/>
    <x v="0"/>
    <s v="Shipment 1 400"/>
    <x v="0"/>
    <x v="2"/>
    <m/>
    <d v="2025-11-29T00:00:00"/>
    <s v="HEATER"/>
    <s v="HTR02"/>
    <s v="Hoàng Anh"/>
    <s v="B272-400-AS-030-RW-008"/>
    <s v="030-RW-008"/>
    <s v="RADIANT WALL"/>
    <n v="1"/>
    <n v="1545.6"/>
    <n v="1545.6"/>
    <s v="(12364x1320x745)"/>
    <m/>
    <m/>
    <m/>
    <m/>
    <m/>
    <m/>
    <m/>
    <m/>
    <m/>
    <m/>
    <m/>
    <m/>
    <m/>
    <n v="1391.04"/>
    <n v="154.55999999999995"/>
    <m/>
    <m/>
    <n v="0"/>
    <d v="2025-12-12T00:00:00"/>
    <n v="1"/>
    <n v="1545.6"/>
    <d v="2025-12-18T00:00:00"/>
    <n v="1"/>
    <n v="1545.6"/>
    <m/>
    <m/>
    <n v="0"/>
    <m/>
    <m/>
    <m/>
    <n v="0"/>
    <m/>
    <m/>
    <n v="0"/>
    <s v="PAC"/>
    <m/>
  </r>
  <r>
    <n v="54"/>
    <x v="0"/>
    <s v="Shipment 1 400"/>
    <x v="0"/>
    <x v="2"/>
    <m/>
    <d v="2025-11-29T00:00:00"/>
    <s v="HEATER"/>
    <s v="HTR02"/>
    <s v="Hoàng Anh"/>
    <s v="B272-400-AS-030-RW-009"/>
    <s v="030-RW-009"/>
    <s v="RADIANT WALL"/>
    <n v="1"/>
    <n v="1880.5"/>
    <n v="1880.5"/>
    <s v="(12364x1805x780)"/>
    <m/>
    <m/>
    <m/>
    <m/>
    <m/>
    <m/>
    <m/>
    <m/>
    <m/>
    <m/>
    <m/>
    <m/>
    <m/>
    <n v="1692.45"/>
    <n v="188.04999999999995"/>
    <m/>
    <m/>
    <n v="0"/>
    <d v="2025-12-12T00:00:00"/>
    <n v="1"/>
    <n v="1880.5"/>
    <d v="2025-12-18T00:00:00"/>
    <n v="1"/>
    <n v="1880.5"/>
    <m/>
    <m/>
    <n v="0"/>
    <m/>
    <m/>
    <m/>
    <n v="0"/>
    <m/>
    <m/>
    <n v="0"/>
    <s v="PAC"/>
    <m/>
  </r>
  <r>
    <n v="55"/>
    <x v="0"/>
    <s v="Shipment 1 400"/>
    <x v="0"/>
    <x v="2"/>
    <m/>
    <d v="2025-11-29T00:00:00"/>
    <s v="HEATER"/>
    <s v="HTR02"/>
    <s v="Hoàng Anh"/>
    <s v="B272-400-AS-030-RW-010"/>
    <s v="030-RW-010"/>
    <s v="RADIANT WALL"/>
    <n v="1"/>
    <n v="1896.7"/>
    <n v="1896.7"/>
    <s v="(12364x1805x745)"/>
    <m/>
    <m/>
    <m/>
    <m/>
    <m/>
    <m/>
    <m/>
    <m/>
    <m/>
    <m/>
    <m/>
    <m/>
    <m/>
    <n v="1707.0300000000002"/>
    <n v="189.66999999999985"/>
    <m/>
    <m/>
    <n v="0"/>
    <d v="2025-12-16T00:00:00"/>
    <n v="1"/>
    <n v="1896.7"/>
    <d v="2025-12-22T00:00:00"/>
    <n v="1"/>
    <n v="1896.7"/>
    <m/>
    <m/>
    <n v="0"/>
    <m/>
    <m/>
    <m/>
    <n v="0"/>
    <m/>
    <m/>
    <n v="0"/>
    <s v="PAC"/>
    <m/>
  </r>
  <r>
    <n v="56"/>
    <x v="0"/>
    <s v="Shipment 1 400"/>
    <x v="0"/>
    <x v="2"/>
    <m/>
    <d v="2025-11-29T00:00:00"/>
    <s v="HEATER"/>
    <s v="HTR02"/>
    <s v="Hoàng Anh"/>
    <s v="B272-400-AS-030-RW-011"/>
    <s v="030-RW-011"/>
    <s v="RADIANT WALL"/>
    <n v="1"/>
    <n v="2891.53"/>
    <n v="2891.53"/>
    <s v="(12610x2290x965)"/>
    <m/>
    <m/>
    <m/>
    <m/>
    <m/>
    <m/>
    <m/>
    <m/>
    <m/>
    <m/>
    <m/>
    <m/>
    <m/>
    <n v="2602.3770000000004"/>
    <n v="289.15299999999979"/>
    <m/>
    <m/>
    <n v="0"/>
    <d v="2025-12-16T00:00:00"/>
    <n v="1"/>
    <n v="2891.53"/>
    <d v="2025-12-22T00:00:00"/>
    <n v="1"/>
    <n v="2891.53"/>
    <m/>
    <m/>
    <n v="0"/>
    <m/>
    <m/>
    <m/>
    <n v="0"/>
    <m/>
    <m/>
    <n v="0"/>
    <s v="PAC"/>
    <m/>
  </r>
  <r>
    <n v="57"/>
    <x v="0"/>
    <s v="Shipment 1 400"/>
    <x v="0"/>
    <x v="2"/>
    <m/>
    <d v="2025-11-29T00:00:00"/>
    <s v="HEATER"/>
    <s v="HTR02"/>
    <s v="Hoàng Anh"/>
    <s v="B272-400-AS-030-RW-012"/>
    <s v="030-RW-012"/>
    <s v="RADIANT WALL"/>
    <n v="1"/>
    <n v="1542.88"/>
    <n v="1542.88"/>
    <s v="(12364x1320x780)"/>
    <m/>
    <m/>
    <m/>
    <m/>
    <m/>
    <m/>
    <m/>
    <m/>
    <m/>
    <m/>
    <m/>
    <m/>
    <m/>
    <n v="1388.5920000000001"/>
    <n v="154.28800000000001"/>
    <m/>
    <m/>
    <n v="0"/>
    <d v="2025-12-16T00:00:00"/>
    <n v="1"/>
    <n v="1542.88"/>
    <d v="2025-12-22T00:00:00"/>
    <n v="1"/>
    <n v="1542.88"/>
    <m/>
    <m/>
    <n v="0"/>
    <m/>
    <m/>
    <m/>
    <n v="0"/>
    <m/>
    <m/>
    <n v="0"/>
    <s v="PAC"/>
    <m/>
  </r>
  <r>
    <n v="58"/>
    <x v="0"/>
    <s v="Shipment 1 400"/>
    <x v="0"/>
    <x v="2"/>
    <m/>
    <d v="2025-11-29T00:00:00"/>
    <s v="HEATER"/>
    <s v="HTR02"/>
    <s v="Hoàng Anh"/>
    <s v="B272-400-AS-030-RW-013"/>
    <s v="030-RW-013"/>
    <s v="RADIANT WALL"/>
    <n v="1"/>
    <n v="1370.6"/>
    <n v="1370.6"/>
    <s v="(5980x1900x531)"/>
    <m/>
    <m/>
    <m/>
    <m/>
    <m/>
    <m/>
    <m/>
    <m/>
    <m/>
    <m/>
    <m/>
    <m/>
    <m/>
    <n v="1233.54"/>
    <n v="137.05999999999995"/>
    <m/>
    <m/>
    <n v="0"/>
    <d v="2025-12-16T00:00:00"/>
    <n v="1"/>
    <n v="1370.6"/>
    <d v="2025-12-23T00:00:00"/>
    <n v="1"/>
    <n v="1370.6"/>
    <m/>
    <m/>
    <n v="0"/>
    <m/>
    <m/>
    <m/>
    <n v="0"/>
    <m/>
    <m/>
    <n v="0"/>
    <s v="PAC"/>
    <m/>
  </r>
  <r>
    <n v="59"/>
    <x v="0"/>
    <s v="Shipment 1 400"/>
    <x v="0"/>
    <x v="2"/>
    <m/>
    <d v="2025-11-29T00:00:00"/>
    <s v="HEATER"/>
    <s v="HTR02"/>
    <s v="Hoàng Anh"/>
    <s v="B272-400-AS-030-RW-014"/>
    <s v="030-RW-014"/>
    <s v="RADIANT WALL"/>
    <n v="1"/>
    <n v="1370.6"/>
    <n v="1370.6"/>
    <s v="(5980x1900x531)"/>
    <m/>
    <m/>
    <m/>
    <m/>
    <m/>
    <m/>
    <m/>
    <m/>
    <m/>
    <m/>
    <m/>
    <m/>
    <m/>
    <n v="1233.54"/>
    <n v="137.05999999999995"/>
    <m/>
    <m/>
    <n v="0"/>
    <d v="2025-12-20T00:00:00"/>
    <n v="1"/>
    <n v="1370.6"/>
    <d v="2026-01-06T00:00:00"/>
    <n v="1"/>
    <n v="1370.6"/>
    <m/>
    <m/>
    <n v="0"/>
    <m/>
    <m/>
    <m/>
    <n v="0"/>
    <m/>
    <m/>
    <n v="0"/>
    <s v="PAC"/>
    <m/>
  </r>
  <r>
    <n v="60"/>
    <x v="0"/>
    <s v="Shipment 1 400"/>
    <x v="0"/>
    <x v="2"/>
    <m/>
    <d v="2025-11-29T00:00:00"/>
    <s v="HEATER"/>
    <s v="HTR02"/>
    <s v="Hoàng Anh"/>
    <s v="B272-400-AS-030-RW-015"/>
    <s v="030-RW-015"/>
    <s v="RADIANT WALL"/>
    <n v="1"/>
    <n v="222.6"/>
    <n v="222.6"/>
    <s v="(5930x163x200)"/>
    <m/>
    <m/>
    <m/>
    <m/>
    <m/>
    <m/>
    <m/>
    <m/>
    <m/>
    <m/>
    <m/>
    <m/>
    <m/>
    <n v="200.34"/>
    <n v="22.259999999999991"/>
    <m/>
    <m/>
    <n v="0"/>
    <d v="2025-12-20T00:00:00"/>
    <n v="1"/>
    <n v="222.6"/>
    <d v="2025-12-31T00:00:00"/>
    <n v="1"/>
    <n v="222.6"/>
    <m/>
    <m/>
    <n v="0"/>
    <m/>
    <m/>
    <m/>
    <n v="0"/>
    <m/>
    <m/>
    <n v="0"/>
    <s v="PAC"/>
    <m/>
  </r>
  <r>
    <n v="61"/>
    <x v="0"/>
    <s v="Shipment 1 400"/>
    <x v="0"/>
    <x v="2"/>
    <m/>
    <d v="2025-11-29T00:00:00"/>
    <s v="HEATER"/>
    <s v="HTR02"/>
    <s v="Hoàng Anh"/>
    <s v="B272-400-AS-030-RW-016"/>
    <s v="030-RW-016"/>
    <s v="RADIANT WALL"/>
    <n v="1"/>
    <n v="222.6"/>
    <n v="222.6"/>
    <s v="(5930x163x200)"/>
    <m/>
    <m/>
    <m/>
    <m/>
    <m/>
    <m/>
    <m/>
    <m/>
    <m/>
    <m/>
    <m/>
    <m/>
    <m/>
    <n v="200.34"/>
    <n v="22.259999999999991"/>
    <m/>
    <m/>
    <n v="0"/>
    <d v="2025-12-20T00:00:00"/>
    <n v="1"/>
    <n v="222.6"/>
    <d v="2025-12-31T00:00:00"/>
    <n v="1"/>
    <n v="222.6"/>
    <m/>
    <m/>
    <n v="0"/>
    <m/>
    <m/>
    <m/>
    <n v="0"/>
    <m/>
    <m/>
    <n v="0"/>
    <s v="PAC"/>
    <m/>
  </r>
  <r>
    <n v="62"/>
    <x v="0"/>
    <s v="Shipment 1 400"/>
    <x v="0"/>
    <x v="2"/>
    <m/>
    <d v="2025-11-29T00:00:00"/>
    <s v="HEATER"/>
    <s v="HTR02"/>
    <s v="Hoàng Anh"/>
    <s v="B272-400-AS-030-RW-017"/>
    <s v="030-RW-017"/>
    <s v="RADIANT WALL"/>
    <n v="1"/>
    <n v="898.7"/>
    <n v="898.7"/>
    <s v="(5980x414x1900)"/>
    <m/>
    <m/>
    <m/>
    <m/>
    <m/>
    <m/>
    <m/>
    <m/>
    <m/>
    <m/>
    <m/>
    <m/>
    <m/>
    <n v="808.83"/>
    <n v="89.87"/>
    <m/>
    <m/>
    <n v="0"/>
    <d v="2025-12-20T00:00:00"/>
    <n v="1"/>
    <n v="898.7"/>
    <d v="2026-01-06T00:00:00"/>
    <n v="1"/>
    <n v="898.7"/>
    <m/>
    <m/>
    <n v="0"/>
    <m/>
    <m/>
    <m/>
    <n v="0"/>
    <m/>
    <m/>
    <n v="0"/>
    <s v="PAC"/>
    <m/>
  </r>
  <r>
    <n v="63"/>
    <x v="0"/>
    <s v="Shipment 1 400"/>
    <x v="0"/>
    <x v="2"/>
    <m/>
    <d v="2025-11-29T00:00:00"/>
    <s v="HEATER"/>
    <s v="HTR02"/>
    <s v="Hoàng Anh"/>
    <s v="B272-400-AS-030-RW-018"/>
    <s v="030-RW-018"/>
    <s v="RADIANT WALL"/>
    <n v="1"/>
    <n v="890.2"/>
    <n v="890.2"/>
    <s v="(5980x280x1900)"/>
    <m/>
    <m/>
    <m/>
    <m/>
    <m/>
    <m/>
    <m/>
    <m/>
    <m/>
    <m/>
    <m/>
    <m/>
    <m/>
    <n v="801.18000000000006"/>
    <n v="89.019999999999982"/>
    <m/>
    <m/>
    <n v="0"/>
    <d v="2025-12-20T00:00:00"/>
    <n v="1"/>
    <n v="890.2"/>
    <d v="2026-01-06T00:00:00"/>
    <n v="1"/>
    <n v="890.2"/>
    <m/>
    <m/>
    <n v="0"/>
    <m/>
    <m/>
    <m/>
    <n v="0"/>
    <m/>
    <m/>
    <n v="0"/>
    <s v="PAC"/>
    <m/>
  </r>
  <r>
    <n v="64"/>
    <x v="0"/>
    <s v="Shipment 1 400"/>
    <x v="0"/>
    <x v="2"/>
    <m/>
    <d v="2025-11-29T00:00:00"/>
    <s v="HEATER"/>
    <s v="HTR02"/>
    <s v="Hoàng Anh"/>
    <s v="B272-400-AS-030-RW-019"/>
    <s v="030-RW-019"/>
    <s v="RADIANT WALL"/>
    <n v="1"/>
    <n v="890.2"/>
    <n v="890.2"/>
    <s v="(5980x280x1900)"/>
    <m/>
    <m/>
    <m/>
    <m/>
    <m/>
    <m/>
    <m/>
    <m/>
    <m/>
    <m/>
    <m/>
    <m/>
    <m/>
    <n v="801.18000000000006"/>
    <n v="89.019999999999982"/>
    <m/>
    <m/>
    <n v="0"/>
    <d v="2025-12-02T00:00:00"/>
    <n v="1"/>
    <n v="890.2"/>
    <d v="2025-12-05T00:00:00"/>
    <n v="1"/>
    <n v="890.2"/>
    <m/>
    <m/>
    <n v="0"/>
    <m/>
    <m/>
    <m/>
    <n v="0"/>
    <m/>
    <m/>
    <n v="0"/>
    <s v="PAC"/>
    <m/>
  </r>
  <r>
    <n v="65"/>
    <x v="0"/>
    <s v="Shipment 1 400"/>
    <x v="0"/>
    <x v="2"/>
    <m/>
    <d v="2025-11-29T00:00:00"/>
    <s v="HEATER"/>
    <s v="HTR02"/>
    <s v="Hoàng Anh"/>
    <s v="B272-400-AS-030-RW-020"/>
    <s v="030-RW-020"/>
    <s v="RADIANT WALL"/>
    <n v="1"/>
    <n v="894.12"/>
    <n v="894.12"/>
    <s v="(5980x414x1800)"/>
    <m/>
    <m/>
    <m/>
    <m/>
    <m/>
    <m/>
    <m/>
    <m/>
    <m/>
    <m/>
    <m/>
    <m/>
    <m/>
    <n v="804.70800000000008"/>
    <n v="89.411999999999921"/>
    <m/>
    <m/>
    <n v="0"/>
    <d v="2025-12-02T00:00:00"/>
    <n v="1"/>
    <n v="894.12"/>
    <d v="2025-12-05T00:00:00"/>
    <n v="1"/>
    <n v="894.12"/>
    <m/>
    <m/>
    <n v="0"/>
    <m/>
    <m/>
    <m/>
    <n v="0"/>
    <m/>
    <m/>
    <n v="0"/>
    <s v="PAC"/>
    <m/>
  </r>
  <r>
    <n v="66"/>
    <x v="0"/>
    <s v="Shipment 1 400"/>
    <x v="0"/>
    <x v="2"/>
    <m/>
    <d v="2025-11-29T00:00:00"/>
    <s v="HEATER"/>
    <s v="HTR02"/>
    <s v="Hoàng Anh"/>
    <s v="B272-400-AS-030-RW-021"/>
    <s v="030-RW-021"/>
    <s v="RADIANT WALL"/>
    <n v="1"/>
    <n v="946.5"/>
    <n v="946.5"/>
    <s v="(5980x386x1900)"/>
    <m/>
    <m/>
    <m/>
    <m/>
    <m/>
    <m/>
    <m/>
    <m/>
    <m/>
    <m/>
    <m/>
    <m/>
    <m/>
    <n v="851.85"/>
    <n v="94.649999999999977"/>
    <m/>
    <m/>
    <n v="0"/>
    <d v="2025-12-05T00:00:00"/>
    <n v="1"/>
    <n v="946.5"/>
    <d v="2026-01-07T00:00:00"/>
    <n v="1"/>
    <n v="946.5"/>
    <m/>
    <m/>
    <n v="0"/>
    <m/>
    <m/>
    <m/>
    <n v="0"/>
    <m/>
    <m/>
    <n v="0"/>
    <s v="PAC"/>
    <m/>
  </r>
  <r>
    <n v="67"/>
    <x v="0"/>
    <s v="Shipment 1 400"/>
    <x v="0"/>
    <x v="2"/>
    <m/>
    <d v="2025-11-29T00:00:00"/>
    <s v="HEATER"/>
    <s v="HTR02"/>
    <s v="Hoàng Anh"/>
    <s v="B272-400-AS-030-RW-022"/>
    <s v="030-RW-022"/>
    <s v="RADIANT WALL"/>
    <n v="1"/>
    <n v="946.5"/>
    <n v="946.5"/>
    <s v="(5980x166x1900)"/>
    <m/>
    <m/>
    <m/>
    <m/>
    <m/>
    <m/>
    <m/>
    <m/>
    <m/>
    <m/>
    <m/>
    <m/>
    <m/>
    <n v="851.85"/>
    <n v="94.649999999999977"/>
    <m/>
    <m/>
    <n v="0"/>
    <d v="2025-12-31T00:00:00"/>
    <n v="1"/>
    <n v="946.5"/>
    <d v="2026-01-07T00:00:00"/>
    <n v="1"/>
    <n v="946.5"/>
    <m/>
    <m/>
    <n v="0"/>
    <m/>
    <m/>
    <m/>
    <n v="0"/>
    <m/>
    <m/>
    <n v="0"/>
    <s v="PAC"/>
    <m/>
  </r>
  <r>
    <n v="68"/>
    <x v="0"/>
    <s v="Shipment 1 400"/>
    <x v="0"/>
    <x v="2"/>
    <m/>
    <d v="2025-11-29T00:00:00"/>
    <s v="HEATER"/>
    <s v="HTR02"/>
    <s v="Hoàng Anh"/>
    <s v="B272-400-AS-030-RW-023"/>
    <s v="030-RW-023"/>
    <s v="RADIANT WALL"/>
    <n v="1"/>
    <n v="946.5"/>
    <n v="946.5"/>
    <s v="(5980x166x1900)"/>
    <m/>
    <m/>
    <m/>
    <m/>
    <m/>
    <m/>
    <m/>
    <m/>
    <m/>
    <m/>
    <m/>
    <m/>
    <m/>
    <n v="851.85"/>
    <n v="94.649999999999977"/>
    <m/>
    <m/>
    <n v="0"/>
    <d v="2025-12-02T00:00:00"/>
    <n v="1"/>
    <n v="946.5"/>
    <d v="2026-02-09T00:00:00"/>
    <n v="1"/>
    <n v="946.5"/>
    <m/>
    <m/>
    <n v="0"/>
    <m/>
    <m/>
    <m/>
    <n v="0"/>
    <m/>
    <m/>
    <n v="0"/>
    <s v="PAC"/>
    <m/>
  </r>
  <r>
    <n v="69"/>
    <x v="0"/>
    <s v="Shipment 1 400"/>
    <x v="0"/>
    <x v="2"/>
    <m/>
    <d v="2025-11-29T00:00:00"/>
    <s v="HEATER"/>
    <s v="HTR02"/>
    <s v="Hoàng Anh"/>
    <s v="B272-400-AS-030-RW-024"/>
    <s v="030-RW-024"/>
    <s v="RADIANT WALL"/>
    <n v="1"/>
    <n v="570.4"/>
    <n v="570.4"/>
    <s v="(5980x349x864)"/>
    <m/>
    <m/>
    <m/>
    <m/>
    <m/>
    <m/>
    <m/>
    <m/>
    <m/>
    <m/>
    <m/>
    <m/>
    <m/>
    <n v="513.36"/>
    <n v="57.039999999999964"/>
    <m/>
    <m/>
    <n v="0"/>
    <d v="2026-01-23T00:00:00"/>
    <n v="1"/>
    <n v="570.4"/>
    <d v="2026-02-09T00:00:00"/>
    <n v="1"/>
    <n v="570.4"/>
    <m/>
    <m/>
    <n v="0"/>
    <m/>
    <m/>
    <m/>
    <n v="0"/>
    <m/>
    <m/>
    <n v="0"/>
    <s v="PAC"/>
    <m/>
  </r>
  <r>
    <n v="70"/>
    <x v="0"/>
    <s v="Shipment 1 400"/>
    <x v="0"/>
    <x v="2"/>
    <m/>
    <d v="2025-11-29T00:00:00"/>
    <s v="HEATER"/>
    <s v="HTR02"/>
    <s v="Hoàng Anh"/>
    <s v="B272-400-AS-030-RW-025"/>
    <s v="030-RW-025"/>
    <s v="RADIANT WALL"/>
    <n v="1"/>
    <n v="569.70000000000005"/>
    <n v="569.70000000000005"/>
    <s v="(5980x355x864)"/>
    <m/>
    <m/>
    <m/>
    <m/>
    <m/>
    <m/>
    <m/>
    <m/>
    <m/>
    <m/>
    <m/>
    <m/>
    <m/>
    <n v="512.73"/>
    <n v="56.970000000000027"/>
    <m/>
    <m/>
    <n v="0"/>
    <d v="2025-12-02T00:00:00"/>
    <n v="1"/>
    <n v="569.70000000000005"/>
    <d v="2026-02-09T00:00:00"/>
    <n v="1"/>
    <n v="569.70000000000005"/>
    <m/>
    <m/>
    <n v="0"/>
    <m/>
    <m/>
    <m/>
    <n v="0"/>
    <m/>
    <m/>
    <n v="0"/>
    <s v="PAC"/>
    <m/>
  </r>
  <r>
    <n v="71"/>
    <x v="0"/>
    <s v="Shipment 1 400"/>
    <x v="0"/>
    <x v="2"/>
    <m/>
    <d v="2025-11-29T00:00:00"/>
    <s v="HEATER"/>
    <s v="HTR02"/>
    <s v="Hoàng Anh"/>
    <s v="B272-400-AS-030-RW-026"/>
    <s v="030-RW-026"/>
    <s v="RADIANT WALL"/>
    <n v="1"/>
    <n v="985"/>
    <n v="985"/>
    <s v="(5980x386x2000)"/>
    <m/>
    <m/>
    <m/>
    <m/>
    <m/>
    <m/>
    <m/>
    <m/>
    <m/>
    <m/>
    <m/>
    <m/>
    <m/>
    <n v="886.5"/>
    <n v="98.5"/>
    <m/>
    <m/>
    <n v="0"/>
    <d v="2025-12-02T00:00:00"/>
    <n v="1"/>
    <n v="985"/>
    <d v="2026-02-09T00:00:00"/>
    <n v="1"/>
    <n v="985"/>
    <m/>
    <m/>
    <n v="0"/>
    <m/>
    <m/>
    <m/>
    <n v="0"/>
    <m/>
    <m/>
    <n v="0"/>
    <s v="PAC"/>
    <m/>
  </r>
  <r>
    <n v="72"/>
    <x v="0"/>
    <s v="Shipment 1 400"/>
    <x v="0"/>
    <x v="2"/>
    <m/>
    <d v="2025-11-29T00:00:00"/>
    <s v="HEATER"/>
    <s v="HTR02"/>
    <s v="Hoàng Anh"/>
    <s v="B272-400-AS-030-RW-027"/>
    <s v="030-RW-027(1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3"/>
    <x v="0"/>
    <s v="Shipment 1 400"/>
    <x v="0"/>
    <x v="2"/>
    <m/>
    <d v="2025-11-29T00:00:00"/>
    <s v="HEATER"/>
    <s v="HTR02"/>
    <s v="Hoàng Anh"/>
    <s v="B272-400-AS-030-RW-027"/>
    <s v="030-RW-027(2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4"/>
    <x v="0"/>
    <s v="Shipment 1 400"/>
    <x v="0"/>
    <x v="2"/>
    <m/>
    <d v="2025-11-29T00:00:00"/>
    <s v="HEATER"/>
    <s v="HTR02"/>
    <s v="Hoàng Anh"/>
    <s v="B272-400-AS-030-RW-027"/>
    <s v="030-RW-027(3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5"/>
    <x v="0"/>
    <s v="Shipment 1 400"/>
    <x v="0"/>
    <x v="2"/>
    <m/>
    <d v="2025-11-29T00:00:00"/>
    <s v="HEATER"/>
    <s v="HTR02"/>
    <s v="Hoàng Anh"/>
    <s v="B272-400-AS-030-RW-027"/>
    <s v="030-RW-027(4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6"/>
    <x v="0"/>
    <s v="Shipment 1 400"/>
    <x v="0"/>
    <x v="2"/>
    <m/>
    <d v="2025-11-29T00:00:00"/>
    <s v="HEATER"/>
    <s v="HTR02"/>
    <s v="Hoàng Anh"/>
    <s v="B272-400-AS-030-RW-027"/>
    <s v="030-RW-027(5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7"/>
    <x v="0"/>
    <s v="Shipment 1 400"/>
    <x v="0"/>
    <x v="2"/>
    <m/>
    <d v="2025-11-29T00:00:00"/>
    <s v="HEATER"/>
    <s v="HTR02"/>
    <s v="Hoàng Anh"/>
    <s v="B272-400-AS-030-RW-027"/>
    <s v="030-RW-027(6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78"/>
    <x v="0"/>
    <s v="Shipment 1 400"/>
    <x v="0"/>
    <x v="2"/>
    <m/>
    <d v="2025-11-29T00:00:00"/>
    <s v="HEATER"/>
    <s v="HTR02"/>
    <s v="Hoàng Anh"/>
    <s v="B272-400-AS-030-RW-028"/>
    <s v="030-RW-028"/>
    <s v="RADIANT WALL"/>
    <n v="48"/>
    <n v="0.1"/>
    <n v="3"/>
    <s v="(81x146x6)"/>
    <m/>
    <m/>
    <m/>
    <m/>
    <m/>
    <m/>
    <m/>
    <m/>
    <m/>
    <m/>
    <m/>
    <m/>
    <m/>
    <n v="0"/>
    <n v="3"/>
    <m/>
    <m/>
    <n v="0"/>
    <m/>
    <m/>
    <n v="0"/>
    <m/>
    <m/>
    <n v="0"/>
    <m/>
    <m/>
    <n v="0"/>
    <m/>
    <m/>
    <m/>
    <n v="0"/>
    <m/>
    <m/>
    <n v="0"/>
    <s v="PAC"/>
    <m/>
  </r>
  <r>
    <n v="79"/>
    <x v="0"/>
    <s v="Shipment 1 400"/>
    <x v="0"/>
    <x v="2"/>
    <m/>
    <d v="2025-11-29T00:00:00"/>
    <s v="HEATER"/>
    <s v="HTR02"/>
    <s v="Hoàng Anh"/>
    <s v="B272-400-AS-030-RW-029"/>
    <s v="030-RW-029"/>
    <s v="RADIANT WALL"/>
    <n v="96"/>
    <n v="0"/>
    <n v="3.5"/>
    <s v="(170x6x6)"/>
    <m/>
    <m/>
    <m/>
    <m/>
    <m/>
    <m/>
    <m/>
    <m/>
    <m/>
    <m/>
    <m/>
    <m/>
    <m/>
    <n v="0"/>
    <n v="3.5"/>
    <m/>
    <m/>
    <n v="0"/>
    <m/>
    <m/>
    <n v="0"/>
    <m/>
    <m/>
    <n v="0"/>
    <m/>
    <m/>
    <n v="0"/>
    <m/>
    <m/>
    <m/>
    <n v="0"/>
    <m/>
    <m/>
    <n v="0"/>
    <s v="PAC"/>
    <m/>
  </r>
  <r>
    <n v="80"/>
    <x v="0"/>
    <s v="Shipment 1 400"/>
    <x v="0"/>
    <x v="2"/>
    <m/>
    <d v="2025-11-29T00:00:00"/>
    <s v="HEATER"/>
    <s v="HTR02"/>
    <s v="Hoàng Anh"/>
    <s v="B272-400-AS-030-RW-030"/>
    <s v="030-RW-030"/>
    <s v="RADIANT WALL"/>
    <n v="96"/>
    <n v="0"/>
    <n v="1.2"/>
    <s v="(61x6x6)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81"/>
    <x v="0"/>
    <s v="Shipment 1 400"/>
    <x v="0"/>
    <x v="2"/>
    <m/>
    <d v="2025-11-29T00:00:00"/>
    <s v="HEATER"/>
    <s v="HTR02"/>
    <s v="Hoàng Anh"/>
    <s v="B272-400-AS-030-RW-031"/>
    <s v="030-RW-031"/>
    <s v="RADIANT WALL"/>
    <n v="96"/>
    <n v="0.1"/>
    <n v="6.2"/>
    <s v="(299x6x6)"/>
    <m/>
    <m/>
    <m/>
    <m/>
    <m/>
    <m/>
    <m/>
    <m/>
    <m/>
    <m/>
    <m/>
    <m/>
    <m/>
    <n v="0"/>
    <n v="6.2"/>
    <m/>
    <m/>
    <n v="0"/>
    <m/>
    <m/>
    <n v="0"/>
    <m/>
    <m/>
    <n v="0"/>
    <m/>
    <m/>
    <n v="0"/>
    <m/>
    <m/>
    <m/>
    <n v="0"/>
    <m/>
    <m/>
    <n v="0"/>
    <s v="PAC"/>
    <m/>
  </r>
  <r>
    <n v="82"/>
    <x v="0"/>
    <s v="Shipment 1 400"/>
    <x v="0"/>
    <x v="2"/>
    <m/>
    <d v="2025-11-29T00:00:00"/>
    <s v="HEATER"/>
    <s v="HTR02"/>
    <s v="Hoàng Anh"/>
    <s v="B272-400-AS-030-RW-032"/>
    <s v="030-RW-032"/>
    <s v="RADIANT WALL"/>
    <n v="48"/>
    <n v="0"/>
    <n v="0.6"/>
    <s v="(61x6x6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83"/>
    <x v="0"/>
    <s v="Shipment 1 400"/>
    <x v="0"/>
    <x v="2"/>
    <m/>
    <d v="2025-11-29T00:00:00"/>
    <s v="HEATER"/>
    <s v="HTR02"/>
    <s v="Hoàng Anh"/>
    <s v="B272-400-AS-030-RW-033"/>
    <s v="030-RW-033(1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4"/>
    <x v="0"/>
    <s v="Shipment 1 400"/>
    <x v="0"/>
    <x v="2"/>
    <m/>
    <d v="2025-11-29T00:00:00"/>
    <s v="HEATER"/>
    <s v="HTR02"/>
    <s v="Hoàng Anh"/>
    <s v="B272-400-AS-030-RW-033"/>
    <s v="030-RW-033(2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5"/>
    <x v="0"/>
    <s v="Shipment 1 400"/>
    <x v="0"/>
    <x v="2"/>
    <m/>
    <d v="2025-11-29T00:00:00"/>
    <s v="HEATER"/>
    <s v="HTR02"/>
    <s v="Hoàng Anh"/>
    <s v="B272-400-AS-030-RW-033"/>
    <s v="030-RW-033(3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6"/>
    <x v="0"/>
    <s v="Shipment 1 400"/>
    <x v="0"/>
    <x v="2"/>
    <m/>
    <d v="2025-11-29T00:00:00"/>
    <s v="HEATER"/>
    <s v="HTR02"/>
    <s v="Hoàng Anh"/>
    <s v="B272-400-AS-030-RW-033"/>
    <s v="030-RW-033(4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7"/>
    <x v="0"/>
    <s v="Shipment 1 400"/>
    <x v="0"/>
    <x v="2"/>
    <m/>
    <d v="2025-11-29T00:00:00"/>
    <s v="HEATER"/>
    <s v="HTR02"/>
    <s v="Hoàng Anh"/>
    <s v="B272-400-AS-030-RW-033"/>
    <s v="030-RW-033(5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8"/>
    <x v="0"/>
    <s v="Shipment 1 400"/>
    <x v="0"/>
    <x v="2"/>
    <m/>
    <d v="2025-11-29T00:00:00"/>
    <s v="HEATER"/>
    <s v="HTR02"/>
    <s v="Hoàng Anh"/>
    <s v="B272-400-AS-030-RW-033"/>
    <s v="030-RW-033(6/6)"/>
    <s v="RADIANT WALL"/>
    <n v="1"/>
    <n v="1"/>
    <n v="1"/>
    <s v="(90x15x90)"/>
    <m/>
    <m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89"/>
    <x v="0"/>
    <s v="Shipment 1 400"/>
    <x v="0"/>
    <x v="2"/>
    <m/>
    <d v="2025-11-29T00:00:00"/>
    <s v="HEATER"/>
    <s v="HTR02"/>
    <s v="Hoàng Anh"/>
    <s v="B272-400-AS-030-RW-034"/>
    <s v="030-RW-034"/>
    <s v="RADIANT WALL"/>
    <n v="36"/>
    <n v="1"/>
    <n v="34.299999999999997"/>
    <s v="(90x15x90)"/>
    <m/>
    <m/>
    <m/>
    <m/>
    <m/>
    <m/>
    <m/>
    <m/>
    <m/>
    <m/>
    <m/>
    <m/>
    <m/>
    <n v="0"/>
    <n v="34.299999999999997"/>
    <m/>
    <m/>
    <n v="0"/>
    <m/>
    <m/>
    <n v="0"/>
    <m/>
    <m/>
    <n v="0"/>
    <m/>
    <m/>
    <n v="0"/>
    <m/>
    <m/>
    <m/>
    <n v="0"/>
    <m/>
    <m/>
    <n v="0"/>
    <s v="PAC"/>
    <m/>
  </r>
  <r>
    <n v="90"/>
    <x v="0"/>
    <s v="Shipment 1 400"/>
    <x v="0"/>
    <x v="2"/>
    <m/>
    <d v="2025-11-29T00:00:00"/>
    <s v="HEATER"/>
    <s v="HTR03"/>
    <s v="Hoàng Anh"/>
    <s v="B272-400-AS-040-HB-001"/>
    <s v="040-HB-001"/>
    <s v="RADIANT HEADER BOX (1/2)"/>
    <n v="1"/>
    <n v="127.3"/>
    <n v="127.3"/>
    <s v="(1245x650x697)"/>
    <m/>
    <m/>
    <m/>
    <m/>
    <m/>
    <m/>
    <m/>
    <m/>
    <m/>
    <m/>
    <m/>
    <m/>
    <m/>
    <n v="114.57"/>
    <n v="12.730000000000004"/>
    <m/>
    <m/>
    <n v="0"/>
    <d v="2026-01-21T00:00:00"/>
    <n v="1"/>
    <n v="127.3"/>
    <d v="2026-01-30T00:00:00"/>
    <n v="1"/>
    <n v="127.3"/>
    <m/>
    <m/>
    <n v="0"/>
    <m/>
    <m/>
    <m/>
    <n v="0"/>
    <m/>
    <m/>
    <n v="0"/>
    <s v="PAC"/>
    <m/>
  </r>
  <r>
    <n v="91"/>
    <x v="0"/>
    <s v="Shipment 1 400"/>
    <x v="0"/>
    <x v="2"/>
    <m/>
    <d v="2025-11-29T00:00:00"/>
    <s v="HEATER"/>
    <s v="HTR03"/>
    <s v="Hoàng Anh"/>
    <s v="B272-400-AS-040-HB-002"/>
    <s v="040-HB-002"/>
    <s v="RADIANT HEADER BOX (1/3)"/>
    <n v="1"/>
    <n v="246.5"/>
    <n v="246.5"/>
    <s v="(1355x845x697)"/>
    <m/>
    <m/>
    <m/>
    <m/>
    <m/>
    <m/>
    <m/>
    <m/>
    <m/>
    <m/>
    <m/>
    <m/>
    <m/>
    <n v="221.85000000000002"/>
    <n v="24.649999999999977"/>
    <m/>
    <m/>
    <n v="0"/>
    <d v="2026-01-21T00:00:00"/>
    <n v="1"/>
    <n v="246.5"/>
    <d v="2026-01-30T00:00:00"/>
    <n v="1"/>
    <n v="246.5"/>
    <m/>
    <m/>
    <n v="0"/>
    <m/>
    <m/>
    <m/>
    <n v="0"/>
    <m/>
    <m/>
    <n v="0"/>
    <s v="PAC"/>
    <m/>
  </r>
  <r>
    <n v="92"/>
    <x v="0"/>
    <s v="Shipment 1 400"/>
    <x v="0"/>
    <x v="2"/>
    <m/>
    <d v="2025-11-29T00:00:00"/>
    <s v="HEATER"/>
    <s v="HTR03"/>
    <s v="Hoàng Anh"/>
    <s v="B272-400-AS-040-HB-003"/>
    <s v="040-HB-003"/>
    <s v="RADIANT HEADER BOX (1/2)"/>
    <n v="1"/>
    <n v="97"/>
    <n v="97"/>
    <s v="(645x1245x502)"/>
    <m/>
    <m/>
    <m/>
    <m/>
    <m/>
    <m/>
    <m/>
    <m/>
    <m/>
    <m/>
    <m/>
    <m/>
    <m/>
    <n v="87.300000000000011"/>
    <n v="9.6999999999999886"/>
    <m/>
    <m/>
    <n v="0"/>
    <d v="2026-01-21T00:00:00"/>
    <n v="1"/>
    <n v="97"/>
    <d v="2026-01-30T00:00:00"/>
    <n v="1"/>
    <n v="97"/>
    <m/>
    <m/>
    <n v="0"/>
    <m/>
    <m/>
    <m/>
    <n v="0"/>
    <m/>
    <m/>
    <n v="0"/>
    <s v="PAC"/>
    <m/>
  </r>
  <r>
    <n v="93"/>
    <x v="0"/>
    <s v="Shipment 1 400"/>
    <x v="0"/>
    <x v="2"/>
    <m/>
    <d v="2025-11-29T00:00:00"/>
    <s v="HEATER"/>
    <s v="HTR03"/>
    <s v="Hoàng Anh"/>
    <s v="B272-400-AS-040-HB-004"/>
    <s v="040-HB-004"/>
    <s v="RADIANT HEADER BOX (1/3)"/>
    <n v="1"/>
    <n v="383.2"/>
    <n v="383.2"/>
    <s v="(1695x645x1105)"/>
    <m/>
    <m/>
    <m/>
    <m/>
    <m/>
    <m/>
    <m/>
    <m/>
    <m/>
    <m/>
    <m/>
    <m/>
    <m/>
    <n v="344.88"/>
    <n v="38.319999999999993"/>
    <m/>
    <m/>
    <n v="0"/>
    <d v="2026-01-21T00:00:00"/>
    <n v="1"/>
    <n v="383.2"/>
    <d v="2026-01-30T00:00:00"/>
    <n v="1"/>
    <n v="383.2"/>
    <m/>
    <m/>
    <n v="0"/>
    <m/>
    <m/>
    <m/>
    <n v="0"/>
    <m/>
    <m/>
    <n v="0"/>
    <s v="PAC"/>
    <m/>
  </r>
  <r>
    <n v="94"/>
    <x v="0"/>
    <s v="Shipment 1 400"/>
    <x v="0"/>
    <x v="2"/>
    <m/>
    <d v="2025-11-29T00:00:00"/>
    <s v="HEATER"/>
    <s v="HTR03"/>
    <s v="Hoàng Anh"/>
    <s v="B272-400-AS-040-HB-005"/>
    <s v="040-HB-005"/>
    <s v="RADIANT HEADER BOX (1/3)"/>
    <n v="1"/>
    <n v="382.6"/>
    <n v="382.6"/>
    <s v="(1695x645x1105)"/>
    <m/>
    <m/>
    <m/>
    <m/>
    <m/>
    <m/>
    <m/>
    <m/>
    <m/>
    <m/>
    <m/>
    <m/>
    <m/>
    <n v="344.34000000000003"/>
    <n v="38.259999999999991"/>
    <m/>
    <m/>
    <n v="0"/>
    <d v="2026-01-21T00:00:00"/>
    <n v="1"/>
    <n v="382.6"/>
    <d v="2026-01-30T00:00:00"/>
    <n v="1"/>
    <n v="382.6"/>
    <m/>
    <m/>
    <n v="0"/>
    <m/>
    <m/>
    <m/>
    <n v="0"/>
    <m/>
    <m/>
    <n v="0"/>
    <s v="PAC"/>
    <m/>
  </r>
  <r>
    <n v="95"/>
    <x v="0"/>
    <s v="Shipment 1 400"/>
    <x v="0"/>
    <x v="2"/>
    <m/>
    <d v="2025-11-29T00:00:00"/>
    <s v="HEATER"/>
    <s v="HTR03"/>
    <s v="Hoàng Anh"/>
    <s v="B272-400-AS-040-HB-006"/>
    <s v="040-HB-006"/>
    <s v="RADIANT HEADER BOX (1/3)"/>
    <n v="1"/>
    <n v="423.9"/>
    <n v="423.9"/>
    <s v="(1695x650x1105)"/>
    <m/>
    <m/>
    <m/>
    <m/>
    <m/>
    <m/>
    <m/>
    <m/>
    <m/>
    <m/>
    <m/>
    <m/>
    <m/>
    <n v="381.51"/>
    <n v="42.389999999999986"/>
    <m/>
    <m/>
    <n v="0"/>
    <d v="2026-01-21T00:00:00"/>
    <n v="1"/>
    <n v="423.9"/>
    <d v="2026-01-30T00:00:00"/>
    <n v="1"/>
    <n v="423.9"/>
    <m/>
    <m/>
    <n v="0"/>
    <m/>
    <m/>
    <m/>
    <n v="0"/>
    <m/>
    <m/>
    <n v="0"/>
    <s v="PAC"/>
    <m/>
  </r>
  <r>
    <n v="96"/>
    <x v="0"/>
    <s v="Shipment 1 400"/>
    <x v="0"/>
    <x v="2"/>
    <m/>
    <d v="2025-11-29T00:00:00"/>
    <s v="HEATER"/>
    <s v="HTR03"/>
    <s v="Hoàng Anh"/>
    <s v="B272-400-AS-040-HB-007"/>
    <s v="040-HB-007"/>
    <s v="RADIANT HEADER BOX (1/3)"/>
    <n v="1"/>
    <n v="423.9"/>
    <n v="423.9"/>
    <s v="(1695x650x1105)"/>
    <m/>
    <m/>
    <m/>
    <m/>
    <m/>
    <m/>
    <m/>
    <m/>
    <m/>
    <m/>
    <m/>
    <m/>
    <m/>
    <n v="381.51"/>
    <n v="42.389999999999986"/>
    <m/>
    <m/>
    <n v="0"/>
    <d v="2026-01-21T00:00:00"/>
    <n v="1"/>
    <n v="423.9"/>
    <d v="2026-01-30T00:00:00"/>
    <n v="1"/>
    <n v="423.9"/>
    <m/>
    <m/>
    <n v="0"/>
    <m/>
    <m/>
    <m/>
    <n v="0"/>
    <m/>
    <m/>
    <n v="0"/>
    <s v="PAC"/>
    <m/>
  </r>
  <r>
    <n v="97"/>
    <x v="0"/>
    <s v="Shipment 1 400"/>
    <x v="0"/>
    <x v="2"/>
    <m/>
    <d v="2025-11-29T00:00:00"/>
    <s v="HEATER"/>
    <s v="HTR03"/>
    <s v="Hoàng Anh"/>
    <s v="B272-400-AS-040-HB-008"/>
    <s v="040-HB-008"/>
    <s v="RADIANT HEADER BOX (1/3)"/>
    <n v="1"/>
    <n v="424.5"/>
    <n v="424.5"/>
    <s v="(1695x650x1105)"/>
    <m/>
    <m/>
    <m/>
    <m/>
    <m/>
    <m/>
    <m/>
    <m/>
    <m/>
    <m/>
    <m/>
    <m/>
    <m/>
    <n v="382.05"/>
    <n v="42.449999999999989"/>
    <m/>
    <m/>
    <n v="0"/>
    <d v="2026-01-21T00:00:00"/>
    <n v="1"/>
    <n v="424.5"/>
    <d v="2026-01-30T00:00:00"/>
    <n v="1"/>
    <n v="424.5"/>
    <m/>
    <m/>
    <n v="0"/>
    <m/>
    <m/>
    <m/>
    <n v="0"/>
    <m/>
    <m/>
    <n v="0"/>
    <s v="PAC"/>
    <m/>
  </r>
  <r>
    <n v="98"/>
    <x v="0"/>
    <s v="Shipment 1 400"/>
    <x v="0"/>
    <x v="2"/>
    <m/>
    <d v="2025-11-29T00:00:00"/>
    <s v="HEATER"/>
    <s v="HTR03"/>
    <s v="Hoàng Anh"/>
    <s v="B272-400-AS-040-HB-009"/>
    <s v="040-HB-009"/>
    <s v="RADIANT HEADER BOX (1/3)"/>
    <n v="1"/>
    <n v="424.5"/>
    <n v="424.5"/>
    <s v="(1695x650x1105)"/>
    <m/>
    <m/>
    <m/>
    <m/>
    <m/>
    <m/>
    <m/>
    <m/>
    <m/>
    <m/>
    <m/>
    <m/>
    <m/>
    <n v="382.05"/>
    <n v="42.449999999999989"/>
    <m/>
    <m/>
    <n v="0"/>
    <d v="2026-01-21T00:00:00"/>
    <n v="1"/>
    <n v="424.5"/>
    <d v="2026-01-30T00:00:00"/>
    <n v="1"/>
    <n v="424.5"/>
    <m/>
    <m/>
    <n v="0"/>
    <m/>
    <m/>
    <m/>
    <n v="0"/>
    <m/>
    <m/>
    <n v="0"/>
    <s v="PAC"/>
    <m/>
  </r>
  <r>
    <n v="99"/>
    <x v="0"/>
    <s v="Shipment 1 400"/>
    <x v="0"/>
    <x v="2"/>
    <m/>
    <d v="2025-11-29T00:00:00"/>
    <s v="HEATER"/>
    <s v="HTR03"/>
    <s v="Hoàng Anh"/>
    <s v="B272-400-AS-040-HB-010"/>
    <s v="040-HB-010"/>
    <s v="RADIANT HEADER BOX"/>
    <n v="1"/>
    <n v="204.3"/>
    <n v="204.3"/>
    <s v="(2580x178x1336)"/>
    <m/>
    <m/>
    <m/>
    <m/>
    <m/>
    <m/>
    <m/>
    <m/>
    <m/>
    <m/>
    <m/>
    <m/>
    <m/>
    <n v="183.87"/>
    <n v="20.430000000000007"/>
    <m/>
    <m/>
    <n v="0"/>
    <d v="2026-01-21T00:00:00"/>
    <n v="1"/>
    <n v="204.3"/>
    <d v="2026-01-30T00:00:00"/>
    <n v="1"/>
    <n v="204.3"/>
    <m/>
    <m/>
    <n v="0"/>
    <m/>
    <m/>
    <m/>
    <n v="0"/>
    <m/>
    <m/>
    <n v="0"/>
    <s v="PAC"/>
    <m/>
  </r>
  <r>
    <n v="100"/>
    <x v="0"/>
    <s v="Shipment 1 400"/>
    <x v="0"/>
    <x v="2"/>
    <m/>
    <d v="2025-11-29T00:00:00"/>
    <s v="HEATER"/>
    <s v="HTR03"/>
    <s v="Hoàng Anh"/>
    <s v="B272-400-AS-040-HB-011"/>
    <s v="040-HB-011"/>
    <s v="RADIANT HEADER BOX"/>
    <n v="1"/>
    <n v="204.4"/>
    <n v="204.4"/>
    <s v="(2580x179x1336)"/>
    <m/>
    <m/>
    <m/>
    <m/>
    <m/>
    <m/>
    <m/>
    <m/>
    <m/>
    <m/>
    <m/>
    <m/>
    <m/>
    <n v="183.96"/>
    <n v="20.439999999999998"/>
    <m/>
    <m/>
    <n v="0"/>
    <d v="2026-01-21T00:00:00"/>
    <n v="1"/>
    <n v="204.4"/>
    <d v="2026-01-30T00:00:00"/>
    <n v="1"/>
    <n v="204.4"/>
    <m/>
    <m/>
    <n v="0"/>
    <m/>
    <m/>
    <m/>
    <n v="0"/>
    <m/>
    <m/>
    <n v="0"/>
    <s v="PAC"/>
    <m/>
  </r>
  <r>
    <n v="101"/>
    <x v="0"/>
    <s v="Shipment 1 400"/>
    <x v="0"/>
    <x v="2"/>
    <m/>
    <d v="2025-11-29T00:00:00"/>
    <s v="HEATER"/>
    <s v="HTR03"/>
    <s v="Hoàng Anh"/>
    <s v="B272-400-AS-040-HB-012"/>
    <s v="040-HB-012"/>
    <s v="RADIANT HEADER BOX"/>
    <n v="1"/>
    <n v="204.4"/>
    <n v="204.4"/>
    <s v="(2580x178x1336)"/>
    <m/>
    <m/>
    <m/>
    <m/>
    <m/>
    <m/>
    <m/>
    <m/>
    <m/>
    <m/>
    <m/>
    <m/>
    <m/>
    <n v="183.96"/>
    <n v="20.439999999999998"/>
    <m/>
    <m/>
    <n v="0"/>
    <d v="2026-01-21T00:00:00"/>
    <n v="1"/>
    <n v="204.4"/>
    <d v="2026-01-30T00:00:00"/>
    <n v="1"/>
    <n v="204.4"/>
    <m/>
    <m/>
    <n v="0"/>
    <m/>
    <m/>
    <m/>
    <n v="0"/>
    <m/>
    <m/>
    <n v="0"/>
    <s v="PAC"/>
    <m/>
  </r>
  <r>
    <n v="102"/>
    <x v="0"/>
    <s v="Shipment 1 400"/>
    <x v="0"/>
    <x v="2"/>
    <m/>
    <d v="2025-11-29T00:00:00"/>
    <s v="HEATER"/>
    <s v="HTR03"/>
    <s v="Hoàng Anh"/>
    <s v="B272-400-AS-040-HB-013"/>
    <s v="040-HB-013"/>
    <s v="RADIANT HEADER BOX"/>
    <n v="1"/>
    <n v="230.8"/>
    <n v="230.8"/>
    <s v="(2960x178x1336)"/>
    <m/>
    <m/>
    <m/>
    <m/>
    <m/>
    <m/>
    <m/>
    <m/>
    <m/>
    <m/>
    <m/>
    <m/>
    <m/>
    <n v="207.72000000000003"/>
    <n v="23.079999999999984"/>
    <m/>
    <m/>
    <n v="0"/>
    <d v="2026-01-23T00:00:00"/>
    <n v="1"/>
    <n v="230.8"/>
    <d v="2026-01-30T00:00:00"/>
    <n v="1"/>
    <n v="230.8"/>
    <m/>
    <m/>
    <n v="0"/>
    <m/>
    <m/>
    <m/>
    <n v="0"/>
    <m/>
    <m/>
    <n v="0"/>
    <s v="PAC"/>
    <m/>
  </r>
  <r>
    <n v="103"/>
    <x v="0"/>
    <s v="Shipment 1 400"/>
    <x v="0"/>
    <x v="2"/>
    <m/>
    <d v="2025-11-29T00:00:00"/>
    <s v="HEATER"/>
    <s v="HTR03"/>
    <s v="Hoàng Anh"/>
    <s v="B272-400-AS-040-HB-014"/>
    <s v="040-HB-014"/>
    <s v="RADIANT HEADER BOX"/>
    <n v="1"/>
    <n v="231"/>
    <n v="231"/>
    <s v="(2960x178x1336)"/>
    <m/>
    <m/>
    <m/>
    <m/>
    <m/>
    <m/>
    <m/>
    <m/>
    <m/>
    <m/>
    <m/>
    <m/>
    <m/>
    <n v="207.9"/>
    <n v="23.099999999999994"/>
    <m/>
    <m/>
    <n v="0"/>
    <d v="2026-01-23T00:00:00"/>
    <n v="1"/>
    <n v="231"/>
    <d v="2026-01-30T00:00:00"/>
    <n v="1"/>
    <n v="231"/>
    <m/>
    <m/>
    <n v="0"/>
    <m/>
    <m/>
    <m/>
    <n v="0"/>
    <m/>
    <m/>
    <n v="0"/>
    <s v="PAC"/>
    <m/>
  </r>
  <r>
    <n v="104"/>
    <x v="0"/>
    <s v="Shipment 1 400"/>
    <x v="0"/>
    <x v="2"/>
    <m/>
    <d v="2025-11-29T00:00:00"/>
    <s v="HEATER"/>
    <s v="HTR03"/>
    <s v="Hoàng Anh"/>
    <s v="B272-400-AS-040-HB-015"/>
    <s v="040-HB-015"/>
    <s v="RADIANT HEADER BOX"/>
    <n v="1"/>
    <n v="204.4"/>
    <n v="204.4"/>
    <s v="(2580x179x1336)"/>
    <m/>
    <m/>
    <m/>
    <m/>
    <m/>
    <m/>
    <m/>
    <m/>
    <m/>
    <m/>
    <m/>
    <m/>
    <m/>
    <n v="183.96"/>
    <n v="20.439999999999998"/>
    <m/>
    <m/>
    <n v="0"/>
    <d v="2026-01-23T00:00:00"/>
    <n v="1"/>
    <n v="204.4"/>
    <d v="2026-01-30T00:00:00"/>
    <n v="1"/>
    <n v="204.4"/>
    <m/>
    <m/>
    <n v="0"/>
    <m/>
    <m/>
    <m/>
    <n v="0"/>
    <m/>
    <m/>
    <n v="0"/>
    <s v="PAC"/>
    <m/>
  </r>
  <r>
    <n v="105"/>
    <x v="0"/>
    <s v="Shipment 1 400"/>
    <x v="0"/>
    <x v="2"/>
    <m/>
    <d v="2025-11-29T00:00:00"/>
    <s v="HEATER"/>
    <s v="HTR03"/>
    <s v="Hoàng Anh"/>
    <s v="B272-400-AS-040-HB-016"/>
    <s v="040-HB-016"/>
    <s v="RADIANT HEADER BOX (1/2)"/>
    <n v="1"/>
    <n v="127.3"/>
    <n v="127.3"/>
    <s v="(1245x650x697)"/>
    <m/>
    <m/>
    <m/>
    <m/>
    <m/>
    <m/>
    <m/>
    <m/>
    <m/>
    <m/>
    <m/>
    <m/>
    <m/>
    <n v="114.57"/>
    <n v="12.730000000000004"/>
    <m/>
    <m/>
    <n v="0"/>
    <d v="2026-01-23T00:00:00"/>
    <n v="1"/>
    <n v="127.3"/>
    <d v="2026-01-30T00:00:00"/>
    <n v="1"/>
    <n v="127.3"/>
    <m/>
    <m/>
    <n v="0"/>
    <m/>
    <m/>
    <m/>
    <n v="0"/>
    <m/>
    <m/>
    <n v="0"/>
    <s v="PAC"/>
    <m/>
  </r>
  <r>
    <n v="106"/>
    <x v="0"/>
    <s v="Shipment 1 400"/>
    <x v="0"/>
    <x v="2"/>
    <m/>
    <d v="2025-11-29T00:00:00"/>
    <s v="HEATER"/>
    <s v="HTR03"/>
    <s v="Hoàng Anh"/>
    <s v="B272-400-AS-040-HB-017"/>
    <s v="040-HB-017"/>
    <s v="RADIANT HEADER BOX (1/2)"/>
    <n v="1"/>
    <n v="202.4"/>
    <n v="202.4"/>
    <s v="(2580x1245x490)"/>
    <m/>
    <m/>
    <m/>
    <m/>
    <m/>
    <m/>
    <m/>
    <m/>
    <m/>
    <m/>
    <m/>
    <m/>
    <m/>
    <n v="182.16000000000003"/>
    <n v="20.239999999999981"/>
    <m/>
    <m/>
    <n v="0"/>
    <d v="2026-01-23T00:00:00"/>
    <n v="1"/>
    <n v="202.4"/>
    <d v="2026-01-30T00:00:00"/>
    <n v="1"/>
    <n v="202.4"/>
    <m/>
    <m/>
    <n v="0"/>
    <m/>
    <m/>
    <m/>
    <n v="0"/>
    <m/>
    <m/>
    <n v="0"/>
    <s v="PAC"/>
    <m/>
  </r>
  <r>
    <n v="107"/>
    <x v="0"/>
    <s v="Shipment 1 400"/>
    <x v="0"/>
    <x v="2"/>
    <m/>
    <d v="2025-11-29T00:00:00"/>
    <s v="HEATER"/>
    <s v="HTR03"/>
    <s v="Hoàng Anh"/>
    <s v="B272-400-AS-040-HB-018"/>
    <s v="040-HB-018"/>
    <s v="RADIANT HEADER BOX (1/2)"/>
    <n v="1"/>
    <n v="229.2"/>
    <n v="229.2"/>
    <s v="(2960x1245x490)"/>
    <m/>
    <m/>
    <m/>
    <m/>
    <m/>
    <m/>
    <m/>
    <m/>
    <m/>
    <m/>
    <m/>
    <m/>
    <m/>
    <n v="206.28"/>
    <n v="22.919999999999987"/>
    <m/>
    <m/>
    <n v="0"/>
    <d v="2026-01-23T00:00:00"/>
    <n v="1"/>
    <n v="229.2"/>
    <d v="2026-01-30T00:00:00"/>
    <n v="1"/>
    <n v="229.2"/>
    <m/>
    <m/>
    <n v="0"/>
    <m/>
    <m/>
    <m/>
    <n v="0"/>
    <m/>
    <m/>
    <n v="0"/>
    <s v="PAC"/>
    <m/>
  </r>
  <r>
    <n v="108"/>
    <x v="0"/>
    <s v="Shipment 1 400"/>
    <x v="0"/>
    <x v="2"/>
    <m/>
    <d v="2025-11-29T00:00:00"/>
    <s v="HEATER"/>
    <s v="HTR03"/>
    <s v="Hoàng Anh"/>
    <s v="B272-400-AS-040-HB-019"/>
    <s v="040-HB-019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1-30T00:00:00"/>
    <n v="1"/>
    <n v="202.5"/>
    <m/>
    <m/>
    <n v="0"/>
    <m/>
    <m/>
    <m/>
    <n v="0"/>
    <m/>
    <m/>
    <n v="0"/>
    <s v="PAC"/>
    <m/>
  </r>
  <r>
    <n v="109"/>
    <x v="0"/>
    <s v="Shipment 1 400"/>
    <x v="0"/>
    <x v="2"/>
    <m/>
    <d v="2025-11-29T00:00:00"/>
    <s v="HEATER"/>
    <s v="HTR03"/>
    <s v="Hoàng Anh"/>
    <s v="B272-400-AS-040-HB-020"/>
    <s v="040-HB-020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1-30T00:00:00"/>
    <n v="1"/>
    <n v="202.5"/>
    <m/>
    <m/>
    <n v="0"/>
    <m/>
    <m/>
    <m/>
    <n v="0"/>
    <m/>
    <m/>
    <n v="0"/>
    <s v="PAC"/>
    <m/>
  </r>
  <r>
    <n v="110"/>
    <x v="0"/>
    <s v="Shipment 1 400"/>
    <x v="0"/>
    <x v="2"/>
    <m/>
    <d v="2025-11-29T00:00:00"/>
    <s v="HEATER"/>
    <s v="HTR03"/>
    <s v="Hoàng Anh"/>
    <s v="B272-400-AS-040-HB-021"/>
    <s v="040-HB-021(1/2)"/>
    <s v="RADIANT HEADER BOX (1/2)"/>
    <n v="1"/>
    <n v="97.1"/>
    <n v="97.1"/>
    <s v="(650x502x1245)"/>
    <m/>
    <m/>
    <m/>
    <m/>
    <m/>
    <m/>
    <m/>
    <m/>
    <m/>
    <m/>
    <m/>
    <m/>
    <m/>
    <n v="87.39"/>
    <n v="9.7099999999999937"/>
    <m/>
    <m/>
    <n v="0"/>
    <d v="2026-01-23T00:00:00"/>
    <n v="1"/>
    <n v="97.1"/>
    <d v="2026-01-30T00:00:00"/>
    <n v="1"/>
    <n v="97.1"/>
    <m/>
    <m/>
    <n v="0"/>
    <m/>
    <m/>
    <m/>
    <n v="0"/>
    <m/>
    <m/>
    <n v="0"/>
    <s v="PAC"/>
    <m/>
  </r>
  <r>
    <n v="111"/>
    <x v="0"/>
    <s v="Shipment 1 400"/>
    <x v="0"/>
    <x v="2"/>
    <m/>
    <d v="2025-11-29T00:00:00"/>
    <s v="HEATER"/>
    <s v="HTR03"/>
    <s v="Hoàng Anh"/>
    <s v="B272-400-AS-040-HB-021"/>
    <s v="040-HB-021(2/2)"/>
    <s v="RADIANT HEADER BOX (1/2)"/>
    <n v="1"/>
    <n v="97.1"/>
    <n v="97.1"/>
    <s v="(650x502x1245)"/>
    <m/>
    <m/>
    <m/>
    <m/>
    <m/>
    <m/>
    <m/>
    <m/>
    <m/>
    <m/>
    <m/>
    <m/>
    <m/>
    <n v="87.39"/>
    <n v="9.7099999999999937"/>
    <m/>
    <m/>
    <n v="0"/>
    <d v="2026-01-23T00:00:00"/>
    <n v="1"/>
    <n v="97.1"/>
    <d v="2026-01-30T00:00:00"/>
    <n v="1"/>
    <n v="97.1"/>
    <m/>
    <m/>
    <n v="0"/>
    <m/>
    <m/>
    <m/>
    <n v="0"/>
    <m/>
    <m/>
    <n v="0"/>
    <s v="PAC"/>
    <m/>
  </r>
  <r>
    <n v="112"/>
    <x v="0"/>
    <s v="Shipment 1 400"/>
    <x v="0"/>
    <x v="2"/>
    <m/>
    <d v="2025-11-29T00:00:00"/>
    <s v="HEATER"/>
    <s v="HTR03"/>
    <s v="Hoàng Anh"/>
    <s v="B272-400-AS-040-HB-022"/>
    <s v="040-HB-022(1/2)"/>
    <s v="RADIANT HEADER BOX (1/2)"/>
    <n v="1"/>
    <n v="97.1"/>
    <n v="97.1"/>
    <s v="(650x1245x502)"/>
    <m/>
    <m/>
    <m/>
    <m/>
    <m/>
    <m/>
    <m/>
    <m/>
    <m/>
    <m/>
    <m/>
    <m/>
    <m/>
    <n v="87.39"/>
    <n v="9.7099999999999937"/>
    <m/>
    <m/>
    <n v="0"/>
    <d v="2026-01-23T00:00:00"/>
    <n v="1"/>
    <n v="97.1"/>
    <d v="2026-02-04T00:00:00"/>
    <n v="1"/>
    <n v="97.1"/>
    <m/>
    <m/>
    <n v="0"/>
    <m/>
    <m/>
    <m/>
    <n v="0"/>
    <m/>
    <m/>
    <n v="0"/>
    <s v="PAC"/>
    <m/>
  </r>
  <r>
    <n v="113"/>
    <x v="0"/>
    <s v="Shipment 1 400"/>
    <x v="0"/>
    <x v="2"/>
    <m/>
    <d v="2025-11-29T00:00:00"/>
    <s v="HEATER"/>
    <s v="HTR03"/>
    <s v="Hoàng Anh"/>
    <s v="B272-400-AS-040-HB-022"/>
    <s v="040-HB-022(2/2)"/>
    <s v="RADIANT HEADER BOX (1/2)"/>
    <n v="1"/>
    <n v="97.1"/>
    <n v="97.1"/>
    <s v="(650x1245x502)"/>
    <m/>
    <m/>
    <m/>
    <m/>
    <m/>
    <m/>
    <m/>
    <m/>
    <m/>
    <m/>
    <m/>
    <m/>
    <m/>
    <n v="87.39"/>
    <n v="9.7099999999999937"/>
    <m/>
    <m/>
    <n v="0"/>
    <d v="2026-01-23T00:00:00"/>
    <n v="1"/>
    <n v="97.1"/>
    <d v="2026-02-04T00:00:00"/>
    <n v="1"/>
    <n v="97.1"/>
    <m/>
    <m/>
    <n v="0"/>
    <m/>
    <m/>
    <m/>
    <n v="0"/>
    <m/>
    <m/>
    <n v="0"/>
    <s v="PAC"/>
    <m/>
  </r>
  <r>
    <n v="114"/>
    <x v="0"/>
    <s v="Shipment 1 400"/>
    <x v="0"/>
    <x v="2"/>
    <m/>
    <d v="2025-11-29T00:00:00"/>
    <s v="HEATER"/>
    <s v="HTR03"/>
    <s v="Hoàng Anh"/>
    <s v="B272-400-AS-040-HB-023"/>
    <s v="040-HB-023(1/2)"/>
    <s v="RADIANT HEADER BOX (1/2)"/>
    <n v="1"/>
    <n v="127.3"/>
    <n v="127.3"/>
    <s v="(1245x650x697)"/>
    <m/>
    <m/>
    <m/>
    <m/>
    <m/>
    <m/>
    <m/>
    <m/>
    <m/>
    <m/>
    <m/>
    <m/>
    <m/>
    <n v="114.57"/>
    <n v="12.730000000000004"/>
    <m/>
    <m/>
    <n v="0"/>
    <d v="2026-01-23T00:00:00"/>
    <n v="1"/>
    <n v="127.3"/>
    <d v="2026-02-04T00:00:00"/>
    <n v="1"/>
    <n v="127.3"/>
    <m/>
    <m/>
    <n v="0"/>
    <m/>
    <m/>
    <m/>
    <n v="0"/>
    <m/>
    <m/>
    <n v="0"/>
    <s v="PAC"/>
    <m/>
  </r>
  <r>
    <n v="115"/>
    <x v="0"/>
    <s v="Shipment 1 400"/>
    <x v="0"/>
    <x v="2"/>
    <m/>
    <d v="2025-11-29T00:00:00"/>
    <s v="HEATER"/>
    <s v="HTR03"/>
    <s v="Hoàng Anh"/>
    <s v="B272-400-AS-040-HB-023"/>
    <s v="040-HB-023(2/2)"/>
    <s v="RADIANT HEADER BOX (1/2)"/>
    <n v="1"/>
    <n v="127.3"/>
    <n v="127.3"/>
    <s v="(1245x650x697)"/>
    <m/>
    <m/>
    <m/>
    <m/>
    <m/>
    <m/>
    <m/>
    <m/>
    <m/>
    <m/>
    <m/>
    <m/>
    <m/>
    <n v="114.57"/>
    <n v="12.730000000000004"/>
    <m/>
    <m/>
    <n v="0"/>
    <d v="2026-01-23T00:00:00"/>
    <n v="1"/>
    <n v="127.3"/>
    <d v="2026-02-04T00:00:00"/>
    <n v="1"/>
    <n v="127.3"/>
    <m/>
    <m/>
    <n v="0"/>
    <m/>
    <m/>
    <m/>
    <n v="0"/>
    <m/>
    <m/>
    <n v="0"/>
    <s v="PAC"/>
    <m/>
  </r>
  <r>
    <n v="116"/>
    <x v="0"/>
    <s v="Shipment 1 400"/>
    <x v="0"/>
    <x v="2"/>
    <m/>
    <d v="2025-11-29T00:00:00"/>
    <s v="HEATER"/>
    <s v="HTR03"/>
    <s v="Hoàng Anh"/>
    <s v="B272-400-AS-040-HB-024"/>
    <s v="040-HB-024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2-04T00:00:00"/>
    <n v="1"/>
    <n v="202.5"/>
    <m/>
    <m/>
    <n v="0"/>
    <m/>
    <m/>
    <m/>
    <n v="0"/>
    <m/>
    <m/>
    <n v="0"/>
    <s v="PAC"/>
    <m/>
  </r>
  <r>
    <n v="117"/>
    <x v="0"/>
    <s v="Shipment 1 400"/>
    <x v="0"/>
    <x v="2"/>
    <m/>
    <d v="2025-11-29T00:00:00"/>
    <s v="HEATER"/>
    <s v="HTR03"/>
    <s v="Hoàng Anh"/>
    <s v="B272-400-AS-040-HB-025"/>
    <s v="040-HB-025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2-04T00:00:00"/>
    <n v="1"/>
    <n v="202.5"/>
    <m/>
    <m/>
    <n v="0"/>
    <m/>
    <m/>
    <m/>
    <n v="0"/>
    <m/>
    <m/>
    <n v="0"/>
    <s v="PAC"/>
    <m/>
  </r>
  <r>
    <n v="118"/>
    <x v="0"/>
    <s v="Shipment 1 400"/>
    <x v="0"/>
    <x v="2"/>
    <m/>
    <d v="2025-11-29T00:00:00"/>
    <s v="HEATER"/>
    <s v="HTR03"/>
    <s v="Hoàng Anh"/>
    <s v="B272-400-AS-040-HB-026"/>
    <s v="040-HB-026"/>
    <s v="RADIANT HEADER BOX (1/2)"/>
    <n v="1"/>
    <n v="229.2"/>
    <n v="229.2"/>
    <s v="(2960x1245x490)"/>
    <m/>
    <m/>
    <m/>
    <m/>
    <m/>
    <m/>
    <m/>
    <m/>
    <m/>
    <m/>
    <m/>
    <m/>
    <m/>
    <n v="206.28"/>
    <n v="22.919999999999987"/>
    <m/>
    <m/>
    <n v="0"/>
    <d v="2026-01-23T00:00:00"/>
    <n v="1"/>
    <n v="229.2"/>
    <d v="2026-02-04T00:00:00"/>
    <n v="1"/>
    <n v="229.2"/>
    <m/>
    <m/>
    <n v="0"/>
    <m/>
    <m/>
    <m/>
    <n v="0"/>
    <m/>
    <m/>
    <n v="0"/>
    <s v="PAC"/>
    <m/>
  </r>
  <r>
    <n v="119"/>
    <x v="0"/>
    <s v="Shipment 1 400"/>
    <x v="0"/>
    <x v="2"/>
    <m/>
    <d v="2025-11-29T00:00:00"/>
    <s v="HEATER"/>
    <s v="HTR03"/>
    <s v="Hoàng Anh"/>
    <s v="B272-400-AS-040-HB-027"/>
    <s v="040-HB-027"/>
    <s v="RADIANT HEADER BOX (1/2)"/>
    <n v="1"/>
    <n v="229.2"/>
    <n v="229.2"/>
    <s v="(2960x1245x490)"/>
    <m/>
    <m/>
    <m/>
    <m/>
    <m/>
    <m/>
    <m/>
    <m/>
    <m/>
    <m/>
    <m/>
    <m/>
    <m/>
    <n v="206.28"/>
    <n v="22.919999999999987"/>
    <m/>
    <m/>
    <n v="0"/>
    <d v="2026-01-23T00:00:00"/>
    <n v="1"/>
    <n v="229.2"/>
    <d v="2026-02-04T00:00:00"/>
    <n v="1"/>
    <n v="229.2"/>
    <m/>
    <m/>
    <n v="0"/>
    <m/>
    <m/>
    <m/>
    <n v="0"/>
    <m/>
    <m/>
    <n v="0"/>
    <s v="PAC"/>
    <m/>
  </r>
  <r>
    <n v="120"/>
    <x v="0"/>
    <s v="Shipment 1 400"/>
    <x v="0"/>
    <x v="2"/>
    <m/>
    <d v="2025-11-29T00:00:00"/>
    <s v="HEATER"/>
    <s v="HTR03"/>
    <s v="Hoàng Anh"/>
    <s v="B272-400-AS-040-HB-028"/>
    <s v="040-HB-028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2-04T00:00:00"/>
    <n v="1"/>
    <n v="202.5"/>
    <m/>
    <m/>
    <n v="0"/>
    <m/>
    <m/>
    <m/>
    <n v="0"/>
    <m/>
    <m/>
    <n v="0"/>
    <s v="PAC"/>
    <m/>
  </r>
  <r>
    <n v="121"/>
    <x v="0"/>
    <s v="Shipment 1 400"/>
    <x v="0"/>
    <x v="2"/>
    <m/>
    <d v="2025-11-29T00:00:00"/>
    <s v="HEATER"/>
    <s v="HTR03"/>
    <s v="Hoàng Anh"/>
    <s v="B272-400-AS-040-HB-029"/>
    <s v="040-HB-029"/>
    <s v="RADIANT HEADER BOX (1/2)"/>
    <n v="1"/>
    <n v="101.2"/>
    <n v="101.2"/>
    <s v="(705x1245x502)"/>
    <m/>
    <m/>
    <m/>
    <m/>
    <m/>
    <m/>
    <m/>
    <m/>
    <m/>
    <m/>
    <m/>
    <m/>
    <m/>
    <n v="91.080000000000013"/>
    <n v="10.11999999999999"/>
    <m/>
    <m/>
    <n v="0"/>
    <d v="2026-01-23T00:00:00"/>
    <n v="1"/>
    <n v="101.2"/>
    <d v="2026-02-04T00:00:00"/>
    <n v="1"/>
    <n v="101.2"/>
    <m/>
    <m/>
    <n v="0"/>
    <m/>
    <m/>
    <m/>
    <n v="0"/>
    <m/>
    <m/>
    <n v="0"/>
    <s v="PAC"/>
    <m/>
  </r>
  <r>
    <n v="122"/>
    <x v="0"/>
    <s v="Shipment 1 400"/>
    <x v="0"/>
    <x v="2"/>
    <m/>
    <d v="2025-11-29T00:00:00"/>
    <s v="HEATER"/>
    <s v="HTR03"/>
    <s v="Hoàng Anh"/>
    <s v="B272-400-AS-040-HB-030"/>
    <s v="040-HB-030"/>
    <s v="RADIANT HEADER BOX (1/3)"/>
    <n v="1"/>
    <n v="171.7"/>
    <n v="171.7"/>
    <s v="(1355x805x697)"/>
    <m/>
    <m/>
    <m/>
    <m/>
    <m/>
    <m/>
    <m/>
    <m/>
    <m/>
    <m/>
    <m/>
    <m/>
    <m/>
    <n v="154.52999999999997"/>
    <n v="17.170000000000016"/>
    <m/>
    <m/>
    <n v="0"/>
    <d v="2026-01-23T00:00:00"/>
    <n v="1"/>
    <n v="171.7"/>
    <d v="2026-02-04T00:00:00"/>
    <n v="1"/>
    <n v="171.7"/>
    <m/>
    <m/>
    <n v="0"/>
    <m/>
    <m/>
    <m/>
    <n v="0"/>
    <m/>
    <m/>
    <n v="0"/>
    <s v="PAC"/>
    <m/>
  </r>
  <r>
    <n v="123"/>
    <x v="0"/>
    <s v="Shipment 1 400"/>
    <x v="0"/>
    <x v="2"/>
    <m/>
    <d v="2025-11-29T00:00:00"/>
    <s v="HEATER"/>
    <s v="HTR03"/>
    <s v="Hoàng Anh"/>
    <s v="B272-400-AS-040-HB-031"/>
    <s v="040-HB-031"/>
    <s v="RADIANT HEADER BOX (1/2)"/>
    <n v="1"/>
    <n v="96.8"/>
    <n v="96.8"/>
    <s v="(645x502x1245)"/>
    <m/>
    <m/>
    <m/>
    <m/>
    <m/>
    <m/>
    <m/>
    <m/>
    <m/>
    <m/>
    <m/>
    <m/>
    <m/>
    <n v="87.12"/>
    <n v="9.6799999999999926"/>
    <m/>
    <m/>
    <n v="0"/>
    <d v="2026-01-23T00:00:00"/>
    <n v="1"/>
    <n v="96.8"/>
    <d v="2026-02-04T00:00:00"/>
    <n v="1"/>
    <n v="96.8"/>
    <m/>
    <m/>
    <n v="0"/>
    <m/>
    <m/>
    <m/>
    <n v="0"/>
    <m/>
    <m/>
    <n v="0"/>
    <s v="PAC"/>
    <m/>
  </r>
  <r>
    <n v="124"/>
    <x v="0"/>
    <s v="Shipment 1 400"/>
    <x v="0"/>
    <x v="2"/>
    <m/>
    <d v="2025-11-29T00:00:00"/>
    <s v="HEATER"/>
    <s v="HTR03"/>
    <s v="Hoàng Anh"/>
    <s v="B272-400-AS-040-HB-032"/>
    <s v="040-HB-032"/>
    <s v="RADIANT HEADER BOX (1/3)"/>
    <n v="1"/>
    <n v="246.2"/>
    <n v="246.2"/>
    <s v="(1355x845x697)"/>
    <m/>
    <m/>
    <m/>
    <m/>
    <m/>
    <m/>
    <m/>
    <m/>
    <m/>
    <m/>
    <m/>
    <m/>
    <m/>
    <n v="221.57999999999998"/>
    <n v="24.620000000000005"/>
    <m/>
    <m/>
    <n v="0"/>
    <d v="2026-01-23T00:00:00"/>
    <n v="1"/>
    <n v="246.2"/>
    <d v="2026-02-04T00:00:00"/>
    <n v="1"/>
    <n v="246.2"/>
    <m/>
    <m/>
    <n v="0"/>
    <m/>
    <m/>
    <m/>
    <n v="0"/>
    <m/>
    <m/>
    <n v="0"/>
    <s v="PAC"/>
    <m/>
  </r>
  <r>
    <n v="125"/>
    <x v="0"/>
    <s v="Shipment 1 400"/>
    <x v="0"/>
    <x v="2"/>
    <m/>
    <d v="2025-11-29T00:00:00"/>
    <s v="HEATER"/>
    <s v="HTR03"/>
    <s v="Hoàng Anh"/>
    <s v="B272-400-AS-040-HB-033"/>
    <s v="040-HB-033"/>
    <s v="RADIANT HEADER BOX (1/3)"/>
    <n v="1"/>
    <n v="171.7"/>
    <n v="171.7"/>
    <s v="(1355x805x697)"/>
    <m/>
    <m/>
    <m/>
    <m/>
    <m/>
    <m/>
    <m/>
    <m/>
    <m/>
    <m/>
    <m/>
    <m/>
    <m/>
    <n v="154.52999999999997"/>
    <n v="17.170000000000016"/>
    <m/>
    <m/>
    <n v="0"/>
    <d v="2026-01-23T00:00:00"/>
    <n v="1"/>
    <n v="171.7"/>
    <d v="2026-02-04T00:00:00"/>
    <n v="1"/>
    <n v="171.7"/>
    <m/>
    <m/>
    <n v="0"/>
    <m/>
    <m/>
    <m/>
    <n v="0"/>
    <m/>
    <m/>
    <n v="0"/>
    <s v="PAC"/>
    <m/>
  </r>
  <r>
    <n v="126"/>
    <x v="0"/>
    <s v="Shipment 1 400"/>
    <x v="0"/>
    <x v="2"/>
    <m/>
    <d v="2025-11-29T00:00:00"/>
    <s v="HEATER"/>
    <s v="HTR03"/>
    <s v="Hoàng Anh"/>
    <s v="B272-400-AS-040-HB-034"/>
    <s v="040-HB-034"/>
    <s v="RADIANT HEADER BOX (1/2)"/>
    <n v="1"/>
    <n v="101.2"/>
    <n v="101.2"/>
    <s v="(705x502x1245)"/>
    <m/>
    <m/>
    <m/>
    <m/>
    <m/>
    <m/>
    <m/>
    <m/>
    <m/>
    <m/>
    <m/>
    <m/>
    <m/>
    <n v="91.080000000000013"/>
    <n v="10.11999999999999"/>
    <m/>
    <m/>
    <n v="0"/>
    <d v="2026-01-23T00:00:00"/>
    <n v="1"/>
    <n v="101.2"/>
    <d v="2026-02-04T00:00:00"/>
    <n v="1"/>
    <n v="101.2"/>
    <m/>
    <m/>
    <n v="0"/>
    <m/>
    <m/>
    <m/>
    <n v="0"/>
    <m/>
    <m/>
    <n v="0"/>
    <s v="PAC"/>
    <m/>
  </r>
  <r>
    <n v="127"/>
    <x v="0"/>
    <s v="Shipment 1 400"/>
    <x v="0"/>
    <x v="2"/>
    <m/>
    <d v="2025-11-29T00:00:00"/>
    <s v="HEATER"/>
    <s v="HTR03"/>
    <s v="Hoàng Anh"/>
    <s v="B272-400-AS-040-HB-035"/>
    <s v="040-HB-035"/>
    <s v="RADIANT HEADER BOX (1/3)"/>
    <n v="1"/>
    <n v="428.9"/>
    <n v="428.9"/>
    <s v="(1695x705x1105)"/>
    <m/>
    <m/>
    <m/>
    <m/>
    <m/>
    <m/>
    <m/>
    <m/>
    <m/>
    <m/>
    <m/>
    <m/>
    <m/>
    <n v="386.01"/>
    <n v="42.889999999999986"/>
    <m/>
    <m/>
    <n v="0"/>
    <d v="2026-01-23T00:00:00"/>
    <n v="1"/>
    <n v="428.9"/>
    <d v="2026-02-04T00:00:00"/>
    <n v="1"/>
    <n v="428.9"/>
    <m/>
    <m/>
    <n v="0"/>
    <m/>
    <m/>
    <m/>
    <n v="0"/>
    <m/>
    <m/>
    <n v="0"/>
    <s v="PAC"/>
    <m/>
  </r>
  <r>
    <n v="128"/>
    <x v="0"/>
    <s v="Shipment 1 400"/>
    <x v="0"/>
    <x v="2"/>
    <m/>
    <d v="2025-11-29T00:00:00"/>
    <s v="HEATER"/>
    <s v="HTR03"/>
    <s v="Hoàng Anh"/>
    <s v="B272-400-AS-040-HB-036"/>
    <s v="040-HB-036"/>
    <s v="RADIANT HEADER BOX (1/3)"/>
    <n v="1"/>
    <n v="428.7"/>
    <n v="428.7"/>
    <s v="(1695x705x1105)"/>
    <m/>
    <m/>
    <m/>
    <m/>
    <m/>
    <m/>
    <m/>
    <m/>
    <m/>
    <m/>
    <m/>
    <m/>
    <m/>
    <n v="385.83000000000004"/>
    <n v="42.869999999999948"/>
    <m/>
    <m/>
    <n v="0"/>
    <d v="2026-01-23T00:00:00"/>
    <n v="1"/>
    <n v="428.7"/>
    <d v="2026-02-04T00:00:00"/>
    <n v="1"/>
    <n v="428.7"/>
    <m/>
    <m/>
    <n v="0"/>
    <m/>
    <m/>
    <m/>
    <n v="0"/>
    <m/>
    <m/>
    <n v="0"/>
    <s v="PAC"/>
    <m/>
  </r>
  <r>
    <n v="129"/>
    <x v="0"/>
    <s v="Shipment 1 400"/>
    <x v="0"/>
    <x v="2"/>
    <m/>
    <d v="2025-11-29T00:00:00"/>
    <s v="HEATER"/>
    <s v="HTR03"/>
    <s v="Hoàng Anh"/>
    <s v="B272-400-AS-040-HB-037"/>
    <s v="040-HB-037"/>
    <s v="RADIANT HEADER BOX"/>
    <n v="1"/>
    <n v="35.799999999999997"/>
    <n v="35.799999999999997"/>
    <s v="(668x115x1423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0"/>
    <x v="0"/>
    <s v="Shipment 1 400"/>
    <x v="0"/>
    <x v="2"/>
    <m/>
    <d v="2025-11-29T00:00:00"/>
    <s v="HEATER"/>
    <s v="HTR03"/>
    <s v="Hoàng Anh"/>
    <s v="B272-400-AS-040-HB-038"/>
    <s v="040-HB-038"/>
    <s v="RADIANT HEADER BOX"/>
    <n v="1"/>
    <n v="35.799999999999997"/>
    <n v="35.799999999999997"/>
    <s v="(668x115x1423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1"/>
    <x v="0"/>
    <s v="Shipment 1 400"/>
    <x v="0"/>
    <x v="2"/>
    <m/>
    <d v="2025-11-29T00:00:00"/>
    <s v="HEATER"/>
    <s v="HTR03"/>
    <s v="Hoàng Anh"/>
    <s v="B272-400-AS-040-HB-039"/>
    <s v="040-HB-039"/>
    <s v="RADIANT HEADER BOX"/>
    <n v="1"/>
    <n v="35.799999999999997"/>
    <n v="35.799999999999997"/>
    <s v="(1423x668x115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2"/>
    <x v="0"/>
    <s v="Shipment 1 400"/>
    <x v="0"/>
    <x v="2"/>
    <m/>
    <d v="2025-11-29T00:00:00"/>
    <s v="HEATER"/>
    <s v="HTR03"/>
    <s v="Hoàng Anh"/>
    <s v="B272-400-AS-040-HB-040"/>
    <s v="040-HB-040"/>
    <s v="RADIANT HEADER BOX"/>
    <n v="1"/>
    <n v="35.799999999999997"/>
    <n v="35.799999999999997"/>
    <s v="(1423x668x115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3"/>
    <x v="0"/>
    <s v="Shipment 1 400"/>
    <x v="0"/>
    <x v="2"/>
    <m/>
    <d v="2025-11-29T00:00:00"/>
    <s v="HEATER"/>
    <s v="HTR03"/>
    <s v="Hoàng Anh"/>
    <s v="B272-400-AS-040-HB-041"/>
    <s v="040-HB-041"/>
    <s v="RADIANT HEADER BOX"/>
    <n v="1"/>
    <n v="35.799999999999997"/>
    <n v="35.799999999999997"/>
    <s v="(668x115x1423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4"/>
    <x v="0"/>
    <s v="Shipment 1 400"/>
    <x v="0"/>
    <x v="2"/>
    <m/>
    <d v="2025-11-29T00:00:00"/>
    <s v="HEATER"/>
    <s v="HTR03"/>
    <s v="Hoàng Anh"/>
    <s v="B272-400-AS-040-HB-042"/>
    <s v="040-HB-042"/>
    <s v="RADIANT HEADER BOX"/>
    <n v="1"/>
    <n v="35.799999999999997"/>
    <n v="35.799999999999997"/>
    <s v="(668x115x1423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5"/>
    <x v="0"/>
    <s v="Shipment 1 400"/>
    <x v="0"/>
    <x v="2"/>
    <m/>
    <d v="2025-11-29T00:00:00"/>
    <s v="HEATER"/>
    <s v="HTR03"/>
    <s v="Hoàng Anh"/>
    <s v="B272-400-AS-040-HB-043"/>
    <s v="040-HB-043"/>
    <s v="RADIANT HEADER BOX"/>
    <n v="1"/>
    <n v="35.799999999999997"/>
    <n v="35.799999999999997"/>
    <s v="(1423x668x115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6"/>
    <x v="0"/>
    <s v="Shipment 1 400"/>
    <x v="0"/>
    <x v="2"/>
    <m/>
    <d v="2025-11-29T00:00:00"/>
    <s v="HEATER"/>
    <s v="HTR03"/>
    <s v="Hoàng Anh"/>
    <s v="B272-400-AS-040-HB-044"/>
    <s v="040-HB-044"/>
    <s v="RADIANT HEADER BOX"/>
    <n v="1"/>
    <n v="35.799999999999997"/>
    <n v="35.799999999999997"/>
    <s v="(1423x668x115)"/>
    <m/>
    <m/>
    <m/>
    <m/>
    <m/>
    <m/>
    <m/>
    <m/>
    <m/>
    <m/>
    <m/>
    <m/>
    <m/>
    <n v="32.22"/>
    <n v="3.5799999999999983"/>
    <m/>
    <m/>
    <n v="0"/>
    <d v="2026-01-23T00:00:00"/>
    <n v="1"/>
    <n v="35.799999999999997"/>
    <d v="2026-02-04T00:00:00"/>
    <n v="1"/>
    <n v="35.799999999999997"/>
    <m/>
    <m/>
    <n v="0"/>
    <m/>
    <m/>
    <m/>
    <n v="0"/>
    <m/>
    <m/>
    <n v="0"/>
    <s v="PAC"/>
    <m/>
  </r>
  <r>
    <n v="137"/>
    <x v="0"/>
    <s v="Shipment 1 400"/>
    <x v="0"/>
    <x v="2"/>
    <m/>
    <d v="2025-11-29T00:00:00"/>
    <s v="HEATER"/>
    <s v="HTR03"/>
    <s v="Hoàng Anh"/>
    <s v="B272-400-AS-040-HB-045"/>
    <s v="040-HB-045(1/2)"/>
    <s v="RADIANT HEADER BOX"/>
    <n v="1"/>
    <n v="9.8000000000000007"/>
    <n v="9.8000000000000007"/>
    <s v="(660x305x63)"/>
    <m/>
    <m/>
    <m/>
    <m/>
    <m/>
    <m/>
    <m/>
    <m/>
    <m/>
    <m/>
    <m/>
    <m/>
    <m/>
    <n v="8.82"/>
    <n v="0.98000000000000043"/>
    <m/>
    <m/>
    <n v="0"/>
    <d v="2026-01-23T00:00:00"/>
    <n v="1"/>
    <n v="9.8000000000000007"/>
    <d v="2026-02-04T00:00:00"/>
    <n v="1"/>
    <n v="9.8000000000000007"/>
    <m/>
    <m/>
    <n v="0"/>
    <m/>
    <m/>
    <m/>
    <n v="0"/>
    <m/>
    <m/>
    <n v="0"/>
    <s v="PAC"/>
    <m/>
  </r>
  <r>
    <n v="138"/>
    <x v="0"/>
    <s v="Shipment 1 400"/>
    <x v="0"/>
    <x v="2"/>
    <m/>
    <d v="2025-11-29T00:00:00"/>
    <s v="HEATER"/>
    <s v="HTR03"/>
    <s v="Hoàng Anh"/>
    <s v="B272-400-AS-040-HB-045"/>
    <s v="040-HB-045(2/2)"/>
    <s v="RADIANT HEADER BOX"/>
    <n v="1"/>
    <n v="9.8000000000000007"/>
    <n v="9.8000000000000007"/>
    <s v="(660x305x63)"/>
    <m/>
    <m/>
    <m/>
    <m/>
    <m/>
    <m/>
    <m/>
    <m/>
    <m/>
    <m/>
    <m/>
    <m/>
    <m/>
    <n v="8.82"/>
    <n v="0.98000000000000043"/>
    <m/>
    <m/>
    <n v="0"/>
    <d v="2026-01-23T00:00:00"/>
    <n v="1"/>
    <n v="9.8000000000000007"/>
    <d v="2026-02-04T00:00:00"/>
    <n v="1"/>
    <n v="9.8000000000000007"/>
    <m/>
    <m/>
    <n v="0"/>
    <m/>
    <m/>
    <m/>
    <n v="0"/>
    <m/>
    <m/>
    <n v="0"/>
    <s v="PAC"/>
    <m/>
  </r>
  <r>
    <n v="139"/>
    <x v="0"/>
    <s v="Shipment 1 400"/>
    <x v="0"/>
    <x v="2"/>
    <m/>
    <d v="2025-11-29T00:00:00"/>
    <s v="HEATER"/>
    <s v="HTR03"/>
    <s v="Hoàng Anh"/>
    <s v="B272-400-AS-040-HB-046"/>
    <s v="040-HB-046(1/2)"/>
    <s v="RADIANT HEADER BOX"/>
    <n v="1"/>
    <n v="7.2"/>
    <n v="7.2"/>
    <s v="(660x205x63)"/>
    <m/>
    <m/>
    <m/>
    <m/>
    <m/>
    <m/>
    <m/>
    <m/>
    <m/>
    <m/>
    <m/>
    <m/>
    <m/>
    <n v="6.48"/>
    <n v="0.71999999999999975"/>
    <m/>
    <m/>
    <n v="0"/>
    <d v="2026-01-23T00:00:00"/>
    <n v="1"/>
    <n v="7.2"/>
    <d v="2026-02-04T00:00:00"/>
    <n v="1"/>
    <n v="7.2"/>
    <m/>
    <m/>
    <n v="0"/>
    <m/>
    <m/>
    <m/>
    <n v="0"/>
    <m/>
    <m/>
    <n v="0"/>
    <s v="PAC"/>
    <m/>
  </r>
  <r>
    <n v="140"/>
    <x v="0"/>
    <s v="Shipment 1 400"/>
    <x v="0"/>
    <x v="2"/>
    <m/>
    <d v="2025-11-29T00:00:00"/>
    <s v="HEATER"/>
    <s v="HTR03"/>
    <s v="Hoàng Anh"/>
    <s v="B272-400-AS-040-HB-046"/>
    <s v="040-HB-046(2/2)"/>
    <s v="RADIANT HEADER BOX"/>
    <n v="1"/>
    <n v="7.2"/>
    <n v="7.2"/>
    <s v="(660x205x63)"/>
    <m/>
    <m/>
    <m/>
    <m/>
    <m/>
    <m/>
    <m/>
    <m/>
    <m/>
    <m/>
    <m/>
    <m/>
    <m/>
    <n v="6.48"/>
    <n v="0.71999999999999975"/>
    <m/>
    <m/>
    <n v="0"/>
    <d v="2026-01-23T00:00:00"/>
    <n v="1"/>
    <n v="7.2"/>
    <d v="2026-02-04T00:00:00"/>
    <n v="1"/>
    <n v="7.2"/>
    <m/>
    <m/>
    <n v="0"/>
    <m/>
    <m/>
    <m/>
    <n v="0"/>
    <m/>
    <m/>
    <n v="0"/>
    <s v="PAC"/>
    <m/>
  </r>
  <r>
    <n v="141"/>
    <x v="0"/>
    <s v="Shipment 1 400"/>
    <x v="0"/>
    <x v="2"/>
    <m/>
    <d v="2025-11-29T00:00:00"/>
    <s v="HEATER"/>
    <s v="HTR03"/>
    <s v="Hoàng Anh"/>
    <s v="B272-400-AS-040-HB-047"/>
    <s v="040-HB-047"/>
    <s v="RADIANT HEADER BOX"/>
    <n v="24"/>
    <n v="0.3"/>
    <n v="8.4"/>
    <s v="(123x35x30)"/>
    <m/>
    <m/>
    <m/>
    <m/>
    <m/>
    <m/>
    <m/>
    <m/>
    <m/>
    <m/>
    <m/>
    <m/>
    <m/>
    <n v="0"/>
    <n v="8.4"/>
    <m/>
    <m/>
    <n v="0"/>
    <m/>
    <m/>
    <n v="0"/>
    <m/>
    <m/>
    <n v="0"/>
    <m/>
    <m/>
    <n v="0"/>
    <m/>
    <m/>
    <m/>
    <n v="0"/>
    <m/>
    <m/>
    <n v="0"/>
    <s v="PAC"/>
    <m/>
  </r>
  <r>
    <n v="142"/>
    <x v="0"/>
    <s v="Shipment 1 400"/>
    <x v="0"/>
    <x v="2"/>
    <m/>
    <d v="2025-11-29T00:00:00"/>
    <s v="HEATER"/>
    <s v="HTR03"/>
    <s v="Hoàng Anh"/>
    <s v="B272-400-AS-040-HB-048"/>
    <s v="040-HB-048(1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3"/>
    <x v="0"/>
    <s v="Shipment 1 400"/>
    <x v="0"/>
    <x v="2"/>
    <m/>
    <d v="2025-11-29T00:00:00"/>
    <s v="HEATER"/>
    <s v="HTR03"/>
    <s v="Hoàng Anh"/>
    <s v="B272-400-AS-040-HB-048"/>
    <s v="040-HB-048(2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4"/>
    <x v="0"/>
    <s v="Shipment 1 400"/>
    <x v="0"/>
    <x v="2"/>
    <m/>
    <d v="2025-11-29T00:00:00"/>
    <s v="HEATER"/>
    <s v="HTR03"/>
    <s v="Hoàng Anh"/>
    <s v="B272-400-AS-040-HB-049"/>
    <s v="040-HB-049(1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5"/>
    <x v="0"/>
    <s v="Shipment 1 400"/>
    <x v="0"/>
    <x v="2"/>
    <m/>
    <d v="2025-11-29T00:00:00"/>
    <s v="HEATER"/>
    <s v="HTR03"/>
    <s v="Hoàng Anh"/>
    <s v="B272-400-AS-040-HB-049"/>
    <s v="040-HB-049(2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6"/>
    <x v="0"/>
    <s v="Shipment 1 400"/>
    <x v="0"/>
    <x v="2"/>
    <m/>
    <d v="2025-11-29T00:00:00"/>
    <s v="HEATER"/>
    <s v="HTR03"/>
    <s v="Hoàng Anh"/>
    <s v="B272-400-AS-040-HB-050"/>
    <s v="040-HB-050(1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7"/>
    <x v="0"/>
    <s v="Shipment 1 400"/>
    <x v="0"/>
    <x v="2"/>
    <m/>
    <d v="2025-11-29T00:00:00"/>
    <s v="HEATER"/>
    <s v="HTR03"/>
    <s v="Hoàng Anh"/>
    <s v="B272-400-AS-040-HB-050"/>
    <s v="040-HB-050(2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8"/>
    <x v="0"/>
    <s v="Shipment 1 400"/>
    <x v="0"/>
    <x v="2"/>
    <m/>
    <d v="2025-11-29T00:00:00"/>
    <s v="HEATER"/>
    <s v="HTR03"/>
    <s v="Hoàng Anh"/>
    <s v="B272-400-AS-040-HB-051"/>
    <s v="040-HB-051(1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49"/>
    <x v="0"/>
    <s v="Shipment 1 400"/>
    <x v="0"/>
    <x v="2"/>
    <m/>
    <d v="2025-11-29T00:00:00"/>
    <s v="HEATER"/>
    <s v="HTR03"/>
    <s v="Hoàng Anh"/>
    <s v="B272-400-AS-040-HB-051"/>
    <s v="040-HB-051(2/2)"/>
    <s v="RADIANT HEADER BOX"/>
    <n v="1"/>
    <n v="37.700000000000003"/>
    <n v="37.700000000000003"/>
    <s v="(1245x115x200)"/>
    <m/>
    <m/>
    <m/>
    <m/>
    <m/>
    <m/>
    <m/>
    <m/>
    <m/>
    <m/>
    <m/>
    <m/>
    <m/>
    <n v="33.930000000000007"/>
    <n v="3.769999999999996"/>
    <m/>
    <m/>
    <n v="0"/>
    <d v="2026-01-23T00:00:00"/>
    <n v="1"/>
    <n v="37.700000000000003"/>
    <d v="2026-02-24T00:00:00"/>
    <n v="1"/>
    <n v="37.700000000000003"/>
    <m/>
    <m/>
    <n v="0"/>
    <m/>
    <m/>
    <m/>
    <n v="0"/>
    <m/>
    <m/>
    <n v="0"/>
    <s v="PAC"/>
    <m/>
  </r>
  <r>
    <n v="150"/>
    <x v="0"/>
    <s v="Shipment 1 400"/>
    <x v="0"/>
    <x v="2"/>
    <m/>
    <d v="2025-11-29T00:00:00"/>
    <s v="HEATER"/>
    <s v="HTR03"/>
    <s v="Hoàng Anh"/>
    <s v="B272-400-AS-040-HB-052"/>
    <s v="040-HB-052"/>
    <s v="RADIANT HEADER BOX"/>
    <n v="12"/>
    <n v="2"/>
    <n v="24"/>
    <s v="(160x50x130)"/>
    <m/>
    <m/>
    <m/>
    <m/>
    <m/>
    <m/>
    <m/>
    <m/>
    <m/>
    <m/>
    <m/>
    <m/>
    <m/>
    <n v="0"/>
    <n v="24"/>
    <m/>
    <m/>
    <n v="0"/>
    <m/>
    <m/>
    <n v="0"/>
    <m/>
    <m/>
    <n v="0"/>
    <m/>
    <m/>
    <n v="0"/>
    <m/>
    <m/>
    <m/>
    <n v="0"/>
    <m/>
    <m/>
    <n v="0"/>
    <s v="PAC"/>
    <m/>
  </r>
  <r>
    <n v="151"/>
    <x v="0"/>
    <s v="Shipment 1 400"/>
    <x v="0"/>
    <x v="2"/>
    <m/>
    <d v="2025-11-29T00:00:00"/>
    <s v="HEATER"/>
    <s v="HTR03"/>
    <s v="Hoàng Anh"/>
    <s v="B272-400-AS-040-HB-053"/>
    <s v="040-HB-053"/>
    <s v="RADIANT HEADER BOX"/>
    <n v="12"/>
    <n v="2"/>
    <n v="24.1"/>
    <s v="(160x20x80)"/>
    <m/>
    <m/>
    <m/>
    <m/>
    <m/>
    <m/>
    <m/>
    <m/>
    <m/>
    <m/>
    <m/>
    <m/>
    <m/>
    <n v="0"/>
    <n v="24.1"/>
    <m/>
    <m/>
    <n v="0"/>
    <m/>
    <m/>
    <n v="0"/>
    <m/>
    <m/>
    <n v="0"/>
    <m/>
    <m/>
    <n v="0"/>
    <m/>
    <m/>
    <m/>
    <n v="0"/>
    <m/>
    <m/>
    <n v="0"/>
    <s v="PAC"/>
    <m/>
  </r>
  <r>
    <n v="152"/>
    <x v="0"/>
    <s v="Shipment 1 400"/>
    <x v="0"/>
    <x v="2"/>
    <m/>
    <d v="2025-11-29T00:00:00"/>
    <s v="HEATER"/>
    <s v="HTR03"/>
    <s v="Hoàng Anh"/>
    <s v="B272-400-AS-040-HB-054"/>
    <s v="040-HB-054"/>
    <s v="RADIANT HEADER BOX"/>
    <n v="12"/>
    <n v="0.8"/>
    <n v="9.6"/>
    <s v="(160x8x80)"/>
    <m/>
    <m/>
    <m/>
    <m/>
    <m/>
    <m/>
    <m/>
    <m/>
    <m/>
    <m/>
    <m/>
    <m/>
    <m/>
    <n v="0"/>
    <n v="9.6"/>
    <m/>
    <m/>
    <n v="0"/>
    <m/>
    <m/>
    <n v="0"/>
    <m/>
    <m/>
    <n v="0"/>
    <m/>
    <m/>
    <n v="0"/>
    <m/>
    <m/>
    <m/>
    <n v="0"/>
    <m/>
    <m/>
    <n v="0"/>
    <s v="PAC"/>
    <m/>
  </r>
  <r>
    <n v="153"/>
    <x v="0"/>
    <s v="Shipment 1 400"/>
    <x v="0"/>
    <x v="2"/>
    <m/>
    <d v="2025-11-29T00:00:00"/>
    <s v="HEATER"/>
    <s v="HTR03"/>
    <s v="Hoàng Anh"/>
    <s v="B272-400-AS-040-HB-055"/>
    <s v="040-HB-055(1/2)"/>
    <s v="RADIANT HEADER BOX"/>
    <n v="1"/>
    <n v="15"/>
    <n v="15"/>
    <s v="(824x824x250)"/>
    <m/>
    <m/>
    <m/>
    <m/>
    <m/>
    <m/>
    <m/>
    <m/>
    <m/>
    <m/>
    <m/>
    <m/>
    <m/>
    <n v="13.5"/>
    <n v="1.5"/>
    <m/>
    <m/>
    <n v="0"/>
    <d v="2026-01-23T00:00:00"/>
    <n v="1"/>
    <n v="15"/>
    <d v="2026-03-17T00:00:00"/>
    <n v="1"/>
    <n v="15"/>
    <m/>
    <m/>
    <n v="0"/>
    <m/>
    <m/>
    <m/>
    <n v="0"/>
    <m/>
    <m/>
    <n v="0"/>
    <s v="PAC"/>
    <m/>
  </r>
  <r>
    <n v="154"/>
    <x v="0"/>
    <s v="Shipment 1 400"/>
    <x v="0"/>
    <x v="2"/>
    <m/>
    <d v="2025-11-29T00:00:00"/>
    <s v="HEATER"/>
    <s v="HTR03"/>
    <s v="Hoàng Anh"/>
    <s v="B272-400-AS-040-HB-055"/>
    <s v="040-HB-055(2/2)"/>
    <s v="RADIANT HEADER BOX"/>
    <n v="1"/>
    <n v="15"/>
    <n v="15"/>
    <s v="(824x824x250)"/>
    <m/>
    <m/>
    <m/>
    <m/>
    <m/>
    <m/>
    <m/>
    <m/>
    <m/>
    <m/>
    <m/>
    <m/>
    <m/>
    <n v="13.5"/>
    <n v="1.5"/>
    <m/>
    <m/>
    <n v="0"/>
    <d v="2026-01-23T00:00:00"/>
    <n v="1"/>
    <n v="15"/>
    <d v="2026-03-17T00:00:00"/>
    <n v="1"/>
    <n v="15"/>
    <m/>
    <m/>
    <n v="0"/>
    <m/>
    <m/>
    <m/>
    <n v="0"/>
    <m/>
    <m/>
    <n v="0"/>
    <s v="PAC"/>
    <m/>
  </r>
  <r>
    <n v="155"/>
    <x v="0"/>
    <s v="Shipment 1 400"/>
    <x v="0"/>
    <x v="2"/>
    <m/>
    <d v="2025-11-29T00:00:00"/>
    <s v="HEATER"/>
    <s v="HTR03"/>
    <s v="Hoàng Anh"/>
    <s v="B272-400-AS-040-HB-056"/>
    <s v="040-HB-056(1/2)"/>
    <s v="RADIANT HEADER BOX"/>
    <n v="1"/>
    <n v="16.3"/>
    <n v="16.3"/>
    <s v="(843x843x250)"/>
    <m/>
    <m/>
    <m/>
    <m/>
    <m/>
    <m/>
    <m/>
    <m/>
    <m/>
    <m/>
    <m/>
    <m/>
    <m/>
    <n v="14.670000000000002"/>
    <n v="1.629999999999999"/>
    <m/>
    <m/>
    <n v="0"/>
    <d v="2026-01-23T00:00:00"/>
    <n v="1"/>
    <n v="16.3"/>
    <d v="2026-03-17T00:00:00"/>
    <n v="1"/>
    <n v="16.3"/>
    <m/>
    <m/>
    <n v="0"/>
    <m/>
    <m/>
    <m/>
    <n v="0"/>
    <m/>
    <m/>
    <n v="0"/>
    <s v="PAC"/>
    <m/>
  </r>
  <r>
    <n v="156"/>
    <x v="0"/>
    <s v="Shipment 1 400"/>
    <x v="0"/>
    <x v="2"/>
    <m/>
    <d v="2025-11-29T00:00:00"/>
    <s v="HEATER"/>
    <s v="HTR03"/>
    <s v="Hoàng Anh"/>
    <s v="B272-400-AS-040-HB-056"/>
    <s v="040-HB-056(2/2)"/>
    <s v="RADIANT HEADER BOX"/>
    <n v="1"/>
    <n v="16.3"/>
    <n v="16.3"/>
    <s v="(843x843x250)"/>
    <m/>
    <m/>
    <m/>
    <m/>
    <m/>
    <m/>
    <m/>
    <m/>
    <m/>
    <m/>
    <m/>
    <m/>
    <m/>
    <n v="14.670000000000002"/>
    <n v="1.629999999999999"/>
    <m/>
    <m/>
    <n v="0"/>
    <d v="2026-01-23T00:00:00"/>
    <n v="1"/>
    <n v="16.3"/>
    <d v="2026-03-17T00:00:00"/>
    <n v="1"/>
    <n v="16.3"/>
    <m/>
    <m/>
    <n v="0"/>
    <m/>
    <m/>
    <m/>
    <n v="0"/>
    <m/>
    <m/>
    <n v="0"/>
    <s v="PAC"/>
    <m/>
  </r>
  <r>
    <n v="157"/>
    <x v="0"/>
    <s v="Shipment 1 400"/>
    <x v="0"/>
    <x v="2"/>
    <m/>
    <d v="2025-11-29T00:00:00"/>
    <s v="HEATER"/>
    <s v="HTR03"/>
    <s v="Hoàng Anh"/>
    <s v="B272-400-AS-040-HB-057"/>
    <s v="040-HB-057(1/2)"/>
    <s v="RADIANT HEADER BOX"/>
    <n v="1"/>
    <n v="78.400000000000006"/>
    <n v="78.400000000000006"/>
    <s v="(954x846x1448)"/>
    <m/>
    <m/>
    <m/>
    <m/>
    <m/>
    <m/>
    <m/>
    <m/>
    <m/>
    <m/>
    <m/>
    <m/>
    <m/>
    <n v="70.56"/>
    <n v="7.8400000000000034"/>
    <m/>
    <m/>
    <n v="0"/>
    <d v="2026-01-23T00:00:00"/>
    <n v="1"/>
    <n v="78.400000000000006"/>
    <d v="2026-03-17T00:00:00"/>
    <n v="1"/>
    <n v="78.400000000000006"/>
    <m/>
    <m/>
    <n v="0"/>
    <m/>
    <m/>
    <m/>
    <n v="0"/>
    <m/>
    <m/>
    <n v="0"/>
    <s v="PAC"/>
    <m/>
  </r>
  <r>
    <n v="158"/>
    <x v="0"/>
    <s v="Shipment 1 400"/>
    <x v="0"/>
    <x v="2"/>
    <m/>
    <d v="2025-11-29T00:00:00"/>
    <s v="HEATER"/>
    <s v="HTR03"/>
    <s v="Hoàng Anh"/>
    <s v="B272-400-AS-040-HB-057"/>
    <s v="040-HB-057(2/2)"/>
    <s v="RADIANT HEADER BOX"/>
    <n v="1"/>
    <n v="78.400000000000006"/>
    <n v="78.400000000000006"/>
    <s v="(954x846x1448)"/>
    <m/>
    <m/>
    <m/>
    <m/>
    <m/>
    <m/>
    <m/>
    <m/>
    <m/>
    <m/>
    <m/>
    <m/>
    <m/>
    <n v="70.56"/>
    <n v="7.8400000000000034"/>
    <m/>
    <m/>
    <n v="0"/>
    <d v="2026-01-23T00:00:00"/>
    <n v="1"/>
    <n v="78.400000000000006"/>
    <d v="2026-03-17T00:00:00"/>
    <n v="1"/>
    <n v="78.400000000000006"/>
    <m/>
    <m/>
    <n v="0"/>
    <m/>
    <m/>
    <m/>
    <n v="0"/>
    <m/>
    <m/>
    <n v="0"/>
    <s v="PAC"/>
    <m/>
  </r>
  <r>
    <n v="159"/>
    <x v="0"/>
    <s v="Shipment 1 400"/>
    <x v="0"/>
    <x v="2"/>
    <m/>
    <d v="2025-11-29T00:00:00"/>
    <s v="HEATER"/>
    <s v="HTR03"/>
    <s v="Hoàng Anh"/>
    <s v="B272-400-AS-040-HB-058"/>
    <s v="040-HB-058(1/2)"/>
    <s v="RADIANT HEADER BOX"/>
    <n v="1"/>
    <n v="64.900000000000006"/>
    <n v="64.900000000000006"/>
    <s v="(1448x684x846)"/>
    <m/>
    <m/>
    <m/>
    <m/>
    <m/>
    <m/>
    <m/>
    <m/>
    <m/>
    <m/>
    <m/>
    <m/>
    <m/>
    <n v="58.410000000000011"/>
    <n v="6.4899999999999949"/>
    <m/>
    <m/>
    <n v="0"/>
    <d v="2026-01-23T00:00:00"/>
    <n v="1"/>
    <n v="64.900000000000006"/>
    <d v="2026-03-17T00:00:00"/>
    <n v="1"/>
    <n v="64.900000000000006"/>
    <m/>
    <m/>
    <n v="0"/>
    <m/>
    <m/>
    <m/>
    <n v="0"/>
    <m/>
    <m/>
    <n v="0"/>
    <s v="PAC"/>
    <m/>
  </r>
  <r>
    <n v="160"/>
    <x v="0"/>
    <s v="Shipment 1 400"/>
    <x v="0"/>
    <x v="2"/>
    <m/>
    <d v="2025-11-29T00:00:00"/>
    <s v="HEATER"/>
    <s v="HTR03"/>
    <s v="Hoàng Anh"/>
    <s v="B272-400-AS-040-HB-058"/>
    <s v="040-HB-058(2/2)"/>
    <s v="RADIANT HEADER BOX"/>
    <n v="1"/>
    <n v="64.900000000000006"/>
    <n v="64.900000000000006"/>
    <s v="(1448x684x846)"/>
    <m/>
    <m/>
    <m/>
    <m/>
    <m/>
    <m/>
    <m/>
    <m/>
    <m/>
    <m/>
    <m/>
    <m/>
    <m/>
    <n v="58.410000000000011"/>
    <n v="6.4899999999999949"/>
    <m/>
    <m/>
    <n v="0"/>
    <d v="2026-01-23T00:00:00"/>
    <n v="1"/>
    <n v="64.900000000000006"/>
    <d v="2026-03-17T00:00:00"/>
    <n v="1"/>
    <n v="64.900000000000006"/>
    <m/>
    <m/>
    <n v="0"/>
    <m/>
    <m/>
    <m/>
    <n v="0"/>
    <m/>
    <m/>
    <n v="0"/>
    <s v="PAC"/>
    <m/>
  </r>
  <r>
    <n v="161"/>
    <x v="0"/>
    <s v="Shipment 1 400"/>
    <x v="0"/>
    <x v="2"/>
    <m/>
    <d v="2025-11-29T00:00:00"/>
    <s v="HEATER"/>
    <s v="HTR03"/>
    <s v="Hoàng Anh"/>
    <s v="B272-400-AS-040-HB-059"/>
    <s v="040-HB-059(1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2"/>
    <x v="0"/>
    <s v="Shipment 1 400"/>
    <x v="0"/>
    <x v="2"/>
    <m/>
    <d v="2025-11-29T00:00:00"/>
    <s v="HEATER"/>
    <s v="HTR03"/>
    <s v="Hoàng Anh"/>
    <s v="B272-400-AS-040-HB-059"/>
    <s v="040-HB-059(2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3"/>
    <x v="0"/>
    <s v="Shipment 1 400"/>
    <x v="0"/>
    <x v="2"/>
    <m/>
    <d v="2025-11-29T00:00:00"/>
    <s v="HEATER"/>
    <s v="HTR03"/>
    <s v="Hoàng Anh"/>
    <s v="B272-400-AS-040-HB-059"/>
    <s v="040-HB-059(3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4"/>
    <x v="0"/>
    <s v="Shipment 1 400"/>
    <x v="0"/>
    <x v="2"/>
    <m/>
    <d v="2025-11-29T00:00:00"/>
    <s v="HEATER"/>
    <s v="HTR03"/>
    <s v="Hoàng Anh"/>
    <s v="B272-400-AS-040-HB-059"/>
    <s v="040-HB-059(4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5"/>
    <x v="0"/>
    <s v="Shipment 1 400"/>
    <x v="0"/>
    <x v="2"/>
    <m/>
    <d v="2025-11-29T00:00:00"/>
    <s v="HEATER"/>
    <s v="HTR03"/>
    <s v="Hoàng Anh"/>
    <s v="B272-400-AS-040-HB-060"/>
    <s v="040-HB-060(1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6"/>
    <x v="0"/>
    <s v="Shipment 1 400"/>
    <x v="0"/>
    <x v="2"/>
    <m/>
    <d v="2025-11-29T00:00:00"/>
    <s v="HEATER"/>
    <s v="HTR03"/>
    <s v="Hoàng Anh"/>
    <s v="B272-400-AS-040-HB-060"/>
    <s v="040-HB-060(2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7"/>
    <x v="0"/>
    <s v="Shipment 1 400"/>
    <x v="0"/>
    <x v="2"/>
    <m/>
    <d v="2025-11-29T00:00:00"/>
    <s v="HEATER"/>
    <s v="HTR03"/>
    <s v="Hoàng Anh"/>
    <s v="B272-400-AS-040-HB-060"/>
    <s v="040-HB-060(3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8"/>
    <x v="0"/>
    <s v="Shipment 1 400"/>
    <x v="0"/>
    <x v="2"/>
    <m/>
    <d v="2025-11-29T00:00:00"/>
    <s v="HEATER"/>
    <s v="HTR03"/>
    <s v="Hoàng Anh"/>
    <s v="B272-400-AS-040-HB-060"/>
    <s v="040-HB-060(4/4)"/>
    <s v="RADIANT HEADER BOX"/>
    <n v="1"/>
    <n v="0.6"/>
    <n v="0.6"/>
    <s v="(75x5x200)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69"/>
    <x v="0"/>
    <s v="Shipment 1 400"/>
    <x v="0"/>
    <x v="2"/>
    <m/>
    <d v="2025-11-29T00:00:00"/>
    <s v="HEATER"/>
    <s v="HTR03"/>
    <s v="Hoàng Anh"/>
    <s v="B272-400-AS-040-HB-061"/>
    <s v="040-HB-061(1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0"/>
    <x v="0"/>
    <s v="Shipment 1 400"/>
    <x v="0"/>
    <x v="2"/>
    <m/>
    <d v="2025-11-29T00:00:00"/>
    <s v="HEATER"/>
    <s v="HTR03"/>
    <s v="Hoàng Anh"/>
    <s v="B272-400-AS-040-HB-061"/>
    <s v="040-HB-061(2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1"/>
    <x v="0"/>
    <s v="Shipment 1 400"/>
    <x v="0"/>
    <x v="2"/>
    <m/>
    <d v="2025-11-29T00:00:00"/>
    <s v="HEATER"/>
    <s v="HTR03"/>
    <s v="Hoàng Anh"/>
    <s v="B272-400-AS-040-HB-061"/>
    <s v="040-HB-061(3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2"/>
    <x v="0"/>
    <s v="Shipment 1 400"/>
    <x v="0"/>
    <x v="2"/>
    <m/>
    <d v="2025-11-29T00:00:00"/>
    <s v="HEATER"/>
    <s v="HTR03"/>
    <s v="Hoàng Anh"/>
    <s v="B272-400-AS-040-HB-061"/>
    <s v="040-HB-061(4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3"/>
    <x v="0"/>
    <s v="Shipment 1 400"/>
    <x v="0"/>
    <x v="2"/>
    <m/>
    <d v="2025-11-29T00:00:00"/>
    <s v="HEATER"/>
    <s v="HTR03"/>
    <s v="Hoàng Anh"/>
    <s v="B272-400-AS-040-HB-061"/>
    <s v="040-HB-061(5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4"/>
    <x v="0"/>
    <s v="Shipment 1 400"/>
    <x v="0"/>
    <x v="2"/>
    <m/>
    <d v="2025-11-29T00:00:00"/>
    <s v="HEATER"/>
    <s v="HTR03"/>
    <s v="Hoàng Anh"/>
    <s v="B272-400-AS-040-HB-061"/>
    <s v="040-HB-061(6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5"/>
    <x v="0"/>
    <s v="Shipment 1 400"/>
    <x v="0"/>
    <x v="2"/>
    <m/>
    <d v="2025-11-29T00:00:00"/>
    <s v="HEATER"/>
    <s v="HTR03"/>
    <s v="Hoàng Anh"/>
    <s v="B272-400-AS-040-HB-061"/>
    <s v="040-HB-061(7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6"/>
    <x v="0"/>
    <s v="Shipment 1 400"/>
    <x v="0"/>
    <x v="2"/>
    <m/>
    <d v="2025-11-29T00:00:00"/>
    <s v="HEATER"/>
    <s v="HTR03"/>
    <s v="Hoàng Anh"/>
    <s v="B272-400-AS-040-HB-061"/>
    <s v="040-HB-061(8/8)"/>
    <s v="RADIANT HEADER BOX"/>
    <n v="1"/>
    <n v="4.9000000000000004"/>
    <n v="4.9000000000000004"/>
    <s v="(949x949x6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77"/>
    <x v="0"/>
    <s v="Shipment 1 400"/>
    <x v="0"/>
    <x v="2"/>
    <m/>
    <d v="2025-11-29T00:00:00"/>
    <s v="HEATER"/>
    <s v="HTR03"/>
    <s v="Hoàng Anh"/>
    <s v="B272-400-AS-040-HB-062"/>
    <s v="040-HB-062(1/2)"/>
    <s v="RADIANT HEADER BOX"/>
    <n v="1"/>
    <n v="0.2"/>
    <n v="0.2"/>
    <s v="(988x988x13)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78"/>
    <x v="0"/>
    <s v="Shipment 1 400"/>
    <x v="0"/>
    <x v="2"/>
    <m/>
    <d v="2025-11-29T00:00:00"/>
    <s v="HEATER"/>
    <s v="HTR03"/>
    <s v="Hoàng Anh"/>
    <s v="B272-400-AS-040-HB-062"/>
    <s v="040-HB-062(2/2)"/>
    <s v="RADIANT HEADER BOX"/>
    <n v="1"/>
    <n v="0.2"/>
    <n v="0.2"/>
    <s v="(988x988x13)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79"/>
    <x v="0"/>
    <s v="Shipment 1 400"/>
    <x v="0"/>
    <x v="2"/>
    <m/>
    <d v="2025-11-29T00:00:00"/>
    <s v="HEATER"/>
    <s v="HTR03"/>
    <s v="Hoàng Anh"/>
    <s v="B272-400-AS-040-HB-063"/>
    <s v="040-HB-063"/>
    <s v="RADIANT HEADER BOX"/>
    <n v="32"/>
    <n v="0.2"/>
    <n v="6.3"/>
    <s v="(50x10x50)"/>
    <m/>
    <m/>
    <m/>
    <m/>
    <m/>
    <m/>
    <m/>
    <m/>
    <m/>
    <m/>
    <m/>
    <m/>
    <m/>
    <n v="0"/>
    <n v="6.3"/>
    <m/>
    <m/>
    <n v="0"/>
    <m/>
    <m/>
    <n v="0"/>
    <m/>
    <m/>
    <n v="0"/>
    <m/>
    <m/>
    <n v="0"/>
    <m/>
    <m/>
    <m/>
    <n v="0"/>
    <m/>
    <m/>
    <n v="0"/>
    <s v="PAC"/>
    <m/>
  </r>
  <r>
    <n v="180"/>
    <x v="0"/>
    <s v="Shipment 1 400"/>
    <x v="0"/>
    <x v="2"/>
    <m/>
    <d v="2025-11-29T00:00:00"/>
    <s v="HEATER"/>
    <s v="HTR03"/>
    <s v="Hoàng Anh"/>
    <s v="B272-400-AS-040-HB-064"/>
    <s v="040-HB-064"/>
    <s v="RADIANT HEADER BOX"/>
    <n v="24"/>
    <n v="0"/>
    <n v="0.4"/>
    <s v="(3x37x37)"/>
    <m/>
    <m/>
    <m/>
    <m/>
    <m/>
    <m/>
    <m/>
    <m/>
    <m/>
    <m/>
    <m/>
    <m/>
    <m/>
    <n v="0"/>
    <n v="0.4"/>
    <m/>
    <m/>
    <n v="0"/>
    <m/>
    <m/>
    <n v="0"/>
    <m/>
    <m/>
    <n v="0"/>
    <m/>
    <m/>
    <n v="0"/>
    <m/>
    <m/>
    <m/>
    <n v="0"/>
    <m/>
    <m/>
    <n v="0"/>
    <s v="PAC"/>
    <m/>
  </r>
  <r>
    <n v="181"/>
    <x v="0"/>
    <s v="Shipment 1 400"/>
    <x v="0"/>
    <x v="2"/>
    <m/>
    <d v="2025-11-29T00:00:00"/>
    <s v="HEATER"/>
    <s v="HTR03"/>
    <s v="Hoàng Anh"/>
    <s v="B272-400-AS-040-HB-065"/>
    <s v="040-HB-065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2-24T00:00:00"/>
    <n v="1"/>
    <n v="202.5"/>
    <m/>
    <m/>
    <n v="0"/>
    <m/>
    <m/>
    <m/>
    <n v="0"/>
    <m/>
    <m/>
    <n v="0"/>
    <s v="PAC"/>
    <m/>
  </r>
  <r>
    <n v="182"/>
    <x v="0"/>
    <s v="Shipment 1 400"/>
    <x v="0"/>
    <x v="2"/>
    <m/>
    <d v="2025-11-29T00:00:00"/>
    <s v="HEATER"/>
    <s v="HTR03"/>
    <s v="Hoàng Anh"/>
    <s v="B272-400-AS-040-HB-066"/>
    <s v="040-HB-066"/>
    <s v="RADIANT HEADER BOX (1/2)"/>
    <n v="1"/>
    <n v="229.2"/>
    <n v="229.2"/>
    <s v="(2960x1245x490)"/>
    <m/>
    <m/>
    <m/>
    <m/>
    <m/>
    <m/>
    <m/>
    <m/>
    <m/>
    <m/>
    <m/>
    <m/>
    <m/>
    <n v="206.28"/>
    <n v="22.919999999999987"/>
    <m/>
    <m/>
    <n v="0"/>
    <d v="2026-01-23T00:00:00"/>
    <n v="1"/>
    <n v="229.2"/>
    <d v="2026-02-24T00:00:00"/>
    <n v="1"/>
    <n v="229.2"/>
    <m/>
    <m/>
    <n v="0"/>
    <m/>
    <m/>
    <m/>
    <n v="0"/>
    <m/>
    <m/>
    <n v="0"/>
    <s v="PAC"/>
    <m/>
  </r>
  <r>
    <n v="183"/>
    <x v="0"/>
    <s v="Shipment 1 400"/>
    <x v="0"/>
    <x v="2"/>
    <m/>
    <d v="2025-11-29T00:00:00"/>
    <s v="HEATER"/>
    <s v="HTR03"/>
    <s v="Hoàng Anh"/>
    <s v="B272-400-AS-040-HB-067"/>
    <s v="040-HB-067"/>
    <s v="RADIANT HEADER BOX (1/2)"/>
    <n v="1"/>
    <n v="202.5"/>
    <n v="202.5"/>
    <s v="(2580x1245x490)"/>
    <m/>
    <m/>
    <m/>
    <m/>
    <m/>
    <m/>
    <m/>
    <m/>
    <m/>
    <m/>
    <m/>
    <m/>
    <m/>
    <n v="182.25"/>
    <n v="20.25"/>
    <m/>
    <m/>
    <n v="0"/>
    <d v="2026-01-23T00:00:00"/>
    <n v="1"/>
    <n v="202.5"/>
    <d v="2026-02-24T00:00:00"/>
    <n v="1"/>
    <n v="202.5"/>
    <m/>
    <m/>
    <n v="0"/>
    <m/>
    <m/>
    <m/>
    <n v="0"/>
    <m/>
    <m/>
    <n v="0"/>
    <s v="PAC"/>
    <m/>
  </r>
  <r>
    <n v="184"/>
    <x v="0"/>
    <s v="Shipment 1 400"/>
    <x v="0"/>
    <x v="2"/>
    <m/>
    <d v="2025-11-29T00:00:00"/>
    <s v="HEATER"/>
    <s v="HTR03"/>
    <s v="Hoàng Anh"/>
    <s v="B272-400-AS-040-HB-068"/>
    <s v="040-HB-068(1/2)"/>
    <s v="RADIANT HEADER BOX"/>
    <n v="1"/>
    <n v="0.2"/>
    <n v="0.2"/>
    <s v="(988x988x13)"/>
    <m/>
    <m/>
    <m/>
    <m/>
    <m/>
    <m/>
    <m/>
    <m/>
    <m/>
    <m/>
    <m/>
    <m/>
    <m/>
    <n v="0.18000000000000002"/>
    <n v="1.999999999999999E-2"/>
    <m/>
    <m/>
    <n v="0"/>
    <d v="2026-01-23T00:00:00"/>
    <n v="1"/>
    <n v="0.2"/>
    <d v="2026-02-24T00:00:00"/>
    <n v="1"/>
    <n v="0.2"/>
    <m/>
    <m/>
    <n v="0"/>
    <m/>
    <m/>
    <m/>
    <n v="0"/>
    <m/>
    <m/>
    <n v="0"/>
    <s v="PAC"/>
    <m/>
  </r>
  <r>
    <n v="185"/>
    <x v="0"/>
    <s v="Shipment 1 400"/>
    <x v="0"/>
    <x v="2"/>
    <m/>
    <d v="2025-11-29T00:00:00"/>
    <s v="HEATER"/>
    <s v="HTR03"/>
    <s v="Hoàng Anh"/>
    <s v="B272-400-AS-040-HB-068"/>
    <s v="040-HB-068(2/2)"/>
    <s v="RADIANT HEADER BOX"/>
    <n v="1"/>
    <n v="0.2"/>
    <n v="0.2"/>
    <s v="(988x988x13)"/>
    <m/>
    <m/>
    <m/>
    <m/>
    <m/>
    <m/>
    <m/>
    <m/>
    <m/>
    <m/>
    <m/>
    <m/>
    <m/>
    <n v="0.18000000000000002"/>
    <n v="1.999999999999999E-2"/>
    <m/>
    <m/>
    <n v="0"/>
    <d v="2026-01-23T00:00:00"/>
    <n v="1"/>
    <n v="0.2"/>
    <d v="2026-02-24T00:00:00"/>
    <n v="1"/>
    <n v="0.2"/>
    <m/>
    <m/>
    <n v="0"/>
    <m/>
    <m/>
    <m/>
    <n v="0"/>
    <m/>
    <m/>
    <n v="0"/>
    <s v="PAC"/>
    <m/>
  </r>
  <r>
    <n v="186"/>
    <x v="0"/>
    <s v="Shipment 1 400"/>
    <x v="0"/>
    <x v="2"/>
    <m/>
    <d v="2025-11-29T00:00:00"/>
    <s v="HEATER"/>
    <s v="HTR03"/>
    <s v="Hoàng Anh"/>
    <s v="B272-400-AS-040-HB-069"/>
    <s v="040-HB-069"/>
    <s v="RADIANT HEADER BOX"/>
    <n v="152"/>
    <n v="0"/>
    <n v="0.5"/>
    <s v="(29x11x10)"/>
    <m/>
    <m/>
    <m/>
    <m/>
    <m/>
    <m/>
    <m/>
    <m/>
    <m/>
    <m/>
    <m/>
    <m/>
    <m/>
    <n v="0"/>
    <n v="0.5"/>
    <m/>
    <m/>
    <n v="0"/>
    <m/>
    <m/>
    <n v="0"/>
    <m/>
    <m/>
    <n v="0"/>
    <m/>
    <m/>
    <n v="0"/>
    <m/>
    <m/>
    <m/>
    <n v="0"/>
    <m/>
    <m/>
    <n v="0"/>
    <s v="PAC"/>
    <m/>
  </r>
  <r>
    <n v="187"/>
    <x v="0"/>
    <s v="Shipment 1 400"/>
    <x v="0"/>
    <x v="2"/>
    <m/>
    <d v="2025-11-29T00:00:00"/>
    <s v="HEATER"/>
    <s v="HTR03"/>
    <s v="Hoàng Anh"/>
    <s v="B272-400-AS-040-HB-070"/>
    <s v="040-HB-070(1/2)"/>
    <s v="RADIANT HEADER BOX"/>
    <n v="1"/>
    <n v="20.100000000000001"/>
    <n v="20.100000000000001"/>
    <s v="(843x843x350)"/>
    <m/>
    <m/>
    <m/>
    <m/>
    <m/>
    <m/>
    <m/>
    <m/>
    <m/>
    <m/>
    <m/>
    <m/>
    <m/>
    <n v="18.090000000000003"/>
    <n v="2.009999999999998"/>
    <m/>
    <m/>
    <n v="0"/>
    <d v="2026-01-23T00:00:00"/>
    <n v="1"/>
    <n v="20.100000000000001"/>
    <d v="2026-02-24T00:00:00"/>
    <n v="1"/>
    <n v="20.100000000000001"/>
    <m/>
    <m/>
    <n v="0"/>
    <m/>
    <m/>
    <m/>
    <n v="0"/>
    <m/>
    <m/>
    <n v="0"/>
    <s v="PAC"/>
    <m/>
  </r>
  <r>
    <n v="188"/>
    <x v="0"/>
    <s v="Shipment 1 400"/>
    <x v="0"/>
    <x v="2"/>
    <m/>
    <d v="2025-11-29T00:00:00"/>
    <s v="HEATER"/>
    <s v="HTR03"/>
    <s v="Hoàng Anh"/>
    <s v="B272-400-AS-040-HB-070"/>
    <s v="040-HB-070(2/2)"/>
    <s v="RADIANT HEADER BOX"/>
    <n v="1"/>
    <n v="20.100000000000001"/>
    <n v="20.100000000000001"/>
    <s v="(843x843x350)"/>
    <m/>
    <m/>
    <m/>
    <m/>
    <m/>
    <m/>
    <m/>
    <m/>
    <m/>
    <m/>
    <m/>
    <m/>
    <m/>
    <n v="18.090000000000003"/>
    <n v="2.009999999999998"/>
    <m/>
    <m/>
    <n v="0"/>
    <d v="2026-01-23T00:00:00"/>
    <n v="1"/>
    <n v="20.100000000000001"/>
    <d v="2026-02-24T00:00:00"/>
    <n v="1"/>
    <n v="20.100000000000001"/>
    <m/>
    <m/>
    <n v="0"/>
    <m/>
    <m/>
    <m/>
    <n v="0"/>
    <m/>
    <m/>
    <n v="0"/>
    <s v="PAC"/>
    <m/>
  </r>
  <r>
    <n v="189"/>
    <x v="0"/>
    <s v="Shipment 1 400"/>
    <x v="0"/>
    <x v="2"/>
    <m/>
    <d v="2025-11-29T00:00:00"/>
    <s v="HEATER"/>
    <s v="HTR03"/>
    <s v="Hoàng Anh"/>
    <s v="B272-400-AS-040-HB-071"/>
    <s v="040-HB-071(1/2)"/>
    <s v="RADIANT HEADER BOX"/>
    <n v="1"/>
    <n v="18.600000000000001"/>
    <n v="18.600000000000001"/>
    <s v="(824x824x350)"/>
    <m/>
    <m/>
    <m/>
    <m/>
    <m/>
    <m/>
    <m/>
    <m/>
    <m/>
    <m/>
    <m/>
    <m/>
    <m/>
    <n v="16.740000000000002"/>
    <n v="1.8599999999999994"/>
    <m/>
    <m/>
    <n v="0"/>
    <d v="2026-01-23T00:00:00"/>
    <n v="1"/>
    <n v="18.600000000000001"/>
    <d v="2026-02-24T00:00:00"/>
    <n v="1"/>
    <n v="18.600000000000001"/>
    <m/>
    <m/>
    <n v="0"/>
    <m/>
    <m/>
    <m/>
    <n v="0"/>
    <m/>
    <m/>
    <n v="0"/>
    <s v="PAC"/>
    <m/>
  </r>
  <r>
    <n v="190"/>
    <x v="0"/>
    <s v="Shipment 1 400"/>
    <x v="0"/>
    <x v="2"/>
    <m/>
    <d v="2025-11-29T00:00:00"/>
    <s v="HEATER"/>
    <s v="HTR03"/>
    <s v="Hoàng Anh"/>
    <s v="B272-400-AS-040-HB-071"/>
    <s v="040-HB-071(2/2)"/>
    <s v="RADIANT HEADER BOX"/>
    <n v="1"/>
    <n v="18.600000000000001"/>
    <n v="18.600000000000001"/>
    <s v="(824x824x350)"/>
    <m/>
    <m/>
    <m/>
    <m/>
    <m/>
    <m/>
    <m/>
    <m/>
    <m/>
    <m/>
    <m/>
    <m/>
    <m/>
    <n v="16.740000000000002"/>
    <n v="1.8599999999999994"/>
    <m/>
    <m/>
    <n v="0"/>
    <d v="2026-01-23T00:00:00"/>
    <n v="1"/>
    <n v="18.600000000000001"/>
    <d v="2026-02-24T00:00:00"/>
    <n v="1"/>
    <n v="18.600000000000001"/>
    <m/>
    <m/>
    <n v="0"/>
    <m/>
    <m/>
    <m/>
    <n v="0"/>
    <m/>
    <m/>
    <n v="0"/>
    <s v="PAC"/>
    <m/>
  </r>
  <r>
    <n v="191"/>
    <x v="0"/>
    <s v="Shipment 2 400"/>
    <x v="2"/>
    <x v="2"/>
    <m/>
    <d v="2025-11-29T00:00:00"/>
    <s v="HEATER"/>
    <s v="HTR03"/>
    <s v="Mr Quyền"/>
    <s v="B272-400-AS-120-CV-001"/>
    <s v="120-CV-001(1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2"/>
    <x v="0"/>
    <s v="Shipment 2 400"/>
    <x v="2"/>
    <x v="2"/>
    <m/>
    <d v="2025-11-29T00:00:00"/>
    <s v="HEATER"/>
    <s v="HTR03"/>
    <s v="Mr Quyền"/>
    <s v="B272-400-AS-120-CV-001"/>
    <s v="120-CV-001(2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3"/>
    <x v="0"/>
    <s v="Shipment 2 400"/>
    <x v="2"/>
    <x v="2"/>
    <m/>
    <d v="2025-11-29T00:00:00"/>
    <s v="HEATER"/>
    <s v="HTR03"/>
    <s v="Mr Quyền"/>
    <s v="B272-400-AS-120-CV-001"/>
    <s v="120-CV-001(3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4"/>
    <x v="0"/>
    <s v="Shipment 2 400"/>
    <x v="2"/>
    <x v="2"/>
    <m/>
    <d v="2025-11-29T00:00:00"/>
    <s v="HEATER"/>
    <s v="HTR03"/>
    <s v="Mr Quyền"/>
    <s v="B272-400-AS-120-CV-001"/>
    <s v="120-CV-001(4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5"/>
    <x v="0"/>
    <s v="Shipment 2 400"/>
    <x v="2"/>
    <x v="2"/>
    <m/>
    <d v="2025-11-29T00:00:00"/>
    <s v="HEATER"/>
    <s v="HTR03"/>
    <s v="Mr Quyền"/>
    <s v="B272-400-AS-120-CV-001"/>
    <s v="120-CV-001(5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6"/>
    <x v="0"/>
    <s v="Shipment 2 400"/>
    <x v="2"/>
    <x v="2"/>
    <m/>
    <d v="2025-11-29T00:00:00"/>
    <s v="HEATER"/>
    <s v="HTR03"/>
    <s v="Mr Quyền"/>
    <s v="B272-400-AS-120-CV-001"/>
    <s v="120-CV-001(6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1-26T00:00:00"/>
    <n v="1"/>
    <n v="2.63"/>
    <d v="2025-12-12T00:00:00"/>
    <n v="1"/>
    <n v="2.63"/>
    <m/>
    <m/>
    <n v="0"/>
    <m/>
    <m/>
    <m/>
    <n v="0"/>
    <m/>
    <m/>
    <n v="0"/>
    <s v="PAC"/>
    <m/>
  </r>
  <r>
    <n v="197"/>
    <x v="0"/>
    <s v="Shipment 2 400"/>
    <x v="2"/>
    <x v="2"/>
    <m/>
    <d v="2025-11-29T00:00:00"/>
    <s v="HEATER"/>
    <s v="HTR03"/>
    <s v="Mr Quyền"/>
    <s v="B272-400-AS-120-CV-001"/>
    <s v="120-CV-001(7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2-05T00:00:00"/>
    <n v="1"/>
    <n v="2.63"/>
    <d v="2025-12-12T00:00:00"/>
    <n v="1"/>
    <n v="2.63"/>
    <m/>
    <m/>
    <n v="0"/>
    <m/>
    <m/>
    <m/>
    <n v="0"/>
    <m/>
    <m/>
    <n v="0"/>
    <s v="PAC"/>
    <m/>
  </r>
  <r>
    <n v="198"/>
    <x v="0"/>
    <s v="Shipment 2 400"/>
    <x v="2"/>
    <x v="2"/>
    <m/>
    <d v="2025-11-29T00:00:00"/>
    <s v="HEATER"/>
    <s v="HTR03"/>
    <s v="Mr Quyền"/>
    <s v="B272-400-AS-120-CV-001"/>
    <s v="120-CV-001(8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2-05T00:00:00"/>
    <n v="1"/>
    <n v="2.63"/>
    <d v="2025-12-12T00:00:00"/>
    <n v="1"/>
    <n v="2.63"/>
    <m/>
    <m/>
    <n v="0"/>
    <m/>
    <m/>
    <m/>
    <n v="0"/>
    <m/>
    <m/>
    <n v="0"/>
    <s v="PAC"/>
    <m/>
  </r>
  <r>
    <n v="199"/>
    <x v="0"/>
    <s v="Shipment 2 400"/>
    <x v="2"/>
    <x v="2"/>
    <m/>
    <d v="2025-11-29T00:00:00"/>
    <s v="HEATER"/>
    <s v="HTR03"/>
    <s v="Mr Quyền"/>
    <s v="B272-400-AS-120-CV-001"/>
    <s v="120-CV-001(9/16)"/>
    <s v="CONVECTION PANNELS"/>
    <n v="1"/>
    <n v="2.63"/>
    <n v="2.63"/>
    <s v="(140x100x100)"/>
    <m/>
    <m/>
    <m/>
    <m/>
    <m/>
    <m/>
    <m/>
    <m/>
    <m/>
    <m/>
    <m/>
    <m/>
    <m/>
    <n v="2.367"/>
    <n v="0.2629999999999999"/>
    <m/>
    <m/>
    <n v="0"/>
    <d v="2025-12-05T00:00:00"/>
    <n v="1"/>
    <n v="2.63"/>
    <d v="2025-12-12T00:00:00"/>
    <n v="1"/>
    <n v="2.63"/>
    <m/>
    <m/>
    <n v="0"/>
    <m/>
    <m/>
    <m/>
    <n v="0"/>
    <m/>
    <m/>
    <n v="0"/>
    <s v="PAC"/>
    <m/>
  </r>
  <r>
    <n v="200"/>
    <x v="0"/>
    <s v="Shipment 2 400"/>
    <x v="2"/>
    <x v="2"/>
    <m/>
    <d v="2025-11-29T00:00:00"/>
    <s v="HEATER"/>
    <s v="HTR03"/>
    <s v="Mr Quyền"/>
    <s v="B272-400-AS-120-CV-001"/>
    <s v="120-CV-001(10/16)"/>
    <s v="CONVECTION PANNELS"/>
    <n v="1"/>
    <n v="2.63"/>
    <n v="2.63"/>
    <s v="(140x100x100)"/>
    <m/>
    <m/>
    <m/>
    <m/>
    <m/>
    <m/>
    <m/>
    <m/>
    <m/>
    <m/>
    <m/>
    <m/>
    <m/>
    <n v="1.3149999999999999"/>
    <n v="1.3149999999999999"/>
    <m/>
    <m/>
    <n v="0"/>
    <d v="2025-12-05T00:00:00"/>
    <n v="1"/>
    <n v="2.63"/>
    <m/>
    <m/>
    <n v="0"/>
    <m/>
    <m/>
    <n v="0"/>
    <m/>
    <m/>
    <m/>
    <n v="0"/>
    <m/>
    <m/>
    <n v="0"/>
    <s v="PAC"/>
    <m/>
  </r>
  <r>
    <n v="201"/>
    <x v="0"/>
    <s v="Shipment 2 400"/>
    <x v="2"/>
    <x v="2"/>
    <m/>
    <d v="2025-11-29T00:00:00"/>
    <s v="HEATER"/>
    <s v="HTR03"/>
    <s v="Mr Quyền"/>
    <s v="B272-400-AS-120-CV-001"/>
    <s v="120-CV-001(11/16)"/>
    <s v="CONVECTION PANNELS"/>
    <n v="1"/>
    <n v="2.63"/>
    <n v="2.63"/>
    <s v="(140x100x100)"/>
    <m/>
    <m/>
    <m/>
    <m/>
    <m/>
    <m/>
    <m/>
    <m/>
    <m/>
    <m/>
    <m/>
    <m/>
    <m/>
    <n v="1.3149999999999999"/>
    <n v="1.3149999999999999"/>
    <m/>
    <m/>
    <n v="0"/>
    <d v="2025-12-05T00:00:00"/>
    <n v="1"/>
    <n v="2.63"/>
    <m/>
    <m/>
    <n v="0"/>
    <m/>
    <m/>
    <n v="0"/>
    <m/>
    <m/>
    <m/>
    <n v="0"/>
    <m/>
    <m/>
    <n v="0"/>
    <s v="PAC"/>
    <m/>
  </r>
  <r>
    <n v="202"/>
    <x v="0"/>
    <s v="Shipment 2 400"/>
    <x v="2"/>
    <x v="2"/>
    <m/>
    <d v="2025-11-29T00:00:00"/>
    <s v="HEATER"/>
    <s v="HTR03"/>
    <s v="Mr Quyền"/>
    <s v="B272-400-AS-120-CV-001"/>
    <s v="120-CV-001(12/16)"/>
    <s v="CONVECTION PANNELS"/>
    <n v="1"/>
    <n v="2.63"/>
    <n v="2.63"/>
    <s v="(140x100x100)"/>
    <m/>
    <m/>
    <m/>
    <m/>
    <m/>
    <m/>
    <m/>
    <m/>
    <m/>
    <m/>
    <m/>
    <m/>
    <m/>
    <n v="1.3149999999999999"/>
    <n v="1.3149999999999999"/>
    <m/>
    <m/>
    <n v="0"/>
    <d v="2025-12-05T00:00:00"/>
    <n v="1"/>
    <n v="2.63"/>
    <m/>
    <m/>
    <n v="0"/>
    <m/>
    <m/>
    <n v="0"/>
    <m/>
    <m/>
    <m/>
    <n v="0"/>
    <m/>
    <m/>
    <n v="0"/>
    <s v="PAC"/>
    <m/>
  </r>
  <r>
    <n v="203"/>
    <x v="0"/>
    <s v="Shipment 2 400"/>
    <x v="2"/>
    <x v="2"/>
    <m/>
    <d v="2025-11-29T00:00:00"/>
    <s v="HEATER"/>
    <s v="HTR03"/>
    <s v="Mr Quyền"/>
    <s v="B272-400-AS-120-CV-001"/>
    <s v="120-CV-001(13/16)"/>
    <s v="CONVECTION PANNELS"/>
    <n v="1"/>
    <n v="2.63"/>
    <n v="2.63"/>
    <s v="(140x100x100)"/>
    <m/>
    <m/>
    <m/>
    <m/>
    <m/>
    <m/>
    <m/>
    <m/>
    <m/>
    <m/>
    <m/>
    <m/>
    <m/>
    <n v="1.3149999999999999"/>
    <n v="1.3149999999999999"/>
    <m/>
    <m/>
    <n v="0"/>
    <d v="2025-12-05T00:00:00"/>
    <n v="1"/>
    <n v="2.63"/>
    <m/>
    <m/>
    <n v="0"/>
    <m/>
    <m/>
    <n v="0"/>
    <m/>
    <m/>
    <m/>
    <n v="0"/>
    <m/>
    <m/>
    <n v="0"/>
    <s v="PAC"/>
    <m/>
  </r>
  <r>
    <n v="204"/>
    <x v="0"/>
    <s v="Shipment 2 400"/>
    <x v="2"/>
    <x v="2"/>
    <m/>
    <d v="2025-11-29T00:00:00"/>
    <s v="HEATER"/>
    <s v="HTR03"/>
    <s v="Mr Quyền"/>
    <s v="B272-400-AS-120-CV-001"/>
    <s v="120-CV-001(14/16)"/>
    <s v="CONVECTION PANNELS"/>
    <n v="1"/>
    <n v="2.63"/>
    <n v="2.63"/>
    <s v="(140x100x100)"/>
    <m/>
    <m/>
    <m/>
    <m/>
    <m/>
    <m/>
    <m/>
    <m/>
    <m/>
    <m/>
    <m/>
    <m/>
    <m/>
    <n v="1.3149999999999999"/>
    <n v="1.3149999999999999"/>
    <m/>
    <m/>
    <n v="0"/>
    <d v="2025-12-05T00:00:00"/>
    <n v="1"/>
    <n v="2.63"/>
    <m/>
    <m/>
    <n v="0"/>
    <m/>
    <m/>
    <n v="0"/>
    <m/>
    <m/>
    <m/>
    <n v="0"/>
    <m/>
    <m/>
    <n v="0"/>
    <s v="PAC"/>
    <m/>
  </r>
  <r>
    <n v="205"/>
    <x v="0"/>
    <s v="Shipment 2 400"/>
    <x v="2"/>
    <x v="2"/>
    <m/>
    <d v="2025-11-29T00:00:00"/>
    <s v="HEATER"/>
    <s v="HTR03"/>
    <s v="Mr Quyền"/>
    <s v="B272-400-AS-120-CV-001"/>
    <s v="120-CV-001(15/16)"/>
    <s v="CONVECTION PANNELS"/>
    <n v="1"/>
    <n v="2.63"/>
    <n v="2.63"/>
    <s v="(140x100x100)"/>
    <m/>
    <m/>
    <m/>
    <m/>
    <m/>
    <m/>
    <m/>
    <m/>
    <m/>
    <m/>
    <m/>
    <m/>
    <m/>
    <n v="0"/>
    <n v="2.63"/>
    <m/>
    <m/>
    <n v="0"/>
    <m/>
    <m/>
    <n v="0"/>
    <m/>
    <m/>
    <n v="0"/>
    <m/>
    <m/>
    <n v="0"/>
    <m/>
    <m/>
    <m/>
    <n v="0"/>
    <m/>
    <m/>
    <n v="0"/>
    <s v="PAC"/>
    <m/>
  </r>
  <r>
    <n v="206"/>
    <x v="0"/>
    <s v="Shipment 2 400"/>
    <x v="2"/>
    <x v="2"/>
    <m/>
    <d v="2025-11-29T00:00:00"/>
    <s v="HEATER"/>
    <s v="HTR03"/>
    <s v="Mr Quyền"/>
    <s v="B272-400-AS-120-CV-001"/>
    <s v="120-CV-001(16/16)"/>
    <s v="CONVECTION PANNELS"/>
    <n v="1"/>
    <n v="2.63"/>
    <n v="2.63"/>
    <s v="(140x100x100)"/>
    <m/>
    <m/>
    <m/>
    <m/>
    <m/>
    <m/>
    <m/>
    <m/>
    <m/>
    <m/>
    <m/>
    <m/>
    <m/>
    <n v="0"/>
    <n v="2.63"/>
    <m/>
    <m/>
    <n v="0"/>
    <m/>
    <m/>
    <n v="0"/>
    <m/>
    <m/>
    <n v="0"/>
    <m/>
    <m/>
    <n v="0"/>
    <m/>
    <m/>
    <m/>
    <n v="0"/>
    <m/>
    <m/>
    <n v="0"/>
    <s v="PAC"/>
    <m/>
  </r>
  <r>
    <n v="207"/>
    <x v="0"/>
    <s v="Shipment 2 400"/>
    <x v="2"/>
    <x v="2"/>
    <m/>
    <d v="2025-11-29T00:00:00"/>
    <s v="HEATER"/>
    <s v="HTR03"/>
    <s v="Mr Quyền"/>
    <s v="B272-400-AS-120-CV-002"/>
    <s v="120-CV-002(1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08"/>
    <x v="0"/>
    <s v="Shipment 2 400"/>
    <x v="2"/>
    <x v="2"/>
    <m/>
    <d v="2025-11-29T00:00:00"/>
    <s v="HEATER"/>
    <s v="HTR03"/>
    <s v="Mr Quyền"/>
    <s v="B272-400-AS-120-CV-002"/>
    <s v="120-CV-002(2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09"/>
    <x v="0"/>
    <s v="Shipment 2 400"/>
    <x v="2"/>
    <x v="2"/>
    <m/>
    <d v="2025-11-29T00:00:00"/>
    <s v="HEATER"/>
    <s v="HTR03"/>
    <s v="Mr Quyền"/>
    <s v="B272-400-AS-120-CV-002"/>
    <s v="120-CV-002(3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0"/>
    <x v="0"/>
    <s v="Shipment 2 400"/>
    <x v="2"/>
    <x v="2"/>
    <m/>
    <d v="2025-11-29T00:00:00"/>
    <s v="HEATER"/>
    <s v="HTR03"/>
    <s v="Mr Quyền"/>
    <s v="B272-400-AS-120-CV-002"/>
    <s v="120-CV-002(4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1"/>
    <x v="0"/>
    <s v="Shipment 2 400"/>
    <x v="2"/>
    <x v="2"/>
    <m/>
    <d v="2025-11-29T00:00:00"/>
    <s v="HEATER"/>
    <s v="HTR03"/>
    <s v="Mr Quyền"/>
    <s v="B272-400-AS-120-CV-002"/>
    <s v="120-CV-002(5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2"/>
    <x v="0"/>
    <s v="Shipment 2 400"/>
    <x v="2"/>
    <x v="2"/>
    <m/>
    <d v="2025-11-29T00:00:00"/>
    <s v="HEATER"/>
    <s v="HTR03"/>
    <s v="Mr Quyền"/>
    <s v="B272-400-AS-120-CV-002"/>
    <s v="120-CV-002(6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3"/>
    <x v="0"/>
    <s v="Shipment 2 400"/>
    <x v="2"/>
    <x v="2"/>
    <m/>
    <d v="2025-11-29T00:00:00"/>
    <s v="HEATER"/>
    <s v="HTR03"/>
    <s v="Mr Quyền"/>
    <s v="B272-400-AS-120-CV-002"/>
    <s v="120-CV-002(7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4"/>
    <x v="0"/>
    <s v="Shipment 2 400"/>
    <x v="2"/>
    <x v="2"/>
    <m/>
    <d v="2025-11-29T00:00:00"/>
    <s v="HEATER"/>
    <s v="HTR03"/>
    <s v="Mr Quyền"/>
    <s v="B272-400-AS-120-CV-002"/>
    <s v="120-CV-002(8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5"/>
    <x v="0"/>
    <s v="Shipment 2 400"/>
    <x v="2"/>
    <x v="2"/>
    <m/>
    <d v="2025-11-29T00:00:00"/>
    <s v="HEATER"/>
    <s v="HTR03"/>
    <s v="Mr Quyền"/>
    <s v="B272-400-AS-120-CV-002"/>
    <s v="120-CV-002(9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6"/>
    <x v="0"/>
    <s v="Shipment 2 400"/>
    <x v="2"/>
    <x v="2"/>
    <m/>
    <d v="2025-11-29T00:00:00"/>
    <s v="HEATER"/>
    <s v="HTR03"/>
    <s v="Mr Quyền"/>
    <s v="B272-400-AS-120-CV-002"/>
    <s v="120-CV-002(10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7"/>
    <x v="0"/>
    <s v="Shipment 2 400"/>
    <x v="2"/>
    <x v="2"/>
    <m/>
    <d v="2025-11-29T00:00:00"/>
    <s v="HEATER"/>
    <s v="HTR03"/>
    <s v="Mr Quyền"/>
    <s v="B272-400-AS-120-CV-002"/>
    <s v="120-CV-002(11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8"/>
    <x v="0"/>
    <s v="Shipment 2 400"/>
    <x v="2"/>
    <x v="2"/>
    <m/>
    <d v="2025-11-29T00:00:00"/>
    <s v="HEATER"/>
    <s v="HTR03"/>
    <s v="Mr Quyền"/>
    <s v="B272-400-AS-120-CV-002"/>
    <s v="120-CV-002(12/1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19"/>
    <x v="0"/>
    <s v="Shipment 2 400"/>
    <x v="2"/>
    <x v="2"/>
    <m/>
    <d v="2025-11-29T00:00:00"/>
    <s v="HEATER"/>
    <s v="HTR03"/>
    <s v="Mr Quyền"/>
    <s v="B272-400-AS-120-CV-003"/>
    <s v="120-CV-003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0"/>
    <x v="0"/>
    <s v="Shipment 2 400"/>
    <x v="2"/>
    <x v="2"/>
    <m/>
    <d v="2025-11-29T00:00:00"/>
    <s v="HEATER"/>
    <s v="HTR03"/>
    <s v="Mr Quyền"/>
    <s v="B272-400-AS-120-CV-004"/>
    <s v="120-CV-004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1"/>
    <x v="0"/>
    <s v="Shipment 2 400"/>
    <x v="2"/>
    <x v="2"/>
    <m/>
    <d v="2025-11-29T00:00:00"/>
    <s v="HEATER"/>
    <s v="HTR03"/>
    <s v="Mr Quyền"/>
    <s v="B272-400-AS-120-CV-005"/>
    <s v="120-CV-005"/>
    <s v="CONVECTION PANNELS"/>
    <n v="1"/>
    <n v="7.68"/>
    <n v="7.68"/>
    <s v="(440x100x100)"/>
    <m/>
    <m/>
    <m/>
    <m/>
    <m/>
    <m/>
    <m/>
    <m/>
    <m/>
    <m/>
    <m/>
    <m/>
    <m/>
    <n v="0"/>
    <n v="7.68"/>
    <m/>
    <m/>
    <n v="0"/>
    <m/>
    <m/>
    <n v="0"/>
    <m/>
    <m/>
    <n v="0"/>
    <m/>
    <m/>
    <n v="0"/>
    <m/>
    <m/>
    <m/>
    <n v="0"/>
    <m/>
    <m/>
    <n v="0"/>
    <s v="PAC"/>
    <m/>
  </r>
  <r>
    <n v="222"/>
    <x v="0"/>
    <s v="Shipment 2 400"/>
    <x v="2"/>
    <x v="2"/>
    <m/>
    <d v="2025-11-29T00:00:00"/>
    <s v="HEATER"/>
    <s v="HTR03"/>
    <s v="Mr Quyền"/>
    <s v="B272-400-AS-120-CV-006"/>
    <s v="120-CV-006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3"/>
    <x v="0"/>
    <s v="Shipment 2 400"/>
    <x v="2"/>
    <x v="2"/>
    <m/>
    <d v="2025-11-29T00:00:00"/>
    <s v="HEATER"/>
    <s v="HTR03"/>
    <s v="Mr Quyền"/>
    <s v="B272-400-AS-120-CV-007"/>
    <s v="120-CV-007(1/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4"/>
    <x v="0"/>
    <s v="Shipment 2 400"/>
    <x v="2"/>
    <x v="2"/>
    <m/>
    <d v="2025-11-29T00:00:00"/>
    <s v="HEATER"/>
    <s v="HTR03"/>
    <s v="Mr Quyền"/>
    <s v="B272-400-AS-120-CV-007"/>
    <s v="120-CV-007(2/2)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5"/>
    <x v="0"/>
    <s v="Shipment 2 400"/>
    <x v="2"/>
    <x v="2"/>
    <m/>
    <d v="2025-11-29T00:00:00"/>
    <s v="HEATER"/>
    <s v="HTR03"/>
    <s v="Mr Quyền"/>
    <s v="B272-400-AS-120-CV-008"/>
    <s v="120-CV-008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6"/>
    <x v="0"/>
    <s v="Shipment 2 400"/>
    <x v="2"/>
    <x v="2"/>
    <m/>
    <d v="2025-11-29T00:00:00"/>
    <s v="HEATER"/>
    <s v="HTR03"/>
    <s v="Mr Quyền"/>
    <s v="B272-400-AS-120-CV-009"/>
    <s v="120-CV-009"/>
    <s v="CONVECTION PANNELS"/>
    <n v="1"/>
    <n v="7.67"/>
    <n v="7.67"/>
    <s v="(440x100x100)"/>
    <m/>
    <m/>
    <m/>
    <m/>
    <m/>
    <m/>
    <m/>
    <m/>
    <m/>
    <m/>
    <m/>
    <m/>
    <m/>
    <n v="0"/>
    <n v="7.67"/>
    <m/>
    <m/>
    <n v="0"/>
    <m/>
    <m/>
    <n v="0"/>
    <m/>
    <m/>
    <n v="0"/>
    <m/>
    <m/>
    <n v="0"/>
    <m/>
    <m/>
    <m/>
    <n v="0"/>
    <m/>
    <m/>
    <n v="0"/>
    <s v="PAC"/>
    <m/>
  </r>
  <r>
    <n v="227"/>
    <x v="0"/>
    <s v="Shipment 2 400"/>
    <x v="2"/>
    <x v="2"/>
    <m/>
    <d v="2025-11-29T00:00:00"/>
    <s v="HEATER"/>
    <s v="HTR03"/>
    <s v="Mr Quyền"/>
    <s v="B272-400-AS-120-CV-010"/>
    <s v="120-CV-010"/>
    <s v="CONVECTION PANNELS (1/8)"/>
    <n v="1"/>
    <n v="4765.33"/>
    <n v="4765.33"/>
    <s v="(9600x1630x2460)"/>
    <m/>
    <m/>
    <m/>
    <m/>
    <m/>
    <m/>
    <m/>
    <m/>
    <m/>
    <m/>
    <m/>
    <m/>
    <m/>
    <n v="4765.3300000000008"/>
    <n v="0"/>
    <m/>
    <m/>
    <n v="0"/>
    <d v="2025-11-25T00:00:00"/>
    <n v="1"/>
    <n v="4765.33"/>
    <d v="2026-01-10T00:00:00"/>
    <n v="1"/>
    <n v="4765.33"/>
    <d v="2026-03-25T00:00:00"/>
    <n v="1"/>
    <n v="4765.33"/>
    <s v="B272-002"/>
    <d v="2026-03-25T00:00:00"/>
    <n v="1"/>
    <n v="4765.33"/>
    <d v="2026-03-28T00:00:00"/>
    <n v="1"/>
    <n v="4765.33"/>
    <s v="PAC"/>
    <s v="B272-004"/>
  </r>
  <r>
    <n v="228"/>
    <x v="0"/>
    <s v="Shipment 2 400"/>
    <x v="2"/>
    <x v="2"/>
    <m/>
    <d v="2025-11-29T00:00:00"/>
    <s v="HEATER"/>
    <s v="HTR03"/>
    <s v="Mr Quyền"/>
    <s v="B272-400-AS-120-CV-011"/>
    <s v="120-CV-011"/>
    <s v="CONVECTION PANNELS (1/7)"/>
    <n v="1"/>
    <n v="3826.56"/>
    <n v="3826.56"/>
    <s v="(9600x1450x2460)"/>
    <m/>
    <m/>
    <m/>
    <m/>
    <m/>
    <m/>
    <m/>
    <m/>
    <m/>
    <m/>
    <m/>
    <m/>
    <m/>
    <n v="3826.56"/>
    <n v="0"/>
    <m/>
    <m/>
    <n v="0"/>
    <d v="2025-12-06T00:00:00"/>
    <n v="1"/>
    <n v="3826.56"/>
    <d v="2026-01-17T00:00:00"/>
    <n v="1"/>
    <n v="3826.56"/>
    <d v="2026-03-27T00:00:00"/>
    <n v="1"/>
    <n v="3826.56"/>
    <s v="B272-004"/>
    <d v="2026-03-27T00:00:00"/>
    <n v="1"/>
    <n v="3826.56"/>
    <d v="2026-03-31T00:00:00"/>
    <n v="1"/>
    <n v="3826.56"/>
    <s v="PAC"/>
    <s v="B272-005"/>
  </r>
  <r>
    <n v="229"/>
    <x v="0"/>
    <s v="Shipment 2 400"/>
    <x v="2"/>
    <x v="2"/>
    <m/>
    <d v="2025-11-29T00:00:00"/>
    <s v="HEATER"/>
    <s v="HTR03"/>
    <s v="Mr Quyền"/>
    <s v="B272-400-AS-120-CV-012"/>
    <s v="120-CV-012"/>
    <s v="CONVECTION PANNELS (1/9)"/>
    <n v="1"/>
    <n v="5263.47"/>
    <n v="5263.47"/>
    <s v="(9600x1920x2460)"/>
    <m/>
    <m/>
    <m/>
    <m/>
    <m/>
    <m/>
    <m/>
    <m/>
    <m/>
    <m/>
    <m/>
    <m/>
    <m/>
    <n v="5263.47"/>
    <n v="0"/>
    <m/>
    <m/>
    <n v="0"/>
    <d v="2026-01-17T00:00:00"/>
    <n v="1"/>
    <n v="5263.47"/>
    <d v="2026-02-04T00:00:00"/>
    <n v="1"/>
    <n v="5263.47"/>
    <d v="2026-04-03T00:00:00"/>
    <n v="1"/>
    <n v="5263.47"/>
    <s v="B272-006"/>
    <d v="2026-04-03T00:00:00"/>
    <n v="1"/>
    <n v="5263.47"/>
    <d v="2026-04-07T00:00:00"/>
    <n v="1"/>
    <n v="5263.47"/>
    <s v="PAC"/>
    <s v="B272-007"/>
  </r>
  <r>
    <n v="230"/>
    <x v="0"/>
    <s v="Shipment 2 400"/>
    <x v="2"/>
    <x v="2"/>
    <m/>
    <d v="2025-11-29T00:00:00"/>
    <s v="HEATER"/>
    <s v="HTR03"/>
    <s v="Mr Quyền"/>
    <s v="B272-400-AS-130-ET-001"/>
    <s v="130-ET-001(1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1"/>
    <x v="0"/>
    <s v="Shipment 2 400"/>
    <x v="2"/>
    <x v="2"/>
    <m/>
    <d v="2025-11-29T00:00:00"/>
    <s v="HEATER"/>
    <s v="HTR03"/>
    <s v="Mr Quyền"/>
    <s v="B272-400-AS-130-ET-001"/>
    <s v="130-ET-001(2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2"/>
    <x v="0"/>
    <s v="Shipment 2 400"/>
    <x v="2"/>
    <x v="2"/>
    <m/>
    <d v="2025-11-29T00:00:00"/>
    <s v="HEATER"/>
    <s v="HTR03"/>
    <s v="Mr Quyền"/>
    <s v="B272-400-AS-130-ET-001"/>
    <s v="130-ET-001(3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3"/>
    <x v="0"/>
    <s v="Shipment 2 400"/>
    <x v="2"/>
    <x v="2"/>
    <m/>
    <d v="2025-11-29T00:00:00"/>
    <s v="HEATER"/>
    <s v="HTR03"/>
    <s v="Mr Quyền"/>
    <s v="B272-400-AS-130-ET-001"/>
    <s v="130-ET-001(4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4"/>
    <x v="0"/>
    <s v="Shipment 2 400"/>
    <x v="2"/>
    <x v="2"/>
    <m/>
    <d v="2025-11-29T00:00:00"/>
    <s v="HEATER"/>
    <s v="HTR03"/>
    <s v="Mr Quyền"/>
    <s v="B272-400-AS-130-ET-001"/>
    <s v="130-ET-001(5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5"/>
    <x v="0"/>
    <s v="Shipment 2 400"/>
    <x v="2"/>
    <x v="2"/>
    <m/>
    <d v="2025-11-29T00:00:00"/>
    <s v="HEATER"/>
    <s v="HTR03"/>
    <s v="Mr Quyền"/>
    <s v="B272-400-AS-130-ET-001"/>
    <s v="130-ET-001(6/6)"/>
    <s v="END TUBE SHEETS"/>
    <n v="1"/>
    <n v="0.32"/>
    <n v="0.32"/>
    <s v="(67x42x36)"/>
    <m/>
    <m/>
    <m/>
    <m/>
    <m/>
    <m/>
    <m/>
    <m/>
    <m/>
    <m/>
    <m/>
    <m/>
    <m/>
    <n v="0"/>
    <n v="0.32"/>
    <m/>
    <m/>
    <n v="0"/>
    <m/>
    <m/>
    <n v="0"/>
    <m/>
    <m/>
    <n v="0"/>
    <m/>
    <m/>
    <n v="0"/>
    <m/>
    <m/>
    <m/>
    <n v="0"/>
    <m/>
    <m/>
    <n v="0"/>
    <s v="PAC"/>
    <m/>
  </r>
  <r>
    <n v="236"/>
    <x v="0"/>
    <s v="Shipment 2 400"/>
    <x v="2"/>
    <x v="2"/>
    <m/>
    <d v="2025-11-29T00:00:00"/>
    <s v="HEATER"/>
    <s v="HTR03"/>
    <s v="Mr Quyền"/>
    <s v="B272-400-AS-130-ET-002"/>
    <s v="130-ET-002"/>
    <s v="END TUBE SHEETS"/>
    <n v="1"/>
    <n v="286.93"/>
    <n v="286.93"/>
    <s v="(1330x195x1590)"/>
    <m/>
    <m/>
    <m/>
    <m/>
    <m/>
    <m/>
    <m/>
    <m/>
    <m/>
    <m/>
    <m/>
    <m/>
    <m/>
    <n v="258.23700000000002"/>
    <n v="28.692999999999984"/>
    <m/>
    <m/>
    <n v="0"/>
    <d v="2025-11-26T00:00:00"/>
    <n v="1"/>
    <n v="286.93"/>
    <d v="2025-12-12T00:00:00"/>
    <n v="1"/>
    <n v="286.93"/>
    <m/>
    <m/>
    <n v="0"/>
    <m/>
    <m/>
    <m/>
    <n v="0"/>
    <m/>
    <m/>
    <n v="0"/>
    <s v="PAC"/>
    <m/>
  </r>
  <r>
    <n v="237"/>
    <x v="0"/>
    <s v="Shipment 2 400"/>
    <x v="2"/>
    <x v="2"/>
    <m/>
    <d v="2025-11-29T00:00:00"/>
    <s v="HEATER"/>
    <s v="HTR03"/>
    <s v="Mr Quyền"/>
    <s v="B272-400-AS-130-ET-003"/>
    <s v="130-ET-003"/>
    <s v="END TUBE SHEETS"/>
    <n v="1"/>
    <n v="286.93"/>
    <n v="286.93"/>
    <s v="(1330x195x1590)"/>
    <m/>
    <m/>
    <m/>
    <m/>
    <m/>
    <m/>
    <m/>
    <m/>
    <m/>
    <m/>
    <m/>
    <m/>
    <m/>
    <n v="258.23700000000002"/>
    <n v="28.692999999999984"/>
    <m/>
    <m/>
    <n v="0"/>
    <d v="2025-12-05T00:00:00"/>
    <n v="1"/>
    <n v="286.93"/>
    <d v="2025-12-12T00:00:00"/>
    <n v="1"/>
    <n v="286.93"/>
    <m/>
    <m/>
    <n v="0"/>
    <m/>
    <m/>
    <m/>
    <n v="0"/>
    <m/>
    <m/>
    <n v="0"/>
    <s v="PAC"/>
    <m/>
  </r>
  <r>
    <n v="238"/>
    <x v="0"/>
    <s v="Shipment 2 400"/>
    <x v="2"/>
    <x v="2"/>
    <m/>
    <d v="2025-11-29T00:00:00"/>
    <s v="HEATER"/>
    <s v="HTR03"/>
    <s v="Mr Quyền"/>
    <s v="B272-400-AS-130-ET-004"/>
    <s v="130-ET-004"/>
    <s v="END TUBE SHEETS"/>
    <n v="1"/>
    <n v="247.42"/>
    <n v="247.42"/>
    <s v="(1225x204x1590)"/>
    <m/>
    <m/>
    <m/>
    <m/>
    <m/>
    <m/>
    <m/>
    <m/>
    <m/>
    <m/>
    <m/>
    <m/>
    <m/>
    <n v="222.678"/>
    <n v="24.74199999999999"/>
    <m/>
    <m/>
    <n v="0"/>
    <d v="2025-12-05T00:00:00"/>
    <n v="1"/>
    <n v="247.42"/>
    <d v="2025-12-12T00:00:00"/>
    <n v="1"/>
    <n v="247.42"/>
    <m/>
    <m/>
    <n v="0"/>
    <m/>
    <m/>
    <m/>
    <n v="0"/>
    <m/>
    <m/>
    <n v="0"/>
    <s v="PAC"/>
    <m/>
  </r>
  <r>
    <n v="239"/>
    <x v="0"/>
    <s v="Shipment 2 400"/>
    <x v="2"/>
    <x v="2"/>
    <m/>
    <d v="2025-11-29T00:00:00"/>
    <s v="HEATER"/>
    <s v="HTR03"/>
    <s v="Mr Quyền"/>
    <s v="B272-400-AS-130-ET-005"/>
    <s v="130-ET-005"/>
    <s v="END TUBE SHEETS"/>
    <n v="1"/>
    <n v="247.31"/>
    <n v="247.31"/>
    <s v="(1225x204x1590)"/>
    <m/>
    <m/>
    <m/>
    <m/>
    <m/>
    <m/>
    <m/>
    <m/>
    <m/>
    <m/>
    <m/>
    <m/>
    <m/>
    <n v="222.57900000000001"/>
    <n v="24.730999999999995"/>
    <m/>
    <m/>
    <n v="0"/>
    <d v="2025-12-05T00:00:00"/>
    <n v="1"/>
    <n v="247.31"/>
    <d v="2026-02-05T00:00:00"/>
    <n v="1"/>
    <n v="247.31"/>
    <m/>
    <m/>
    <n v="0"/>
    <m/>
    <m/>
    <m/>
    <n v="0"/>
    <m/>
    <m/>
    <n v="0"/>
    <s v="PAC"/>
    <m/>
  </r>
  <r>
    <n v="240"/>
    <x v="0"/>
    <s v="Shipment 2 400"/>
    <x v="2"/>
    <x v="2"/>
    <m/>
    <d v="2025-11-29T00:00:00"/>
    <s v="HEATER"/>
    <s v="HTR03"/>
    <s v="Mr Quyền"/>
    <s v="B272-400-AS-130-ET-006"/>
    <s v="130-ET-006"/>
    <s v="END TUBE SHEETS"/>
    <n v="1"/>
    <n v="258.68"/>
    <n v="258.68"/>
    <s v="(1430x204x1590)"/>
    <m/>
    <m/>
    <m/>
    <m/>
    <m/>
    <m/>
    <m/>
    <m/>
    <m/>
    <m/>
    <m/>
    <m/>
    <m/>
    <n v="232.81200000000001"/>
    <n v="25.867999999999995"/>
    <m/>
    <m/>
    <n v="0"/>
    <d v="2025-12-13T00:00:00"/>
    <n v="1"/>
    <n v="258.68"/>
    <d v="2026-02-05T00:00:00"/>
    <n v="1"/>
    <n v="258.68"/>
    <m/>
    <m/>
    <n v="0"/>
    <m/>
    <m/>
    <m/>
    <n v="0"/>
    <m/>
    <m/>
    <n v="0"/>
    <s v="PAC"/>
    <m/>
  </r>
  <r>
    <n v="241"/>
    <x v="0"/>
    <s v="Shipment 2 400"/>
    <x v="2"/>
    <x v="2"/>
    <m/>
    <d v="2025-11-29T00:00:00"/>
    <s v="HEATER"/>
    <s v="HTR03"/>
    <s v="Mr Quyền"/>
    <s v="B272-400-AS-130-ET-007"/>
    <s v="130-ET-007"/>
    <s v="END TUBE SHEETS"/>
    <n v="1"/>
    <n v="258.54000000000002"/>
    <n v="258.54000000000002"/>
    <s v="(1430x204x1590)"/>
    <m/>
    <m/>
    <m/>
    <m/>
    <m/>
    <m/>
    <m/>
    <m/>
    <m/>
    <m/>
    <m/>
    <m/>
    <m/>
    <n v="232.68600000000004"/>
    <n v="25.853999999999985"/>
    <m/>
    <m/>
    <n v="0"/>
    <d v="2025-12-13T00:00:00"/>
    <n v="1"/>
    <n v="258.54000000000002"/>
    <d v="2026-02-05T00:00:00"/>
    <n v="1"/>
    <n v="258.54000000000002"/>
    <m/>
    <m/>
    <n v="0"/>
    <m/>
    <m/>
    <m/>
    <n v="0"/>
    <m/>
    <m/>
    <n v="0"/>
    <s v="PAC"/>
    <m/>
  </r>
  <r>
    <n v="242"/>
    <x v="0"/>
    <s v="Shipment 2 400"/>
    <x v="2"/>
    <x v="2"/>
    <m/>
    <d v="2025-11-29T00:00:00"/>
    <s v="HEATER"/>
    <s v="HTR03"/>
    <s v="Mr Quyền"/>
    <s v="B272-400-AS-130-ET-008"/>
    <s v="130-ET-008"/>
    <s v="END TUBE SHEETS"/>
    <n v="1"/>
    <n v="49.71"/>
    <n v="49.71"/>
    <s v="(1324x129x389)"/>
    <m/>
    <m/>
    <m/>
    <m/>
    <m/>
    <m/>
    <m/>
    <m/>
    <m/>
    <m/>
    <m/>
    <m/>
    <m/>
    <n v="44.739000000000004"/>
    <n v="4.9709999999999965"/>
    <m/>
    <m/>
    <n v="0"/>
    <d v="2026-01-06T00:00:00"/>
    <n v="1"/>
    <n v="49.71"/>
    <d v="2026-02-05T00:00:00"/>
    <n v="1"/>
    <n v="49.71"/>
    <m/>
    <m/>
    <n v="0"/>
    <m/>
    <m/>
    <m/>
    <n v="0"/>
    <m/>
    <m/>
    <n v="0"/>
    <s v="PAC"/>
    <m/>
  </r>
  <r>
    <n v="243"/>
    <x v="0"/>
    <s v="Shipment 2 400"/>
    <x v="2"/>
    <x v="2"/>
    <m/>
    <d v="2025-11-29T00:00:00"/>
    <s v="HEATER"/>
    <s v="HTR03"/>
    <s v="Mr Quyền"/>
    <s v="B272-400-AS-130-ET-009"/>
    <s v="130-ET-009"/>
    <s v="END TUBE SHEETS"/>
    <n v="1"/>
    <n v="49.71"/>
    <n v="49.71"/>
    <s v="(1324x129x389)"/>
    <m/>
    <m/>
    <m/>
    <m/>
    <m/>
    <m/>
    <m/>
    <m/>
    <m/>
    <m/>
    <m/>
    <m/>
    <m/>
    <n v="44.739000000000004"/>
    <n v="4.9709999999999965"/>
    <m/>
    <m/>
    <n v="0"/>
    <d v="2026-01-06T00:00:00"/>
    <n v="1"/>
    <n v="49.71"/>
    <d v="2026-02-05T00:00:00"/>
    <n v="1"/>
    <n v="49.71"/>
    <m/>
    <m/>
    <n v="0"/>
    <m/>
    <m/>
    <m/>
    <n v="0"/>
    <m/>
    <m/>
    <n v="0"/>
    <s v="PAC"/>
    <m/>
  </r>
  <r>
    <n v="244"/>
    <x v="0"/>
    <s v="Shipment 2 400"/>
    <x v="2"/>
    <x v="2"/>
    <m/>
    <d v="2025-11-29T00:00:00"/>
    <s v="HEATER"/>
    <s v="HTR03"/>
    <s v="Mr Quyền"/>
    <s v="B272-400-AS-130-ET-010"/>
    <s v="130-ET-010(1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45"/>
    <x v="0"/>
    <s v="Shipment 2 400"/>
    <x v="2"/>
    <x v="2"/>
    <m/>
    <d v="2025-11-29T00:00:00"/>
    <s v="HEATER"/>
    <s v="HTR03"/>
    <s v="Mr Quyền"/>
    <s v="B272-400-AS-130-ET-010"/>
    <s v="130-ET-010(2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46"/>
    <x v="0"/>
    <s v="Shipment 2 400"/>
    <x v="2"/>
    <x v="2"/>
    <m/>
    <d v="2025-11-29T00:00:00"/>
    <s v="HEATER"/>
    <s v="HTR03"/>
    <s v="Mr Quyền"/>
    <s v="B272-400-AS-130-ET-010"/>
    <s v="130-ET-010(3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47"/>
    <x v="0"/>
    <s v="Shipment 2 400"/>
    <x v="2"/>
    <x v="2"/>
    <m/>
    <d v="2025-11-29T00:00:00"/>
    <s v="HEATER"/>
    <s v="HTR03"/>
    <s v="Mr Quyền"/>
    <s v="B272-400-AS-130-ET-010"/>
    <s v="130-ET-010(4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48"/>
    <x v="0"/>
    <s v="Shipment 2 400"/>
    <x v="2"/>
    <x v="2"/>
    <m/>
    <d v="2025-11-29T00:00:00"/>
    <s v="HEATER"/>
    <s v="HTR03"/>
    <s v="Mr Quyền"/>
    <s v="B272-400-AS-130-ET-010"/>
    <s v="130-ET-010(5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49"/>
    <x v="0"/>
    <s v="Shipment 2 400"/>
    <x v="2"/>
    <x v="2"/>
    <m/>
    <d v="2025-11-29T00:00:00"/>
    <s v="HEATER"/>
    <s v="HTR03"/>
    <s v="Mr Quyền"/>
    <s v="B272-400-AS-130-ET-010"/>
    <s v="130-ET-010(6/6)"/>
    <s v="END TUBE SHEETS"/>
    <n v="1"/>
    <n v="0.05"/>
    <n v="0.05"/>
    <s v="(50x6x50)"/>
    <m/>
    <m/>
    <m/>
    <m/>
    <m/>
    <m/>
    <m/>
    <m/>
    <m/>
    <m/>
    <m/>
    <m/>
    <m/>
    <n v="4.5000000000000005E-2"/>
    <n v="4.9999999999999975E-3"/>
    <m/>
    <m/>
    <n v="0"/>
    <d v="2026-01-06T00:00:00"/>
    <n v="1"/>
    <n v="0.05"/>
    <d v="2026-02-05T00:00:00"/>
    <n v="1"/>
    <n v="0.05"/>
    <m/>
    <m/>
    <n v="0"/>
    <m/>
    <m/>
    <m/>
    <n v="0"/>
    <m/>
    <m/>
    <n v="0"/>
    <s v="PAC"/>
    <m/>
  </r>
  <r>
    <n v="250"/>
    <x v="0"/>
    <s v="Shipment 2 400"/>
    <x v="2"/>
    <x v="2"/>
    <m/>
    <d v="2025-11-29T00:00:00"/>
    <s v="HEATER"/>
    <s v="HTR03"/>
    <s v="Mr Quyền"/>
    <s v="B272-400-AS-140-HB-001"/>
    <s v="140-HB-001"/>
    <s v="HEADER BOX"/>
    <n v="1"/>
    <n v="39.54"/>
    <n v="39.54"/>
    <s v="(1634x134x399)"/>
    <m/>
    <m/>
    <m/>
    <m/>
    <m/>
    <m/>
    <m/>
    <m/>
    <m/>
    <m/>
    <m/>
    <m/>
    <m/>
    <n v="35.585999999999999"/>
    <n v="3.9540000000000006"/>
    <m/>
    <m/>
    <n v="0"/>
    <d v="2025-12-16T00:00:00"/>
    <n v="1"/>
    <n v="39.54"/>
    <d v="2025-12-25T00:00:00"/>
    <n v="1"/>
    <n v="39.54"/>
    <m/>
    <m/>
    <n v="0"/>
    <m/>
    <m/>
    <m/>
    <n v="0"/>
    <m/>
    <m/>
    <n v="0"/>
    <s v="PAC"/>
    <m/>
  </r>
  <r>
    <n v="251"/>
    <x v="0"/>
    <s v="Shipment 2 400"/>
    <x v="2"/>
    <x v="2"/>
    <m/>
    <d v="2025-11-29T00:00:00"/>
    <s v="HEATER"/>
    <s v="HTR03"/>
    <s v="Mr Quyền"/>
    <s v="B272-400-AS-140-HB-002"/>
    <s v="140-HB-002"/>
    <s v="HEADER BOX"/>
    <n v="1"/>
    <n v="116.73"/>
    <n v="116.73"/>
    <s v="(2040x302x852)"/>
    <m/>
    <m/>
    <m/>
    <m/>
    <m/>
    <m/>
    <m/>
    <m/>
    <m/>
    <m/>
    <m/>
    <m/>
    <m/>
    <n v="105.05700000000002"/>
    <n v="11.672999999999988"/>
    <m/>
    <m/>
    <n v="0"/>
    <d v="2025-12-16T00:00:00"/>
    <n v="1"/>
    <n v="116.73"/>
    <d v="2025-12-25T00:00:00"/>
    <n v="1"/>
    <n v="116.73"/>
    <m/>
    <m/>
    <n v="0"/>
    <m/>
    <m/>
    <m/>
    <n v="0"/>
    <m/>
    <m/>
    <n v="0"/>
    <s v="PAC"/>
    <m/>
  </r>
  <r>
    <n v="252"/>
    <x v="0"/>
    <s v="Shipment 2 400"/>
    <x v="2"/>
    <x v="2"/>
    <m/>
    <d v="2025-11-29T00:00:00"/>
    <s v="HEATER"/>
    <s v="HTR03"/>
    <s v="Mr Quyền"/>
    <s v="B272-400-AS-140-HB-003"/>
    <s v="140-HB-003"/>
    <s v="HEADER BOX"/>
    <n v="1"/>
    <n v="104.94"/>
    <n v="104.94"/>
    <s v="(2040x363x602)"/>
    <m/>
    <m/>
    <m/>
    <m/>
    <m/>
    <m/>
    <m/>
    <m/>
    <m/>
    <m/>
    <m/>
    <m/>
    <m/>
    <n v="94.445999999999998"/>
    <n v="10.494"/>
    <m/>
    <m/>
    <n v="0"/>
    <d v="2025-12-16T00:00:00"/>
    <n v="1"/>
    <n v="104.94"/>
    <d v="2025-12-25T00:00:00"/>
    <n v="1"/>
    <n v="104.94"/>
    <m/>
    <m/>
    <n v="0"/>
    <m/>
    <m/>
    <m/>
    <n v="0"/>
    <m/>
    <m/>
    <n v="0"/>
    <s v="PAC"/>
    <m/>
  </r>
  <r>
    <n v="253"/>
    <x v="0"/>
    <s v="Shipment 2 400"/>
    <x v="2"/>
    <x v="2"/>
    <m/>
    <d v="2025-11-29T00:00:00"/>
    <s v="HEATER"/>
    <s v="HTR03"/>
    <s v="Mr Quyền"/>
    <s v="B272-400-AS-140-HB-004"/>
    <s v="140-HB-004(1/4)"/>
    <s v="HEADER BOX"/>
    <n v="1"/>
    <n v="46.61"/>
    <n v="46.61"/>
    <s v="(1840x50x752)"/>
    <m/>
    <m/>
    <m/>
    <m/>
    <m/>
    <m/>
    <m/>
    <m/>
    <m/>
    <m/>
    <m/>
    <m/>
    <m/>
    <n v="41.948999999999998"/>
    <n v="4.6610000000000014"/>
    <m/>
    <m/>
    <n v="0"/>
    <d v="2025-12-16T00:00:00"/>
    <n v="1"/>
    <n v="46.61"/>
    <d v="2025-12-25T00:00:00"/>
    <n v="1"/>
    <n v="46.61"/>
    <m/>
    <m/>
    <n v="0"/>
    <m/>
    <m/>
    <m/>
    <n v="0"/>
    <m/>
    <m/>
    <n v="0"/>
    <s v="PAC"/>
    <m/>
  </r>
  <r>
    <n v="254"/>
    <x v="0"/>
    <s v="Shipment 2 400"/>
    <x v="2"/>
    <x v="2"/>
    <m/>
    <d v="2025-11-29T00:00:00"/>
    <s v="HEATER"/>
    <s v="HTR03"/>
    <s v="Mr Quyền"/>
    <s v="B272-400-AS-140-HB-004"/>
    <s v="140-HB-004(2/4)"/>
    <s v="HEADER BOX"/>
    <n v="1"/>
    <n v="46.61"/>
    <n v="46.61"/>
    <s v="(1840x50x752)"/>
    <m/>
    <m/>
    <m/>
    <m/>
    <m/>
    <m/>
    <m/>
    <m/>
    <m/>
    <m/>
    <m/>
    <m/>
    <m/>
    <n v="41.948999999999998"/>
    <n v="4.6610000000000014"/>
    <m/>
    <m/>
    <n v="0"/>
    <d v="2025-12-20T00:00:00"/>
    <n v="1"/>
    <n v="46.61"/>
    <d v="2025-12-25T00:00:00"/>
    <n v="1"/>
    <n v="46.61"/>
    <m/>
    <m/>
    <n v="0"/>
    <m/>
    <m/>
    <m/>
    <n v="0"/>
    <m/>
    <m/>
    <n v="0"/>
    <s v="PAC"/>
    <m/>
  </r>
  <r>
    <n v="255"/>
    <x v="0"/>
    <s v="Shipment 2 400"/>
    <x v="2"/>
    <x v="2"/>
    <m/>
    <d v="2025-11-29T00:00:00"/>
    <s v="HEATER"/>
    <s v="HTR03"/>
    <s v="Mr Quyền"/>
    <s v="B272-400-AS-140-HB-004"/>
    <s v="140-HB-004(3/4)"/>
    <s v="HEADER BOX"/>
    <n v="1"/>
    <n v="46.61"/>
    <n v="46.61"/>
    <s v="(1840x50x752)"/>
    <m/>
    <m/>
    <m/>
    <m/>
    <m/>
    <m/>
    <m/>
    <m/>
    <m/>
    <m/>
    <m/>
    <m/>
    <m/>
    <n v="41.948999999999998"/>
    <n v="4.6610000000000014"/>
    <m/>
    <m/>
    <n v="0"/>
    <d v="2025-12-20T00:00:00"/>
    <n v="1"/>
    <n v="46.61"/>
    <d v="2025-12-25T00:00:00"/>
    <n v="1"/>
    <n v="46.61"/>
    <m/>
    <m/>
    <n v="0"/>
    <m/>
    <m/>
    <m/>
    <n v="0"/>
    <m/>
    <m/>
    <n v="0"/>
    <s v="PAC"/>
    <m/>
  </r>
  <r>
    <n v="256"/>
    <x v="0"/>
    <s v="Shipment 2 400"/>
    <x v="2"/>
    <x v="2"/>
    <m/>
    <d v="2025-11-29T00:00:00"/>
    <s v="HEATER"/>
    <s v="HTR03"/>
    <s v="Mr Quyền"/>
    <s v="B272-400-AS-140-HB-004"/>
    <s v="140-HB-004(4/4)"/>
    <s v="HEADER BOX"/>
    <n v="1"/>
    <n v="46.61"/>
    <n v="46.61"/>
    <s v="(1840x50x752)"/>
    <m/>
    <m/>
    <m/>
    <m/>
    <m/>
    <m/>
    <m/>
    <m/>
    <m/>
    <m/>
    <m/>
    <m/>
    <m/>
    <n v="41.948999999999998"/>
    <n v="4.6610000000000014"/>
    <m/>
    <m/>
    <n v="0"/>
    <d v="2025-12-20T00:00:00"/>
    <n v="1"/>
    <n v="46.61"/>
    <d v="2025-12-25T00:00:00"/>
    <n v="1"/>
    <n v="46.61"/>
    <m/>
    <m/>
    <n v="0"/>
    <m/>
    <m/>
    <m/>
    <n v="0"/>
    <m/>
    <m/>
    <n v="0"/>
    <s v="PAC"/>
    <m/>
  </r>
  <r>
    <n v="257"/>
    <x v="0"/>
    <s v="Shipment 2 400"/>
    <x v="2"/>
    <x v="2"/>
    <m/>
    <d v="2025-11-29T00:00:00"/>
    <s v="HEATER"/>
    <s v="HTR03"/>
    <s v="Mr Quyền"/>
    <s v="B272-400-AS-140-HB-005"/>
    <s v="140-HB-005"/>
    <s v="HEADER BOX"/>
    <n v="1"/>
    <n v="46.63"/>
    <n v="46.63"/>
    <s v="(1840x50x752)"/>
    <m/>
    <m/>
    <m/>
    <m/>
    <m/>
    <m/>
    <m/>
    <m/>
    <m/>
    <m/>
    <m/>
    <m/>
    <m/>
    <n v="41.966999999999999"/>
    <n v="4.6630000000000038"/>
    <m/>
    <m/>
    <n v="0"/>
    <d v="2025-12-20T00:00:00"/>
    <n v="1"/>
    <n v="46.63"/>
    <d v="2025-12-31T00:00:00"/>
    <n v="1"/>
    <n v="46.63"/>
    <m/>
    <m/>
    <n v="0"/>
    <m/>
    <m/>
    <m/>
    <n v="0"/>
    <m/>
    <m/>
    <n v="0"/>
    <s v="PAC"/>
    <m/>
  </r>
  <r>
    <n v="258"/>
    <x v="0"/>
    <s v="Shipment 2 400"/>
    <x v="2"/>
    <x v="2"/>
    <m/>
    <d v="2025-11-29T00:00:00"/>
    <s v="HEATER"/>
    <s v="HTR03"/>
    <s v="Mr Quyền"/>
    <s v="B272-400-AS-140-HB-006"/>
    <s v="140-HB-006(1/4)"/>
    <s v="HEADER BOX"/>
    <n v="1"/>
    <n v="39.54"/>
    <n v="39.54"/>
    <s v="(1840x50x502)"/>
    <m/>
    <m/>
    <m/>
    <m/>
    <m/>
    <m/>
    <m/>
    <m/>
    <m/>
    <m/>
    <m/>
    <m/>
    <m/>
    <n v="35.585999999999999"/>
    <n v="3.9540000000000006"/>
    <m/>
    <m/>
    <n v="0"/>
    <d v="2025-12-20T00:00:00"/>
    <n v="1"/>
    <n v="39.54"/>
    <d v="2025-12-31T00:00:00"/>
    <n v="1"/>
    <n v="39.54"/>
    <m/>
    <m/>
    <n v="0"/>
    <m/>
    <m/>
    <m/>
    <n v="0"/>
    <m/>
    <m/>
    <n v="0"/>
    <s v="PAC"/>
    <m/>
  </r>
  <r>
    <n v="259"/>
    <x v="0"/>
    <s v="Shipment 2 400"/>
    <x v="2"/>
    <x v="2"/>
    <m/>
    <d v="2025-11-29T00:00:00"/>
    <s v="HEATER"/>
    <s v="HTR03"/>
    <s v="Mr Quyền"/>
    <s v="B272-400-AS-140-HB-006"/>
    <s v="140-HB-006(2/4)"/>
    <s v="HEADER BOX"/>
    <n v="1"/>
    <n v="39.54"/>
    <n v="39.54"/>
    <s v="(1840x50x502)"/>
    <m/>
    <m/>
    <m/>
    <m/>
    <m/>
    <m/>
    <m/>
    <m/>
    <m/>
    <m/>
    <m/>
    <m/>
    <m/>
    <n v="35.585999999999999"/>
    <n v="3.9540000000000006"/>
    <m/>
    <m/>
    <n v="0"/>
    <d v="2025-12-20T00:00:00"/>
    <n v="1"/>
    <n v="39.54"/>
    <d v="2026-01-21T00:00:00"/>
    <n v="1"/>
    <n v="39.54"/>
    <m/>
    <m/>
    <n v="0"/>
    <m/>
    <m/>
    <m/>
    <n v="0"/>
    <m/>
    <m/>
    <n v="0"/>
    <s v="PAC"/>
    <m/>
  </r>
  <r>
    <n v="260"/>
    <x v="0"/>
    <s v="Shipment 2 400"/>
    <x v="2"/>
    <x v="2"/>
    <m/>
    <d v="2025-11-29T00:00:00"/>
    <s v="HEATER"/>
    <s v="HTR03"/>
    <s v="Mr Quyền"/>
    <s v="B272-400-AS-140-HB-006"/>
    <s v="140-HB-006(3/4)"/>
    <s v="HEADER BOX"/>
    <n v="1"/>
    <n v="39.54"/>
    <n v="39.54"/>
    <s v="(1840x50x502)"/>
    <m/>
    <m/>
    <m/>
    <m/>
    <m/>
    <m/>
    <m/>
    <m/>
    <m/>
    <m/>
    <m/>
    <m/>
    <m/>
    <n v="35.585999999999999"/>
    <n v="3.9540000000000006"/>
    <m/>
    <m/>
    <n v="0"/>
    <d v="2025-12-20T00:00:00"/>
    <n v="1"/>
    <n v="39.54"/>
    <d v="2026-01-21T00:00:00"/>
    <n v="1"/>
    <n v="39.54"/>
    <m/>
    <m/>
    <n v="0"/>
    <m/>
    <m/>
    <m/>
    <n v="0"/>
    <m/>
    <m/>
    <n v="0"/>
    <s v="PAC"/>
    <m/>
  </r>
  <r>
    <n v="261"/>
    <x v="0"/>
    <s v="Shipment 2 400"/>
    <x v="2"/>
    <x v="2"/>
    <m/>
    <d v="2025-11-29T00:00:00"/>
    <s v="HEATER"/>
    <s v="HTR03"/>
    <s v="Mr Quyền"/>
    <s v="B272-400-AS-140-HB-006"/>
    <s v="140-HB-006(4/4)"/>
    <s v="HEADER BOX"/>
    <n v="1"/>
    <n v="39.54"/>
    <n v="39.54"/>
    <s v="(1840x50x502)"/>
    <m/>
    <m/>
    <m/>
    <m/>
    <m/>
    <m/>
    <m/>
    <m/>
    <m/>
    <m/>
    <m/>
    <m/>
    <m/>
    <n v="35.585999999999999"/>
    <n v="3.9540000000000006"/>
    <m/>
    <m/>
    <n v="0"/>
    <d v="2025-12-20T00:00:00"/>
    <n v="1"/>
    <n v="39.54"/>
    <d v="2026-01-21T00:00:00"/>
    <n v="1"/>
    <n v="39.54"/>
    <m/>
    <m/>
    <n v="0"/>
    <m/>
    <m/>
    <m/>
    <n v="0"/>
    <m/>
    <m/>
    <n v="0"/>
    <s v="PAC"/>
    <m/>
  </r>
  <r>
    <n v="262"/>
    <x v="0"/>
    <s v="Shipment 2 400"/>
    <x v="2"/>
    <x v="2"/>
    <m/>
    <d v="2025-11-29T00:00:00"/>
    <s v="HEATER"/>
    <s v="HTR03"/>
    <s v="Mr Quyền"/>
    <s v="B272-400-AS-140-HB-007"/>
    <s v="140-HB-007"/>
    <s v="HEADER BOX"/>
    <n v="1"/>
    <n v="39.54"/>
    <n v="39.54"/>
    <s v="(1840x50x502)"/>
    <m/>
    <m/>
    <m/>
    <m/>
    <m/>
    <m/>
    <m/>
    <m/>
    <m/>
    <m/>
    <m/>
    <m/>
    <m/>
    <n v="35.585999999999999"/>
    <n v="3.9540000000000006"/>
    <m/>
    <m/>
    <n v="0"/>
    <d v="2025-12-20T00:00:00"/>
    <n v="1"/>
    <n v="39.54"/>
    <d v="2026-01-21T00:00:00"/>
    <n v="1"/>
    <n v="39.54"/>
    <m/>
    <m/>
    <n v="0"/>
    <m/>
    <m/>
    <m/>
    <n v="0"/>
    <m/>
    <m/>
    <n v="0"/>
    <s v="PAC"/>
    <m/>
  </r>
  <r>
    <n v="263"/>
    <x v="0"/>
    <s v="Shipment 2 400"/>
    <x v="2"/>
    <x v="2"/>
    <m/>
    <d v="2025-11-29T00:00:00"/>
    <s v="HEATER"/>
    <s v="HTR03"/>
    <s v="Mr Quyền"/>
    <s v="B272-400-AS-140-HB-008"/>
    <s v="140-HB-008"/>
    <s v="HEADER BOX"/>
    <n v="1"/>
    <n v="16.73"/>
    <n v="16.73"/>
    <s v="(419x88x649)"/>
    <m/>
    <m/>
    <m/>
    <m/>
    <m/>
    <m/>
    <m/>
    <m/>
    <m/>
    <m/>
    <m/>
    <m/>
    <m/>
    <n v="15.057"/>
    <n v="1.673"/>
    <m/>
    <m/>
    <n v="0"/>
    <d v="2026-01-06T00:00:00"/>
    <n v="1"/>
    <n v="16.73"/>
    <d v="2026-01-21T00:00:00"/>
    <n v="1"/>
    <n v="16.73"/>
    <m/>
    <m/>
    <n v="0"/>
    <m/>
    <m/>
    <m/>
    <n v="0"/>
    <m/>
    <m/>
    <n v="0"/>
    <s v="PAC"/>
    <m/>
  </r>
  <r>
    <n v="264"/>
    <x v="0"/>
    <s v="Shipment 2 400"/>
    <x v="2"/>
    <x v="2"/>
    <m/>
    <d v="2025-11-29T00:00:00"/>
    <s v="HEATER"/>
    <s v="HTR03"/>
    <s v="Mr Quyền"/>
    <s v="B272-400-AS-140-HB-009"/>
    <s v="140-HB-009"/>
    <s v="HEADER BOX"/>
    <n v="1"/>
    <n v="22.05"/>
    <n v="22.05"/>
    <s v="(642x88x649)"/>
    <m/>
    <m/>
    <m/>
    <m/>
    <m/>
    <m/>
    <m/>
    <m/>
    <m/>
    <m/>
    <m/>
    <m/>
    <m/>
    <n v="19.844999999999999"/>
    <n v="2.2050000000000018"/>
    <m/>
    <m/>
    <n v="0"/>
    <d v="2026-01-06T00:00:00"/>
    <n v="1"/>
    <n v="22.05"/>
    <d v="2026-01-21T00:00:00"/>
    <n v="1"/>
    <n v="22.05"/>
    <m/>
    <m/>
    <n v="0"/>
    <m/>
    <m/>
    <m/>
    <n v="0"/>
    <m/>
    <m/>
    <n v="0"/>
    <s v="PAC"/>
    <m/>
  </r>
  <r>
    <n v="265"/>
    <x v="0"/>
    <s v="Shipment 2 400"/>
    <x v="2"/>
    <x v="2"/>
    <m/>
    <d v="2025-11-29T00:00:00"/>
    <s v="HEATER"/>
    <s v="HTR03"/>
    <s v="Mr Quyền"/>
    <s v="B272-400-AS-140-HB-010"/>
    <s v="140-HB-010"/>
    <s v="HEADER BOX"/>
    <n v="1"/>
    <n v="22.05"/>
    <n v="22.05"/>
    <s v="(642x88x649)"/>
    <m/>
    <m/>
    <m/>
    <m/>
    <m/>
    <m/>
    <m/>
    <m/>
    <m/>
    <m/>
    <m/>
    <m/>
    <m/>
    <n v="19.844999999999999"/>
    <n v="2.2050000000000018"/>
    <m/>
    <m/>
    <n v="0"/>
    <d v="2026-01-06T00:00:00"/>
    <n v="1"/>
    <n v="22.05"/>
    <d v="2026-01-21T00:00:00"/>
    <n v="1"/>
    <n v="22.05"/>
    <m/>
    <m/>
    <n v="0"/>
    <m/>
    <m/>
    <m/>
    <n v="0"/>
    <m/>
    <m/>
    <n v="0"/>
    <s v="PAC"/>
    <m/>
  </r>
  <r>
    <n v="266"/>
    <x v="0"/>
    <s v="Shipment 2 400"/>
    <x v="2"/>
    <x v="2"/>
    <m/>
    <d v="2025-11-29T00:00:00"/>
    <s v="HEATER"/>
    <s v="HTR03"/>
    <s v="Mr Quyền"/>
    <s v="B272-400-AS-140-HB-011"/>
    <s v="140-HB-011"/>
    <s v="HEADER BOX"/>
    <n v="1"/>
    <n v="57.97"/>
    <n v="57.97"/>
    <s v="(1634x134x649)"/>
    <m/>
    <m/>
    <m/>
    <m/>
    <m/>
    <m/>
    <m/>
    <m/>
    <m/>
    <m/>
    <m/>
    <m/>
    <m/>
    <n v="52.173000000000002"/>
    <n v="5.796999999999997"/>
    <m/>
    <m/>
    <n v="0"/>
    <d v="2026-01-06T00:00:00"/>
    <n v="1"/>
    <n v="57.97"/>
    <d v="2026-01-21T00:00:00"/>
    <n v="1"/>
    <n v="57.97"/>
    <m/>
    <m/>
    <n v="0"/>
    <m/>
    <m/>
    <m/>
    <n v="0"/>
    <m/>
    <m/>
    <n v="0"/>
    <s v="PAC"/>
    <m/>
  </r>
  <r>
    <n v="267"/>
    <x v="0"/>
    <s v="Shipment 2 400"/>
    <x v="2"/>
    <x v="2"/>
    <m/>
    <d v="2025-11-29T00:00:00"/>
    <s v="HEATER"/>
    <s v="HTR03"/>
    <s v="Mr Quyền"/>
    <s v="B272-400-AS-140-HB-012"/>
    <s v="140-HB-012"/>
    <s v="HEADER BOX"/>
    <n v="1"/>
    <n v="39.56"/>
    <n v="39.56"/>
    <s v="(1750x88x457)"/>
    <m/>
    <m/>
    <m/>
    <m/>
    <m/>
    <m/>
    <m/>
    <m/>
    <m/>
    <m/>
    <m/>
    <m/>
    <m/>
    <n v="35.603999999999999"/>
    <n v="3.9560000000000031"/>
    <m/>
    <m/>
    <n v="0"/>
    <d v="2026-01-06T00:00:00"/>
    <n v="1"/>
    <n v="39.56"/>
    <d v="2026-01-21T00:00:00"/>
    <n v="1"/>
    <n v="39.56"/>
    <m/>
    <m/>
    <n v="0"/>
    <m/>
    <m/>
    <m/>
    <n v="0"/>
    <m/>
    <m/>
    <n v="0"/>
    <s v="PAC"/>
    <m/>
  </r>
  <r>
    <n v="268"/>
    <x v="0"/>
    <s v="Shipment 2 400"/>
    <x v="2"/>
    <x v="2"/>
    <m/>
    <d v="2025-11-29T00:00:00"/>
    <s v="HEATER"/>
    <s v="HTR03"/>
    <s v="Mr Quyền"/>
    <s v="B272-400-AS-140-HB-013"/>
    <s v="140-HB-013"/>
    <s v="HEADER BOX"/>
    <n v="1"/>
    <n v="20.149999999999999"/>
    <n v="20.149999999999999"/>
    <s v="(594x123x584)"/>
    <m/>
    <m/>
    <m/>
    <m/>
    <m/>
    <m/>
    <m/>
    <m/>
    <m/>
    <m/>
    <m/>
    <m/>
    <m/>
    <n v="18.134999999999998"/>
    <n v="2.0150000000000006"/>
    <m/>
    <m/>
    <n v="0"/>
    <d v="2026-01-06T00:00:00"/>
    <n v="1"/>
    <n v="20.149999999999999"/>
    <d v="2026-01-21T00:00:00"/>
    <n v="1"/>
    <n v="20.149999999999999"/>
    <m/>
    <m/>
    <n v="0"/>
    <m/>
    <m/>
    <m/>
    <n v="0"/>
    <m/>
    <m/>
    <n v="0"/>
    <s v="PAC"/>
    <m/>
  </r>
  <r>
    <n v="269"/>
    <x v="0"/>
    <s v="Shipment 2 400"/>
    <x v="2"/>
    <x v="2"/>
    <m/>
    <d v="2025-11-29T00:00:00"/>
    <s v="HEATER"/>
    <s v="HTR03"/>
    <s v="Mr Quyền"/>
    <s v="B272-400-AS-140-HB-014"/>
    <s v="140-HB-014"/>
    <s v="HEADER BOX"/>
    <n v="1"/>
    <n v="20.149999999999999"/>
    <n v="20.149999999999999"/>
    <s v="(594x123x584)"/>
    <m/>
    <m/>
    <m/>
    <m/>
    <m/>
    <m/>
    <m/>
    <m/>
    <m/>
    <m/>
    <m/>
    <m/>
    <m/>
    <n v="18.134999999999998"/>
    <n v="2.0150000000000006"/>
    <m/>
    <m/>
    <n v="0"/>
    <d v="2026-01-06T00:00:00"/>
    <n v="1"/>
    <n v="20.149999999999999"/>
    <d v="2026-01-21T00:00:00"/>
    <n v="1"/>
    <n v="20.149999999999999"/>
    <m/>
    <m/>
    <n v="0"/>
    <m/>
    <m/>
    <m/>
    <n v="0"/>
    <m/>
    <m/>
    <n v="0"/>
    <s v="PAC"/>
    <m/>
  </r>
  <r>
    <n v="270"/>
    <x v="0"/>
    <s v="Shipment 2 400"/>
    <x v="2"/>
    <x v="2"/>
    <m/>
    <d v="2025-11-29T00:00:00"/>
    <s v="HEATER"/>
    <s v="HTR03"/>
    <s v="Mr Quyền"/>
    <s v="B272-400-AS-140-HB-015"/>
    <s v="140-HB-015(1/2)"/>
    <s v="HEADER BOX"/>
    <n v="1"/>
    <n v="17.760000000000002"/>
    <n v="17.760000000000002"/>
    <s v="(504x123x584)"/>
    <m/>
    <m/>
    <m/>
    <m/>
    <m/>
    <m/>
    <m/>
    <m/>
    <m/>
    <m/>
    <m/>
    <m/>
    <m/>
    <n v="15.984000000000002"/>
    <n v="1.7759999999999998"/>
    <m/>
    <m/>
    <n v="0"/>
    <d v="2026-01-06T00:00:00"/>
    <n v="1"/>
    <n v="17.760000000000002"/>
    <d v="2026-01-21T00:00:00"/>
    <n v="1"/>
    <n v="17.760000000000002"/>
    <m/>
    <m/>
    <n v="0"/>
    <m/>
    <m/>
    <m/>
    <n v="0"/>
    <m/>
    <m/>
    <n v="0"/>
    <s v="PAC"/>
    <m/>
  </r>
  <r>
    <n v="271"/>
    <x v="0"/>
    <s v="Shipment 2 400"/>
    <x v="2"/>
    <x v="2"/>
    <m/>
    <d v="2025-11-29T00:00:00"/>
    <s v="HEATER"/>
    <s v="HTR03"/>
    <s v="Mr Quyền"/>
    <s v="B272-400-AS-140-HB-015"/>
    <s v="140-HB-015(2/2)"/>
    <s v="HEADER BOX"/>
    <n v="1"/>
    <n v="17.760000000000002"/>
    <n v="17.760000000000002"/>
    <s v="(504x123x584)"/>
    <m/>
    <m/>
    <m/>
    <m/>
    <m/>
    <m/>
    <m/>
    <m/>
    <m/>
    <m/>
    <m/>
    <m/>
    <m/>
    <n v="15.984000000000002"/>
    <n v="1.7759999999999998"/>
    <m/>
    <m/>
    <n v="0"/>
    <d v="2026-01-06T00:00:00"/>
    <n v="1"/>
    <n v="17.760000000000002"/>
    <d v="2026-02-11T00:00:00"/>
    <n v="1"/>
    <n v="17.760000000000002"/>
    <m/>
    <m/>
    <n v="0"/>
    <m/>
    <m/>
    <m/>
    <n v="0"/>
    <m/>
    <m/>
    <n v="0"/>
    <s v="PAC"/>
    <m/>
  </r>
  <r>
    <n v="272"/>
    <x v="0"/>
    <s v="Shipment 2 400"/>
    <x v="2"/>
    <x v="2"/>
    <m/>
    <d v="2025-11-29T00:00:00"/>
    <s v="HEATER"/>
    <s v="HTR03"/>
    <s v="Mr Quyền"/>
    <s v="B272-400-AS-140-HB-016"/>
    <s v="140-HB-016(1/2)"/>
    <s v="HEADER BOX"/>
    <n v="1"/>
    <n v="17.760000000000002"/>
    <n v="17.760000000000002"/>
    <s v="(504x123x584)"/>
    <m/>
    <m/>
    <m/>
    <m/>
    <m/>
    <m/>
    <m/>
    <m/>
    <m/>
    <m/>
    <m/>
    <m/>
    <m/>
    <n v="15.984000000000002"/>
    <n v="1.7759999999999998"/>
    <m/>
    <m/>
    <n v="0"/>
    <d v="2026-01-06T00:00:00"/>
    <n v="1"/>
    <n v="17.760000000000002"/>
    <d v="2026-02-11T00:00:00"/>
    <n v="1"/>
    <n v="17.760000000000002"/>
    <m/>
    <m/>
    <n v="0"/>
    <m/>
    <m/>
    <m/>
    <n v="0"/>
    <m/>
    <m/>
    <n v="0"/>
    <s v="PAC"/>
    <m/>
  </r>
  <r>
    <n v="273"/>
    <x v="0"/>
    <s v="Shipment 2 400"/>
    <x v="2"/>
    <x v="2"/>
    <m/>
    <d v="2025-11-29T00:00:00"/>
    <s v="HEATER"/>
    <s v="HTR03"/>
    <s v="Mr Quyền"/>
    <s v="B272-400-AS-140-HB-016"/>
    <s v="140-HB-016(2/2)"/>
    <s v="HEADER BOX"/>
    <n v="1"/>
    <n v="17.760000000000002"/>
    <n v="17.760000000000002"/>
    <s v="(504x123x584)"/>
    <m/>
    <m/>
    <m/>
    <m/>
    <m/>
    <m/>
    <m/>
    <m/>
    <m/>
    <m/>
    <m/>
    <m/>
    <m/>
    <n v="15.984000000000002"/>
    <n v="1.7759999999999998"/>
    <m/>
    <m/>
    <n v="0"/>
    <d v="2026-01-06T00:00:00"/>
    <n v="1"/>
    <n v="17.760000000000002"/>
    <d v="2026-02-11T00:00:00"/>
    <n v="1"/>
    <n v="17.760000000000002"/>
    <m/>
    <m/>
    <n v="0"/>
    <m/>
    <m/>
    <m/>
    <n v="0"/>
    <m/>
    <m/>
    <n v="0"/>
    <s v="PAC"/>
    <m/>
  </r>
  <r>
    <n v="274"/>
    <x v="0"/>
    <s v="Shipment 2 400"/>
    <x v="2"/>
    <x v="2"/>
    <m/>
    <d v="2025-11-29T00:00:00"/>
    <s v="HEATER"/>
    <s v="HTR03"/>
    <s v="Mr Quyền"/>
    <s v="B272-400-AS-140-HB-017"/>
    <s v="140-HB-017(1/2)"/>
    <s v="HEADER BOX"/>
    <n v="1"/>
    <n v="18.79"/>
    <n v="18.79"/>
    <s v="(504x123x577)"/>
    <m/>
    <m/>
    <m/>
    <m/>
    <m/>
    <m/>
    <m/>
    <m/>
    <m/>
    <m/>
    <m/>
    <m/>
    <m/>
    <n v="16.911000000000001"/>
    <n v="1.8789999999999978"/>
    <m/>
    <m/>
    <n v="0"/>
    <d v="2026-01-06T00:00:00"/>
    <n v="1"/>
    <n v="18.79"/>
    <d v="2026-02-11T00:00:00"/>
    <n v="1"/>
    <n v="18.79"/>
    <m/>
    <m/>
    <n v="0"/>
    <m/>
    <m/>
    <m/>
    <n v="0"/>
    <m/>
    <m/>
    <n v="0"/>
    <s v="PAC"/>
    <m/>
  </r>
  <r>
    <n v="275"/>
    <x v="0"/>
    <s v="Shipment 2 400"/>
    <x v="2"/>
    <x v="2"/>
    <m/>
    <d v="2025-11-29T00:00:00"/>
    <s v="HEATER"/>
    <s v="HTR03"/>
    <s v="Mr Quyền"/>
    <s v="B272-400-AS-140-HB-017"/>
    <s v="140-HB-017(2/2)"/>
    <s v="HEADER BOX"/>
    <n v="1"/>
    <n v="18.79"/>
    <n v="18.79"/>
    <s v="(504x123x577)"/>
    <m/>
    <m/>
    <m/>
    <m/>
    <m/>
    <m/>
    <m/>
    <m/>
    <m/>
    <m/>
    <m/>
    <m/>
    <m/>
    <n v="16.911000000000001"/>
    <n v="1.8789999999999978"/>
    <m/>
    <m/>
    <n v="0"/>
    <d v="2026-01-06T00:00:00"/>
    <n v="1"/>
    <n v="18.79"/>
    <d v="2026-02-11T00:00:00"/>
    <n v="1"/>
    <n v="18.79"/>
    <m/>
    <m/>
    <n v="0"/>
    <m/>
    <m/>
    <m/>
    <n v="0"/>
    <m/>
    <m/>
    <n v="0"/>
    <s v="PAC"/>
    <m/>
  </r>
  <r>
    <n v="276"/>
    <x v="0"/>
    <s v="Shipment 2 400"/>
    <x v="2"/>
    <x v="2"/>
    <m/>
    <d v="2025-11-29T00:00:00"/>
    <s v="HEATER"/>
    <s v="HTR03"/>
    <s v="Mr Quyền"/>
    <s v="B272-400-AS-140-HB-018"/>
    <s v="140-HB-018"/>
    <s v="HEADER BOX"/>
    <n v="1"/>
    <n v="18.399999999999999"/>
    <n v="18.399999999999999"/>
    <s v="(528x123x584)"/>
    <m/>
    <m/>
    <m/>
    <m/>
    <m/>
    <m/>
    <m/>
    <m/>
    <m/>
    <m/>
    <m/>
    <m/>
    <m/>
    <n v="16.559999999999999"/>
    <n v="1.8399999999999999"/>
    <m/>
    <m/>
    <n v="0"/>
    <d v="2026-02-11T00:00:00"/>
    <n v="1"/>
    <n v="18.399999999999999"/>
    <d v="2026-02-11T00:00:00"/>
    <n v="1"/>
    <n v="18.399999999999999"/>
    <m/>
    <m/>
    <n v="0"/>
    <m/>
    <m/>
    <m/>
    <n v="0"/>
    <m/>
    <m/>
    <n v="0"/>
    <s v="PAC"/>
    <m/>
  </r>
  <r>
    <n v="277"/>
    <x v="0"/>
    <s v="Shipment 2 400"/>
    <x v="2"/>
    <x v="2"/>
    <m/>
    <d v="2025-11-29T00:00:00"/>
    <s v="HEATER"/>
    <s v="HTR03"/>
    <s v="Mr Quyền"/>
    <s v="B272-400-AS-140-HB-019"/>
    <s v="140-HB-019"/>
    <s v="HEADER BOX"/>
    <n v="1"/>
    <n v="18.399999999999999"/>
    <n v="18.399999999999999"/>
    <s v="(528x123x584)"/>
    <m/>
    <m/>
    <m/>
    <m/>
    <m/>
    <m/>
    <m/>
    <m/>
    <m/>
    <m/>
    <m/>
    <m/>
    <m/>
    <n v="16.559999999999999"/>
    <n v="1.8399999999999999"/>
    <m/>
    <m/>
    <n v="0"/>
    <d v="2026-02-11T00:00:00"/>
    <n v="1"/>
    <n v="18.399999999999999"/>
    <d v="2026-02-11T00:00:00"/>
    <n v="1"/>
    <n v="18.399999999999999"/>
    <m/>
    <m/>
    <n v="0"/>
    <m/>
    <m/>
    <m/>
    <n v="0"/>
    <m/>
    <m/>
    <n v="0"/>
    <s v="PAC"/>
    <m/>
  </r>
  <r>
    <n v="278"/>
    <x v="0"/>
    <s v="Shipment 2 400"/>
    <x v="2"/>
    <x v="2"/>
    <m/>
    <d v="2025-11-29T00:00:00"/>
    <s v="HEATER"/>
    <s v="HTR03"/>
    <s v="Mr Quyền"/>
    <s v="B272-400-AS-140-HB-020"/>
    <s v="140-HB-020"/>
    <s v="HEADER BOX"/>
    <n v="1"/>
    <n v="12.81"/>
    <n v="12.81"/>
    <s v="(287x140x577)"/>
    <m/>
    <m/>
    <m/>
    <m/>
    <m/>
    <m/>
    <m/>
    <m/>
    <m/>
    <m/>
    <m/>
    <m/>
    <m/>
    <n v="11.529"/>
    <n v="1.2810000000000006"/>
    <m/>
    <m/>
    <n v="0"/>
    <d v="2026-02-11T00:00:00"/>
    <n v="1"/>
    <n v="12.81"/>
    <d v="2026-02-11T00:00:00"/>
    <n v="1"/>
    <n v="12.81"/>
    <m/>
    <m/>
    <n v="0"/>
    <m/>
    <m/>
    <m/>
    <n v="0"/>
    <m/>
    <m/>
    <n v="0"/>
    <s v="PAC"/>
    <m/>
  </r>
  <r>
    <n v="279"/>
    <x v="0"/>
    <s v="Shipment 2 400"/>
    <x v="2"/>
    <x v="2"/>
    <m/>
    <d v="2025-11-29T00:00:00"/>
    <s v="HEATER"/>
    <s v="HTR03"/>
    <s v="Mr Quyền"/>
    <s v="B272-400-AS-140-HB-021"/>
    <s v="140-HB-021"/>
    <s v="HEADER BOX"/>
    <n v="1"/>
    <n v="19.47"/>
    <n v="19.47"/>
    <s v="(528x123x577)"/>
    <m/>
    <m/>
    <m/>
    <m/>
    <m/>
    <m/>
    <m/>
    <m/>
    <m/>
    <m/>
    <m/>
    <m/>
    <m/>
    <n v="17.523"/>
    <n v="1.9469999999999992"/>
    <m/>
    <m/>
    <n v="0"/>
    <d v="2026-02-11T00:00:00"/>
    <n v="1"/>
    <n v="19.47"/>
    <d v="2026-02-11T00:00:00"/>
    <n v="1"/>
    <n v="19.47"/>
    <m/>
    <m/>
    <n v="0"/>
    <m/>
    <m/>
    <m/>
    <n v="0"/>
    <m/>
    <m/>
    <n v="0"/>
    <s v="PAC"/>
    <m/>
  </r>
  <r>
    <n v="280"/>
    <x v="0"/>
    <s v="Shipment 2 400"/>
    <x v="2"/>
    <x v="2"/>
    <m/>
    <d v="2025-11-29T00:00:00"/>
    <s v="HEATER"/>
    <s v="HTR03"/>
    <s v="Mr Quyền"/>
    <s v="B272-400-AS-140-HB-022"/>
    <s v="140-HB-022"/>
    <s v="HEADER BOX"/>
    <n v="1"/>
    <n v="21.21"/>
    <n v="21.21"/>
    <s v="(634x123x584)"/>
    <m/>
    <m/>
    <m/>
    <m/>
    <m/>
    <m/>
    <m/>
    <m/>
    <m/>
    <m/>
    <m/>
    <m/>
    <m/>
    <n v="19.088999999999999"/>
    <n v="2.1210000000000022"/>
    <m/>
    <m/>
    <n v="0"/>
    <d v="2026-02-11T00:00:00"/>
    <n v="1"/>
    <n v="21.21"/>
    <d v="2026-02-11T00:00:00"/>
    <n v="1"/>
    <n v="21.21"/>
    <m/>
    <m/>
    <n v="0"/>
    <m/>
    <m/>
    <m/>
    <n v="0"/>
    <m/>
    <m/>
    <n v="0"/>
    <s v="PAC"/>
    <m/>
  </r>
  <r>
    <n v="281"/>
    <x v="0"/>
    <s v="Shipment 2 400"/>
    <x v="2"/>
    <x v="2"/>
    <m/>
    <d v="2025-11-29T00:00:00"/>
    <s v="HEATER"/>
    <s v="HTR03"/>
    <s v="Mr Quyền"/>
    <s v="B272-400-AS-140-HB-023"/>
    <s v="140-HB-023"/>
    <s v="HEADER BOX"/>
    <n v="1"/>
    <n v="21.2"/>
    <n v="21.2"/>
    <s v="(634x123x584)"/>
    <m/>
    <m/>
    <m/>
    <m/>
    <m/>
    <m/>
    <m/>
    <m/>
    <m/>
    <m/>
    <m/>
    <m/>
    <m/>
    <n v="19.079999999999998"/>
    <n v="2.120000000000001"/>
    <m/>
    <m/>
    <n v="0"/>
    <d v="2026-02-11T00:00:00"/>
    <n v="1"/>
    <n v="21.2"/>
    <d v="2026-02-11T00:00:00"/>
    <n v="1"/>
    <n v="21.2"/>
    <m/>
    <m/>
    <n v="0"/>
    <m/>
    <m/>
    <m/>
    <n v="0"/>
    <m/>
    <m/>
    <n v="0"/>
    <s v="PAC"/>
    <m/>
  </r>
  <r>
    <n v="282"/>
    <x v="0"/>
    <s v="Shipment 2 400"/>
    <x v="2"/>
    <x v="2"/>
    <m/>
    <d v="2025-11-29T00:00:00"/>
    <s v="HEATER"/>
    <s v="HTR03"/>
    <s v="Mr Quyền"/>
    <s v="B272-400-AS-140-HB-024"/>
    <s v="140-HB-024"/>
    <s v="HEADER BOX"/>
    <n v="1"/>
    <n v="20.059999999999999"/>
    <n v="20.059999999999999"/>
    <s v="(642x123x584)"/>
    <m/>
    <m/>
    <m/>
    <m/>
    <m/>
    <m/>
    <m/>
    <m/>
    <m/>
    <m/>
    <m/>
    <m/>
    <m/>
    <n v="18.053999999999998"/>
    <n v="2.0060000000000002"/>
    <m/>
    <m/>
    <n v="0"/>
    <d v="2026-02-11T00:00:00"/>
    <n v="1"/>
    <n v="20.059999999999999"/>
    <d v="2026-02-11T00:00:00"/>
    <n v="1"/>
    <n v="20.059999999999999"/>
    <m/>
    <m/>
    <n v="0"/>
    <m/>
    <m/>
    <m/>
    <n v="0"/>
    <m/>
    <m/>
    <n v="0"/>
    <s v="PAC"/>
    <m/>
  </r>
  <r>
    <n v="283"/>
    <x v="0"/>
    <s v="Shipment 2 400"/>
    <x v="2"/>
    <x v="2"/>
    <m/>
    <d v="2025-11-29T00:00:00"/>
    <s v="HEATER"/>
    <s v="HTR03"/>
    <s v="Mr Quyền"/>
    <s v="B272-400-AS-140-HB-025"/>
    <s v="140-HB-025"/>
    <s v="HEADER BOX"/>
    <n v="1"/>
    <n v="20.059999999999999"/>
    <n v="20.059999999999999"/>
    <s v="(642x123x584)"/>
    <m/>
    <m/>
    <m/>
    <m/>
    <m/>
    <m/>
    <m/>
    <m/>
    <m/>
    <m/>
    <m/>
    <m/>
    <m/>
    <n v="18.053999999999998"/>
    <n v="2.0060000000000002"/>
    <m/>
    <m/>
    <n v="0"/>
    <d v="2026-02-11T00:00:00"/>
    <n v="1"/>
    <n v="20.059999999999999"/>
    <d v="2026-02-11T00:00:00"/>
    <n v="1"/>
    <n v="20.059999999999999"/>
    <m/>
    <m/>
    <n v="0"/>
    <m/>
    <m/>
    <m/>
    <n v="0"/>
    <m/>
    <m/>
    <n v="0"/>
    <s v="PAC"/>
    <m/>
  </r>
  <r>
    <n v="284"/>
    <x v="0"/>
    <s v="Shipment 2 400"/>
    <x v="2"/>
    <x v="2"/>
    <m/>
    <d v="2025-11-29T00:00:00"/>
    <s v="HEATER"/>
    <s v="HTR03"/>
    <s v="Mr Quyền"/>
    <s v="B272-400-AS-140-HB-026"/>
    <s v="140-HB-026"/>
    <s v="HEADER BOX"/>
    <n v="1"/>
    <n v="21.34"/>
    <n v="21.34"/>
    <s v="(642x123x577)"/>
    <m/>
    <m/>
    <m/>
    <m/>
    <m/>
    <m/>
    <m/>
    <m/>
    <m/>
    <m/>
    <m/>
    <m/>
    <m/>
    <n v="19.206"/>
    <n v="2.1340000000000003"/>
    <m/>
    <m/>
    <n v="0"/>
    <d v="2026-02-11T00:00:00"/>
    <n v="1"/>
    <n v="21.34"/>
    <d v="2026-02-11T00:00:00"/>
    <n v="1"/>
    <n v="21.34"/>
    <m/>
    <m/>
    <n v="0"/>
    <m/>
    <m/>
    <m/>
    <n v="0"/>
    <m/>
    <m/>
    <n v="0"/>
    <s v="PAC"/>
    <m/>
  </r>
  <r>
    <n v="285"/>
    <x v="0"/>
    <s v="Shipment 2 400"/>
    <x v="2"/>
    <x v="2"/>
    <m/>
    <d v="2025-11-29T00:00:00"/>
    <s v="HEATER"/>
    <s v="HTR03"/>
    <s v="Mr Quyền"/>
    <s v="B272-400-AS-140-HB-027"/>
    <s v="140-HB-027(1/2)"/>
    <s v="HEADER BOX"/>
    <n v="1"/>
    <n v="12.89"/>
    <n v="12.89"/>
    <s v="(504x88x399)"/>
    <m/>
    <m/>
    <m/>
    <m/>
    <m/>
    <m/>
    <m/>
    <m/>
    <m/>
    <m/>
    <m/>
    <m/>
    <m/>
    <n v="11.601000000000001"/>
    <n v="1.2889999999999997"/>
    <m/>
    <m/>
    <n v="0"/>
    <d v="2026-02-11T00:00:00"/>
    <n v="1"/>
    <n v="12.89"/>
    <d v="2026-02-11T00:00:00"/>
    <n v="1"/>
    <n v="12.89"/>
    <m/>
    <m/>
    <n v="0"/>
    <m/>
    <m/>
    <m/>
    <n v="0"/>
    <m/>
    <m/>
    <n v="0"/>
    <s v="PAC"/>
    <m/>
  </r>
  <r>
    <n v="286"/>
    <x v="0"/>
    <s v="Shipment 2 400"/>
    <x v="2"/>
    <x v="2"/>
    <m/>
    <d v="2025-11-29T00:00:00"/>
    <s v="HEATER"/>
    <s v="HTR03"/>
    <s v="Mr Quyền"/>
    <s v="B272-400-AS-140-HB-027"/>
    <s v="140-HB-027(2/2)"/>
    <s v="HEADER BOX"/>
    <n v="1"/>
    <n v="12.89"/>
    <n v="12.89"/>
    <s v="(504x88x399)"/>
    <m/>
    <m/>
    <m/>
    <m/>
    <m/>
    <m/>
    <m/>
    <m/>
    <m/>
    <m/>
    <m/>
    <m/>
    <m/>
    <n v="11.601000000000001"/>
    <n v="1.2889999999999997"/>
    <m/>
    <m/>
    <n v="0"/>
    <d v="2026-02-11T00:00:00"/>
    <n v="1"/>
    <n v="12.89"/>
    <d v="2026-02-11T00:00:00"/>
    <n v="1"/>
    <n v="12.89"/>
    <m/>
    <m/>
    <n v="0"/>
    <m/>
    <m/>
    <m/>
    <n v="0"/>
    <m/>
    <m/>
    <n v="0"/>
    <s v="PAC"/>
    <m/>
  </r>
  <r>
    <n v="287"/>
    <x v="0"/>
    <s v="Shipment 2 400"/>
    <x v="2"/>
    <x v="2"/>
    <m/>
    <d v="2025-11-29T00:00:00"/>
    <s v="HEATER"/>
    <s v="HTR03"/>
    <s v="Mr Quyền"/>
    <s v="B272-400-AS-140-HB-028"/>
    <s v="140-HB-028(1/2)"/>
    <s v="HEADER BOX"/>
    <n v="1"/>
    <n v="12.89"/>
    <n v="12.89"/>
    <s v="(504x88x399)"/>
    <m/>
    <m/>
    <m/>
    <m/>
    <m/>
    <m/>
    <m/>
    <m/>
    <m/>
    <m/>
    <m/>
    <m/>
    <m/>
    <n v="11.601000000000001"/>
    <n v="1.2889999999999997"/>
    <m/>
    <m/>
    <n v="0"/>
    <d v="2026-02-11T00:00:00"/>
    <n v="1"/>
    <n v="12.89"/>
    <d v="2026-02-11T00:00:00"/>
    <n v="1"/>
    <n v="12.89"/>
    <m/>
    <m/>
    <n v="0"/>
    <m/>
    <m/>
    <m/>
    <n v="0"/>
    <m/>
    <m/>
    <n v="0"/>
    <s v="PAC"/>
    <m/>
  </r>
  <r>
    <n v="288"/>
    <x v="0"/>
    <s v="Shipment 2 400"/>
    <x v="2"/>
    <x v="2"/>
    <m/>
    <d v="2025-11-29T00:00:00"/>
    <s v="HEATER"/>
    <s v="HTR03"/>
    <s v="Mr Quyền"/>
    <s v="B272-400-AS-140-HB-028"/>
    <s v="140-HB-028(2/2)"/>
    <s v="HEADER BOX"/>
    <n v="1"/>
    <n v="12.89"/>
    <n v="12.89"/>
    <s v="(504x88x399)"/>
    <m/>
    <m/>
    <m/>
    <m/>
    <m/>
    <m/>
    <m/>
    <m/>
    <m/>
    <m/>
    <m/>
    <m/>
    <m/>
    <n v="11.601000000000001"/>
    <n v="1.2889999999999997"/>
    <m/>
    <m/>
    <n v="0"/>
    <d v="2026-02-11T00:00:00"/>
    <n v="1"/>
    <n v="12.89"/>
    <d v="2026-02-11T00:00:00"/>
    <n v="1"/>
    <n v="12.89"/>
    <m/>
    <m/>
    <n v="0"/>
    <m/>
    <m/>
    <m/>
    <n v="0"/>
    <m/>
    <m/>
    <n v="0"/>
    <s v="PAC"/>
    <m/>
  </r>
  <r>
    <n v="289"/>
    <x v="0"/>
    <s v="Shipment 2 400"/>
    <x v="2"/>
    <x v="2"/>
    <m/>
    <d v="2025-11-29T00:00:00"/>
    <s v="HEATER"/>
    <s v="HTR03"/>
    <s v="Mr Quyền"/>
    <s v="B272-400-AS-140-HB-029"/>
    <s v="140-HB-029"/>
    <s v="HEADER BOX"/>
    <n v="1"/>
    <n v="13.4"/>
    <n v="13.4"/>
    <s v="(528x88x399)"/>
    <m/>
    <m/>
    <m/>
    <m/>
    <m/>
    <m/>
    <m/>
    <m/>
    <m/>
    <m/>
    <m/>
    <m/>
    <m/>
    <n v="12.06"/>
    <n v="1.3399999999999999"/>
    <m/>
    <m/>
    <n v="0"/>
    <d v="2026-02-11T00:00:00"/>
    <n v="1"/>
    <n v="13.4"/>
    <d v="2026-02-11T00:00:00"/>
    <n v="1"/>
    <n v="13.4"/>
    <m/>
    <m/>
    <n v="0"/>
    <m/>
    <m/>
    <m/>
    <n v="0"/>
    <m/>
    <m/>
    <n v="0"/>
    <s v="PAC"/>
    <m/>
  </r>
  <r>
    <n v="290"/>
    <x v="0"/>
    <s v="Shipment 2 400"/>
    <x v="2"/>
    <x v="2"/>
    <m/>
    <d v="2025-11-29T00:00:00"/>
    <s v="HEATER"/>
    <s v="HTR03"/>
    <s v="Mr Quyền"/>
    <s v="B272-400-AS-140-HB-030"/>
    <s v="140-HB-030"/>
    <s v="HEADER BOX"/>
    <n v="1"/>
    <n v="13.4"/>
    <n v="13.4"/>
    <s v="(528x88x399)"/>
    <m/>
    <m/>
    <m/>
    <m/>
    <m/>
    <m/>
    <m/>
    <m/>
    <m/>
    <m/>
    <m/>
    <m/>
    <m/>
    <n v="12.06"/>
    <n v="1.3399999999999999"/>
    <m/>
    <m/>
    <n v="0"/>
    <d v="2026-02-11T00:00:00"/>
    <n v="1"/>
    <n v="13.4"/>
    <d v="2026-02-11T00:00:00"/>
    <n v="1"/>
    <n v="13.4"/>
    <m/>
    <m/>
    <n v="0"/>
    <m/>
    <m/>
    <m/>
    <n v="0"/>
    <m/>
    <m/>
    <n v="0"/>
    <s v="PAC"/>
    <m/>
  </r>
  <r>
    <n v="291"/>
    <x v="0"/>
    <s v="Shipment 2 400"/>
    <x v="2"/>
    <x v="2"/>
    <m/>
    <d v="2025-11-29T00:00:00"/>
    <s v="HEATER"/>
    <s v="HTR03"/>
    <s v="Mr Quyền"/>
    <s v="B272-400-AS-140-HB-031"/>
    <s v="140-HB-031"/>
    <s v="HEADER BOX"/>
    <n v="1"/>
    <n v="14.84"/>
    <n v="14.84"/>
    <s v="(642x88x399)"/>
    <m/>
    <m/>
    <m/>
    <m/>
    <m/>
    <m/>
    <m/>
    <m/>
    <m/>
    <m/>
    <m/>
    <m/>
    <m/>
    <n v="13.356"/>
    <n v="1.484"/>
    <m/>
    <m/>
    <n v="0"/>
    <d v="2026-02-11T00:00:00"/>
    <n v="1"/>
    <n v="14.84"/>
    <d v="2026-02-11T00:00:00"/>
    <n v="1"/>
    <n v="14.84"/>
    <m/>
    <m/>
    <n v="0"/>
    <m/>
    <m/>
    <m/>
    <n v="0"/>
    <m/>
    <m/>
    <n v="0"/>
    <s v="PAC"/>
    <m/>
  </r>
  <r>
    <n v="292"/>
    <x v="0"/>
    <s v="Shipment 2 400"/>
    <x v="2"/>
    <x v="2"/>
    <m/>
    <d v="2025-11-29T00:00:00"/>
    <s v="HEATER"/>
    <s v="HTR03"/>
    <s v="Mr Quyền"/>
    <s v="B272-400-AS-140-HB-032"/>
    <s v="140-HB-032"/>
    <s v="HEADER BOX"/>
    <n v="1"/>
    <n v="14.84"/>
    <n v="14.84"/>
    <s v="(642x88x399)"/>
    <m/>
    <m/>
    <m/>
    <m/>
    <m/>
    <m/>
    <m/>
    <m/>
    <m/>
    <m/>
    <m/>
    <m/>
    <m/>
    <n v="13.356"/>
    <n v="1.484"/>
    <m/>
    <m/>
    <n v="0"/>
    <d v="2026-02-11T00:00:00"/>
    <n v="1"/>
    <n v="14.84"/>
    <d v="2026-02-11T00:00:00"/>
    <n v="1"/>
    <n v="14.84"/>
    <m/>
    <m/>
    <n v="0"/>
    <m/>
    <m/>
    <m/>
    <n v="0"/>
    <m/>
    <m/>
    <n v="0"/>
    <s v="PAC"/>
    <m/>
  </r>
  <r>
    <n v="293"/>
    <x v="0"/>
    <s v="Shipment 2 400"/>
    <x v="2"/>
    <x v="2"/>
    <m/>
    <d v="2025-11-29T00:00:00"/>
    <s v="HEATER"/>
    <s v="HTR03"/>
    <s v="Mr Quyền"/>
    <s v="B272-400-AS-140-HB-033"/>
    <s v="140-HB-033"/>
    <s v="HEADER BOX"/>
    <n v="1"/>
    <n v="17.54"/>
    <n v="17.54"/>
    <s v="(495x123x584)"/>
    <m/>
    <m/>
    <m/>
    <m/>
    <m/>
    <m/>
    <m/>
    <m/>
    <m/>
    <m/>
    <m/>
    <m/>
    <m/>
    <n v="15.786"/>
    <n v="1.7539999999999996"/>
    <m/>
    <m/>
    <n v="0"/>
    <d v="2026-02-11T00:00:00"/>
    <n v="1"/>
    <n v="17.54"/>
    <d v="2026-02-11T00:00:00"/>
    <n v="1"/>
    <n v="17.54"/>
    <m/>
    <m/>
    <n v="0"/>
    <m/>
    <m/>
    <m/>
    <n v="0"/>
    <m/>
    <m/>
    <n v="0"/>
    <s v="PAC"/>
    <m/>
  </r>
  <r>
    <n v="294"/>
    <x v="0"/>
    <s v="Shipment 2 400"/>
    <x v="2"/>
    <x v="2"/>
    <m/>
    <d v="2025-11-29T00:00:00"/>
    <s v="HEATER"/>
    <s v="HTR03"/>
    <s v="Mr Quyền"/>
    <s v="B272-400-AS-140-HB-034"/>
    <s v="140-HB-034"/>
    <s v="HEADER BOX"/>
    <n v="1"/>
    <n v="18.72"/>
    <n v="18.72"/>
    <s v="(496x140x577)"/>
    <m/>
    <m/>
    <m/>
    <m/>
    <m/>
    <m/>
    <m/>
    <m/>
    <m/>
    <m/>
    <m/>
    <m/>
    <m/>
    <n v="16.847999999999999"/>
    <n v="1.8719999999999999"/>
    <m/>
    <m/>
    <n v="0"/>
    <d v="2026-02-11T00:00:00"/>
    <n v="1"/>
    <n v="18.72"/>
    <d v="2026-02-11T00:00:00"/>
    <n v="1"/>
    <n v="18.72"/>
    <m/>
    <m/>
    <n v="0"/>
    <m/>
    <m/>
    <m/>
    <n v="0"/>
    <m/>
    <m/>
    <n v="0"/>
    <s v="PAC"/>
    <m/>
  </r>
  <r>
    <n v="295"/>
    <x v="0"/>
    <s v="Shipment 2 400"/>
    <x v="2"/>
    <x v="2"/>
    <m/>
    <d v="2025-11-29T00:00:00"/>
    <s v="HEATER"/>
    <s v="HTR03"/>
    <s v="Mr Quyền"/>
    <s v="B272-400-AS-140-HB-035"/>
    <s v="140-HB-035"/>
    <s v="HEADER BOX"/>
    <n v="1"/>
    <n v="17.7"/>
    <n v="17.7"/>
    <s v="(496x140x584)"/>
    <m/>
    <m/>
    <m/>
    <m/>
    <m/>
    <m/>
    <m/>
    <m/>
    <m/>
    <m/>
    <m/>
    <m/>
    <m/>
    <n v="15.93"/>
    <n v="1.7699999999999996"/>
    <m/>
    <m/>
    <n v="0"/>
    <d v="2026-02-11T00:00:00"/>
    <n v="1"/>
    <n v="17.7"/>
    <d v="2026-02-11T00:00:00"/>
    <n v="1"/>
    <n v="17.7"/>
    <m/>
    <m/>
    <n v="0"/>
    <m/>
    <m/>
    <m/>
    <n v="0"/>
    <m/>
    <m/>
    <n v="0"/>
    <s v="PAC"/>
    <m/>
  </r>
  <r>
    <n v="296"/>
    <x v="0"/>
    <s v="Shipment 2 400"/>
    <x v="2"/>
    <x v="2"/>
    <m/>
    <d v="2025-11-29T00:00:00"/>
    <s v="HEATER"/>
    <s v="HTR03"/>
    <s v="Mr Quyền"/>
    <s v="B272-400-AS-140-HB-036"/>
    <s v="140-HB-036(1/4)"/>
    <s v="HEADER BOX"/>
    <n v="1"/>
    <n v="2.16"/>
    <n v="2.16"/>
    <s v="(240x117x80)"/>
    <m/>
    <m/>
    <m/>
    <m/>
    <m/>
    <m/>
    <m/>
    <m/>
    <m/>
    <m/>
    <m/>
    <m/>
    <m/>
    <n v="1.9440000000000002"/>
    <n v="0.21599999999999997"/>
    <m/>
    <m/>
    <n v="0"/>
    <d v="2026-02-11T00:00:00"/>
    <n v="1"/>
    <n v="2.16"/>
    <d v="2026-02-11T00:00:00"/>
    <n v="1"/>
    <n v="2.16"/>
    <m/>
    <m/>
    <n v="0"/>
    <m/>
    <m/>
    <m/>
    <n v="0"/>
    <m/>
    <m/>
    <n v="0"/>
    <s v="PAC"/>
    <m/>
  </r>
  <r>
    <n v="297"/>
    <x v="0"/>
    <s v="Shipment 2 400"/>
    <x v="2"/>
    <x v="2"/>
    <m/>
    <d v="2025-11-29T00:00:00"/>
    <s v="HEATER"/>
    <s v="HTR03"/>
    <s v="Mr Quyền"/>
    <s v="B272-400-AS-140-HB-036"/>
    <s v="140-HB-036(2/4)"/>
    <s v="HEADER BOX"/>
    <n v="1"/>
    <n v="2.16"/>
    <n v="2.16"/>
    <s v="(240x117x80)"/>
    <m/>
    <m/>
    <m/>
    <m/>
    <m/>
    <m/>
    <m/>
    <m/>
    <m/>
    <m/>
    <m/>
    <m/>
    <m/>
    <n v="1.9440000000000002"/>
    <n v="0.21599999999999997"/>
    <m/>
    <m/>
    <n v="0"/>
    <d v="2026-02-11T00:00:00"/>
    <n v="1"/>
    <n v="2.16"/>
    <d v="2026-02-11T00:00:00"/>
    <n v="1"/>
    <n v="2.16"/>
    <m/>
    <m/>
    <n v="0"/>
    <m/>
    <m/>
    <m/>
    <n v="0"/>
    <m/>
    <m/>
    <n v="0"/>
    <s v="PAC"/>
    <m/>
  </r>
  <r>
    <n v="298"/>
    <x v="0"/>
    <s v="Shipment 2 400"/>
    <x v="2"/>
    <x v="2"/>
    <m/>
    <d v="2025-11-29T00:00:00"/>
    <s v="HEATER"/>
    <s v="HTR03"/>
    <s v="Mr Quyền"/>
    <s v="B272-400-AS-140-HB-036"/>
    <s v="140-HB-036(3/4)"/>
    <s v="HEADER BOX"/>
    <n v="1"/>
    <n v="2.16"/>
    <n v="2.16"/>
    <s v="(240x117x80)"/>
    <m/>
    <m/>
    <m/>
    <m/>
    <m/>
    <m/>
    <m/>
    <m/>
    <m/>
    <m/>
    <m/>
    <m/>
    <m/>
    <n v="1.9440000000000002"/>
    <n v="0.21599999999999997"/>
    <m/>
    <m/>
    <n v="0"/>
    <d v="2026-02-11T00:00:00"/>
    <n v="1"/>
    <n v="2.16"/>
    <d v="2026-02-11T00:00:00"/>
    <n v="1"/>
    <n v="2.16"/>
    <m/>
    <m/>
    <n v="0"/>
    <m/>
    <m/>
    <m/>
    <n v="0"/>
    <m/>
    <m/>
    <n v="0"/>
    <s v="PAC"/>
    <m/>
  </r>
  <r>
    <n v="299"/>
    <x v="0"/>
    <s v="Shipment 2 400"/>
    <x v="2"/>
    <x v="2"/>
    <m/>
    <d v="2025-11-29T00:00:00"/>
    <s v="HEATER"/>
    <s v="HTR03"/>
    <s v="Mr Quyền"/>
    <s v="B272-400-AS-140-HB-036"/>
    <s v="140-HB-036(4/4)"/>
    <s v="HEADER BOX"/>
    <n v="1"/>
    <n v="2.16"/>
    <n v="2.16"/>
    <s v="(240x117x80)"/>
    <m/>
    <m/>
    <m/>
    <m/>
    <m/>
    <m/>
    <m/>
    <m/>
    <m/>
    <m/>
    <m/>
    <m/>
    <m/>
    <n v="1.9440000000000002"/>
    <n v="0.21599999999999997"/>
    <m/>
    <m/>
    <n v="0"/>
    <d v="2026-02-11T00:00:00"/>
    <n v="1"/>
    <n v="2.16"/>
    <d v="2026-02-11T00:00:00"/>
    <n v="1"/>
    <n v="2.16"/>
    <m/>
    <m/>
    <n v="0"/>
    <m/>
    <m/>
    <m/>
    <n v="0"/>
    <m/>
    <m/>
    <n v="0"/>
    <s v="PAC"/>
    <m/>
  </r>
  <r>
    <n v="300"/>
    <x v="0"/>
    <s v="Shipment 2 400"/>
    <x v="2"/>
    <x v="2"/>
    <m/>
    <d v="2025-11-29T00:00:00"/>
    <s v="HEATER"/>
    <s v="HTR03"/>
    <s v="Mr Quyền"/>
    <s v="B272-400-AS-140-HB-037"/>
    <s v="140-HB-037"/>
    <s v="HEADER BOX"/>
    <n v="1"/>
    <n v="12"/>
    <n v="12"/>
    <s v="(226x140x684)"/>
    <m/>
    <m/>
    <m/>
    <m/>
    <m/>
    <m/>
    <m/>
    <m/>
    <m/>
    <m/>
    <m/>
    <m/>
    <m/>
    <n v="10.8"/>
    <n v="1.1999999999999993"/>
    <m/>
    <m/>
    <n v="0"/>
    <d v="2026-02-11T00:00:00"/>
    <n v="1"/>
    <n v="12"/>
    <d v="2026-02-11T00:00:00"/>
    <n v="1"/>
    <n v="12"/>
    <m/>
    <m/>
    <n v="0"/>
    <m/>
    <m/>
    <m/>
    <n v="0"/>
    <m/>
    <m/>
    <n v="0"/>
    <s v="PAC"/>
    <m/>
  </r>
  <r>
    <n v="301"/>
    <x v="0"/>
    <s v="Shipment 2 400"/>
    <x v="2"/>
    <x v="2"/>
    <m/>
    <d v="2025-11-29T00:00:00"/>
    <s v="HEATER"/>
    <s v="HTR03"/>
    <s v="Mr Quyền"/>
    <s v="B272-400-AS-140-HB-038"/>
    <s v="140-HB-038"/>
    <s v="HEADER BOX"/>
    <n v="1"/>
    <n v="11.08"/>
    <n v="11.08"/>
    <s v="(577x226x140)"/>
    <m/>
    <m/>
    <m/>
    <m/>
    <m/>
    <m/>
    <m/>
    <m/>
    <m/>
    <m/>
    <m/>
    <m/>
    <m/>
    <n v="9.9720000000000013"/>
    <n v="1.1079999999999988"/>
    <m/>
    <m/>
    <n v="0"/>
    <d v="2026-02-11T00:00:00"/>
    <n v="1"/>
    <n v="11.08"/>
    <d v="2026-02-11T00:00:00"/>
    <n v="1"/>
    <n v="11.08"/>
    <m/>
    <m/>
    <n v="0"/>
    <m/>
    <m/>
    <m/>
    <n v="0"/>
    <m/>
    <m/>
    <n v="0"/>
    <s v="PAC"/>
    <m/>
  </r>
  <r>
    <n v="302"/>
    <x v="0"/>
    <s v="Shipment 2 400"/>
    <x v="2"/>
    <x v="2"/>
    <m/>
    <d v="2025-11-29T00:00:00"/>
    <s v="HEATER"/>
    <s v="HTR03"/>
    <s v="Mr Quyền"/>
    <s v="B272-400-AS-140-HB-039"/>
    <s v="140-HB-039"/>
    <s v="HEADER BOX"/>
    <n v="1"/>
    <n v="16.579999999999998"/>
    <n v="16.579999999999998"/>
    <s v="(564x123x484)"/>
    <m/>
    <m/>
    <m/>
    <m/>
    <m/>
    <m/>
    <m/>
    <m/>
    <m/>
    <m/>
    <m/>
    <m/>
    <m/>
    <n v="14.921999999999999"/>
    <n v="1.6579999999999995"/>
    <m/>
    <m/>
    <n v="0"/>
    <d v="2026-02-11T00:00:00"/>
    <n v="1"/>
    <n v="16.579999999999998"/>
    <d v="2026-02-11T00:00:00"/>
    <n v="1"/>
    <n v="16.579999999999998"/>
    <m/>
    <m/>
    <n v="0"/>
    <m/>
    <m/>
    <m/>
    <n v="0"/>
    <m/>
    <m/>
    <n v="0"/>
    <s v="PAC"/>
    <m/>
  </r>
  <r>
    <n v="303"/>
    <x v="0"/>
    <s v="Shipment 2 400"/>
    <x v="2"/>
    <x v="2"/>
    <m/>
    <d v="2025-11-29T00:00:00"/>
    <s v="HEATER"/>
    <s v="HTR03"/>
    <s v="Mr Quyền"/>
    <s v="B272-400-AS-140-HB-040"/>
    <s v="140-HB-040"/>
    <s v="HEADER BOX"/>
    <n v="1"/>
    <n v="23.28"/>
    <n v="23.28"/>
    <s v="(634x88x649)"/>
    <m/>
    <m/>
    <m/>
    <m/>
    <m/>
    <m/>
    <m/>
    <m/>
    <m/>
    <m/>
    <m/>
    <m/>
    <m/>
    <n v="20.952000000000002"/>
    <n v="2.3279999999999994"/>
    <m/>
    <m/>
    <n v="0"/>
    <d v="2026-02-11T00:00:00"/>
    <n v="1"/>
    <n v="23.28"/>
    <d v="2026-02-11T00:00:00"/>
    <n v="1"/>
    <n v="23.28"/>
    <m/>
    <m/>
    <n v="0"/>
    <m/>
    <m/>
    <m/>
    <n v="0"/>
    <m/>
    <m/>
    <n v="0"/>
    <s v="PAC"/>
    <m/>
  </r>
  <r>
    <n v="304"/>
    <x v="0"/>
    <s v="Shipment 2 400"/>
    <x v="2"/>
    <x v="2"/>
    <m/>
    <d v="2025-11-29T00:00:00"/>
    <s v="HEATER"/>
    <s v="HTR03"/>
    <s v="Mr Quyền"/>
    <s v="B272-400-AS-140-HB-041"/>
    <s v="140-HB-041"/>
    <s v="HEADER BOX"/>
    <n v="1"/>
    <n v="23.29"/>
    <n v="23.29"/>
    <s v="(634x88x649)"/>
    <m/>
    <m/>
    <m/>
    <m/>
    <m/>
    <m/>
    <m/>
    <m/>
    <m/>
    <m/>
    <m/>
    <m/>
    <m/>
    <n v="20.960999999999999"/>
    <n v="2.3290000000000006"/>
    <m/>
    <m/>
    <n v="0"/>
    <d v="2026-02-11T00:00:00"/>
    <n v="1"/>
    <n v="23.29"/>
    <d v="2026-02-11T00:00:00"/>
    <n v="1"/>
    <n v="23.29"/>
    <m/>
    <m/>
    <n v="0"/>
    <m/>
    <m/>
    <m/>
    <n v="0"/>
    <m/>
    <m/>
    <n v="0"/>
    <s v="PAC"/>
    <m/>
  </r>
  <r>
    <n v="305"/>
    <x v="0"/>
    <s v="Shipment 2 400"/>
    <x v="2"/>
    <x v="2"/>
    <m/>
    <d v="2025-11-29T00:00:00"/>
    <s v="HEATER"/>
    <s v="HTR03"/>
    <s v="Mr Quyền"/>
    <s v="B272-400-AS-140-HB-042"/>
    <s v="140-HB-042"/>
    <s v="HEADER BOX"/>
    <n v="1"/>
    <n v="22.47"/>
    <n v="22.47"/>
    <s v="(634x123x577)"/>
    <m/>
    <m/>
    <m/>
    <m/>
    <m/>
    <m/>
    <m/>
    <m/>
    <m/>
    <m/>
    <m/>
    <m/>
    <m/>
    <n v="20.222999999999999"/>
    <n v="2.2469999999999999"/>
    <m/>
    <m/>
    <n v="0"/>
    <d v="2026-02-11T00:00:00"/>
    <n v="1"/>
    <n v="22.47"/>
    <d v="2026-02-11T00:00:00"/>
    <n v="1"/>
    <n v="22.47"/>
    <m/>
    <m/>
    <n v="0"/>
    <m/>
    <m/>
    <m/>
    <n v="0"/>
    <m/>
    <m/>
    <n v="0"/>
    <s v="PAC"/>
    <m/>
  </r>
  <r>
    <n v="306"/>
    <x v="0"/>
    <s v="Shipment 2 400"/>
    <x v="2"/>
    <x v="2"/>
    <m/>
    <d v="2025-11-29T00:00:00"/>
    <s v="HEATER"/>
    <s v="HTR03"/>
    <s v="Mr Quyền"/>
    <s v="B272-400-AS-140-HB-043"/>
    <s v="140-HB-043"/>
    <s v="HEADER BOX"/>
    <n v="1"/>
    <n v="22.46"/>
    <n v="22.46"/>
    <s v="(634x123x577)"/>
    <m/>
    <m/>
    <m/>
    <m/>
    <m/>
    <m/>
    <m/>
    <m/>
    <m/>
    <m/>
    <m/>
    <m/>
    <m/>
    <n v="20.213999999999999"/>
    <n v="2.2460000000000022"/>
    <m/>
    <m/>
    <n v="0"/>
    <d v="2026-02-11T00:00:00"/>
    <n v="1"/>
    <n v="22.46"/>
    <d v="2026-02-11T00:00:00"/>
    <n v="1"/>
    <n v="22.46"/>
    <m/>
    <m/>
    <n v="0"/>
    <m/>
    <m/>
    <m/>
    <n v="0"/>
    <m/>
    <m/>
    <n v="0"/>
    <s v="PAC"/>
    <m/>
  </r>
  <r>
    <n v="307"/>
    <x v="0"/>
    <s v="Shipment 2 400"/>
    <x v="2"/>
    <x v="2"/>
    <m/>
    <d v="2025-11-29T00:00:00"/>
    <s v="HEATER"/>
    <s v="HTR03"/>
    <s v="Mr Quyền"/>
    <s v="B272-400-AS-140-HB-044"/>
    <s v="140-HB-044"/>
    <s v="HEADER BOX"/>
    <n v="1"/>
    <n v="21.2"/>
    <n v="21.2"/>
    <s v="(634x123x584)"/>
    <m/>
    <m/>
    <m/>
    <m/>
    <m/>
    <m/>
    <m/>
    <m/>
    <m/>
    <m/>
    <m/>
    <m/>
    <m/>
    <n v="19.079999999999998"/>
    <n v="2.120000000000001"/>
    <m/>
    <m/>
    <n v="0"/>
    <d v="2026-02-11T00:00:00"/>
    <n v="1"/>
    <n v="21.2"/>
    <d v="2026-02-11T00:00:00"/>
    <n v="1"/>
    <n v="21.2"/>
    <m/>
    <m/>
    <n v="0"/>
    <m/>
    <m/>
    <m/>
    <n v="0"/>
    <m/>
    <m/>
    <n v="0"/>
    <s v="PAC"/>
    <m/>
  </r>
  <r>
    <n v="308"/>
    <x v="0"/>
    <s v="Shipment 2 400"/>
    <x v="2"/>
    <x v="2"/>
    <m/>
    <d v="2025-11-29T00:00:00"/>
    <s v="HEATER"/>
    <s v="HTR03"/>
    <s v="Mr Quyền"/>
    <s v="B272-400-AS-140-HB-045"/>
    <s v="140-HB-045"/>
    <s v="HEADER BOX"/>
    <n v="1"/>
    <n v="21.2"/>
    <n v="21.2"/>
    <s v="(634x123x584)"/>
    <m/>
    <m/>
    <m/>
    <m/>
    <m/>
    <m/>
    <m/>
    <m/>
    <m/>
    <m/>
    <m/>
    <m/>
    <m/>
    <n v="19.079999999999998"/>
    <n v="2.120000000000001"/>
    <m/>
    <m/>
    <n v="0"/>
    <d v="2026-02-11T00:00:00"/>
    <n v="1"/>
    <n v="21.2"/>
    <d v="2026-02-11T00:00:00"/>
    <n v="1"/>
    <n v="21.2"/>
    <m/>
    <m/>
    <n v="0"/>
    <m/>
    <m/>
    <m/>
    <n v="0"/>
    <m/>
    <m/>
    <n v="0"/>
    <s v="PAC"/>
    <m/>
  </r>
  <r>
    <n v="309"/>
    <x v="0"/>
    <s v="Shipment 2 400"/>
    <x v="2"/>
    <x v="2"/>
    <m/>
    <d v="2025-11-29T00:00:00"/>
    <s v="HEATER"/>
    <s v="HTR03"/>
    <s v="Mr Quyền"/>
    <s v="B272-400-AS-140-HB-046"/>
    <s v="140-HB-046"/>
    <s v="HEADER BOX"/>
    <n v="1"/>
    <n v="24.38"/>
    <n v="24.38"/>
    <s v="(669x88x649)"/>
    <m/>
    <m/>
    <m/>
    <m/>
    <m/>
    <m/>
    <m/>
    <m/>
    <m/>
    <m/>
    <m/>
    <m/>
    <m/>
    <n v="21.942"/>
    <n v="2.4379999999999988"/>
    <m/>
    <m/>
    <n v="0"/>
    <d v="2026-02-11T00:00:00"/>
    <n v="1"/>
    <n v="24.38"/>
    <d v="2026-02-11T00:00:00"/>
    <n v="1"/>
    <n v="24.38"/>
    <m/>
    <m/>
    <n v="0"/>
    <m/>
    <m/>
    <m/>
    <n v="0"/>
    <m/>
    <m/>
    <n v="0"/>
    <s v="PAC"/>
    <m/>
  </r>
  <r>
    <n v="310"/>
    <x v="0"/>
    <s v="Shipment 2 400"/>
    <x v="2"/>
    <x v="2"/>
    <m/>
    <d v="2025-11-29T00:00:00"/>
    <s v="HEATER"/>
    <s v="HTR03"/>
    <s v="Mr Quyền"/>
    <s v="B272-400-AS-140-HB-047"/>
    <s v="140-HB-047"/>
    <s v="HEADER BOX"/>
    <n v="1"/>
    <n v="22.04"/>
    <n v="22.04"/>
    <s v="(594x88x649)"/>
    <m/>
    <m/>
    <m/>
    <m/>
    <m/>
    <m/>
    <m/>
    <m/>
    <m/>
    <m/>
    <m/>
    <m/>
    <m/>
    <n v="19.835999999999999"/>
    <n v="2.2040000000000006"/>
    <m/>
    <m/>
    <n v="0"/>
    <d v="2026-02-11T00:00:00"/>
    <n v="1"/>
    <n v="22.04"/>
    <d v="2026-02-11T00:00:00"/>
    <n v="1"/>
    <n v="22.04"/>
    <m/>
    <m/>
    <n v="0"/>
    <m/>
    <m/>
    <m/>
    <n v="0"/>
    <m/>
    <m/>
    <n v="0"/>
    <s v="PAC"/>
    <m/>
  </r>
  <r>
    <n v="311"/>
    <x v="0"/>
    <s v="Shipment 2 400"/>
    <x v="2"/>
    <x v="2"/>
    <m/>
    <d v="2025-11-29T00:00:00"/>
    <s v="HEATER"/>
    <s v="HTR03"/>
    <s v="Mr Quyền"/>
    <s v="B272-400-AS-140-HB-048"/>
    <s v="140-HB-048"/>
    <s v="HEADER BOX"/>
    <n v="1"/>
    <n v="22.04"/>
    <n v="22.04"/>
    <s v="(594x88x649)"/>
    <m/>
    <m/>
    <m/>
    <m/>
    <m/>
    <m/>
    <m/>
    <m/>
    <m/>
    <m/>
    <m/>
    <m/>
    <m/>
    <n v="19.835999999999999"/>
    <n v="2.2040000000000006"/>
    <m/>
    <m/>
    <n v="0"/>
    <d v="2026-02-11T00:00:00"/>
    <n v="1"/>
    <n v="22.04"/>
    <d v="2026-02-11T00:00:00"/>
    <n v="1"/>
    <n v="22.04"/>
    <m/>
    <m/>
    <n v="0"/>
    <m/>
    <m/>
    <m/>
    <n v="0"/>
    <m/>
    <m/>
    <n v="0"/>
    <s v="PAC"/>
    <m/>
  </r>
  <r>
    <n v="312"/>
    <x v="0"/>
    <s v="Shipment 2 400"/>
    <x v="2"/>
    <x v="2"/>
    <m/>
    <d v="2025-11-29T00:00:00"/>
    <s v="HEATER"/>
    <s v="HTR03"/>
    <s v="Mr Quyền"/>
    <s v="B272-400-AS-140-HB-049"/>
    <s v="140-HB-049"/>
    <s v="HEADER BOX"/>
    <n v="1"/>
    <n v="24.38"/>
    <n v="24.38"/>
    <s v="(669x88x649)"/>
    <m/>
    <m/>
    <m/>
    <m/>
    <m/>
    <m/>
    <m/>
    <m/>
    <m/>
    <m/>
    <m/>
    <m/>
    <m/>
    <n v="21.942"/>
    <n v="2.4379999999999988"/>
    <m/>
    <m/>
    <n v="0"/>
    <d v="2026-02-11T00:00:00"/>
    <n v="1"/>
    <n v="24.38"/>
    <d v="2026-02-11T00:00:00"/>
    <n v="1"/>
    <n v="24.38"/>
    <m/>
    <m/>
    <n v="0"/>
    <m/>
    <m/>
    <m/>
    <n v="0"/>
    <m/>
    <m/>
    <n v="0"/>
    <s v="PAC"/>
    <m/>
  </r>
  <r>
    <n v="313"/>
    <x v="0"/>
    <s v="Shipment 2 400"/>
    <x v="2"/>
    <x v="2"/>
    <m/>
    <d v="2025-11-29T00:00:00"/>
    <s v="HEATER"/>
    <s v="HTR03"/>
    <s v="Mr Quyền"/>
    <s v="B272-400-AS-140-HB-050"/>
    <s v="140-HB-050(1/2)"/>
    <s v="HEADER BOX"/>
    <n v="1"/>
    <n v="24.38"/>
    <n v="24.38"/>
    <s v="(669x88x649)"/>
    <m/>
    <m/>
    <m/>
    <m/>
    <m/>
    <m/>
    <m/>
    <m/>
    <m/>
    <m/>
    <m/>
    <m/>
    <m/>
    <n v="21.942"/>
    <n v="2.4379999999999988"/>
    <m/>
    <m/>
    <n v="0"/>
    <d v="2026-02-11T00:00:00"/>
    <n v="1"/>
    <n v="24.38"/>
    <d v="2026-02-11T00:00:00"/>
    <n v="1"/>
    <n v="24.38"/>
    <m/>
    <m/>
    <n v="0"/>
    <m/>
    <m/>
    <m/>
    <n v="0"/>
    <m/>
    <m/>
    <n v="0"/>
    <s v="PAC"/>
    <m/>
  </r>
  <r>
    <n v="314"/>
    <x v="0"/>
    <s v="Shipment 2 400"/>
    <x v="2"/>
    <x v="2"/>
    <m/>
    <d v="2025-11-29T00:00:00"/>
    <s v="HEATER"/>
    <s v="HTR03"/>
    <s v="Mr Quyền"/>
    <s v="B272-400-AS-140-HB-050"/>
    <s v="140-HB-050(2/2)"/>
    <s v="HEADER BOX"/>
    <n v="1"/>
    <n v="24.38"/>
    <n v="24.38"/>
    <s v="(669x88x649)"/>
    <m/>
    <m/>
    <m/>
    <m/>
    <m/>
    <m/>
    <m/>
    <m/>
    <m/>
    <m/>
    <m/>
    <m/>
    <m/>
    <n v="21.942"/>
    <n v="2.4379999999999988"/>
    <m/>
    <m/>
    <n v="0"/>
    <d v="2026-02-11T00:00:00"/>
    <n v="1"/>
    <n v="24.38"/>
    <d v="2026-02-11T00:00:00"/>
    <n v="1"/>
    <n v="24.38"/>
    <m/>
    <m/>
    <n v="0"/>
    <m/>
    <m/>
    <m/>
    <n v="0"/>
    <m/>
    <m/>
    <n v="0"/>
    <s v="PAC"/>
    <m/>
  </r>
  <r>
    <n v="315"/>
    <x v="0"/>
    <s v="Shipment 2 400"/>
    <x v="2"/>
    <x v="2"/>
    <m/>
    <d v="2025-11-29T00:00:00"/>
    <s v="HEATER"/>
    <s v="HTR03"/>
    <s v="Mr Quyền"/>
    <s v="B272-400-AS-140-HB-051"/>
    <s v="140-HB-051"/>
    <s v="HEADER BOX"/>
    <n v="1"/>
    <n v="21.11"/>
    <n v="21.11"/>
    <s v="(564x88x649)"/>
    <m/>
    <m/>
    <m/>
    <m/>
    <m/>
    <m/>
    <m/>
    <m/>
    <m/>
    <m/>
    <m/>
    <m/>
    <m/>
    <n v="18.999000000000002"/>
    <n v="2.1109999999999971"/>
    <m/>
    <m/>
    <n v="0"/>
    <d v="2026-02-11T00:00:00"/>
    <n v="1"/>
    <n v="21.11"/>
    <d v="2026-02-11T00:00:00"/>
    <n v="1"/>
    <n v="21.11"/>
    <m/>
    <m/>
    <n v="0"/>
    <m/>
    <m/>
    <m/>
    <n v="0"/>
    <m/>
    <m/>
    <n v="0"/>
    <s v="PAC"/>
    <m/>
  </r>
  <r>
    <n v="316"/>
    <x v="0"/>
    <s v="Shipment 2 400"/>
    <x v="2"/>
    <x v="2"/>
    <m/>
    <d v="2025-11-29T00:00:00"/>
    <s v="HEATER"/>
    <s v="HTR03"/>
    <s v="Mr Quyền"/>
    <s v="B272-400-AS-140-HB-052"/>
    <s v="140-HB-052"/>
    <s v="HEADER BOX"/>
    <n v="1"/>
    <n v="14.01"/>
    <n v="14.01"/>
    <s v="(336x88x649)"/>
    <m/>
    <m/>
    <m/>
    <m/>
    <m/>
    <m/>
    <m/>
    <m/>
    <m/>
    <m/>
    <m/>
    <m/>
    <m/>
    <n v="12.609"/>
    <n v="1.4009999999999998"/>
    <m/>
    <m/>
    <n v="0"/>
    <d v="2026-02-11T00:00:00"/>
    <n v="1"/>
    <n v="14.01"/>
    <d v="2026-02-11T00:00:00"/>
    <n v="1"/>
    <n v="14.01"/>
    <m/>
    <m/>
    <n v="0"/>
    <m/>
    <m/>
    <m/>
    <n v="0"/>
    <m/>
    <m/>
    <n v="0"/>
    <s v="PAC"/>
    <m/>
  </r>
  <r>
    <n v="317"/>
    <x v="0"/>
    <s v="Shipment 2 400"/>
    <x v="2"/>
    <x v="2"/>
    <m/>
    <d v="2025-11-29T00:00:00"/>
    <s v="HEATER"/>
    <s v="HTR03"/>
    <s v="Mr Quyền"/>
    <s v="B272-400-AS-140-HB-053"/>
    <s v="140-HB-053"/>
    <s v="HEADER BOX"/>
    <n v="1"/>
    <n v="16.600000000000001"/>
    <n v="16.600000000000001"/>
    <s v="(419x88x649)"/>
    <m/>
    <m/>
    <m/>
    <m/>
    <m/>
    <m/>
    <m/>
    <m/>
    <m/>
    <m/>
    <m/>
    <m/>
    <m/>
    <n v="14.940000000000001"/>
    <n v="1.6600000000000001"/>
    <m/>
    <m/>
    <n v="0"/>
    <d v="2026-02-11T00:00:00"/>
    <n v="1"/>
    <n v="16.600000000000001"/>
    <d v="2026-02-11T00:00:00"/>
    <n v="1"/>
    <n v="16.600000000000001"/>
    <m/>
    <m/>
    <n v="0"/>
    <m/>
    <m/>
    <m/>
    <n v="0"/>
    <m/>
    <m/>
    <n v="0"/>
    <s v="PAC"/>
    <m/>
  </r>
  <r>
    <n v="318"/>
    <x v="0"/>
    <s v="Shipment 2 400"/>
    <x v="2"/>
    <x v="2"/>
    <m/>
    <d v="2025-11-29T00:00:00"/>
    <s v="HEATER"/>
    <s v="HTR03"/>
    <s v="Mr Quyền"/>
    <s v="B272-400-AS-140-HB-054"/>
    <s v="140-HB-054"/>
    <s v="HEADER BOX"/>
    <n v="1"/>
    <n v="21.34"/>
    <n v="21.34"/>
    <s v="(594x123x577)"/>
    <m/>
    <m/>
    <m/>
    <m/>
    <m/>
    <m/>
    <m/>
    <m/>
    <m/>
    <m/>
    <m/>
    <m/>
    <m/>
    <n v="19.206"/>
    <n v="2.1340000000000003"/>
    <m/>
    <m/>
    <n v="0"/>
    <d v="2026-02-11T00:00:00"/>
    <n v="1"/>
    <n v="21.34"/>
    <d v="2026-02-11T00:00:00"/>
    <n v="1"/>
    <n v="21.34"/>
    <m/>
    <m/>
    <n v="0"/>
    <m/>
    <m/>
    <m/>
    <n v="0"/>
    <m/>
    <m/>
    <n v="0"/>
    <s v="PAC"/>
    <m/>
  </r>
  <r>
    <n v="319"/>
    <x v="0"/>
    <s v="Shipment 2 400"/>
    <x v="2"/>
    <x v="2"/>
    <m/>
    <d v="2025-11-29T00:00:00"/>
    <s v="HEATER"/>
    <s v="HTR03"/>
    <s v="Mr Quyền"/>
    <s v="B272-400-AS-140-HB-055"/>
    <s v="140-HB-055(1/2)"/>
    <s v="HEADER BOX"/>
    <n v="1"/>
    <n v="23.45"/>
    <n v="23.45"/>
    <s v="(669x123x577)"/>
    <m/>
    <m/>
    <m/>
    <m/>
    <m/>
    <m/>
    <m/>
    <m/>
    <m/>
    <m/>
    <m/>
    <m/>
    <m/>
    <n v="21.105"/>
    <n v="2.3449999999999989"/>
    <m/>
    <m/>
    <n v="0"/>
    <d v="2026-02-11T00:00:00"/>
    <n v="1"/>
    <n v="23.45"/>
    <d v="2026-02-11T00:00:00"/>
    <n v="1"/>
    <n v="23.45"/>
    <m/>
    <m/>
    <n v="0"/>
    <m/>
    <m/>
    <m/>
    <n v="0"/>
    <m/>
    <m/>
    <n v="0"/>
    <s v="PAC"/>
    <m/>
  </r>
  <r>
    <n v="320"/>
    <x v="0"/>
    <s v="Shipment 2 400"/>
    <x v="2"/>
    <x v="2"/>
    <m/>
    <d v="2025-11-29T00:00:00"/>
    <s v="HEATER"/>
    <s v="HTR03"/>
    <s v="Mr Quyền"/>
    <s v="B272-400-AS-140-HB-055"/>
    <s v="140-HB-055(2/2)"/>
    <s v="HEADER BOX"/>
    <n v="1"/>
    <n v="23.45"/>
    <n v="23.45"/>
    <s v="(669x123x577)"/>
    <m/>
    <m/>
    <m/>
    <m/>
    <m/>
    <m/>
    <m/>
    <m/>
    <m/>
    <m/>
    <m/>
    <m/>
    <m/>
    <n v="21.105"/>
    <n v="2.3449999999999989"/>
    <m/>
    <m/>
    <n v="0"/>
    <d v="2026-02-11T00:00:00"/>
    <n v="1"/>
    <n v="23.45"/>
    <d v="2026-02-11T00:00:00"/>
    <n v="1"/>
    <n v="23.45"/>
    <m/>
    <m/>
    <n v="0"/>
    <m/>
    <m/>
    <m/>
    <n v="0"/>
    <m/>
    <m/>
    <n v="0"/>
    <s v="PAC"/>
    <m/>
  </r>
  <r>
    <n v="321"/>
    <x v="0"/>
    <s v="Shipment 2 400"/>
    <x v="2"/>
    <x v="2"/>
    <m/>
    <d v="2025-11-29T00:00:00"/>
    <s v="HEATER"/>
    <s v="HTR03"/>
    <s v="Mr Quyền"/>
    <s v="B272-400-AS-140-HB-056"/>
    <s v="140-HB-056"/>
    <s v="HEADER BOX"/>
    <n v="1"/>
    <n v="21.35"/>
    <n v="21.35"/>
    <s v="(642x123x577)"/>
    <m/>
    <m/>
    <m/>
    <m/>
    <m/>
    <m/>
    <m/>
    <m/>
    <m/>
    <m/>
    <m/>
    <m/>
    <m/>
    <n v="19.215000000000003"/>
    <n v="2.134999999999998"/>
    <m/>
    <m/>
    <n v="0"/>
    <d v="2026-02-11T00:00:00"/>
    <n v="1"/>
    <n v="21.35"/>
    <d v="2026-02-11T00:00:00"/>
    <n v="1"/>
    <n v="21.35"/>
    <m/>
    <m/>
    <n v="0"/>
    <m/>
    <m/>
    <m/>
    <n v="0"/>
    <m/>
    <m/>
    <n v="0"/>
    <s v="PAC"/>
    <m/>
  </r>
  <r>
    <n v="322"/>
    <x v="0"/>
    <s v="Shipment 2 400"/>
    <x v="2"/>
    <x v="2"/>
    <m/>
    <d v="2025-11-29T00:00:00"/>
    <s v="HEATER"/>
    <s v="HTR03"/>
    <s v="Mr Quyền"/>
    <s v="B272-400-AS-140-HB-057"/>
    <s v="140-HB-057"/>
    <s v="HEADER BOX"/>
    <n v="1"/>
    <n v="15.51"/>
    <n v="15.51"/>
    <s v="(419x123x584)"/>
    <m/>
    <m/>
    <m/>
    <m/>
    <m/>
    <m/>
    <m/>
    <m/>
    <m/>
    <m/>
    <m/>
    <m/>
    <m/>
    <n v="13.959"/>
    <n v="1.5510000000000002"/>
    <m/>
    <m/>
    <n v="0"/>
    <d v="2026-02-11T00:00:00"/>
    <n v="1"/>
    <n v="15.51"/>
    <d v="2026-02-11T00:00:00"/>
    <n v="1"/>
    <n v="15.51"/>
    <m/>
    <m/>
    <n v="0"/>
    <m/>
    <m/>
    <m/>
    <n v="0"/>
    <m/>
    <m/>
    <n v="0"/>
    <s v="PAC"/>
    <m/>
  </r>
  <r>
    <n v="323"/>
    <x v="0"/>
    <s v="Shipment 2 400"/>
    <x v="2"/>
    <x v="2"/>
    <m/>
    <d v="2025-11-29T00:00:00"/>
    <s v="HEATER"/>
    <s v="HTR03"/>
    <s v="Mr Quyền"/>
    <s v="B272-400-AS-140-HB-058"/>
    <s v="140-HB-058"/>
    <s v="HEADER BOX"/>
    <n v="1"/>
    <n v="15.51"/>
    <n v="15.51"/>
    <s v="(419x123x584)"/>
    <m/>
    <m/>
    <m/>
    <m/>
    <m/>
    <m/>
    <m/>
    <m/>
    <m/>
    <m/>
    <m/>
    <m/>
    <m/>
    <n v="13.959"/>
    <n v="1.5510000000000002"/>
    <m/>
    <m/>
    <n v="0"/>
    <d v="2026-02-11T00:00:00"/>
    <n v="1"/>
    <n v="15.51"/>
    <d v="2026-02-11T00:00:00"/>
    <n v="1"/>
    <n v="15.51"/>
    <m/>
    <m/>
    <n v="0"/>
    <m/>
    <m/>
    <m/>
    <n v="0"/>
    <m/>
    <m/>
    <n v="0"/>
    <s v="PAC"/>
    <m/>
  </r>
  <r>
    <n v="324"/>
    <x v="0"/>
    <s v="Shipment 2 400"/>
    <x v="2"/>
    <x v="2"/>
    <m/>
    <d v="2025-11-29T00:00:00"/>
    <s v="HEATER"/>
    <s v="HTR03"/>
    <s v="Mr Quyền"/>
    <s v="B272-400-AS-140-HB-059"/>
    <s v="140-HB-059"/>
    <s v="HEADER BOX"/>
    <n v="1"/>
    <n v="12"/>
    <n v="12"/>
    <s v="(287x123x584)"/>
    <m/>
    <m/>
    <m/>
    <m/>
    <m/>
    <m/>
    <m/>
    <m/>
    <m/>
    <m/>
    <m/>
    <m/>
    <m/>
    <n v="10.8"/>
    <n v="1.1999999999999993"/>
    <m/>
    <m/>
    <n v="0"/>
    <d v="2026-02-11T00:00:00"/>
    <n v="1"/>
    <n v="12"/>
    <d v="2026-02-11T00:00:00"/>
    <n v="1"/>
    <n v="12"/>
    <m/>
    <m/>
    <n v="0"/>
    <m/>
    <m/>
    <m/>
    <n v="0"/>
    <m/>
    <m/>
    <n v="0"/>
    <s v="PAC"/>
    <m/>
  </r>
  <r>
    <n v="325"/>
    <x v="0"/>
    <s v="Shipment 2 400"/>
    <x v="2"/>
    <x v="2"/>
    <m/>
    <d v="2025-11-29T00:00:00"/>
    <s v="HEATER"/>
    <s v="HTR03"/>
    <s v="Mr Quyền"/>
    <s v="B272-400-AS-140-HB-060"/>
    <s v="140-HB-060(1/2)"/>
    <s v="HEADER BOX"/>
    <n v="1"/>
    <n v="22.13"/>
    <n v="22.13"/>
    <s v="(669x123x584)"/>
    <m/>
    <m/>
    <m/>
    <m/>
    <m/>
    <m/>
    <m/>
    <m/>
    <m/>
    <m/>
    <m/>
    <m/>
    <m/>
    <n v="19.917000000000002"/>
    <n v="2.2129999999999974"/>
    <m/>
    <m/>
    <n v="0"/>
    <d v="2026-02-11T00:00:00"/>
    <n v="1"/>
    <n v="22.13"/>
    <d v="2026-02-11T00:00:00"/>
    <n v="1"/>
    <n v="22.13"/>
    <m/>
    <m/>
    <n v="0"/>
    <m/>
    <m/>
    <m/>
    <n v="0"/>
    <m/>
    <m/>
    <n v="0"/>
    <s v="PAC"/>
    <m/>
  </r>
  <r>
    <n v="326"/>
    <x v="0"/>
    <s v="Shipment 2 400"/>
    <x v="2"/>
    <x v="2"/>
    <m/>
    <d v="2025-11-29T00:00:00"/>
    <s v="HEATER"/>
    <s v="HTR03"/>
    <s v="Mr Quyền"/>
    <s v="B272-400-AS-140-HB-060"/>
    <s v="140-HB-060(2/2)"/>
    <s v="HEADER BOX"/>
    <n v="1"/>
    <n v="22.13"/>
    <n v="22.13"/>
    <s v="(669x123x584)"/>
    <m/>
    <m/>
    <m/>
    <m/>
    <m/>
    <m/>
    <m/>
    <m/>
    <m/>
    <m/>
    <m/>
    <m/>
    <m/>
    <n v="19.917000000000002"/>
    <n v="2.2129999999999974"/>
    <m/>
    <m/>
    <n v="0"/>
    <d v="2026-02-11T00:00:00"/>
    <n v="1"/>
    <n v="22.13"/>
    <d v="2026-02-11T00:00:00"/>
    <n v="1"/>
    <n v="22.13"/>
    <m/>
    <m/>
    <n v="0"/>
    <m/>
    <m/>
    <m/>
    <n v="0"/>
    <m/>
    <m/>
    <n v="0"/>
    <s v="PAC"/>
    <m/>
  </r>
  <r>
    <n v="327"/>
    <x v="0"/>
    <s v="Shipment 2 400"/>
    <x v="2"/>
    <x v="2"/>
    <m/>
    <d v="2025-11-29T00:00:00"/>
    <s v="HEATER"/>
    <s v="HTR03"/>
    <s v="Mr Quyền"/>
    <s v="B272-400-AS-140-HB-061"/>
    <s v="140-HB-061(1/2)"/>
    <s v="HEADER BOX"/>
    <n v="1"/>
    <n v="22.13"/>
    <n v="22.13"/>
    <s v="(669x123x584)"/>
    <m/>
    <m/>
    <m/>
    <m/>
    <m/>
    <m/>
    <m/>
    <m/>
    <m/>
    <m/>
    <m/>
    <m/>
    <m/>
    <n v="19.917000000000002"/>
    <n v="2.2129999999999974"/>
    <m/>
    <m/>
    <n v="0"/>
    <d v="2026-02-11T00:00:00"/>
    <n v="1"/>
    <n v="22.13"/>
    <d v="2026-02-11T00:00:00"/>
    <n v="1"/>
    <n v="22.13"/>
    <m/>
    <m/>
    <n v="0"/>
    <m/>
    <m/>
    <m/>
    <n v="0"/>
    <m/>
    <m/>
    <n v="0"/>
    <s v="PAC"/>
    <m/>
  </r>
  <r>
    <n v="328"/>
    <x v="0"/>
    <s v="Shipment 2 400"/>
    <x v="2"/>
    <x v="2"/>
    <m/>
    <d v="2025-11-29T00:00:00"/>
    <s v="HEATER"/>
    <s v="HTR03"/>
    <s v="Mr Quyền"/>
    <s v="B272-400-AS-140-HB-061"/>
    <s v="140-HB-061(2/2)"/>
    <s v="HEADER BOX"/>
    <n v="1"/>
    <n v="22.13"/>
    <n v="22.13"/>
    <s v="(669x123x584)"/>
    <m/>
    <m/>
    <m/>
    <m/>
    <m/>
    <m/>
    <m/>
    <m/>
    <m/>
    <m/>
    <m/>
    <m/>
    <m/>
    <n v="19.917000000000002"/>
    <n v="2.2129999999999974"/>
    <m/>
    <m/>
    <n v="0"/>
    <d v="2026-02-11T00:00:00"/>
    <n v="1"/>
    <n v="22.13"/>
    <d v="2026-02-11T00:00:00"/>
    <n v="1"/>
    <n v="22.13"/>
    <m/>
    <m/>
    <n v="0"/>
    <m/>
    <m/>
    <m/>
    <n v="0"/>
    <m/>
    <m/>
    <n v="0"/>
    <s v="PAC"/>
    <m/>
  </r>
  <r>
    <n v="329"/>
    <x v="0"/>
    <s v="Shipment 2 400"/>
    <x v="2"/>
    <x v="2"/>
    <m/>
    <d v="2025-11-29T00:00:00"/>
    <s v="HEATER"/>
    <s v="HTR03"/>
    <s v="Mr Quyền"/>
    <s v="B272-400-AS-140-HB-062"/>
    <s v="140-HB-062"/>
    <s v="HEADER BOX"/>
    <n v="1"/>
    <n v="16.38"/>
    <n v="16.38"/>
    <s v="(419x123x577)"/>
    <m/>
    <m/>
    <m/>
    <m/>
    <m/>
    <m/>
    <m/>
    <m/>
    <m/>
    <m/>
    <m/>
    <m/>
    <m/>
    <n v="14.741999999999999"/>
    <n v="1.6379999999999999"/>
    <m/>
    <m/>
    <n v="0"/>
    <d v="2026-02-11T00:00:00"/>
    <n v="1"/>
    <n v="16.38"/>
    <d v="2026-02-11T00:00:00"/>
    <n v="1"/>
    <n v="16.38"/>
    <m/>
    <m/>
    <n v="0"/>
    <m/>
    <m/>
    <m/>
    <n v="0"/>
    <m/>
    <m/>
    <n v="0"/>
    <s v="PAC"/>
    <m/>
  </r>
  <r>
    <n v="330"/>
    <x v="0"/>
    <s v="Shipment 2 400"/>
    <x v="2"/>
    <x v="2"/>
    <m/>
    <d v="2025-11-29T00:00:00"/>
    <s v="HEATER"/>
    <s v="HTR03"/>
    <s v="Mr Quyền"/>
    <s v="B272-400-AS-140-HB-063"/>
    <s v="140-HB-063"/>
    <s v="HEADER BOX"/>
    <n v="1"/>
    <n v="20.14"/>
    <n v="20.14"/>
    <s v="(594x123x584)"/>
    <m/>
    <m/>
    <m/>
    <m/>
    <m/>
    <m/>
    <m/>
    <m/>
    <m/>
    <m/>
    <m/>
    <m/>
    <m/>
    <n v="18.126000000000001"/>
    <n v="2.0139999999999993"/>
    <m/>
    <m/>
    <n v="0"/>
    <d v="2026-02-11T00:00:00"/>
    <n v="1"/>
    <n v="20.14"/>
    <d v="2026-02-11T00:00:00"/>
    <n v="1"/>
    <n v="20.14"/>
    <m/>
    <m/>
    <n v="0"/>
    <m/>
    <m/>
    <m/>
    <n v="0"/>
    <m/>
    <m/>
    <n v="0"/>
    <s v="PAC"/>
    <m/>
  </r>
  <r>
    <n v="331"/>
    <x v="0"/>
    <s v="Shipment 2 400"/>
    <x v="2"/>
    <x v="2"/>
    <m/>
    <d v="2025-11-29T00:00:00"/>
    <s v="HEATER"/>
    <s v="HTR03"/>
    <s v="Mr Quyền"/>
    <s v="B272-400-AS-140-HB-064"/>
    <s v="140-HB-064"/>
    <s v="HEADER BOX"/>
    <n v="1"/>
    <n v="20.149999999999999"/>
    <n v="20.149999999999999"/>
    <s v="(594x123x584)"/>
    <m/>
    <m/>
    <m/>
    <m/>
    <m/>
    <m/>
    <m/>
    <m/>
    <m/>
    <m/>
    <m/>
    <m/>
    <m/>
    <n v="18.134999999999998"/>
    <n v="2.0150000000000006"/>
    <m/>
    <m/>
    <n v="0"/>
    <d v="2026-02-11T00:00:00"/>
    <n v="1"/>
    <n v="20.149999999999999"/>
    <d v="2026-02-11T00:00:00"/>
    <n v="1"/>
    <n v="20.149999999999999"/>
    <m/>
    <m/>
    <n v="0"/>
    <m/>
    <m/>
    <m/>
    <n v="0"/>
    <m/>
    <m/>
    <n v="0"/>
    <s v="PAC"/>
    <m/>
  </r>
  <r>
    <n v="332"/>
    <x v="0"/>
    <s v="Shipment 2 400"/>
    <x v="2"/>
    <x v="2"/>
    <m/>
    <d v="2025-11-29T00:00:00"/>
    <s v="HEATER"/>
    <s v="HTR03"/>
    <s v="Mr Quyền"/>
    <s v="B272-400-AS-140-HB-065"/>
    <s v="140-HB-065"/>
    <s v="HEADER BOX"/>
    <n v="1"/>
    <n v="12.17"/>
    <n v="12.17"/>
    <s v="(287x140x584)"/>
    <m/>
    <m/>
    <m/>
    <m/>
    <m/>
    <m/>
    <m/>
    <m/>
    <m/>
    <m/>
    <m/>
    <m/>
    <m/>
    <n v="10.952999999999999"/>
    <n v="1.2170000000000005"/>
    <m/>
    <m/>
    <n v="0"/>
    <d v="2026-02-11T00:00:00"/>
    <n v="1"/>
    <n v="12.17"/>
    <d v="2026-02-11T00:00:00"/>
    <n v="1"/>
    <n v="12.17"/>
    <m/>
    <m/>
    <n v="0"/>
    <m/>
    <m/>
    <m/>
    <n v="0"/>
    <m/>
    <m/>
    <n v="0"/>
    <s v="PAC"/>
    <m/>
  </r>
  <r>
    <n v="333"/>
    <x v="0"/>
    <s v="Shipment 2 400"/>
    <x v="2"/>
    <x v="2"/>
    <m/>
    <d v="2025-11-29T00:00:00"/>
    <s v="HEATER"/>
    <s v="HTR03"/>
    <s v="Mr Quyền"/>
    <s v="B272-400-AS-140-HB-066"/>
    <s v="140-HB-066"/>
    <s v="HEADER BOX"/>
    <n v="1"/>
    <n v="21.33"/>
    <n v="21.33"/>
    <s v="(594x123x577)"/>
    <m/>
    <m/>
    <m/>
    <m/>
    <m/>
    <m/>
    <m/>
    <m/>
    <m/>
    <m/>
    <m/>
    <m/>
    <m/>
    <n v="19.196999999999999"/>
    <n v="2.1329999999999991"/>
    <m/>
    <m/>
    <n v="0"/>
    <d v="2026-02-11T00:00:00"/>
    <n v="1"/>
    <n v="21.33"/>
    <d v="2026-02-11T00:00:00"/>
    <n v="1"/>
    <n v="21.33"/>
    <m/>
    <m/>
    <n v="0"/>
    <m/>
    <m/>
    <m/>
    <n v="0"/>
    <m/>
    <m/>
    <n v="0"/>
    <s v="PAC"/>
    <m/>
  </r>
  <r>
    <n v="334"/>
    <x v="0"/>
    <s v="Shipment 2 400"/>
    <x v="2"/>
    <x v="2"/>
    <m/>
    <d v="2025-11-29T00:00:00"/>
    <s v="HEATER"/>
    <s v="HTR03"/>
    <s v="Mr Quyền"/>
    <s v="B272-400-AS-140-HB-067"/>
    <s v="140-HB-067"/>
    <s v="HEADER BOX"/>
    <n v="1"/>
    <n v="10.59"/>
    <n v="10.59"/>
    <s v="(226x88x649)"/>
    <m/>
    <m/>
    <m/>
    <m/>
    <m/>
    <m/>
    <m/>
    <m/>
    <m/>
    <m/>
    <m/>
    <m/>
    <m/>
    <n v="9.5309999999999988"/>
    <n v="1.0590000000000011"/>
    <m/>
    <m/>
    <n v="0"/>
    <d v="2026-02-11T00:00:00"/>
    <n v="1"/>
    <n v="10.59"/>
    <d v="2026-02-21T00:00:00"/>
    <n v="1"/>
    <n v="10.59"/>
    <m/>
    <m/>
    <n v="0"/>
    <m/>
    <m/>
    <m/>
    <n v="0"/>
    <m/>
    <m/>
    <n v="0"/>
    <s v="PAC"/>
    <m/>
  </r>
  <r>
    <n v="335"/>
    <x v="0"/>
    <s v="Shipment 2 400"/>
    <x v="2"/>
    <x v="2"/>
    <m/>
    <d v="2025-11-29T00:00:00"/>
    <s v="HEATER"/>
    <s v="HTR03"/>
    <s v="Mr Quyền"/>
    <s v="B272-400-AS-140-HB-068"/>
    <s v="140-HB-068"/>
    <s v="HEADER BOX"/>
    <n v="1"/>
    <n v="14.19"/>
    <n v="14.19"/>
    <s v="(336x140x577)"/>
    <m/>
    <m/>
    <m/>
    <m/>
    <m/>
    <m/>
    <m/>
    <m/>
    <m/>
    <m/>
    <m/>
    <m/>
    <m/>
    <n v="12.771000000000001"/>
    <n v="1.4189999999999987"/>
    <m/>
    <m/>
    <n v="0"/>
    <d v="2026-02-11T00:00:00"/>
    <n v="1"/>
    <n v="14.19"/>
    <d v="2026-02-21T00:00:00"/>
    <n v="1"/>
    <n v="14.19"/>
    <m/>
    <m/>
    <n v="0"/>
    <m/>
    <m/>
    <m/>
    <n v="0"/>
    <m/>
    <m/>
    <n v="0"/>
    <s v="PAC"/>
    <m/>
  </r>
  <r>
    <n v="336"/>
    <x v="0"/>
    <s v="Shipment 2 400"/>
    <x v="2"/>
    <x v="2"/>
    <m/>
    <d v="2025-11-29T00:00:00"/>
    <s v="HEATER"/>
    <s v="HTR03"/>
    <s v="Mr Quyền"/>
    <s v="B272-400-AS-140-HB-069"/>
    <s v="140-HB-069"/>
    <s v="HEADER BOX"/>
    <n v="1"/>
    <n v="15.34"/>
    <n v="15.34"/>
    <s v="(336x140x684)"/>
    <m/>
    <m/>
    <m/>
    <m/>
    <m/>
    <m/>
    <m/>
    <m/>
    <m/>
    <m/>
    <m/>
    <m/>
    <m/>
    <n v="13.806000000000001"/>
    <n v="1.5339999999999989"/>
    <m/>
    <m/>
    <n v="0"/>
    <d v="2026-02-11T00:00:00"/>
    <n v="1"/>
    <n v="15.34"/>
    <d v="2026-02-21T00:00:00"/>
    <n v="1"/>
    <n v="15.34"/>
    <m/>
    <m/>
    <n v="0"/>
    <m/>
    <m/>
    <m/>
    <n v="0"/>
    <m/>
    <m/>
    <n v="0"/>
    <s v="PAC"/>
    <m/>
  </r>
  <r>
    <n v="337"/>
    <x v="0"/>
    <s v="Shipment 2 400"/>
    <x v="2"/>
    <x v="2"/>
    <m/>
    <d v="2025-11-29T00:00:00"/>
    <s v="HEATER"/>
    <s v="HTR03"/>
    <s v="Mr Quyền"/>
    <s v="B272-400-AS-140-HB-070"/>
    <s v="140-HB-070"/>
    <s v="HEADER BOX"/>
    <n v="1"/>
    <n v="15.66"/>
    <n v="15.66"/>
    <s v="(634x88x399)"/>
    <m/>
    <m/>
    <m/>
    <m/>
    <m/>
    <m/>
    <m/>
    <m/>
    <m/>
    <m/>
    <m/>
    <m/>
    <m/>
    <n v="14.094000000000001"/>
    <n v="1.5659999999999989"/>
    <m/>
    <m/>
    <n v="0"/>
    <d v="2026-02-11T00:00:00"/>
    <n v="1"/>
    <n v="15.66"/>
    <d v="2026-02-21T00:00:00"/>
    <n v="1"/>
    <n v="15.66"/>
    <m/>
    <m/>
    <n v="0"/>
    <m/>
    <m/>
    <m/>
    <n v="0"/>
    <m/>
    <m/>
    <n v="0"/>
    <s v="PAC"/>
    <m/>
  </r>
  <r>
    <n v="338"/>
    <x v="0"/>
    <s v="Shipment 2 400"/>
    <x v="2"/>
    <x v="2"/>
    <m/>
    <d v="2025-11-29T00:00:00"/>
    <s v="HEATER"/>
    <s v="HTR03"/>
    <s v="Mr Quyền"/>
    <s v="B272-400-AS-140-HB-071"/>
    <s v="140-HB-071"/>
    <s v="HEADER BOX"/>
    <n v="1"/>
    <n v="15.66"/>
    <n v="15.66"/>
    <s v="(634x88x399)"/>
    <m/>
    <m/>
    <m/>
    <m/>
    <m/>
    <m/>
    <m/>
    <m/>
    <m/>
    <m/>
    <m/>
    <m/>
    <m/>
    <n v="14.094000000000001"/>
    <n v="1.5659999999999989"/>
    <m/>
    <m/>
    <n v="0"/>
    <d v="2026-02-11T00:00:00"/>
    <n v="1"/>
    <n v="15.66"/>
    <d v="2026-02-21T00:00:00"/>
    <n v="1"/>
    <n v="15.66"/>
    <m/>
    <m/>
    <n v="0"/>
    <m/>
    <m/>
    <m/>
    <n v="0"/>
    <m/>
    <m/>
    <n v="0"/>
    <s v="PAC"/>
    <m/>
  </r>
  <r>
    <n v="339"/>
    <x v="0"/>
    <s v="Shipment 2 400"/>
    <x v="2"/>
    <x v="2"/>
    <m/>
    <d v="2025-11-29T00:00:00"/>
    <s v="HEATER"/>
    <s v="HTR03"/>
    <s v="Mr Quyền"/>
    <s v="B272-400-AS-140-HB-072"/>
    <s v="140-HB-072"/>
    <s v="HEADER BOX"/>
    <n v="1"/>
    <n v="12.71"/>
    <n v="12.71"/>
    <s v="(496x88x399)"/>
    <m/>
    <m/>
    <m/>
    <m/>
    <m/>
    <m/>
    <m/>
    <m/>
    <m/>
    <m/>
    <m/>
    <m/>
    <m/>
    <n v="11.439"/>
    <n v="1.2710000000000008"/>
    <m/>
    <m/>
    <n v="0"/>
    <d v="2026-02-11T00:00:00"/>
    <n v="1"/>
    <n v="12.71"/>
    <d v="2026-02-21T00:00:00"/>
    <n v="1"/>
    <n v="12.71"/>
    <m/>
    <m/>
    <n v="0"/>
    <m/>
    <m/>
    <m/>
    <n v="0"/>
    <m/>
    <m/>
    <n v="0"/>
    <s v="PAC"/>
    <m/>
  </r>
  <r>
    <n v="340"/>
    <x v="0"/>
    <s v="Shipment 2 400"/>
    <x v="2"/>
    <x v="2"/>
    <m/>
    <d v="2025-11-29T00:00:00"/>
    <s v="HEATER"/>
    <s v="HTR03"/>
    <s v="Mr Quyền"/>
    <s v="B272-400-AS-140-HB-073"/>
    <s v="140-HB-073"/>
    <s v="HEADER BOX"/>
    <n v="1"/>
    <n v="12.71"/>
    <n v="12.71"/>
    <s v="(496x88x399)"/>
    <m/>
    <m/>
    <m/>
    <m/>
    <m/>
    <m/>
    <m/>
    <m/>
    <m/>
    <m/>
    <m/>
    <m/>
    <m/>
    <n v="11.439"/>
    <n v="1.2710000000000008"/>
    <m/>
    <m/>
    <n v="0"/>
    <d v="2026-02-11T00:00:00"/>
    <n v="1"/>
    <n v="12.71"/>
    <d v="2026-02-21T00:00:00"/>
    <n v="1"/>
    <n v="12.71"/>
    <m/>
    <m/>
    <n v="0"/>
    <m/>
    <m/>
    <m/>
    <n v="0"/>
    <m/>
    <m/>
    <n v="0"/>
    <s v="PAC"/>
    <m/>
  </r>
  <r>
    <n v="341"/>
    <x v="0"/>
    <s v="Shipment 2 400"/>
    <x v="2"/>
    <x v="2"/>
    <m/>
    <d v="2025-11-29T00:00:00"/>
    <s v="HEATER"/>
    <s v="HTR03"/>
    <s v="Mr Quyền"/>
    <s v="B272-400-AS-140-HB-074"/>
    <s v="140-HB-074"/>
    <s v="HEADER BOX"/>
    <n v="1"/>
    <n v="14.81"/>
    <n v="14.81"/>
    <s v="(594x88x399)"/>
    <m/>
    <m/>
    <m/>
    <m/>
    <m/>
    <m/>
    <m/>
    <m/>
    <m/>
    <m/>
    <m/>
    <m/>
    <m/>
    <n v="13.329000000000001"/>
    <n v="1.4809999999999999"/>
    <m/>
    <m/>
    <n v="0"/>
    <d v="2026-02-11T00:00:00"/>
    <n v="1"/>
    <n v="14.81"/>
    <d v="2026-02-21T00:00:00"/>
    <n v="1"/>
    <n v="14.81"/>
    <m/>
    <m/>
    <n v="0"/>
    <m/>
    <m/>
    <m/>
    <n v="0"/>
    <m/>
    <m/>
    <n v="0"/>
    <s v="PAC"/>
    <m/>
  </r>
  <r>
    <n v="342"/>
    <x v="0"/>
    <s v="Shipment 2 400"/>
    <x v="2"/>
    <x v="2"/>
    <m/>
    <d v="2025-11-29T00:00:00"/>
    <s v="HEATER"/>
    <s v="HTR03"/>
    <s v="Mr Quyền"/>
    <s v="B272-400-AS-140-HB-075"/>
    <s v="140-HB-075"/>
    <s v="HEADER BOX"/>
    <n v="1"/>
    <n v="14.81"/>
    <n v="14.81"/>
    <s v="(594x88x399)"/>
    <m/>
    <m/>
    <m/>
    <m/>
    <m/>
    <m/>
    <m/>
    <m/>
    <m/>
    <m/>
    <m/>
    <m/>
    <m/>
    <n v="13.329000000000001"/>
    <n v="1.4809999999999999"/>
    <m/>
    <m/>
    <n v="0"/>
    <d v="2026-02-11T00:00:00"/>
    <n v="1"/>
    <n v="14.81"/>
    <d v="2026-02-21T00:00:00"/>
    <n v="1"/>
    <n v="14.81"/>
    <m/>
    <m/>
    <n v="0"/>
    <m/>
    <m/>
    <m/>
    <n v="0"/>
    <m/>
    <m/>
    <n v="0"/>
    <s v="PAC"/>
    <m/>
  </r>
  <r>
    <n v="343"/>
    <x v="0"/>
    <s v="Shipment 2 400"/>
    <x v="2"/>
    <x v="2"/>
    <m/>
    <d v="2025-11-29T00:00:00"/>
    <s v="HEATER"/>
    <s v="HTR03"/>
    <s v="Mr Quyền"/>
    <s v="B272-400-AS-140-HB-076"/>
    <s v="140-HB-076"/>
    <s v="HEADER BOX"/>
    <n v="1"/>
    <n v="8.26"/>
    <n v="8.26"/>
    <s v="(287x88x399)"/>
    <m/>
    <m/>
    <m/>
    <m/>
    <m/>
    <m/>
    <m/>
    <m/>
    <m/>
    <m/>
    <m/>
    <m/>
    <m/>
    <n v="7.4340000000000002"/>
    <n v="0.82599999999999962"/>
    <m/>
    <m/>
    <n v="0"/>
    <d v="2026-02-11T00:00:00"/>
    <n v="1"/>
    <n v="8.26"/>
    <d v="2026-02-21T00:00:00"/>
    <n v="1"/>
    <n v="8.26"/>
    <m/>
    <m/>
    <n v="0"/>
    <m/>
    <m/>
    <m/>
    <n v="0"/>
    <m/>
    <m/>
    <n v="0"/>
    <s v="PAC"/>
    <m/>
  </r>
  <r>
    <n v="344"/>
    <x v="0"/>
    <s v="Shipment 2 400"/>
    <x v="2"/>
    <x v="2"/>
    <m/>
    <d v="2025-11-29T00:00:00"/>
    <s v="HEATER"/>
    <s v="HTR03"/>
    <s v="Mr Quyền"/>
    <s v="B272-400-AS-140-HB-077"/>
    <s v="140-HB-077"/>
    <s v="HEADER BOX"/>
    <n v="1"/>
    <n v="8.26"/>
    <n v="8.26"/>
    <s v="(287x88x399)"/>
    <m/>
    <m/>
    <m/>
    <m/>
    <m/>
    <m/>
    <m/>
    <m/>
    <m/>
    <m/>
    <m/>
    <m/>
    <m/>
    <n v="7.4340000000000002"/>
    <n v="0.82599999999999962"/>
    <m/>
    <m/>
    <n v="0"/>
    <d v="2026-02-11T00:00:00"/>
    <n v="1"/>
    <n v="8.26"/>
    <d v="2026-02-21T00:00:00"/>
    <n v="1"/>
    <n v="8.26"/>
    <m/>
    <m/>
    <n v="0"/>
    <m/>
    <m/>
    <m/>
    <n v="0"/>
    <m/>
    <m/>
    <n v="0"/>
    <s v="PAC"/>
    <m/>
  </r>
  <r>
    <n v="345"/>
    <x v="0"/>
    <s v="Shipment 2 400"/>
    <x v="2"/>
    <x v="2"/>
    <m/>
    <d v="2025-11-29T00:00:00"/>
    <s v="HEATER"/>
    <s v="HTR03"/>
    <s v="Mr Quyền"/>
    <s v="B272-400-AS-140-HB-078"/>
    <s v="140-HB-078"/>
    <s v="HEADER BOX"/>
    <n v="1"/>
    <n v="58.11"/>
    <n v="58.11"/>
    <s v="(1750x88x707)"/>
    <m/>
    <m/>
    <m/>
    <m/>
    <m/>
    <m/>
    <m/>
    <m/>
    <m/>
    <m/>
    <m/>
    <m/>
    <m/>
    <n v="52.298999999999999"/>
    <n v="5.8109999999999999"/>
    <m/>
    <m/>
    <n v="0"/>
    <d v="2026-02-11T00:00:00"/>
    <n v="1"/>
    <n v="58.11"/>
    <d v="2026-02-21T00:00:00"/>
    <n v="1"/>
    <n v="58.11"/>
    <m/>
    <m/>
    <n v="0"/>
    <m/>
    <m/>
    <m/>
    <n v="0"/>
    <m/>
    <m/>
    <n v="0"/>
    <s v="PAC"/>
    <m/>
  </r>
  <r>
    <n v="346"/>
    <x v="0"/>
    <s v="Shipment 2 400"/>
    <x v="2"/>
    <x v="2"/>
    <m/>
    <d v="2025-11-29T00:00:00"/>
    <s v="HEATER"/>
    <s v="HTR03"/>
    <s v="Mr Quyền"/>
    <s v="B272-400-AS-140-HB-079"/>
    <s v="140-HB-079"/>
    <s v="HEADER BOX"/>
    <n v="1"/>
    <n v="20.07"/>
    <n v="20.07"/>
    <s v="(642x123x584)"/>
    <m/>
    <m/>
    <m/>
    <m/>
    <m/>
    <m/>
    <m/>
    <m/>
    <m/>
    <m/>
    <m/>
    <m/>
    <m/>
    <n v="18.063000000000002"/>
    <n v="2.0069999999999979"/>
    <m/>
    <m/>
    <n v="0"/>
    <d v="2026-02-11T00:00:00"/>
    <n v="1"/>
    <n v="20.07"/>
    <d v="2026-02-21T00:00:00"/>
    <n v="1"/>
    <n v="20.07"/>
    <m/>
    <m/>
    <n v="0"/>
    <m/>
    <m/>
    <m/>
    <n v="0"/>
    <m/>
    <m/>
    <n v="0"/>
    <s v="PAC"/>
    <m/>
  </r>
  <r>
    <n v="347"/>
    <x v="0"/>
    <s v="Shipment 2 400"/>
    <x v="2"/>
    <x v="2"/>
    <m/>
    <d v="2025-11-29T00:00:00"/>
    <s v="HEATER"/>
    <s v="HTR03"/>
    <s v="Mr Quyền"/>
    <s v="B272-400-AS-140-HB-080"/>
    <s v="140-HB-080"/>
    <s v="HEADER BOX"/>
    <n v="1"/>
    <n v="20.07"/>
    <n v="20.07"/>
    <s v="(642x123x584)"/>
    <m/>
    <m/>
    <m/>
    <m/>
    <m/>
    <m/>
    <m/>
    <m/>
    <m/>
    <m/>
    <m/>
    <m/>
    <m/>
    <n v="18.063000000000002"/>
    <n v="2.0069999999999979"/>
    <m/>
    <m/>
    <n v="0"/>
    <d v="2026-02-11T00:00:00"/>
    <n v="1"/>
    <n v="20.07"/>
    <d v="2026-02-21T00:00:00"/>
    <n v="1"/>
    <n v="20.07"/>
    <m/>
    <m/>
    <n v="0"/>
    <m/>
    <m/>
    <m/>
    <n v="0"/>
    <m/>
    <m/>
    <n v="0"/>
    <s v="PAC"/>
    <m/>
  </r>
  <r>
    <n v="348"/>
    <x v="0"/>
    <s v="Shipment 2 400"/>
    <x v="2"/>
    <x v="2"/>
    <m/>
    <d v="2025-11-29T00:00:00"/>
    <s v="HEATER"/>
    <s v="HTR04"/>
    <s v="Mr Quyền"/>
    <s v="B272-400-AS-190-BR-001"/>
    <s v="190-BR-001"/>
    <s v="BREECHING (1/4)"/>
    <n v="1"/>
    <n v="3713.44"/>
    <n v="3713.44"/>
    <s v="(9350x2460x2170)"/>
    <m/>
    <m/>
    <m/>
    <m/>
    <m/>
    <m/>
    <m/>
    <m/>
    <m/>
    <m/>
    <m/>
    <m/>
    <m/>
    <n v="3713.4400000000005"/>
    <n v="0"/>
    <m/>
    <m/>
    <n v="0"/>
    <d v="2026-01-10T00:00:00"/>
    <n v="1"/>
    <n v="3713.44"/>
    <d v="2026-01-17T00:00:00"/>
    <n v="1"/>
    <n v="3713.44"/>
    <d v="2026-04-03T00:00:00"/>
    <n v="1"/>
    <n v="3713.44"/>
    <s v="B272-006"/>
    <d v="2026-04-03T00:00:00"/>
    <n v="1"/>
    <n v="3713.44"/>
    <d v="2026-04-07T00:00:00"/>
    <n v="1"/>
    <n v="3713.44"/>
    <s v="PAC"/>
    <s v="B272-007"/>
  </r>
  <r>
    <n v="349"/>
    <x v="0"/>
    <s v="Shipment 2 400"/>
    <x v="2"/>
    <x v="2"/>
    <m/>
    <d v="2025-11-29T00:00:00"/>
    <s v="HEATER"/>
    <s v="HTR04"/>
    <s v="Mr Quyền"/>
    <s v="B272-400-AS-190-BR-002"/>
    <s v="190-BR-002(1/4)"/>
    <s v="BREECHING"/>
    <n v="1"/>
    <n v="6.56"/>
    <n v="6.56"/>
    <s v="(1740x50x50)"/>
    <m/>
    <m/>
    <m/>
    <m/>
    <m/>
    <m/>
    <m/>
    <m/>
    <m/>
    <m/>
    <m/>
    <m/>
    <m/>
    <n v="0"/>
    <n v="6.56"/>
    <m/>
    <m/>
    <n v="0"/>
    <m/>
    <m/>
    <n v="0"/>
    <m/>
    <m/>
    <n v="0"/>
    <m/>
    <m/>
    <n v="0"/>
    <m/>
    <m/>
    <m/>
    <n v="0"/>
    <m/>
    <m/>
    <n v="0"/>
    <s v="PAC"/>
    <m/>
  </r>
  <r>
    <n v="350"/>
    <x v="0"/>
    <s v="Shipment 2 400"/>
    <x v="2"/>
    <x v="2"/>
    <m/>
    <d v="2025-11-29T00:00:00"/>
    <s v="HEATER"/>
    <s v="HTR04"/>
    <s v="Mr Quyền"/>
    <s v="B272-400-AS-190-BR-002"/>
    <s v="190-BR-002(2/4)"/>
    <s v="BREECHING"/>
    <n v="1"/>
    <n v="6.56"/>
    <n v="6.56"/>
    <s v="(1740x50x50)"/>
    <m/>
    <m/>
    <m/>
    <m/>
    <m/>
    <m/>
    <m/>
    <m/>
    <m/>
    <m/>
    <m/>
    <m/>
    <m/>
    <n v="0"/>
    <n v="6.56"/>
    <m/>
    <m/>
    <n v="0"/>
    <m/>
    <m/>
    <n v="0"/>
    <m/>
    <m/>
    <n v="0"/>
    <m/>
    <m/>
    <n v="0"/>
    <m/>
    <m/>
    <m/>
    <n v="0"/>
    <m/>
    <m/>
    <n v="0"/>
    <s v="PAC"/>
    <m/>
  </r>
  <r>
    <n v="351"/>
    <x v="0"/>
    <s v="Shipment 2 400"/>
    <x v="2"/>
    <x v="2"/>
    <m/>
    <d v="2025-11-29T00:00:00"/>
    <s v="HEATER"/>
    <s v="HTR04"/>
    <s v="Mr Quyền"/>
    <s v="B272-400-AS-190-BR-002"/>
    <s v="190-BR-002(3/4)"/>
    <s v="BREECHING"/>
    <n v="1"/>
    <n v="6.56"/>
    <n v="6.56"/>
    <s v="(1740x50x50)"/>
    <m/>
    <m/>
    <m/>
    <m/>
    <m/>
    <m/>
    <m/>
    <m/>
    <m/>
    <m/>
    <m/>
    <m/>
    <m/>
    <n v="0"/>
    <n v="6.56"/>
    <m/>
    <m/>
    <n v="0"/>
    <m/>
    <m/>
    <n v="0"/>
    <m/>
    <m/>
    <n v="0"/>
    <m/>
    <m/>
    <n v="0"/>
    <m/>
    <m/>
    <m/>
    <n v="0"/>
    <m/>
    <m/>
    <n v="0"/>
    <s v="PAC"/>
    <m/>
  </r>
  <r>
    <n v="352"/>
    <x v="0"/>
    <s v="Shipment 2 400"/>
    <x v="2"/>
    <x v="2"/>
    <m/>
    <d v="2025-11-29T00:00:00"/>
    <s v="HEATER"/>
    <s v="HTR04"/>
    <s v="Mr Quyền"/>
    <s v="B272-400-AS-190-BR-002"/>
    <s v="190-BR-002(4/4)"/>
    <s v="BREECHING"/>
    <n v="1"/>
    <n v="6.56"/>
    <n v="6.56"/>
    <s v="(1740x50x50)"/>
    <m/>
    <m/>
    <m/>
    <m/>
    <m/>
    <m/>
    <m/>
    <m/>
    <m/>
    <m/>
    <m/>
    <m/>
    <m/>
    <n v="0"/>
    <n v="6.56"/>
    <m/>
    <m/>
    <n v="0"/>
    <m/>
    <m/>
    <n v="0"/>
    <m/>
    <m/>
    <n v="0"/>
    <m/>
    <m/>
    <n v="0"/>
    <m/>
    <m/>
    <m/>
    <n v="0"/>
    <m/>
    <m/>
    <n v="0"/>
    <s v="PAC"/>
    <m/>
  </r>
  <r>
    <n v="353"/>
    <x v="0"/>
    <s v="Shipment 2 400"/>
    <x v="2"/>
    <x v="2"/>
    <m/>
    <d v="2025-11-29T00:00:00"/>
    <s v="HEATER"/>
    <s v="HTR04"/>
    <s v="Mr Quyền"/>
    <s v="B272-400-AS-190-BR-003"/>
    <s v="190-BR-003"/>
    <s v="BREECHING (1/3)"/>
    <n v="1"/>
    <n v="1954.45"/>
    <n v="1954.45"/>
    <s v="(2910x2970x718)"/>
    <m/>
    <m/>
    <m/>
    <m/>
    <m/>
    <m/>
    <m/>
    <m/>
    <m/>
    <m/>
    <m/>
    <m/>
    <m/>
    <n v="1759.0050000000001"/>
    <n v="195.44499999999994"/>
    <m/>
    <m/>
    <n v="0"/>
    <d v="2026-01-23T00:00:00"/>
    <n v="1"/>
    <n v="1954.45"/>
    <d v="2026-02-05T00:00:00"/>
    <n v="1"/>
    <n v="1954.45"/>
    <m/>
    <m/>
    <n v="0"/>
    <m/>
    <m/>
    <m/>
    <n v="0"/>
    <m/>
    <m/>
    <n v="0"/>
    <s v="PAC"/>
    <m/>
  </r>
  <r>
    <n v="354"/>
    <x v="0"/>
    <s v="Shipment 2 400"/>
    <x v="2"/>
    <x v="2"/>
    <m/>
    <d v="2025-11-29T00:00:00"/>
    <s v="HEATER"/>
    <s v="HTR04"/>
    <s v="Mr Quyền"/>
    <s v="B272-400-AS-190-BR-004"/>
    <s v="190-BR-004"/>
    <s v="BREECHING"/>
    <n v="1"/>
    <n v="851.33"/>
    <n v="851.33"/>
    <s v="(4732x500x520)"/>
    <m/>
    <m/>
    <m/>
    <m/>
    <m/>
    <m/>
    <m/>
    <m/>
    <m/>
    <m/>
    <m/>
    <m/>
    <m/>
    <n v="766.19700000000012"/>
    <n v="85.132999999999925"/>
    <m/>
    <m/>
    <n v="0"/>
    <d v="2026-02-07T00:00:00"/>
    <n v="1"/>
    <n v="851.33"/>
    <d v="2026-02-08T00:00:00"/>
    <n v="1"/>
    <n v="851.33"/>
    <m/>
    <m/>
    <n v="0"/>
    <m/>
    <m/>
    <m/>
    <n v="0"/>
    <m/>
    <m/>
    <n v="0"/>
    <s v="PAC"/>
    <m/>
  </r>
  <r>
    <n v="355"/>
    <x v="0"/>
    <s v="Shipment 2 400"/>
    <x v="2"/>
    <x v="2"/>
    <m/>
    <d v="2025-11-29T00:00:00"/>
    <s v="HEATER"/>
    <s v="HTR04"/>
    <s v="Mr Quyền"/>
    <s v="B272-400-AS-190-BR-005"/>
    <s v="190-BR-005"/>
    <s v="BREECHING"/>
    <n v="1"/>
    <n v="851.33"/>
    <n v="851.33"/>
    <s v="(4732x500x520)"/>
    <m/>
    <m/>
    <m/>
    <m/>
    <m/>
    <m/>
    <m/>
    <m/>
    <m/>
    <m/>
    <m/>
    <m/>
    <m/>
    <n v="766.19700000000012"/>
    <n v="85.132999999999925"/>
    <m/>
    <m/>
    <n v="0"/>
    <d v="2026-02-07T00:00:00"/>
    <n v="1"/>
    <n v="851.33"/>
    <d v="2026-02-08T00:00:00"/>
    <n v="1"/>
    <n v="851.33"/>
    <m/>
    <m/>
    <n v="0"/>
    <m/>
    <m/>
    <m/>
    <n v="0"/>
    <m/>
    <m/>
    <n v="0"/>
    <s v="PAC"/>
    <m/>
  </r>
  <r>
    <n v="356"/>
    <x v="0"/>
    <s v="Shipment 2 400"/>
    <x v="2"/>
    <x v="2"/>
    <m/>
    <d v="2025-11-29T00:00:00"/>
    <s v="HEATER"/>
    <s v="HTR04"/>
    <s v="Mr Quyền"/>
    <s v="B272-400-AS-190-BR-006"/>
    <s v="190-BR-006"/>
    <s v="BREECHING"/>
    <n v="1"/>
    <n v="371.16"/>
    <n v="371.16"/>
    <s v="(2910x835x240)"/>
    <m/>
    <m/>
    <m/>
    <m/>
    <m/>
    <m/>
    <m/>
    <m/>
    <m/>
    <m/>
    <m/>
    <m/>
    <m/>
    <n v="334.04400000000004"/>
    <n v="37.115999999999985"/>
    <m/>
    <m/>
    <n v="0"/>
    <d v="2026-02-07T00:00:00"/>
    <n v="1"/>
    <n v="371.16"/>
    <d v="2026-02-08T00:00:00"/>
    <n v="1"/>
    <n v="371.16"/>
    <m/>
    <m/>
    <n v="0"/>
    <m/>
    <m/>
    <m/>
    <n v="0"/>
    <m/>
    <m/>
    <n v="0"/>
    <s v="PAC"/>
    <m/>
  </r>
  <r>
    <n v="357"/>
    <x v="0"/>
    <s v="Shipment 2 400"/>
    <x v="2"/>
    <x v="2"/>
    <m/>
    <d v="2025-11-29T00:00:00"/>
    <s v="HEATER"/>
    <s v="HTR04"/>
    <s v="Mr Quyền"/>
    <s v="B272-400-AS-190-BR-007"/>
    <s v="190-BR-007"/>
    <s v="BREECHING"/>
    <n v="1"/>
    <n v="323.36"/>
    <n v="323.36"/>
    <s v="(2910x835x240)"/>
    <m/>
    <m/>
    <m/>
    <m/>
    <m/>
    <m/>
    <m/>
    <m/>
    <m/>
    <m/>
    <m/>
    <m/>
    <m/>
    <n v="291.024"/>
    <n v="32.336000000000013"/>
    <m/>
    <m/>
    <n v="0"/>
    <d v="2026-02-07T00:00:00"/>
    <n v="1"/>
    <n v="323.36"/>
    <d v="2026-02-08T00:00:00"/>
    <n v="1"/>
    <n v="323.36"/>
    <m/>
    <m/>
    <n v="0"/>
    <m/>
    <m/>
    <m/>
    <n v="0"/>
    <m/>
    <m/>
    <n v="0"/>
    <s v="PAC"/>
    <m/>
  </r>
  <r>
    <n v="358"/>
    <x v="0"/>
    <s v="Shipment 2 400"/>
    <x v="2"/>
    <x v="2"/>
    <m/>
    <d v="2025-11-29T00:00:00"/>
    <s v="HEATER"/>
    <s v="HTR06"/>
    <s v="Mr Phúc"/>
    <s v="B272-400-AS-210-SK-001"/>
    <s v="210-SK-001"/>
    <s v="STACK MODULE(1/3)"/>
    <n v="1"/>
    <n v="5670.46"/>
    <n v="5670.46"/>
    <s v="(10000x2881x2805)"/>
    <m/>
    <m/>
    <m/>
    <m/>
    <m/>
    <m/>
    <m/>
    <m/>
    <m/>
    <m/>
    <m/>
    <m/>
    <m/>
    <n v="5670.4600000000009"/>
    <n v="0"/>
    <m/>
    <m/>
    <n v="0"/>
    <d v="2025-11-25T00:00:00"/>
    <n v="1"/>
    <n v="5670.46"/>
    <d v="2025-12-16T00:00:00"/>
    <n v="1"/>
    <n v="5670.46"/>
    <d v="2026-03-31T00:00:00"/>
    <n v="1"/>
    <n v="5670.46"/>
    <s v="B272-005"/>
    <d v="2026-03-31T00:00:00"/>
    <n v="1"/>
    <n v="5670.46"/>
    <d v="2026-04-07T00:00:00"/>
    <n v="1"/>
    <n v="5670.46"/>
    <s v="PAC"/>
    <s v="B272-006"/>
  </r>
  <r>
    <n v="359"/>
    <x v="0"/>
    <s v="Shipment 2 400"/>
    <x v="2"/>
    <x v="2"/>
    <m/>
    <d v="2025-11-29T00:00:00"/>
    <s v="HEATER"/>
    <s v="HTR06"/>
    <s v="Mr Phúc"/>
    <s v="B272-400-AS-210-SK-002"/>
    <s v="210-SK-002"/>
    <s v="STACK MODULE(1/3)"/>
    <n v="1"/>
    <n v="4392.13"/>
    <n v="4392.13"/>
    <s v="(6610x2700x2656)"/>
    <m/>
    <m/>
    <m/>
    <m/>
    <m/>
    <m/>
    <m/>
    <m/>
    <m/>
    <m/>
    <m/>
    <m/>
    <m/>
    <n v="4392.13"/>
    <n v="0"/>
    <m/>
    <m/>
    <n v="0"/>
    <d v="2025-12-02T00:00:00"/>
    <n v="1"/>
    <n v="4392.13"/>
    <d v="2025-12-20T00:00:00"/>
    <n v="1"/>
    <n v="4392.13"/>
    <d v="2026-03-31T00:00:00"/>
    <n v="1"/>
    <n v="4392.13"/>
    <s v="B272-005"/>
    <d v="2026-03-31T00:00:00"/>
    <n v="1"/>
    <n v="4392.13"/>
    <d v="2026-04-07T00:00:00"/>
    <n v="1"/>
    <n v="4392.13"/>
    <s v="PAC"/>
    <s v="B272-006"/>
  </r>
  <r>
    <n v="360"/>
    <x v="0"/>
    <s v="Shipment 2 400"/>
    <x v="2"/>
    <x v="2"/>
    <m/>
    <d v="2025-11-29T00:00:00"/>
    <s v="HEATER"/>
    <s v="HTR06"/>
    <s v="Mr Phúc"/>
    <s v="B272-400-AS-210-SK-003"/>
    <s v="210-SK-003"/>
    <s v="STACK MODULE(1/5)"/>
    <n v="1"/>
    <n v="3501.03"/>
    <n v="3501.03"/>
    <s v="(2704x2850x2649)"/>
    <m/>
    <m/>
    <m/>
    <m/>
    <m/>
    <m/>
    <m/>
    <m/>
    <m/>
    <m/>
    <m/>
    <m/>
    <m/>
    <n v="3501.0300000000007"/>
    <n v="0"/>
    <m/>
    <m/>
    <n v="0"/>
    <d v="2025-12-08T00:00:00"/>
    <n v="1"/>
    <n v="3501.03"/>
    <d v="2026-01-07T00:00:00"/>
    <n v="1"/>
    <n v="3501.03"/>
    <d v="2026-04-04T00:00:00"/>
    <n v="1"/>
    <n v="3501.03"/>
    <s v="B272-007"/>
    <d v="2026-04-04T00:00:00"/>
    <n v="1"/>
    <n v="3501.03"/>
    <d v="2026-04-07T00:00:00"/>
    <n v="1"/>
    <n v="3501.03"/>
    <s v="PAC"/>
    <s v="B272-008"/>
  </r>
  <r>
    <n v="361"/>
    <x v="0"/>
    <s v="Shipment 2 400"/>
    <x v="2"/>
    <x v="2"/>
    <m/>
    <d v="2025-11-29T00:00:00"/>
    <s v="HEATER"/>
    <s v="HTR06"/>
    <s v="Mr Phúc"/>
    <s v="B272-400-AS-210-SK-004"/>
    <s v="210-SK-004"/>
    <s v="STACK MODULE(1/4)"/>
    <n v="1"/>
    <n v="3088.88"/>
    <n v="3088.88"/>
    <s v="(7000x2525x2579)"/>
    <m/>
    <m/>
    <m/>
    <m/>
    <m/>
    <m/>
    <m/>
    <m/>
    <m/>
    <m/>
    <m/>
    <m/>
    <m/>
    <n v="3088.88"/>
    <n v="0"/>
    <m/>
    <m/>
    <n v="0"/>
    <d v="2025-12-23T00:00:00"/>
    <n v="1"/>
    <n v="3088.88"/>
    <d v="2026-01-21T00:00:00"/>
    <n v="1"/>
    <n v="3088.88"/>
    <d v="2026-03-25T00:00:00"/>
    <n v="1"/>
    <n v="3088.88"/>
    <s v="B272-003"/>
    <d v="2026-03-25T00:00:00"/>
    <n v="1"/>
    <n v="3088.88"/>
    <d v="2026-03-28T00:00:00"/>
    <n v="1"/>
    <n v="3088.88"/>
    <s v="PAC"/>
    <s v="B272-003"/>
  </r>
  <r>
    <n v="362"/>
    <x v="0"/>
    <s v="Shipment 2 400"/>
    <x v="2"/>
    <x v="2"/>
    <m/>
    <d v="2025-11-29T00:00:00"/>
    <s v="HEATER"/>
    <s v="HTR06"/>
    <s v="Mr Phúc"/>
    <s v="B272-400-AS-210-SK-005"/>
    <s v="210-SK-005"/>
    <s v="STACK MODULE(1/4)"/>
    <n v="1"/>
    <n v="2515.66"/>
    <n v="2515.66"/>
    <s v="(7300x2089x2053)"/>
    <m/>
    <m/>
    <m/>
    <m/>
    <m/>
    <m/>
    <m/>
    <m/>
    <m/>
    <m/>
    <m/>
    <m/>
    <m/>
    <n v="2515.66"/>
    <n v="0"/>
    <m/>
    <m/>
    <n v="0"/>
    <d v="2026-01-06T00:00:00"/>
    <n v="1"/>
    <n v="2515.66"/>
    <d v="2026-02-04T00:00:00"/>
    <n v="1"/>
    <n v="2515.66"/>
    <d v="2026-03-20T00:00:00"/>
    <n v="1"/>
    <n v="2515.66"/>
    <s v="B272-001"/>
    <d v="2026-03-20T00:00:00"/>
    <n v="1"/>
    <n v="2515.66"/>
    <d v="2026-03-25T00:00:00"/>
    <n v="1"/>
    <n v="2515.66"/>
    <s v="PAC"/>
    <s v="B272-002"/>
  </r>
  <r>
    <n v="363"/>
    <x v="0"/>
    <s v="Shipment 2 400"/>
    <x v="2"/>
    <x v="2"/>
    <m/>
    <d v="2025-11-29T00:00:00"/>
    <s v="HEATER"/>
    <s v="HTR06"/>
    <s v="Mr Phúc"/>
    <s v="B272-400-AS-210-SK-006"/>
    <s v="210-SK-006"/>
    <s v="STACK MODULE(1/4)"/>
    <n v="1"/>
    <n v="2652.72"/>
    <n v="2652.72"/>
    <s v="(8000x2089x2162)"/>
    <m/>
    <m/>
    <m/>
    <m/>
    <m/>
    <m/>
    <m/>
    <m/>
    <m/>
    <m/>
    <m/>
    <m/>
    <m/>
    <n v="2652.72"/>
    <n v="0"/>
    <m/>
    <m/>
    <n v="0"/>
    <d v="2026-02-04T00:00:00"/>
    <n v="1"/>
    <n v="2652.72"/>
    <d v="2026-02-05T00:00:00"/>
    <n v="1"/>
    <n v="2652.72"/>
    <d v="2026-03-20T00:00:00"/>
    <n v="1"/>
    <n v="2652.72"/>
    <s v="B272-001"/>
    <d v="2026-03-20T00:00:00"/>
    <n v="1"/>
    <n v="2652.72"/>
    <d v="2026-03-25T00:00:00"/>
    <n v="1"/>
    <n v="2652.72"/>
    <s v="PAC"/>
    <s v="B272-002"/>
  </r>
  <r>
    <n v="364"/>
    <x v="0"/>
    <s v="Shipment 2 400"/>
    <x v="2"/>
    <x v="2"/>
    <m/>
    <d v="2025-11-29T00:00:00"/>
    <s v="HEATER"/>
    <s v="HTR03"/>
    <s v="Mr Phúc"/>
    <s v="B272-400-AS-210-SK-014"/>
    <s v="210-SK-014"/>
    <s v="STUD BOLT"/>
    <n v="60"/>
    <n v="2.81"/>
    <n v="168.6"/>
    <s v="(500x50x50)"/>
    <m/>
    <m/>
    <m/>
    <m/>
    <m/>
    <m/>
    <m/>
    <m/>
    <m/>
    <m/>
    <m/>
    <m/>
    <m/>
    <n v="0"/>
    <n v="168.6"/>
    <m/>
    <m/>
    <n v="0"/>
    <m/>
    <m/>
    <n v="0"/>
    <m/>
    <m/>
    <n v="0"/>
    <m/>
    <m/>
    <n v="0"/>
    <m/>
    <m/>
    <m/>
    <n v="0"/>
    <m/>
    <m/>
    <n v="0"/>
    <s v="PAC"/>
    <m/>
  </r>
  <r>
    <n v="365"/>
    <x v="0"/>
    <s v="Shipment 2 400"/>
    <x v="2"/>
    <x v="2"/>
    <m/>
    <d v="2025-11-29T00:00:00"/>
    <s v="HEATER"/>
    <s v="HTR03"/>
    <s v="Mr Phúc"/>
    <s v="B272-400-AS-200-LS-001"/>
    <s v="200-LS-001"/>
    <s v="LOOSE STRUCTURE"/>
    <n v="1"/>
    <n v="632.35"/>
    <n v="632.35"/>
    <s v="(7332x240x436)"/>
    <m/>
    <m/>
    <m/>
    <m/>
    <m/>
    <m/>
    <m/>
    <m/>
    <m/>
    <m/>
    <m/>
    <m/>
    <m/>
    <n v="569.11500000000001"/>
    <n v="63.235000000000014"/>
    <m/>
    <m/>
    <n v="0"/>
    <d v="2025-12-22T00:00:00"/>
    <n v="1"/>
    <n v="632.35"/>
    <d v="2025-12-23T00:00:00"/>
    <n v="1"/>
    <n v="632.35"/>
    <m/>
    <m/>
    <n v="0"/>
    <m/>
    <m/>
    <m/>
    <n v="0"/>
    <m/>
    <m/>
    <n v="0"/>
    <s v="PAC"/>
    <m/>
  </r>
  <r>
    <n v="366"/>
    <x v="0"/>
    <s v="Shipment 2 400"/>
    <x v="2"/>
    <x v="2"/>
    <m/>
    <d v="2025-11-29T00:00:00"/>
    <s v="HEATER"/>
    <s v="HTR03"/>
    <s v="Mr Phúc"/>
    <s v="B272-400-AS-200-LS-002"/>
    <s v="200-LS-002(1/3)"/>
    <s v="LOOSE STRUCTURE"/>
    <n v="1"/>
    <n v="632.33000000000004"/>
    <n v="632.33000000000004"/>
    <s v="(7332x240x436)"/>
    <m/>
    <m/>
    <m/>
    <m/>
    <m/>
    <m/>
    <m/>
    <m/>
    <m/>
    <m/>
    <m/>
    <m/>
    <m/>
    <n v="569.09699999999998"/>
    <n v="63.233000000000061"/>
    <m/>
    <m/>
    <n v="0"/>
    <d v="2025-12-22T00:00:00"/>
    <n v="1"/>
    <n v="632.33000000000004"/>
    <d v="2025-12-23T00:00:00"/>
    <n v="1"/>
    <n v="632.33000000000004"/>
    <m/>
    <m/>
    <n v="0"/>
    <m/>
    <m/>
    <m/>
    <n v="0"/>
    <m/>
    <m/>
    <n v="0"/>
    <s v="PAC"/>
    <m/>
  </r>
  <r>
    <n v="367"/>
    <x v="0"/>
    <s v="Shipment 2 400"/>
    <x v="2"/>
    <x v="2"/>
    <m/>
    <d v="2025-11-29T00:00:00"/>
    <s v="HEATER"/>
    <s v="HTR03"/>
    <s v="Mr Phúc"/>
    <s v="B272-400-AS-200-LS-002"/>
    <s v="200-LS-002(2/3)"/>
    <s v="LOOSE STRUCTURE"/>
    <n v="1"/>
    <n v="632.33000000000004"/>
    <n v="632.33000000000004"/>
    <s v="(7332x240x436)"/>
    <m/>
    <m/>
    <m/>
    <m/>
    <m/>
    <m/>
    <m/>
    <m/>
    <m/>
    <m/>
    <m/>
    <m/>
    <m/>
    <n v="569.09699999999998"/>
    <n v="63.233000000000061"/>
    <m/>
    <m/>
    <n v="0"/>
    <d v="2025-12-22T00:00:00"/>
    <n v="1"/>
    <n v="632.33000000000004"/>
    <d v="2025-12-23T00:00:00"/>
    <n v="1"/>
    <n v="632.33000000000004"/>
    <m/>
    <m/>
    <n v="0"/>
    <m/>
    <m/>
    <m/>
    <n v="0"/>
    <m/>
    <m/>
    <n v="0"/>
    <s v="PAC"/>
    <m/>
  </r>
  <r>
    <n v="368"/>
    <x v="0"/>
    <s v="Shipment 2 400"/>
    <x v="2"/>
    <x v="2"/>
    <m/>
    <d v="2025-11-29T00:00:00"/>
    <s v="HEATER"/>
    <s v="HTR03"/>
    <s v="Mr Phúc"/>
    <s v="B272-400-AS-200-LS-002"/>
    <s v="200-LS-002(3/3)"/>
    <s v="LOOSE STRUCTURE"/>
    <n v="1"/>
    <n v="632.33000000000004"/>
    <n v="632.33000000000004"/>
    <s v="(7332x240x436)"/>
    <m/>
    <m/>
    <m/>
    <m/>
    <m/>
    <m/>
    <m/>
    <m/>
    <m/>
    <m/>
    <m/>
    <m/>
    <m/>
    <n v="569.09699999999998"/>
    <n v="63.233000000000061"/>
    <m/>
    <m/>
    <n v="0"/>
    <d v="2025-12-22T00:00:00"/>
    <n v="1"/>
    <n v="632.33000000000004"/>
    <d v="2025-12-23T00:00:00"/>
    <n v="1"/>
    <n v="632.33000000000004"/>
    <m/>
    <m/>
    <n v="0"/>
    <m/>
    <m/>
    <m/>
    <n v="0"/>
    <m/>
    <m/>
    <n v="0"/>
    <s v="PAC"/>
    <m/>
  </r>
  <r>
    <n v="369"/>
    <x v="0"/>
    <s v="Shipment 2 400"/>
    <x v="2"/>
    <x v="2"/>
    <m/>
    <d v="2025-11-29T00:00:00"/>
    <s v="HEATER"/>
    <s v="HTR03"/>
    <s v="Mr Phúc"/>
    <s v="B272-400-AS-200-LS-003"/>
    <s v="200-LS-003"/>
    <s v="LOOSE STRUCTURE"/>
    <n v="1"/>
    <n v="11.94"/>
    <n v="11.94"/>
    <s v="(500x120x160)"/>
    <m/>
    <m/>
    <m/>
    <m/>
    <m/>
    <m/>
    <m/>
    <m/>
    <m/>
    <m/>
    <m/>
    <m/>
    <m/>
    <n v="10.745999999999999"/>
    <n v="1.1940000000000008"/>
    <m/>
    <m/>
    <n v="0"/>
    <d v="2025-12-22T00:00:00"/>
    <n v="1"/>
    <n v="11.94"/>
    <d v="2025-12-23T00:00:00"/>
    <n v="1"/>
    <n v="11.94"/>
    <m/>
    <m/>
    <n v="0"/>
    <m/>
    <m/>
    <m/>
    <n v="0"/>
    <m/>
    <m/>
    <n v="0"/>
    <s v="PAC"/>
    <m/>
  </r>
  <r>
    <n v="370"/>
    <x v="0"/>
    <s v="Shipment 2 400"/>
    <x v="2"/>
    <x v="2"/>
    <m/>
    <d v="2025-11-29T00:00:00"/>
    <s v="HEATER"/>
    <s v="HTR03"/>
    <s v="Mr Phúc"/>
    <s v="B272-400-AS-200-LS-004"/>
    <s v="200-LS-004"/>
    <s v="LOOSE STRUCTURE"/>
    <n v="1"/>
    <n v="160.13"/>
    <n v="160.13"/>
    <s v="(1090x2075x400)"/>
    <m/>
    <m/>
    <m/>
    <m/>
    <m/>
    <m/>
    <m/>
    <m/>
    <m/>
    <m/>
    <m/>
    <m/>
    <m/>
    <n v="144.11700000000002"/>
    <n v="16.012999999999977"/>
    <m/>
    <m/>
    <n v="0"/>
    <d v="2025-12-22T00:00:00"/>
    <n v="1"/>
    <n v="160.13"/>
    <d v="2025-12-23T00:00:00"/>
    <n v="1"/>
    <n v="160.13"/>
    <m/>
    <m/>
    <n v="0"/>
    <m/>
    <m/>
    <m/>
    <n v="0"/>
    <m/>
    <m/>
    <n v="0"/>
    <s v="PAC"/>
    <m/>
  </r>
  <r>
    <n v="371"/>
    <x v="0"/>
    <s v="Shipment 2 400"/>
    <x v="2"/>
    <x v="2"/>
    <m/>
    <d v="2025-11-29T00:00:00"/>
    <s v="HEATER"/>
    <s v="HTR03"/>
    <s v="Mr Phúc"/>
    <s v="B272-400-AS-200-LS-005"/>
    <s v="200-LS-005"/>
    <s v="LOOSE STRUCTURE"/>
    <n v="1"/>
    <n v="46.11"/>
    <n v="46.11"/>
    <s v="(890x267x360)"/>
    <m/>
    <m/>
    <m/>
    <m/>
    <m/>
    <m/>
    <m/>
    <m/>
    <m/>
    <m/>
    <m/>
    <m/>
    <m/>
    <n v="41.498999999999995"/>
    <n v="4.6110000000000042"/>
    <m/>
    <m/>
    <n v="0"/>
    <d v="2025-12-22T00:00:00"/>
    <n v="1"/>
    <n v="46.11"/>
    <d v="2026-02-05T00:00:00"/>
    <n v="1"/>
    <n v="46.11"/>
    <m/>
    <m/>
    <n v="0"/>
    <m/>
    <m/>
    <m/>
    <n v="0"/>
    <m/>
    <m/>
    <n v="0"/>
    <s v="PAC"/>
    <m/>
  </r>
  <r>
    <n v="372"/>
    <x v="0"/>
    <s v="Shipment 2 400"/>
    <x v="2"/>
    <x v="2"/>
    <m/>
    <d v="2025-11-29T00:00:00"/>
    <s v="HEATER"/>
    <s v="HTR03"/>
    <s v="Mr Phúc"/>
    <s v="B272-400-AS-200-LS-006"/>
    <s v="200-LS-006"/>
    <s v="LOOSE STRUCTURE"/>
    <n v="1"/>
    <n v="56.75"/>
    <n v="56.75"/>
    <s v="(3340x120x160)"/>
    <m/>
    <m/>
    <m/>
    <m/>
    <m/>
    <m/>
    <m/>
    <m/>
    <m/>
    <m/>
    <m/>
    <m/>
    <m/>
    <n v="51.075000000000003"/>
    <n v="5.6749999999999972"/>
    <m/>
    <m/>
    <n v="0"/>
    <d v="2025-12-22T00:00:00"/>
    <n v="1"/>
    <n v="56.75"/>
    <d v="2026-02-05T00:00:00"/>
    <n v="1"/>
    <n v="56.75"/>
    <m/>
    <m/>
    <n v="0"/>
    <m/>
    <m/>
    <m/>
    <n v="0"/>
    <m/>
    <m/>
    <n v="0"/>
    <s v="PAC"/>
    <m/>
  </r>
  <r>
    <n v="373"/>
    <x v="0"/>
    <s v="Shipment 2 400"/>
    <x v="2"/>
    <x v="2"/>
    <m/>
    <d v="2025-11-29T00:00:00"/>
    <s v="HEATER"/>
    <s v="HTR03"/>
    <s v="Mr Phúc"/>
    <s v="B272-400-AS-200-LS-007"/>
    <s v="200-LS-007"/>
    <s v="LOOSE STRUCTURE"/>
    <n v="1"/>
    <n v="11.17"/>
    <n v="11.17"/>
    <s v="(1159x80x80)"/>
    <m/>
    <m/>
    <m/>
    <m/>
    <m/>
    <m/>
    <m/>
    <m/>
    <m/>
    <m/>
    <m/>
    <m/>
    <m/>
    <n v="10.053000000000001"/>
    <n v="1.1169999999999991"/>
    <m/>
    <m/>
    <n v="0"/>
    <d v="2025-12-25T00:00:00"/>
    <n v="1"/>
    <n v="11.17"/>
    <d v="2026-02-05T00:00:00"/>
    <n v="1"/>
    <n v="11.17"/>
    <m/>
    <m/>
    <n v="0"/>
    <m/>
    <m/>
    <m/>
    <n v="0"/>
    <m/>
    <m/>
    <n v="0"/>
    <s v="PAC"/>
    <m/>
  </r>
  <r>
    <n v="374"/>
    <x v="0"/>
    <s v="Shipment 2 400"/>
    <x v="2"/>
    <x v="2"/>
    <m/>
    <d v="2025-11-29T00:00:00"/>
    <s v="HEATER"/>
    <s v="HTR03"/>
    <s v="Mr Phúc"/>
    <s v="B272-400-AS-200-LS-008"/>
    <s v="200-LS-008"/>
    <s v="LOOSE STRUCTURE"/>
    <n v="1"/>
    <n v="8.99"/>
    <n v="8.99"/>
    <s v="(933x80x80)"/>
    <m/>
    <m/>
    <m/>
    <m/>
    <m/>
    <m/>
    <m/>
    <m/>
    <m/>
    <m/>
    <m/>
    <m/>
    <m/>
    <n v="8.0910000000000011"/>
    <n v="0.89899999999999913"/>
    <m/>
    <m/>
    <n v="0"/>
    <d v="2025-12-25T00:00:00"/>
    <n v="1"/>
    <n v="8.99"/>
    <d v="2026-02-05T00:00:00"/>
    <n v="1"/>
    <n v="8.99"/>
    <m/>
    <m/>
    <n v="0"/>
    <m/>
    <m/>
    <m/>
    <n v="0"/>
    <m/>
    <m/>
    <n v="0"/>
    <s v="PAC"/>
    <m/>
  </r>
  <r>
    <n v="375"/>
    <x v="0"/>
    <s v="Shipment 2 400"/>
    <x v="2"/>
    <x v="2"/>
    <m/>
    <d v="2025-11-29T00:00:00"/>
    <s v="HEATER"/>
    <s v="HTR03"/>
    <s v="Mr Phúc"/>
    <s v="B272-400-AS-200-LS-009"/>
    <s v="200-LS-009"/>
    <s v="LOOSE STRUCTURE"/>
    <n v="1"/>
    <n v="25.87"/>
    <n v="25.87"/>
    <s v="(1930x90x459)"/>
    <m/>
    <m/>
    <m/>
    <m/>
    <m/>
    <m/>
    <m/>
    <m/>
    <m/>
    <m/>
    <m/>
    <m/>
    <m/>
    <n v="23.283000000000001"/>
    <n v="2.5869999999999997"/>
    <m/>
    <m/>
    <n v="0"/>
    <d v="2025-12-25T00:00:00"/>
    <n v="1"/>
    <n v="25.87"/>
    <d v="2026-02-05T00:00:00"/>
    <n v="1"/>
    <n v="25.87"/>
    <m/>
    <m/>
    <n v="0"/>
    <m/>
    <m/>
    <m/>
    <n v="0"/>
    <m/>
    <m/>
    <n v="0"/>
    <s v="PAC"/>
    <m/>
  </r>
  <r>
    <n v="376"/>
    <x v="0"/>
    <s v="Shipment 2 400"/>
    <x v="2"/>
    <x v="2"/>
    <m/>
    <d v="2025-11-29T00:00:00"/>
    <s v="HEATER"/>
    <s v="HTR03"/>
    <s v="Mr Phúc"/>
    <s v="B272-400-AS-200-LS-010"/>
    <s v="200-LS-010"/>
    <s v="LOOSE STRUCTURE"/>
    <n v="1"/>
    <n v="8.0299999999999994"/>
    <n v="8.0299999999999994"/>
    <s v="(834x80x80)"/>
    <m/>
    <m/>
    <m/>
    <m/>
    <m/>
    <m/>
    <m/>
    <m/>
    <m/>
    <m/>
    <m/>
    <m/>
    <m/>
    <n v="7.2269999999999994"/>
    <n v="0.80299999999999994"/>
    <m/>
    <m/>
    <n v="0"/>
    <d v="2025-12-25T00:00:00"/>
    <n v="1"/>
    <n v="8.0299999999999994"/>
    <d v="2026-02-05T00:00:00"/>
    <n v="1"/>
    <n v="8.0299999999999994"/>
    <m/>
    <m/>
    <n v="0"/>
    <m/>
    <m/>
    <m/>
    <n v="0"/>
    <m/>
    <m/>
    <n v="0"/>
    <s v="PAC"/>
    <m/>
  </r>
  <r>
    <n v="377"/>
    <x v="0"/>
    <s v="Shipment 2 400"/>
    <x v="2"/>
    <x v="2"/>
    <m/>
    <d v="2025-11-29T00:00:00"/>
    <s v="HEATER"/>
    <s v="HTR03"/>
    <s v="Mr Phúc"/>
    <s v="B272-400-AS-200-LS-011"/>
    <s v="200-LS-011"/>
    <s v="LOOSE STRUCTURE"/>
    <n v="1"/>
    <n v="16.559999999999999"/>
    <n v="16.559999999999999"/>
    <s v="(1719x80x80)"/>
    <m/>
    <m/>
    <m/>
    <m/>
    <m/>
    <m/>
    <m/>
    <m/>
    <m/>
    <m/>
    <m/>
    <m/>
    <m/>
    <n v="14.904"/>
    <n v="1.6559999999999988"/>
    <m/>
    <m/>
    <n v="0"/>
    <d v="2025-12-25T00:00:00"/>
    <n v="1"/>
    <n v="16.559999999999999"/>
    <d v="2026-02-05T00:00:00"/>
    <n v="1"/>
    <n v="16.559999999999999"/>
    <m/>
    <m/>
    <n v="0"/>
    <m/>
    <m/>
    <m/>
    <n v="0"/>
    <m/>
    <m/>
    <n v="0"/>
    <s v="PAC"/>
    <m/>
  </r>
  <r>
    <n v="378"/>
    <x v="0"/>
    <s v="Shipment 2 400"/>
    <x v="2"/>
    <x v="2"/>
    <m/>
    <d v="2025-11-29T00:00:00"/>
    <s v="HEATER"/>
    <s v="HTR03"/>
    <s v="Mr Phúc"/>
    <s v="B272-400-AS-200-LS-012"/>
    <s v="200-LS-012"/>
    <s v="LOOSE STRUCTURE"/>
    <n v="1"/>
    <n v="11.27"/>
    <n v="11.27"/>
    <s v="(1170x80x80)"/>
    <m/>
    <m/>
    <m/>
    <m/>
    <m/>
    <m/>
    <m/>
    <m/>
    <m/>
    <m/>
    <m/>
    <m/>
    <m/>
    <n v="10.143000000000001"/>
    <n v="1.1269999999999989"/>
    <m/>
    <m/>
    <n v="0"/>
    <d v="2025-12-25T00:00:00"/>
    <n v="1"/>
    <n v="11.27"/>
    <d v="2026-02-05T00:00:00"/>
    <n v="1"/>
    <n v="11.27"/>
    <m/>
    <m/>
    <n v="0"/>
    <m/>
    <m/>
    <m/>
    <n v="0"/>
    <m/>
    <m/>
    <n v="0"/>
    <s v="PAC"/>
    <m/>
  </r>
  <r>
    <n v="379"/>
    <x v="0"/>
    <s v="Shipment 2 400"/>
    <x v="2"/>
    <x v="2"/>
    <m/>
    <d v="2025-11-29T00:00:00"/>
    <s v="HEATER"/>
    <s v="HTR03"/>
    <s v="Mr Phúc"/>
    <s v="B272-400-AS-200-LS-013"/>
    <s v="200-LS-013"/>
    <s v="LOOSE STRUCTURE"/>
    <n v="1"/>
    <n v="48.57"/>
    <n v="48.57"/>
    <s v="(1005x264x370)"/>
    <m/>
    <m/>
    <m/>
    <m/>
    <m/>
    <m/>
    <m/>
    <m/>
    <m/>
    <m/>
    <m/>
    <m/>
    <m/>
    <n v="43.713000000000001"/>
    <n v="4.8569999999999993"/>
    <m/>
    <m/>
    <n v="0"/>
    <d v="2025-12-25T00:00:00"/>
    <n v="1"/>
    <n v="48.57"/>
    <d v="2026-02-05T00:00:00"/>
    <n v="1"/>
    <n v="48.57"/>
    <m/>
    <m/>
    <n v="0"/>
    <m/>
    <m/>
    <m/>
    <n v="0"/>
    <m/>
    <m/>
    <n v="0"/>
    <s v="PAC"/>
    <m/>
  </r>
  <r>
    <n v="380"/>
    <x v="0"/>
    <s v="Shipment 2 400"/>
    <x v="2"/>
    <x v="2"/>
    <m/>
    <d v="2025-11-29T00:00:00"/>
    <s v="HEATER"/>
    <s v="HTR03"/>
    <s v="Mr Phúc"/>
    <s v="B272-400-AS-280-PP-001"/>
    <s v="280-PP-001(1/4)"/>
    <s v="PERSONAL PROTECTION"/>
    <n v="1"/>
    <n v="6.91"/>
    <n v="6.91"/>
    <s v="(1254x288x480)"/>
    <m/>
    <m/>
    <m/>
    <m/>
    <m/>
    <m/>
    <m/>
    <m/>
    <m/>
    <m/>
    <m/>
    <m/>
    <m/>
    <n v="0"/>
    <n v="6.91"/>
    <m/>
    <m/>
    <n v="0"/>
    <m/>
    <m/>
    <n v="0"/>
    <m/>
    <m/>
    <n v="0"/>
    <m/>
    <m/>
    <n v="0"/>
    <m/>
    <m/>
    <m/>
    <n v="0"/>
    <m/>
    <m/>
    <n v="0"/>
    <s v="PAC"/>
    <m/>
  </r>
  <r>
    <n v="381"/>
    <x v="0"/>
    <s v="Shipment 2 400"/>
    <x v="2"/>
    <x v="2"/>
    <m/>
    <d v="2025-11-29T00:00:00"/>
    <s v="HEATER"/>
    <s v="HTR03"/>
    <s v="Mr Phúc"/>
    <s v="B272-400-AS-280-PP-001"/>
    <s v="280-PP-001(2/4)"/>
    <s v="PERSONAL PROTECTION"/>
    <n v="1"/>
    <n v="6.91"/>
    <n v="6.91"/>
    <s v="(1254x288x480)"/>
    <m/>
    <m/>
    <m/>
    <m/>
    <m/>
    <m/>
    <m/>
    <m/>
    <m/>
    <m/>
    <m/>
    <m/>
    <m/>
    <n v="0"/>
    <n v="6.91"/>
    <m/>
    <m/>
    <n v="0"/>
    <m/>
    <m/>
    <n v="0"/>
    <m/>
    <m/>
    <n v="0"/>
    <m/>
    <m/>
    <n v="0"/>
    <m/>
    <m/>
    <m/>
    <n v="0"/>
    <m/>
    <m/>
    <n v="0"/>
    <s v="PAC"/>
    <m/>
  </r>
  <r>
    <n v="382"/>
    <x v="0"/>
    <s v="Shipment 2 400"/>
    <x v="2"/>
    <x v="2"/>
    <m/>
    <d v="2025-11-29T00:00:00"/>
    <s v="HEATER"/>
    <s v="HTR03"/>
    <s v="Mr Phúc"/>
    <s v="B272-400-AS-280-PP-001"/>
    <s v="280-PP-001(3/4)"/>
    <s v="PERSONAL PROTECTION"/>
    <n v="1"/>
    <n v="6.91"/>
    <n v="6.91"/>
    <s v="(1254x288x480)"/>
    <m/>
    <m/>
    <m/>
    <m/>
    <m/>
    <m/>
    <m/>
    <m/>
    <m/>
    <m/>
    <m/>
    <m/>
    <m/>
    <n v="0"/>
    <n v="6.91"/>
    <m/>
    <m/>
    <n v="0"/>
    <m/>
    <m/>
    <n v="0"/>
    <m/>
    <m/>
    <n v="0"/>
    <m/>
    <m/>
    <n v="0"/>
    <m/>
    <m/>
    <m/>
    <n v="0"/>
    <m/>
    <m/>
    <n v="0"/>
    <s v="PAC"/>
    <m/>
  </r>
  <r>
    <n v="383"/>
    <x v="0"/>
    <s v="Shipment 2 400"/>
    <x v="2"/>
    <x v="2"/>
    <m/>
    <d v="2025-11-29T00:00:00"/>
    <s v="HEATER"/>
    <s v="HTR03"/>
    <s v="Mr Phúc"/>
    <s v="B272-400-AS-280-PP-111"/>
    <s v="280-PP-111"/>
    <s v="PERSONAL PROTECTION"/>
    <n v="1"/>
    <n v="5.58"/>
    <n v="5.58"/>
    <s v="(1254x288x480)"/>
    <m/>
    <m/>
    <m/>
    <m/>
    <m/>
    <m/>
    <m/>
    <m/>
    <m/>
    <m/>
    <m/>
    <m/>
    <m/>
    <n v="0"/>
    <n v="5.58"/>
    <m/>
    <m/>
    <n v="0"/>
    <m/>
    <m/>
    <n v="0"/>
    <m/>
    <m/>
    <n v="0"/>
    <m/>
    <m/>
    <n v="0"/>
    <m/>
    <m/>
    <m/>
    <n v="0"/>
    <m/>
    <m/>
    <n v="0"/>
    <s v="PAC"/>
    <m/>
  </r>
  <r>
    <n v="384"/>
    <x v="0"/>
    <s v="Shipment 2 400"/>
    <x v="2"/>
    <x v="2"/>
    <m/>
    <d v="2025-11-29T00:00:00"/>
    <s v="HEATER"/>
    <s v="HTR03"/>
    <s v="Mr Phúc"/>
    <s v="B272-400-AS-280-PP-002"/>
    <s v="280-PP-002"/>
    <s v="PERSONAL PROTECTION"/>
    <n v="1"/>
    <n v="7.39"/>
    <n v="7.39"/>
    <s v="(1254x288x480)"/>
    <m/>
    <m/>
    <m/>
    <m/>
    <m/>
    <m/>
    <m/>
    <m/>
    <m/>
    <m/>
    <m/>
    <m/>
    <m/>
    <n v="0"/>
    <n v="7.39"/>
    <m/>
    <m/>
    <n v="0"/>
    <m/>
    <m/>
    <n v="0"/>
    <m/>
    <m/>
    <n v="0"/>
    <m/>
    <m/>
    <n v="0"/>
    <m/>
    <m/>
    <m/>
    <n v="0"/>
    <m/>
    <m/>
    <n v="0"/>
    <s v="PAC"/>
    <m/>
  </r>
  <r>
    <n v="385"/>
    <x v="0"/>
    <s v="Shipment 2 400"/>
    <x v="2"/>
    <x v="2"/>
    <m/>
    <d v="2025-11-29T00:00:00"/>
    <s v="HEATER"/>
    <s v="HTR03"/>
    <s v="Mr Phúc"/>
    <s v="B272-400-AS-280-PP-003"/>
    <s v="280-PP-003"/>
    <s v="PERSONAL PROTECTION"/>
    <n v="1"/>
    <n v="5.59"/>
    <n v="5.59"/>
    <s v="(1254x288x480)"/>
    <m/>
    <m/>
    <m/>
    <m/>
    <m/>
    <m/>
    <m/>
    <m/>
    <m/>
    <m/>
    <m/>
    <m/>
    <m/>
    <n v="0"/>
    <n v="5.59"/>
    <m/>
    <m/>
    <n v="0"/>
    <m/>
    <m/>
    <n v="0"/>
    <m/>
    <m/>
    <n v="0"/>
    <m/>
    <m/>
    <n v="0"/>
    <m/>
    <m/>
    <m/>
    <n v="0"/>
    <m/>
    <m/>
    <n v="0"/>
    <s v="PAC"/>
    <m/>
  </r>
  <r>
    <n v="386"/>
    <x v="0"/>
    <s v="Shipment 2 400"/>
    <x v="2"/>
    <x v="2"/>
    <m/>
    <d v="2025-11-29T00:00:00"/>
    <s v="HEATER"/>
    <s v="HTR03"/>
    <s v="Mr Phúc"/>
    <s v="B272-400-AS-280-PP-004"/>
    <s v="280-PP-004"/>
    <s v="PERSONAL PROTECTION"/>
    <n v="1"/>
    <n v="13.61"/>
    <n v="13.61"/>
    <s v="(2100x50x959)"/>
    <m/>
    <m/>
    <m/>
    <m/>
    <m/>
    <m/>
    <m/>
    <m/>
    <m/>
    <m/>
    <m/>
    <m/>
    <m/>
    <n v="0"/>
    <n v="13.61"/>
    <m/>
    <m/>
    <n v="0"/>
    <m/>
    <m/>
    <n v="0"/>
    <m/>
    <m/>
    <n v="0"/>
    <m/>
    <m/>
    <n v="0"/>
    <m/>
    <m/>
    <m/>
    <n v="0"/>
    <m/>
    <m/>
    <n v="0"/>
    <s v="PAC"/>
    <m/>
  </r>
  <r>
    <n v="387"/>
    <x v="0"/>
    <s v="Shipment 2 400"/>
    <x v="2"/>
    <x v="2"/>
    <m/>
    <d v="2025-11-29T00:00:00"/>
    <s v="HEATER"/>
    <s v="HTR03"/>
    <s v="Mr Phúc"/>
    <s v="B272-400-AS-280-PP-005"/>
    <s v="280-PP-005"/>
    <s v="PERSONAL PROTECTION"/>
    <n v="1"/>
    <n v="15.41"/>
    <n v="15.41"/>
    <s v="(2100x50x998)"/>
    <m/>
    <m/>
    <m/>
    <m/>
    <m/>
    <m/>
    <m/>
    <m/>
    <m/>
    <m/>
    <m/>
    <m/>
    <m/>
    <n v="0"/>
    <n v="15.41"/>
    <m/>
    <m/>
    <n v="0"/>
    <m/>
    <m/>
    <n v="0"/>
    <m/>
    <m/>
    <n v="0"/>
    <m/>
    <m/>
    <n v="0"/>
    <m/>
    <m/>
    <m/>
    <n v="0"/>
    <m/>
    <m/>
    <n v="0"/>
    <s v="PAC"/>
    <m/>
  </r>
  <r>
    <n v="388"/>
    <x v="0"/>
    <s v="Shipment 2 400"/>
    <x v="2"/>
    <x v="2"/>
    <m/>
    <d v="2025-11-29T00:00:00"/>
    <s v="HEATER"/>
    <s v="HTR03"/>
    <s v="Mr Phúc"/>
    <s v="B272-400-AS-280-PP-006"/>
    <s v="280-PP-006"/>
    <s v="PERSONAL PROTECTION"/>
    <n v="1"/>
    <n v="15.56"/>
    <n v="15.56"/>
    <s v="(2100x50x998)"/>
    <m/>
    <m/>
    <m/>
    <m/>
    <m/>
    <m/>
    <m/>
    <m/>
    <m/>
    <m/>
    <m/>
    <m/>
    <m/>
    <n v="0"/>
    <n v="15.56"/>
    <m/>
    <m/>
    <n v="0"/>
    <m/>
    <m/>
    <n v="0"/>
    <m/>
    <m/>
    <n v="0"/>
    <m/>
    <m/>
    <n v="0"/>
    <m/>
    <m/>
    <m/>
    <n v="0"/>
    <m/>
    <m/>
    <n v="0"/>
    <s v="PAC"/>
    <m/>
  </r>
  <r>
    <n v="389"/>
    <x v="0"/>
    <s v="Shipment 2 400"/>
    <x v="2"/>
    <x v="2"/>
    <m/>
    <d v="2025-11-29T00:00:00"/>
    <s v="HEATER"/>
    <s v="HTR03"/>
    <s v="Mr Phúc"/>
    <s v="B272-400-AS-280-PP-007"/>
    <s v="280-PP-007"/>
    <s v="PERSONAL PROTECTION"/>
    <n v="1"/>
    <n v="13.98"/>
    <n v="13.98"/>
    <s v="(2100x50x832)"/>
    <m/>
    <m/>
    <m/>
    <m/>
    <m/>
    <m/>
    <m/>
    <m/>
    <m/>
    <m/>
    <m/>
    <m/>
    <m/>
    <n v="0"/>
    <n v="13.98"/>
    <m/>
    <m/>
    <n v="0"/>
    <m/>
    <m/>
    <n v="0"/>
    <m/>
    <m/>
    <n v="0"/>
    <m/>
    <m/>
    <n v="0"/>
    <m/>
    <m/>
    <m/>
    <n v="0"/>
    <m/>
    <m/>
    <n v="0"/>
    <s v="PAC"/>
    <m/>
  </r>
  <r>
    <n v="390"/>
    <x v="0"/>
    <s v="Shipment 2 400"/>
    <x v="2"/>
    <x v="2"/>
    <m/>
    <d v="2025-11-29T00:00:00"/>
    <s v="HEATER"/>
    <s v="HTR03"/>
    <s v="Mr Phúc"/>
    <s v="B272-400-AS-280-PP-008"/>
    <s v="280-PP-008"/>
    <s v="PERSONAL PROTECTION"/>
    <n v="1"/>
    <n v="13.98"/>
    <n v="13.98"/>
    <s v="(2100x50x832)"/>
    <m/>
    <m/>
    <m/>
    <m/>
    <m/>
    <m/>
    <m/>
    <m/>
    <m/>
    <m/>
    <m/>
    <m/>
    <m/>
    <n v="0"/>
    <n v="13.98"/>
    <m/>
    <m/>
    <n v="0"/>
    <m/>
    <m/>
    <n v="0"/>
    <m/>
    <m/>
    <n v="0"/>
    <m/>
    <m/>
    <n v="0"/>
    <m/>
    <m/>
    <m/>
    <n v="0"/>
    <m/>
    <m/>
    <n v="0"/>
    <s v="PAC"/>
    <m/>
  </r>
  <r>
    <n v="391"/>
    <x v="0"/>
    <s v="Shipment 2 400"/>
    <x v="2"/>
    <x v="2"/>
    <m/>
    <d v="2025-11-29T00:00:00"/>
    <s v="HEATER"/>
    <s v="HTR03"/>
    <s v="Mr Phúc"/>
    <s v="B272-400-AS-280-PP-009"/>
    <s v="280-PP-009"/>
    <s v="PERSONAL PROTECTION"/>
    <n v="1"/>
    <n v="18.440000000000001"/>
    <n v="18.440000000000001"/>
    <s v="(2100x50x1081)"/>
    <m/>
    <m/>
    <m/>
    <m/>
    <m/>
    <m/>
    <m/>
    <m/>
    <m/>
    <m/>
    <m/>
    <m/>
    <m/>
    <n v="0"/>
    <n v="18.440000000000001"/>
    <m/>
    <m/>
    <n v="0"/>
    <m/>
    <m/>
    <n v="0"/>
    <m/>
    <m/>
    <n v="0"/>
    <m/>
    <m/>
    <n v="0"/>
    <m/>
    <m/>
    <m/>
    <n v="0"/>
    <m/>
    <m/>
    <n v="0"/>
    <s v="PAC"/>
    <m/>
  </r>
  <r>
    <n v="392"/>
    <x v="0"/>
    <s v="Shipment 2 400"/>
    <x v="2"/>
    <x v="2"/>
    <m/>
    <d v="2025-11-29T00:00:00"/>
    <s v="HEATER"/>
    <s v="HTR03"/>
    <s v="Mr Phúc"/>
    <s v="B272-400-AS-280-PP-010"/>
    <s v="280-PP-010"/>
    <s v="PERSONAL PROTECTION"/>
    <n v="1"/>
    <n v="16.329999999999998"/>
    <n v="16.329999999999998"/>
    <s v="(2100x50x998)"/>
    <m/>
    <m/>
    <m/>
    <m/>
    <m/>
    <m/>
    <m/>
    <m/>
    <m/>
    <m/>
    <m/>
    <m/>
    <m/>
    <n v="0"/>
    <n v="16.329999999999998"/>
    <m/>
    <m/>
    <n v="0"/>
    <m/>
    <m/>
    <n v="0"/>
    <m/>
    <m/>
    <n v="0"/>
    <m/>
    <m/>
    <n v="0"/>
    <m/>
    <m/>
    <m/>
    <n v="0"/>
    <m/>
    <m/>
    <n v="0"/>
    <s v="PAC"/>
    <m/>
  </r>
  <r>
    <n v="393"/>
    <x v="0"/>
    <s v="Shipment 2 400"/>
    <x v="2"/>
    <x v="2"/>
    <m/>
    <d v="2025-11-29T00:00:00"/>
    <s v="HEATER"/>
    <s v="HTR03"/>
    <s v="Mr Phúc"/>
    <s v="B272-400-AS-280-PP-011"/>
    <s v="280-PP-011"/>
    <s v="PERSONAL PROTECTION"/>
    <n v="1"/>
    <n v="14.94"/>
    <n v="14.94"/>
    <s v="(2100x50x998)"/>
    <m/>
    <m/>
    <m/>
    <m/>
    <m/>
    <m/>
    <m/>
    <m/>
    <m/>
    <m/>
    <m/>
    <m/>
    <m/>
    <n v="0"/>
    <n v="14.94"/>
    <m/>
    <m/>
    <n v="0"/>
    <m/>
    <m/>
    <n v="0"/>
    <m/>
    <m/>
    <n v="0"/>
    <m/>
    <m/>
    <n v="0"/>
    <m/>
    <m/>
    <m/>
    <n v="0"/>
    <m/>
    <m/>
    <n v="0"/>
    <s v="PAC"/>
    <m/>
  </r>
  <r>
    <n v="394"/>
    <x v="0"/>
    <s v="Shipment 2 400"/>
    <x v="2"/>
    <x v="2"/>
    <m/>
    <d v="2025-11-29T00:00:00"/>
    <s v="HEATER"/>
    <s v="HTR03"/>
    <s v="Mr Phúc"/>
    <s v="B272-400-AS-280-PP-012"/>
    <s v="280-PP-012"/>
    <s v="PERSONAL PROTECTION"/>
    <n v="1"/>
    <n v="14.94"/>
    <n v="14.94"/>
    <s v="(2100x50x998)"/>
    <m/>
    <m/>
    <m/>
    <m/>
    <m/>
    <m/>
    <m/>
    <m/>
    <m/>
    <m/>
    <m/>
    <m/>
    <m/>
    <n v="0"/>
    <n v="14.94"/>
    <m/>
    <m/>
    <n v="0"/>
    <m/>
    <m/>
    <n v="0"/>
    <m/>
    <m/>
    <n v="0"/>
    <m/>
    <m/>
    <n v="0"/>
    <m/>
    <m/>
    <m/>
    <n v="0"/>
    <m/>
    <m/>
    <n v="0"/>
    <s v="PAC"/>
    <m/>
  </r>
  <r>
    <n v="395"/>
    <x v="0"/>
    <s v="Shipment 2 400"/>
    <x v="2"/>
    <x v="2"/>
    <m/>
    <d v="2025-11-29T00:00:00"/>
    <s v="HEATER"/>
    <s v="HTR03"/>
    <s v="Mr Phúc"/>
    <s v="B272-400-AS-280-PP-013"/>
    <s v="280-PP-013"/>
    <s v="PERSONAL PROTECTION"/>
    <n v="1"/>
    <n v="16.48"/>
    <n v="16.48"/>
    <s v="(2100x50x998)"/>
    <m/>
    <m/>
    <m/>
    <m/>
    <m/>
    <m/>
    <m/>
    <m/>
    <m/>
    <m/>
    <m/>
    <m/>
    <m/>
    <n v="0"/>
    <n v="16.48"/>
    <m/>
    <m/>
    <n v="0"/>
    <m/>
    <m/>
    <n v="0"/>
    <m/>
    <m/>
    <n v="0"/>
    <m/>
    <m/>
    <n v="0"/>
    <m/>
    <m/>
    <m/>
    <n v="0"/>
    <m/>
    <m/>
    <n v="0"/>
    <s v="PAC"/>
    <m/>
  </r>
  <r>
    <n v="396"/>
    <x v="0"/>
    <s v="Shipment 2 400"/>
    <x v="2"/>
    <x v="2"/>
    <m/>
    <d v="2025-11-29T00:00:00"/>
    <s v="HEATER"/>
    <s v="HTR03"/>
    <s v="Mr Phúc"/>
    <s v="B272-400-AS-280-PP-014"/>
    <s v="280-PP-014(1/2)"/>
    <s v="PERSONAL PROTECTION"/>
    <n v="1"/>
    <n v="15.33"/>
    <n v="15.33"/>
    <s v="(2100x50x998)"/>
    <m/>
    <m/>
    <m/>
    <m/>
    <m/>
    <m/>
    <m/>
    <m/>
    <m/>
    <m/>
    <m/>
    <m/>
    <m/>
    <n v="0"/>
    <n v="15.33"/>
    <m/>
    <m/>
    <n v="0"/>
    <m/>
    <m/>
    <n v="0"/>
    <m/>
    <m/>
    <n v="0"/>
    <m/>
    <m/>
    <n v="0"/>
    <m/>
    <m/>
    <m/>
    <n v="0"/>
    <m/>
    <m/>
    <n v="0"/>
    <s v="PAC"/>
    <m/>
  </r>
  <r>
    <n v="397"/>
    <x v="0"/>
    <s v="Shipment 2 400"/>
    <x v="2"/>
    <x v="2"/>
    <m/>
    <d v="2025-11-29T00:00:00"/>
    <s v="HEATER"/>
    <s v="HTR03"/>
    <s v="Mr Phúc"/>
    <s v="B272-400-AS-280-PP-014"/>
    <s v="280-PP-014(2/2)"/>
    <s v="PERSONAL PROTECTION"/>
    <n v="1"/>
    <n v="15.33"/>
    <n v="15.33"/>
    <s v="(2100x50x998)"/>
    <m/>
    <m/>
    <m/>
    <m/>
    <m/>
    <m/>
    <m/>
    <m/>
    <m/>
    <m/>
    <m/>
    <m/>
    <m/>
    <n v="0"/>
    <n v="15.33"/>
    <m/>
    <m/>
    <n v="0"/>
    <m/>
    <m/>
    <n v="0"/>
    <m/>
    <m/>
    <n v="0"/>
    <m/>
    <m/>
    <n v="0"/>
    <m/>
    <m/>
    <m/>
    <n v="0"/>
    <m/>
    <m/>
    <n v="0"/>
    <s v="PAC"/>
    <m/>
  </r>
  <r>
    <n v="398"/>
    <x v="0"/>
    <s v="Shipment 2 400"/>
    <x v="2"/>
    <x v="2"/>
    <m/>
    <d v="2025-11-29T00:00:00"/>
    <s v="HEATER"/>
    <s v="HTR03"/>
    <s v="Mr Phúc"/>
    <s v="B272-400-AS-280-PP-015"/>
    <s v="280-PP-015"/>
    <s v="PERSONAL PROTECTION"/>
    <n v="1"/>
    <n v="15.33"/>
    <n v="15.33"/>
    <s v="(2100x50x998)"/>
    <m/>
    <m/>
    <m/>
    <m/>
    <m/>
    <m/>
    <m/>
    <m/>
    <m/>
    <m/>
    <m/>
    <m/>
    <m/>
    <n v="0"/>
    <n v="15.33"/>
    <m/>
    <m/>
    <n v="0"/>
    <m/>
    <m/>
    <n v="0"/>
    <m/>
    <m/>
    <n v="0"/>
    <m/>
    <m/>
    <n v="0"/>
    <m/>
    <m/>
    <m/>
    <n v="0"/>
    <m/>
    <m/>
    <n v="0"/>
    <s v="PAC"/>
    <m/>
  </r>
  <r>
    <n v="399"/>
    <x v="0"/>
    <s v="Shipment 2 400"/>
    <x v="2"/>
    <x v="2"/>
    <m/>
    <d v="2025-11-29T00:00:00"/>
    <s v="HEATER"/>
    <s v="HTR03"/>
    <s v="Mr Phúc"/>
    <s v="B272-400-AS-280-PP-016"/>
    <s v="280-PP-016"/>
    <s v="PERSONAL PROTECTION"/>
    <n v="1"/>
    <n v="15.33"/>
    <n v="15.33"/>
    <s v="(2100x50x998)"/>
    <m/>
    <m/>
    <m/>
    <m/>
    <m/>
    <m/>
    <m/>
    <m/>
    <m/>
    <m/>
    <m/>
    <m/>
    <m/>
    <n v="0"/>
    <n v="15.33"/>
    <m/>
    <m/>
    <n v="0"/>
    <m/>
    <m/>
    <n v="0"/>
    <m/>
    <m/>
    <n v="0"/>
    <m/>
    <m/>
    <n v="0"/>
    <m/>
    <m/>
    <m/>
    <n v="0"/>
    <m/>
    <m/>
    <n v="0"/>
    <s v="PAC"/>
    <m/>
  </r>
  <r>
    <n v="400"/>
    <x v="0"/>
    <s v="Shipment 2 400"/>
    <x v="2"/>
    <x v="2"/>
    <m/>
    <d v="2025-11-29T00:00:00"/>
    <s v="HEATER"/>
    <s v="HTR03"/>
    <s v="Mr Phúc"/>
    <s v="B272-400-AS-280-PP-017"/>
    <s v="280-PP-017"/>
    <s v="PERSONAL PROTECTION"/>
    <n v="1"/>
    <n v="15.09"/>
    <n v="15.09"/>
    <s v="(2100x50x998)"/>
    <m/>
    <m/>
    <m/>
    <m/>
    <m/>
    <m/>
    <m/>
    <m/>
    <m/>
    <m/>
    <m/>
    <m/>
    <m/>
    <n v="0"/>
    <n v="15.09"/>
    <m/>
    <m/>
    <n v="0"/>
    <m/>
    <m/>
    <n v="0"/>
    <m/>
    <m/>
    <n v="0"/>
    <m/>
    <m/>
    <n v="0"/>
    <m/>
    <m/>
    <m/>
    <n v="0"/>
    <m/>
    <m/>
    <n v="0"/>
    <s v="PAC"/>
    <m/>
  </r>
  <r>
    <n v="401"/>
    <x v="0"/>
    <s v="Shipment 2 400"/>
    <x v="2"/>
    <x v="2"/>
    <m/>
    <d v="2025-11-29T00:00:00"/>
    <s v="HEATER"/>
    <s v="HTR03"/>
    <s v="Mr Phúc"/>
    <s v="B272-400-AS-280-PP-018"/>
    <s v="280-PP-018"/>
    <s v="PERSONAL PROTECTION"/>
    <n v="1"/>
    <n v="15.09"/>
    <n v="15.09"/>
    <s v="(2100x50x998)"/>
    <m/>
    <m/>
    <m/>
    <m/>
    <m/>
    <m/>
    <m/>
    <m/>
    <m/>
    <m/>
    <m/>
    <m/>
    <m/>
    <n v="0"/>
    <n v="15.09"/>
    <m/>
    <m/>
    <n v="0"/>
    <m/>
    <m/>
    <n v="0"/>
    <m/>
    <m/>
    <n v="0"/>
    <m/>
    <m/>
    <n v="0"/>
    <m/>
    <m/>
    <m/>
    <n v="0"/>
    <m/>
    <m/>
    <n v="0"/>
    <s v="PAC"/>
    <m/>
  </r>
  <r>
    <n v="402"/>
    <x v="0"/>
    <s v="Shipment 2 400"/>
    <x v="2"/>
    <x v="2"/>
    <m/>
    <d v="2025-11-29T00:00:00"/>
    <s v="HEATER"/>
    <s v="HTR03"/>
    <s v="Mr Phúc"/>
    <s v="B272-400-AS-280-PP-019"/>
    <s v="280-PP-019"/>
    <s v="PERSONAL PROTECTION"/>
    <n v="1"/>
    <n v="15.16"/>
    <n v="15.16"/>
    <s v="(2100x50x998)"/>
    <m/>
    <m/>
    <m/>
    <m/>
    <m/>
    <m/>
    <m/>
    <m/>
    <m/>
    <m/>
    <m/>
    <m/>
    <m/>
    <n v="0"/>
    <n v="15.16"/>
    <m/>
    <m/>
    <n v="0"/>
    <m/>
    <m/>
    <n v="0"/>
    <m/>
    <m/>
    <n v="0"/>
    <m/>
    <m/>
    <n v="0"/>
    <m/>
    <m/>
    <m/>
    <n v="0"/>
    <m/>
    <m/>
    <n v="0"/>
    <s v="PAC"/>
    <m/>
  </r>
  <r>
    <n v="403"/>
    <x v="0"/>
    <s v="Shipment 2 400"/>
    <x v="2"/>
    <x v="2"/>
    <m/>
    <d v="2025-11-29T00:00:00"/>
    <s v="HEATER"/>
    <s v="HTR03"/>
    <s v="Mr Phúc"/>
    <s v="B272-400-AS-280-PP-020"/>
    <s v="280-PP-020"/>
    <s v="PERSONAL PROTECTION"/>
    <n v="1"/>
    <n v="15.16"/>
    <n v="15.16"/>
    <s v="(2100x50x998)"/>
    <m/>
    <m/>
    <m/>
    <m/>
    <m/>
    <m/>
    <m/>
    <m/>
    <m/>
    <m/>
    <m/>
    <m/>
    <m/>
    <n v="0"/>
    <n v="15.16"/>
    <m/>
    <m/>
    <n v="0"/>
    <m/>
    <m/>
    <n v="0"/>
    <m/>
    <m/>
    <n v="0"/>
    <m/>
    <m/>
    <n v="0"/>
    <m/>
    <m/>
    <m/>
    <n v="0"/>
    <m/>
    <m/>
    <n v="0"/>
    <s v="PAC"/>
    <m/>
  </r>
  <r>
    <n v="404"/>
    <x v="0"/>
    <s v="Shipment 2 400"/>
    <x v="2"/>
    <x v="2"/>
    <m/>
    <d v="2025-11-29T00:00:00"/>
    <s v="HEATER"/>
    <s v="HTR03"/>
    <s v="Mr Phúc"/>
    <s v="B272-400-AS-280-PP-021"/>
    <s v="280-PP-021"/>
    <s v="PERSONAL PROTECTION"/>
    <n v="1"/>
    <n v="15.16"/>
    <n v="15.16"/>
    <s v="(2100x50x998)"/>
    <m/>
    <m/>
    <m/>
    <m/>
    <m/>
    <m/>
    <m/>
    <m/>
    <m/>
    <m/>
    <m/>
    <m/>
    <m/>
    <n v="0"/>
    <n v="15.16"/>
    <m/>
    <m/>
    <n v="0"/>
    <m/>
    <m/>
    <n v="0"/>
    <m/>
    <m/>
    <n v="0"/>
    <m/>
    <m/>
    <n v="0"/>
    <m/>
    <m/>
    <m/>
    <n v="0"/>
    <m/>
    <m/>
    <n v="0"/>
    <s v="PAC"/>
    <m/>
  </r>
  <r>
    <n v="405"/>
    <x v="0"/>
    <s v="Shipment 2 400"/>
    <x v="2"/>
    <x v="2"/>
    <m/>
    <d v="2025-11-29T00:00:00"/>
    <s v="HEATER"/>
    <s v="HTR03"/>
    <s v="Mr Phúc"/>
    <s v="B272-400-AS-280-PP-022"/>
    <s v="280-PP-022"/>
    <s v="PERSONAL PROTECTION"/>
    <n v="1"/>
    <n v="15.16"/>
    <n v="15.16"/>
    <s v="(2100x50x998)"/>
    <m/>
    <m/>
    <m/>
    <m/>
    <m/>
    <m/>
    <m/>
    <m/>
    <m/>
    <m/>
    <m/>
    <m/>
    <m/>
    <n v="0"/>
    <n v="15.16"/>
    <m/>
    <m/>
    <n v="0"/>
    <m/>
    <m/>
    <n v="0"/>
    <m/>
    <m/>
    <n v="0"/>
    <m/>
    <m/>
    <n v="0"/>
    <m/>
    <m/>
    <m/>
    <n v="0"/>
    <m/>
    <m/>
    <n v="0"/>
    <s v="PAC"/>
    <m/>
  </r>
  <r>
    <n v="406"/>
    <x v="0"/>
    <s v="Shipment 2 400"/>
    <x v="2"/>
    <x v="2"/>
    <m/>
    <d v="2025-11-29T00:00:00"/>
    <s v="HEATER"/>
    <s v="HTR03"/>
    <s v="Mr Phúc"/>
    <s v="B272-400-AS-280-PP-023"/>
    <s v="280-PP-023"/>
    <s v="PERSONAL PROTECTION"/>
    <n v="1"/>
    <n v="13.8"/>
    <n v="13.8"/>
    <s v="(998x50x1975)"/>
    <m/>
    <m/>
    <m/>
    <m/>
    <m/>
    <m/>
    <m/>
    <m/>
    <m/>
    <m/>
    <m/>
    <m/>
    <m/>
    <n v="0"/>
    <n v="13.8"/>
    <m/>
    <m/>
    <n v="0"/>
    <m/>
    <m/>
    <n v="0"/>
    <m/>
    <m/>
    <n v="0"/>
    <m/>
    <m/>
    <n v="0"/>
    <m/>
    <m/>
    <m/>
    <n v="0"/>
    <m/>
    <m/>
    <n v="0"/>
    <s v="PAC"/>
    <m/>
  </r>
  <r>
    <n v="407"/>
    <x v="0"/>
    <s v="Shipment 2 400"/>
    <x v="2"/>
    <x v="2"/>
    <m/>
    <d v="2025-11-29T00:00:00"/>
    <s v="HEATER"/>
    <s v="HTR03"/>
    <s v="Mr Phúc"/>
    <s v="B272-400-AS-280-PP-024"/>
    <s v="280-PP-024"/>
    <s v="PERSONAL PROTECTION"/>
    <n v="1"/>
    <n v="13.8"/>
    <n v="13.8"/>
    <s v="(1975x50x998)"/>
    <m/>
    <m/>
    <m/>
    <m/>
    <m/>
    <m/>
    <m/>
    <m/>
    <m/>
    <m/>
    <m/>
    <m/>
    <m/>
    <n v="0"/>
    <n v="13.8"/>
    <m/>
    <m/>
    <n v="0"/>
    <m/>
    <m/>
    <n v="0"/>
    <m/>
    <m/>
    <n v="0"/>
    <m/>
    <m/>
    <n v="0"/>
    <m/>
    <m/>
    <m/>
    <n v="0"/>
    <m/>
    <m/>
    <n v="0"/>
    <s v="PAC"/>
    <m/>
  </r>
  <r>
    <n v="408"/>
    <x v="0"/>
    <s v="Shipment 2 400"/>
    <x v="2"/>
    <x v="2"/>
    <m/>
    <d v="2025-11-29T00:00:00"/>
    <s v="HEATER"/>
    <s v="HTR03"/>
    <s v="Mr Phúc"/>
    <s v="B272-400-AS-280-PP-025"/>
    <s v="280-PP-025"/>
    <s v="PERSONAL PROTECTION"/>
    <n v="1"/>
    <n v="16.440000000000001"/>
    <n v="16.440000000000001"/>
    <s v="(2100x50x1154)"/>
    <m/>
    <m/>
    <m/>
    <m/>
    <m/>
    <m/>
    <m/>
    <m/>
    <m/>
    <m/>
    <m/>
    <m/>
    <m/>
    <n v="0"/>
    <n v="16.440000000000001"/>
    <m/>
    <m/>
    <n v="0"/>
    <m/>
    <m/>
    <n v="0"/>
    <m/>
    <m/>
    <n v="0"/>
    <m/>
    <m/>
    <n v="0"/>
    <m/>
    <m/>
    <m/>
    <n v="0"/>
    <m/>
    <m/>
    <n v="0"/>
    <s v="PAC"/>
    <m/>
  </r>
  <r>
    <n v="409"/>
    <x v="0"/>
    <s v="Shipment 2 400"/>
    <x v="2"/>
    <x v="2"/>
    <m/>
    <d v="2025-11-29T00:00:00"/>
    <s v="HEATER"/>
    <s v="HTR03"/>
    <s v="Mr Phúc"/>
    <s v="B272-400-AS-280-PP-026"/>
    <s v="280-PP-026"/>
    <s v="PERSONAL PROTECTION"/>
    <n v="1"/>
    <n v="14.69"/>
    <n v="14.69"/>
    <s v="(2100x50x998)"/>
    <m/>
    <m/>
    <m/>
    <m/>
    <m/>
    <m/>
    <m/>
    <m/>
    <m/>
    <m/>
    <m/>
    <m/>
    <m/>
    <n v="0"/>
    <n v="14.69"/>
    <m/>
    <m/>
    <n v="0"/>
    <m/>
    <m/>
    <n v="0"/>
    <m/>
    <m/>
    <n v="0"/>
    <m/>
    <m/>
    <n v="0"/>
    <m/>
    <m/>
    <m/>
    <n v="0"/>
    <m/>
    <m/>
    <n v="0"/>
    <s v="PAC"/>
    <m/>
  </r>
  <r>
    <n v="410"/>
    <x v="0"/>
    <s v="Shipment 2 400"/>
    <x v="2"/>
    <x v="2"/>
    <m/>
    <d v="2025-11-29T00:00:00"/>
    <s v="HEATER"/>
    <s v="HTR03"/>
    <s v="Mr Phúc"/>
    <s v="B272-400-AS-280-PP-027"/>
    <s v="280-PP-027"/>
    <s v="PERSONAL PROTECTION"/>
    <n v="1"/>
    <n v="14.69"/>
    <n v="14.69"/>
    <s v="(2100x50x998)"/>
    <m/>
    <m/>
    <m/>
    <m/>
    <m/>
    <m/>
    <m/>
    <m/>
    <m/>
    <m/>
    <m/>
    <m/>
    <m/>
    <n v="0"/>
    <n v="14.69"/>
    <m/>
    <m/>
    <n v="0"/>
    <m/>
    <m/>
    <n v="0"/>
    <m/>
    <m/>
    <n v="0"/>
    <m/>
    <m/>
    <n v="0"/>
    <m/>
    <m/>
    <m/>
    <n v="0"/>
    <m/>
    <m/>
    <n v="0"/>
    <s v="PAC"/>
    <m/>
  </r>
  <r>
    <n v="411"/>
    <x v="0"/>
    <s v="Shipment 2 400"/>
    <x v="2"/>
    <x v="2"/>
    <m/>
    <d v="2025-11-29T00:00:00"/>
    <s v="HEATER"/>
    <s v="HTR03"/>
    <s v="Mr Phúc"/>
    <s v="B272-400-AS-280-PP-028"/>
    <s v="280-PP-028"/>
    <s v="PERSONAL PROTECTION"/>
    <n v="1"/>
    <n v="15.1"/>
    <n v="15.1"/>
    <s v="(998x50x2100)"/>
    <m/>
    <m/>
    <m/>
    <m/>
    <m/>
    <m/>
    <m/>
    <m/>
    <m/>
    <m/>
    <m/>
    <m/>
    <m/>
    <n v="0"/>
    <n v="15.1"/>
    <m/>
    <m/>
    <n v="0"/>
    <m/>
    <m/>
    <n v="0"/>
    <m/>
    <m/>
    <n v="0"/>
    <m/>
    <m/>
    <n v="0"/>
    <m/>
    <m/>
    <m/>
    <n v="0"/>
    <m/>
    <m/>
    <n v="0"/>
    <s v="PAC"/>
    <m/>
  </r>
  <r>
    <n v="412"/>
    <x v="0"/>
    <s v="Shipment 2 400"/>
    <x v="2"/>
    <x v="2"/>
    <m/>
    <d v="2025-11-29T00:00:00"/>
    <s v="HEATER"/>
    <s v="HTR03"/>
    <s v="Mr Phúc"/>
    <s v="B272-400-AS-280-PP-029"/>
    <s v="280-PP-029"/>
    <s v="PERSONAL PROTECTION"/>
    <n v="1"/>
    <n v="15.1"/>
    <n v="15.1"/>
    <s v="(998x50x2100)"/>
    <m/>
    <m/>
    <m/>
    <m/>
    <m/>
    <m/>
    <m/>
    <m/>
    <m/>
    <m/>
    <m/>
    <m/>
    <m/>
    <n v="0"/>
    <n v="15.1"/>
    <m/>
    <m/>
    <n v="0"/>
    <m/>
    <m/>
    <n v="0"/>
    <m/>
    <m/>
    <n v="0"/>
    <m/>
    <m/>
    <n v="0"/>
    <m/>
    <m/>
    <m/>
    <n v="0"/>
    <m/>
    <m/>
    <n v="0"/>
    <s v="PAC"/>
    <m/>
  </r>
  <r>
    <n v="413"/>
    <x v="0"/>
    <s v="Shipment 2 400"/>
    <x v="2"/>
    <x v="2"/>
    <m/>
    <d v="2025-11-29T00:00:00"/>
    <s v="HEATER"/>
    <s v="HTR03"/>
    <s v="Mr Phúc"/>
    <s v="B272-400-AS-280-PP-030"/>
    <s v="280-PP-030"/>
    <s v="PERSONAL PROTECTION"/>
    <n v="1"/>
    <n v="13.79"/>
    <n v="13.79"/>
    <s v="(957x211x1940)"/>
    <m/>
    <m/>
    <m/>
    <m/>
    <m/>
    <m/>
    <m/>
    <m/>
    <m/>
    <m/>
    <m/>
    <m/>
    <m/>
    <n v="0"/>
    <n v="13.79"/>
    <m/>
    <m/>
    <n v="0"/>
    <m/>
    <m/>
    <n v="0"/>
    <m/>
    <m/>
    <n v="0"/>
    <m/>
    <m/>
    <n v="0"/>
    <m/>
    <m/>
    <m/>
    <n v="0"/>
    <m/>
    <m/>
    <n v="0"/>
    <s v="PAC"/>
    <m/>
  </r>
  <r>
    <n v="414"/>
    <x v="0"/>
    <s v="Shipment 2 400"/>
    <x v="2"/>
    <x v="2"/>
    <m/>
    <d v="2025-11-29T00:00:00"/>
    <s v="HEATER"/>
    <s v="HTR03"/>
    <s v="Mr Phúc"/>
    <s v="B272-400-AS-280-PP-031"/>
    <s v="280-PP-031"/>
    <s v="PERSONAL PROTECTION"/>
    <n v="1"/>
    <n v="17.149999999999999"/>
    <n v="17.149999999999999"/>
    <s v="(1238x302x1940)"/>
    <m/>
    <m/>
    <m/>
    <m/>
    <m/>
    <m/>
    <m/>
    <m/>
    <m/>
    <m/>
    <m/>
    <m/>
    <m/>
    <n v="0"/>
    <n v="17.149999999999999"/>
    <m/>
    <m/>
    <n v="0"/>
    <m/>
    <m/>
    <n v="0"/>
    <m/>
    <m/>
    <n v="0"/>
    <m/>
    <m/>
    <n v="0"/>
    <m/>
    <m/>
    <m/>
    <n v="0"/>
    <m/>
    <m/>
    <n v="0"/>
    <s v="PAC"/>
    <m/>
  </r>
  <r>
    <n v="415"/>
    <x v="0"/>
    <s v="Shipment 2 400"/>
    <x v="2"/>
    <x v="2"/>
    <m/>
    <d v="2025-11-29T00:00:00"/>
    <s v="HEATER"/>
    <s v="HTR03"/>
    <s v="Mr Phúc"/>
    <s v="B272-400-AS-280-PP-032"/>
    <s v="280-PP-032"/>
    <s v="PERSONAL PROTECTION"/>
    <n v="1"/>
    <n v="17.739999999999998"/>
    <n v="17.739999999999998"/>
    <s v="(1238x302x1940)"/>
    <m/>
    <m/>
    <m/>
    <m/>
    <m/>
    <m/>
    <m/>
    <m/>
    <m/>
    <m/>
    <m/>
    <m/>
    <m/>
    <n v="0"/>
    <n v="17.739999999999998"/>
    <m/>
    <m/>
    <n v="0"/>
    <m/>
    <m/>
    <n v="0"/>
    <m/>
    <m/>
    <n v="0"/>
    <m/>
    <m/>
    <n v="0"/>
    <m/>
    <m/>
    <m/>
    <n v="0"/>
    <m/>
    <m/>
    <n v="0"/>
    <s v="PAC"/>
    <m/>
  </r>
  <r>
    <n v="416"/>
    <x v="0"/>
    <s v="Shipment 2 400"/>
    <x v="2"/>
    <x v="2"/>
    <m/>
    <d v="2025-11-29T00:00:00"/>
    <s v="HEATER"/>
    <s v="HTR03"/>
    <s v="Mr Phúc"/>
    <s v="B272-400-AS-280-PP-033"/>
    <s v="280-PP-033"/>
    <s v="PERSONAL PROTECTION"/>
    <n v="1"/>
    <n v="17.09"/>
    <n v="17.09"/>
    <s v="(1238x303x1940)"/>
    <m/>
    <m/>
    <m/>
    <m/>
    <m/>
    <m/>
    <m/>
    <m/>
    <m/>
    <m/>
    <m/>
    <m/>
    <m/>
    <n v="0"/>
    <n v="17.09"/>
    <m/>
    <m/>
    <n v="0"/>
    <m/>
    <m/>
    <n v="0"/>
    <m/>
    <m/>
    <n v="0"/>
    <m/>
    <m/>
    <n v="0"/>
    <m/>
    <m/>
    <m/>
    <n v="0"/>
    <m/>
    <m/>
    <n v="0"/>
    <s v="PAC"/>
    <m/>
  </r>
  <r>
    <n v="417"/>
    <x v="0"/>
    <s v="Shipment 2 400"/>
    <x v="2"/>
    <x v="2"/>
    <m/>
    <d v="2025-11-29T00:00:00"/>
    <s v="HEATER"/>
    <s v="HTR03"/>
    <s v="Mr Phúc"/>
    <s v="B272-400-AS-280-PP-034"/>
    <s v="280-PP-034"/>
    <s v="PERSONAL PROTECTION"/>
    <n v="1"/>
    <n v="13.33"/>
    <n v="13.33"/>
    <s v="(982x251x1940)"/>
    <m/>
    <m/>
    <m/>
    <m/>
    <m/>
    <m/>
    <m/>
    <m/>
    <m/>
    <m/>
    <m/>
    <m/>
    <m/>
    <n v="0"/>
    <n v="13.33"/>
    <m/>
    <m/>
    <n v="0"/>
    <m/>
    <m/>
    <n v="0"/>
    <m/>
    <m/>
    <n v="0"/>
    <m/>
    <m/>
    <n v="0"/>
    <m/>
    <m/>
    <m/>
    <n v="0"/>
    <m/>
    <m/>
    <n v="0"/>
    <s v="PAC"/>
    <m/>
  </r>
  <r>
    <n v="418"/>
    <x v="0"/>
    <s v="Shipment 2 400"/>
    <x v="2"/>
    <x v="2"/>
    <m/>
    <d v="2025-11-29T00:00:00"/>
    <s v="HEATER"/>
    <s v="HTR03"/>
    <s v="Mr Phúc"/>
    <s v="B272-400-AS-280-PP-035"/>
    <s v="280-PP-035"/>
    <s v="PERSONAL PROTECTION"/>
    <n v="1"/>
    <n v="12.66"/>
    <n v="12.66"/>
    <s v="(821x187x1940)"/>
    <m/>
    <m/>
    <m/>
    <m/>
    <m/>
    <m/>
    <m/>
    <m/>
    <m/>
    <m/>
    <m/>
    <m/>
    <m/>
    <n v="0"/>
    <n v="12.66"/>
    <m/>
    <m/>
    <n v="0"/>
    <m/>
    <m/>
    <n v="0"/>
    <m/>
    <m/>
    <n v="0"/>
    <m/>
    <m/>
    <n v="0"/>
    <m/>
    <m/>
    <m/>
    <n v="0"/>
    <m/>
    <m/>
    <n v="0"/>
    <s v="PAC"/>
    <m/>
  </r>
  <r>
    <n v="419"/>
    <x v="0"/>
    <s v="Shipment 2 400"/>
    <x v="2"/>
    <x v="2"/>
    <m/>
    <d v="2025-11-29T00:00:00"/>
    <s v="HEATER"/>
    <s v="HTR03"/>
    <s v="Mr Phúc"/>
    <s v="B272-400-AS-280-PP-036"/>
    <s v="280-PP-036"/>
    <s v="PERSONAL PROTECTION"/>
    <n v="1"/>
    <n v="11.79"/>
    <n v="11.79"/>
    <s v="(985x322x1940)"/>
    <m/>
    <m/>
    <m/>
    <m/>
    <m/>
    <m/>
    <m/>
    <m/>
    <m/>
    <m/>
    <m/>
    <m/>
    <m/>
    <n v="0"/>
    <n v="11.79"/>
    <m/>
    <m/>
    <n v="0"/>
    <m/>
    <m/>
    <n v="0"/>
    <m/>
    <m/>
    <n v="0"/>
    <m/>
    <m/>
    <n v="0"/>
    <m/>
    <m/>
    <m/>
    <n v="0"/>
    <m/>
    <m/>
    <n v="0"/>
    <s v="PAC"/>
    <m/>
  </r>
  <r>
    <n v="420"/>
    <x v="0"/>
    <s v="Shipment 2 400"/>
    <x v="2"/>
    <x v="2"/>
    <m/>
    <d v="2025-11-29T00:00:00"/>
    <s v="HEATER"/>
    <s v="HTR03"/>
    <s v="Mr Phúc"/>
    <s v="B272-400-AS-280-PP-037"/>
    <s v="280-PP-037"/>
    <s v="PERSONAL PROTECTION"/>
    <n v="1"/>
    <n v="14.89"/>
    <n v="14.89"/>
    <s v="(1238x302x1940)"/>
    <m/>
    <m/>
    <m/>
    <m/>
    <m/>
    <m/>
    <m/>
    <m/>
    <m/>
    <m/>
    <m/>
    <m/>
    <m/>
    <n v="0"/>
    <n v="14.89"/>
    <m/>
    <m/>
    <n v="0"/>
    <m/>
    <m/>
    <n v="0"/>
    <m/>
    <m/>
    <n v="0"/>
    <m/>
    <m/>
    <n v="0"/>
    <m/>
    <m/>
    <m/>
    <n v="0"/>
    <m/>
    <m/>
    <n v="0"/>
    <s v="PAC"/>
    <m/>
  </r>
  <r>
    <n v="421"/>
    <x v="0"/>
    <s v="Shipment 2 400"/>
    <x v="2"/>
    <x v="2"/>
    <m/>
    <d v="2025-11-29T00:00:00"/>
    <s v="HEATER"/>
    <s v="HTR03"/>
    <s v="Mr Phúc"/>
    <s v="B272-400-AS-280-PP-038"/>
    <s v="280-PP-038(1/4)"/>
    <s v="PERSONAL PROTECTION"/>
    <n v="1"/>
    <n v="14.31"/>
    <n v="14.31"/>
    <s v="(986x316x1940)"/>
    <m/>
    <m/>
    <m/>
    <m/>
    <m/>
    <m/>
    <m/>
    <m/>
    <m/>
    <m/>
    <m/>
    <m/>
    <m/>
    <n v="0"/>
    <n v="14.31"/>
    <m/>
    <m/>
    <n v="0"/>
    <m/>
    <m/>
    <n v="0"/>
    <m/>
    <m/>
    <n v="0"/>
    <m/>
    <m/>
    <n v="0"/>
    <m/>
    <m/>
    <m/>
    <n v="0"/>
    <m/>
    <m/>
    <n v="0"/>
    <s v="PAC"/>
    <m/>
  </r>
  <r>
    <n v="422"/>
    <x v="0"/>
    <s v="Shipment 2 400"/>
    <x v="2"/>
    <x v="2"/>
    <m/>
    <d v="2025-11-29T00:00:00"/>
    <s v="HEATER"/>
    <s v="HTR03"/>
    <s v="Mr Phúc"/>
    <s v="B272-400-AS-280-PP-038"/>
    <s v="280-PP-038(2/4)"/>
    <s v="PERSONAL PROTECTION"/>
    <n v="1"/>
    <n v="14.31"/>
    <n v="14.31"/>
    <s v="(986x316x1940)"/>
    <m/>
    <m/>
    <m/>
    <m/>
    <m/>
    <m/>
    <m/>
    <m/>
    <m/>
    <m/>
    <m/>
    <m/>
    <m/>
    <n v="0"/>
    <n v="14.31"/>
    <m/>
    <m/>
    <n v="0"/>
    <m/>
    <m/>
    <n v="0"/>
    <m/>
    <m/>
    <n v="0"/>
    <m/>
    <m/>
    <n v="0"/>
    <m/>
    <m/>
    <m/>
    <n v="0"/>
    <m/>
    <m/>
    <n v="0"/>
    <s v="PAC"/>
    <m/>
  </r>
  <r>
    <n v="423"/>
    <x v="0"/>
    <s v="Shipment 2 400"/>
    <x v="2"/>
    <x v="2"/>
    <m/>
    <d v="2025-11-29T00:00:00"/>
    <s v="HEATER"/>
    <s v="HTR03"/>
    <s v="Mr Phúc"/>
    <s v="B272-400-AS-280-PP-038"/>
    <s v="280-PP-038(3/4)"/>
    <s v="PERSONAL PROTECTION"/>
    <n v="1"/>
    <n v="14.31"/>
    <n v="14.31"/>
    <s v="(986x316x1940)"/>
    <m/>
    <m/>
    <m/>
    <m/>
    <m/>
    <m/>
    <m/>
    <m/>
    <m/>
    <m/>
    <m/>
    <m/>
    <m/>
    <n v="0"/>
    <n v="14.31"/>
    <m/>
    <m/>
    <n v="0"/>
    <m/>
    <m/>
    <n v="0"/>
    <m/>
    <m/>
    <n v="0"/>
    <m/>
    <m/>
    <n v="0"/>
    <m/>
    <m/>
    <m/>
    <n v="0"/>
    <m/>
    <m/>
    <n v="0"/>
    <s v="PAC"/>
    <m/>
  </r>
  <r>
    <n v="424"/>
    <x v="0"/>
    <s v="Shipment 2 400"/>
    <x v="2"/>
    <x v="2"/>
    <m/>
    <d v="2025-11-29T00:00:00"/>
    <s v="HEATER"/>
    <s v="HTR03"/>
    <s v="Mr Phúc"/>
    <s v="B272-400-AS-280-PP-038"/>
    <s v="280-PP-038(4/4)"/>
    <s v="PERSONAL PROTECTION"/>
    <n v="1"/>
    <n v="14.31"/>
    <n v="14.31"/>
    <s v="(986x316x1940)"/>
    <m/>
    <m/>
    <m/>
    <m/>
    <m/>
    <m/>
    <m/>
    <m/>
    <m/>
    <m/>
    <m/>
    <m/>
    <m/>
    <n v="0"/>
    <n v="14.31"/>
    <m/>
    <m/>
    <n v="0"/>
    <m/>
    <m/>
    <n v="0"/>
    <m/>
    <m/>
    <n v="0"/>
    <m/>
    <m/>
    <n v="0"/>
    <m/>
    <m/>
    <m/>
    <n v="0"/>
    <m/>
    <m/>
    <n v="0"/>
    <s v="PAC"/>
    <m/>
  </r>
  <r>
    <n v="425"/>
    <x v="0"/>
    <s v="Shipment 2 400"/>
    <x v="2"/>
    <x v="2"/>
    <m/>
    <d v="2025-11-29T00:00:00"/>
    <s v="HEATER"/>
    <s v="HTR03"/>
    <s v="Mr Phúc"/>
    <s v="B272-400-AS-280-PP-039"/>
    <s v="280-PP-039"/>
    <s v="PERSONAL PROTECTION"/>
    <n v="1"/>
    <n v="15.45"/>
    <n v="15.45"/>
    <s v="(2100x50x1248)"/>
    <m/>
    <m/>
    <m/>
    <m/>
    <m/>
    <m/>
    <m/>
    <m/>
    <m/>
    <m/>
    <m/>
    <m/>
    <m/>
    <n v="0"/>
    <n v="15.45"/>
    <m/>
    <m/>
    <n v="0"/>
    <m/>
    <m/>
    <n v="0"/>
    <m/>
    <m/>
    <n v="0"/>
    <m/>
    <m/>
    <n v="0"/>
    <m/>
    <m/>
    <m/>
    <n v="0"/>
    <m/>
    <m/>
    <n v="0"/>
    <s v="PAC"/>
    <m/>
  </r>
  <r>
    <n v="426"/>
    <x v="0"/>
    <s v="Shipment 2 400"/>
    <x v="2"/>
    <x v="2"/>
    <m/>
    <d v="2025-11-29T00:00:00"/>
    <s v="HEATER"/>
    <s v="HTR03"/>
    <s v="Mr Phúc"/>
    <s v="B272-400-AS-280-PP-040"/>
    <s v="280-PP-040"/>
    <s v="PERSONAL PROTECTION"/>
    <n v="1"/>
    <n v="10.5"/>
    <n v="10.5"/>
    <s v="(1271x193x1000)"/>
    <m/>
    <m/>
    <m/>
    <m/>
    <m/>
    <m/>
    <m/>
    <m/>
    <m/>
    <m/>
    <m/>
    <m/>
    <m/>
    <n v="0"/>
    <n v="10.5"/>
    <m/>
    <m/>
    <n v="0"/>
    <m/>
    <m/>
    <n v="0"/>
    <m/>
    <m/>
    <n v="0"/>
    <m/>
    <m/>
    <n v="0"/>
    <m/>
    <m/>
    <m/>
    <n v="0"/>
    <m/>
    <m/>
    <n v="0"/>
    <s v="PAC"/>
    <m/>
  </r>
  <r>
    <n v="427"/>
    <x v="0"/>
    <s v="Shipment 2 400"/>
    <x v="2"/>
    <x v="2"/>
    <m/>
    <d v="2025-11-29T00:00:00"/>
    <s v="HEATER"/>
    <s v="HTR03"/>
    <s v="Mr Phúc"/>
    <s v="B272-400-AS-280-PP-041"/>
    <s v="280-PP-041"/>
    <s v="PERSONAL PROTECTION"/>
    <n v="1"/>
    <n v="10.5"/>
    <n v="10.5"/>
    <s v="(1271x193x1000)"/>
    <m/>
    <m/>
    <m/>
    <m/>
    <m/>
    <m/>
    <m/>
    <m/>
    <m/>
    <m/>
    <m/>
    <m/>
    <m/>
    <n v="0"/>
    <n v="10.5"/>
    <m/>
    <m/>
    <n v="0"/>
    <m/>
    <m/>
    <n v="0"/>
    <m/>
    <m/>
    <n v="0"/>
    <m/>
    <m/>
    <n v="0"/>
    <m/>
    <m/>
    <m/>
    <n v="0"/>
    <m/>
    <m/>
    <n v="0"/>
    <s v="PAC"/>
    <m/>
  </r>
  <r>
    <n v="428"/>
    <x v="0"/>
    <s v="Shipment 2 400"/>
    <x v="2"/>
    <x v="2"/>
    <m/>
    <d v="2025-11-29T00:00:00"/>
    <s v="HEATER"/>
    <s v="HTR03"/>
    <s v="Mr Phúc"/>
    <s v="B272-400-AS-280-PP-042"/>
    <s v="280-PP-042"/>
    <s v="PERSONAL PROTECTION"/>
    <n v="1"/>
    <n v="8.14"/>
    <n v="8.14"/>
    <s v="(1215x408x1000)"/>
    <m/>
    <m/>
    <m/>
    <m/>
    <m/>
    <m/>
    <m/>
    <m/>
    <m/>
    <m/>
    <m/>
    <m/>
    <m/>
    <n v="0"/>
    <n v="8.14"/>
    <m/>
    <m/>
    <n v="0"/>
    <m/>
    <m/>
    <n v="0"/>
    <m/>
    <m/>
    <n v="0"/>
    <m/>
    <m/>
    <n v="0"/>
    <m/>
    <m/>
    <m/>
    <n v="0"/>
    <m/>
    <m/>
    <n v="0"/>
    <s v="PAC"/>
    <m/>
  </r>
  <r>
    <n v="429"/>
    <x v="0"/>
    <s v="Shipment 2 400"/>
    <x v="2"/>
    <x v="2"/>
    <m/>
    <d v="2025-11-29T00:00:00"/>
    <s v="HEATER"/>
    <s v="HTR03"/>
    <s v="Mr Phúc"/>
    <s v="B272-400-AS-280-PP-043"/>
    <s v="280-PP-043"/>
    <s v="PERSONAL PROTECTION"/>
    <n v="1"/>
    <n v="8.14"/>
    <n v="8.14"/>
    <s v="(1215x408x1000)"/>
    <m/>
    <m/>
    <m/>
    <m/>
    <m/>
    <m/>
    <m/>
    <m/>
    <m/>
    <m/>
    <m/>
    <m/>
    <m/>
    <n v="0"/>
    <n v="8.14"/>
    <m/>
    <m/>
    <n v="0"/>
    <m/>
    <m/>
    <n v="0"/>
    <m/>
    <m/>
    <n v="0"/>
    <m/>
    <m/>
    <n v="0"/>
    <m/>
    <m/>
    <m/>
    <n v="0"/>
    <m/>
    <m/>
    <n v="0"/>
    <s v="PAC"/>
    <m/>
  </r>
  <r>
    <n v="430"/>
    <x v="0"/>
    <s v="Shipment 2 400"/>
    <x v="2"/>
    <x v="2"/>
    <m/>
    <d v="2025-11-29T00:00:00"/>
    <s v="HEATER"/>
    <s v="HTR03"/>
    <s v="Mr Phúc"/>
    <s v="B272-400-AS-280-PP-044"/>
    <s v="280-PP-044"/>
    <s v="PERSONAL PROTECTION"/>
    <n v="1"/>
    <n v="13.2"/>
    <n v="13.2"/>
    <s v="(2100x50x832)"/>
    <m/>
    <m/>
    <m/>
    <m/>
    <m/>
    <m/>
    <m/>
    <m/>
    <m/>
    <m/>
    <m/>
    <m/>
    <m/>
    <n v="0"/>
    <n v="13.2"/>
    <m/>
    <m/>
    <n v="0"/>
    <m/>
    <m/>
    <n v="0"/>
    <m/>
    <m/>
    <n v="0"/>
    <m/>
    <m/>
    <n v="0"/>
    <m/>
    <m/>
    <m/>
    <n v="0"/>
    <m/>
    <m/>
    <n v="0"/>
    <s v="PAC"/>
    <m/>
  </r>
  <r>
    <n v="431"/>
    <x v="0"/>
    <s v="Shipment 2 400"/>
    <x v="2"/>
    <x v="2"/>
    <m/>
    <d v="2025-11-29T00:00:00"/>
    <s v="HEATER"/>
    <s v="HTR03"/>
    <s v="Mr Phúc"/>
    <s v="B272-400-AS-280-PP-045"/>
    <s v="280-PP-045"/>
    <s v="PERSONAL PROTECTION"/>
    <n v="1"/>
    <n v="13.2"/>
    <n v="13.2"/>
    <s v="(2100x50x832)"/>
    <m/>
    <m/>
    <m/>
    <m/>
    <m/>
    <m/>
    <m/>
    <m/>
    <m/>
    <m/>
    <m/>
    <m/>
    <m/>
    <n v="0"/>
    <n v="13.2"/>
    <m/>
    <m/>
    <n v="0"/>
    <m/>
    <m/>
    <n v="0"/>
    <m/>
    <m/>
    <n v="0"/>
    <m/>
    <m/>
    <n v="0"/>
    <m/>
    <m/>
    <m/>
    <n v="0"/>
    <m/>
    <m/>
    <n v="0"/>
    <s v="PAC"/>
    <m/>
  </r>
  <r>
    <n v="432"/>
    <x v="0"/>
    <s v="Shipment 2 400"/>
    <x v="2"/>
    <x v="2"/>
    <m/>
    <d v="2025-11-29T00:00:00"/>
    <s v="HEATER"/>
    <s v="HTR03"/>
    <s v="Mr Phúc"/>
    <s v="B272-400-AS-280-PP-046"/>
    <s v="280-PP-046"/>
    <s v="PERSONAL PROTECTION"/>
    <n v="1"/>
    <n v="16.53"/>
    <n v="16.53"/>
    <s v="(2100x50x1082)"/>
    <m/>
    <m/>
    <m/>
    <m/>
    <m/>
    <m/>
    <m/>
    <m/>
    <m/>
    <m/>
    <m/>
    <m/>
    <m/>
    <n v="0"/>
    <n v="16.53"/>
    <m/>
    <m/>
    <n v="0"/>
    <m/>
    <m/>
    <n v="0"/>
    <m/>
    <m/>
    <n v="0"/>
    <m/>
    <m/>
    <n v="0"/>
    <m/>
    <m/>
    <m/>
    <n v="0"/>
    <m/>
    <m/>
    <n v="0"/>
    <s v="PAC"/>
    <m/>
  </r>
  <r>
    <n v="433"/>
    <x v="0"/>
    <s v="Shipment 2 400"/>
    <x v="2"/>
    <x v="2"/>
    <m/>
    <d v="2025-11-29T00:00:00"/>
    <s v="HEATER"/>
    <s v="HTR03"/>
    <s v="Mr Phúc"/>
    <s v="B272-400-AS-280-PP-047"/>
    <s v="280-PP-047"/>
    <s v="PERSONAL PROTECTION"/>
    <n v="1"/>
    <n v="16.54"/>
    <n v="16.54"/>
    <s v="(2100x50x1083)"/>
    <m/>
    <m/>
    <m/>
    <m/>
    <m/>
    <m/>
    <m/>
    <m/>
    <m/>
    <m/>
    <m/>
    <m/>
    <m/>
    <n v="0"/>
    <n v="16.54"/>
    <m/>
    <m/>
    <n v="0"/>
    <m/>
    <m/>
    <n v="0"/>
    <m/>
    <m/>
    <n v="0"/>
    <m/>
    <m/>
    <n v="0"/>
    <m/>
    <m/>
    <m/>
    <n v="0"/>
    <m/>
    <m/>
    <n v="0"/>
    <s v="PAC"/>
    <m/>
  </r>
  <r>
    <n v="434"/>
    <x v="0"/>
    <s v="Shipment 2 400"/>
    <x v="2"/>
    <x v="2"/>
    <m/>
    <d v="2025-11-29T00:00:00"/>
    <s v="HEATER"/>
    <s v="HTR03"/>
    <s v="Mr Phúc"/>
    <s v="B272-400-AS-280-PP-048"/>
    <s v="280-PP-048"/>
    <s v="PERSONAL PROTECTION"/>
    <n v="1"/>
    <n v="10.06"/>
    <n v="10.06"/>
    <s v="(1205x50x1082)"/>
    <m/>
    <m/>
    <m/>
    <m/>
    <m/>
    <m/>
    <m/>
    <m/>
    <m/>
    <m/>
    <m/>
    <m/>
    <m/>
    <n v="0"/>
    <n v="10.06"/>
    <m/>
    <m/>
    <n v="0"/>
    <m/>
    <m/>
    <n v="0"/>
    <m/>
    <m/>
    <n v="0"/>
    <m/>
    <m/>
    <n v="0"/>
    <m/>
    <m/>
    <m/>
    <n v="0"/>
    <m/>
    <m/>
    <n v="0"/>
    <s v="PAC"/>
    <m/>
  </r>
  <r>
    <n v="435"/>
    <x v="0"/>
    <s v="Shipment 2 400"/>
    <x v="2"/>
    <x v="2"/>
    <m/>
    <d v="2025-11-29T00:00:00"/>
    <s v="HEATER"/>
    <s v="HTR03"/>
    <s v="Mr Phúc"/>
    <s v="B272-400-AS-280-PP-049"/>
    <s v="280-PP-049(1/5)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36"/>
    <x v="0"/>
    <s v="Shipment 2 400"/>
    <x v="2"/>
    <x v="2"/>
    <m/>
    <d v="2025-11-29T00:00:00"/>
    <s v="HEATER"/>
    <s v="HTR03"/>
    <s v="Mr Phúc"/>
    <s v="B272-400-AS-280-PP-049"/>
    <s v="280-PP-049(2/5)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37"/>
    <x v="0"/>
    <s v="Shipment 2 400"/>
    <x v="2"/>
    <x v="2"/>
    <m/>
    <d v="2025-11-29T00:00:00"/>
    <s v="HEATER"/>
    <s v="HTR03"/>
    <s v="Mr Phúc"/>
    <s v="B272-400-AS-280-PP-049"/>
    <s v="280-PP-049(3/5)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38"/>
    <x v="0"/>
    <s v="Shipment 2 400"/>
    <x v="2"/>
    <x v="2"/>
    <m/>
    <d v="2025-11-29T00:00:00"/>
    <s v="HEATER"/>
    <s v="HTR03"/>
    <s v="Mr Phúc"/>
    <s v="B272-400-AS-280-PP-049"/>
    <s v="280-PP-049(4/5)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39"/>
    <x v="0"/>
    <s v="Shipment 2 400"/>
    <x v="2"/>
    <x v="2"/>
    <m/>
    <d v="2025-11-29T00:00:00"/>
    <s v="HEATER"/>
    <s v="HTR03"/>
    <s v="Mr Phúc"/>
    <s v="B272-400-AS-280-PP-049"/>
    <s v="280-PP-049(5/5)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40"/>
    <x v="0"/>
    <s v="Shipment 2 400"/>
    <x v="2"/>
    <x v="2"/>
    <m/>
    <d v="2025-11-29T00:00:00"/>
    <s v="HEATER"/>
    <s v="HTR03"/>
    <s v="Mr Phúc"/>
    <s v="B272-400-AS-280-PP-050"/>
    <s v="280-PP-050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41"/>
    <x v="0"/>
    <s v="Shipment 2 400"/>
    <x v="2"/>
    <x v="2"/>
    <m/>
    <d v="2025-11-29T00:00:00"/>
    <s v="HEATER"/>
    <s v="HTR03"/>
    <s v="Mr Phúc"/>
    <s v="B272-400-AS-280-PP-051"/>
    <s v="280-PP-051"/>
    <s v="PERSONAL PROTECTION"/>
    <n v="1"/>
    <n v="13.86"/>
    <n v="13.86"/>
    <s v="(2100x50x959)"/>
    <m/>
    <m/>
    <m/>
    <m/>
    <m/>
    <m/>
    <m/>
    <m/>
    <m/>
    <m/>
    <m/>
    <m/>
    <m/>
    <n v="0"/>
    <n v="13.86"/>
    <m/>
    <m/>
    <n v="0"/>
    <m/>
    <m/>
    <n v="0"/>
    <m/>
    <m/>
    <n v="0"/>
    <m/>
    <m/>
    <n v="0"/>
    <m/>
    <m/>
    <m/>
    <n v="0"/>
    <m/>
    <m/>
    <n v="0"/>
    <s v="PAC"/>
    <m/>
  </r>
  <r>
    <n v="442"/>
    <x v="0"/>
    <s v="Shipment 2 400"/>
    <x v="2"/>
    <x v="2"/>
    <m/>
    <d v="2025-11-29T00:00:00"/>
    <s v="HEATER"/>
    <s v="HTR03"/>
    <s v="Mr Phúc"/>
    <s v="B272-400-AS-280-PP-052"/>
    <s v="280-PP-052(1/2)"/>
    <s v="PERSONAL PROTECTION"/>
    <n v="1"/>
    <n v="12.23"/>
    <n v="12.23"/>
    <s v="(2100x50x767)"/>
    <m/>
    <m/>
    <m/>
    <m/>
    <m/>
    <m/>
    <m/>
    <m/>
    <m/>
    <m/>
    <m/>
    <m/>
    <m/>
    <n v="0"/>
    <n v="12.23"/>
    <m/>
    <m/>
    <n v="0"/>
    <m/>
    <m/>
    <n v="0"/>
    <m/>
    <m/>
    <n v="0"/>
    <m/>
    <m/>
    <n v="0"/>
    <m/>
    <m/>
    <m/>
    <n v="0"/>
    <m/>
    <m/>
    <n v="0"/>
    <s v="PAC"/>
    <m/>
  </r>
  <r>
    <n v="443"/>
    <x v="0"/>
    <s v="Shipment 2 400"/>
    <x v="2"/>
    <x v="2"/>
    <m/>
    <d v="2025-11-29T00:00:00"/>
    <s v="HEATER"/>
    <s v="HTR03"/>
    <s v="Mr Phúc"/>
    <s v="B272-400-AS-280-PP-052"/>
    <s v="280-PP-052(2/2)"/>
    <s v="PERSONAL PROTECTION"/>
    <n v="1"/>
    <n v="12.23"/>
    <n v="12.23"/>
    <s v="(2100x50x767)"/>
    <m/>
    <m/>
    <m/>
    <m/>
    <m/>
    <m/>
    <m/>
    <m/>
    <m/>
    <m/>
    <m/>
    <m/>
    <m/>
    <n v="0"/>
    <n v="12.23"/>
    <m/>
    <m/>
    <n v="0"/>
    <m/>
    <m/>
    <n v="0"/>
    <m/>
    <m/>
    <n v="0"/>
    <m/>
    <m/>
    <n v="0"/>
    <m/>
    <m/>
    <m/>
    <n v="0"/>
    <m/>
    <m/>
    <n v="0"/>
    <s v="PAC"/>
    <m/>
  </r>
  <r>
    <n v="444"/>
    <x v="0"/>
    <s v="Shipment 2 400"/>
    <x v="2"/>
    <x v="2"/>
    <m/>
    <d v="2025-11-29T00:00:00"/>
    <s v="HEATER"/>
    <s v="HTR03"/>
    <s v="Mr Phúc"/>
    <s v="B272-400-AS-280-PP-053"/>
    <s v="280-PP-053"/>
    <s v="PERSONAL PROTECTION"/>
    <n v="1"/>
    <n v="12.96"/>
    <n v="12.96"/>
    <s v="(2100x50x812)"/>
    <m/>
    <m/>
    <m/>
    <m/>
    <m/>
    <m/>
    <m/>
    <m/>
    <m/>
    <m/>
    <m/>
    <m/>
    <m/>
    <n v="0"/>
    <n v="12.96"/>
    <m/>
    <m/>
    <n v="0"/>
    <m/>
    <m/>
    <n v="0"/>
    <m/>
    <m/>
    <n v="0"/>
    <m/>
    <m/>
    <n v="0"/>
    <m/>
    <m/>
    <m/>
    <n v="0"/>
    <m/>
    <m/>
    <n v="0"/>
    <s v="PAC"/>
    <m/>
  </r>
  <r>
    <n v="445"/>
    <x v="0"/>
    <s v="Shipment 2 400"/>
    <x v="2"/>
    <x v="2"/>
    <m/>
    <d v="2025-11-29T00:00:00"/>
    <s v="HEATER"/>
    <s v="HTR03"/>
    <s v="Mr Phúc"/>
    <s v="B272-400-AS-280-PP-054"/>
    <s v="280-PP-054"/>
    <s v="PERSONAL PROTECTION"/>
    <n v="1"/>
    <n v="10.86"/>
    <n v="10.86"/>
    <s v="(919x50x1611)"/>
    <m/>
    <m/>
    <m/>
    <m/>
    <m/>
    <m/>
    <m/>
    <m/>
    <m/>
    <m/>
    <m/>
    <m/>
    <m/>
    <n v="0"/>
    <n v="10.86"/>
    <m/>
    <m/>
    <n v="0"/>
    <m/>
    <m/>
    <n v="0"/>
    <m/>
    <m/>
    <n v="0"/>
    <m/>
    <m/>
    <n v="0"/>
    <m/>
    <m/>
    <m/>
    <n v="0"/>
    <m/>
    <m/>
    <n v="0"/>
    <s v="PAC"/>
    <m/>
  </r>
  <r>
    <n v="446"/>
    <x v="0"/>
    <s v="Shipment 2 400"/>
    <x v="2"/>
    <x v="2"/>
    <m/>
    <d v="2025-11-29T00:00:00"/>
    <s v="HEATER"/>
    <s v="HTR03"/>
    <s v="Mr Phúc"/>
    <s v="B272-400-AS-280-PP-055"/>
    <s v="280-PP-055"/>
    <s v="PERSONAL PROTECTION"/>
    <n v="1"/>
    <n v="10.86"/>
    <n v="10.86"/>
    <s v="(919x50x1611)"/>
    <m/>
    <m/>
    <m/>
    <m/>
    <m/>
    <m/>
    <m/>
    <m/>
    <m/>
    <m/>
    <m/>
    <m/>
    <m/>
    <n v="0"/>
    <n v="10.86"/>
    <m/>
    <m/>
    <n v="0"/>
    <m/>
    <m/>
    <n v="0"/>
    <m/>
    <m/>
    <n v="0"/>
    <m/>
    <m/>
    <n v="0"/>
    <m/>
    <m/>
    <m/>
    <n v="0"/>
    <m/>
    <m/>
    <n v="0"/>
    <s v="PAC"/>
    <m/>
  </r>
  <r>
    <n v="447"/>
    <x v="0"/>
    <s v="Shipment 2 400"/>
    <x v="2"/>
    <x v="2"/>
    <m/>
    <d v="2025-11-29T00:00:00"/>
    <s v="HEATER"/>
    <s v="HTR03"/>
    <s v="Mr Phúc"/>
    <s v="B272-400-AS-280-PP-056"/>
    <s v="280-PP-056(1/2)"/>
    <s v="PERSONAL PROTECTION"/>
    <n v="1"/>
    <n v="7.85"/>
    <n v="7.85"/>
    <s v="(1169x50x998)"/>
    <m/>
    <m/>
    <m/>
    <m/>
    <m/>
    <m/>
    <m/>
    <m/>
    <m/>
    <m/>
    <m/>
    <m/>
    <m/>
    <n v="0"/>
    <n v="7.85"/>
    <m/>
    <m/>
    <n v="0"/>
    <m/>
    <m/>
    <n v="0"/>
    <m/>
    <m/>
    <n v="0"/>
    <m/>
    <m/>
    <n v="0"/>
    <m/>
    <m/>
    <m/>
    <n v="0"/>
    <m/>
    <m/>
    <n v="0"/>
    <s v="PAC"/>
    <m/>
  </r>
  <r>
    <n v="448"/>
    <x v="0"/>
    <s v="Shipment 2 400"/>
    <x v="2"/>
    <x v="2"/>
    <m/>
    <d v="2025-11-29T00:00:00"/>
    <s v="HEATER"/>
    <s v="HTR03"/>
    <s v="Mr Phúc"/>
    <s v="B272-400-AS-280-PP-056"/>
    <s v="280-PP-056(2/2)"/>
    <s v="PERSONAL PROTECTION"/>
    <n v="1"/>
    <n v="7.85"/>
    <n v="7.85"/>
    <s v="(1169x50x998)"/>
    <m/>
    <m/>
    <m/>
    <m/>
    <m/>
    <m/>
    <m/>
    <m/>
    <m/>
    <m/>
    <m/>
    <m/>
    <m/>
    <n v="0"/>
    <n v="7.85"/>
    <m/>
    <m/>
    <n v="0"/>
    <m/>
    <m/>
    <n v="0"/>
    <m/>
    <m/>
    <n v="0"/>
    <m/>
    <m/>
    <n v="0"/>
    <m/>
    <m/>
    <m/>
    <n v="0"/>
    <m/>
    <m/>
    <n v="0"/>
    <s v="PAC"/>
    <m/>
  </r>
  <r>
    <n v="449"/>
    <x v="0"/>
    <s v="Shipment 2 400"/>
    <x v="2"/>
    <x v="2"/>
    <m/>
    <d v="2025-11-29T00:00:00"/>
    <s v="HEATER"/>
    <s v="HTR03"/>
    <s v="Mr Phúc"/>
    <s v="B272-400-AS-280-PP-057"/>
    <s v="280-PP-057(1/2)"/>
    <s v="PERSONAL PROTECTION"/>
    <n v="1"/>
    <n v="7.85"/>
    <n v="7.85"/>
    <s v="(1169x50x998)"/>
    <m/>
    <m/>
    <m/>
    <m/>
    <m/>
    <m/>
    <m/>
    <m/>
    <m/>
    <m/>
    <m/>
    <m/>
    <m/>
    <n v="0"/>
    <n v="7.85"/>
    <m/>
    <m/>
    <n v="0"/>
    <m/>
    <m/>
    <n v="0"/>
    <m/>
    <m/>
    <n v="0"/>
    <m/>
    <m/>
    <n v="0"/>
    <m/>
    <m/>
    <m/>
    <n v="0"/>
    <m/>
    <m/>
    <n v="0"/>
    <s v="PAC"/>
    <m/>
  </r>
  <r>
    <n v="450"/>
    <x v="0"/>
    <s v="Shipment 2 400"/>
    <x v="2"/>
    <x v="2"/>
    <m/>
    <d v="2025-11-29T00:00:00"/>
    <s v="HEATER"/>
    <s v="HTR03"/>
    <s v="Mr Phúc"/>
    <s v="B272-400-AS-280-PP-057"/>
    <s v="280-PP-057(2/2)"/>
    <s v="PERSONAL PROTECTION"/>
    <n v="1"/>
    <n v="7.85"/>
    <n v="7.85"/>
    <s v="(1169x50x998)"/>
    <m/>
    <m/>
    <m/>
    <m/>
    <m/>
    <m/>
    <m/>
    <m/>
    <m/>
    <m/>
    <m/>
    <m/>
    <m/>
    <n v="0"/>
    <n v="7.85"/>
    <m/>
    <m/>
    <n v="0"/>
    <m/>
    <m/>
    <n v="0"/>
    <m/>
    <m/>
    <n v="0"/>
    <m/>
    <m/>
    <n v="0"/>
    <m/>
    <m/>
    <m/>
    <n v="0"/>
    <m/>
    <m/>
    <n v="0"/>
    <s v="PAC"/>
    <m/>
  </r>
  <r>
    <n v="451"/>
    <x v="0"/>
    <s v="Shipment 2 400"/>
    <x v="2"/>
    <x v="2"/>
    <m/>
    <d v="2025-11-29T00:00:00"/>
    <s v="HEATER"/>
    <s v="HTR03"/>
    <s v="Mr Phúc"/>
    <s v="B272-400-AS-280-PP-058"/>
    <s v="280-PP-058"/>
    <s v="PERSONAL PROTECTION"/>
    <n v="1"/>
    <n v="5.64"/>
    <n v="5.64"/>
    <s v="(640x50x998)"/>
    <m/>
    <m/>
    <m/>
    <m/>
    <m/>
    <m/>
    <m/>
    <m/>
    <m/>
    <m/>
    <m/>
    <m/>
    <m/>
    <n v="0"/>
    <n v="5.64"/>
    <m/>
    <m/>
    <n v="0"/>
    <m/>
    <m/>
    <n v="0"/>
    <m/>
    <m/>
    <n v="0"/>
    <m/>
    <m/>
    <n v="0"/>
    <m/>
    <m/>
    <m/>
    <n v="0"/>
    <m/>
    <m/>
    <n v="0"/>
    <s v="PAC"/>
    <m/>
  </r>
  <r>
    <n v="452"/>
    <x v="0"/>
    <s v="Shipment 2 400"/>
    <x v="2"/>
    <x v="2"/>
    <m/>
    <d v="2025-11-29T00:00:00"/>
    <s v="HEATER"/>
    <s v="HTR03"/>
    <s v="Mr Phúc"/>
    <s v="B272-400-AS-280-PP-059"/>
    <s v="280-PP-059"/>
    <s v="PERSONAL PROTECTION"/>
    <n v="1"/>
    <n v="5.64"/>
    <n v="5.64"/>
    <s v="(640x50x998)"/>
    <m/>
    <m/>
    <m/>
    <m/>
    <m/>
    <m/>
    <m/>
    <m/>
    <m/>
    <m/>
    <m/>
    <m/>
    <m/>
    <n v="0"/>
    <n v="5.64"/>
    <m/>
    <m/>
    <n v="0"/>
    <m/>
    <m/>
    <n v="0"/>
    <m/>
    <m/>
    <n v="0"/>
    <m/>
    <m/>
    <n v="0"/>
    <m/>
    <m/>
    <m/>
    <n v="0"/>
    <m/>
    <m/>
    <n v="0"/>
    <s v="PAC"/>
    <m/>
  </r>
  <r>
    <n v="453"/>
    <x v="0"/>
    <s v="Shipment 2 400"/>
    <x v="2"/>
    <x v="2"/>
    <m/>
    <d v="2025-11-29T00:00:00"/>
    <s v="HEATER"/>
    <s v="HTR03"/>
    <s v="Mr Phúc"/>
    <s v="B272-400-AS-280-PP-060"/>
    <s v="280-PP-060"/>
    <s v="PERSONAL PROTECTION"/>
    <n v="1"/>
    <n v="5.97"/>
    <n v="5.97"/>
    <s v="(640x50x998)"/>
    <m/>
    <m/>
    <m/>
    <m/>
    <m/>
    <m/>
    <m/>
    <m/>
    <m/>
    <m/>
    <m/>
    <m/>
    <m/>
    <n v="0"/>
    <n v="5.97"/>
    <m/>
    <m/>
    <n v="0"/>
    <m/>
    <m/>
    <n v="0"/>
    <m/>
    <m/>
    <n v="0"/>
    <m/>
    <m/>
    <n v="0"/>
    <m/>
    <m/>
    <m/>
    <n v="0"/>
    <m/>
    <m/>
    <n v="0"/>
    <s v="PAC"/>
    <m/>
  </r>
  <r>
    <n v="454"/>
    <x v="0"/>
    <s v="Shipment 2 400"/>
    <x v="2"/>
    <x v="2"/>
    <m/>
    <d v="2025-11-29T00:00:00"/>
    <s v="HEATER"/>
    <s v="HTR03"/>
    <s v="Mr Phúc"/>
    <s v="B272-400-AS-280-PP-061"/>
    <s v="280-PP-061"/>
    <s v="PERSONAL PROTECTION"/>
    <n v="1"/>
    <n v="5.97"/>
    <n v="5.97"/>
    <s v="(640x50x998)"/>
    <m/>
    <m/>
    <m/>
    <m/>
    <m/>
    <m/>
    <m/>
    <m/>
    <m/>
    <m/>
    <m/>
    <m/>
    <m/>
    <n v="0"/>
    <n v="5.97"/>
    <m/>
    <m/>
    <n v="0"/>
    <m/>
    <m/>
    <n v="0"/>
    <m/>
    <m/>
    <n v="0"/>
    <m/>
    <m/>
    <n v="0"/>
    <m/>
    <m/>
    <m/>
    <n v="0"/>
    <m/>
    <m/>
    <n v="0"/>
    <s v="PAC"/>
    <m/>
  </r>
  <r>
    <n v="455"/>
    <x v="0"/>
    <s v="Shipment 2 400"/>
    <x v="2"/>
    <x v="2"/>
    <m/>
    <d v="2025-11-29T00:00:00"/>
    <s v="HEATER"/>
    <s v="HTR03"/>
    <s v="Mr Phúc"/>
    <s v="B272-400-AS-280-PP-062"/>
    <s v="280-PP-062"/>
    <s v="PERSONAL PROTECTION"/>
    <n v="1"/>
    <n v="12.91"/>
    <n v="12.91"/>
    <s v="(2100x50x812)"/>
    <m/>
    <m/>
    <m/>
    <m/>
    <m/>
    <m/>
    <m/>
    <m/>
    <m/>
    <m/>
    <m/>
    <m/>
    <m/>
    <n v="0"/>
    <n v="12.91"/>
    <m/>
    <m/>
    <n v="0"/>
    <m/>
    <m/>
    <n v="0"/>
    <m/>
    <m/>
    <n v="0"/>
    <m/>
    <m/>
    <n v="0"/>
    <m/>
    <m/>
    <m/>
    <n v="0"/>
    <m/>
    <m/>
    <n v="0"/>
    <s v="PAC"/>
    <m/>
  </r>
  <r>
    <n v="456"/>
    <x v="0"/>
    <s v="Shipment 2 400"/>
    <x v="2"/>
    <x v="2"/>
    <m/>
    <d v="2025-11-29T00:00:00"/>
    <s v="HEATER"/>
    <s v="HTR03"/>
    <s v="Mr Phúc"/>
    <s v="B272-400-AS-280-PP-063"/>
    <s v="280-PP-063"/>
    <s v="PERSONAL PROTECTION"/>
    <n v="1"/>
    <n v="12.93"/>
    <n v="12.93"/>
    <s v="(2100x50x812)"/>
    <m/>
    <m/>
    <m/>
    <m/>
    <m/>
    <m/>
    <m/>
    <m/>
    <m/>
    <m/>
    <m/>
    <m/>
    <m/>
    <n v="0"/>
    <n v="12.93"/>
    <m/>
    <m/>
    <n v="0"/>
    <m/>
    <m/>
    <n v="0"/>
    <m/>
    <m/>
    <n v="0"/>
    <m/>
    <m/>
    <n v="0"/>
    <m/>
    <m/>
    <m/>
    <n v="0"/>
    <m/>
    <m/>
    <n v="0"/>
    <s v="PAC"/>
    <m/>
  </r>
  <r>
    <n v="457"/>
    <x v="0"/>
    <s v="Shipment 2 400"/>
    <x v="2"/>
    <x v="2"/>
    <m/>
    <d v="2025-11-29T00:00:00"/>
    <s v="HEATER"/>
    <s v="HTR03"/>
    <s v="Mr Phúc"/>
    <s v="B272-400-AS-280-PP-064"/>
    <s v="280-PP-064"/>
    <s v="PERSONAL PROTECTION"/>
    <n v="1"/>
    <n v="13.4"/>
    <n v="13.4"/>
    <s v="(2100x50x812)"/>
    <m/>
    <m/>
    <m/>
    <m/>
    <m/>
    <m/>
    <m/>
    <m/>
    <m/>
    <m/>
    <m/>
    <m/>
    <m/>
    <n v="0"/>
    <n v="13.4"/>
    <m/>
    <m/>
    <n v="0"/>
    <m/>
    <m/>
    <n v="0"/>
    <m/>
    <m/>
    <n v="0"/>
    <m/>
    <m/>
    <n v="0"/>
    <m/>
    <m/>
    <m/>
    <n v="0"/>
    <m/>
    <m/>
    <n v="0"/>
    <s v="PAC"/>
    <m/>
  </r>
  <r>
    <n v="458"/>
    <x v="0"/>
    <s v="Shipment 2 400"/>
    <x v="2"/>
    <x v="2"/>
    <m/>
    <d v="2025-11-29T00:00:00"/>
    <s v="HEATER"/>
    <s v="HTR03"/>
    <s v="Mr Phúc"/>
    <s v="B272-400-AS-280-PP-065"/>
    <s v="280-PP-065"/>
    <s v="PERSONAL PROTECTION"/>
    <n v="1"/>
    <n v="13.32"/>
    <n v="13.32"/>
    <s v="(2100x50x792)"/>
    <m/>
    <m/>
    <m/>
    <m/>
    <m/>
    <m/>
    <m/>
    <m/>
    <m/>
    <m/>
    <m/>
    <m/>
    <m/>
    <n v="0"/>
    <n v="13.32"/>
    <m/>
    <m/>
    <n v="0"/>
    <m/>
    <m/>
    <n v="0"/>
    <m/>
    <m/>
    <n v="0"/>
    <m/>
    <m/>
    <n v="0"/>
    <m/>
    <m/>
    <m/>
    <n v="0"/>
    <m/>
    <m/>
    <n v="0"/>
    <s v="PAC"/>
    <m/>
  </r>
  <r>
    <n v="459"/>
    <x v="0"/>
    <s v="Shipment 2 400"/>
    <x v="2"/>
    <x v="2"/>
    <m/>
    <d v="2025-11-29T00:00:00"/>
    <s v="HEATER"/>
    <s v="HTR03"/>
    <s v="Mr Phúc"/>
    <s v="B272-400-AS-280-PP-066"/>
    <s v="280-PP-066"/>
    <s v="PERSONAL PROTECTION"/>
    <n v="1"/>
    <n v="12.87"/>
    <n v="12.87"/>
    <s v="(2100x50x792)"/>
    <m/>
    <m/>
    <m/>
    <m/>
    <m/>
    <m/>
    <m/>
    <m/>
    <m/>
    <m/>
    <m/>
    <m/>
    <m/>
    <n v="0"/>
    <n v="12.87"/>
    <m/>
    <m/>
    <n v="0"/>
    <m/>
    <m/>
    <n v="0"/>
    <m/>
    <m/>
    <n v="0"/>
    <m/>
    <m/>
    <n v="0"/>
    <m/>
    <m/>
    <m/>
    <n v="0"/>
    <m/>
    <m/>
    <n v="0"/>
    <s v="PAC"/>
    <m/>
  </r>
  <r>
    <n v="460"/>
    <x v="0"/>
    <s v="Shipment 2 400"/>
    <x v="2"/>
    <x v="2"/>
    <m/>
    <d v="2025-11-29T00:00:00"/>
    <s v="HEATER"/>
    <s v="HTR03"/>
    <s v="Mr Phúc"/>
    <s v="B272-400-AS-280-PP-067"/>
    <s v="280-PP-067"/>
    <s v="PERSONAL PROTECTION"/>
    <n v="1"/>
    <n v="12.87"/>
    <n v="12.87"/>
    <s v="(2100x50x792)"/>
    <m/>
    <m/>
    <m/>
    <m/>
    <m/>
    <m/>
    <m/>
    <m/>
    <m/>
    <m/>
    <m/>
    <m/>
    <m/>
    <n v="0"/>
    <n v="12.87"/>
    <m/>
    <m/>
    <n v="0"/>
    <m/>
    <m/>
    <n v="0"/>
    <m/>
    <m/>
    <n v="0"/>
    <m/>
    <m/>
    <n v="0"/>
    <m/>
    <m/>
    <m/>
    <n v="0"/>
    <m/>
    <m/>
    <n v="0"/>
    <s v="PAC"/>
    <m/>
  </r>
  <r>
    <n v="461"/>
    <x v="0"/>
    <s v="Shipment 2 400"/>
    <x v="2"/>
    <x v="2"/>
    <m/>
    <d v="2025-11-29T00:00:00"/>
    <s v="HEATER"/>
    <s v="HTR03"/>
    <s v="Mr Phúc"/>
    <s v="B272-400-AS-280-PP-068"/>
    <s v="280-PP-068"/>
    <s v="PERSONAL PROTECTION"/>
    <n v="1"/>
    <n v="12.97"/>
    <n v="12.97"/>
    <s v="(2100x50x792)"/>
    <m/>
    <m/>
    <m/>
    <m/>
    <m/>
    <m/>
    <m/>
    <m/>
    <m/>
    <m/>
    <m/>
    <m/>
    <m/>
    <n v="0"/>
    <n v="12.97"/>
    <m/>
    <m/>
    <n v="0"/>
    <m/>
    <m/>
    <n v="0"/>
    <m/>
    <m/>
    <n v="0"/>
    <m/>
    <m/>
    <n v="0"/>
    <m/>
    <m/>
    <m/>
    <n v="0"/>
    <m/>
    <m/>
    <n v="0"/>
    <s v="PAC"/>
    <m/>
  </r>
  <r>
    <n v="462"/>
    <x v="0"/>
    <s v="Shipment 2 400"/>
    <x v="2"/>
    <x v="2"/>
    <m/>
    <d v="2025-11-29T00:00:00"/>
    <s v="HEATER"/>
    <s v="HTR03"/>
    <s v="Mr Phúc"/>
    <s v="B272-400-AS-280-PP-069"/>
    <s v="280-PP-069"/>
    <s v="PERSONAL PROTECTION"/>
    <n v="1"/>
    <n v="12.87"/>
    <n v="12.87"/>
    <s v="(2100x50x792)"/>
    <m/>
    <m/>
    <m/>
    <m/>
    <m/>
    <m/>
    <m/>
    <m/>
    <m/>
    <m/>
    <m/>
    <m/>
    <m/>
    <n v="0"/>
    <n v="12.87"/>
    <m/>
    <m/>
    <n v="0"/>
    <m/>
    <m/>
    <n v="0"/>
    <m/>
    <m/>
    <n v="0"/>
    <m/>
    <m/>
    <n v="0"/>
    <m/>
    <m/>
    <m/>
    <n v="0"/>
    <m/>
    <m/>
    <n v="0"/>
    <s v="PAC"/>
    <m/>
  </r>
  <r>
    <n v="463"/>
    <x v="0"/>
    <s v="Shipment 2 400"/>
    <x v="2"/>
    <x v="2"/>
    <m/>
    <d v="2025-11-29T00:00:00"/>
    <s v="HEATER"/>
    <s v="HTR03"/>
    <s v="Mr Phúc"/>
    <s v="B272-400-AS-280-PP-070"/>
    <s v="280-PP-070"/>
    <s v="PERSONAL PROTECTION"/>
    <n v="1"/>
    <n v="12.97"/>
    <n v="12.97"/>
    <s v="(2100x50x792)"/>
    <m/>
    <m/>
    <m/>
    <m/>
    <m/>
    <m/>
    <m/>
    <m/>
    <m/>
    <m/>
    <m/>
    <m/>
    <m/>
    <n v="0"/>
    <n v="12.97"/>
    <m/>
    <m/>
    <n v="0"/>
    <m/>
    <m/>
    <n v="0"/>
    <m/>
    <m/>
    <n v="0"/>
    <m/>
    <m/>
    <n v="0"/>
    <m/>
    <m/>
    <m/>
    <n v="0"/>
    <m/>
    <m/>
    <n v="0"/>
    <s v="PAC"/>
    <m/>
  </r>
  <r>
    <n v="464"/>
    <x v="0"/>
    <s v="Shipment 2 400"/>
    <x v="2"/>
    <x v="2"/>
    <m/>
    <d v="2025-11-29T00:00:00"/>
    <s v="HEATER"/>
    <s v="HTR03"/>
    <s v="Mr Phúc"/>
    <s v="B272-400-AS-280-PP-071"/>
    <s v="280-PP-071"/>
    <s v="PERSONAL PROTECTION"/>
    <n v="1"/>
    <n v="14.01"/>
    <n v="14.01"/>
    <s v="(2100x50x792)"/>
    <m/>
    <m/>
    <m/>
    <m/>
    <m/>
    <m/>
    <m/>
    <m/>
    <m/>
    <m/>
    <m/>
    <m/>
    <m/>
    <n v="0"/>
    <n v="14.01"/>
    <m/>
    <m/>
    <n v="0"/>
    <m/>
    <m/>
    <n v="0"/>
    <m/>
    <m/>
    <n v="0"/>
    <m/>
    <m/>
    <n v="0"/>
    <m/>
    <m/>
    <m/>
    <n v="0"/>
    <m/>
    <m/>
    <n v="0"/>
    <s v="PAC"/>
    <m/>
  </r>
  <r>
    <n v="465"/>
    <x v="0"/>
    <s v="Shipment 2 400"/>
    <x v="2"/>
    <x v="2"/>
    <m/>
    <d v="2025-11-29T00:00:00"/>
    <s v="HEATER"/>
    <s v="HTR03"/>
    <s v="Mr Phúc"/>
    <s v="B272-400-AS-280-PP-072"/>
    <s v="280-PP-072"/>
    <s v="PERSONAL PROTECTION"/>
    <n v="1"/>
    <n v="14.41"/>
    <n v="14.41"/>
    <s v="(2100x50x792)"/>
    <m/>
    <m/>
    <m/>
    <m/>
    <m/>
    <m/>
    <m/>
    <m/>
    <m/>
    <m/>
    <m/>
    <m/>
    <m/>
    <n v="0"/>
    <n v="14.41"/>
    <m/>
    <m/>
    <n v="0"/>
    <m/>
    <m/>
    <n v="0"/>
    <m/>
    <m/>
    <n v="0"/>
    <m/>
    <m/>
    <n v="0"/>
    <m/>
    <m/>
    <m/>
    <n v="0"/>
    <m/>
    <m/>
    <n v="0"/>
    <s v="PAC"/>
    <m/>
  </r>
  <r>
    <n v="466"/>
    <x v="0"/>
    <s v="Shipment 2 400"/>
    <x v="2"/>
    <x v="2"/>
    <m/>
    <d v="2025-11-29T00:00:00"/>
    <s v="HEATER"/>
    <s v="HTR03"/>
    <s v="Mr Phúc"/>
    <s v="B272-400-AS-280-PP-073"/>
    <s v="280-PP-073"/>
    <s v="PERSONAL PROTECTION"/>
    <n v="1"/>
    <n v="13.05"/>
    <n v="13.05"/>
    <s v="(936x211x1940)"/>
    <m/>
    <m/>
    <m/>
    <m/>
    <m/>
    <m/>
    <m/>
    <m/>
    <m/>
    <m/>
    <m/>
    <m/>
    <m/>
    <n v="0"/>
    <n v="13.05"/>
    <m/>
    <m/>
    <n v="0"/>
    <m/>
    <m/>
    <n v="0"/>
    <m/>
    <m/>
    <n v="0"/>
    <m/>
    <m/>
    <n v="0"/>
    <m/>
    <m/>
    <m/>
    <n v="0"/>
    <m/>
    <m/>
    <n v="0"/>
    <s v="PAC"/>
    <m/>
  </r>
  <r>
    <n v="467"/>
    <x v="0"/>
    <s v="Shipment 2 400"/>
    <x v="2"/>
    <x v="2"/>
    <m/>
    <d v="2025-11-29T00:00:00"/>
    <s v="HEATER"/>
    <s v="HTR03"/>
    <s v="Mr Phúc"/>
    <s v="B272-400-AS-280-PP-074"/>
    <s v="280-PP-074"/>
    <s v="PERSONAL PROTECTION"/>
    <n v="1"/>
    <n v="13.05"/>
    <n v="13.05"/>
    <s v="(948x199x1940)"/>
    <m/>
    <m/>
    <m/>
    <m/>
    <m/>
    <m/>
    <m/>
    <m/>
    <m/>
    <m/>
    <m/>
    <m/>
    <m/>
    <n v="0"/>
    <n v="13.05"/>
    <m/>
    <m/>
    <n v="0"/>
    <m/>
    <m/>
    <n v="0"/>
    <m/>
    <m/>
    <n v="0"/>
    <m/>
    <m/>
    <n v="0"/>
    <m/>
    <m/>
    <m/>
    <n v="0"/>
    <m/>
    <m/>
    <n v="0"/>
    <s v="PAC"/>
    <m/>
  </r>
  <r>
    <n v="468"/>
    <x v="0"/>
    <s v="Shipment 2 400"/>
    <x v="2"/>
    <x v="2"/>
    <m/>
    <d v="2025-11-29T00:00:00"/>
    <s v="HEATER"/>
    <s v="HTR03"/>
    <s v="Mr Phúc"/>
    <s v="B272-400-AS-280-PP-075"/>
    <s v="280-PP-075"/>
    <s v="PERSONAL PROTECTION"/>
    <n v="1"/>
    <n v="13.33"/>
    <n v="13.33"/>
    <s v="(975x231x1940)"/>
    <m/>
    <m/>
    <m/>
    <m/>
    <m/>
    <m/>
    <m/>
    <m/>
    <m/>
    <m/>
    <m/>
    <m/>
    <m/>
    <n v="0"/>
    <n v="13.33"/>
    <m/>
    <m/>
    <n v="0"/>
    <m/>
    <m/>
    <n v="0"/>
    <m/>
    <m/>
    <n v="0"/>
    <m/>
    <m/>
    <n v="0"/>
    <m/>
    <m/>
    <m/>
    <n v="0"/>
    <m/>
    <m/>
    <n v="0"/>
    <s v="PAC"/>
    <m/>
  </r>
  <r>
    <n v="469"/>
    <x v="0"/>
    <s v="Shipment 2 400"/>
    <x v="2"/>
    <x v="2"/>
    <m/>
    <d v="2025-11-29T00:00:00"/>
    <s v="HEATER"/>
    <s v="HTR03"/>
    <s v="Mr Phúc"/>
    <s v="B272-400-AS-280-PP-076"/>
    <s v="280-PP-076"/>
    <s v="PERSONAL PROTECTION"/>
    <n v="1"/>
    <n v="9.17"/>
    <n v="9.17"/>
    <s v="(960x251x1940)"/>
    <m/>
    <m/>
    <m/>
    <m/>
    <m/>
    <m/>
    <m/>
    <m/>
    <m/>
    <m/>
    <m/>
    <m/>
    <m/>
    <n v="0"/>
    <n v="9.17"/>
    <m/>
    <m/>
    <n v="0"/>
    <m/>
    <m/>
    <n v="0"/>
    <m/>
    <m/>
    <n v="0"/>
    <m/>
    <m/>
    <n v="0"/>
    <m/>
    <m/>
    <m/>
    <n v="0"/>
    <m/>
    <m/>
    <n v="0"/>
    <s v="PAC"/>
    <m/>
  </r>
  <r>
    <n v="470"/>
    <x v="0"/>
    <s v="Shipment 2 400"/>
    <x v="2"/>
    <x v="2"/>
    <m/>
    <d v="2025-11-29T00:00:00"/>
    <s v="HEATER"/>
    <s v="HTR03"/>
    <s v="Mr Phúc"/>
    <s v="B272-400-AS-280-PP-077"/>
    <s v="280-PP-077"/>
    <s v="PERSONAL PROTECTION"/>
    <n v="1"/>
    <n v="11.91"/>
    <n v="11.91"/>
    <s v="(812x173x1940)"/>
    <m/>
    <m/>
    <m/>
    <m/>
    <m/>
    <m/>
    <m/>
    <m/>
    <m/>
    <m/>
    <m/>
    <m/>
    <m/>
    <n v="0"/>
    <n v="11.91"/>
    <m/>
    <m/>
    <n v="0"/>
    <m/>
    <m/>
    <n v="0"/>
    <m/>
    <m/>
    <n v="0"/>
    <m/>
    <m/>
    <n v="0"/>
    <m/>
    <m/>
    <m/>
    <n v="0"/>
    <m/>
    <m/>
    <n v="0"/>
    <s v="PAC"/>
    <m/>
  </r>
  <r>
    <n v="471"/>
    <x v="0"/>
    <s v="Shipment 2 400"/>
    <x v="2"/>
    <x v="2"/>
    <m/>
    <d v="2025-11-29T00:00:00"/>
    <s v="HEATER"/>
    <s v="HTR03"/>
    <s v="Mr Phúc"/>
    <s v="B272-400-AS-280-PP-078"/>
    <s v="280-PP-078"/>
    <s v="PERSONAL PROTECTION"/>
    <n v="1"/>
    <n v="11.85"/>
    <n v="11.85"/>
    <s v="(799x186x1940)"/>
    <m/>
    <m/>
    <m/>
    <m/>
    <m/>
    <m/>
    <m/>
    <m/>
    <m/>
    <m/>
    <m/>
    <m/>
    <m/>
    <n v="0"/>
    <n v="11.85"/>
    <m/>
    <m/>
    <n v="0"/>
    <m/>
    <m/>
    <n v="0"/>
    <m/>
    <m/>
    <n v="0"/>
    <m/>
    <m/>
    <n v="0"/>
    <m/>
    <m/>
    <m/>
    <n v="0"/>
    <m/>
    <m/>
    <n v="0"/>
    <s v="PAC"/>
    <m/>
  </r>
  <r>
    <n v="472"/>
    <x v="0"/>
    <s v="Shipment 2 400"/>
    <x v="2"/>
    <x v="2"/>
    <m/>
    <d v="2025-11-29T00:00:00"/>
    <s v="HEATER"/>
    <s v="HTR03"/>
    <s v="Mr Phúc"/>
    <s v="B272-400-AS-280-PP-079"/>
    <s v="280-PP-079"/>
    <s v="PERSONAL PROTECTION"/>
    <n v="1"/>
    <n v="11.79"/>
    <n v="11.79"/>
    <s v="(985x322x1940)"/>
    <m/>
    <m/>
    <m/>
    <m/>
    <m/>
    <m/>
    <m/>
    <m/>
    <m/>
    <m/>
    <m/>
    <m/>
    <m/>
    <n v="0"/>
    <n v="11.79"/>
    <m/>
    <m/>
    <n v="0"/>
    <m/>
    <m/>
    <n v="0"/>
    <m/>
    <m/>
    <n v="0"/>
    <m/>
    <m/>
    <n v="0"/>
    <m/>
    <m/>
    <m/>
    <n v="0"/>
    <m/>
    <m/>
    <n v="0"/>
    <s v="PAC"/>
    <m/>
  </r>
  <r>
    <n v="473"/>
    <x v="0"/>
    <s v="Shipment 2 400"/>
    <x v="2"/>
    <x v="2"/>
    <m/>
    <d v="2025-11-29T00:00:00"/>
    <s v="HEATER"/>
    <s v="HTR03"/>
    <s v="Mr Phúc"/>
    <s v="B272-400-AS-280-PP-080"/>
    <s v="280-PP-080"/>
    <s v="PERSONAL PROTECTION"/>
    <n v="1"/>
    <n v="7.96"/>
    <n v="7.96"/>
    <s v="(1254x287x860)"/>
    <m/>
    <m/>
    <m/>
    <m/>
    <m/>
    <m/>
    <m/>
    <m/>
    <m/>
    <m/>
    <m/>
    <m/>
    <m/>
    <n v="0"/>
    <n v="7.96"/>
    <m/>
    <m/>
    <n v="0"/>
    <m/>
    <m/>
    <n v="0"/>
    <m/>
    <m/>
    <n v="0"/>
    <m/>
    <m/>
    <n v="0"/>
    <m/>
    <m/>
    <m/>
    <n v="0"/>
    <m/>
    <m/>
    <n v="0"/>
    <s v="PAC"/>
    <m/>
  </r>
  <r>
    <n v="474"/>
    <x v="0"/>
    <s v="Shipment 2 400"/>
    <x v="2"/>
    <x v="2"/>
    <m/>
    <d v="2025-11-29T00:00:00"/>
    <s v="HEATER"/>
    <s v="HTR03"/>
    <s v="Mr Phúc"/>
    <s v="B272-400-AS-280-PP-081"/>
    <s v="280-PP-081"/>
    <s v="PERSONAL PROTECTION"/>
    <n v="1"/>
    <n v="7.96"/>
    <n v="7.96"/>
    <s v="(1254x287x860)"/>
    <m/>
    <m/>
    <m/>
    <m/>
    <m/>
    <m/>
    <m/>
    <m/>
    <m/>
    <m/>
    <m/>
    <m/>
    <m/>
    <n v="0"/>
    <n v="7.96"/>
    <m/>
    <m/>
    <n v="0"/>
    <m/>
    <m/>
    <n v="0"/>
    <m/>
    <m/>
    <n v="0"/>
    <m/>
    <m/>
    <n v="0"/>
    <m/>
    <m/>
    <m/>
    <n v="0"/>
    <m/>
    <m/>
    <n v="0"/>
    <s v="PAC"/>
    <m/>
  </r>
  <r>
    <n v="475"/>
    <x v="0"/>
    <s v="Shipment 2 400"/>
    <x v="2"/>
    <x v="2"/>
    <m/>
    <d v="2025-11-29T00:00:00"/>
    <s v="HEATER"/>
    <s v="HTR03"/>
    <s v="Mr Phúc"/>
    <s v="B272-400-AS-280-PP-082"/>
    <s v="280-PP-082"/>
    <s v="PERSONAL PROTECTION"/>
    <n v="1"/>
    <n v="18.09"/>
    <n v="18.09"/>
    <s v="(2100x50x1217)"/>
    <m/>
    <m/>
    <m/>
    <m/>
    <m/>
    <m/>
    <m/>
    <m/>
    <m/>
    <m/>
    <m/>
    <m/>
    <m/>
    <n v="0"/>
    <n v="18.09"/>
    <m/>
    <m/>
    <n v="0"/>
    <m/>
    <m/>
    <n v="0"/>
    <m/>
    <m/>
    <n v="0"/>
    <m/>
    <m/>
    <n v="0"/>
    <m/>
    <m/>
    <m/>
    <n v="0"/>
    <m/>
    <m/>
    <n v="0"/>
    <s v="PAC"/>
    <m/>
  </r>
  <r>
    <n v="476"/>
    <x v="0"/>
    <s v="Shipment 2 400"/>
    <x v="2"/>
    <x v="2"/>
    <m/>
    <d v="2025-11-29T00:00:00"/>
    <s v="HEATER"/>
    <s v="HTR03"/>
    <s v="Mr Phúc"/>
    <s v="B272-400-AS-280-PP-083"/>
    <s v="280-PP-083"/>
    <s v="PERSONAL PROTECTION"/>
    <n v="1"/>
    <n v="11.17"/>
    <n v="11.17"/>
    <s v="(2100x50x1216)"/>
    <m/>
    <m/>
    <m/>
    <m/>
    <m/>
    <m/>
    <m/>
    <m/>
    <m/>
    <m/>
    <m/>
    <m/>
    <m/>
    <n v="0"/>
    <n v="11.17"/>
    <m/>
    <m/>
    <n v="0"/>
    <m/>
    <m/>
    <n v="0"/>
    <m/>
    <m/>
    <n v="0"/>
    <m/>
    <m/>
    <n v="0"/>
    <m/>
    <m/>
    <m/>
    <n v="0"/>
    <m/>
    <m/>
    <n v="0"/>
    <s v="PAC"/>
    <m/>
  </r>
  <r>
    <n v="477"/>
    <x v="0"/>
    <s v="Shipment 2 400"/>
    <x v="2"/>
    <x v="2"/>
    <m/>
    <d v="2025-11-29T00:00:00"/>
    <s v="HEATER"/>
    <s v="HTR03"/>
    <s v="Mr Phúc"/>
    <s v="B272-400-AS-280-PP-084"/>
    <s v="280-PP-084(1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78"/>
    <x v="0"/>
    <s v="Shipment 2 400"/>
    <x v="2"/>
    <x v="2"/>
    <m/>
    <d v="2025-11-29T00:00:00"/>
    <s v="HEATER"/>
    <s v="HTR03"/>
    <s v="Mr Phúc"/>
    <s v="B272-400-AS-280-PP-084"/>
    <s v="280-PP-084(2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79"/>
    <x v="0"/>
    <s v="Shipment 2 400"/>
    <x v="2"/>
    <x v="2"/>
    <m/>
    <d v="2025-11-29T00:00:00"/>
    <s v="HEATER"/>
    <s v="HTR03"/>
    <s v="Mr Phúc"/>
    <s v="B272-400-AS-280-PP-084"/>
    <s v="280-PP-084(3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80"/>
    <x v="0"/>
    <s v="Shipment 2 400"/>
    <x v="2"/>
    <x v="2"/>
    <m/>
    <d v="2025-11-29T00:00:00"/>
    <s v="HEATER"/>
    <s v="HTR03"/>
    <s v="Mr Phúc"/>
    <s v="B272-400-AS-280-PP-084"/>
    <s v="280-PP-084(4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81"/>
    <x v="0"/>
    <s v="Shipment 2 400"/>
    <x v="2"/>
    <x v="2"/>
    <m/>
    <d v="2025-11-29T00:00:00"/>
    <s v="HEATER"/>
    <s v="HTR03"/>
    <s v="Mr Phúc"/>
    <s v="B272-400-AS-280-PP-084"/>
    <s v="280-PP-084(5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82"/>
    <x v="0"/>
    <s v="Shipment 2 400"/>
    <x v="2"/>
    <x v="2"/>
    <m/>
    <d v="2025-11-29T00:00:00"/>
    <s v="HEATER"/>
    <s v="HTR03"/>
    <s v="Mr Phúc"/>
    <s v="B272-400-AS-280-PP-084"/>
    <s v="280-PP-084(6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83"/>
    <x v="0"/>
    <s v="Shipment 2 400"/>
    <x v="2"/>
    <x v="2"/>
    <m/>
    <d v="2025-11-29T00:00:00"/>
    <s v="HEATER"/>
    <s v="HTR03"/>
    <s v="Mr Phúc"/>
    <s v="B272-400-AS-280-PP-084"/>
    <s v="280-PP-084(7/7)"/>
    <s v="PERSONAL PROTECTION"/>
    <n v="1"/>
    <n v="0.1"/>
    <n v="0.1"/>
    <s v="(50x5x50)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484"/>
    <x v="0"/>
    <s v="Shipment 2 400"/>
    <x v="2"/>
    <x v="2"/>
    <m/>
    <d v="2025-11-29T00:00:00"/>
    <s v="HEATER"/>
    <s v="HTR03"/>
    <s v="Mr Phúc"/>
    <s v="B272-400-AS-280-PP-085"/>
    <s v="280-PP-085"/>
    <s v="PERSONAL PROTECTION"/>
    <n v="1"/>
    <n v="7.45"/>
    <n v="7.45"/>
    <s v="(880x50x999)"/>
    <m/>
    <m/>
    <m/>
    <m/>
    <m/>
    <m/>
    <m/>
    <m/>
    <m/>
    <m/>
    <m/>
    <m/>
    <m/>
    <n v="0"/>
    <n v="7.45"/>
    <m/>
    <m/>
    <n v="0"/>
    <m/>
    <m/>
    <n v="0"/>
    <m/>
    <m/>
    <n v="0"/>
    <m/>
    <m/>
    <n v="0"/>
    <m/>
    <m/>
    <m/>
    <n v="0"/>
    <m/>
    <m/>
    <n v="0"/>
    <s v="PAC"/>
    <m/>
  </r>
  <r>
    <n v="485"/>
    <x v="0"/>
    <s v="Shipment 2 400"/>
    <x v="2"/>
    <x v="2"/>
    <m/>
    <d v="2025-11-29T00:00:00"/>
    <s v="HEATER"/>
    <s v="HTR03"/>
    <s v="Mr Phúc"/>
    <s v="B272-400-AS-280-PP-086"/>
    <s v="280-PP-086(1/4)"/>
    <s v="PERSONAL PROTECTION"/>
    <n v="1"/>
    <n v="5.99"/>
    <n v="5.99"/>
    <s v="(640x50x959)"/>
    <m/>
    <m/>
    <m/>
    <m/>
    <m/>
    <m/>
    <m/>
    <m/>
    <m/>
    <m/>
    <m/>
    <m/>
    <m/>
    <n v="0"/>
    <n v="5.99"/>
    <m/>
    <m/>
    <n v="0"/>
    <m/>
    <m/>
    <n v="0"/>
    <m/>
    <m/>
    <n v="0"/>
    <m/>
    <m/>
    <n v="0"/>
    <m/>
    <m/>
    <m/>
    <n v="0"/>
    <m/>
    <m/>
    <n v="0"/>
    <s v="PAC"/>
    <m/>
  </r>
  <r>
    <n v="486"/>
    <x v="0"/>
    <s v="Shipment 2 400"/>
    <x v="2"/>
    <x v="2"/>
    <m/>
    <d v="2025-11-29T00:00:00"/>
    <s v="HEATER"/>
    <s v="HTR03"/>
    <s v="Mr Phúc"/>
    <s v="B272-400-AS-280-PP-086"/>
    <s v="280-PP-086(2/4)"/>
    <s v="PERSONAL PROTECTION"/>
    <n v="1"/>
    <n v="5.99"/>
    <n v="5.99"/>
    <s v="(640x50x959)"/>
    <m/>
    <m/>
    <m/>
    <m/>
    <m/>
    <m/>
    <m/>
    <m/>
    <m/>
    <m/>
    <m/>
    <m/>
    <m/>
    <n v="0"/>
    <n v="5.99"/>
    <m/>
    <m/>
    <n v="0"/>
    <m/>
    <m/>
    <n v="0"/>
    <m/>
    <m/>
    <n v="0"/>
    <m/>
    <m/>
    <n v="0"/>
    <m/>
    <m/>
    <m/>
    <n v="0"/>
    <m/>
    <m/>
    <n v="0"/>
    <s v="PAC"/>
    <m/>
  </r>
  <r>
    <n v="487"/>
    <x v="0"/>
    <s v="Shipment 2 400"/>
    <x v="2"/>
    <x v="2"/>
    <m/>
    <d v="2025-11-29T00:00:00"/>
    <s v="HEATER"/>
    <s v="HTR03"/>
    <s v="Mr Phúc"/>
    <s v="B272-400-AS-280-PP-086"/>
    <s v="280-PP-086(3/4)"/>
    <s v="PERSONAL PROTECTION"/>
    <n v="1"/>
    <n v="5.99"/>
    <n v="5.99"/>
    <s v="(640x50x959)"/>
    <m/>
    <m/>
    <m/>
    <m/>
    <m/>
    <m/>
    <m/>
    <m/>
    <m/>
    <m/>
    <m/>
    <m/>
    <m/>
    <n v="0"/>
    <n v="5.99"/>
    <m/>
    <m/>
    <n v="0"/>
    <m/>
    <m/>
    <n v="0"/>
    <m/>
    <m/>
    <n v="0"/>
    <m/>
    <m/>
    <n v="0"/>
    <m/>
    <m/>
    <m/>
    <n v="0"/>
    <m/>
    <m/>
    <n v="0"/>
    <s v="PAC"/>
    <m/>
  </r>
  <r>
    <n v="488"/>
    <x v="0"/>
    <s v="Shipment 2 400"/>
    <x v="2"/>
    <x v="2"/>
    <m/>
    <d v="2025-11-29T00:00:00"/>
    <s v="HEATER"/>
    <s v="HTR03"/>
    <s v="Mr Phúc"/>
    <s v="B272-400-AS-280-PP-086"/>
    <s v="280-PP-086(4/4)"/>
    <s v="PERSONAL PROTECTION"/>
    <n v="1"/>
    <n v="5.99"/>
    <n v="5.99"/>
    <s v="(640x50x959)"/>
    <m/>
    <m/>
    <m/>
    <m/>
    <m/>
    <m/>
    <m/>
    <m/>
    <m/>
    <m/>
    <m/>
    <m/>
    <m/>
    <n v="0"/>
    <n v="5.99"/>
    <m/>
    <m/>
    <n v="0"/>
    <m/>
    <m/>
    <n v="0"/>
    <m/>
    <m/>
    <n v="0"/>
    <m/>
    <m/>
    <n v="0"/>
    <m/>
    <m/>
    <m/>
    <n v="0"/>
    <m/>
    <m/>
    <n v="0"/>
    <s v="PAC"/>
    <m/>
  </r>
  <r>
    <n v="489"/>
    <x v="0"/>
    <s v="Shipment 2 400"/>
    <x v="2"/>
    <x v="2"/>
    <m/>
    <d v="2025-11-29T00:00:00"/>
    <s v="HEATER"/>
    <s v="HTR03"/>
    <s v="Mr Phúc"/>
    <s v="B272-400-AS-280-PP-087"/>
    <s v="280-PP-087"/>
    <s v="PERSONAL PROTECTION"/>
    <n v="1"/>
    <n v="14.8"/>
    <n v="14.8"/>
    <s v="(2100x50x1217)"/>
    <m/>
    <m/>
    <m/>
    <m/>
    <m/>
    <m/>
    <m/>
    <m/>
    <m/>
    <m/>
    <m/>
    <m/>
    <m/>
    <n v="0"/>
    <n v="14.8"/>
    <m/>
    <m/>
    <n v="0"/>
    <m/>
    <m/>
    <n v="0"/>
    <m/>
    <m/>
    <n v="0"/>
    <m/>
    <m/>
    <n v="0"/>
    <m/>
    <m/>
    <m/>
    <n v="0"/>
    <m/>
    <m/>
    <n v="0"/>
    <s v="PAC"/>
    <m/>
  </r>
  <r>
    <n v="490"/>
    <x v="0"/>
    <s v="Shipment 2 400"/>
    <x v="2"/>
    <x v="2"/>
    <m/>
    <d v="2025-11-29T00:00:00"/>
    <s v="HEATER"/>
    <s v="HTR03"/>
    <s v="Mr Phúc"/>
    <s v="B272-400-AS-280-PP-088"/>
    <s v="280-PP-088"/>
    <s v="PERSONAL PROTECTION"/>
    <n v="1"/>
    <n v="5.84"/>
    <n v="5.84"/>
    <s v="(580x50x999)"/>
    <m/>
    <m/>
    <m/>
    <m/>
    <m/>
    <m/>
    <m/>
    <m/>
    <m/>
    <m/>
    <m/>
    <m/>
    <m/>
    <n v="0"/>
    <n v="5.84"/>
    <m/>
    <m/>
    <n v="0"/>
    <m/>
    <m/>
    <n v="0"/>
    <m/>
    <m/>
    <n v="0"/>
    <m/>
    <m/>
    <n v="0"/>
    <m/>
    <m/>
    <m/>
    <n v="0"/>
    <m/>
    <m/>
    <n v="0"/>
    <s v="PAC"/>
    <m/>
  </r>
  <r>
    <n v="491"/>
    <x v="0"/>
    <s v="Shipment 2 400"/>
    <x v="2"/>
    <x v="2"/>
    <m/>
    <d v="2025-11-29T00:00:00"/>
    <s v="HEATER"/>
    <s v="HTR03"/>
    <s v="Mr Phúc"/>
    <s v="B272-400-AS-280-PP-089"/>
    <s v="280-PP-089"/>
    <s v="PERSONAL PROTECTION"/>
    <n v="1"/>
    <n v="6.74"/>
    <n v="6.74"/>
    <s v="(580x50x1216)"/>
    <m/>
    <m/>
    <m/>
    <m/>
    <m/>
    <m/>
    <m/>
    <m/>
    <m/>
    <m/>
    <m/>
    <m/>
    <m/>
    <n v="0"/>
    <n v="6.74"/>
    <m/>
    <m/>
    <n v="0"/>
    <m/>
    <m/>
    <n v="0"/>
    <m/>
    <m/>
    <n v="0"/>
    <m/>
    <m/>
    <n v="0"/>
    <m/>
    <m/>
    <m/>
    <n v="0"/>
    <m/>
    <m/>
    <n v="0"/>
    <s v="PAC"/>
    <m/>
  </r>
  <r>
    <n v="492"/>
    <x v="0"/>
    <s v="Shipment 2 400"/>
    <x v="2"/>
    <x v="2"/>
    <m/>
    <d v="2025-11-29T00:00:00"/>
    <s v="HEATER"/>
    <s v="HTR03"/>
    <s v="Mr Phúc"/>
    <s v="B272-400-AS-280-PP-090"/>
    <s v="280-PP-090"/>
    <s v="PERSONAL PROTECTION"/>
    <n v="1"/>
    <n v="9.75"/>
    <n v="9.75"/>
    <s v="(1800x50x812)"/>
    <m/>
    <m/>
    <m/>
    <m/>
    <m/>
    <m/>
    <m/>
    <m/>
    <m/>
    <m/>
    <m/>
    <m/>
    <m/>
    <n v="0"/>
    <n v="9.75"/>
    <m/>
    <m/>
    <n v="0"/>
    <m/>
    <m/>
    <n v="0"/>
    <m/>
    <m/>
    <n v="0"/>
    <m/>
    <m/>
    <n v="0"/>
    <m/>
    <m/>
    <m/>
    <n v="0"/>
    <m/>
    <m/>
    <n v="0"/>
    <s v="PAC"/>
    <m/>
  </r>
  <r>
    <n v="493"/>
    <x v="0"/>
    <s v="Shipment 2 400"/>
    <x v="2"/>
    <x v="2"/>
    <m/>
    <d v="2025-11-29T00:00:00"/>
    <s v="HEATER"/>
    <s v="HTR03"/>
    <s v="Mr Phúc"/>
    <s v="B272-400-AS-280-PP-091"/>
    <s v="280-PP-091"/>
    <s v="PERSONAL PROTECTION"/>
    <n v="1"/>
    <n v="7.51"/>
    <n v="7.51"/>
    <s v="(1169x50x812)"/>
    <m/>
    <m/>
    <m/>
    <m/>
    <m/>
    <m/>
    <m/>
    <m/>
    <m/>
    <m/>
    <m/>
    <m/>
    <m/>
    <n v="0"/>
    <n v="7.51"/>
    <m/>
    <m/>
    <n v="0"/>
    <m/>
    <m/>
    <n v="0"/>
    <m/>
    <m/>
    <n v="0"/>
    <m/>
    <m/>
    <n v="0"/>
    <m/>
    <m/>
    <m/>
    <n v="0"/>
    <m/>
    <m/>
    <n v="0"/>
    <s v="PAC"/>
    <m/>
  </r>
  <r>
    <n v="494"/>
    <x v="0"/>
    <s v="Shipment 2 400"/>
    <x v="2"/>
    <x v="2"/>
    <m/>
    <d v="2025-11-29T00:00:00"/>
    <s v="HEATER"/>
    <s v="HTR03"/>
    <s v="Mr Phúc"/>
    <s v="B272-400-AS-280-PP-092"/>
    <s v="280-PP-092"/>
    <s v="PERSONAL PROTECTION"/>
    <n v="1"/>
    <n v="7.51"/>
    <n v="7.51"/>
    <s v="(1169x50x812)"/>
    <m/>
    <m/>
    <m/>
    <m/>
    <m/>
    <m/>
    <m/>
    <m/>
    <m/>
    <m/>
    <m/>
    <m/>
    <m/>
    <n v="0"/>
    <n v="7.51"/>
    <m/>
    <m/>
    <n v="0"/>
    <m/>
    <m/>
    <n v="0"/>
    <m/>
    <m/>
    <n v="0"/>
    <m/>
    <m/>
    <n v="0"/>
    <m/>
    <m/>
    <m/>
    <n v="0"/>
    <m/>
    <m/>
    <n v="0"/>
    <s v="PAC"/>
    <m/>
  </r>
  <r>
    <n v="495"/>
    <x v="0"/>
    <s v="Shipment 2 400"/>
    <x v="2"/>
    <x v="2"/>
    <m/>
    <d v="2025-11-29T00:00:00"/>
    <s v="HEATER"/>
    <s v="HTR03"/>
    <s v="Mr Phúc"/>
    <s v="B272-400-AS-280-PP-093"/>
    <s v="280-PP-093"/>
    <s v="PERSONAL PROTECTION"/>
    <n v="1"/>
    <n v="6.12"/>
    <n v="6.12"/>
    <s v="(1205x50x514)"/>
    <m/>
    <m/>
    <m/>
    <m/>
    <m/>
    <m/>
    <m/>
    <m/>
    <m/>
    <m/>
    <m/>
    <m/>
    <m/>
    <n v="0"/>
    <n v="6.12"/>
    <m/>
    <m/>
    <n v="0"/>
    <m/>
    <m/>
    <n v="0"/>
    <m/>
    <m/>
    <n v="0"/>
    <m/>
    <m/>
    <n v="0"/>
    <m/>
    <m/>
    <m/>
    <n v="0"/>
    <m/>
    <m/>
    <n v="0"/>
    <s v="PAC"/>
    <m/>
  </r>
  <r>
    <n v="496"/>
    <x v="0"/>
    <s v="Shipment 2 400"/>
    <x v="2"/>
    <x v="2"/>
    <m/>
    <d v="2025-11-29T00:00:00"/>
    <s v="HEATER"/>
    <s v="HTR03"/>
    <s v="Mr Phúc"/>
    <s v="B272-400-AS-280-PP-094"/>
    <s v="280-PP-094"/>
    <s v="PERSONAL PROTECTION"/>
    <n v="1"/>
    <n v="6.12"/>
    <n v="6.12"/>
    <s v="(514x50x1205)"/>
    <m/>
    <m/>
    <m/>
    <m/>
    <m/>
    <m/>
    <m/>
    <m/>
    <m/>
    <m/>
    <m/>
    <m/>
    <m/>
    <n v="0"/>
    <n v="6.12"/>
    <m/>
    <m/>
    <n v="0"/>
    <m/>
    <m/>
    <n v="0"/>
    <m/>
    <m/>
    <n v="0"/>
    <m/>
    <m/>
    <n v="0"/>
    <m/>
    <m/>
    <m/>
    <n v="0"/>
    <m/>
    <m/>
    <n v="0"/>
    <s v="PAC"/>
    <m/>
  </r>
  <r>
    <n v="497"/>
    <x v="0"/>
    <s v="Shipment 2 400"/>
    <x v="2"/>
    <x v="2"/>
    <m/>
    <d v="2025-11-29T00:00:00"/>
    <s v="HEATER"/>
    <s v="HTR03"/>
    <s v="Mr Phúc"/>
    <s v="B272-400-AS-280-PP-095"/>
    <s v="280-PP-095"/>
    <s v="PERSONAL PROTECTION"/>
    <n v="1"/>
    <n v="12.95"/>
    <n v="12.95"/>
    <s v="(2100x50x812)"/>
    <m/>
    <m/>
    <m/>
    <m/>
    <m/>
    <m/>
    <m/>
    <m/>
    <m/>
    <m/>
    <m/>
    <m/>
    <m/>
    <n v="0"/>
    <n v="12.95"/>
    <m/>
    <m/>
    <n v="0"/>
    <m/>
    <m/>
    <n v="0"/>
    <m/>
    <m/>
    <n v="0"/>
    <m/>
    <m/>
    <n v="0"/>
    <m/>
    <m/>
    <m/>
    <n v="0"/>
    <m/>
    <m/>
    <n v="0"/>
    <s v="PAC"/>
    <m/>
  </r>
  <r>
    <n v="498"/>
    <x v="0"/>
    <s v="Shipment 2 400"/>
    <x v="2"/>
    <x v="2"/>
    <m/>
    <d v="2025-11-29T00:00:00"/>
    <s v="HEATER"/>
    <s v="HTR03"/>
    <s v="Mr Phúc"/>
    <s v="B272-400-AS-280-PP-096"/>
    <s v="280-PP-096"/>
    <s v="PERSONAL PROTECTION"/>
    <n v="1"/>
    <n v="3.92"/>
    <n v="3.92"/>
    <s v="(290x50x959)"/>
    <m/>
    <m/>
    <m/>
    <m/>
    <m/>
    <m/>
    <m/>
    <m/>
    <m/>
    <m/>
    <m/>
    <m/>
    <m/>
    <n v="0"/>
    <n v="3.92"/>
    <m/>
    <m/>
    <n v="0"/>
    <m/>
    <m/>
    <n v="0"/>
    <m/>
    <m/>
    <n v="0"/>
    <m/>
    <m/>
    <n v="0"/>
    <m/>
    <m/>
    <m/>
    <n v="0"/>
    <m/>
    <m/>
    <n v="0"/>
    <s v="PAC"/>
    <m/>
  </r>
  <r>
    <n v="499"/>
    <x v="0"/>
    <s v="Shipment 2 400"/>
    <x v="2"/>
    <x v="2"/>
    <m/>
    <d v="2025-11-29T00:00:00"/>
    <s v="HEATER"/>
    <s v="HTR03"/>
    <s v="Mr Phúc"/>
    <s v="B272-400-AS-280-PP-097"/>
    <s v="280-PP-097"/>
    <s v="PERSONAL PROTECTION"/>
    <n v="1"/>
    <n v="3.92"/>
    <n v="3.92"/>
    <s v="(290x50x959)"/>
    <m/>
    <m/>
    <m/>
    <m/>
    <m/>
    <m/>
    <m/>
    <m/>
    <m/>
    <m/>
    <m/>
    <m/>
    <m/>
    <n v="0"/>
    <n v="3.92"/>
    <m/>
    <m/>
    <n v="0"/>
    <m/>
    <m/>
    <n v="0"/>
    <m/>
    <m/>
    <n v="0"/>
    <m/>
    <m/>
    <n v="0"/>
    <m/>
    <m/>
    <m/>
    <n v="0"/>
    <m/>
    <m/>
    <n v="0"/>
    <s v="PAC"/>
    <m/>
  </r>
  <r>
    <n v="500"/>
    <x v="0"/>
    <s v="Shipment 2 400"/>
    <x v="2"/>
    <x v="2"/>
    <m/>
    <d v="2025-11-29T00:00:00"/>
    <s v="HEATER"/>
    <s v="HTR03"/>
    <s v="Mr Phúc"/>
    <s v="B272-400-AS-280-PP-098"/>
    <s v="280-PP-098"/>
    <s v="PERSONAL PROTECTION"/>
    <n v="1"/>
    <n v="3.32"/>
    <n v="3.32"/>
    <s v="(269x50x812)"/>
    <m/>
    <m/>
    <m/>
    <m/>
    <m/>
    <m/>
    <m/>
    <m/>
    <m/>
    <m/>
    <m/>
    <m/>
    <m/>
    <n v="0"/>
    <n v="3.32"/>
    <m/>
    <m/>
    <n v="0"/>
    <m/>
    <m/>
    <n v="0"/>
    <m/>
    <m/>
    <n v="0"/>
    <m/>
    <m/>
    <n v="0"/>
    <m/>
    <m/>
    <m/>
    <n v="0"/>
    <m/>
    <m/>
    <n v="0"/>
    <s v="PAC"/>
    <m/>
  </r>
  <r>
    <n v="501"/>
    <x v="0"/>
    <s v="Shipment 2 400"/>
    <x v="2"/>
    <x v="2"/>
    <m/>
    <d v="2025-11-29T00:00:00"/>
    <s v="HEATER"/>
    <s v="HTR03"/>
    <s v="Mr Phúc"/>
    <s v="B272-400-AS-280-PP-099"/>
    <s v="280-PP-099"/>
    <s v="PERSONAL PROTECTION"/>
    <n v="1"/>
    <n v="3.32"/>
    <n v="3.32"/>
    <s v="(269x50x812)"/>
    <m/>
    <m/>
    <m/>
    <m/>
    <m/>
    <m/>
    <m/>
    <m/>
    <m/>
    <m/>
    <m/>
    <m/>
    <m/>
    <n v="0"/>
    <n v="3.32"/>
    <m/>
    <m/>
    <n v="0"/>
    <m/>
    <m/>
    <n v="0"/>
    <m/>
    <m/>
    <n v="0"/>
    <m/>
    <m/>
    <n v="0"/>
    <m/>
    <m/>
    <m/>
    <n v="0"/>
    <m/>
    <m/>
    <n v="0"/>
    <s v="PAC"/>
    <m/>
  </r>
  <r>
    <n v="502"/>
    <x v="0"/>
    <s v="Shipment 2 400"/>
    <x v="2"/>
    <x v="2"/>
    <m/>
    <d v="2025-11-29T00:00:00"/>
    <s v="HEATER"/>
    <s v="HTR03"/>
    <s v="Mr Phúc"/>
    <s v="B272-400-AS-280-PP-100"/>
    <s v="280-PP-100"/>
    <s v="PERSONAL PROTECTION"/>
    <n v="1"/>
    <n v="3.33"/>
    <n v="3.33"/>
    <s v="(269x50x812)"/>
    <m/>
    <m/>
    <m/>
    <m/>
    <m/>
    <m/>
    <m/>
    <m/>
    <m/>
    <m/>
    <m/>
    <m/>
    <m/>
    <n v="0"/>
    <n v="3.33"/>
    <m/>
    <m/>
    <n v="0"/>
    <m/>
    <m/>
    <n v="0"/>
    <m/>
    <m/>
    <n v="0"/>
    <m/>
    <m/>
    <n v="0"/>
    <m/>
    <m/>
    <m/>
    <n v="0"/>
    <m/>
    <m/>
    <n v="0"/>
    <s v="PAC"/>
    <m/>
  </r>
  <r>
    <n v="503"/>
    <x v="0"/>
    <s v="Shipment 2 400"/>
    <x v="2"/>
    <x v="2"/>
    <m/>
    <d v="2025-11-29T00:00:00"/>
    <s v="HEATER"/>
    <s v="HTR03"/>
    <s v="Mr Phúc"/>
    <s v="B272-400-AS-280-PP-101"/>
    <s v="280-PP-101"/>
    <s v="PERSONAL PROTECTION"/>
    <n v="1"/>
    <n v="3.97"/>
    <n v="3.97"/>
    <s v="(290x50x979)"/>
    <m/>
    <m/>
    <m/>
    <m/>
    <m/>
    <m/>
    <m/>
    <m/>
    <m/>
    <m/>
    <m/>
    <m/>
    <m/>
    <n v="0"/>
    <n v="3.97"/>
    <m/>
    <m/>
    <n v="0"/>
    <m/>
    <m/>
    <n v="0"/>
    <m/>
    <m/>
    <n v="0"/>
    <m/>
    <m/>
    <n v="0"/>
    <m/>
    <m/>
    <m/>
    <n v="0"/>
    <m/>
    <m/>
    <n v="0"/>
    <s v="PAC"/>
    <m/>
  </r>
  <r>
    <n v="504"/>
    <x v="0"/>
    <s v="Shipment 2 400"/>
    <x v="2"/>
    <x v="2"/>
    <m/>
    <d v="2025-11-29T00:00:00"/>
    <s v="HEATER"/>
    <s v="HTR03"/>
    <s v="Mr Phúc"/>
    <s v="B272-400-AS-280-PP-102"/>
    <s v="280-PP-102"/>
    <s v="PERSONAL PROTECTION"/>
    <n v="1"/>
    <n v="3.97"/>
    <n v="3.97"/>
    <s v="(290x50x979)"/>
    <m/>
    <m/>
    <m/>
    <m/>
    <m/>
    <m/>
    <m/>
    <m/>
    <m/>
    <m/>
    <m/>
    <m/>
    <m/>
    <n v="0"/>
    <n v="3.97"/>
    <m/>
    <m/>
    <n v="0"/>
    <m/>
    <m/>
    <n v="0"/>
    <m/>
    <m/>
    <n v="0"/>
    <m/>
    <m/>
    <n v="0"/>
    <m/>
    <m/>
    <m/>
    <n v="0"/>
    <m/>
    <m/>
    <n v="0"/>
    <s v="PAC"/>
    <m/>
  </r>
  <r>
    <n v="505"/>
    <x v="0"/>
    <s v="Shipment 2 400"/>
    <x v="2"/>
    <x v="2"/>
    <m/>
    <d v="2025-11-29T00:00:00"/>
    <s v="HEATER"/>
    <s v="HTR03"/>
    <s v="Mr Phúc"/>
    <s v="B272-400-AS-280-PP-103"/>
    <s v="280-PP-103"/>
    <s v="PERSONAL PROTECTION"/>
    <n v="1"/>
    <n v="2.59"/>
    <n v="2.59"/>
    <s v="(514x50x325)"/>
    <m/>
    <m/>
    <m/>
    <m/>
    <m/>
    <m/>
    <m/>
    <m/>
    <m/>
    <m/>
    <m/>
    <m/>
    <m/>
    <n v="0"/>
    <n v="2.59"/>
    <m/>
    <m/>
    <n v="0"/>
    <m/>
    <m/>
    <n v="0"/>
    <m/>
    <m/>
    <n v="0"/>
    <m/>
    <m/>
    <n v="0"/>
    <m/>
    <m/>
    <m/>
    <n v="0"/>
    <m/>
    <m/>
    <n v="0"/>
    <s v="PAC"/>
    <m/>
  </r>
  <r>
    <n v="506"/>
    <x v="0"/>
    <s v="Shipment 2 400"/>
    <x v="2"/>
    <x v="2"/>
    <m/>
    <d v="2025-11-29T00:00:00"/>
    <s v="HEATER"/>
    <s v="HTR03"/>
    <s v="Mr Phúc"/>
    <s v="B272-400-AS-280-PP-104"/>
    <s v="280-PP-104"/>
    <s v="PERSONAL PROTECTION"/>
    <n v="1"/>
    <n v="2.59"/>
    <n v="2.59"/>
    <s v="(514x50x325)"/>
    <m/>
    <m/>
    <m/>
    <m/>
    <m/>
    <m/>
    <m/>
    <m/>
    <m/>
    <m/>
    <m/>
    <m/>
    <m/>
    <n v="0"/>
    <n v="2.59"/>
    <m/>
    <m/>
    <n v="0"/>
    <m/>
    <m/>
    <n v="0"/>
    <m/>
    <m/>
    <n v="0"/>
    <m/>
    <m/>
    <n v="0"/>
    <m/>
    <m/>
    <m/>
    <n v="0"/>
    <m/>
    <m/>
    <n v="0"/>
    <s v="PAC"/>
    <m/>
  </r>
  <r>
    <n v="507"/>
    <x v="0"/>
    <s v="Shipment 2 400"/>
    <x v="2"/>
    <x v="2"/>
    <m/>
    <d v="2025-11-29T00:00:00"/>
    <s v="HEATER"/>
    <s v="HTR03"/>
    <s v="Mr Phúc"/>
    <s v="B272-400-AS-280-PP-105"/>
    <s v="280-PP-105"/>
    <s v="PERSONAL PROTECTION"/>
    <n v="1"/>
    <n v="4.2699999999999996"/>
    <n v="4.2699999999999996"/>
    <s v="(1010x50x325)"/>
    <m/>
    <m/>
    <m/>
    <m/>
    <m/>
    <m/>
    <m/>
    <m/>
    <m/>
    <m/>
    <m/>
    <m/>
    <m/>
    <n v="0"/>
    <n v="4.2699999999999996"/>
    <m/>
    <m/>
    <n v="0"/>
    <m/>
    <m/>
    <n v="0"/>
    <m/>
    <m/>
    <n v="0"/>
    <m/>
    <m/>
    <n v="0"/>
    <m/>
    <m/>
    <m/>
    <n v="0"/>
    <m/>
    <m/>
    <n v="0"/>
    <s v="PAC"/>
    <m/>
  </r>
  <r>
    <n v="508"/>
    <x v="0"/>
    <s v="Shipment 2 400"/>
    <x v="2"/>
    <x v="2"/>
    <m/>
    <d v="2025-11-29T00:00:00"/>
    <s v="HEATER"/>
    <s v="HTR03"/>
    <s v="Mr Phúc"/>
    <s v="B272-400-AS-280-PP-106"/>
    <s v="280-PP-106"/>
    <s v="PERSONAL PROTECTION"/>
    <n v="674"/>
    <n v="0.1"/>
    <n v="67.400000000000006"/>
    <s v="(50x5x50)"/>
    <m/>
    <m/>
    <m/>
    <m/>
    <m/>
    <m/>
    <m/>
    <m/>
    <m/>
    <m/>
    <m/>
    <m/>
    <m/>
    <n v="0"/>
    <n v="67.400000000000006"/>
    <m/>
    <m/>
    <n v="0"/>
    <m/>
    <m/>
    <n v="0"/>
    <m/>
    <m/>
    <n v="0"/>
    <m/>
    <m/>
    <n v="0"/>
    <m/>
    <m/>
    <m/>
    <n v="0"/>
    <m/>
    <m/>
    <n v="0"/>
    <s v="PAC"/>
    <m/>
  </r>
  <r>
    <n v="509"/>
    <x v="0"/>
    <s v="Shipment 2 400"/>
    <x v="2"/>
    <x v="2"/>
    <m/>
    <d v="2025-11-29T00:00:00"/>
    <s v="HEATER"/>
    <s v="HTR03"/>
    <s v="Mr Phúc"/>
    <s v="B272-400-AS-280-PP-107"/>
    <s v="280-PP-107"/>
    <s v="PERSONAL PROTECTION"/>
    <n v="1"/>
    <n v="13.34"/>
    <n v="13.34"/>
    <s v="(2100x10x950)"/>
    <m/>
    <m/>
    <m/>
    <m/>
    <m/>
    <m/>
    <m/>
    <m/>
    <m/>
    <m/>
    <m/>
    <m/>
    <m/>
    <n v="0"/>
    <n v="13.34"/>
    <m/>
    <m/>
    <n v="0"/>
    <m/>
    <m/>
    <n v="0"/>
    <m/>
    <m/>
    <n v="0"/>
    <m/>
    <m/>
    <n v="0"/>
    <m/>
    <m/>
    <m/>
    <n v="0"/>
    <m/>
    <m/>
    <n v="0"/>
    <s v="PAC"/>
    <m/>
  </r>
  <r>
    <n v="510"/>
    <x v="0"/>
    <s v="Shipment 2 400"/>
    <x v="2"/>
    <x v="2"/>
    <m/>
    <d v="2025-11-29T00:00:00"/>
    <s v="HEATER"/>
    <s v="HTR03"/>
    <s v="Mr Phúc"/>
    <s v="B272-400-AS-280-PP-108"/>
    <s v="280-PP-108"/>
    <s v="PERSONAL PROTECTION"/>
    <n v="441"/>
    <n v="0.1"/>
    <n v="44.1"/>
    <s v="(50x5x50)"/>
    <m/>
    <m/>
    <m/>
    <m/>
    <m/>
    <m/>
    <m/>
    <m/>
    <m/>
    <m/>
    <m/>
    <m/>
    <m/>
    <n v="0"/>
    <n v="44.1"/>
    <m/>
    <m/>
    <n v="0"/>
    <m/>
    <m/>
    <n v="0"/>
    <m/>
    <m/>
    <n v="0"/>
    <m/>
    <m/>
    <n v="0"/>
    <m/>
    <m/>
    <m/>
    <n v="0"/>
    <m/>
    <m/>
    <n v="0"/>
    <s v="PAC"/>
    <m/>
  </r>
  <r>
    <n v="511"/>
    <x v="0"/>
    <s v="Shipment 2 400"/>
    <x v="2"/>
    <x v="2"/>
    <m/>
    <d v="2025-11-29T00:00:00"/>
    <s v="HEATER"/>
    <s v="HTR03"/>
    <s v="Mr Phúc"/>
    <s v="B272-400-AS-280-PP-109"/>
    <s v="280-PP-109"/>
    <s v="PERSONAL PROTECTION"/>
    <n v="1"/>
    <n v="18.899999999999999"/>
    <n v="18.899999999999999"/>
    <s v="(1238x302x1940)"/>
    <m/>
    <m/>
    <m/>
    <m/>
    <m/>
    <m/>
    <m/>
    <m/>
    <m/>
    <m/>
    <m/>
    <m/>
    <m/>
    <n v="0"/>
    <n v="18.899999999999999"/>
    <m/>
    <m/>
    <n v="0"/>
    <m/>
    <m/>
    <n v="0"/>
    <m/>
    <m/>
    <n v="0"/>
    <m/>
    <m/>
    <n v="0"/>
    <m/>
    <m/>
    <m/>
    <n v="0"/>
    <m/>
    <m/>
    <n v="0"/>
    <s v="PAC"/>
    <m/>
  </r>
  <r>
    <n v="512"/>
    <x v="0"/>
    <s v="Shipment 2 400"/>
    <x v="2"/>
    <x v="2"/>
    <m/>
    <d v="2025-11-29T00:00:00"/>
    <s v="HEATER"/>
    <s v="HTR03"/>
    <s v="Mr Phúc"/>
    <s v="B272-400-AS-280-PP-110"/>
    <s v="280-PP-110"/>
    <s v="PERSONAL PROTECTION"/>
    <n v="1"/>
    <n v="21.56"/>
    <n v="21.56"/>
    <s v="(1238x302x1940)"/>
    <m/>
    <m/>
    <m/>
    <m/>
    <m/>
    <m/>
    <m/>
    <m/>
    <m/>
    <m/>
    <m/>
    <m/>
    <m/>
    <n v="0"/>
    <n v="21.56"/>
    <m/>
    <m/>
    <n v="0"/>
    <m/>
    <m/>
    <n v="0"/>
    <m/>
    <m/>
    <n v="0"/>
    <m/>
    <m/>
    <n v="0"/>
    <m/>
    <m/>
    <m/>
    <n v="0"/>
    <m/>
    <m/>
    <n v="0"/>
    <s v="PAC"/>
    <m/>
  </r>
  <r>
    <n v="513"/>
    <x v="0"/>
    <s v="Shipment 2 400"/>
    <x v="2"/>
    <x v="2"/>
    <m/>
    <m/>
    <m/>
    <m/>
    <s v="Mr Phúc"/>
    <s v="B272-400-AS-280-PP-113"/>
    <s v="280-PP-113"/>
    <s v="PERSONAL PROTECTION"/>
    <n v="6"/>
    <n v="0.10000000000000002"/>
    <n v="0.60000000000000009"/>
    <s v="(50x5x50)"/>
    <m/>
    <m/>
    <m/>
    <m/>
    <m/>
    <m/>
    <m/>
    <m/>
    <m/>
    <m/>
    <m/>
    <m/>
    <m/>
    <n v="0"/>
    <n v="0.60000000000000009"/>
    <m/>
    <m/>
    <n v="0"/>
    <m/>
    <m/>
    <n v="0"/>
    <m/>
    <m/>
    <n v="0"/>
    <m/>
    <m/>
    <m/>
    <m/>
    <m/>
    <m/>
    <n v="0"/>
    <m/>
    <m/>
    <n v="0"/>
    <s v="PAC"/>
    <m/>
  </r>
  <r>
    <n v="514"/>
    <x v="0"/>
    <s v="Shipment 2 400"/>
    <x v="2"/>
    <x v="2"/>
    <m/>
    <d v="2025-11-29T00:00:00"/>
    <s v="HEATER"/>
    <s v="HTR03"/>
    <s v="Mr Phúc"/>
    <s v="B272-400-AS-280-PP-114"/>
    <s v="280-PP-114"/>
    <s v="PERSONAL PROTECTION"/>
    <n v="1"/>
    <n v="9.23"/>
    <n v="9.23"/>
    <s v="(1205x50x1010)"/>
    <m/>
    <m/>
    <m/>
    <m/>
    <m/>
    <m/>
    <m/>
    <m/>
    <m/>
    <m/>
    <m/>
    <m/>
    <m/>
    <n v="0"/>
    <n v="9.23"/>
    <m/>
    <m/>
    <n v="0"/>
    <m/>
    <m/>
    <n v="0"/>
    <m/>
    <m/>
    <n v="0"/>
    <m/>
    <m/>
    <n v="0"/>
    <m/>
    <m/>
    <m/>
    <n v="0"/>
    <m/>
    <m/>
    <n v="0"/>
    <s v="PAC"/>
    <m/>
  </r>
  <r>
    <n v="515"/>
    <x v="0"/>
    <s v="Shipment 2 400"/>
    <x v="2"/>
    <x v="2"/>
    <m/>
    <d v="2025-11-29T00:00:00"/>
    <s v="HEATER"/>
    <s v="HTR03"/>
    <s v="Mr Phúc"/>
    <s v="B272-400-AS-280-PP-115"/>
    <s v="280-PP-115"/>
    <s v="PERSONAL PROTECTION"/>
    <n v="1"/>
    <n v="14.96"/>
    <n v="14.96"/>
    <s v="(2100x10x1100)"/>
    <m/>
    <m/>
    <m/>
    <m/>
    <m/>
    <m/>
    <m/>
    <m/>
    <m/>
    <m/>
    <m/>
    <m/>
    <m/>
    <n v="0"/>
    <n v="14.96"/>
    <m/>
    <m/>
    <n v="0"/>
    <m/>
    <m/>
    <n v="0"/>
    <m/>
    <m/>
    <n v="0"/>
    <m/>
    <m/>
    <n v="0"/>
    <m/>
    <m/>
    <m/>
    <n v="0"/>
    <m/>
    <m/>
    <n v="0"/>
    <s v="PAC"/>
    <m/>
  </r>
  <r>
    <n v="516"/>
    <x v="0"/>
    <s v="Shipment 2 400"/>
    <x v="2"/>
    <x v="2"/>
    <m/>
    <d v="2025-11-29T00:00:00"/>
    <s v="HEATER"/>
    <s v="HTR03"/>
    <s v="Mr Phúc"/>
    <s v="B272-400-AS-280-PP-116"/>
    <s v="280-PP-116"/>
    <s v="PERSONAL PROTECTION"/>
    <n v="1"/>
    <n v="14.96"/>
    <n v="14.96"/>
    <s v="(2100x10x1100)"/>
    <m/>
    <m/>
    <m/>
    <m/>
    <m/>
    <m/>
    <m/>
    <m/>
    <m/>
    <m/>
    <m/>
    <m/>
    <m/>
    <n v="0"/>
    <n v="14.96"/>
    <m/>
    <m/>
    <n v="0"/>
    <m/>
    <m/>
    <n v="0"/>
    <m/>
    <m/>
    <n v="0"/>
    <m/>
    <m/>
    <n v="0"/>
    <m/>
    <m/>
    <m/>
    <n v="0"/>
    <m/>
    <m/>
    <n v="0"/>
    <s v="PAC"/>
    <m/>
  </r>
  <r>
    <n v="517"/>
    <x v="0"/>
    <s v="Shipment 2 400"/>
    <x v="2"/>
    <x v="2"/>
    <m/>
    <d v="2025-11-29T00:00:00"/>
    <s v="HEATER"/>
    <s v="HTR03"/>
    <s v="Mr Phúc"/>
    <s v="B272-400-AS-280-PP-117"/>
    <s v="280-PP-117"/>
    <s v="PERSONAL PROTECTION"/>
    <n v="1"/>
    <n v="16.93"/>
    <n v="16.93"/>
    <s v="(2100x10x1100)"/>
    <m/>
    <m/>
    <m/>
    <m/>
    <m/>
    <m/>
    <m/>
    <m/>
    <m/>
    <m/>
    <m/>
    <m/>
    <m/>
    <n v="0"/>
    <n v="16.93"/>
    <m/>
    <m/>
    <n v="0"/>
    <m/>
    <m/>
    <n v="0"/>
    <m/>
    <m/>
    <n v="0"/>
    <m/>
    <m/>
    <n v="0"/>
    <m/>
    <m/>
    <m/>
    <n v="0"/>
    <m/>
    <m/>
    <n v="0"/>
    <s v="PAC"/>
    <m/>
  </r>
  <r>
    <n v="518"/>
    <x v="0"/>
    <s v="Shipment 2 400"/>
    <x v="2"/>
    <x v="2"/>
    <m/>
    <d v="2025-11-29T00:00:00"/>
    <s v="HEATER"/>
    <s v="HTR03"/>
    <s v="Mr Phúc"/>
    <s v="B272-400-AS-280-PP-118"/>
    <s v="280-PP-118"/>
    <s v="PERSONAL PROTECTION"/>
    <n v="1"/>
    <n v="15.06"/>
    <n v="15.06"/>
    <s v="(2100x10x1100)"/>
    <m/>
    <m/>
    <m/>
    <m/>
    <m/>
    <m/>
    <m/>
    <m/>
    <m/>
    <m/>
    <m/>
    <m/>
    <m/>
    <n v="0"/>
    <n v="15.06"/>
    <m/>
    <m/>
    <n v="0"/>
    <m/>
    <m/>
    <n v="0"/>
    <m/>
    <m/>
    <n v="0"/>
    <m/>
    <m/>
    <n v="0"/>
    <m/>
    <m/>
    <m/>
    <n v="0"/>
    <m/>
    <m/>
    <n v="0"/>
    <s v="PAC"/>
    <m/>
  </r>
  <r>
    <n v="519"/>
    <x v="0"/>
    <s v="Shipment 2 400"/>
    <x v="2"/>
    <x v="2"/>
    <m/>
    <m/>
    <m/>
    <m/>
    <s v="Mr Phúc"/>
    <s v="B272-400-AS-280-PP-119"/>
    <s v="280-PP-119"/>
    <s v="PERSONAL PROTECTION"/>
    <n v="1"/>
    <n v="2.54"/>
    <n v="2.54"/>
    <s v="(652x50x148)"/>
    <m/>
    <m/>
    <m/>
    <m/>
    <m/>
    <m/>
    <m/>
    <m/>
    <m/>
    <m/>
    <m/>
    <m/>
    <m/>
    <n v="0"/>
    <n v="2.54"/>
    <m/>
    <m/>
    <n v="0"/>
    <m/>
    <m/>
    <n v="0"/>
    <m/>
    <m/>
    <n v="0"/>
    <m/>
    <m/>
    <m/>
    <m/>
    <m/>
    <m/>
    <n v="0"/>
    <m/>
    <m/>
    <n v="0"/>
    <s v="PAC"/>
    <m/>
  </r>
  <r>
    <n v="520"/>
    <x v="0"/>
    <s v="Shipment 2 400"/>
    <x v="2"/>
    <x v="2"/>
    <m/>
    <m/>
    <m/>
    <m/>
    <s v="Mr Phúc"/>
    <s v="B272-400-AS-280-PP-120"/>
    <s v="280-PP-120"/>
    <s v="PERSONAL PROTECTION"/>
    <n v="1"/>
    <n v="2.48"/>
    <n v="2.48"/>
    <s v="(723x10x217)"/>
    <m/>
    <m/>
    <m/>
    <m/>
    <m/>
    <m/>
    <m/>
    <m/>
    <m/>
    <m/>
    <m/>
    <m/>
    <m/>
    <n v="0"/>
    <n v="2.48"/>
    <m/>
    <m/>
    <n v="0"/>
    <m/>
    <m/>
    <n v="0"/>
    <m/>
    <m/>
    <n v="0"/>
    <m/>
    <m/>
    <m/>
    <m/>
    <m/>
    <m/>
    <n v="0"/>
    <m/>
    <m/>
    <n v="0"/>
    <s v="PAC"/>
    <m/>
  </r>
  <r>
    <n v="521"/>
    <x v="0"/>
    <s v="Shipment 2 400"/>
    <x v="2"/>
    <x v="2"/>
    <m/>
    <d v="2025-11-29T00:00:00"/>
    <s v="HEATER"/>
    <s v="HTR03"/>
    <s v="Mr Phúc"/>
    <s v="B272-400-AS-290-AD-001"/>
    <s v="290-AD-001(1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2"/>
    <x v="0"/>
    <s v="Shipment 2 400"/>
    <x v="2"/>
    <x v="2"/>
    <m/>
    <d v="2025-11-29T00:00:00"/>
    <s v="HEATER"/>
    <s v="HTR03"/>
    <s v="Mr Phúc"/>
    <s v="B272-400-AS-290-AD-001"/>
    <s v="290-AD-001(2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3"/>
    <x v="0"/>
    <s v="Shipment 2 400"/>
    <x v="2"/>
    <x v="2"/>
    <m/>
    <d v="2025-11-29T00:00:00"/>
    <s v="HEATER"/>
    <s v="HTR03"/>
    <s v="Mr Phúc"/>
    <s v="B272-400-AS-290-AD-001"/>
    <s v="290-AD-001(3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4"/>
    <x v="0"/>
    <s v="Shipment 2 400"/>
    <x v="2"/>
    <x v="2"/>
    <m/>
    <d v="2025-11-29T00:00:00"/>
    <s v="HEATER"/>
    <s v="HTR03"/>
    <s v="Mr Phúc"/>
    <s v="B272-400-AS-290-AD-001"/>
    <s v="290-AD-001(4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5"/>
    <x v="0"/>
    <s v="Shipment 2 400"/>
    <x v="2"/>
    <x v="2"/>
    <m/>
    <d v="2025-11-29T00:00:00"/>
    <s v="HEATER"/>
    <s v="HTR03"/>
    <s v="Mr Phúc"/>
    <s v="B272-400-AS-290-AD-001"/>
    <s v="290-AD-001(5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6"/>
    <x v="0"/>
    <s v="Shipment 2 400"/>
    <x v="2"/>
    <x v="2"/>
    <m/>
    <d v="2025-11-29T00:00:00"/>
    <s v="HEATER"/>
    <s v="HTR03"/>
    <s v="Mr Phúc"/>
    <s v="B272-400-AS-290-AD-001"/>
    <s v="290-AD-001(6/6)"/>
    <s v="ACCESS DOOR"/>
    <n v="1"/>
    <n v="73.180000000000007"/>
    <n v="73.180000000000007"/>
    <s v="(720x367x1010)"/>
    <m/>
    <m/>
    <m/>
    <m/>
    <m/>
    <m/>
    <m/>
    <m/>
    <m/>
    <m/>
    <m/>
    <m/>
    <m/>
    <n v="65.862000000000009"/>
    <n v="7.3179999999999978"/>
    <m/>
    <m/>
    <n v="0"/>
    <d v="2026-01-17T00:00:00"/>
    <n v="1"/>
    <n v="73.180000000000007"/>
    <d v="2026-02-09T00:00:00"/>
    <n v="1"/>
    <n v="73.180000000000007"/>
    <m/>
    <m/>
    <n v="0"/>
    <m/>
    <m/>
    <m/>
    <n v="0"/>
    <m/>
    <m/>
    <n v="0"/>
    <s v="PAC"/>
    <m/>
  </r>
  <r>
    <n v="527"/>
    <x v="0"/>
    <s v="Shipment 2 400"/>
    <x v="2"/>
    <x v="2"/>
    <m/>
    <d v="2025-11-29T00:00:00"/>
    <s v="HEATER"/>
    <s v="HTR03"/>
    <s v="Mr Phúc"/>
    <s v="B272-400-AS-290-AD-002"/>
    <s v="290-AD-002(1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28"/>
    <x v="0"/>
    <s v="Shipment 2 400"/>
    <x v="2"/>
    <x v="2"/>
    <m/>
    <d v="2025-11-29T00:00:00"/>
    <s v="HEATER"/>
    <s v="HTR03"/>
    <s v="Mr Phúc"/>
    <s v="B272-400-AS-290-AD-002"/>
    <s v="290-AD-002(2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29"/>
    <x v="0"/>
    <s v="Shipment 2 400"/>
    <x v="2"/>
    <x v="2"/>
    <m/>
    <d v="2025-11-29T00:00:00"/>
    <s v="HEATER"/>
    <s v="HTR03"/>
    <s v="Mr Phúc"/>
    <s v="B272-400-AS-290-AD-002"/>
    <s v="290-AD-002(3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30"/>
    <x v="0"/>
    <s v="Shipment 2 400"/>
    <x v="2"/>
    <x v="2"/>
    <m/>
    <d v="2025-11-29T00:00:00"/>
    <s v="HEATER"/>
    <s v="HTR03"/>
    <s v="Mr Phúc"/>
    <s v="B272-400-AS-290-AD-002"/>
    <s v="290-AD-002(4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31"/>
    <x v="0"/>
    <s v="Shipment 2 400"/>
    <x v="2"/>
    <x v="2"/>
    <m/>
    <d v="2025-11-29T00:00:00"/>
    <s v="HEATER"/>
    <s v="HTR03"/>
    <s v="Mr Phúc"/>
    <s v="B272-400-AS-290-AD-002"/>
    <s v="290-AD-002(5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32"/>
    <x v="0"/>
    <s v="Shipment 2 400"/>
    <x v="2"/>
    <x v="2"/>
    <m/>
    <d v="2025-11-29T00:00:00"/>
    <s v="HEATER"/>
    <s v="HTR03"/>
    <s v="Mr Phúc"/>
    <s v="B272-400-AS-290-AD-002"/>
    <s v="290-AD-002(6/6)"/>
    <s v="ACCESS DOOR"/>
    <n v="1"/>
    <n v="24.87"/>
    <n v="24.87"/>
    <s v="(420x367x720)"/>
    <m/>
    <m/>
    <m/>
    <m/>
    <m/>
    <m/>
    <m/>
    <m/>
    <m/>
    <m/>
    <m/>
    <m/>
    <m/>
    <n v="22.383000000000003"/>
    <n v="2.4869999999999983"/>
    <m/>
    <m/>
    <n v="0"/>
    <d v="2026-02-09T00:00:00"/>
    <n v="1"/>
    <n v="24.87"/>
    <d v="2026-02-09T00:00:00"/>
    <n v="1"/>
    <n v="24.87"/>
    <m/>
    <m/>
    <n v="0"/>
    <m/>
    <m/>
    <m/>
    <n v="0"/>
    <m/>
    <m/>
    <n v="0"/>
    <s v="PAC"/>
    <m/>
  </r>
  <r>
    <n v="533"/>
    <x v="0"/>
    <s v="Shipment 2 400"/>
    <x v="2"/>
    <x v="2"/>
    <m/>
    <d v="2025-11-29T00:00:00"/>
    <s v="HEATER"/>
    <s v="HTR03"/>
    <s v="Mr Phúc"/>
    <s v="B272-400-AS-370-SD-001"/>
    <s v="370-SD-001(1/2)"/>
    <s v="SADDLE FOR RADIANT COIL"/>
    <n v="1"/>
    <n v="183.65"/>
    <n v="183.65"/>
    <s v="(380x390x710)"/>
    <m/>
    <m/>
    <m/>
    <m/>
    <m/>
    <m/>
    <m/>
    <m/>
    <m/>
    <m/>
    <m/>
    <m/>
    <m/>
    <n v="165.28500000000003"/>
    <n v="18.364999999999981"/>
    <m/>
    <m/>
    <n v="0"/>
    <d v="2026-04-07T00:00:00"/>
    <n v="1"/>
    <n v="183.65"/>
    <d v="2026-04-07T00:00:00"/>
    <n v="1"/>
    <n v="183.65"/>
    <m/>
    <m/>
    <n v="0"/>
    <m/>
    <m/>
    <m/>
    <n v="0"/>
    <m/>
    <m/>
    <n v="0"/>
    <s v="PAC"/>
    <m/>
  </r>
  <r>
    <n v="534"/>
    <x v="0"/>
    <s v="Shipment 2 400"/>
    <x v="2"/>
    <x v="2"/>
    <m/>
    <d v="2025-11-29T00:00:00"/>
    <s v="HEATER"/>
    <s v="HTR03"/>
    <s v="Mr Phúc"/>
    <s v="B272-400-AS-370-SD-001"/>
    <s v="370-SD-001(2/2)"/>
    <s v="SADDLE FOR RADIANT COIL"/>
    <n v="1"/>
    <n v="183.65"/>
    <n v="183.65"/>
    <s v="(380x390x710)"/>
    <m/>
    <m/>
    <m/>
    <m/>
    <m/>
    <m/>
    <m/>
    <m/>
    <m/>
    <m/>
    <m/>
    <m/>
    <m/>
    <n v="165.28500000000003"/>
    <n v="18.364999999999981"/>
    <m/>
    <m/>
    <n v="0"/>
    <d v="2026-04-07T00:00:00"/>
    <n v="1"/>
    <n v="183.65"/>
    <d v="2026-04-07T00:00:00"/>
    <n v="1"/>
    <n v="183.65"/>
    <m/>
    <m/>
    <n v="0"/>
    <m/>
    <m/>
    <m/>
    <n v="0"/>
    <m/>
    <m/>
    <n v="0"/>
    <s v="PAC"/>
    <m/>
  </r>
  <r>
    <n v="535"/>
    <x v="0"/>
    <s v="Shipment 2 400"/>
    <x v="2"/>
    <x v="2"/>
    <m/>
    <d v="2025-11-29T00:00:00"/>
    <s v="HEATER"/>
    <s v="HTR03"/>
    <s v="Mr Phúc"/>
    <s v="B272-400-AS-370-SD-002"/>
    <s v="370-SD-002(1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n v="536"/>
    <x v="0"/>
    <s v="Shipment 2 400"/>
    <x v="2"/>
    <x v="2"/>
    <m/>
    <d v="2025-11-29T00:00:00"/>
    <s v="HEATER"/>
    <s v="HTR03"/>
    <s v="Mr Phúc"/>
    <s v="B272-400-AS-370-SD-002"/>
    <s v="370-SD-002(2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n v="537"/>
    <x v="0"/>
    <s v="Shipment 2 400"/>
    <x v="2"/>
    <x v="2"/>
    <m/>
    <d v="2025-11-29T00:00:00"/>
    <s v="HEATER"/>
    <s v="HTR03"/>
    <s v="Mr Phúc"/>
    <s v="B272-400-AS-370-SD-002"/>
    <s v="370-SD-002(3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n v="538"/>
    <x v="0"/>
    <s v="Shipment 2 400"/>
    <x v="2"/>
    <x v="2"/>
    <m/>
    <d v="2025-11-29T00:00:00"/>
    <s v="HEATER"/>
    <s v="HTR03"/>
    <s v="Mr Phúc"/>
    <s v="B272-400-AS-370-SD-002"/>
    <s v="370-SD-002(4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n v="539"/>
    <x v="0"/>
    <s v="Shipment 2 400"/>
    <x v="2"/>
    <x v="2"/>
    <m/>
    <d v="2025-11-29T00:00:00"/>
    <s v="HEATER"/>
    <s v="HTR03"/>
    <s v="Mr Phúc"/>
    <s v="B272-400-AS-370-SD-002"/>
    <s v="370-SD-002(5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n v="540"/>
    <x v="0"/>
    <s v="Shipment 2 400"/>
    <x v="2"/>
    <x v="2"/>
    <m/>
    <d v="2025-11-29T00:00:00"/>
    <s v="HEATER"/>
    <s v="HTR03"/>
    <s v="Mr Phúc"/>
    <s v="B272-400-AS-370-SD-002"/>
    <s v="370-SD-002(6/6)"/>
    <s v="SADDLE FOR RADIANT COIL"/>
    <n v="1"/>
    <n v="93.32"/>
    <n v="93.32"/>
    <s v="(684x380x287)"/>
    <m/>
    <m/>
    <m/>
    <m/>
    <m/>
    <m/>
    <m/>
    <m/>
    <m/>
    <m/>
    <m/>
    <m/>
    <m/>
    <n v="83.988"/>
    <n v="9.3319999999999936"/>
    <m/>
    <m/>
    <n v="0"/>
    <d v="2026-04-07T00:00:00"/>
    <n v="1"/>
    <n v="93.32"/>
    <d v="2026-04-07T00:00:00"/>
    <n v="1"/>
    <n v="93.32"/>
    <m/>
    <m/>
    <n v="0"/>
    <m/>
    <m/>
    <m/>
    <n v="0"/>
    <m/>
    <m/>
    <n v="0"/>
    <s v="PAC"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0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7">
    <i>
      <x v="1"/>
    </i>
    <i r="1">
      <x v="1"/>
    </i>
    <i r="2">
      <x v="1"/>
    </i>
    <i r="2">
      <x v="2"/>
    </i>
    <i r="1">
      <x v="2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583"/>
  <sheetViews>
    <sheetView tabSelected="1" zoomScale="70" zoomScaleNormal="70" workbookViewId="0">
      <pane xSplit="18" ySplit="3" topLeftCell="AN407" activePane="bottomRight" state="frozen"/>
      <selection pane="topRight" activeCell="S1" sqref="S1"/>
      <selection pane="bottomLeft" activeCell="A4" sqref="A4"/>
      <selection pane="bottomRight" activeCell="AY415" sqref="AY415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3.25" hidden="1" customWidth="1" outlineLevel="1"/>
    <col min="10" max="10" width="10.875" customWidth="1" collapsed="1"/>
    <col min="11" max="11" width="23.75" customWidth="1"/>
    <col min="12" max="12" width="20.25" customWidth="1"/>
    <col min="13" max="13" width="16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37" width="10.375" customWidth="1"/>
    <col min="38" max="41" width="11.25" customWidth="1"/>
    <col min="42" max="44" width="11.25" hidden="1" customWidth="1" outlineLevel="1"/>
    <col min="45" max="45" width="13.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8.62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ÁN:B272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46305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SUBTOTAL(9,AK4:AK583)</f>
        <v>2159</v>
      </c>
      <c r="AL2" s="68">
        <f>SUBTOTAL(9,AL4:AL583)</f>
        <v>121336.38999999998</v>
      </c>
      <c r="AM2" s="15"/>
      <c r="AN2" s="67">
        <f>SUBTOTAL(9,AN4:AN583)</f>
        <v>2159</v>
      </c>
      <c r="AO2" s="68">
        <f>SUBTOTAL(9,AO4:AO583)</f>
        <v>121336.38999999998</v>
      </c>
      <c r="AP2" s="15"/>
      <c r="AQ2" s="67">
        <f>SUBTOTAL(9,AQ4:AQ583)</f>
        <v>863</v>
      </c>
      <c r="AR2" s="68">
        <f>SUBTOTAL(9,AR4:AR583)</f>
        <v>114477.86999999989</v>
      </c>
      <c r="AS2" s="16" t="s">
        <v>83</v>
      </c>
      <c r="AT2" s="17"/>
      <c r="AU2" s="67">
        <f>SUBTOTAL(9,AU4:AU583)</f>
        <v>2159</v>
      </c>
      <c r="AV2" s="68">
        <f>SUBTOTAL(9,AV4:AV583)</f>
        <v>121336.38999999998</v>
      </c>
      <c r="AW2" s="16"/>
      <c r="AX2" s="67">
        <f>SUBTOTAL(9,AX4:AX583)</f>
        <v>2159</v>
      </c>
      <c r="AY2" s="67">
        <f>SUBTOTAL(9,AY4:AY583)</f>
        <v>121336.38999999998</v>
      </c>
      <c r="AZ2" s="17"/>
      <c r="BA2" s="18" t="str">
        <f>SUBSTITUTE(A1,"DỰ ÁN:","")&amp;"-"</f>
        <v>B272-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77</v>
      </c>
      <c r="C4" s="25" t="str">
        <f>D4&amp;" "&amp;E4</f>
        <v>Shipment 1 400 Template</v>
      </c>
      <c r="D4" s="25" t="s">
        <v>76</v>
      </c>
      <c r="E4" s="25" t="s">
        <v>82</v>
      </c>
      <c r="F4" s="25" t="s">
        <v>78</v>
      </c>
      <c r="G4" s="65">
        <v>45891</v>
      </c>
      <c r="H4" s="25" t="s">
        <v>1257</v>
      </c>
      <c r="I4" s="25" t="s">
        <v>1254</v>
      </c>
      <c r="J4" s="26" t="s">
        <v>1300</v>
      </c>
      <c r="K4" s="27" t="s">
        <v>69</v>
      </c>
      <c r="L4" s="28" t="s">
        <v>70</v>
      </c>
      <c r="M4" s="28" t="s">
        <v>71</v>
      </c>
      <c r="N4" s="25">
        <v>1</v>
      </c>
      <c r="O4" s="29">
        <v>755.9</v>
      </c>
      <c r="P4" s="29">
        <v>755.9</v>
      </c>
      <c r="Q4" s="25"/>
      <c r="R4" s="25"/>
      <c r="S4" s="26"/>
      <c r="T4" s="24">
        <v>0</v>
      </c>
      <c r="U4" s="30"/>
      <c r="V4" s="30" t="s">
        <v>79</v>
      </c>
      <c r="W4" s="30" t="s">
        <v>80</v>
      </c>
      <c r="X4" s="37">
        <v>45886</v>
      </c>
      <c r="Y4" s="37" t="s">
        <v>81</v>
      </c>
      <c r="Z4" s="30">
        <v>0</v>
      </c>
      <c r="AA4" s="37">
        <v>45857</v>
      </c>
      <c r="AB4" s="30"/>
      <c r="AC4" s="30"/>
      <c r="AD4" s="54"/>
      <c r="AE4" s="31">
        <f>+AL4*0.5+AO4*0.4+AV4*0.1</f>
        <v>755.9</v>
      </c>
      <c r="AF4" s="32">
        <f>+P4-AE4</f>
        <v>0</v>
      </c>
      <c r="AG4" s="30"/>
      <c r="AH4" s="33">
        <v>1</v>
      </c>
      <c r="AI4" s="34">
        <f>+AH4*P4</f>
        <v>755.9</v>
      </c>
      <c r="AJ4" s="35">
        <v>45885</v>
      </c>
      <c r="AK4" s="30">
        <v>1</v>
      </c>
      <c r="AL4" s="36">
        <f>IFERROR(AK4*$P4/$N4,0)</f>
        <v>755.9</v>
      </c>
      <c r="AM4" s="35">
        <v>45886</v>
      </c>
      <c r="AN4" s="30">
        <v>1</v>
      </c>
      <c r="AO4" s="36">
        <f>IFERROR(AN4*$P4/$N4,0)</f>
        <v>755.9</v>
      </c>
      <c r="AP4" s="35">
        <v>45890</v>
      </c>
      <c r="AQ4" s="30">
        <v>1</v>
      </c>
      <c r="AR4" s="36">
        <f>IFERROR(AQ4*$P4/$N4,0)</f>
        <v>755.9</v>
      </c>
      <c r="AS4" s="27" t="s">
        <v>84</v>
      </c>
      <c r="AT4" s="37">
        <v>45891</v>
      </c>
      <c r="AU4" s="30">
        <v>1</v>
      </c>
      <c r="AV4" s="36">
        <f>IFERROR(AU4*$P4/$N4,0)</f>
        <v>755.9</v>
      </c>
      <c r="AW4" s="35">
        <v>45898</v>
      </c>
      <c r="AX4" s="30">
        <v>1</v>
      </c>
      <c r="AY4" s="32">
        <f>IFERROR(AX4*$P4/$N4,0)</f>
        <v>755.9</v>
      </c>
      <c r="AZ4" s="30" t="s">
        <v>85</v>
      </c>
      <c r="BA4" s="63" t="s">
        <v>86</v>
      </c>
      <c r="BB4" s="71"/>
      <c r="BC4" s="71" t="s">
        <v>70</v>
      </c>
      <c r="BD4" s="71"/>
      <c r="BF4" s="59" t="s">
        <v>77</v>
      </c>
      <c r="BG4">
        <v>120139.45000000004</v>
      </c>
      <c r="BH4" s="70">
        <v>117986.51000000001</v>
      </c>
    </row>
    <row r="5" spans="1:60" x14ac:dyDescent="0.25">
      <c r="A5" s="24">
        <f>IF(B5="","",SUBTOTAL(3,$B$4:B5))</f>
        <v>2</v>
      </c>
      <c r="B5" s="25" t="s">
        <v>77</v>
      </c>
      <c r="C5" s="25" t="str">
        <f t="shared" ref="C5:C583" si="0">D5&amp;" "&amp;E5</f>
        <v>Shipment 1 400 Template</v>
      </c>
      <c r="D5" s="25" t="s">
        <v>76</v>
      </c>
      <c r="E5" s="25" t="s">
        <v>82</v>
      </c>
      <c r="F5" s="25" t="s">
        <v>78</v>
      </c>
      <c r="G5" s="65">
        <v>45891</v>
      </c>
      <c r="H5" s="25" t="s">
        <v>1257</v>
      </c>
      <c r="I5" s="25" t="s">
        <v>1254</v>
      </c>
      <c r="J5" s="26" t="s">
        <v>1300</v>
      </c>
      <c r="K5" s="27" t="s">
        <v>72</v>
      </c>
      <c r="L5" s="28" t="s">
        <v>73</v>
      </c>
      <c r="M5" s="28" t="s">
        <v>71</v>
      </c>
      <c r="N5" s="25">
        <v>1</v>
      </c>
      <c r="O5" s="29">
        <v>755.9</v>
      </c>
      <c r="P5" s="29">
        <v>755.9</v>
      </c>
      <c r="Q5" s="25"/>
      <c r="R5" s="25"/>
      <c r="S5" s="26"/>
      <c r="T5" s="24">
        <v>0</v>
      </c>
      <c r="U5" s="30"/>
      <c r="V5" s="30" t="s">
        <v>79</v>
      </c>
      <c r="W5" s="30" t="s">
        <v>80</v>
      </c>
      <c r="X5" s="37">
        <v>45886</v>
      </c>
      <c r="Y5" s="37" t="s">
        <v>81</v>
      </c>
      <c r="Z5" s="30">
        <v>0</v>
      </c>
      <c r="AA5" s="37">
        <v>45857</v>
      </c>
      <c r="AB5" s="30"/>
      <c r="AC5" s="30"/>
      <c r="AD5" s="54"/>
      <c r="AE5" s="31">
        <f t="shared" ref="AE5:AE583" si="1">+AL5*0.5+AO5*0.4+AV5*0.1</f>
        <v>755.9</v>
      </c>
      <c r="AF5" s="32">
        <f t="shared" ref="AF5:AF583" si="2">+P5-AE5</f>
        <v>0</v>
      </c>
      <c r="AG5" s="30"/>
      <c r="AH5" s="33">
        <v>1</v>
      </c>
      <c r="AI5" s="34">
        <f t="shared" ref="AI5:AI583" si="3">+AH5*P5</f>
        <v>755.9</v>
      </c>
      <c r="AJ5" s="35">
        <v>45885</v>
      </c>
      <c r="AK5" s="30">
        <v>1</v>
      </c>
      <c r="AL5" s="36">
        <f t="shared" ref="AL5:AL583" si="4">IFERROR(AK5*$P5/$N5,0)</f>
        <v>755.9</v>
      </c>
      <c r="AM5" s="35">
        <v>45890</v>
      </c>
      <c r="AN5" s="30">
        <v>1</v>
      </c>
      <c r="AO5" s="36">
        <f t="shared" ref="AO5:AO583" si="5">IFERROR(AN5*$P5/$N5,0)</f>
        <v>755.9</v>
      </c>
      <c r="AP5" s="35">
        <v>45890</v>
      </c>
      <c r="AQ5" s="30">
        <v>1</v>
      </c>
      <c r="AR5" s="36">
        <f t="shared" ref="AR5:AR583" si="6">IFERROR(AQ5*$P5/$N5,0)</f>
        <v>755.9</v>
      </c>
      <c r="AS5" s="27" t="s">
        <v>84</v>
      </c>
      <c r="AT5" s="37">
        <v>45891</v>
      </c>
      <c r="AU5" s="30">
        <v>1</v>
      </c>
      <c r="AV5" s="36">
        <f t="shared" ref="AV5:AV583" si="7">IFERROR(AU5*$P5/$N5,0)</f>
        <v>755.9</v>
      </c>
      <c r="AW5" s="35">
        <v>45898</v>
      </c>
      <c r="AX5" s="30">
        <v>1</v>
      </c>
      <c r="AY5" s="32">
        <f t="shared" ref="AY5:AY6" si="8">IFERROR(AX5*$P5/$N5,0)</f>
        <v>755.9</v>
      </c>
      <c r="AZ5" s="30" t="s">
        <v>85</v>
      </c>
      <c r="BA5" s="63" t="s">
        <v>86</v>
      </c>
      <c r="BB5" s="71"/>
      <c r="BC5" s="71" t="s">
        <v>73</v>
      </c>
      <c r="BD5" s="71"/>
      <c r="BF5" s="60" t="s">
        <v>76</v>
      </c>
      <c r="BG5">
        <v>65988.819999999963</v>
      </c>
      <c r="BH5" s="70">
        <v>65810.319999999978</v>
      </c>
    </row>
    <row r="6" spans="1:60" x14ac:dyDescent="0.25">
      <c r="A6" s="24">
        <f>IF(B6="","",SUBTOTAL(3,$B$4:B6))</f>
        <v>3</v>
      </c>
      <c r="B6" s="25" t="s">
        <v>77</v>
      </c>
      <c r="C6" s="25" t="str">
        <f t="shared" ref="C6" si="9">D6&amp;" "&amp;E6</f>
        <v>Shipment 1 400 Template</v>
      </c>
      <c r="D6" s="25" t="s">
        <v>76</v>
      </c>
      <c r="E6" s="25" t="s">
        <v>82</v>
      </c>
      <c r="F6" s="25"/>
      <c r="G6" s="65"/>
      <c r="H6" s="25" t="s">
        <v>1257</v>
      </c>
      <c r="I6" s="25" t="s">
        <v>1254</v>
      </c>
      <c r="J6" s="26" t="s">
        <v>1300</v>
      </c>
      <c r="K6" s="27" t="s">
        <v>74</v>
      </c>
      <c r="L6" s="28" t="s">
        <v>75</v>
      </c>
      <c r="M6" s="28" t="s">
        <v>71</v>
      </c>
      <c r="N6" s="25">
        <v>1</v>
      </c>
      <c r="O6" s="29">
        <v>428.4</v>
      </c>
      <c r="P6" s="29">
        <v>428.4</v>
      </c>
      <c r="Q6" s="25"/>
      <c r="R6" s="25"/>
      <c r="S6" s="26"/>
      <c r="T6" s="24">
        <v>0</v>
      </c>
      <c r="U6" s="30"/>
      <c r="V6" s="30" t="s">
        <v>79</v>
      </c>
      <c r="W6" s="30" t="s">
        <v>80</v>
      </c>
      <c r="X6" s="37">
        <v>45886</v>
      </c>
      <c r="Y6" s="37" t="s">
        <v>81</v>
      </c>
      <c r="Z6" s="30">
        <v>0</v>
      </c>
      <c r="AA6" s="37">
        <v>45857</v>
      </c>
      <c r="AB6" s="30"/>
      <c r="AC6" s="30"/>
      <c r="AD6" s="54"/>
      <c r="AE6" s="31">
        <f t="shared" si="1"/>
        <v>428.4</v>
      </c>
      <c r="AF6" s="32">
        <f t="shared" si="2"/>
        <v>0</v>
      </c>
      <c r="AG6" s="30"/>
      <c r="AH6" s="33">
        <v>1</v>
      </c>
      <c r="AI6" s="34">
        <f t="shared" si="3"/>
        <v>428.4</v>
      </c>
      <c r="AJ6" s="35">
        <v>45885</v>
      </c>
      <c r="AK6" s="30">
        <v>1</v>
      </c>
      <c r="AL6" s="36">
        <f t="shared" si="4"/>
        <v>428.4</v>
      </c>
      <c r="AM6" s="35">
        <v>45890</v>
      </c>
      <c r="AN6" s="30">
        <v>1</v>
      </c>
      <c r="AO6" s="36">
        <f t="shared" si="5"/>
        <v>428.4</v>
      </c>
      <c r="AP6" s="35">
        <v>45890</v>
      </c>
      <c r="AQ6" s="30">
        <v>1</v>
      </c>
      <c r="AR6" s="36">
        <f t="shared" si="6"/>
        <v>428.4</v>
      </c>
      <c r="AS6" s="27" t="s">
        <v>84</v>
      </c>
      <c r="AT6" s="37">
        <v>45891</v>
      </c>
      <c r="AU6" s="30">
        <v>1</v>
      </c>
      <c r="AV6" s="36">
        <f t="shared" si="7"/>
        <v>428.4</v>
      </c>
      <c r="AW6" s="35">
        <v>45898</v>
      </c>
      <c r="AX6" s="30">
        <v>1</v>
      </c>
      <c r="AY6" s="32">
        <f t="shared" si="8"/>
        <v>428.4</v>
      </c>
      <c r="AZ6" s="30" t="s">
        <v>85</v>
      </c>
      <c r="BA6" s="63" t="s">
        <v>86</v>
      </c>
      <c r="BB6" s="71"/>
      <c r="BC6" s="71" t="s">
        <v>75</v>
      </c>
      <c r="BD6" s="71"/>
      <c r="BF6" s="61" t="s">
        <v>82</v>
      </c>
      <c r="BG6">
        <v>1940.1999999999998</v>
      </c>
      <c r="BH6" s="70">
        <v>1940.1999999999998</v>
      </c>
    </row>
    <row r="7" spans="1:60" hidden="1" x14ac:dyDescent="0.25">
      <c r="A7" s="24" t="str">
        <f>IF(B7="","",SUBTOTAL(3,$B$4:B7))</f>
        <v/>
      </c>
      <c r="B7" s="25"/>
      <c r="C7" s="25"/>
      <c r="D7" s="25"/>
      <c r="E7" s="25"/>
      <c r="F7" s="25" t="s">
        <v>78</v>
      </c>
      <c r="G7" s="65"/>
      <c r="H7" s="25" t="s">
        <v>1257</v>
      </c>
      <c r="I7" s="25" t="s">
        <v>1254</v>
      </c>
      <c r="J7" s="26" t="s">
        <v>1300</v>
      </c>
      <c r="K7" s="27" t="s">
        <v>87</v>
      </c>
      <c r="L7" s="28" t="s">
        <v>89</v>
      </c>
      <c r="M7" s="28" t="s">
        <v>88</v>
      </c>
      <c r="N7" s="25">
        <v>1</v>
      </c>
      <c r="O7" s="29">
        <v>1575.09</v>
      </c>
      <c r="P7" s="29">
        <v>1575.09</v>
      </c>
      <c r="Q7" s="25"/>
      <c r="R7" s="25"/>
      <c r="S7" s="26" t="s">
        <v>1260</v>
      </c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0</v>
      </c>
      <c r="AF7" s="32">
        <f t="shared" si="2"/>
        <v>1575.09</v>
      </c>
      <c r="AG7" s="30"/>
      <c r="AH7" s="33"/>
      <c r="AI7" s="34">
        <f t="shared" si="3"/>
        <v>0</v>
      </c>
      <c r="AJ7" s="35"/>
      <c r="AK7" s="30"/>
      <c r="AL7" s="36">
        <f t="shared" si="4"/>
        <v>0</v>
      </c>
      <c r="AM7" s="35"/>
      <c r="AN7" s="30"/>
      <c r="AO7" s="36">
        <f t="shared" si="5"/>
        <v>0</v>
      </c>
      <c r="AP7" s="35"/>
      <c r="AQ7" s="30"/>
      <c r="AR7" s="36">
        <f t="shared" si="6"/>
        <v>0</v>
      </c>
      <c r="AS7" s="27"/>
      <c r="AT7" s="37"/>
      <c r="AU7" s="30"/>
      <c r="AV7" s="36">
        <f t="shared" si="7"/>
        <v>0</v>
      </c>
      <c r="AW7" s="35"/>
      <c r="AX7" s="30"/>
      <c r="AY7" s="32">
        <f t="shared" ref="AY7:AY583" si="10">IFERROR(AX7*$P7/$N7,0)</f>
        <v>0</v>
      </c>
      <c r="AZ7" s="30" t="s">
        <v>85</v>
      </c>
      <c r="BA7" s="63"/>
      <c r="BB7" s="71"/>
      <c r="BC7" s="71" t="s">
        <v>89</v>
      </c>
      <c r="BD7" s="71"/>
      <c r="BF7" s="61">
        <v>400</v>
      </c>
      <c r="BG7">
        <v>64048.619999999966</v>
      </c>
      <c r="BH7" s="70">
        <v>63870.119999999974</v>
      </c>
    </row>
    <row r="8" spans="1:60" x14ac:dyDescent="0.25">
      <c r="A8" s="24">
        <f>IF(B8="","",SUBTOTAL(3,$B$4:B8))</f>
        <v>4</v>
      </c>
      <c r="B8" s="25" t="s">
        <v>77</v>
      </c>
      <c r="C8" s="25" t="str">
        <f t="shared" ref="C8" si="11">D8&amp;" "&amp;E8</f>
        <v>Shipment 1 400</v>
      </c>
      <c r="D8" s="25" t="s">
        <v>76</v>
      </c>
      <c r="E8" s="25">
        <v>400</v>
      </c>
      <c r="F8" s="25"/>
      <c r="G8" s="65">
        <v>45990</v>
      </c>
      <c r="H8" s="25" t="s">
        <v>1257</v>
      </c>
      <c r="I8" s="25" t="s">
        <v>1253</v>
      </c>
      <c r="J8" s="26" t="s">
        <v>1302</v>
      </c>
      <c r="K8" s="27" t="s">
        <v>90</v>
      </c>
      <c r="L8" s="28" t="s">
        <v>91</v>
      </c>
      <c r="M8" s="28" t="s">
        <v>92</v>
      </c>
      <c r="N8" s="25">
        <v>1</v>
      </c>
      <c r="O8" s="29">
        <v>506.7</v>
      </c>
      <c r="P8" s="29">
        <v>506.7</v>
      </c>
      <c r="Q8" s="25" t="s">
        <v>419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506.7</v>
      </c>
      <c r="AF8" s="32">
        <f t="shared" si="2"/>
        <v>0</v>
      </c>
      <c r="AG8" s="30"/>
      <c r="AH8" s="33">
        <v>1</v>
      </c>
      <c r="AI8" s="34">
        <f t="shared" si="3"/>
        <v>506.7</v>
      </c>
      <c r="AJ8" s="35">
        <v>46039</v>
      </c>
      <c r="AK8" s="30">
        <v>1</v>
      </c>
      <c r="AL8" s="36">
        <f t="shared" si="4"/>
        <v>506.7</v>
      </c>
      <c r="AM8" s="35">
        <v>46043</v>
      </c>
      <c r="AN8" s="30">
        <v>1</v>
      </c>
      <c r="AO8" s="36">
        <f t="shared" si="5"/>
        <v>506.7</v>
      </c>
      <c r="AP8" s="35">
        <v>46164</v>
      </c>
      <c r="AQ8" s="30">
        <v>1</v>
      </c>
      <c r="AR8" s="36">
        <f t="shared" si="6"/>
        <v>506.7</v>
      </c>
      <c r="AS8" s="27" t="s">
        <v>1283</v>
      </c>
      <c r="AT8" s="37">
        <v>46179</v>
      </c>
      <c r="AU8" s="30">
        <v>1</v>
      </c>
      <c r="AV8" s="36">
        <f t="shared" si="7"/>
        <v>506.7</v>
      </c>
      <c r="AW8" s="35">
        <v>46190</v>
      </c>
      <c r="AX8" s="30">
        <v>1</v>
      </c>
      <c r="AY8" s="32">
        <f t="shared" si="10"/>
        <v>506.7</v>
      </c>
      <c r="AZ8" s="30" t="s">
        <v>85</v>
      </c>
      <c r="BA8" s="63" t="s">
        <v>1284</v>
      </c>
      <c r="BB8" s="71"/>
      <c r="BC8" s="71" t="s">
        <v>91</v>
      </c>
      <c r="BD8" s="71"/>
      <c r="BF8" s="60" t="s">
        <v>1252</v>
      </c>
      <c r="BG8">
        <v>54150.63000000007</v>
      </c>
      <c r="BH8" s="70">
        <v>52176.190000000039</v>
      </c>
    </row>
    <row r="9" spans="1:60" x14ac:dyDescent="0.25">
      <c r="A9" s="24">
        <f>IF(B9="","",SUBTOTAL(3,$B$4:B9))</f>
        <v>5</v>
      </c>
      <c r="B9" s="25" t="s">
        <v>77</v>
      </c>
      <c r="C9" s="25" t="str">
        <f t="shared" ref="C9:C72" si="12">D9&amp;" "&amp;E9</f>
        <v>Shipment 1 400</v>
      </c>
      <c r="D9" s="25" t="s">
        <v>76</v>
      </c>
      <c r="E9" s="25">
        <v>400</v>
      </c>
      <c r="F9" s="25"/>
      <c r="G9" s="65">
        <v>45990</v>
      </c>
      <c r="H9" s="25" t="s">
        <v>1257</v>
      </c>
      <c r="I9" s="25" t="s">
        <v>1253</v>
      </c>
      <c r="J9" s="26" t="s">
        <v>1302</v>
      </c>
      <c r="K9" s="27" t="s">
        <v>93</v>
      </c>
      <c r="L9" s="28" t="s">
        <v>94</v>
      </c>
      <c r="M9" s="28" t="s">
        <v>92</v>
      </c>
      <c r="N9" s="25">
        <v>1</v>
      </c>
      <c r="O9" s="29">
        <v>486</v>
      </c>
      <c r="P9" s="29">
        <v>486</v>
      </c>
      <c r="Q9" s="25" t="s">
        <v>420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486</v>
      </c>
      <c r="AF9" s="32">
        <f t="shared" si="2"/>
        <v>0</v>
      </c>
      <c r="AG9" s="30"/>
      <c r="AH9" s="33">
        <v>1</v>
      </c>
      <c r="AI9" s="34">
        <f t="shared" si="3"/>
        <v>486</v>
      </c>
      <c r="AJ9" s="35">
        <v>46039</v>
      </c>
      <c r="AK9" s="30">
        <v>1</v>
      </c>
      <c r="AL9" s="36">
        <f t="shared" si="4"/>
        <v>486</v>
      </c>
      <c r="AM9" s="35">
        <v>46043</v>
      </c>
      <c r="AN9" s="30">
        <v>1</v>
      </c>
      <c r="AO9" s="36">
        <f t="shared" si="5"/>
        <v>486</v>
      </c>
      <c r="AP9" s="35">
        <v>46164</v>
      </c>
      <c r="AQ9" s="30">
        <v>1</v>
      </c>
      <c r="AR9" s="36">
        <f t="shared" si="6"/>
        <v>486</v>
      </c>
      <c r="AS9" s="27" t="s">
        <v>1283</v>
      </c>
      <c r="AT9" s="37">
        <v>46179</v>
      </c>
      <c r="AU9" s="30">
        <v>1</v>
      </c>
      <c r="AV9" s="36">
        <f t="shared" si="7"/>
        <v>486</v>
      </c>
      <c r="AW9" s="35">
        <v>46190</v>
      </c>
      <c r="AX9" s="30">
        <v>1</v>
      </c>
      <c r="AY9" s="32">
        <f t="shared" ref="AY9" si="13">IFERROR(AX9*$P9/$N9,0)</f>
        <v>486</v>
      </c>
      <c r="AZ9" s="30" t="s">
        <v>85</v>
      </c>
      <c r="BA9" s="63" t="s">
        <v>1284</v>
      </c>
      <c r="BB9" s="71"/>
      <c r="BC9" s="71" t="s">
        <v>94</v>
      </c>
      <c r="BD9" s="71"/>
      <c r="BF9" s="61">
        <v>400</v>
      </c>
      <c r="BG9">
        <v>54150.63000000007</v>
      </c>
      <c r="BH9" s="70">
        <v>52176.190000000039</v>
      </c>
    </row>
    <row r="10" spans="1:60" x14ac:dyDescent="0.25">
      <c r="A10" s="24">
        <f>IF(B10="","",SUBTOTAL(3,$B$4:B10))</f>
        <v>6</v>
      </c>
      <c r="B10" s="25" t="s">
        <v>77</v>
      </c>
      <c r="C10" s="25" t="str">
        <f t="shared" si="12"/>
        <v>Shipment 1 400</v>
      </c>
      <c r="D10" s="25" t="s">
        <v>76</v>
      </c>
      <c r="E10" s="25">
        <v>400</v>
      </c>
      <c r="F10" s="25"/>
      <c r="G10" s="65">
        <v>45990</v>
      </c>
      <c r="H10" s="25" t="s">
        <v>1257</v>
      </c>
      <c r="I10" s="25" t="s">
        <v>1253</v>
      </c>
      <c r="J10" s="26" t="s">
        <v>1302</v>
      </c>
      <c r="K10" s="27" t="s">
        <v>95</v>
      </c>
      <c r="L10" s="28" t="s">
        <v>96</v>
      </c>
      <c r="M10" s="28" t="s">
        <v>92</v>
      </c>
      <c r="N10" s="25">
        <v>1</v>
      </c>
      <c r="O10" s="29">
        <v>384.5</v>
      </c>
      <c r="P10" s="29">
        <v>384.5</v>
      </c>
      <c r="Q10" s="25" t="s">
        <v>421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384.5</v>
      </c>
      <c r="AF10" s="32">
        <f t="shared" si="2"/>
        <v>0</v>
      </c>
      <c r="AG10" s="30"/>
      <c r="AH10" s="33">
        <v>1</v>
      </c>
      <c r="AI10" s="34">
        <f t="shared" si="3"/>
        <v>384.5</v>
      </c>
      <c r="AJ10" s="35">
        <v>46039</v>
      </c>
      <c r="AK10" s="30">
        <v>1</v>
      </c>
      <c r="AL10" s="36">
        <f t="shared" si="4"/>
        <v>384.5</v>
      </c>
      <c r="AM10" s="35">
        <v>46043</v>
      </c>
      <c r="AN10" s="30">
        <v>1</v>
      </c>
      <c r="AO10" s="36">
        <f t="shared" si="5"/>
        <v>384.5</v>
      </c>
      <c r="AP10" s="35">
        <v>46164</v>
      </c>
      <c r="AQ10" s="30">
        <v>1</v>
      </c>
      <c r="AR10" s="36">
        <f t="shared" si="6"/>
        <v>384.5</v>
      </c>
      <c r="AS10" s="27" t="s">
        <v>1282</v>
      </c>
      <c r="AT10" s="37">
        <v>46176</v>
      </c>
      <c r="AU10" s="30">
        <v>1</v>
      </c>
      <c r="AV10" s="36">
        <f t="shared" si="7"/>
        <v>384.5</v>
      </c>
      <c r="AW10" s="35">
        <v>46178</v>
      </c>
      <c r="AX10" s="30">
        <v>1</v>
      </c>
      <c r="AY10" s="32">
        <f t="shared" si="10"/>
        <v>384.5</v>
      </c>
      <c r="AZ10" s="30" t="s">
        <v>85</v>
      </c>
      <c r="BA10" s="63" t="s">
        <v>1283</v>
      </c>
      <c r="BB10" s="71"/>
      <c r="BC10" s="71" t="s">
        <v>96</v>
      </c>
      <c r="BD10" s="71"/>
      <c r="BF10" s="59" t="s">
        <v>50</v>
      </c>
      <c r="BG10">
        <v>120139.45000000004</v>
      </c>
      <c r="BH10" s="70">
        <v>117986.51000000001</v>
      </c>
    </row>
    <row r="11" spans="1:60" x14ac:dyDescent="0.25">
      <c r="A11" s="24">
        <f>IF(B11="","",SUBTOTAL(3,$B$4:B11))</f>
        <v>7</v>
      </c>
      <c r="B11" s="25" t="s">
        <v>77</v>
      </c>
      <c r="C11" s="25" t="str">
        <f t="shared" si="12"/>
        <v>Shipment 1 400</v>
      </c>
      <c r="D11" s="25" t="s">
        <v>76</v>
      </c>
      <c r="E11" s="25">
        <v>400</v>
      </c>
      <c r="F11" s="25"/>
      <c r="G11" s="65">
        <v>45990</v>
      </c>
      <c r="H11" s="25" t="s">
        <v>1257</v>
      </c>
      <c r="I11" s="25" t="s">
        <v>1253</v>
      </c>
      <c r="J11" s="26" t="s">
        <v>1302</v>
      </c>
      <c r="K11" s="27" t="s">
        <v>97</v>
      </c>
      <c r="L11" s="28" t="s">
        <v>98</v>
      </c>
      <c r="M11" s="28" t="s">
        <v>92</v>
      </c>
      <c r="N11" s="25">
        <v>1</v>
      </c>
      <c r="O11" s="29">
        <v>373.1</v>
      </c>
      <c r="P11" s="29">
        <v>373.1</v>
      </c>
      <c r="Q11" s="25" t="s">
        <v>422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ref="AE11:AE16" si="14">+AL11*0.5+AO11*0.4+AV11*0.1</f>
        <v>373.1</v>
      </c>
      <c r="AF11" s="32">
        <f t="shared" ref="AF11:AF16" si="15">+P11-AE11</f>
        <v>0</v>
      </c>
      <c r="AG11" s="30"/>
      <c r="AH11" s="33">
        <v>1</v>
      </c>
      <c r="AI11" s="34">
        <f t="shared" ref="AI11:AI16" si="16">+AH11*P11</f>
        <v>373.1</v>
      </c>
      <c r="AJ11" s="35">
        <v>46039</v>
      </c>
      <c r="AK11" s="30">
        <v>1</v>
      </c>
      <c r="AL11" s="36">
        <f t="shared" ref="AL11:AL16" si="17">IFERROR(AK11*$P11/$N11,0)</f>
        <v>373.1</v>
      </c>
      <c r="AM11" s="35">
        <v>46043</v>
      </c>
      <c r="AN11" s="30">
        <v>1</v>
      </c>
      <c r="AO11" s="36">
        <f t="shared" ref="AO11:AO16" si="18">IFERROR(AN11*$P11/$N11,0)</f>
        <v>373.1</v>
      </c>
      <c r="AP11" s="35">
        <v>46164</v>
      </c>
      <c r="AQ11" s="30">
        <v>1</v>
      </c>
      <c r="AR11" s="36">
        <f t="shared" ref="AR11:AR16" si="19">IFERROR(AQ11*$P11/$N11,0)</f>
        <v>373.1</v>
      </c>
      <c r="AS11" s="27" t="s">
        <v>1282</v>
      </c>
      <c r="AT11" s="37">
        <v>46176</v>
      </c>
      <c r="AU11" s="30">
        <v>1</v>
      </c>
      <c r="AV11" s="36">
        <f t="shared" ref="AV11:AV16" si="20">IFERROR(AU11*$P11/$N11,0)</f>
        <v>373.1</v>
      </c>
      <c r="AW11" s="35">
        <v>46178</v>
      </c>
      <c r="AX11" s="30">
        <v>1</v>
      </c>
      <c r="AY11" s="32">
        <f t="shared" ref="AY11:AY12" si="21">IFERROR(AX11*$P11/$N11,0)</f>
        <v>373.1</v>
      </c>
      <c r="AZ11" s="30" t="s">
        <v>85</v>
      </c>
      <c r="BA11" s="63" t="s">
        <v>1283</v>
      </c>
      <c r="BB11" s="71"/>
      <c r="BC11" s="71" t="s">
        <v>98</v>
      </c>
      <c r="BD11" s="71"/>
    </row>
    <row r="12" spans="1:60" x14ac:dyDescent="0.25">
      <c r="A12" s="24">
        <f>IF(B12="","",SUBTOTAL(3,$B$4:B12))</f>
        <v>8</v>
      </c>
      <c r="B12" s="25" t="s">
        <v>77</v>
      </c>
      <c r="C12" s="25" t="str">
        <f t="shared" si="12"/>
        <v>Shipment 1 400</v>
      </c>
      <c r="D12" s="25" t="s">
        <v>76</v>
      </c>
      <c r="E12" s="25">
        <v>400</v>
      </c>
      <c r="F12" s="25"/>
      <c r="G12" s="65">
        <v>45990</v>
      </c>
      <c r="H12" s="25" t="s">
        <v>1257</v>
      </c>
      <c r="I12" s="25" t="s">
        <v>1253</v>
      </c>
      <c r="J12" s="26" t="s">
        <v>1302</v>
      </c>
      <c r="K12" s="27" t="s">
        <v>99</v>
      </c>
      <c r="L12" s="28" t="s">
        <v>100</v>
      </c>
      <c r="M12" s="28" t="s">
        <v>92</v>
      </c>
      <c r="N12" s="25">
        <v>1</v>
      </c>
      <c r="O12" s="29">
        <v>587.6</v>
      </c>
      <c r="P12" s="29">
        <v>587.6</v>
      </c>
      <c r="Q12" s="25" t="s">
        <v>423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4"/>
        <v>587.6</v>
      </c>
      <c r="AF12" s="32">
        <f t="shared" si="15"/>
        <v>0</v>
      </c>
      <c r="AG12" s="30"/>
      <c r="AH12" s="33">
        <v>1</v>
      </c>
      <c r="AI12" s="34">
        <f t="shared" si="16"/>
        <v>587.6</v>
      </c>
      <c r="AJ12" s="35">
        <v>46039</v>
      </c>
      <c r="AK12" s="30">
        <v>1</v>
      </c>
      <c r="AL12" s="36">
        <f t="shared" si="17"/>
        <v>587.6</v>
      </c>
      <c r="AM12" s="35">
        <v>46043</v>
      </c>
      <c r="AN12" s="30">
        <v>1</v>
      </c>
      <c r="AO12" s="36">
        <f t="shared" si="18"/>
        <v>587.6</v>
      </c>
      <c r="AP12" s="35">
        <v>46164</v>
      </c>
      <c r="AQ12" s="30">
        <v>1</v>
      </c>
      <c r="AR12" s="36">
        <f t="shared" si="19"/>
        <v>587.6</v>
      </c>
      <c r="AS12" s="27" t="s">
        <v>1283</v>
      </c>
      <c r="AT12" s="37">
        <v>46179</v>
      </c>
      <c r="AU12" s="30">
        <v>1</v>
      </c>
      <c r="AV12" s="36">
        <f t="shared" si="20"/>
        <v>587.6</v>
      </c>
      <c r="AW12" s="35">
        <v>46190</v>
      </c>
      <c r="AX12" s="30">
        <v>1</v>
      </c>
      <c r="AY12" s="32">
        <f t="shared" si="21"/>
        <v>587.6</v>
      </c>
      <c r="AZ12" s="30" t="s">
        <v>85</v>
      </c>
      <c r="BA12" s="63" t="s">
        <v>1284</v>
      </c>
      <c r="BB12" s="71"/>
      <c r="BC12" s="71" t="s">
        <v>100</v>
      </c>
      <c r="BD12" s="71"/>
    </row>
    <row r="13" spans="1:60" x14ac:dyDescent="0.25">
      <c r="A13" s="24">
        <f>IF(B13="","",SUBTOTAL(3,$B$4:B13))</f>
        <v>9</v>
      </c>
      <c r="B13" s="25" t="s">
        <v>77</v>
      </c>
      <c r="C13" s="25" t="str">
        <f t="shared" si="12"/>
        <v>Shipment 1 400</v>
      </c>
      <c r="D13" s="25" t="s">
        <v>76</v>
      </c>
      <c r="E13" s="25">
        <v>400</v>
      </c>
      <c r="F13" s="25"/>
      <c r="G13" s="65">
        <v>45990</v>
      </c>
      <c r="H13" s="25" t="s">
        <v>1257</v>
      </c>
      <c r="I13" s="25" t="s">
        <v>1253</v>
      </c>
      <c r="J13" s="26" t="s">
        <v>1302</v>
      </c>
      <c r="K13" s="27" t="s">
        <v>101</v>
      </c>
      <c r="L13" s="28" t="s">
        <v>102</v>
      </c>
      <c r="M13" s="28" t="s">
        <v>92</v>
      </c>
      <c r="N13" s="25">
        <v>1</v>
      </c>
      <c r="O13" s="29">
        <v>410.9</v>
      </c>
      <c r="P13" s="29">
        <v>410.9</v>
      </c>
      <c r="Q13" s="25" t="s">
        <v>424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4"/>
        <v>410.9</v>
      </c>
      <c r="AF13" s="32">
        <f t="shared" si="15"/>
        <v>0</v>
      </c>
      <c r="AG13" s="30"/>
      <c r="AH13" s="33">
        <v>1</v>
      </c>
      <c r="AI13" s="34">
        <f t="shared" si="16"/>
        <v>410.9</v>
      </c>
      <c r="AJ13" s="35">
        <v>46039</v>
      </c>
      <c r="AK13" s="30">
        <v>1</v>
      </c>
      <c r="AL13" s="36">
        <f t="shared" si="17"/>
        <v>410.9</v>
      </c>
      <c r="AM13" s="35">
        <v>46043</v>
      </c>
      <c r="AN13" s="30">
        <v>1</v>
      </c>
      <c r="AO13" s="36">
        <f t="shared" si="18"/>
        <v>410.9</v>
      </c>
      <c r="AP13" s="35">
        <v>46164</v>
      </c>
      <c r="AQ13" s="30">
        <v>1</v>
      </c>
      <c r="AR13" s="36">
        <f t="shared" si="19"/>
        <v>410.9</v>
      </c>
      <c r="AS13" s="27" t="s">
        <v>1282</v>
      </c>
      <c r="AT13" s="37">
        <v>46176</v>
      </c>
      <c r="AU13" s="30">
        <v>1</v>
      </c>
      <c r="AV13" s="36">
        <f t="shared" si="20"/>
        <v>410.9</v>
      </c>
      <c r="AW13" s="35">
        <v>46178</v>
      </c>
      <c r="AX13" s="30">
        <v>1</v>
      </c>
      <c r="AY13" s="32">
        <f t="shared" ref="AY13:AY22" si="22">IFERROR(AX13*$P13/$N13,0)</f>
        <v>410.9</v>
      </c>
      <c r="AZ13" s="30" t="s">
        <v>85</v>
      </c>
      <c r="BA13" s="63" t="s">
        <v>1283</v>
      </c>
      <c r="BB13" s="71"/>
      <c r="BC13" s="71" t="s">
        <v>102</v>
      </c>
      <c r="BD13" s="71"/>
    </row>
    <row r="14" spans="1:60" x14ac:dyDescent="0.25">
      <c r="A14" s="24">
        <f>IF(B14="","",SUBTOTAL(3,$B$4:B14))</f>
        <v>10</v>
      </c>
      <c r="B14" s="25" t="s">
        <v>77</v>
      </c>
      <c r="C14" s="25" t="str">
        <f t="shared" si="12"/>
        <v>Shipment 1 400</v>
      </c>
      <c r="D14" s="25" t="s">
        <v>76</v>
      </c>
      <c r="E14" s="25">
        <v>400</v>
      </c>
      <c r="F14" s="25"/>
      <c r="G14" s="65">
        <v>45990</v>
      </c>
      <c r="H14" s="25" t="s">
        <v>1257</v>
      </c>
      <c r="I14" s="25" t="s">
        <v>1253</v>
      </c>
      <c r="J14" s="26" t="s">
        <v>1302</v>
      </c>
      <c r="K14" s="27" t="s">
        <v>103</v>
      </c>
      <c r="L14" s="28" t="s">
        <v>104</v>
      </c>
      <c r="M14" s="28" t="s">
        <v>92</v>
      </c>
      <c r="N14" s="25">
        <v>1</v>
      </c>
      <c r="O14" s="29">
        <v>410.9</v>
      </c>
      <c r="P14" s="29">
        <v>410.9</v>
      </c>
      <c r="Q14" s="25" t="s">
        <v>424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4"/>
        <v>410.9</v>
      </c>
      <c r="AF14" s="32">
        <f t="shared" si="15"/>
        <v>0</v>
      </c>
      <c r="AG14" s="30"/>
      <c r="AH14" s="33">
        <v>1</v>
      </c>
      <c r="AI14" s="34">
        <f t="shared" si="16"/>
        <v>410.9</v>
      </c>
      <c r="AJ14" s="35">
        <v>46039</v>
      </c>
      <c r="AK14" s="30">
        <v>1</v>
      </c>
      <c r="AL14" s="36">
        <f t="shared" si="17"/>
        <v>410.9</v>
      </c>
      <c r="AM14" s="35">
        <v>46043</v>
      </c>
      <c r="AN14" s="30">
        <v>1</v>
      </c>
      <c r="AO14" s="36">
        <f t="shared" si="18"/>
        <v>410.9</v>
      </c>
      <c r="AP14" s="35">
        <v>46164</v>
      </c>
      <c r="AQ14" s="30">
        <v>1</v>
      </c>
      <c r="AR14" s="36">
        <f t="shared" si="19"/>
        <v>410.9</v>
      </c>
      <c r="AS14" s="27" t="s">
        <v>1282</v>
      </c>
      <c r="AT14" s="37">
        <v>46176</v>
      </c>
      <c r="AU14" s="30">
        <v>1</v>
      </c>
      <c r="AV14" s="36">
        <f t="shared" si="20"/>
        <v>410.9</v>
      </c>
      <c r="AW14" s="35">
        <v>46178</v>
      </c>
      <c r="AX14" s="30">
        <v>1</v>
      </c>
      <c r="AY14" s="32">
        <f t="shared" si="22"/>
        <v>410.9</v>
      </c>
      <c r="AZ14" s="30" t="s">
        <v>85</v>
      </c>
      <c r="BA14" s="63" t="s">
        <v>1283</v>
      </c>
      <c r="BB14" s="71"/>
      <c r="BC14" s="71" t="s">
        <v>104</v>
      </c>
      <c r="BD14" s="71"/>
    </row>
    <row r="15" spans="1:60" x14ac:dyDescent="0.25">
      <c r="A15" s="24">
        <f>IF(B15="","",SUBTOTAL(3,$B$4:B15))</f>
        <v>11</v>
      </c>
      <c r="B15" s="25" t="s">
        <v>77</v>
      </c>
      <c r="C15" s="25" t="str">
        <f t="shared" si="12"/>
        <v>Shipment 1 400</v>
      </c>
      <c r="D15" s="25" t="s">
        <v>76</v>
      </c>
      <c r="E15" s="25">
        <v>400</v>
      </c>
      <c r="F15" s="25"/>
      <c r="G15" s="65">
        <v>45990</v>
      </c>
      <c r="H15" s="25" t="s">
        <v>1257</v>
      </c>
      <c r="I15" s="25" t="s">
        <v>1253</v>
      </c>
      <c r="J15" s="26" t="s">
        <v>1302</v>
      </c>
      <c r="K15" s="27" t="s">
        <v>105</v>
      </c>
      <c r="L15" s="28" t="s">
        <v>106</v>
      </c>
      <c r="M15" s="28" t="s">
        <v>92</v>
      </c>
      <c r="N15" s="25">
        <v>1</v>
      </c>
      <c r="O15" s="29">
        <v>580.29999999999995</v>
      </c>
      <c r="P15" s="29">
        <v>580.29999999999995</v>
      </c>
      <c r="Q15" s="25" t="s">
        <v>425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4"/>
        <v>580.29999999999995</v>
      </c>
      <c r="AF15" s="32">
        <f t="shared" si="15"/>
        <v>0</v>
      </c>
      <c r="AG15" s="30"/>
      <c r="AH15" s="33">
        <v>1</v>
      </c>
      <c r="AI15" s="34">
        <f t="shared" si="16"/>
        <v>580.29999999999995</v>
      </c>
      <c r="AJ15" s="35">
        <v>46039</v>
      </c>
      <c r="AK15" s="30">
        <v>1</v>
      </c>
      <c r="AL15" s="36">
        <f t="shared" si="17"/>
        <v>580.29999999999995</v>
      </c>
      <c r="AM15" s="35">
        <v>46043</v>
      </c>
      <c r="AN15" s="30">
        <v>1</v>
      </c>
      <c r="AO15" s="36">
        <f t="shared" si="18"/>
        <v>580.29999999999995</v>
      </c>
      <c r="AP15" s="35">
        <v>46164</v>
      </c>
      <c r="AQ15" s="30">
        <v>1</v>
      </c>
      <c r="AR15" s="36">
        <f t="shared" si="19"/>
        <v>580.29999999999995</v>
      </c>
      <c r="AS15" s="27" t="s">
        <v>1283</v>
      </c>
      <c r="AT15" s="37">
        <v>46179</v>
      </c>
      <c r="AU15" s="30">
        <v>1</v>
      </c>
      <c r="AV15" s="36">
        <f t="shared" si="20"/>
        <v>580.29999999999995</v>
      </c>
      <c r="AW15" s="35">
        <v>46190</v>
      </c>
      <c r="AX15" s="30">
        <v>1</v>
      </c>
      <c r="AY15" s="32">
        <f t="shared" si="22"/>
        <v>580.29999999999995</v>
      </c>
      <c r="AZ15" s="30" t="s">
        <v>85</v>
      </c>
      <c r="BA15" s="63" t="s">
        <v>1284</v>
      </c>
      <c r="BB15" s="71"/>
      <c r="BC15" s="71" t="s">
        <v>106</v>
      </c>
      <c r="BD15" s="71"/>
    </row>
    <row r="16" spans="1:60" x14ac:dyDescent="0.25">
      <c r="A16" s="24">
        <f>IF(B16="","",SUBTOTAL(3,$B$4:B16))</f>
        <v>12</v>
      </c>
      <c r="B16" s="25" t="s">
        <v>77</v>
      </c>
      <c r="C16" s="25" t="str">
        <f t="shared" si="12"/>
        <v>Shipment 1 400</v>
      </c>
      <c r="D16" s="25" t="s">
        <v>76</v>
      </c>
      <c r="E16" s="25">
        <v>400</v>
      </c>
      <c r="F16" s="25"/>
      <c r="G16" s="65">
        <v>45990</v>
      </c>
      <c r="H16" s="25" t="s">
        <v>1257</v>
      </c>
      <c r="I16" s="25" t="s">
        <v>1253</v>
      </c>
      <c r="J16" s="26" t="s">
        <v>1302</v>
      </c>
      <c r="K16" s="27" t="s">
        <v>107</v>
      </c>
      <c r="L16" s="28" t="s">
        <v>108</v>
      </c>
      <c r="M16" s="28" t="s">
        <v>92</v>
      </c>
      <c r="N16" s="25">
        <v>1</v>
      </c>
      <c r="O16" s="29">
        <v>384.5</v>
      </c>
      <c r="P16" s="29">
        <v>384.5</v>
      </c>
      <c r="Q16" s="25" t="s">
        <v>421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4"/>
        <v>384.5</v>
      </c>
      <c r="AF16" s="32">
        <f t="shared" si="15"/>
        <v>0</v>
      </c>
      <c r="AG16" s="30"/>
      <c r="AH16" s="33">
        <v>1</v>
      </c>
      <c r="AI16" s="34">
        <f t="shared" si="16"/>
        <v>384.5</v>
      </c>
      <c r="AJ16" s="35">
        <v>46039</v>
      </c>
      <c r="AK16" s="30">
        <v>1</v>
      </c>
      <c r="AL16" s="36">
        <f t="shared" si="17"/>
        <v>384.5</v>
      </c>
      <c r="AM16" s="35">
        <v>46043</v>
      </c>
      <c r="AN16" s="30">
        <v>1</v>
      </c>
      <c r="AO16" s="36">
        <f t="shared" si="18"/>
        <v>384.5</v>
      </c>
      <c r="AP16" s="35">
        <v>46164</v>
      </c>
      <c r="AQ16" s="30">
        <v>1</v>
      </c>
      <c r="AR16" s="36">
        <f t="shared" si="19"/>
        <v>384.5</v>
      </c>
      <c r="AS16" s="27" t="s">
        <v>1282</v>
      </c>
      <c r="AT16" s="37">
        <v>46176</v>
      </c>
      <c r="AU16" s="30">
        <v>1</v>
      </c>
      <c r="AV16" s="36">
        <f t="shared" si="20"/>
        <v>384.5</v>
      </c>
      <c r="AW16" s="35">
        <v>46178</v>
      </c>
      <c r="AX16" s="30">
        <v>1</v>
      </c>
      <c r="AY16" s="32">
        <f t="shared" si="22"/>
        <v>384.5</v>
      </c>
      <c r="AZ16" s="30" t="s">
        <v>85</v>
      </c>
      <c r="BA16" s="63" t="s">
        <v>1283</v>
      </c>
      <c r="BB16" s="71"/>
      <c r="BC16" s="71" t="s">
        <v>108</v>
      </c>
      <c r="BD16" s="71"/>
    </row>
    <row r="17" spans="1:56" x14ac:dyDescent="0.25">
      <c r="A17" s="24">
        <f>IF(B17="","",SUBTOTAL(3,$B$4:B17))</f>
        <v>13</v>
      </c>
      <c r="B17" s="25" t="s">
        <v>77</v>
      </c>
      <c r="C17" s="25" t="str">
        <f t="shared" si="12"/>
        <v>Shipment 1 400</v>
      </c>
      <c r="D17" s="25" t="s">
        <v>76</v>
      </c>
      <c r="E17" s="25">
        <v>400</v>
      </c>
      <c r="F17" s="25"/>
      <c r="G17" s="65">
        <v>45990</v>
      </c>
      <c r="H17" s="25" t="s">
        <v>1257</v>
      </c>
      <c r="I17" s="25" t="s">
        <v>1253</v>
      </c>
      <c r="J17" s="26" t="s">
        <v>1302</v>
      </c>
      <c r="K17" s="27" t="s">
        <v>109</v>
      </c>
      <c r="L17" s="28" t="s">
        <v>110</v>
      </c>
      <c r="M17" s="28" t="s">
        <v>92</v>
      </c>
      <c r="N17" s="25">
        <v>1</v>
      </c>
      <c r="O17" s="29">
        <v>784.48</v>
      </c>
      <c r="P17" s="29">
        <v>784.48</v>
      </c>
      <c r="Q17" s="25" t="s">
        <v>426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ref="AE17:AE80" si="23">+AL17*0.5+AO17*0.4+AV17*0.1</f>
        <v>784.48</v>
      </c>
      <c r="AF17" s="32">
        <f t="shared" ref="AF17:AF80" si="24">+P17-AE17</f>
        <v>0</v>
      </c>
      <c r="AG17" s="30"/>
      <c r="AH17" s="33">
        <v>1</v>
      </c>
      <c r="AI17" s="34">
        <f t="shared" ref="AI17:AI80" si="25">+AH17*P17</f>
        <v>784.48</v>
      </c>
      <c r="AJ17" s="35">
        <v>46039</v>
      </c>
      <c r="AK17" s="30">
        <v>1</v>
      </c>
      <c r="AL17" s="36">
        <f t="shared" ref="AL17:AL76" si="26">IFERROR(AK17*$P17/$N17,0)</f>
        <v>784.48</v>
      </c>
      <c r="AM17" s="35">
        <v>46043</v>
      </c>
      <c r="AN17" s="30">
        <v>1</v>
      </c>
      <c r="AO17" s="36">
        <f t="shared" ref="AO17:AO76" si="27">IFERROR(AN17*$P17/$N17,0)</f>
        <v>784.48</v>
      </c>
      <c r="AP17" s="35">
        <v>46164</v>
      </c>
      <c r="AQ17" s="30">
        <v>1</v>
      </c>
      <c r="AR17" s="36">
        <f t="shared" ref="AR17:AR80" si="28">IFERROR(AQ17*$P17/$N17,0)</f>
        <v>784.48</v>
      </c>
      <c r="AS17" s="27" t="s">
        <v>1283</v>
      </c>
      <c r="AT17" s="37">
        <v>46179</v>
      </c>
      <c r="AU17" s="30">
        <v>1</v>
      </c>
      <c r="AV17" s="36">
        <f t="shared" ref="AV17:AV80" si="29">IFERROR(AU17*$P17/$N17,0)</f>
        <v>784.48</v>
      </c>
      <c r="AW17" s="35">
        <v>46190</v>
      </c>
      <c r="AX17" s="30">
        <v>1</v>
      </c>
      <c r="AY17" s="32">
        <f t="shared" si="22"/>
        <v>784.48</v>
      </c>
      <c r="AZ17" s="30" t="s">
        <v>85</v>
      </c>
      <c r="BA17" s="63" t="s">
        <v>1284</v>
      </c>
      <c r="BB17" s="71"/>
      <c r="BC17" s="71" t="s">
        <v>110</v>
      </c>
      <c r="BD17" s="71"/>
    </row>
    <row r="18" spans="1:56" x14ac:dyDescent="0.25">
      <c r="A18" s="24">
        <f>IF(B18="","",SUBTOTAL(3,$B$4:B18))</f>
        <v>14</v>
      </c>
      <c r="B18" s="25" t="s">
        <v>77</v>
      </c>
      <c r="C18" s="25" t="str">
        <f t="shared" si="12"/>
        <v>Shipment 1 400</v>
      </c>
      <c r="D18" s="25" t="s">
        <v>76</v>
      </c>
      <c r="E18" s="25">
        <v>400</v>
      </c>
      <c r="F18" s="25"/>
      <c r="G18" s="65">
        <v>45990</v>
      </c>
      <c r="H18" s="25" t="s">
        <v>1257</v>
      </c>
      <c r="I18" s="25" t="s">
        <v>1253</v>
      </c>
      <c r="J18" s="26" t="s">
        <v>1302</v>
      </c>
      <c r="K18" s="27" t="s">
        <v>111</v>
      </c>
      <c r="L18" s="28" t="s">
        <v>112</v>
      </c>
      <c r="M18" s="28" t="s">
        <v>92</v>
      </c>
      <c r="N18" s="25">
        <v>1</v>
      </c>
      <c r="O18" s="29">
        <v>672.87</v>
      </c>
      <c r="P18" s="29">
        <v>672.87</v>
      </c>
      <c r="Q18" s="25" t="s">
        <v>427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23"/>
        <v>672.87000000000012</v>
      </c>
      <c r="AF18" s="32">
        <f t="shared" si="24"/>
        <v>0</v>
      </c>
      <c r="AG18" s="30"/>
      <c r="AH18" s="33">
        <v>1</v>
      </c>
      <c r="AI18" s="34">
        <f t="shared" si="25"/>
        <v>672.87</v>
      </c>
      <c r="AJ18" s="35">
        <v>46039</v>
      </c>
      <c r="AK18" s="30">
        <v>1</v>
      </c>
      <c r="AL18" s="36">
        <f t="shared" si="26"/>
        <v>672.87</v>
      </c>
      <c r="AM18" s="35">
        <v>46043</v>
      </c>
      <c r="AN18" s="30">
        <v>1</v>
      </c>
      <c r="AO18" s="36">
        <f t="shared" si="27"/>
        <v>672.87</v>
      </c>
      <c r="AP18" s="35">
        <v>46164</v>
      </c>
      <c r="AQ18" s="30">
        <v>1</v>
      </c>
      <c r="AR18" s="36">
        <f t="shared" si="28"/>
        <v>672.87</v>
      </c>
      <c r="AS18" s="27" t="s">
        <v>1283</v>
      </c>
      <c r="AT18" s="37">
        <v>46179</v>
      </c>
      <c r="AU18" s="30">
        <v>1</v>
      </c>
      <c r="AV18" s="36">
        <f t="shared" si="29"/>
        <v>672.87</v>
      </c>
      <c r="AW18" s="35">
        <v>46190</v>
      </c>
      <c r="AX18" s="30">
        <v>1</v>
      </c>
      <c r="AY18" s="32">
        <f t="shared" si="22"/>
        <v>672.87</v>
      </c>
      <c r="AZ18" s="30" t="s">
        <v>85</v>
      </c>
      <c r="BA18" s="63" t="s">
        <v>1284</v>
      </c>
      <c r="BB18" s="71"/>
      <c r="BC18" s="71" t="s">
        <v>112</v>
      </c>
      <c r="BD18" s="71"/>
    </row>
    <row r="19" spans="1:56" x14ac:dyDescent="0.25">
      <c r="A19" s="24">
        <f>IF(B19="","",SUBTOTAL(3,$B$4:B19))</f>
        <v>15</v>
      </c>
      <c r="B19" s="25" t="s">
        <v>77</v>
      </c>
      <c r="C19" s="25" t="str">
        <f t="shared" si="12"/>
        <v>Shipment 1 400</v>
      </c>
      <c r="D19" s="25" t="s">
        <v>76</v>
      </c>
      <c r="E19" s="25">
        <v>400</v>
      </c>
      <c r="F19" s="25"/>
      <c r="G19" s="65">
        <v>45990</v>
      </c>
      <c r="H19" s="25" t="s">
        <v>1257</v>
      </c>
      <c r="I19" s="25" t="s">
        <v>1253</v>
      </c>
      <c r="J19" s="26" t="s">
        <v>1302</v>
      </c>
      <c r="K19" s="27" t="s">
        <v>113</v>
      </c>
      <c r="L19" s="28" t="s">
        <v>114</v>
      </c>
      <c r="M19" s="28" t="s">
        <v>92</v>
      </c>
      <c r="N19" s="25">
        <v>1</v>
      </c>
      <c r="O19" s="29">
        <v>672.87</v>
      </c>
      <c r="P19" s="29">
        <v>672.87</v>
      </c>
      <c r="Q19" s="25" t="s">
        <v>427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23"/>
        <v>672.87000000000012</v>
      </c>
      <c r="AF19" s="32">
        <f t="shared" si="24"/>
        <v>0</v>
      </c>
      <c r="AG19" s="30"/>
      <c r="AH19" s="33">
        <v>1</v>
      </c>
      <c r="AI19" s="34">
        <f t="shared" si="25"/>
        <v>672.87</v>
      </c>
      <c r="AJ19" s="35">
        <v>46039</v>
      </c>
      <c r="AK19" s="30">
        <v>1</v>
      </c>
      <c r="AL19" s="36">
        <f t="shared" si="26"/>
        <v>672.87</v>
      </c>
      <c r="AM19" s="35">
        <v>46043</v>
      </c>
      <c r="AN19" s="30">
        <v>1</v>
      </c>
      <c r="AO19" s="36">
        <f t="shared" si="27"/>
        <v>672.87</v>
      </c>
      <c r="AP19" s="35">
        <v>46164</v>
      </c>
      <c r="AQ19" s="30">
        <v>1</v>
      </c>
      <c r="AR19" s="36">
        <f t="shared" si="28"/>
        <v>672.87</v>
      </c>
      <c r="AS19" s="27" t="s">
        <v>1283</v>
      </c>
      <c r="AT19" s="37">
        <v>46179</v>
      </c>
      <c r="AU19" s="30">
        <v>1</v>
      </c>
      <c r="AV19" s="36">
        <f t="shared" si="29"/>
        <v>672.87</v>
      </c>
      <c r="AW19" s="35">
        <v>46190</v>
      </c>
      <c r="AX19" s="30">
        <v>1</v>
      </c>
      <c r="AY19" s="32">
        <f t="shared" si="22"/>
        <v>672.87</v>
      </c>
      <c r="AZ19" s="30" t="s">
        <v>85</v>
      </c>
      <c r="BA19" s="63" t="s">
        <v>1284</v>
      </c>
      <c r="BB19" s="71"/>
      <c r="BC19" s="71" t="s">
        <v>114</v>
      </c>
      <c r="BD19" s="71"/>
    </row>
    <row r="20" spans="1:56" x14ac:dyDescent="0.25">
      <c r="A20" s="24">
        <f>IF(B20="","",SUBTOTAL(3,$B$4:B20))</f>
        <v>16</v>
      </c>
      <c r="B20" s="25" t="s">
        <v>77</v>
      </c>
      <c r="C20" s="25" t="str">
        <f t="shared" si="12"/>
        <v>Shipment 1 400</v>
      </c>
      <c r="D20" s="25" t="s">
        <v>76</v>
      </c>
      <c r="E20" s="25">
        <v>400</v>
      </c>
      <c r="F20" s="25"/>
      <c r="G20" s="65">
        <v>45990</v>
      </c>
      <c r="H20" s="25" t="s">
        <v>1257</v>
      </c>
      <c r="I20" s="25" t="s">
        <v>1253</v>
      </c>
      <c r="J20" s="26" t="s">
        <v>1302</v>
      </c>
      <c r="K20" s="27" t="s">
        <v>115</v>
      </c>
      <c r="L20" s="28" t="s">
        <v>116</v>
      </c>
      <c r="M20" s="28" t="s">
        <v>92</v>
      </c>
      <c r="N20" s="25">
        <v>1</v>
      </c>
      <c r="O20" s="29">
        <v>499.4</v>
      </c>
      <c r="P20" s="29">
        <v>499.4</v>
      </c>
      <c r="Q20" s="25" t="s">
        <v>428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23"/>
        <v>499.4</v>
      </c>
      <c r="AF20" s="32">
        <f t="shared" si="24"/>
        <v>0</v>
      </c>
      <c r="AG20" s="30"/>
      <c r="AH20" s="33">
        <v>1</v>
      </c>
      <c r="AI20" s="34">
        <f t="shared" si="25"/>
        <v>499.4</v>
      </c>
      <c r="AJ20" s="35">
        <v>45988</v>
      </c>
      <c r="AK20" s="30">
        <v>1</v>
      </c>
      <c r="AL20" s="36">
        <f t="shared" si="26"/>
        <v>499.4</v>
      </c>
      <c r="AM20" s="35">
        <v>46043</v>
      </c>
      <c r="AN20" s="30">
        <v>1</v>
      </c>
      <c r="AO20" s="36">
        <f t="shared" si="27"/>
        <v>499.4</v>
      </c>
      <c r="AP20" s="35">
        <v>46164</v>
      </c>
      <c r="AQ20" s="30">
        <v>1</v>
      </c>
      <c r="AR20" s="36">
        <f t="shared" si="28"/>
        <v>499.4</v>
      </c>
      <c r="AS20" s="27" t="s">
        <v>1283</v>
      </c>
      <c r="AT20" s="37">
        <v>46179</v>
      </c>
      <c r="AU20" s="30">
        <v>1</v>
      </c>
      <c r="AV20" s="36">
        <f t="shared" si="29"/>
        <v>499.4</v>
      </c>
      <c r="AW20" s="35">
        <v>46190</v>
      </c>
      <c r="AX20" s="30">
        <v>1</v>
      </c>
      <c r="AY20" s="32">
        <f t="shared" si="22"/>
        <v>499.4</v>
      </c>
      <c r="AZ20" s="30" t="s">
        <v>85</v>
      </c>
      <c r="BA20" s="63" t="s">
        <v>1284</v>
      </c>
      <c r="BB20" s="71"/>
      <c r="BC20" s="71" t="s">
        <v>116</v>
      </c>
      <c r="BD20" s="71"/>
    </row>
    <row r="21" spans="1:56" x14ac:dyDescent="0.25">
      <c r="A21" s="24">
        <f>IF(B21="","",SUBTOTAL(3,$B$4:B21))</f>
        <v>17</v>
      </c>
      <c r="B21" s="25" t="s">
        <v>77</v>
      </c>
      <c r="C21" s="25" t="str">
        <f t="shared" si="12"/>
        <v>Shipment 1 400</v>
      </c>
      <c r="D21" s="25" t="s">
        <v>76</v>
      </c>
      <c r="E21" s="25">
        <v>400</v>
      </c>
      <c r="F21" s="25"/>
      <c r="G21" s="65">
        <v>45990</v>
      </c>
      <c r="H21" s="25" t="s">
        <v>1257</v>
      </c>
      <c r="I21" s="25" t="s">
        <v>1253</v>
      </c>
      <c r="J21" s="26" t="s">
        <v>1302</v>
      </c>
      <c r="K21" s="27" t="s">
        <v>117</v>
      </c>
      <c r="L21" s="28" t="s">
        <v>118</v>
      </c>
      <c r="M21" s="28" t="s">
        <v>92</v>
      </c>
      <c r="N21" s="25">
        <v>1</v>
      </c>
      <c r="O21" s="29">
        <v>493.3</v>
      </c>
      <c r="P21" s="29">
        <v>493.3</v>
      </c>
      <c r="Q21" s="25" t="s">
        <v>429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23"/>
        <v>493.3</v>
      </c>
      <c r="AF21" s="32">
        <f t="shared" si="24"/>
        <v>0</v>
      </c>
      <c r="AG21" s="30"/>
      <c r="AH21" s="33">
        <v>1</v>
      </c>
      <c r="AI21" s="34">
        <f t="shared" si="25"/>
        <v>493.3</v>
      </c>
      <c r="AJ21" s="35">
        <v>45988</v>
      </c>
      <c r="AK21" s="30">
        <v>1</v>
      </c>
      <c r="AL21" s="36">
        <f t="shared" si="26"/>
        <v>493.3</v>
      </c>
      <c r="AM21" s="35">
        <v>46043</v>
      </c>
      <c r="AN21" s="30">
        <v>1</v>
      </c>
      <c r="AO21" s="36">
        <f t="shared" si="27"/>
        <v>493.3</v>
      </c>
      <c r="AP21" s="35">
        <v>46164</v>
      </c>
      <c r="AQ21" s="30">
        <v>1</v>
      </c>
      <c r="AR21" s="36">
        <f t="shared" si="28"/>
        <v>493.3</v>
      </c>
      <c r="AS21" s="27" t="s">
        <v>1283</v>
      </c>
      <c r="AT21" s="37">
        <v>46179</v>
      </c>
      <c r="AU21" s="30">
        <v>1</v>
      </c>
      <c r="AV21" s="36">
        <f t="shared" si="29"/>
        <v>493.3</v>
      </c>
      <c r="AW21" s="35">
        <v>46190</v>
      </c>
      <c r="AX21" s="30">
        <v>1</v>
      </c>
      <c r="AY21" s="32">
        <f t="shared" si="22"/>
        <v>493.3</v>
      </c>
      <c r="AZ21" s="30" t="s">
        <v>85</v>
      </c>
      <c r="BA21" s="63" t="s">
        <v>1284</v>
      </c>
      <c r="BB21" s="71"/>
      <c r="BC21" s="71" t="s">
        <v>118</v>
      </c>
      <c r="BD21" s="71"/>
    </row>
    <row r="22" spans="1:56" x14ac:dyDescent="0.25">
      <c r="A22" s="24">
        <f>IF(B22="","",SUBTOTAL(3,$B$4:B22))</f>
        <v>18</v>
      </c>
      <c r="B22" s="25" t="s">
        <v>77</v>
      </c>
      <c r="C22" s="25" t="str">
        <f t="shared" si="12"/>
        <v>Shipment 1 400</v>
      </c>
      <c r="D22" s="25" t="s">
        <v>76</v>
      </c>
      <c r="E22" s="25">
        <v>400</v>
      </c>
      <c r="F22" s="25"/>
      <c r="G22" s="65">
        <v>45990</v>
      </c>
      <c r="H22" s="25" t="s">
        <v>1257</v>
      </c>
      <c r="I22" s="25" t="s">
        <v>1253</v>
      </c>
      <c r="J22" s="26" t="s">
        <v>1302</v>
      </c>
      <c r="K22" s="27" t="s">
        <v>119</v>
      </c>
      <c r="L22" s="28" t="s">
        <v>120</v>
      </c>
      <c r="M22" s="28" t="s">
        <v>92</v>
      </c>
      <c r="N22" s="25">
        <v>1</v>
      </c>
      <c r="O22" s="29">
        <v>373.1</v>
      </c>
      <c r="P22" s="29">
        <v>373.1</v>
      </c>
      <c r="Q22" s="25" t="s">
        <v>422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23"/>
        <v>373.1</v>
      </c>
      <c r="AF22" s="32">
        <f t="shared" si="24"/>
        <v>0</v>
      </c>
      <c r="AG22" s="30"/>
      <c r="AH22" s="33">
        <v>1</v>
      </c>
      <c r="AI22" s="34">
        <f t="shared" si="25"/>
        <v>373.1</v>
      </c>
      <c r="AJ22" s="35">
        <v>46043</v>
      </c>
      <c r="AK22" s="30">
        <v>1</v>
      </c>
      <c r="AL22" s="36">
        <f t="shared" si="26"/>
        <v>373.1</v>
      </c>
      <c r="AM22" s="35">
        <v>46052</v>
      </c>
      <c r="AN22" s="30">
        <v>1</v>
      </c>
      <c r="AO22" s="36">
        <f t="shared" si="27"/>
        <v>373.1</v>
      </c>
      <c r="AP22" s="35">
        <v>46164</v>
      </c>
      <c r="AQ22" s="30">
        <v>1</v>
      </c>
      <c r="AR22" s="36">
        <f t="shared" si="28"/>
        <v>373.1</v>
      </c>
      <c r="AS22" s="27" t="s">
        <v>1283</v>
      </c>
      <c r="AT22" s="37">
        <v>46179</v>
      </c>
      <c r="AU22" s="30">
        <v>1</v>
      </c>
      <c r="AV22" s="36">
        <f t="shared" si="29"/>
        <v>373.1</v>
      </c>
      <c r="AW22" s="35">
        <v>46190</v>
      </c>
      <c r="AX22" s="30">
        <v>1</v>
      </c>
      <c r="AY22" s="32">
        <f t="shared" si="22"/>
        <v>373.1</v>
      </c>
      <c r="AZ22" s="30" t="s">
        <v>85</v>
      </c>
      <c r="BA22" s="63" t="s">
        <v>1284</v>
      </c>
      <c r="BB22" s="71"/>
      <c r="BC22" s="71" t="s">
        <v>120</v>
      </c>
      <c r="BD22" s="71"/>
    </row>
    <row r="23" spans="1:56" x14ac:dyDescent="0.25">
      <c r="A23" s="24">
        <f>IF(B23="","",SUBTOTAL(3,$B$4:B23))</f>
        <v>19</v>
      </c>
      <c r="B23" s="25" t="s">
        <v>77</v>
      </c>
      <c r="C23" s="25" t="str">
        <f t="shared" si="12"/>
        <v>Shipment 1 400</v>
      </c>
      <c r="D23" s="25" t="s">
        <v>76</v>
      </c>
      <c r="E23" s="25">
        <v>400</v>
      </c>
      <c r="F23" s="25"/>
      <c r="G23" s="65">
        <v>45990</v>
      </c>
      <c r="H23" s="25" t="s">
        <v>1257</v>
      </c>
      <c r="I23" s="25" t="s">
        <v>1253</v>
      </c>
      <c r="J23" s="26" t="s">
        <v>1302</v>
      </c>
      <c r="K23" s="27" t="s">
        <v>121</v>
      </c>
      <c r="L23" s="28" t="s">
        <v>122</v>
      </c>
      <c r="M23" s="28" t="s">
        <v>92</v>
      </c>
      <c r="N23" s="25">
        <v>1</v>
      </c>
      <c r="O23" s="29">
        <v>9.6999999999999993</v>
      </c>
      <c r="P23" s="29">
        <v>9.6999999999999993</v>
      </c>
      <c r="Q23" s="25" t="s">
        <v>430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23"/>
        <v>9.7000000000000011</v>
      </c>
      <c r="AF23" s="32">
        <f t="shared" si="24"/>
        <v>0</v>
      </c>
      <c r="AG23" s="30"/>
      <c r="AH23" s="33">
        <v>1</v>
      </c>
      <c r="AI23" s="34">
        <f t="shared" si="25"/>
        <v>9.6999999999999993</v>
      </c>
      <c r="AJ23" s="35">
        <v>46045</v>
      </c>
      <c r="AK23" s="30">
        <v>1</v>
      </c>
      <c r="AL23" s="36">
        <f t="shared" si="26"/>
        <v>9.6999999999999993</v>
      </c>
      <c r="AM23" s="35">
        <v>46057</v>
      </c>
      <c r="AN23" s="30">
        <v>1</v>
      </c>
      <c r="AO23" s="36">
        <f t="shared" si="27"/>
        <v>9.6999999999999993</v>
      </c>
      <c r="AP23" s="35">
        <v>46164</v>
      </c>
      <c r="AQ23" s="30">
        <v>1</v>
      </c>
      <c r="AR23" s="36">
        <f t="shared" si="28"/>
        <v>9.6999999999999993</v>
      </c>
      <c r="AS23" s="27" t="s">
        <v>1296</v>
      </c>
      <c r="AT23" s="37">
        <v>46210</v>
      </c>
      <c r="AU23" s="30">
        <v>1</v>
      </c>
      <c r="AV23" s="36">
        <f t="shared" si="29"/>
        <v>9.6999999999999993</v>
      </c>
      <c r="AW23" s="35">
        <v>46214</v>
      </c>
      <c r="AX23" s="30">
        <v>1</v>
      </c>
      <c r="AY23" s="32">
        <f t="shared" ref="AY23:AY76" si="30">IFERROR(AX23*$P23/$N23,0)</f>
        <v>9.6999999999999993</v>
      </c>
      <c r="AZ23" s="30" t="s">
        <v>85</v>
      </c>
      <c r="BA23" s="63" t="s">
        <v>1295</v>
      </c>
      <c r="BB23" s="71"/>
      <c r="BC23" s="71" t="s">
        <v>1311</v>
      </c>
      <c r="BD23" s="71"/>
    </row>
    <row r="24" spans="1:56" x14ac:dyDescent="0.25">
      <c r="A24" s="24">
        <f>IF(B24="","",SUBTOTAL(3,$B$4:B24))</f>
        <v>20</v>
      </c>
      <c r="B24" s="25" t="s">
        <v>77</v>
      </c>
      <c r="C24" s="25" t="str">
        <f t="shared" si="12"/>
        <v>Shipment 1 400</v>
      </c>
      <c r="D24" s="25" t="s">
        <v>76</v>
      </c>
      <c r="E24" s="25">
        <v>400</v>
      </c>
      <c r="F24" s="25"/>
      <c r="G24" s="65">
        <v>45990</v>
      </c>
      <c r="H24" s="25" t="s">
        <v>1257</v>
      </c>
      <c r="I24" s="25" t="s">
        <v>1253</v>
      </c>
      <c r="J24" s="26" t="s">
        <v>1302</v>
      </c>
      <c r="K24" s="27" t="s">
        <v>121</v>
      </c>
      <c r="L24" s="28" t="s">
        <v>123</v>
      </c>
      <c r="M24" s="28" t="s">
        <v>92</v>
      </c>
      <c r="N24" s="25">
        <v>1</v>
      </c>
      <c r="O24" s="29">
        <v>9.6999999999999993</v>
      </c>
      <c r="P24" s="29">
        <v>9.6999999999999993</v>
      </c>
      <c r="Q24" s="25" t="s">
        <v>430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23"/>
        <v>9.7000000000000011</v>
      </c>
      <c r="AF24" s="32">
        <f t="shared" si="24"/>
        <v>0</v>
      </c>
      <c r="AG24" s="30"/>
      <c r="AH24" s="33">
        <v>1</v>
      </c>
      <c r="AI24" s="34">
        <f t="shared" si="25"/>
        <v>9.6999999999999993</v>
      </c>
      <c r="AJ24" s="35">
        <v>46045</v>
      </c>
      <c r="AK24" s="30">
        <v>1</v>
      </c>
      <c r="AL24" s="36">
        <f t="shared" si="26"/>
        <v>9.6999999999999993</v>
      </c>
      <c r="AM24" s="35">
        <v>46057</v>
      </c>
      <c r="AN24" s="30">
        <v>1</v>
      </c>
      <c r="AO24" s="36">
        <f t="shared" si="27"/>
        <v>9.6999999999999993</v>
      </c>
      <c r="AP24" s="35">
        <v>46164</v>
      </c>
      <c r="AQ24" s="30">
        <v>1</v>
      </c>
      <c r="AR24" s="36">
        <f t="shared" si="28"/>
        <v>9.6999999999999993</v>
      </c>
      <c r="AS24" s="27" t="s">
        <v>1296</v>
      </c>
      <c r="AT24" s="37">
        <v>46210</v>
      </c>
      <c r="AU24" s="30">
        <v>1</v>
      </c>
      <c r="AV24" s="36">
        <f t="shared" si="29"/>
        <v>9.6999999999999993</v>
      </c>
      <c r="AW24" s="35">
        <v>46214</v>
      </c>
      <c r="AX24" s="30">
        <v>1</v>
      </c>
      <c r="AY24" s="32">
        <f t="shared" ref="AY24:AY39" si="31">IFERROR(AX24*$P24/$N24,0)</f>
        <v>9.6999999999999993</v>
      </c>
      <c r="AZ24" s="30" t="s">
        <v>85</v>
      </c>
      <c r="BA24" s="63" t="s">
        <v>1295</v>
      </c>
      <c r="BB24" s="71"/>
      <c r="BC24" s="71" t="s">
        <v>1311</v>
      </c>
      <c r="BD24" s="71"/>
    </row>
    <row r="25" spans="1:56" x14ac:dyDescent="0.25">
      <c r="A25" s="24">
        <f>IF(B25="","",SUBTOTAL(3,$B$4:B25))</f>
        <v>21</v>
      </c>
      <c r="B25" s="25" t="s">
        <v>77</v>
      </c>
      <c r="C25" s="25" t="str">
        <f t="shared" si="12"/>
        <v>Shipment 1 400</v>
      </c>
      <c r="D25" s="25" t="s">
        <v>76</v>
      </c>
      <c r="E25" s="25">
        <v>400</v>
      </c>
      <c r="F25" s="25"/>
      <c r="G25" s="65">
        <v>45990</v>
      </c>
      <c r="H25" s="25" t="s">
        <v>1257</v>
      </c>
      <c r="I25" s="25" t="s">
        <v>1253</v>
      </c>
      <c r="J25" s="26" t="s">
        <v>1302</v>
      </c>
      <c r="K25" s="27" t="s">
        <v>124</v>
      </c>
      <c r="L25" s="28" t="s">
        <v>125</v>
      </c>
      <c r="M25" s="28" t="s">
        <v>92</v>
      </c>
      <c r="N25" s="25">
        <v>1</v>
      </c>
      <c r="O25" s="29">
        <v>9.6999999999999993</v>
      </c>
      <c r="P25" s="29">
        <v>9.6999999999999993</v>
      </c>
      <c r="Q25" s="25" t="s">
        <v>430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23"/>
        <v>9.7000000000000011</v>
      </c>
      <c r="AF25" s="32">
        <f t="shared" si="24"/>
        <v>0</v>
      </c>
      <c r="AG25" s="30"/>
      <c r="AH25" s="33">
        <v>1</v>
      </c>
      <c r="AI25" s="34">
        <f t="shared" si="25"/>
        <v>9.6999999999999993</v>
      </c>
      <c r="AJ25" s="35">
        <v>45988</v>
      </c>
      <c r="AK25" s="30">
        <v>1</v>
      </c>
      <c r="AL25" s="36">
        <f t="shared" si="26"/>
        <v>9.6999999999999993</v>
      </c>
      <c r="AM25" s="35">
        <v>46034</v>
      </c>
      <c r="AN25" s="30">
        <v>1</v>
      </c>
      <c r="AO25" s="36">
        <f t="shared" si="27"/>
        <v>9.6999999999999993</v>
      </c>
      <c r="AP25" s="35">
        <v>46164</v>
      </c>
      <c r="AQ25" s="30">
        <v>1</v>
      </c>
      <c r="AR25" s="36">
        <f t="shared" si="28"/>
        <v>9.6999999999999993</v>
      </c>
      <c r="AS25" s="27" t="s">
        <v>1296</v>
      </c>
      <c r="AT25" s="37">
        <v>46210</v>
      </c>
      <c r="AU25" s="30">
        <v>1</v>
      </c>
      <c r="AV25" s="36">
        <f t="shared" si="29"/>
        <v>9.6999999999999993</v>
      </c>
      <c r="AW25" s="35">
        <v>46214</v>
      </c>
      <c r="AX25" s="30">
        <v>1</v>
      </c>
      <c r="AY25" s="32">
        <f t="shared" si="31"/>
        <v>9.6999999999999993</v>
      </c>
      <c r="AZ25" s="30" t="s">
        <v>85</v>
      </c>
      <c r="BA25" s="63" t="s">
        <v>1295</v>
      </c>
      <c r="BB25" s="71"/>
      <c r="BC25" s="71" t="s">
        <v>1312</v>
      </c>
      <c r="BD25" s="71"/>
    </row>
    <row r="26" spans="1:56" x14ac:dyDescent="0.25">
      <c r="A26" s="24">
        <f>IF(B26="","",SUBTOTAL(3,$B$4:B26))</f>
        <v>22</v>
      </c>
      <c r="B26" s="25" t="s">
        <v>77</v>
      </c>
      <c r="C26" s="25" t="str">
        <f t="shared" si="12"/>
        <v>Shipment 1 400</v>
      </c>
      <c r="D26" s="25" t="s">
        <v>76</v>
      </c>
      <c r="E26" s="25">
        <v>400</v>
      </c>
      <c r="F26" s="25"/>
      <c r="G26" s="65">
        <v>45990</v>
      </c>
      <c r="H26" s="25" t="s">
        <v>1257</v>
      </c>
      <c r="I26" s="25" t="s">
        <v>1253</v>
      </c>
      <c r="J26" s="26" t="s">
        <v>1302</v>
      </c>
      <c r="K26" s="27" t="s">
        <v>124</v>
      </c>
      <c r="L26" s="28" t="s">
        <v>126</v>
      </c>
      <c r="M26" s="28" t="s">
        <v>92</v>
      </c>
      <c r="N26" s="25">
        <v>1</v>
      </c>
      <c r="O26" s="29">
        <v>9.6999999999999993</v>
      </c>
      <c r="P26" s="29">
        <v>9.6999999999999993</v>
      </c>
      <c r="Q26" s="25" t="s">
        <v>430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23"/>
        <v>9.7000000000000011</v>
      </c>
      <c r="AF26" s="32">
        <f t="shared" si="24"/>
        <v>0</v>
      </c>
      <c r="AG26" s="30"/>
      <c r="AH26" s="33">
        <v>1</v>
      </c>
      <c r="AI26" s="34">
        <f t="shared" si="25"/>
        <v>9.6999999999999993</v>
      </c>
      <c r="AJ26" s="35">
        <v>45988</v>
      </c>
      <c r="AK26" s="30">
        <v>1</v>
      </c>
      <c r="AL26" s="36">
        <f t="shared" si="26"/>
        <v>9.6999999999999993</v>
      </c>
      <c r="AM26" s="35">
        <v>46034</v>
      </c>
      <c r="AN26" s="30">
        <v>1</v>
      </c>
      <c r="AO26" s="36">
        <f t="shared" si="27"/>
        <v>9.6999999999999993</v>
      </c>
      <c r="AP26" s="35">
        <v>46164</v>
      </c>
      <c r="AQ26" s="30">
        <v>1</v>
      </c>
      <c r="AR26" s="36">
        <f t="shared" si="28"/>
        <v>9.6999999999999993</v>
      </c>
      <c r="AS26" s="27" t="s">
        <v>1296</v>
      </c>
      <c r="AT26" s="37">
        <v>46210</v>
      </c>
      <c r="AU26" s="30">
        <v>1</v>
      </c>
      <c r="AV26" s="36">
        <f t="shared" si="29"/>
        <v>9.6999999999999993</v>
      </c>
      <c r="AW26" s="35">
        <v>46214</v>
      </c>
      <c r="AX26" s="30">
        <v>1</v>
      </c>
      <c r="AY26" s="32">
        <f t="shared" si="31"/>
        <v>9.6999999999999993</v>
      </c>
      <c r="AZ26" s="30" t="s">
        <v>85</v>
      </c>
      <c r="BA26" s="63" t="s">
        <v>1295</v>
      </c>
      <c r="BB26" s="71"/>
      <c r="BC26" s="71" t="s">
        <v>1312</v>
      </c>
      <c r="BD26" s="71"/>
    </row>
    <row r="27" spans="1:56" x14ac:dyDescent="0.25">
      <c r="A27" s="24">
        <f>IF(B27="","",SUBTOTAL(3,$B$4:B27))</f>
        <v>23</v>
      </c>
      <c r="B27" s="25" t="s">
        <v>77</v>
      </c>
      <c r="C27" s="25" t="str">
        <f t="shared" si="12"/>
        <v>Shipment 1 400</v>
      </c>
      <c r="D27" s="25" t="s">
        <v>76</v>
      </c>
      <c r="E27" s="25">
        <v>400</v>
      </c>
      <c r="F27" s="25"/>
      <c r="G27" s="65">
        <v>45990</v>
      </c>
      <c r="H27" s="25" t="s">
        <v>1257</v>
      </c>
      <c r="I27" s="25" t="s">
        <v>1253</v>
      </c>
      <c r="J27" s="26" t="s">
        <v>1302</v>
      </c>
      <c r="K27" s="27" t="s">
        <v>127</v>
      </c>
      <c r="L27" s="28" t="s">
        <v>128</v>
      </c>
      <c r="M27" s="28" t="s">
        <v>92</v>
      </c>
      <c r="N27" s="25">
        <v>24</v>
      </c>
      <c r="O27" s="29">
        <v>8.1999999999999993</v>
      </c>
      <c r="P27" s="29">
        <v>195.7</v>
      </c>
      <c r="Q27" s="25" t="s">
        <v>431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23"/>
        <v>195.69999999999996</v>
      </c>
      <c r="AF27" s="32">
        <f t="shared" si="24"/>
        <v>0</v>
      </c>
      <c r="AG27" s="30"/>
      <c r="AH27" s="33">
        <v>1</v>
      </c>
      <c r="AI27" s="34">
        <f t="shared" si="25"/>
        <v>195.7</v>
      </c>
      <c r="AJ27" s="35">
        <v>45988</v>
      </c>
      <c r="AK27" s="30">
        <v>24</v>
      </c>
      <c r="AL27" s="36">
        <f t="shared" si="26"/>
        <v>195.69999999999996</v>
      </c>
      <c r="AM27" s="35">
        <v>46034</v>
      </c>
      <c r="AN27" s="30">
        <v>24</v>
      </c>
      <c r="AO27" s="36">
        <f t="shared" si="27"/>
        <v>195.69999999999996</v>
      </c>
      <c r="AP27" s="35">
        <v>46164</v>
      </c>
      <c r="AQ27" s="30">
        <v>24</v>
      </c>
      <c r="AR27" s="36">
        <f t="shared" si="28"/>
        <v>195.69999999999996</v>
      </c>
      <c r="AS27" s="27" t="s">
        <v>1296</v>
      </c>
      <c r="AT27" s="37">
        <v>46210</v>
      </c>
      <c r="AU27" s="30">
        <v>24</v>
      </c>
      <c r="AV27" s="36">
        <f t="shared" si="29"/>
        <v>195.69999999999996</v>
      </c>
      <c r="AW27" s="35">
        <v>46214</v>
      </c>
      <c r="AX27" s="30">
        <v>24</v>
      </c>
      <c r="AY27" s="32">
        <f t="shared" si="31"/>
        <v>195.69999999999996</v>
      </c>
      <c r="AZ27" s="30" t="s">
        <v>85</v>
      </c>
      <c r="BA27" s="63" t="s">
        <v>1295</v>
      </c>
      <c r="BB27" s="71"/>
      <c r="BC27" s="71" t="s">
        <v>128</v>
      </c>
      <c r="BD27" s="71"/>
    </row>
    <row r="28" spans="1:56" x14ac:dyDescent="0.25">
      <c r="A28" s="24">
        <f>IF(B28="","",SUBTOTAL(3,$B$4:B28))</f>
        <v>24</v>
      </c>
      <c r="B28" s="25" t="s">
        <v>77</v>
      </c>
      <c r="C28" s="25" t="str">
        <f t="shared" si="12"/>
        <v>Shipment 1 400</v>
      </c>
      <c r="D28" s="25" t="s">
        <v>76</v>
      </c>
      <c r="E28" s="25">
        <v>400</v>
      </c>
      <c r="F28" s="25"/>
      <c r="G28" s="65">
        <v>45990</v>
      </c>
      <c r="H28" s="25" t="s">
        <v>1257</v>
      </c>
      <c r="I28" s="25" t="s">
        <v>1253</v>
      </c>
      <c r="J28" s="26" t="s">
        <v>1302</v>
      </c>
      <c r="K28" s="27" t="s">
        <v>129</v>
      </c>
      <c r="L28" s="28" t="s">
        <v>130</v>
      </c>
      <c r="M28" s="28" t="s">
        <v>92</v>
      </c>
      <c r="N28" s="25">
        <v>1</v>
      </c>
      <c r="O28" s="29">
        <v>8.6</v>
      </c>
      <c r="P28" s="29">
        <v>8.6</v>
      </c>
      <c r="Q28" s="25" t="s">
        <v>432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23"/>
        <v>8.6</v>
      </c>
      <c r="AF28" s="32">
        <f t="shared" si="24"/>
        <v>0</v>
      </c>
      <c r="AG28" s="30"/>
      <c r="AH28" s="33">
        <v>1</v>
      </c>
      <c r="AI28" s="34">
        <f t="shared" si="25"/>
        <v>8.6</v>
      </c>
      <c r="AJ28" s="35">
        <v>45988</v>
      </c>
      <c r="AK28" s="30">
        <v>1</v>
      </c>
      <c r="AL28" s="36">
        <f t="shared" si="26"/>
        <v>8.6</v>
      </c>
      <c r="AM28" s="35">
        <v>46034</v>
      </c>
      <c r="AN28" s="30">
        <v>1</v>
      </c>
      <c r="AO28" s="36">
        <f t="shared" si="27"/>
        <v>8.6</v>
      </c>
      <c r="AP28" s="35">
        <v>46164</v>
      </c>
      <c r="AQ28" s="30">
        <v>1</v>
      </c>
      <c r="AR28" s="36">
        <f t="shared" si="28"/>
        <v>8.6</v>
      </c>
      <c r="AS28" s="27" t="s">
        <v>1296</v>
      </c>
      <c r="AT28" s="37">
        <v>46210</v>
      </c>
      <c r="AU28" s="30">
        <v>1</v>
      </c>
      <c r="AV28" s="36">
        <f t="shared" si="29"/>
        <v>8.6</v>
      </c>
      <c r="AW28" s="35">
        <v>46214</v>
      </c>
      <c r="AX28" s="30">
        <v>1</v>
      </c>
      <c r="AY28" s="32">
        <f t="shared" si="31"/>
        <v>8.6</v>
      </c>
      <c r="AZ28" s="30" t="s">
        <v>85</v>
      </c>
      <c r="BA28" s="63" t="s">
        <v>1295</v>
      </c>
      <c r="BB28" s="71"/>
      <c r="BC28" s="71" t="s">
        <v>1313</v>
      </c>
      <c r="BD28" s="71"/>
    </row>
    <row r="29" spans="1:56" x14ac:dyDescent="0.25">
      <c r="A29" s="24">
        <f>IF(B29="","",SUBTOTAL(3,$B$4:B29))</f>
        <v>25</v>
      </c>
      <c r="B29" s="25" t="s">
        <v>77</v>
      </c>
      <c r="C29" s="25" t="str">
        <f t="shared" si="12"/>
        <v>Shipment 1 400</v>
      </c>
      <c r="D29" s="25" t="s">
        <v>76</v>
      </c>
      <c r="E29" s="25">
        <v>400</v>
      </c>
      <c r="F29" s="25"/>
      <c r="G29" s="65">
        <v>45990</v>
      </c>
      <c r="H29" s="25" t="s">
        <v>1257</v>
      </c>
      <c r="I29" s="25" t="s">
        <v>1253</v>
      </c>
      <c r="J29" s="26" t="s">
        <v>1302</v>
      </c>
      <c r="K29" s="27" t="s">
        <v>129</v>
      </c>
      <c r="L29" s="28" t="s">
        <v>131</v>
      </c>
      <c r="M29" s="28" t="s">
        <v>92</v>
      </c>
      <c r="N29" s="25">
        <v>1</v>
      </c>
      <c r="O29" s="29">
        <v>8.6</v>
      </c>
      <c r="P29" s="29">
        <v>8.6</v>
      </c>
      <c r="Q29" s="25" t="s">
        <v>432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23"/>
        <v>8.6</v>
      </c>
      <c r="AF29" s="32">
        <f t="shared" si="24"/>
        <v>0</v>
      </c>
      <c r="AG29" s="30"/>
      <c r="AH29" s="33">
        <v>1</v>
      </c>
      <c r="AI29" s="34">
        <f t="shared" si="25"/>
        <v>8.6</v>
      </c>
      <c r="AJ29" s="35">
        <v>45988</v>
      </c>
      <c r="AK29" s="30">
        <v>1</v>
      </c>
      <c r="AL29" s="36">
        <f t="shared" si="26"/>
        <v>8.6</v>
      </c>
      <c r="AM29" s="35">
        <v>46034</v>
      </c>
      <c r="AN29" s="30">
        <v>1</v>
      </c>
      <c r="AO29" s="36">
        <f t="shared" si="27"/>
        <v>8.6</v>
      </c>
      <c r="AP29" s="35">
        <v>46164</v>
      </c>
      <c r="AQ29" s="30">
        <v>1</v>
      </c>
      <c r="AR29" s="36">
        <f t="shared" si="28"/>
        <v>8.6</v>
      </c>
      <c r="AS29" s="27" t="s">
        <v>1296</v>
      </c>
      <c r="AT29" s="37">
        <v>46210</v>
      </c>
      <c r="AU29" s="30">
        <v>1</v>
      </c>
      <c r="AV29" s="36">
        <f t="shared" si="29"/>
        <v>8.6</v>
      </c>
      <c r="AW29" s="35">
        <v>46214</v>
      </c>
      <c r="AX29" s="30">
        <v>1</v>
      </c>
      <c r="AY29" s="32">
        <f t="shared" si="31"/>
        <v>8.6</v>
      </c>
      <c r="AZ29" s="30" t="s">
        <v>85</v>
      </c>
      <c r="BA29" s="63" t="s">
        <v>1295</v>
      </c>
      <c r="BB29" s="71"/>
      <c r="BC29" s="71" t="s">
        <v>1313</v>
      </c>
      <c r="BD29" s="71"/>
    </row>
    <row r="30" spans="1:56" x14ac:dyDescent="0.25">
      <c r="A30" s="24">
        <f>IF(B30="","",SUBTOTAL(3,$B$4:B30))</f>
        <v>26</v>
      </c>
      <c r="B30" s="25" t="s">
        <v>77</v>
      </c>
      <c r="C30" s="25" t="str">
        <f t="shared" si="12"/>
        <v>Shipment 1 400</v>
      </c>
      <c r="D30" s="25" t="s">
        <v>76</v>
      </c>
      <c r="E30" s="25">
        <v>400</v>
      </c>
      <c r="F30" s="25"/>
      <c r="G30" s="65">
        <v>45990</v>
      </c>
      <c r="H30" s="25" t="s">
        <v>1257</v>
      </c>
      <c r="I30" s="25" t="s">
        <v>1253</v>
      </c>
      <c r="J30" s="26" t="s">
        <v>1302</v>
      </c>
      <c r="K30" s="27" t="s">
        <v>129</v>
      </c>
      <c r="L30" s="28" t="s">
        <v>132</v>
      </c>
      <c r="M30" s="28" t="s">
        <v>92</v>
      </c>
      <c r="N30" s="25">
        <v>1</v>
      </c>
      <c r="O30" s="29">
        <v>8.6</v>
      </c>
      <c r="P30" s="29">
        <v>8.6</v>
      </c>
      <c r="Q30" s="25" t="s">
        <v>432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23"/>
        <v>8.6</v>
      </c>
      <c r="AF30" s="32">
        <f t="shared" si="24"/>
        <v>0</v>
      </c>
      <c r="AG30" s="30"/>
      <c r="AH30" s="33">
        <v>1</v>
      </c>
      <c r="AI30" s="34">
        <f t="shared" si="25"/>
        <v>8.6</v>
      </c>
      <c r="AJ30" s="35">
        <v>45988</v>
      </c>
      <c r="AK30" s="30">
        <v>1</v>
      </c>
      <c r="AL30" s="36">
        <f t="shared" si="26"/>
        <v>8.6</v>
      </c>
      <c r="AM30" s="35">
        <v>46034</v>
      </c>
      <c r="AN30" s="30">
        <v>1</v>
      </c>
      <c r="AO30" s="36">
        <f t="shared" si="27"/>
        <v>8.6</v>
      </c>
      <c r="AP30" s="35">
        <v>46164</v>
      </c>
      <c r="AQ30" s="30">
        <v>1</v>
      </c>
      <c r="AR30" s="36">
        <f t="shared" si="28"/>
        <v>8.6</v>
      </c>
      <c r="AS30" s="27" t="s">
        <v>1296</v>
      </c>
      <c r="AT30" s="37">
        <v>46210</v>
      </c>
      <c r="AU30" s="30">
        <v>1</v>
      </c>
      <c r="AV30" s="36">
        <f t="shared" si="29"/>
        <v>8.6</v>
      </c>
      <c r="AW30" s="35">
        <v>46214</v>
      </c>
      <c r="AX30" s="30">
        <v>1</v>
      </c>
      <c r="AY30" s="32">
        <f t="shared" si="31"/>
        <v>8.6</v>
      </c>
      <c r="AZ30" s="30" t="s">
        <v>85</v>
      </c>
      <c r="BA30" s="63" t="s">
        <v>1295</v>
      </c>
      <c r="BB30" s="71"/>
      <c r="BC30" s="71" t="s">
        <v>1313</v>
      </c>
      <c r="BD30" s="71"/>
    </row>
    <row r="31" spans="1:56" x14ac:dyDescent="0.25">
      <c r="A31" s="24">
        <f>IF(B31="","",SUBTOTAL(3,$B$4:B31))</f>
        <v>27</v>
      </c>
      <c r="B31" s="25" t="s">
        <v>77</v>
      </c>
      <c r="C31" s="25" t="str">
        <f t="shared" si="12"/>
        <v>Shipment 1 400</v>
      </c>
      <c r="D31" s="25" t="s">
        <v>76</v>
      </c>
      <c r="E31" s="25">
        <v>400</v>
      </c>
      <c r="F31" s="25"/>
      <c r="G31" s="65">
        <v>45990</v>
      </c>
      <c r="H31" s="25" t="s">
        <v>1257</v>
      </c>
      <c r="I31" s="25" t="s">
        <v>1253</v>
      </c>
      <c r="J31" s="26" t="s">
        <v>1302</v>
      </c>
      <c r="K31" s="27" t="s">
        <v>129</v>
      </c>
      <c r="L31" s="28" t="s">
        <v>133</v>
      </c>
      <c r="M31" s="28" t="s">
        <v>92</v>
      </c>
      <c r="N31" s="25">
        <v>1</v>
      </c>
      <c r="O31" s="29">
        <v>8.6</v>
      </c>
      <c r="P31" s="29">
        <v>8.6</v>
      </c>
      <c r="Q31" s="25" t="s">
        <v>432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23"/>
        <v>8.6</v>
      </c>
      <c r="AF31" s="32">
        <f t="shared" si="24"/>
        <v>0</v>
      </c>
      <c r="AG31" s="30"/>
      <c r="AH31" s="33">
        <v>1</v>
      </c>
      <c r="AI31" s="34">
        <f t="shared" si="25"/>
        <v>8.6</v>
      </c>
      <c r="AJ31" s="35">
        <v>45988</v>
      </c>
      <c r="AK31" s="30">
        <v>1</v>
      </c>
      <c r="AL31" s="36">
        <f t="shared" si="26"/>
        <v>8.6</v>
      </c>
      <c r="AM31" s="35">
        <v>46034</v>
      </c>
      <c r="AN31" s="30">
        <v>1</v>
      </c>
      <c r="AO31" s="36">
        <f t="shared" si="27"/>
        <v>8.6</v>
      </c>
      <c r="AP31" s="35">
        <v>46164</v>
      </c>
      <c r="AQ31" s="30">
        <v>1</v>
      </c>
      <c r="AR31" s="36">
        <f t="shared" si="28"/>
        <v>8.6</v>
      </c>
      <c r="AS31" s="27" t="s">
        <v>1296</v>
      </c>
      <c r="AT31" s="37">
        <v>46210</v>
      </c>
      <c r="AU31" s="30">
        <v>1</v>
      </c>
      <c r="AV31" s="36">
        <f t="shared" si="29"/>
        <v>8.6</v>
      </c>
      <c r="AW31" s="35">
        <v>46214</v>
      </c>
      <c r="AX31" s="30">
        <v>1</v>
      </c>
      <c r="AY31" s="32">
        <f t="shared" si="31"/>
        <v>8.6</v>
      </c>
      <c r="AZ31" s="30" t="s">
        <v>85</v>
      </c>
      <c r="BA31" s="63" t="s">
        <v>1295</v>
      </c>
      <c r="BB31" s="71"/>
      <c r="BC31" s="71" t="s">
        <v>1313</v>
      </c>
      <c r="BD31" s="71"/>
    </row>
    <row r="32" spans="1:56" x14ac:dyDescent="0.25">
      <c r="A32" s="24">
        <f>IF(B32="","",SUBTOTAL(3,$B$4:B32))</f>
        <v>28</v>
      </c>
      <c r="B32" s="25" t="s">
        <v>77</v>
      </c>
      <c r="C32" s="25" t="str">
        <f t="shared" si="12"/>
        <v>Shipment 1 400</v>
      </c>
      <c r="D32" s="25" t="s">
        <v>76</v>
      </c>
      <c r="E32" s="25">
        <v>400</v>
      </c>
      <c r="F32" s="25"/>
      <c r="G32" s="65">
        <v>45990</v>
      </c>
      <c r="H32" s="25" t="s">
        <v>1257</v>
      </c>
      <c r="I32" s="25" t="s">
        <v>1253</v>
      </c>
      <c r="J32" s="26" t="s">
        <v>1302</v>
      </c>
      <c r="K32" s="27" t="s">
        <v>129</v>
      </c>
      <c r="L32" s="28" t="s">
        <v>134</v>
      </c>
      <c r="M32" s="28" t="s">
        <v>92</v>
      </c>
      <c r="N32" s="25">
        <v>1</v>
      </c>
      <c r="O32" s="29">
        <v>8.6</v>
      </c>
      <c r="P32" s="29">
        <v>8.6</v>
      </c>
      <c r="Q32" s="25" t="s">
        <v>432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23"/>
        <v>8.6</v>
      </c>
      <c r="AF32" s="32">
        <f t="shared" si="24"/>
        <v>0</v>
      </c>
      <c r="AG32" s="30"/>
      <c r="AH32" s="33">
        <v>1</v>
      </c>
      <c r="AI32" s="34">
        <f t="shared" si="25"/>
        <v>8.6</v>
      </c>
      <c r="AJ32" s="35">
        <v>45988</v>
      </c>
      <c r="AK32" s="30">
        <v>1</v>
      </c>
      <c r="AL32" s="36">
        <f t="shared" si="26"/>
        <v>8.6</v>
      </c>
      <c r="AM32" s="35">
        <v>46034</v>
      </c>
      <c r="AN32" s="30">
        <v>1</v>
      </c>
      <c r="AO32" s="36">
        <f t="shared" si="27"/>
        <v>8.6</v>
      </c>
      <c r="AP32" s="35">
        <v>46164</v>
      </c>
      <c r="AQ32" s="30">
        <v>1</v>
      </c>
      <c r="AR32" s="36">
        <f t="shared" si="28"/>
        <v>8.6</v>
      </c>
      <c r="AS32" s="27" t="s">
        <v>1296</v>
      </c>
      <c r="AT32" s="37">
        <v>46210</v>
      </c>
      <c r="AU32" s="30">
        <v>1</v>
      </c>
      <c r="AV32" s="36">
        <f t="shared" si="29"/>
        <v>8.6</v>
      </c>
      <c r="AW32" s="35">
        <v>46214</v>
      </c>
      <c r="AX32" s="30">
        <v>1</v>
      </c>
      <c r="AY32" s="32">
        <f t="shared" si="31"/>
        <v>8.6</v>
      </c>
      <c r="AZ32" s="30" t="s">
        <v>85</v>
      </c>
      <c r="BA32" s="63" t="s">
        <v>1295</v>
      </c>
      <c r="BB32" s="71"/>
      <c r="BC32" s="71" t="s">
        <v>1313</v>
      </c>
      <c r="BD32" s="71"/>
    </row>
    <row r="33" spans="1:56" x14ac:dyDescent="0.25">
      <c r="A33" s="24">
        <f>IF(B33="","",SUBTOTAL(3,$B$4:B33))</f>
        <v>29</v>
      </c>
      <c r="B33" s="25" t="s">
        <v>77</v>
      </c>
      <c r="C33" s="25" t="str">
        <f t="shared" si="12"/>
        <v>Shipment 1 400</v>
      </c>
      <c r="D33" s="25" t="s">
        <v>76</v>
      </c>
      <c r="E33" s="25">
        <v>400</v>
      </c>
      <c r="F33" s="25"/>
      <c r="G33" s="65">
        <v>45990</v>
      </c>
      <c r="H33" s="25" t="s">
        <v>1257</v>
      </c>
      <c r="I33" s="25" t="s">
        <v>1253</v>
      </c>
      <c r="J33" s="26" t="s">
        <v>1302</v>
      </c>
      <c r="K33" s="27" t="s">
        <v>129</v>
      </c>
      <c r="L33" s="28" t="s">
        <v>135</v>
      </c>
      <c r="M33" s="28" t="s">
        <v>92</v>
      </c>
      <c r="N33" s="25">
        <v>1</v>
      </c>
      <c r="O33" s="29">
        <v>8.6</v>
      </c>
      <c r="P33" s="29">
        <v>8.6</v>
      </c>
      <c r="Q33" s="25" t="s">
        <v>432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23"/>
        <v>8.6</v>
      </c>
      <c r="AF33" s="32">
        <f t="shared" si="24"/>
        <v>0</v>
      </c>
      <c r="AG33" s="30"/>
      <c r="AH33" s="33">
        <v>1</v>
      </c>
      <c r="AI33" s="34">
        <f t="shared" si="25"/>
        <v>8.6</v>
      </c>
      <c r="AJ33" s="35">
        <v>45988</v>
      </c>
      <c r="AK33" s="30">
        <v>1</v>
      </c>
      <c r="AL33" s="36">
        <f t="shared" si="26"/>
        <v>8.6</v>
      </c>
      <c r="AM33" s="35">
        <v>46034</v>
      </c>
      <c r="AN33" s="30">
        <v>1</v>
      </c>
      <c r="AO33" s="36">
        <f t="shared" si="27"/>
        <v>8.6</v>
      </c>
      <c r="AP33" s="35">
        <v>46164</v>
      </c>
      <c r="AQ33" s="30">
        <v>1</v>
      </c>
      <c r="AR33" s="36">
        <f t="shared" si="28"/>
        <v>8.6</v>
      </c>
      <c r="AS33" s="27" t="s">
        <v>1296</v>
      </c>
      <c r="AT33" s="37">
        <v>46210</v>
      </c>
      <c r="AU33" s="30">
        <v>1</v>
      </c>
      <c r="AV33" s="36">
        <f t="shared" si="29"/>
        <v>8.6</v>
      </c>
      <c r="AW33" s="35">
        <v>46214</v>
      </c>
      <c r="AX33" s="30">
        <v>1</v>
      </c>
      <c r="AY33" s="32">
        <f t="shared" si="31"/>
        <v>8.6</v>
      </c>
      <c r="AZ33" s="30" t="s">
        <v>85</v>
      </c>
      <c r="BA33" s="63" t="s">
        <v>1295</v>
      </c>
      <c r="BB33" s="71"/>
      <c r="BC33" s="71" t="s">
        <v>1313</v>
      </c>
      <c r="BD33" s="71"/>
    </row>
    <row r="34" spans="1:56" x14ac:dyDescent="0.25">
      <c r="A34" s="24">
        <f>IF(B34="","",SUBTOTAL(3,$B$4:B34))</f>
        <v>30</v>
      </c>
      <c r="B34" s="25" t="s">
        <v>77</v>
      </c>
      <c r="C34" s="25" t="str">
        <f t="shared" si="12"/>
        <v>Shipment 1 400</v>
      </c>
      <c r="D34" s="25" t="s">
        <v>76</v>
      </c>
      <c r="E34" s="25">
        <v>400</v>
      </c>
      <c r="F34" s="25"/>
      <c r="G34" s="65">
        <v>45990</v>
      </c>
      <c r="H34" s="25" t="s">
        <v>1257</v>
      </c>
      <c r="I34" s="25" t="s">
        <v>1253</v>
      </c>
      <c r="J34" s="26" t="s">
        <v>1302</v>
      </c>
      <c r="K34" s="27" t="s">
        <v>129</v>
      </c>
      <c r="L34" s="28" t="s">
        <v>136</v>
      </c>
      <c r="M34" s="28" t="s">
        <v>92</v>
      </c>
      <c r="N34" s="25">
        <v>1</v>
      </c>
      <c r="O34" s="29">
        <v>8.6</v>
      </c>
      <c r="P34" s="29">
        <v>8.6</v>
      </c>
      <c r="Q34" s="25" t="s">
        <v>432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23"/>
        <v>8.6</v>
      </c>
      <c r="AF34" s="32">
        <f t="shared" si="24"/>
        <v>0</v>
      </c>
      <c r="AG34" s="30"/>
      <c r="AH34" s="33">
        <v>1</v>
      </c>
      <c r="AI34" s="34">
        <f t="shared" si="25"/>
        <v>8.6</v>
      </c>
      <c r="AJ34" s="35">
        <v>45988</v>
      </c>
      <c r="AK34" s="30">
        <v>1</v>
      </c>
      <c r="AL34" s="36">
        <f t="shared" si="26"/>
        <v>8.6</v>
      </c>
      <c r="AM34" s="35">
        <v>46057</v>
      </c>
      <c r="AN34" s="30">
        <v>1</v>
      </c>
      <c r="AO34" s="36">
        <f t="shared" si="27"/>
        <v>8.6</v>
      </c>
      <c r="AP34" s="35">
        <v>46164</v>
      </c>
      <c r="AQ34" s="30">
        <v>1</v>
      </c>
      <c r="AR34" s="36">
        <f t="shared" si="28"/>
        <v>8.6</v>
      </c>
      <c r="AS34" s="27" t="s">
        <v>1296</v>
      </c>
      <c r="AT34" s="37">
        <v>46210</v>
      </c>
      <c r="AU34" s="30">
        <v>1</v>
      </c>
      <c r="AV34" s="36">
        <f t="shared" si="29"/>
        <v>8.6</v>
      </c>
      <c r="AW34" s="35">
        <v>46214</v>
      </c>
      <c r="AX34" s="30">
        <v>1</v>
      </c>
      <c r="AY34" s="32">
        <f t="shared" si="31"/>
        <v>8.6</v>
      </c>
      <c r="AZ34" s="30" t="s">
        <v>85</v>
      </c>
      <c r="BA34" s="63" t="s">
        <v>1295</v>
      </c>
      <c r="BB34" s="71"/>
      <c r="BC34" s="71" t="s">
        <v>1313</v>
      </c>
      <c r="BD34" s="71"/>
    </row>
    <row r="35" spans="1:56" x14ac:dyDescent="0.25">
      <c r="A35" s="24">
        <f>IF(B35="","",SUBTOTAL(3,$B$4:B35))</f>
        <v>31</v>
      </c>
      <c r="B35" s="25" t="s">
        <v>77</v>
      </c>
      <c r="C35" s="25" t="str">
        <f t="shared" si="12"/>
        <v>Shipment 1 400</v>
      </c>
      <c r="D35" s="25" t="s">
        <v>76</v>
      </c>
      <c r="E35" s="25">
        <v>400</v>
      </c>
      <c r="F35" s="25"/>
      <c r="G35" s="65">
        <v>45990</v>
      </c>
      <c r="H35" s="25" t="s">
        <v>1257</v>
      </c>
      <c r="I35" s="25" t="s">
        <v>1253</v>
      </c>
      <c r="J35" s="26" t="s">
        <v>1302</v>
      </c>
      <c r="K35" s="27" t="s">
        <v>129</v>
      </c>
      <c r="L35" s="28" t="s">
        <v>137</v>
      </c>
      <c r="M35" s="28" t="s">
        <v>92</v>
      </c>
      <c r="N35" s="25">
        <v>1</v>
      </c>
      <c r="O35" s="29">
        <v>8.6</v>
      </c>
      <c r="P35" s="29">
        <v>8.6</v>
      </c>
      <c r="Q35" s="25" t="s">
        <v>432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23"/>
        <v>8.6</v>
      </c>
      <c r="AF35" s="32">
        <f t="shared" si="24"/>
        <v>0</v>
      </c>
      <c r="AG35" s="30"/>
      <c r="AH35" s="33">
        <v>1</v>
      </c>
      <c r="AI35" s="34">
        <f t="shared" si="25"/>
        <v>8.6</v>
      </c>
      <c r="AJ35" s="35">
        <v>45988</v>
      </c>
      <c r="AK35" s="30">
        <v>1</v>
      </c>
      <c r="AL35" s="36">
        <f t="shared" si="26"/>
        <v>8.6</v>
      </c>
      <c r="AM35" s="35">
        <v>46057</v>
      </c>
      <c r="AN35" s="30">
        <v>1</v>
      </c>
      <c r="AO35" s="36">
        <f t="shared" si="27"/>
        <v>8.6</v>
      </c>
      <c r="AP35" s="35">
        <v>46164</v>
      </c>
      <c r="AQ35" s="30">
        <v>1</v>
      </c>
      <c r="AR35" s="36">
        <f t="shared" si="28"/>
        <v>8.6</v>
      </c>
      <c r="AS35" s="27" t="s">
        <v>1296</v>
      </c>
      <c r="AT35" s="37">
        <v>46210</v>
      </c>
      <c r="AU35" s="30">
        <v>1</v>
      </c>
      <c r="AV35" s="36">
        <f t="shared" si="29"/>
        <v>8.6</v>
      </c>
      <c r="AW35" s="35">
        <v>46214</v>
      </c>
      <c r="AX35" s="30">
        <v>1</v>
      </c>
      <c r="AY35" s="32">
        <f t="shared" si="31"/>
        <v>8.6</v>
      </c>
      <c r="AZ35" s="30" t="s">
        <v>85</v>
      </c>
      <c r="BA35" s="63" t="s">
        <v>1295</v>
      </c>
      <c r="BB35" s="71"/>
      <c r="BC35" s="71" t="s">
        <v>1313</v>
      </c>
      <c r="BD35" s="71"/>
    </row>
    <row r="36" spans="1:56" x14ac:dyDescent="0.25">
      <c r="A36" s="24">
        <f>IF(B36="","",SUBTOTAL(3,$B$4:B36))</f>
        <v>32</v>
      </c>
      <c r="B36" s="25" t="s">
        <v>77</v>
      </c>
      <c r="C36" s="25" t="str">
        <f t="shared" si="12"/>
        <v>Shipment 1 400</v>
      </c>
      <c r="D36" s="25" t="s">
        <v>76</v>
      </c>
      <c r="E36" s="25">
        <v>400</v>
      </c>
      <c r="F36" s="25"/>
      <c r="G36" s="65">
        <v>45990</v>
      </c>
      <c r="H36" s="25" t="s">
        <v>1257</v>
      </c>
      <c r="I36" s="25" t="s">
        <v>1253</v>
      </c>
      <c r="J36" s="26" t="s">
        <v>1302</v>
      </c>
      <c r="K36" s="27" t="s">
        <v>138</v>
      </c>
      <c r="L36" s="28" t="s">
        <v>139</v>
      </c>
      <c r="M36" s="28" t="s">
        <v>92</v>
      </c>
      <c r="N36" s="25">
        <v>1</v>
      </c>
      <c r="O36" s="29">
        <v>6.9</v>
      </c>
      <c r="P36" s="29">
        <v>6.9</v>
      </c>
      <c r="Q36" s="25" t="s">
        <v>433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23"/>
        <v>6.9000000000000012</v>
      </c>
      <c r="AF36" s="32">
        <f t="shared" si="24"/>
        <v>0</v>
      </c>
      <c r="AG36" s="30"/>
      <c r="AH36" s="33">
        <v>1</v>
      </c>
      <c r="AI36" s="34">
        <f t="shared" si="25"/>
        <v>6.9</v>
      </c>
      <c r="AJ36" s="35">
        <v>45988</v>
      </c>
      <c r="AK36" s="30">
        <v>1</v>
      </c>
      <c r="AL36" s="36">
        <f t="shared" si="26"/>
        <v>6.9</v>
      </c>
      <c r="AM36" s="35">
        <v>46057</v>
      </c>
      <c r="AN36" s="30">
        <v>1</v>
      </c>
      <c r="AO36" s="36">
        <f t="shared" si="27"/>
        <v>6.9</v>
      </c>
      <c r="AP36" s="35">
        <v>46164</v>
      </c>
      <c r="AQ36" s="30">
        <v>1</v>
      </c>
      <c r="AR36" s="36">
        <f t="shared" si="28"/>
        <v>6.9</v>
      </c>
      <c r="AS36" s="27" t="s">
        <v>1296</v>
      </c>
      <c r="AT36" s="37">
        <v>46210</v>
      </c>
      <c r="AU36" s="30">
        <v>1</v>
      </c>
      <c r="AV36" s="36">
        <f t="shared" si="29"/>
        <v>6.9</v>
      </c>
      <c r="AW36" s="35">
        <v>46214</v>
      </c>
      <c r="AX36" s="30">
        <v>1</v>
      </c>
      <c r="AY36" s="32">
        <f t="shared" si="31"/>
        <v>6.9</v>
      </c>
      <c r="AZ36" s="30" t="s">
        <v>85</v>
      </c>
      <c r="BA36" s="63" t="s">
        <v>1295</v>
      </c>
      <c r="BB36" s="71"/>
      <c r="BC36" s="71" t="s">
        <v>1314</v>
      </c>
      <c r="BD36" s="71"/>
    </row>
    <row r="37" spans="1:56" x14ac:dyDescent="0.25">
      <c r="A37" s="24">
        <f>IF(B37="","",SUBTOTAL(3,$B$4:B37))</f>
        <v>33</v>
      </c>
      <c r="B37" s="25" t="s">
        <v>77</v>
      </c>
      <c r="C37" s="25" t="str">
        <f t="shared" si="12"/>
        <v>Shipment 1 400</v>
      </c>
      <c r="D37" s="25" t="s">
        <v>76</v>
      </c>
      <c r="E37" s="25">
        <v>400</v>
      </c>
      <c r="F37" s="25"/>
      <c r="G37" s="65">
        <v>45990</v>
      </c>
      <c r="H37" s="25" t="s">
        <v>1257</v>
      </c>
      <c r="I37" s="25" t="s">
        <v>1253</v>
      </c>
      <c r="J37" s="26" t="s">
        <v>1302</v>
      </c>
      <c r="K37" s="27" t="s">
        <v>138</v>
      </c>
      <c r="L37" s="28" t="s">
        <v>140</v>
      </c>
      <c r="M37" s="28" t="s">
        <v>92</v>
      </c>
      <c r="N37" s="25">
        <v>1</v>
      </c>
      <c r="O37" s="29">
        <v>6.9</v>
      </c>
      <c r="P37" s="29">
        <v>6.9</v>
      </c>
      <c r="Q37" s="25" t="s">
        <v>433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23"/>
        <v>6.9000000000000012</v>
      </c>
      <c r="AF37" s="32">
        <f t="shared" si="24"/>
        <v>0</v>
      </c>
      <c r="AG37" s="30"/>
      <c r="AH37" s="33">
        <v>1</v>
      </c>
      <c r="AI37" s="34">
        <f t="shared" si="25"/>
        <v>6.9</v>
      </c>
      <c r="AJ37" s="35">
        <v>45988</v>
      </c>
      <c r="AK37" s="30">
        <v>1</v>
      </c>
      <c r="AL37" s="36">
        <f t="shared" si="26"/>
        <v>6.9</v>
      </c>
      <c r="AM37" s="35">
        <v>46057</v>
      </c>
      <c r="AN37" s="30">
        <v>1</v>
      </c>
      <c r="AO37" s="36">
        <f t="shared" si="27"/>
        <v>6.9</v>
      </c>
      <c r="AP37" s="35">
        <v>46164</v>
      </c>
      <c r="AQ37" s="30">
        <v>1</v>
      </c>
      <c r="AR37" s="36">
        <f t="shared" si="28"/>
        <v>6.9</v>
      </c>
      <c r="AS37" s="27" t="s">
        <v>1296</v>
      </c>
      <c r="AT37" s="37">
        <v>46210</v>
      </c>
      <c r="AU37" s="30">
        <v>1</v>
      </c>
      <c r="AV37" s="36">
        <f t="shared" si="29"/>
        <v>6.9</v>
      </c>
      <c r="AW37" s="35">
        <v>46214</v>
      </c>
      <c r="AX37" s="30">
        <v>1</v>
      </c>
      <c r="AY37" s="32">
        <f t="shared" si="31"/>
        <v>6.9</v>
      </c>
      <c r="AZ37" s="30" t="s">
        <v>85</v>
      </c>
      <c r="BA37" s="63" t="s">
        <v>1295</v>
      </c>
      <c r="BB37" s="71"/>
      <c r="BC37" s="71" t="s">
        <v>1314</v>
      </c>
      <c r="BD37" s="71"/>
    </row>
    <row r="38" spans="1:56" x14ac:dyDescent="0.25">
      <c r="A38" s="24">
        <f>IF(B38="","",SUBTOTAL(3,$B$4:B38))</f>
        <v>34</v>
      </c>
      <c r="B38" s="25" t="s">
        <v>77</v>
      </c>
      <c r="C38" s="25" t="str">
        <f t="shared" si="12"/>
        <v>Shipment 1 400</v>
      </c>
      <c r="D38" s="25" t="s">
        <v>76</v>
      </c>
      <c r="E38" s="25">
        <v>400</v>
      </c>
      <c r="F38" s="25"/>
      <c r="G38" s="65">
        <v>45990</v>
      </c>
      <c r="H38" s="25" t="s">
        <v>1257</v>
      </c>
      <c r="I38" s="25" t="s">
        <v>1253</v>
      </c>
      <c r="J38" s="26" t="s">
        <v>1302</v>
      </c>
      <c r="K38" s="27" t="s">
        <v>141</v>
      </c>
      <c r="L38" s="28" t="s">
        <v>142</v>
      </c>
      <c r="M38" s="28" t="s">
        <v>92</v>
      </c>
      <c r="N38" s="25">
        <v>1</v>
      </c>
      <c r="O38" s="29">
        <v>6.9</v>
      </c>
      <c r="P38" s="29">
        <v>6.9</v>
      </c>
      <c r="Q38" s="25" t="s">
        <v>433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23"/>
        <v>6.9000000000000012</v>
      </c>
      <c r="AF38" s="32">
        <f t="shared" si="24"/>
        <v>0</v>
      </c>
      <c r="AG38" s="30"/>
      <c r="AH38" s="33">
        <v>1</v>
      </c>
      <c r="AI38" s="34">
        <f t="shared" si="25"/>
        <v>6.9</v>
      </c>
      <c r="AJ38" s="35">
        <v>45988</v>
      </c>
      <c r="AK38" s="30">
        <v>1</v>
      </c>
      <c r="AL38" s="36">
        <f t="shared" si="26"/>
        <v>6.9</v>
      </c>
      <c r="AM38" s="35">
        <v>46057</v>
      </c>
      <c r="AN38" s="30">
        <v>1</v>
      </c>
      <c r="AO38" s="36">
        <f t="shared" si="27"/>
        <v>6.9</v>
      </c>
      <c r="AP38" s="35">
        <v>46164</v>
      </c>
      <c r="AQ38" s="30">
        <v>1</v>
      </c>
      <c r="AR38" s="36">
        <f t="shared" si="28"/>
        <v>6.9</v>
      </c>
      <c r="AS38" s="27" t="s">
        <v>1296</v>
      </c>
      <c r="AT38" s="37">
        <v>46210</v>
      </c>
      <c r="AU38" s="30">
        <v>1</v>
      </c>
      <c r="AV38" s="36">
        <f t="shared" si="29"/>
        <v>6.9</v>
      </c>
      <c r="AW38" s="35">
        <v>46214</v>
      </c>
      <c r="AX38" s="30">
        <v>1</v>
      </c>
      <c r="AY38" s="32">
        <f t="shared" si="31"/>
        <v>6.9</v>
      </c>
      <c r="AZ38" s="30" t="s">
        <v>85</v>
      </c>
      <c r="BA38" s="63" t="s">
        <v>1295</v>
      </c>
      <c r="BB38" s="71"/>
      <c r="BC38" s="71" t="s">
        <v>1315</v>
      </c>
      <c r="BD38" s="71"/>
    </row>
    <row r="39" spans="1:56" x14ac:dyDescent="0.25">
      <c r="A39" s="24">
        <f>IF(B39="","",SUBTOTAL(3,$B$4:B39))</f>
        <v>35</v>
      </c>
      <c r="B39" s="25" t="s">
        <v>77</v>
      </c>
      <c r="C39" s="25" t="str">
        <f t="shared" si="12"/>
        <v>Shipment 1 400</v>
      </c>
      <c r="D39" s="25" t="s">
        <v>76</v>
      </c>
      <c r="E39" s="25">
        <v>400</v>
      </c>
      <c r="F39" s="25"/>
      <c r="G39" s="65">
        <v>45990</v>
      </c>
      <c r="H39" s="25" t="s">
        <v>1257</v>
      </c>
      <c r="I39" s="25" t="s">
        <v>1253</v>
      </c>
      <c r="J39" s="26" t="s">
        <v>1302</v>
      </c>
      <c r="K39" s="27" t="s">
        <v>141</v>
      </c>
      <c r="L39" s="28" t="s">
        <v>143</v>
      </c>
      <c r="M39" s="28" t="s">
        <v>92</v>
      </c>
      <c r="N39" s="25">
        <v>1</v>
      </c>
      <c r="O39" s="29">
        <v>6.9</v>
      </c>
      <c r="P39" s="29">
        <v>6.9</v>
      </c>
      <c r="Q39" s="25" t="s">
        <v>433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23"/>
        <v>6.9000000000000012</v>
      </c>
      <c r="AF39" s="32">
        <f t="shared" si="24"/>
        <v>0</v>
      </c>
      <c r="AG39" s="30"/>
      <c r="AH39" s="33">
        <v>1</v>
      </c>
      <c r="AI39" s="34">
        <f t="shared" si="25"/>
        <v>6.9</v>
      </c>
      <c r="AJ39" s="35">
        <v>45988</v>
      </c>
      <c r="AK39" s="30">
        <v>1</v>
      </c>
      <c r="AL39" s="36">
        <f t="shared" si="26"/>
        <v>6.9</v>
      </c>
      <c r="AM39" s="35">
        <v>46057</v>
      </c>
      <c r="AN39" s="30">
        <v>1</v>
      </c>
      <c r="AO39" s="36">
        <f t="shared" si="27"/>
        <v>6.9</v>
      </c>
      <c r="AP39" s="35">
        <v>46164</v>
      </c>
      <c r="AQ39" s="30">
        <v>1</v>
      </c>
      <c r="AR39" s="36">
        <f t="shared" si="28"/>
        <v>6.9</v>
      </c>
      <c r="AS39" s="27" t="s">
        <v>1296</v>
      </c>
      <c r="AT39" s="37">
        <v>46210</v>
      </c>
      <c r="AU39" s="30">
        <v>1</v>
      </c>
      <c r="AV39" s="36">
        <f t="shared" si="29"/>
        <v>6.9</v>
      </c>
      <c r="AW39" s="35">
        <v>46214</v>
      </c>
      <c r="AX39" s="30">
        <v>1</v>
      </c>
      <c r="AY39" s="32">
        <f t="shared" si="31"/>
        <v>6.9</v>
      </c>
      <c r="AZ39" s="30" t="s">
        <v>85</v>
      </c>
      <c r="BA39" s="63" t="s">
        <v>1295</v>
      </c>
      <c r="BB39" s="71"/>
      <c r="BC39" s="71" t="s">
        <v>1315</v>
      </c>
      <c r="BD39" s="71"/>
    </row>
    <row r="40" spans="1:56" x14ac:dyDescent="0.25">
      <c r="A40" s="24">
        <f>IF(B40="","",SUBTOTAL(3,$B$4:B40))</f>
        <v>36</v>
      </c>
      <c r="B40" s="25" t="s">
        <v>77</v>
      </c>
      <c r="C40" s="25" t="str">
        <f t="shared" si="12"/>
        <v>Shipment 1 400</v>
      </c>
      <c r="D40" s="25" t="s">
        <v>76</v>
      </c>
      <c r="E40" s="25">
        <v>400</v>
      </c>
      <c r="F40" s="25"/>
      <c r="G40" s="65">
        <v>45990</v>
      </c>
      <c r="H40" s="25" t="s">
        <v>1257</v>
      </c>
      <c r="I40" s="25" t="s">
        <v>1253</v>
      </c>
      <c r="J40" s="26" t="s">
        <v>1302</v>
      </c>
      <c r="K40" s="27" t="s">
        <v>144</v>
      </c>
      <c r="L40" s="28" t="s">
        <v>145</v>
      </c>
      <c r="M40" s="28" t="s">
        <v>92</v>
      </c>
      <c r="N40" s="25">
        <v>1</v>
      </c>
      <c r="O40" s="29">
        <v>384.5</v>
      </c>
      <c r="P40" s="29">
        <v>384.5</v>
      </c>
      <c r="Q40" s="25" t="s">
        <v>421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23"/>
        <v>384.5</v>
      </c>
      <c r="AF40" s="32">
        <f t="shared" si="24"/>
        <v>0</v>
      </c>
      <c r="AG40" s="30"/>
      <c r="AH40" s="33">
        <v>1</v>
      </c>
      <c r="AI40" s="34">
        <f t="shared" si="25"/>
        <v>384.5</v>
      </c>
      <c r="AJ40" s="35">
        <v>45988</v>
      </c>
      <c r="AK40" s="30">
        <v>1</v>
      </c>
      <c r="AL40" s="36">
        <f t="shared" si="26"/>
        <v>384.5</v>
      </c>
      <c r="AM40" s="35">
        <v>45989</v>
      </c>
      <c r="AN40" s="30">
        <v>1</v>
      </c>
      <c r="AO40" s="36">
        <f t="shared" si="27"/>
        <v>384.5</v>
      </c>
      <c r="AP40" s="35">
        <v>46164</v>
      </c>
      <c r="AQ40" s="30">
        <v>1</v>
      </c>
      <c r="AR40" s="36">
        <f t="shared" si="28"/>
        <v>384.5</v>
      </c>
      <c r="AS40" s="27" t="s">
        <v>1282</v>
      </c>
      <c r="AT40" s="37">
        <v>46176</v>
      </c>
      <c r="AU40" s="30">
        <v>1</v>
      </c>
      <c r="AV40" s="36">
        <f t="shared" si="29"/>
        <v>384.5</v>
      </c>
      <c r="AW40" s="35">
        <v>46178</v>
      </c>
      <c r="AX40" s="30">
        <v>1</v>
      </c>
      <c r="AY40" s="32">
        <f t="shared" si="30"/>
        <v>384.5</v>
      </c>
      <c r="AZ40" s="30" t="s">
        <v>85</v>
      </c>
      <c r="BA40" s="63" t="s">
        <v>1283</v>
      </c>
      <c r="BB40" s="71"/>
      <c r="BC40" s="71" t="s">
        <v>145</v>
      </c>
      <c r="BD40" s="71"/>
    </row>
    <row r="41" spans="1:56" x14ac:dyDescent="0.25">
      <c r="A41" s="24">
        <f>IF(B41="","",SUBTOTAL(3,$B$4:B41))</f>
        <v>37</v>
      </c>
      <c r="B41" s="25" t="s">
        <v>77</v>
      </c>
      <c r="C41" s="25" t="str">
        <f t="shared" si="12"/>
        <v>Shipment 1 400</v>
      </c>
      <c r="D41" s="25" t="s">
        <v>76</v>
      </c>
      <c r="E41" s="25">
        <v>400</v>
      </c>
      <c r="F41" s="25"/>
      <c r="G41" s="65">
        <v>45990</v>
      </c>
      <c r="H41" s="25" t="s">
        <v>1257</v>
      </c>
      <c r="I41" s="25" t="s">
        <v>1253</v>
      </c>
      <c r="J41" s="26" t="s">
        <v>1302</v>
      </c>
      <c r="K41" s="27" t="s">
        <v>146</v>
      </c>
      <c r="L41" s="28" t="s">
        <v>147</v>
      </c>
      <c r="M41" s="28" t="s">
        <v>92</v>
      </c>
      <c r="N41" s="25">
        <v>1</v>
      </c>
      <c r="O41" s="29">
        <v>336.4</v>
      </c>
      <c r="P41" s="29">
        <v>336.4</v>
      </c>
      <c r="Q41" s="25" t="s">
        <v>434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23"/>
        <v>336.4</v>
      </c>
      <c r="AF41" s="32">
        <f t="shared" si="24"/>
        <v>0</v>
      </c>
      <c r="AG41" s="30"/>
      <c r="AH41" s="33">
        <v>1</v>
      </c>
      <c r="AI41" s="34">
        <f t="shared" si="25"/>
        <v>336.4</v>
      </c>
      <c r="AJ41" s="35">
        <v>45988</v>
      </c>
      <c r="AK41" s="30">
        <v>1</v>
      </c>
      <c r="AL41" s="36">
        <f t="shared" si="26"/>
        <v>336.4</v>
      </c>
      <c r="AM41" s="35">
        <v>45989</v>
      </c>
      <c r="AN41" s="30">
        <v>1</v>
      </c>
      <c r="AO41" s="36">
        <f t="shared" si="27"/>
        <v>336.4</v>
      </c>
      <c r="AP41" s="35">
        <v>46164</v>
      </c>
      <c r="AQ41" s="30">
        <v>1</v>
      </c>
      <c r="AR41" s="36">
        <f t="shared" si="28"/>
        <v>336.4</v>
      </c>
      <c r="AS41" s="27" t="s">
        <v>1283</v>
      </c>
      <c r="AT41" s="37">
        <v>46179</v>
      </c>
      <c r="AU41" s="30">
        <v>1</v>
      </c>
      <c r="AV41" s="36">
        <f t="shared" si="29"/>
        <v>336.4</v>
      </c>
      <c r="AW41" s="35">
        <v>46190</v>
      </c>
      <c r="AX41" s="30">
        <v>1</v>
      </c>
      <c r="AY41" s="32">
        <f t="shared" si="30"/>
        <v>336.4</v>
      </c>
      <c r="AZ41" s="30" t="s">
        <v>85</v>
      </c>
      <c r="BA41" s="63" t="s">
        <v>1284</v>
      </c>
      <c r="BB41" s="71"/>
      <c r="BC41" s="71" t="s">
        <v>147</v>
      </c>
      <c r="BD41" s="71"/>
    </row>
    <row r="42" spans="1:56" x14ac:dyDescent="0.25">
      <c r="A42" s="24">
        <f>IF(B42="","",SUBTOTAL(3,$B$4:B42))</f>
        <v>38</v>
      </c>
      <c r="B42" s="25" t="s">
        <v>77</v>
      </c>
      <c r="C42" s="25" t="str">
        <f t="shared" si="12"/>
        <v>Shipment 1 400</v>
      </c>
      <c r="D42" s="25" t="s">
        <v>76</v>
      </c>
      <c r="E42" s="25">
        <v>400</v>
      </c>
      <c r="F42" s="25"/>
      <c r="G42" s="65">
        <v>45990</v>
      </c>
      <c r="H42" s="25" t="s">
        <v>1257</v>
      </c>
      <c r="I42" s="25" t="s">
        <v>1253</v>
      </c>
      <c r="J42" s="26" t="s">
        <v>1302</v>
      </c>
      <c r="K42" s="27" t="s">
        <v>148</v>
      </c>
      <c r="L42" s="28" t="s">
        <v>149</v>
      </c>
      <c r="M42" s="28" t="s">
        <v>92</v>
      </c>
      <c r="N42" s="25">
        <v>1</v>
      </c>
      <c r="O42" s="29">
        <v>349.7</v>
      </c>
      <c r="P42" s="29">
        <v>349.7</v>
      </c>
      <c r="Q42" s="25" t="s">
        <v>435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23"/>
        <v>349.70000000000005</v>
      </c>
      <c r="AF42" s="32">
        <f t="shared" si="24"/>
        <v>0</v>
      </c>
      <c r="AG42" s="30"/>
      <c r="AH42" s="33">
        <v>1</v>
      </c>
      <c r="AI42" s="34">
        <f t="shared" si="25"/>
        <v>349.7</v>
      </c>
      <c r="AJ42" s="35">
        <v>45988</v>
      </c>
      <c r="AK42" s="30">
        <v>1</v>
      </c>
      <c r="AL42" s="36">
        <f t="shared" si="26"/>
        <v>349.7</v>
      </c>
      <c r="AM42" s="35">
        <v>45989</v>
      </c>
      <c r="AN42" s="30">
        <v>1</v>
      </c>
      <c r="AO42" s="36">
        <f t="shared" si="27"/>
        <v>349.7</v>
      </c>
      <c r="AP42" s="35">
        <v>46164</v>
      </c>
      <c r="AQ42" s="30">
        <v>1</v>
      </c>
      <c r="AR42" s="36">
        <f t="shared" si="28"/>
        <v>349.7</v>
      </c>
      <c r="AS42" s="27" t="s">
        <v>1282</v>
      </c>
      <c r="AT42" s="37">
        <v>46176</v>
      </c>
      <c r="AU42" s="30">
        <v>1</v>
      </c>
      <c r="AV42" s="36">
        <f t="shared" si="29"/>
        <v>349.7</v>
      </c>
      <c r="AW42" s="35">
        <v>46178</v>
      </c>
      <c r="AX42" s="30">
        <v>1</v>
      </c>
      <c r="AY42" s="32">
        <f t="shared" si="30"/>
        <v>349.7</v>
      </c>
      <c r="AZ42" s="30" t="s">
        <v>85</v>
      </c>
      <c r="BA42" s="63" t="s">
        <v>1283</v>
      </c>
      <c r="BB42" s="71"/>
      <c r="BC42" s="71" t="s">
        <v>149</v>
      </c>
      <c r="BD42" s="71"/>
    </row>
    <row r="43" spans="1:56" x14ac:dyDescent="0.25">
      <c r="A43" s="24">
        <f>IF(B43="","",SUBTOTAL(3,$B$4:B43))</f>
        <v>39</v>
      </c>
      <c r="B43" s="25" t="s">
        <v>77</v>
      </c>
      <c r="C43" s="25" t="str">
        <f t="shared" si="12"/>
        <v>Shipment 1 400</v>
      </c>
      <c r="D43" s="25" t="s">
        <v>76</v>
      </c>
      <c r="E43" s="25">
        <v>400</v>
      </c>
      <c r="F43" s="25"/>
      <c r="G43" s="65">
        <v>45990</v>
      </c>
      <c r="H43" s="25" t="s">
        <v>1257</v>
      </c>
      <c r="I43" s="25" t="s">
        <v>1253</v>
      </c>
      <c r="J43" s="26" t="s">
        <v>1302</v>
      </c>
      <c r="K43" s="27" t="s">
        <v>150</v>
      </c>
      <c r="L43" s="28" t="s">
        <v>151</v>
      </c>
      <c r="M43" s="28" t="s">
        <v>92</v>
      </c>
      <c r="N43" s="25">
        <v>1</v>
      </c>
      <c r="O43" s="29">
        <v>384.5</v>
      </c>
      <c r="P43" s="29">
        <v>384.5</v>
      </c>
      <c r="Q43" s="25" t="s">
        <v>421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23"/>
        <v>384.5</v>
      </c>
      <c r="AF43" s="32">
        <f t="shared" si="24"/>
        <v>0</v>
      </c>
      <c r="AG43" s="30"/>
      <c r="AH43" s="33">
        <v>1</v>
      </c>
      <c r="AI43" s="34">
        <f t="shared" si="25"/>
        <v>384.5</v>
      </c>
      <c r="AJ43" s="35">
        <v>45988</v>
      </c>
      <c r="AK43" s="30">
        <v>1</v>
      </c>
      <c r="AL43" s="36">
        <f t="shared" si="26"/>
        <v>384.5</v>
      </c>
      <c r="AM43" s="35">
        <v>46058</v>
      </c>
      <c r="AN43" s="30">
        <v>1</v>
      </c>
      <c r="AO43" s="36">
        <f t="shared" si="27"/>
        <v>384.5</v>
      </c>
      <c r="AP43" s="35">
        <v>46164</v>
      </c>
      <c r="AQ43" s="30">
        <v>1</v>
      </c>
      <c r="AR43" s="36">
        <f t="shared" si="28"/>
        <v>384.5</v>
      </c>
      <c r="AS43" s="27" t="s">
        <v>1282</v>
      </c>
      <c r="AT43" s="37">
        <v>46176</v>
      </c>
      <c r="AU43" s="30">
        <v>1</v>
      </c>
      <c r="AV43" s="36">
        <f t="shared" si="29"/>
        <v>384.5</v>
      </c>
      <c r="AW43" s="35">
        <v>46178</v>
      </c>
      <c r="AX43" s="30">
        <v>1</v>
      </c>
      <c r="AY43" s="32">
        <f t="shared" si="30"/>
        <v>384.5</v>
      </c>
      <c r="AZ43" s="30" t="s">
        <v>85</v>
      </c>
      <c r="BA43" s="63" t="s">
        <v>1283</v>
      </c>
      <c r="BB43" s="71"/>
      <c r="BC43" s="71" t="s">
        <v>151</v>
      </c>
      <c r="BD43" s="71"/>
    </row>
    <row r="44" spans="1:56" x14ac:dyDescent="0.25">
      <c r="A44" s="24">
        <f>IF(B44="","",SUBTOTAL(3,$B$4:B44))</f>
        <v>40</v>
      </c>
      <c r="B44" s="25" t="s">
        <v>77</v>
      </c>
      <c r="C44" s="25" t="str">
        <f t="shared" si="12"/>
        <v>Shipment 1 400</v>
      </c>
      <c r="D44" s="25" t="s">
        <v>76</v>
      </c>
      <c r="E44" s="25">
        <v>400</v>
      </c>
      <c r="F44" s="25"/>
      <c r="G44" s="65">
        <v>45990</v>
      </c>
      <c r="H44" s="25" t="s">
        <v>1257</v>
      </c>
      <c r="I44" s="25" t="s">
        <v>1253</v>
      </c>
      <c r="J44" s="26" t="s">
        <v>1302</v>
      </c>
      <c r="K44" s="27" t="s">
        <v>152</v>
      </c>
      <c r="L44" s="28" t="s">
        <v>153</v>
      </c>
      <c r="M44" s="28" t="s">
        <v>92</v>
      </c>
      <c r="N44" s="25">
        <v>1</v>
      </c>
      <c r="O44" s="29">
        <v>349.7</v>
      </c>
      <c r="P44" s="29">
        <v>349.7</v>
      </c>
      <c r="Q44" s="25" t="s">
        <v>435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23"/>
        <v>349.70000000000005</v>
      </c>
      <c r="AF44" s="32">
        <f t="shared" si="24"/>
        <v>0</v>
      </c>
      <c r="AG44" s="30"/>
      <c r="AH44" s="33">
        <v>1</v>
      </c>
      <c r="AI44" s="34">
        <f t="shared" si="25"/>
        <v>349.7</v>
      </c>
      <c r="AJ44" s="35">
        <v>45988</v>
      </c>
      <c r="AK44" s="30">
        <v>1</v>
      </c>
      <c r="AL44" s="36">
        <f t="shared" si="26"/>
        <v>349.7</v>
      </c>
      <c r="AM44" s="35">
        <v>46058</v>
      </c>
      <c r="AN44" s="30">
        <v>1</v>
      </c>
      <c r="AO44" s="36">
        <f t="shared" si="27"/>
        <v>349.7</v>
      </c>
      <c r="AP44" s="35">
        <v>46164</v>
      </c>
      <c r="AQ44" s="30">
        <v>1</v>
      </c>
      <c r="AR44" s="36">
        <f t="shared" si="28"/>
        <v>349.7</v>
      </c>
      <c r="AS44" s="27" t="s">
        <v>1283</v>
      </c>
      <c r="AT44" s="37">
        <v>46179</v>
      </c>
      <c r="AU44" s="30">
        <v>1</v>
      </c>
      <c r="AV44" s="36">
        <f t="shared" si="29"/>
        <v>349.7</v>
      </c>
      <c r="AW44" s="35">
        <v>46190</v>
      </c>
      <c r="AX44" s="30">
        <v>1</v>
      </c>
      <c r="AY44" s="32">
        <f t="shared" si="30"/>
        <v>349.7</v>
      </c>
      <c r="AZ44" s="30" t="s">
        <v>85</v>
      </c>
      <c r="BA44" s="63" t="s">
        <v>1284</v>
      </c>
      <c r="BB44" s="71"/>
      <c r="BC44" s="71" t="s">
        <v>153</v>
      </c>
      <c r="BD44" s="71"/>
    </row>
    <row r="45" spans="1:56" x14ac:dyDescent="0.25">
      <c r="A45" s="24">
        <f>IF(B45="","",SUBTOTAL(3,$B$4:B45))</f>
        <v>41</v>
      </c>
      <c r="B45" s="25" t="s">
        <v>77</v>
      </c>
      <c r="C45" s="25" t="str">
        <f t="shared" si="12"/>
        <v>Shipment 1 400</v>
      </c>
      <c r="D45" s="25" t="s">
        <v>76</v>
      </c>
      <c r="E45" s="25">
        <v>400</v>
      </c>
      <c r="F45" s="25"/>
      <c r="G45" s="65">
        <v>45990</v>
      </c>
      <c r="H45" s="25" t="s">
        <v>1257</v>
      </c>
      <c r="I45" s="25" t="s">
        <v>1253</v>
      </c>
      <c r="J45" s="26" t="s">
        <v>1302</v>
      </c>
      <c r="K45" s="27" t="s">
        <v>154</v>
      </c>
      <c r="L45" s="28" t="s">
        <v>155</v>
      </c>
      <c r="M45" s="28" t="s">
        <v>92</v>
      </c>
      <c r="N45" s="25">
        <v>1</v>
      </c>
      <c r="O45" s="29">
        <v>336.4</v>
      </c>
      <c r="P45" s="29">
        <v>336.4</v>
      </c>
      <c r="Q45" s="25" t="s">
        <v>434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23"/>
        <v>336.4</v>
      </c>
      <c r="AF45" s="32">
        <f t="shared" si="24"/>
        <v>0</v>
      </c>
      <c r="AG45" s="30"/>
      <c r="AH45" s="33">
        <v>1</v>
      </c>
      <c r="AI45" s="34">
        <f t="shared" si="25"/>
        <v>336.4</v>
      </c>
      <c r="AJ45" s="35">
        <v>46045</v>
      </c>
      <c r="AK45" s="30">
        <v>1</v>
      </c>
      <c r="AL45" s="36">
        <f t="shared" si="26"/>
        <v>336.4</v>
      </c>
      <c r="AM45" s="35">
        <v>46058</v>
      </c>
      <c r="AN45" s="30">
        <v>1</v>
      </c>
      <c r="AO45" s="36">
        <f t="shared" si="27"/>
        <v>336.4</v>
      </c>
      <c r="AP45" s="35">
        <v>46164</v>
      </c>
      <c r="AQ45" s="30">
        <v>1</v>
      </c>
      <c r="AR45" s="36">
        <f t="shared" si="28"/>
        <v>336.4</v>
      </c>
      <c r="AS45" s="27" t="s">
        <v>1283</v>
      </c>
      <c r="AT45" s="37">
        <v>46179</v>
      </c>
      <c r="AU45" s="30">
        <v>1</v>
      </c>
      <c r="AV45" s="36">
        <f t="shared" si="29"/>
        <v>336.4</v>
      </c>
      <c r="AW45" s="35">
        <v>46190</v>
      </c>
      <c r="AX45" s="30">
        <v>1</v>
      </c>
      <c r="AY45" s="32">
        <f t="shared" si="30"/>
        <v>336.4</v>
      </c>
      <c r="AZ45" s="30" t="s">
        <v>85</v>
      </c>
      <c r="BA45" s="63" t="s">
        <v>1284</v>
      </c>
      <c r="BB45" s="71"/>
      <c r="BC45" s="71" t="s">
        <v>155</v>
      </c>
      <c r="BD45" s="71"/>
    </row>
    <row r="46" spans="1:56" x14ac:dyDescent="0.25">
      <c r="A46" s="24">
        <f>IF(B46="","",SUBTOTAL(3,$B$4:B46))</f>
        <v>42</v>
      </c>
      <c r="B46" s="25" t="s">
        <v>77</v>
      </c>
      <c r="C46" s="25" t="str">
        <f t="shared" si="12"/>
        <v>Shipment 1 400</v>
      </c>
      <c r="D46" s="25" t="s">
        <v>76</v>
      </c>
      <c r="E46" s="25">
        <v>400</v>
      </c>
      <c r="F46" s="25"/>
      <c r="G46" s="65">
        <v>45990</v>
      </c>
      <c r="H46" s="25" t="s">
        <v>1257</v>
      </c>
      <c r="I46" s="25" t="s">
        <v>1253</v>
      </c>
      <c r="J46" s="26" t="s">
        <v>1302</v>
      </c>
      <c r="K46" s="27" t="s">
        <v>156</v>
      </c>
      <c r="L46" s="28" t="s">
        <v>157</v>
      </c>
      <c r="M46" s="28" t="s">
        <v>158</v>
      </c>
      <c r="N46" s="25">
        <v>1</v>
      </c>
      <c r="O46" s="29">
        <v>2977.64</v>
      </c>
      <c r="P46" s="29">
        <v>2977.64</v>
      </c>
      <c r="Q46" s="25" t="s">
        <v>436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23"/>
        <v>2977.6400000000003</v>
      </c>
      <c r="AF46" s="32">
        <f t="shared" si="24"/>
        <v>0</v>
      </c>
      <c r="AG46" s="30"/>
      <c r="AH46" s="33">
        <v>1</v>
      </c>
      <c r="AI46" s="34">
        <f t="shared" si="25"/>
        <v>2977.64</v>
      </c>
      <c r="AJ46" s="35">
        <v>45986</v>
      </c>
      <c r="AK46" s="30">
        <v>1</v>
      </c>
      <c r="AL46" s="36">
        <f t="shared" si="26"/>
        <v>2977.64</v>
      </c>
      <c r="AM46" s="35">
        <v>45992</v>
      </c>
      <c r="AN46" s="30">
        <v>1</v>
      </c>
      <c r="AO46" s="36">
        <f t="shared" si="27"/>
        <v>2977.64</v>
      </c>
      <c r="AP46" s="35">
        <v>46164</v>
      </c>
      <c r="AQ46" s="30">
        <v>1</v>
      </c>
      <c r="AR46" s="36">
        <f t="shared" si="28"/>
        <v>2977.64</v>
      </c>
      <c r="AS46" s="27" t="s">
        <v>1286</v>
      </c>
      <c r="AT46" s="37">
        <v>46196</v>
      </c>
      <c r="AU46" s="30">
        <v>1</v>
      </c>
      <c r="AV46" s="36">
        <f t="shared" si="29"/>
        <v>2977.64</v>
      </c>
      <c r="AW46" s="35">
        <v>46202</v>
      </c>
      <c r="AX46" s="30">
        <v>1</v>
      </c>
      <c r="AY46" s="32">
        <f t="shared" si="30"/>
        <v>2977.64</v>
      </c>
      <c r="AZ46" s="30" t="s">
        <v>85</v>
      </c>
      <c r="BA46" s="63" t="s">
        <v>1292</v>
      </c>
      <c r="BB46" s="71"/>
      <c r="BC46" s="71" t="s">
        <v>157</v>
      </c>
      <c r="BD46" s="71"/>
    </row>
    <row r="47" spans="1:56" x14ac:dyDescent="0.25">
      <c r="A47" s="24">
        <f>IF(B47="","",SUBTOTAL(3,$B$4:B47))</f>
        <v>43</v>
      </c>
      <c r="B47" s="25" t="s">
        <v>77</v>
      </c>
      <c r="C47" s="25" t="str">
        <f t="shared" si="12"/>
        <v>Shipment 1 400</v>
      </c>
      <c r="D47" s="25" t="s">
        <v>76</v>
      </c>
      <c r="E47" s="25">
        <v>400</v>
      </c>
      <c r="F47" s="25"/>
      <c r="G47" s="65">
        <v>45990</v>
      </c>
      <c r="H47" s="25" t="s">
        <v>1257</v>
      </c>
      <c r="I47" s="25" t="s">
        <v>1253</v>
      </c>
      <c r="J47" s="26" t="s">
        <v>1302</v>
      </c>
      <c r="K47" s="27" t="s">
        <v>159</v>
      </c>
      <c r="L47" s="28" t="s">
        <v>160</v>
      </c>
      <c r="M47" s="28" t="s">
        <v>158</v>
      </c>
      <c r="N47" s="25">
        <v>1</v>
      </c>
      <c r="O47" s="29">
        <v>2938.3</v>
      </c>
      <c r="P47" s="29">
        <v>2938.3</v>
      </c>
      <c r="Q47" s="25" t="s">
        <v>437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23"/>
        <v>2938.3</v>
      </c>
      <c r="AF47" s="32">
        <f t="shared" si="24"/>
        <v>0</v>
      </c>
      <c r="AG47" s="30"/>
      <c r="AH47" s="33">
        <v>1</v>
      </c>
      <c r="AI47" s="34">
        <f t="shared" si="25"/>
        <v>2938.3</v>
      </c>
      <c r="AJ47" s="35">
        <v>45986</v>
      </c>
      <c r="AK47" s="30">
        <v>1</v>
      </c>
      <c r="AL47" s="36">
        <f t="shared" si="26"/>
        <v>2938.3</v>
      </c>
      <c r="AM47" s="35">
        <v>46058</v>
      </c>
      <c r="AN47" s="30">
        <v>1</v>
      </c>
      <c r="AO47" s="36">
        <f t="shared" si="27"/>
        <v>2938.3</v>
      </c>
      <c r="AP47" s="35">
        <v>46164</v>
      </c>
      <c r="AQ47" s="30">
        <v>1</v>
      </c>
      <c r="AR47" s="36">
        <f t="shared" si="28"/>
        <v>2938.3</v>
      </c>
      <c r="AS47" s="27" t="s">
        <v>1286</v>
      </c>
      <c r="AT47" s="37">
        <v>46196</v>
      </c>
      <c r="AU47" s="30">
        <v>1</v>
      </c>
      <c r="AV47" s="36">
        <f t="shared" si="29"/>
        <v>2938.3</v>
      </c>
      <c r="AW47" s="35">
        <v>46202</v>
      </c>
      <c r="AX47" s="30">
        <v>1</v>
      </c>
      <c r="AY47" s="32">
        <f t="shared" ref="AY47:AY49" si="32">IFERROR(AX47*$P47/$N47,0)</f>
        <v>2938.3</v>
      </c>
      <c r="AZ47" s="30" t="s">
        <v>85</v>
      </c>
      <c r="BA47" s="63" t="s">
        <v>1292</v>
      </c>
      <c r="BB47" s="71"/>
      <c r="BC47" s="71" t="s">
        <v>160</v>
      </c>
      <c r="BD47" s="71"/>
    </row>
    <row r="48" spans="1:56" x14ac:dyDescent="0.25">
      <c r="A48" s="24">
        <f>IF(B48="","",SUBTOTAL(3,$B$4:B48))</f>
        <v>44</v>
      </c>
      <c r="B48" s="25" t="s">
        <v>77</v>
      </c>
      <c r="C48" s="25" t="str">
        <f t="shared" si="12"/>
        <v>Shipment 1 400</v>
      </c>
      <c r="D48" s="25" t="s">
        <v>76</v>
      </c>
      <c r="E48" s="25">
        <v>400</v>
      </c>
      <c r="F48" s="25"/>
      <c r="G48" s="65">
        <v>45990</v>
      </c>
      <c r="H48" s="25" t="s">
        <v>1257</v>
      </c>
      <c r="I48" s="25" t="s">
        <v>1253</v>
      </c>
      <c r="J48" s="26" t="s">
        <v>1302</v>
      </c>
      <c r="K48" s="27" t="s">
        <v>161</v>
      </c>
      <c r="L48" s="28" t="s">
        <v>162</v>
      </c>
      <c r="M48" s="28" t="s">
        <v>158</v>
      </c>
      <c r="N48" s="25">
        <v>1</v>
      </c>
      <c r="O48" s="29">
        <v>298.39999999999998</v>
      </c>
      <c r="P48" s="29">
        <v>298.39999999999998</v>
      </c>
      <c r="Q48" s="25" t="s">
        <v>438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23"/>
        <v>298.39999999999998</v>
      </c>
      <c r="AF48" s="32">
        <f t="shared" si="24"/>
        <v>0</v>
      </c>
      <c r="AG48" s="30"/>
      <c r="AH48" s="33">
        <v>1</v>
      </c>
      <c r="AI48" s="34">
        <f t="shared" si="25"/>
        <v>298.39999999999998</v>
      </c>
      <c r="AJ48" s="35">
        <v>46045</v>
      </c>
      <c r="AK48" s="30">
        <v>1</v>
      </c>
      <c r="AL48" s="36">
        <f t="shared" si="26"/>
        <v>298.39999999999998</v>
      </c>
      <c r="AM48" s="35">
        <v>46058</v>
      </c>
      <c r="AN48" s="30">
        <v>1</v>
      </c>
      <c r="AO48" s="36">
        <f t="shared" si="27"/>
        <v>298.39999999999998</v>
      </c>
      <c r="AP48" s="35">
        <v>46164</v>
      </c>
      <c r="AQ48" s="30">
        <v>1</v>
      </c>
      <c r="AR48" s="36">
        <f t="shared" si="28"/>
        <v>298.39999999999998</v>
      </c>
      <c r="AS48" s="27" t="s">
        <v>1286</v>
      </c>
      <c r="AT48" s="37">
        <v>46196</v>
      </c>
      <c r="AU48" s="30">
        <v>1</v>
      </c>
      <c r="AV48" s="36">
        <f t="shared" si="29"/>
        <v>298.39999999999998</v>
      </c>
      <c r="AW48" s="35">
        <v>46202</v>
      </c>
      <c r="AX48" s="30">
        <v>1</v>
      </c>
      <c r="AY48" s="32">
        <f t="shared" si="32"/>
        <v>298.39999999999998</v>
      </c>
      <c r="AZ48" s="30" t="s">
        <v>85</v>
      </c>
      <c r="BA48" s="63" t="s">
        <v>1292</v>
      </c>
      <c r="BB48" s="71"/>
      <c r="BC48" s="71" t="s">
        <v>162</v>
      </c>
      <c r="BD48" s="71"/>
    </row>
    <row r="49" spans="1:56" x14ac:dyDescent="0.25">
      <c r="A49" s="24">
        <f>IF(B49="","",SUBTOTAL(3,$B$4:B49))</f>
        <v>45</v>
      </c>
      <c r="B49" s="25" t="s">
        <v>77</v>
      </c>
      <c r="C49" s="25" t="str">
        <f t="shared" si="12"/>
        <v>Shipment 1 400</v>
      </c>
      <c r="D49" s="25" t="s">
        <v>76</v>
      </c>
      <c r="E49" s="25">
        <v>400</v>
      </c>
      <c r="F49" s="25"/>
      <c r="G49" s="65">
        <v>45990</v>
      </c>
      <c r="H49" s="25" t="s">
        <v>1257</v>
      </c>
      <c r="I49" s="25" t="s">
        <v>1253</v>
      </c>
      <c r="J49" s="26" t="s">
        <v>1302</v>
      </c>
      <c r="K49" s="27" t="s">
        <v>163</v>
      </c>
      <c r="L49" s="28" t="s">
        <v>164</v>
      </c>
      <c r="M49" s="28" t="s">
        <v>158</v>
      </c>
      <c r="N49" s="25">
        <v>1</v>
      </c>
      <c r="O49" s="29">
        <v>298.39999999999998</v>
      </c>
      <c r="P49" s="29">
        <v>298.39999999999998</v>
      </c>
      <c r="Q49" s="25" t="s">
        <v>438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23"/>
        <v>298.39999999999998</v>
      </c>
      <c r="AF49" s="32">
        <f t="shared" si="24"/>
        <v>0</v>
      </c>
      <c r="AG49" s="30"/>
      <c r="AH49" s="33">
        <v>1</v>
      </c>
      <c r="AI49" s="34">
        <f t="shared" si="25"/>
        <v>298.39999999999998</v>
      </c>
      <c r="AJ49" s="35">
        <v>46045</v>
      </c>
      <c r="AK49" s="30">
        <v>1</v>
      </c>
      <c r="AL49" s="36">
        <f t="shared" si="26"/>
        <v>298.39999999999998</v>
      </c>
      <c r="AM49" s="35">
        <v>46058</v>
      </c>
      <c r="AN49" s="30">
        <v>1</v>
      </c>
      <c r="AO49" s="36">
        <f t="shared" si="27"/>
        <v>298.39999999999998</v>
      </c>
      <c r="AP49" s="35">
        <v>46164</v>
      </c>
      <c r="AQ49" s="30">
        <v>1</v>
      </c>
      <c r="AR49" s="36">
        <f t="shared" si="28"/>
        <v>298.39999999999998</v>
      </c>
      <c r="AS49" s="27" t="s">
        <v>1286</v>
      </c>
      <c r="AT49" s="37">
        <v>46196</v>
      </c>
      <c r="AU49" s="30">
        <v>1</v>
      </c>
      <c r="AV49" s="36">
        <f t="shared" si="29"/>
        <v>298.39999999999998</v>
      </c>
      <c r="AW49" s="35">
        <v>46202</v>
      </c>
      <c r="AX49" s="30">
        <v>1</v>
      </c>
      <c r="AY49" s="32">
        <f t="shared" si="32"/>
        <v>298.39999999999998</v>
      </c>
      <c r="AZ49" s="30" t="s">
        <v>85</v>
      </c>
      <c r="BA49" s="63" t="s">
        <v>1292</v>
      </c>
      <c r="BB49" s="71"/>
      <c r="BC49" s="71" t="s">
        <v>164</v>
      </c>
      <c r="BD49" s="71"/>
    </row>
    <row r="50" spans="1:56" x14ac:dyDescent="0.25">
      <c r="A50" s="24">
        <f>IF(B50="","",SUBTOTAL(3,$B$4:B50))</f>
        <v>46</v>
      </c>
      <c r="B50" s="25" t="s">
        <v>77</v>
      </c>
      <c r="C50" s="25" t="str">
        <f t="shared" si="12"/>
        <v>Shipment 1 400</v>
      </c>
      <c r="D50" s="25" t="s">
        <v>76</v>
      </c>
      <c r="E50" s="25">
        <v>400</v>
      </c>
      <c r="F50" s="25"/>
      <c r="G50" s="65">
        <v>45990</v>
      </c>
      <c r="H50" s="25" t="s">
        <v>1257</v>
      </c>
      <c r="I50" s="25" t="s">
        <v>1253</v>
      </c>
      <c r="J50" s="26" t="s">
        <v>1302</v>
      </c>
      <c r="K50" s="27" t="s">
        <v>165</v>
      </c>
      <c r="L50" s="28" t="s">
        <v>166</v>
      </c>
      <c r="M50" s="28" t="s">
        <v>167</v>
      </c>
      <c r="N50" s="25">
        <v>1</v>
      </c>
      <c r="O50" s="29">
        <v>2890.1</v>
      </c>
      <c r="P50" s="29">
        <v>2890.1</v>
      </c>
      <c r="Q50" s="25" t="s">
        <v>439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23"/>
        <v>2890.1000000000004</v>
      </c>
      <c r="AF50" s="32">
        <f t="shared" si="24"/>
        <v>0</v>
      </c>
      <c r="AG50" s="30"/>
      <c r="AH50" s="33">
        <v>1</v>
      </c>
      <c r="AI50" s="34">
        <f t="shared" si="25"/>
        <v>2890.1</v>
      </c>
      <c r="AJ50" s="35">
        <v>45980</v>
      </c>
      <c r="AK50" s="30">
        <v>1</v>
      </c>
      <c r="AL50" s="36">
        <f t="shared" si="26"/>
        <v>2890.1</v>
      </c>
      <c r="AM50" s="35">
        <v>45987</v>
      </c>
      <c r="AN50" s="30">
        <v>1</v>
      </c>
      <c r="AO50" s="36">
        <f t="shared" si="27"/>
        <v>2890.1</v>
      </c>
      <c r="AP50" s="35">
        <v>46164</v>
      </c>
      <c r="AQ50" s="30">
        <v>1</v>
      </c>
      <c r="AR50" s="36">
        <f t="shared" si="28"/>
        <v>2890.1</v>
      </c>
      <c r="AS50" s="27" t="s">
        <v>1281</v>
      </c>
      <c r="AT50" s="37">
        <v>46176</v>
      </c>
      <c r="AU50" s="30">
        <v>1</v>
      </c>
      <c r="AV50" s="36">
        <f t="shared" si="29"/>
        <v>2890.1</v>
      </c>
      <c r="AW50" s="35">
        <v>46178</v>
      </c>
      <c r="AX50" s="30">
        <v>1</v>
      </c>
      <c r="AY50" s="32">
        <f t="shared" si="30"/>
        <v>2890.1</v>
      </c>
      <c r="AZ50" s="30" t="s">
        <v>85</v>
      </c>
      <c r="BA50" s="63" t="s">
        <v>1282</v>
      </c>
      <c r="BB50" s="71"/>
      <c r="BC50" s="71" t="s">
        <v>166</v>
      </c>
      <c r="BD50" s="71"/>
    </row>
    <row r="51" spans="1:56" x14ac:dyDescent="0.25">
      <c r="A51" s="24">
        <f>IF(B51="","",SUBTOTAL(3,$B$4:B51))</f>
        <v>47</v>
      </c>
      <c r="B51" s="25" t="s">
        <v>77</v>
      </c>
      <c r="C51" s="25" t="str">
        <f t="shared" si="12"/>
        <v>Shipment 1 400</v>
      </c>
      <c r="D51" s="25" t="s">
        <v>76</v>
      </c>
      <c r="E51" s="25">
        <v>400</v>
      </c>
      <c r="F51" s="25"/>
      <c r="G51" s="65">
        <v>45990</v>
      </c>
      <c r="H51" s="25" t="s">
        <v>1257</v>
      </c>
      <c r="I51" s="25" t="s">
        <v>1253</v>
      </c>
      <c r="J51" s="26" t="s">
        <v>1302</v>
      </c>
      <c r="K51" s="27" t="s">
        <v>168</v>
      </c>
      <c r="L51" s="28" t="s">
        <v>169</v>
      </c>
      <c r="M51" s="28" t="s">
        <v>167</v>
      </c>
      <c r="N51" s="25">
        <v>1</v>
      </c>
      <c r="O51" s="29">
        <v>1543.4</v>
      </c>
      <c r="P51" s="29">
        <v>1543.4</v>
      </c>
      <c r="Q51" s="25" t="s">
        <v>440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23"/>
        <v>1543.4</v>
      </c>
      <c r="AF51" s="32">
        <f t="shared" si="24"/>
        <v>0</v>
      </c>
      <c r="AG51" s="30"/>
      <c r="AH51" s="33">
        <v>1</v>
      </c>
      <c r="AI51" s="34">
        <f t="shared" si="25"/>
        <v>1543.4</v>
      </c>
      <c r="AJ51" s="35">
        <v>45987</v>
      </c>
      <c r="AK51" s="30">
        <v>1</v>
      </c>
      <c r="AL51" s="36">
        <f t="shared" si="26"/>
        <v>1543.4</v>
      </c>
      <c r="AM51" s="35">
        <v>45993</v>
      </c>
      <c r="AN51" s="30">
        <v>1</v>
      </c>
      <c r="AO51" s="36">
        <f t="shared" si="27"/>
        <v>1543.4</v>
      </c>
      <c r="AP51" s="35">
        <v>46164</v>
      </c>
      <c r="AQ51" s="30">
        <v>1</v>
      </c>
      <c r="AR51" s="36">
        <f t="shared" si="28"/>
        <v>1543.4</v>
      </c>
      <c r="AS51" s="27" t="s">
        <v>1281</v>
      </c>
      <c r="AT51" s="37">
        <v>46176</v>
      </c>
      <c r="AU51" s="30">
        <v>1</v>
      </c>
      <c r="AV51" s="36">
        <f t="shared" si="29"/>
        <v>1543.4</v>
      </c>
      <c r="AW51" s="35">
        <v>46178</v>
      </c>
      <c r="AX51" s="30">
        <v>1</v>
      </c>
      <c r="AY51" s="32">
        <f t="shared" ref="AY51:AY55" si="33">IFERROR(AX51*$P51/$N51,0)</f>
        <v>1543.4</v>
      </c>
      <c r="AZ51" s="30" t="s">
        <v>85</v>
      </c>
      <c r="BA51" s="63" t="s">
        <v>1282</v>
      </c>
      <c r="BB51" s="71"/>
      <c r="BC51" s="71" t="s">
        <v>169</v>
      </c>
      <c r="BD51" s="71"/>
    </row>
    <row r="52" spans="1:56" x14ac:dyDescent="0.25">
      <c r="A52" s="24">
        <f>IF(B52="","",SUBTOTAL(3,$B$4:B52))</f>
        <v>48</v>
      </c>
      <c r="B52" s="25" t="s">
        <v>77</v>
      </c>
      <c r="C52" s="25" t="str">
        <f t="shared" si="12"/>
        <v>Shipment 1 400</v>
      </c>
      <c r="D52" s="25" t="s">
        <v>76</v>
      </c>
      <c r="E52" s="25">
        <v>400</v>
      </c>
      <c r="F52" s="25"/>
      <c r="G52" s="65">
        <v>45990</v>
      </c>
      <c r="H52" s="25" t="s">
        <v>1257</v>
      </c>
      <c r="I52" s="25" t="s">
        <v>1253</v>
      </c>
      <c r="J52" s="26" t="s">
        <v>1302</v>
      </c>
      <c r="K52" s="27" t="s">
        <v>170</v>
      </c>
      <c r="L52" s="28" t="s">
        <v>171</v>
      </c>
      <c r="M52" s="28" t="s">
        <v>167</v>
      </c>
      <c r="N52" s="25">
        <v>1</v>
      </c>
      <c r="O52" s="29">
        <v>1888.9</v>
      </c>
      <c r="P52" s="29">
        <v>1888.9</v>
      </c>
      <c r="Q52" s="25" t="s">
        <v>441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23"/>
        <v>1888.9000000000003</v>
      </c>
      <c r="AF52" s="32">
        <f t="shared" si="24"/>
        <v>0</v>
      </c>
      <c r="AG52" s="30"/>
      <c r="AH52" s="33">
        <v>1</v>
      </c>
      <c r="AI52" s="34">
        <f t="shared" si="25"/>
        <v>1888.9</v>
      </c>
      <c r="AJ52" s="35">
        <v>45987</v>
      </c>
      <c r="AK52" s="30">
        <v>1</v>
      </c>
      <c r="AL52" s="36">
        <f t="shared" si="26"/>
        <v>1888.9</v>
      </c>
      <c r="AM52" s="35">
        <v>45997</v>
      </c>
      <c r="AN52" s="30">
        <v>1</v>
      </c>
      <c r="AO52" s="36">
        <f t="shared" si="27"/>
        <v>1888.9</v>
      </c>
      <c r="AP52" s="35">
        <v>46164</v>
      </c>
      <c r="AQ52" s="30">
        <v>1</v>
      </c>
      <c r="AR52" s="36">
        <f t="shared" si="28"/>
        <v>1888.9</v>
      </c>
      <c r="AS52" s="27" t="s">
        <v>1281</v>
      </c>
      <c r="AT52" s="37">
        <v>46176</v>
      </c>
      <c r="AU52" s="30">
        <v>1</v>
      </c>
      <c r="AV52" s="36">
        <f t="shared" si="29"/>
        <v>1888.9</v>
      </c>
      <c r="AW52" s="35">
        <v>46178</v>
      </c>
      <c r="AX52" s="30">
        <v>1</v>
      </c>
      <c r="AY52" s="32">
        <f t="shared" si="33"/>
        <v>1888.9</v>
      </c>
      <c r="AZ52" s="30" t="s">
        <v>85</v>
      </c>
      <c r="BA52" s="63" t="s">
        <v>1282</v>
      </c>
      <c r="BB52" s="71"/>
      <c r="BC52" s="71" t="s">
        <v>171</v>
      </c>
      <c r="BD52" s="71"/>
    </row>
    <row r="53" spans="1:56" x14ac:dyDescent="0.25">
      <c r="A53" s="24">
        <f>IF(B53="","",SUBTOTAL(3,$B$4:B53))</f>
        <v>49</v>
      </c>
      <c r="B53" s="25" t="s">
        <v>77</v>
      </c>
      <c r="C53" s="25" t="str">
        <f t="shared" si="12"/>
        <v>Shipment 1 400</v>
      </c>
      <c r="D53" s="25" t="s">
        <v>76</v>
      </c>
      <c r="E53" s="25">
        <v>400</v>
      </c>
      <c r="F53" s="25"/>
      <c r="G53" s="65">
        <v>45990</v>
      </c>
      <c r="H53" s="25" t="s">
        <v>1257</v>
      </c>
      <c r="I53" s="25" t="s">
        <v>1253</v>
      </c>
      <c r="J53" s="26" t="s">
        <v>1302</v>
      </c>
      <c r="K53" s="27" t="s">
        <v>172</v>
      </c>
      <c r="L53" s="28" t="s">
        <v>173</v>
      </c>
      <c r="M53" s="28" t="s">
        <v>167</v>
      </c>
      <c r="N53" s="25">
        <v>1</v>
      </c>
      <c r="O53" s="29">
        <v>1893</v>
      </c>
      <c r="P53" s="29">
        <v>1893</v>
      </c>
      <c r="Q53" s="25" t="s">
        <v>442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23"/>
        <v>1893</v>
      </c>
      <c r="AF53" s="32">
        <f t="shared" si="24"/>
        <v>0</v>
      </c>
      <c r="AG53" s="30"/>
      <c r="AH53" s="33">
        <v>1</v>
      </c>
      <c r="AI53" s="34">
        <f t="shared" si="25"/>
        <v>1893</v>
      </c>
      <c r="AJ53" s="35">
        <v>45987</v>
      </c>
      <c r="AK53" s="30">
        <v>1</v>
      </c>
      <c r="AL53" s="36">
        <f t="shared" si="26"/>
        <v>1893</v>
      </c>
      <c r="AM53" s="35">
        <v>46004</v>
      </c>
      <c r="AN53" s="30">
        <v>1</v>
      </c>
      <c r="AO53" s="36">
        <f t="shared" si="27"/>
        <v>1893</v>
      </c>
      <c r="AP53" s="35">
        <v>46164</v>
      </c>
      <c r="AQ53" s="30">
        <v>1</v>
      </c>
      <c r="AR53" s="36">
        <f t="shared" si="28"/>
        <v>1893</v>
      </c>
      <c r="AS53" s="27" t="s">
        <v>1281</v>
      </c>
      <c r="AT53" s="37">
        <v>46176</v>
      </c>
      <c r="AU53" s="30">
        <v>1</v>
      </c>
      <c r="AV53" s="36">
        <f t="shared" si="29"/>
        <v>1893</v>
      </c>
      <c r="AW53" s="35">
        <v>46178</v>
      </c>
      <c r="AX53" s="30">
        <v>1</v>
      </c>
      <c r="AY53" s="32">
        <f t="shared" si="33"/>
        <v>1893</v>
      </c>
      <c r="AZ53" s="30" t="s">
        <v>85</v>
      </c>
      <c r="BA53" s="63" t="s">
        <v>1282</v>
      </c>
      <c r="BB53" s="71"/>
      <c r="BC53" s="71" t="s">
        <v>173</v>
      </c>
      <c r="BD53" s="71"/>
    </row>
    <row r="54" spans="1:56" x14ac:dyDescent="0.25">
      <c r="A54" s="24">
        <f>IF(B54="","",SUBTOTAL(3,$B$4:B54))</f>
        <v>50</v>
      </c>
      <c r="B54" s="25" t="s">
        <v>77</v>
      </c>
      <c r="C54" s="25" t="str">
        <f t="shared" si="12"/>
        <v>Shipment 1 400</v>
      </c>
      <c r="D54" s="25" t="s">
        <v>76</v>
      </c>
      <c r="E54" s="25">
        <v>400</v>
      </c>
      <c r="F54" s="25"/>
      <c r="G54" s="65">
        <v>45990</v>
      </c>
      <c r="H54" s="25" t="s">
        <v>1257</v>
      </c>
      <c r="I54" s="25" t="s">
        <v>1253</v>
      </c>
      <c r="J54" s="26" t="s">
        <v>1302</v>
      </c>
      <c r="K54" s="27" t="s">
        <v>174</v>
      </c>
      <c r="L54" s="28" t="s">
        <v>175</v>
      </c>
      <c r="M54" s="28" t="s">
        <v>167</v>
      </c>
      <c r="N54" s="25">
        <v>1</v>
      </c>
      <c r="O54" s="29">
        <v>2832.8</v>
      </c>
      <c r="P54" s="29">
        <v>2832.8</v>
      </c>
      <c r="Q54" s="25" t="s">
        <v>443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23"/>
        <v>2832.8000000000006</v>
      </c>
      <c r="AF54" s="32">
        <f t="shared" si="24"/>
        <v>0</v>
      </c>
      <c r="AG54" s="30"/>
      <c r="AH54" s="33">
        <v>1</v>
      </c>
      <c r="AI54" s="34">
        <f t="shared" si="25"/>
        <v>2832.8</v>
      </c>
      <c r="AJ54" s="35">
        <v>45997</v>
      </c>
      <c r="AK54" s="30">
        <v>1</v>
      </c>
      <c r="AL54" s="36">
        <f t="shared" si="26"/>
        <v>2832.8</v>
      </c>
      <c r="AM54" s="35">
        <v>46007</v>
      </c>
      <c r="AN54" s="30">
        <v>1</v>
      </c>
      <c r="AO54" s="36">
        <f t="shared" si="27"/>
        <v>2832.8</v>
      </c>
      <c r="AP54" s="35">
        <v>46164</v>
      </c>
      <c r="AQ54" s="30">
        <v>1</v>
      </c>
      <c r="AR54" s="36">
        <f t="shared" si="28"/>
        <v>2832.8</v>
      </c>
      <c r="AS54" s="27" t="s">
        <v>1281</v>
      </c>
      <c r="AT54" s="37">
        <v>46176</v>
      </c>
      <c r="AU54" s="30">
        <v>1</v>
      </c>
      <c r="AV54" s="36">
        <f t="shared" si="29"/>
        <v>2832.8</v>
      </c>
      <c r="AW54" s="35">
        <v>46178</v>
      </c>
      <c r="AX54" s="30">
        <v>1</v>
      </c>
      <c r="AY54" s="32">
        <f t="shared" si="33"/>
        <v>2832.8</v>
      </c>
      <c r="AZ54" s="30" t="s">
        <v>85</v>
      </c>
      <c r="BA54" s="63" t="s">
        <v>1282</v>
      </c>
      <c r="BB54" s="71"/>
      <c r="BC54" s="71" t="s">
        <v>175</v>
      </c>
      <c r="BD54" s="71"/>
    </row>
    <row r="55" spans="1:56" x14ac:dyDescent="0.25">
      <c r="A55" s="24">
        <f>IF(B55="","",SUBTOTAL(3,$B$4:B55))</f>
        <v>51</v>
      </c>
      <c r="B55" s="25" t="s">
        <v>77</v>
      </c>
      <c r="C55" s="25" t="str">
        <f t="shared" si="12"/>
        <v>Shipment 1 400</v>
      </c>
      <c r="D55" s="25" t="s">
        <v>76</v>
      </c>
      <c r="E55" s="25">
        <v>400</v>
      </c>
      <c r="F55" s="25"/>
      <c r="G55" s="65">
        <v>45990</v>
      </c>
      <c r="H55" s="25" t="s">
        <v>1257</v>
      </c>
      <c r="I55" s="25" t="s">
        <v>1253</v>
      </c>
      <c r="J55" s="26" t="s">
        <v>1302</v>
      </c>
      <c r="K55" s="27" t="s">
        <v>176</v>
      </c>
      <c r="L55" s="28" t="s">
        <v>177</v>
      </c>
      <c r="M55" s="28" t="s">
        <v>167</v>
      </c>
      <c r="N55" s="25">
        <v>1</v>
      </c>
      <c r="O55" s="29">
        <v>1541.1</v>
      </c>
      <c r="P55" s="29">
        <v>1541.1</v>
      </c>
      <c r="Q55" s="25" t="s">
        <v>444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23"/>
        <v>1541.1</v>
      </c>
      <c r="AF55" s="32">
        <f t="shared" si="24"/>
        <v>0</v>
      </c>
      <c r="AG55" s="30"/>
      <c r="AH55" s="33">
        <v>1</v>
      </c>
      <c r="AI55" s="34">
        <f t="shared" si="25"/>
        <v>1541.1</v>
      </c>
      <c r="AJ55" s="35">
        <v>45997</v>
      </c>
      <c r="AK55" s="30">
        <v>1</v>
      </c>
      <c r="AL55" s="36">
        <f t="shared" si="26"/>
        <v>1541.1</v>
      </c>
      <c r="AM55" s="35">
        <v>46009</v>
      </c>
      <c r="AN55" s="30">
        <v>1</v>
      </c>
      <c r="AO55" s="36">
        <f t="shared" si="27"/>
        <v>1541.1</v>
      </c>
      <c r="AP55" s="35">
        <v>46164</v>
      </c>
      <c r="AQ55" s="30">
        <v>1</v>
      </c>
      <c r="AR55" s="36">
        <f t="shared" si="28"/>
        <v>1541.1</v>
      </c>
      <c r="AS55" s="27" t="s">
        <v>1281</v>
      </c>
      <c r="AT55" s="37">
        <v>46176</v>
      </c>
      <c r="AU55" s="30">
        <v>1</v>
      </c>
      <c r="AV55" s="36">
        <f t="shared" si="29"/>
        <v>1541.1</v>
      </c>
      <c r="AW55" s="35">
        <v>46178</v>
      </c>
      <c r="AX55" s="30">
        <v>1</v>
      </c>
      <c r="AY55" s="32">
        <f t="shared" si="33"/>
        <v>1541.1</v>
      </c>
      <c r="AZ55" s="30" t="s">
        <v>85</v>
      </c>
      <c r="BA55" s="63" t="s">
        <v>1282</v>
      </c>
      <c r="BB55" s="71"/>
      <c r="BC55" s="71" t="s">
        <v>177</v>
      </c>
      <c r="BD55" s="71"/>
    </row>
    <row r="56" spans="1:56" x14ac:dyDescent="0.25">
      <c r="A56" s="24">
        <f>IF(B56="","",SUBTOTAL(3,$B$4:B56))</f>
        <v>52</v>
      </c>
      <c r="B56" s="25" t="s">
        <v>77</v>
      </c>
      <c r="C56" s="25" t="str">
        <f t="shared" si="12"/>
        <v>Shipment 1 400</v>
      </c>
      <c r="D56" s="25" t="s">
        <v>76</v>
      </c>
      <c r="E56" s="25">
        <v>400</v>
      </c>
      <c r="F56" s="25"/>
      <c r="G56" s="65">
        <v>45990</v>
      </c>
      <c r="H56" s="25" t="s">
        <v>1257</v>
      </c>
      <c r="I56" s="25" t="s">
        <v>1253</v>
      </c>
      <c r="J56" s="26" t="s">
        <v>1302</v>
      </c>
      <c r="K56" s="27" t="s">
        <v>178</v>
      </c>
      <c r="L56" s="28" t="s">
        <v>179</v>
      </c>
      <c r="M56" s="28" t="s">
        <v>167</v>
      </c>
      <c r="N56" s="25">
        <v>1</v>
      </c>
      <c r="O56" s="29">
        <v>2878.93</v>
      </c>
      <c r="P56" s="29">
        <v>2878.93</v>
      </c>
      <c r="Q56" s="25" t="s">
        <v>443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23"/>
        <v>2878.93</v>
      </c>
      <c r="AF56" s="32">
        <f t="shared" si="24"/>
        <v>0</v>
      </c>
      <c r="AG56" s="30"/>
      <c r="AH56" s="33">
        <v>1</v>
      </c>
      <c r="AI56" s="34">
        <f t="shared" si="25"/>
        <v>2878.93</v>
      </c>
      <c r="AJ56" s="35">
        <v>46003</v>
      </c>
      <c r="AK56" s="30">
        <v>1</v>
      </c>
      <c r="AL56" s="36">
        <f t="shared" si="26"/>
        <v>2878.93</v>
      </c>
      <c r="AM56" s="35">
        <v>46009</v>
      </c>
      <c r="AN56" s="30">
        <v>1</v>
      </c>
      <c r="AO56" s="36">
        <f t="shared" si="27"/>
        <v>2878.93</v>
      </c>
      <c r="AP56" s="35">
        <v>46164</v>
      </c>
      <c r="AQ56" s="30">
        <v>1</v>
      </c>
      <c r="AR56" s="36">
        <f t="shared" si="28"/>
        <v>2878.93</v>
      </c>
      <c r="AS56" s="27" t="s">
        <v>1284</v>
      </c>
      <c r="AT56" s="37">
        <v>46181</v>
      </c>
      <c r="AU56" s="30">
        <v>1</v>
      </c>
      <c r="AV56" s="36">
        <f t="shared" si="29"/>
        <v>2878.93</v>
      </c>
      <c r="AW56" s="35">
        <v>46184</v>
      </c>
      <c r="AX56" s="30">
        <v>1</v>
      </c>
      <c r="AY56" s="32">
        <f t="shared" si="30"/>
        <v>2878.93</v>
      </c>
      <c r="AZ56" s="30" t="s">
        <v>85</v>
      </c>
      <c r="BA56" s="63" t="s">
        <v>1286</v>
      </c>
      <c r="BB56" s="71"/>
      <c r="BC56" s="71" t="s">
        <v>179</v>
      </c>
      <c r="BD56" s="71"/>
    </row>
    <row r="57" spans="1:56" x14ac:dyDescent="0.25">
      <c r="A57" s="24">
        <f>IF(B57="","",SUBTOTAL(3,$B$4:B57))</f>
        <v>53</v>
      </c>
      <c r="B57" s="25" t="s">
        <v>77</v>
      </c>
      <c r="C57" s="25" t="str">
        <f t="shared" si="12"/>
        <v>Shipment 1 400</v>
      </c>
      <c r="D57" s="25" t="s">
        <v>76</v>
      </c>
      <c r="E57" s="25">
        <v>400</v>
      </c>
      <c r="F57" s="25"/>
      <c r="G57" s="65">
        <v>45990</v>
      </c>
      <c r="H57" s="25" t="s">
        <v>1257</v>
      </c>
      <c r="I57" s="25" t="s">
        <v>1253</v>
      </c>
      <c r="J57" s="26" t="s">
        <v>1302</v>
      </c>
      <c r="K57" s="27" t="s">
        <v>180</v>
      </c>
      <c r="L57" s="28" t="s">
        <v>181</v>
      </c>
      <c r="M57" s="28" t="s">
        <v>167</v>
      </c>
      <c r="N57" s="25">
        <v>1</v>
      </c>
      <c r="O57" s="29">
        <v>1545.6</v>
      </c>
      <c r="P57" s="29">
        <v>1545.6</v>
      </c>
      <c r="Q57" s="25" t="s">
        <v>445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23"/>
        <v>1545.6</v>
      </c>
      <c r="AF57" s="32">
        <f t="shared" si="24"/>
        <v>0</v>
      </c>
      <c r="AG57" s="30"/>
      <c r="AH57" s="33">
        <v>1</v>
      </c>
      <c r="AI57" s="34">
        <f t="shared" si="25"/>
        <v>1545.6</v>
      </c>
      <c r="AJ57" s="35">
        <v>46003</v>
      </c>
      <c r="AK57" s="30">
        <v>1</v>
      </c>
      <c r="AL57" s="36">
        <f t="shared" si="26"/>
        <v>1545.6</v>
      </c>
      <c r="AM57" s="35">
        <v>46009</v>
      </c>
      <c r="AN57" s="30">
        <v>1</v>
      </c>
      <c r="AO57" s="36">
        <f t="shared" si="27"/>
        <v>1545.6</v>
      </c>
      <c r="AP57" s="35">
        <v>46164</v>
      </c>
      <c r="AQ57" s="30">
        <v>1</v>
      </c>
      <c r="AR57" s="36">
        <f t="shared" si="28"/>
        <v>1545.6</v>
      </c>
      <c r="AS57" s="27" t="s">
        <v>1281</v>
      </c>
      <c r="AT57" s="37">
        <v>46176</v>
      </c>
      <c r="AU57" s="30">
        <v>1</v>
      </c>
      <c r="AV57" s="36">
        <f t="shared" si="29"/>
        <v>1545.6</v>
      </c>
      <c r="AW57" s="35">
        <v>46178</v>
      </c>
      <c r="AX57" s="30">
        <v>1</v>
      </c>
      <c r="AY57" s="32">
        <f t="shared" ref="AY57:AY60" si="34">IFERROR(AX57*$P57/$N57,0)</f>
        <v>1545.6</v>
      </c>
      <c r="AZ57" s="30" t="s">
        <v>85</v>
      </c>
      <c r="BA57" s="63" t="s">
        <v>1282</v>
      </c>
      <c r="BB57" s="71"/>
      <c r="BC57" s="71" t="s">
        <v>181</v>
      </c>
      <c r="BD57" s="71"/>
    </row>
    <row r="58" spans="1:56" x14ac:dyDescent="0.25">
      <c r="A58" s="24">
        <f>IF(B58="","",SUBTOTAL(3,$B$4:B58))</f>
        <v>54</v>
      </c>
      <c r="B58" s="25" t="s">
        <v>77</v>
      </c>
      <c r="C58" s="25" t="str">
        <f t="shared" si="12"/>
        <v>Shipment 1 400</v>
      </c>
      <c r="D58" s="25" t="s">
        <v>76</v>
      </c>
      <c r="E58" s="25">
        <v>400</v>
      </c>
      <c r="F58" s="25"/>
      <c r="G58" s="65">
        <v>45990</v>
      </c>
      <c r="H58" s="25" t="s">
        <v>1257</v>
      </c>
      <c r="I58" s="25" t="s">
        <v>1253</v>
      </c>
      <c r="J58" s="26" t="s">
        <v>1302</v>
      </c>
      <c r="K58" s="27" t="s">
        <v>182</v>
      </c>
      <c r="L58" s="28" t="s">
        <v>183</v>
      </c>
      <c r="M58" s="28" t="s">
        <v>167</v>
      </c>
      <c r="N58" s="25">
        <v>1</v>
      </c>
      <c r="O58" s="29">
        <v>1880.5</v>
      </c>
      <c r="P58" s="29">
        <v>1880.5</v>
      </c>
      <c r="Q58" s="25" t="s">
        <v>441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23"/>
        <v>1880.5</v>
      </c>
      <c r="AF58" s="32">
        <f t="shared" si="24"/>
        <v>0</v>
      </c>
      <c r="AG58" s="30"/>
      <c r="AH58" s="33">
        <v>1</v>
      </c>
      <c r="AI58" s="34">
        <f t="shared" si="25"/>
        <v>1880.5</v>
      </c>
      <c r="AJ58" s="35">
        <v>46003</v>
      </c>
      <c r="AK58" s="30">
        <v>1</v>
      </c>
      <c r="AL58" s="36">
        <f t="shared" si="26"/>
        <v>1880.5</v>
      </c>
      <c r="AM58" s="35">
        <v>46009</v>
      </c>
      <c r="AN58" s="30">
        <v>1</v>
      </c>
      <c r="AO58" s="36">
        <f t="shared" si="27"/>
        <v>1880.5</v>
      </c>
      <c r="AP58" s="35">
        <v>46164</v>
      </c>
      <c r="AQ58" s="30">
        <v>1</v>
      </c>
      <c r="AR58" s="36">
        <f t="shared" si="28"/>
        <v>1880.5</v>
      </c>
      <c r="AS58" s="27" t="s">
        <v>1284</v>
      </c>
      <c r="AT58" s="37">
        <v>46181</v>
      </c>
      <c r="AU58" s="30">
        <v>1</v>
      </c>
      <c r="AV58" s="36">
        <f t="shared" si="29"/>
        <v>1880.5</v>
      </c>
      <c r="AW58" s="35">
        <v>46184</v>
      </c>
      <c r="AX58" s="30">
        <v>1</v>
      </c>
      <c r="AY58" s="32">
        <f t="shared" si="34"/>
        <v>1880.5</v>
      </c>
      <c r="AZ58" s="30" t="s">
        <v>85</v>
      </c>
      <c r="BA58" s="63" t="s">
        <v>1286</v>
      </c>
      <c r="BB58" s="71"/>
      <c r="BC58" s="71" t="s">
        <v>183</v>
      </c>
      <c r="BD58" s="71"/>
    </row>
    <row r="59" spans="1:56" x14ac:dyDescent="0.25">
      <c r="A59" s="24">
        <f>IF(B59="","",SUBTOTAL(3,$B$4:B59))</f>
        <v>55</v>
      </c>
      <c r="B59" s="25" t="s">
        <v>77</v>
      </c>
      <c r="C59" s="25" t="str">
        <f t="shared" si="12"/>
        <v>Shipment 1 400</v>
      </c>
      <c r="D59" s="25" t="s">
        <v>76</v>
      </c>
      <c r="E59" s="25">
        <v>400</v>
      </c>
      <c r="F59" s="25"/>
      <c r="G59" s="65">
        <v>45990</v>
      </c>
      <c r="H59" s="25" t="s">
        <v>1257</v>
      </c>
      <c r="I59" s="25" t="s">
        <v>1253</v>
      </c>
      <c r="J59" s="26" t="s">
        <v>1302</v>
      </c>
      <c r="K59" s="27" t="s">
        <v>184</v>
      </c>
      <c r="L59" s="28" t="s">
        <v>185</v>
      </c>
      <c r="M59" s="28" t="s">
        <v>167</v>
      </c>
      <c r="N59" s="25">
        <v>1</v>
      </c>
      <c r="O59" s="29">
        <v>1896.7</v>
      </c>
      <c r="P59" s="29">
        <v>1896.7</v>
      </c>
      <c r="Q59" s="25" t="s">
        <v>442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23"/>
        <v>1896.7000000000003</v>
      </c>
      <c r="AF59" s="32">
        <f t="shared" si="24"/>
        <v>0</v>
      </c>
      <c r="AG59" s="30"/>
      <c r="AH59" s="33">
        <v>1</v>
      </c>
      <c r="AI59" s="34">
        <f t="shared" si="25"/>
        <v>1896.7</v>
      </c>
      <c r="AJ59" s="35">
        <v>46007</v>
      </c>
      <c r="AK59" s="30">
        <v>1</v>
      </c>
      <c r="AL59" s="36">
        <f t="shared" si="26"/>
        <v>1896.7</v>
      </c>
      <c r="AM59" s="35">
        <v>46013</v>
      </c>
      <c r="AN59" s="30">
        <v>1</v>
      </c>
      <c r="AO59" s="36">
        <f t="shared" si="27"/>
        <v>1896.7</v>
      </c>
      <c r="AP59" s="35">
        <v>46164</v>
      </c>
      <c r="AQ59" s="30">
        <v>1</v>
      </c>
      <c r="AR59" s="36">
        <f t="shared" si="28"/>
        <v>1896.7</v>
      </c>
      <c r="AS59" s="27" t="s">
        <v>1284</v>
      </c>
      <c r="AT59" s="37">
        <v>46181</v>
      </c>
      <c r="AU59" s="30">
        <v>1</v>
      </c>
      <c r="AV59" s="36">
        <f t="shared" si="29"/>
        <v>1896.7</v>
      </c>
      <c r="AW59" s="35">
        <v>46184</v>
      </c>
      <c r="AX59" s="30">
        <v>1</v>
      </c>
      <c r="AY59" s="32">
        <f t="shared" si="34"/>
        <v>1896.7</v>
      </c>
      <c r="AZ59" s="30" t="s">
        <v>85</v>
      </c>
      <c r="BA59" s="63" t="s">
        <v>1286</v>
      </c>
      <c r="BB59" s="71"/>
      <c r="BC59" s="71" t="s">
        <v>185</v>
      </c>
      <c r="BD59" s="71"/>
    </row>
    <row r="60" spans="1:56" x14ac:dyDescent="0.25">
      <c r="A60" s="24">
        <f>IF(B60="","",SUBTOTAL(3,$B$4:B60))</f>
        <v>56</v>
      </c>
      <c r="B60" s="25" t="s">
        <v>77</v>
      </c>
      <c r="C60" s="25" t="str">
        <f t="shared" si="12"/>
        <v>Shipment 1 400</v>
      </c>
      <c r="D60" s="25" t="s">
        <v>76</v>
      </c>
      <c r="E60" s="25">
        <v>400</v>
      </c>
      <c r="F60" s="25"/>
      <c r="G60" s="65">
        <v>45990</v>
      </c>
      <c r="H60" s="25" t="s">
        <v>1257</v>
      </c>
      <c r="I60" s="25" t="s">
        <v>1253</v>
      </c>
      <c r="J60" s="26" t="s">
        <v>1302</v>
      </c>
      <c r="K60" s="27" t="s">
        <v>186</v>
      </c>
      <c r="L60" s="28" t="s">
        <v>187</v>
      </c>
      <c r="M60" s="28" t="s">
        <v>167</v>
      </c>
      <c r="N60" s="25">
        <v>1</v>
      </c>
      <c r="O60" s="29">
        <v>2891.53</v>
      </c>
      <c r="P60" s="29">
        <v>2891.53</v>
      </c>
      <c r="Q60" s="25" t="s">
        <v>439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23"/>
        <v>2891.5300000000007</v>
      </c>
      <c r="AF60" s="32">
        <f t="shared" si="24"/>
        <v>0</v>
      </c>
      <c r="AG60" s="30"/>
      <c r="AH60" s="33">
        <v>1</v>
      </c>
      <c r="AI60" s="34">
        <f t="shared" si="25"/>
        <v>2891.53</v>
      </c>
      <c r="AJ60" s="35">
        <v>46007</v>
      </c>
      <c r="AK60" s="30">
        <v>1</v>
      </c>
      <c r="AL60" s="36">
        <f t="shared" si="26"/>
        <v>2891.53</v>
      </c>
      <c r="AM60" s="35">
        <v>46013</v>
      </c>
      <c r="AN60" s="30">
        <v>1</v>
      </c>
      <c r="AO60" s="36">
        <f t="shared" si="27"/>
        <v>2891.53</v>
      </c>
      <c r="AP60" s="35">
        <v>46164</v>
      </c>
      <c r="AQ60" s="30">
        <v>1</v>
      </c>
      <c r="AR60" s="36">
        <f t="shared" si="28"/>
        <v>2891.53</v>
      </c>
      <c r="AS60" s="27" t="s">
        <v>1284</v>
      </c>
      <c r="AT60" s="37">
        <v>46181</v>
      </c>
      <c r="AU60" s="30">
        <v>1</v>
      </c>
      <c r="AV60" s="36">
        <f t="shared" si="29"/>
        <v>2891.53</v>
      </c>
      <c r="AW60" s="35">
        <v>46184</v>
      </c>
      <c r="AX60" s="30">
        <v>1</v>
      </c>
      <c r="AY60" s="32">
        <f t="shared" si="34"/>
        <v>2891.53</v>
      </c>
      <c r="AZ60" s="30" t="s">
        <v>85</v>
      </c>
      <c r="BA60" s="63" t="s">
        <v>1286</v>
      </c>
      <c r="BB60" s="71"/>
      <c r="BC60" s="71" t="s">
        <v>187</v>
      </c>
      <c r="BD60" s="71"/>
    </row>
    <row r="61" spans="1:56" x14ac:dyDescent="0.25">
      <c r="A61" s="24">
        <f>IF(B61="","",SUBTOTAL(3,$B$4:B61))</f>
        <v>57</v>
      </c>
      <c r="B61" s="25" t="s">
        <v>77</v>
      </c>
      <c r="C61" s="25" t="str">
        <f t="shared" si="12"/>
        <v>Shipment 1 400</v>
      </c>
      <c r="D61" s="25" t="s">
        <v>76</v>
      </c>
      <c r="E61" s="25">
        <v>400</v>
      </c>
      <c r="F61" s="25"/>
      <c r="G61" s="65">
        <v>45990</v>
      </c>
      <c r="H61" s="25" t="s">
        <v>1257</v>
      </c>
      <c r="I61" s="25" t="s">
        <v>1253</v>
      </c>
      <c r="J61" s="26" t="s">
        <v>1302</v>
      </c>
      <c r="K61" s="27" t="s">
        <v>188</v>
      </c>
      <c r="L61" s="28" t="s">
        <v>189</v>
      </c>
      <c r="M61" s="28" t="s">
        <v>167</v>
      </c>
      <c r="N61" s="25">
        <v>1</v>
      </c>
      <c r="O61" s="29">
        <v>1542.88</v>
      </c>
      <c r="P61" s="29">
        <v>1542.88</v>
      </c>
      <c r="Q61" s="25" t="s">
        <v>444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23"/>
        <v>1542.88</v>
      </c>
      <c r="AF61" s="32">
        <f t="shared" si="24"/>
        <v>0</v>
      </c>
      <c r="AG61" s="30"/>
      <c r="AH61" s="33">
        <v>1</v>
      </c>
      <c r="AI61" s="34">
        <f t="shared" si="25"/>
        <v>1542.88</v>
      </c>
      <c r="AJ61" s="35">
        <v>46007</v>
      </c>
      <c r="AK61" s="30">
        <v>1</v>
      </c>
      <c r="AL61" s="36">
        <f t="shared" si="26"/>
        <v>1542.88</v>
      </c>
      <c r="AM61" s="35">
        <v>46013</v>
      </c>
      <c r="AN61" s="30">
        <v>1</v>
      </c>
      <c r="AO61" s="36">
        <f t="shared" si="27"/>
        <v>1542.88</v>
      </c>
      <c r="AP61" s="35">
        <v>46164</v>
      </c>
      <c r="AQ61" s="30">
        <v>1</v>
      </c>
      <c r="AR61" s="36">
        <f t="shared" si="28"/>
        <v>1542.88</v>
      </c>
      <c r="AS61" s="27" t="s">
        <v>1281</v>
      </c>
      <c r="AT61" s="37">
        <v>46176</v>
      </c>
      <c r="AU61" s="30">
        <v>1</v>
      </c>
      <c r="AV61" s="36">
        <f t="shared" si="29"/>
        <v>1542.88</v>
      </c>
      <c r="AW61" s="35">
        <v>46178</v>
      </c>
      <c r="AX61" s="30">
        <v>1</v>
      </c>
      <c r="AY61" s="32">
        <f t="shared" ref="AY61:AY63" si="35">IFERROR(AX61*$P61/$N61,0)</f>
        <v>1542.88</v>
      </c>
      <c r="AZ61" s="30" t="s">
        <v>85</v>
      </c>
      <c r="BA61" s="63" t="s">
        <v>1282</v>
      </c>
      <c r="BB61" s="71"/>
      <c r="BC61" s="71" t="s">
        <v>189</v>
      </c>
      <c r="BD61" s="71"/>
    </row>
    <row r="62" spans="1:56" x14ac:dyDescent="0.25">
      <c r="A62" s="24">
        <f>IF(B62="","",SUBTOTAL(3,$B$4:B62))</f>
        <v>58</v>
      </c>
      <c r="B62" s="25" t="s">
        <v>77</v>
      </c>
      <c r="C62" s="25" t="str">
        <f t="shared" si="12"/>
        <v>Shipment 1 400</v>
      </c>
      <c r="D62" s="25" t="s">
        <v>76</v>
      </c>
      <c r="E62" s="25">
        <v>400</v>
      </c>
      <c r="F62" s="25"/>
      <c r="G62" s="65">
        <v>45990</v>
      </c>
      <c r="H62" s="25" t="s">
        <v>1257</v>
      </c>
      <c r="I62" s="25" t="s">
        <v>1253</v>
      </c>
      <c r="J62" s="26" t="s">
        <v>1302</v>
      </c>
      <c r="K62" s="27" t="s">
        <v>190</v>
      </c>
      <c r="L62" s="28" t="s">
        <v>191</v>
      </c>
      <c r="M62" s="28" t="s">
        <v>167</v>
      </c>
      <c r="N62" s="25">
        <v>1</v>
      </c>
      <c r="O62" s="29">
        <v>1370.6</v>
      </c>
      <c r="P62" s="29">
        <v>1370.6</v>
      </c>
      <c r="Q62" s="25" t="s">
        <v>446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23"/>
        <v>1370.6</v>
      </c>
      <c r="AF62" s="32">
        <f t="shared" si="24"/>
        <v>0</v>
      </c>
      <c r="AG62" s="30"/>
      <c r="AH62" s="33">
        <v>1</v>
      </c>
      <c r="AI62" s="34">
        <f t="shared" si="25"/>
        <v>1370.6</v>
      </c>
      <c r="AJ62" s="35">
        <v>46007</v>
      </c>
      <c r="AK62" s="30">
        <v>1</v>
      </c>
      <c r="AL62" s="36">
        <f t="shared" si="26"/>
        <v>1370.6</v>
      </c>
      <c r="AM62" s="35">
        <v>46014</v>
      </c>
      <c r="AN62" s="30">
        <v>1</v>
      </c>
      <c r="AO62" s="36">
        <f t="shared" si="27"/>
        <v>1370.6</v>
      </c>
      <c r="AP62" s="35">
        <v>46164</v>
      </c>
      <c r="AQ62" s="30">
        <v>1</v>
      </c>
      <c r="AR62" s="36">
        <f t="shared" si="28"/>
        <v>1370.6</v>
      </c>
      <c r="AS62" s="27" t="s">
        <v>1286</v>
      </c>
      <c r="AT62" s="37">
        <v>46196</v>
      </c>
      <c r="AU62" s="30">
        <v>1</v>
      </c>
      <c r="AV62" s="36">
        <f t="shared" si="29"/>
        <v>1370.6</v>
      </c>
      <c r="AW62" s="35">
        <v>46202</v>
      </c>
      <c r="AX62" s="30">
        <v>1</v>
      </c>
      <c r="AY62" s="32">
        <f t="shared" si="35"/>
        <v>1370.6</v>
      </c>
      <c r="AZ62" s="30" t="s">
        <v>85</v>
      </c>
      <c r="BA62" s="63" t="s">
        <v>1292</v>
      </c>
      <c r="BB62" s="71"/>
      <c r="BC62" s="71" t="s">
        <v>191</v>
      </c>
      <c r="BD62" s="71"/>
    </row>
    <row r="63" spans="1:56" x14ac:dyDescent="0.25">
      <c r="A63" s="24">
        <f>IF(B63="","",SUBTOTAL(3,$B$4:B63))</f>
        <v>59</v>
      </c>
      <c r="B63" s="25" t="s">
        <v>77</v>
      </c>
      <c r="C63" s="25" t="str">
        <f t="shared" si="12"/>
        <v>Shipment 1 400</v>
      </c>
      <c r="D63" s="25" t="s">
        <v>76</v>
      </c>
      <c r="E63" s="25">
        <v>400</v>
      </c>
      <c r="F63" s="25"/>
      <c r="G63" s="65">
        <v>45990</v>
      </c>
      <c r="H63" s="25" t="s">
        <v>1257</v>
      </c>
      <c r="I63" s="25" t="s">
        <v>1253</v>
      </c>
      <c r="J63" s="26" t="s">
        <v>1302</v>
      </c>
      <c r="K63" s="27" t="s">
        <v>192</v>
      </c>
      <c r="L63" s="28" t="s">
        <v>193</v>
      </c>
      <c r="M63" s="28" t="s">
        <v>167</v>
      </c>
      <c r="N63" s="25">
        <v>1</v>
      </c>
      <c r="O63" s="29">
        <v>1370.6</v>
      </c>
      <c r="P63" s="29">
        <v>1370.6</v>
      </c>
      <c r="Q63" s="25" t="s">
        <v>446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23"/>
        <v>1370.6</v>
      </c>
      <c r="AF63" s="32">
        <f t="shared" si="24"/>
        <v>0</v>
      </c>
      <c r="AG63" s="30"/>
      <c r="AH63" s="33">
        <v>1</v>
      </c>
      <c r="AI63" s="34">
        <f t="shared" si="25"/>
        <v>1370.6</v>
      </c>
      <c r="AJ63" s="35">
        <v>46011</v>
      </c>
      <c r="AK63" s="30">
        <v>1</v>
      </c>
      <c r="AL63" s="36">
        <f t="shared" si="26"/>
        <v>1370.6</v>
      </c>
      <c r="AM63" s="35">
        <v>46028</v>
      </c>
      <c r="AN63" s="30">
        <v>1</v>
      </c>
      <c r="AO63" s="36">
        <f t="shared" si="27"/>
        <v>1370.6</v>
      </c>
      <c r="AP63" s="35">
        <v>46164</v>
      </c>
      <c r="AQ63" s="30">
        <v>1</v>
      </c>
      <c r="AR63" s="36">
        <f t="shared" si="28"/>
        <v>1370.6</v>
      </c>
      <c r="AS63" s="27" t="s">
        <v>1286</v>
      </c>
      <c r="AT63" s="37">
        <v>46196</v>
      </c>
      <c r="AU63" s="30">
        <v>1</v>
      </c>
      <c r="AV63" s="36">
        <f t="shared" si="29"/>
        <v>1370.6</v>
      </c>
      <c r="AW63" s="35">
        <v>46202</v>
      </c>
      <c r="AX63" s="30">
        <v>1</v>
      </c>
      <c r="AY63" s="32">
        <f t="shared" si="35"/>
        <v>1370.6</v>
      </c>
      <c r="AZ63" s="30" t="s">
        <v>85</v>
      </c>
      <c r="BA63" s="63" t="s">
        <v>1292</v>
      </c>
      <c r="BB63" s="71"/>
      <c r="BC63" s="71" t="s">
        <v>193</v>
      </c>
      <c r="BD63" s="71"/>
    </row>
    <row r="64" spans="1:56" x14ac:dyDescent="0.25">
      <c r="A64" s="24">
        <f>IF(B64="","",SUBTOTAL(3,$B$4:B64))</f>
        <v>60</v>
      </c>
      <c r="B64" s="25" t="s">
        <v>77</v>
      </c>
      <c r="C64" s="25" t="str">
        <f t="shared" si="12"/>
        <v>Shipment 1 400</v>
      </c>
      <c r="D64" s="25" t="s">
        <v>76</v>
      </c>
      <c r="E64" s="25">
        <v>400</v>
      </c>
      <c r="F64" s="25"/>
      <c r="G64" s="65">
        <v>45990</v>
      </c>
      <c r="H64" s="25" t="s">
        <v>1257</v>
      </c>
      <c r="I64" s="25" t="s">
        <v>1253</v>
      </c>
      <c r="J64" s="26" t="s">
        <v>1302</v>
      </c>
      <c r="K64" s="27" t="s">
        <v>194</v>
      </c>
      <c r="L64" s="28" t="s">
        <v>195</v>
      </c>
      <c r="M64" s="28" t="s">
        <v>167</v>
      </c>
      <c r="N64" s="25">
        <v>1</v>
      </c>
      <c r="O64" s="29">
        <v>222.6</v>
      </c>
      <c r="P64" s="29">
        <v>222.6</v>
      </c>
      <c r="Q64" s="25" t="s">
        <v>447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23"/>
        <v>222.6</v>
      </c>
      <c r="AF64" s="32">
        <f t="shared" si="24"/>
        <v>0</v>
      </c>
      <c r="AG64" s="30"/>
      <c r="AH64" s="33">
        <v>1</v>
      </c>
      <c r="AI64" s="34">
        <f t="shared" si="25"/>
        <v>222.6</v>
      </c>
      <c r="AJ64" s="35">
        <v>46011</v>
      </c>
      <c r="AK64" s="30">
        <v>1</v>
      </c>
      <c r="AL64" s="36">
        <f t="shared" si="26"/>
        <v>222.6</v>
      </c>
      <c r="AM64" s="35">
        <v>46022</v>
      </c>
      <c r="AN64" s="30">
        <v>1</v>
      </c>
      <c r="AO64" s="36">
        <f t="shared" si="27"/>
        <v>222.6</v>
      </c>
      <c r="AP64" s="35">
        <v>46164</v>
      </c>
      <c r="AQ64" s="30">
        <v>1</v>
      </c>
      <c r="AR64" s="36">
        <f t="shared" si="28"/>
        <v>222.6</v>
      </c>
      <c r="AS64" s="27" t="s">
        <v>1298</v>
      </c>
      <c r="AT64" s="37">
        <v>46213</v>
      </c>
      <c r="AU64" s="30">
        <v>1</v>
      </c>
      <c r="AV64" s="36">
        <f t="shared" si="29"/>
        <v>222.6</v>
      </c>
      <c r="AW64" s="35">
        <v>46218</v>
      </c>
      <c r="AX64" s="30">
        <v>1</v>
      </c>
      <c r="AY64" s="32">
        <f t="shared" si="30"/>
        <v>222.6</v>
      </c>
      <c r="AZ64" s="30" t="s">
        <v>85</v>
      </c>
      <c r="BA64" s="63" t="s">
        <v>1299</v>
      </c>
      <c r="BB64" s="71"/>
      <c r="BC64" s="71" t="s">
        <v>195</v>
      </c>
      <c r="BD64" s="71"/>
    </row>
    <row r="65" spans="1:56" x14ac:dyDescent="0.25">
      <c r="A65" s="24">
        <f>IF(B65="","",SUBTOTAL(3,$B$4:B65))</f>
        <v>61</v>
      </c>
      <c r="B65" s="25" t="s">
        <v>77</v>
      </c>
      <c r="C65" s="25" t="str">
        <f t="shared" si="12"/>
        <v>Shipment 1 400</v>
      </c>
      <c r="D65" s="25" t="s">
        <v>76</v>
      </c>
      <c r="E65" s="25">
        <v>400</v>
      </c>
      <c r="F65" s="25"/>
      <c r="G65" s="65">
        <v>45990</v>
      </c>
      <c r="H65" s="25" t="s">
        <v>1257</v>
      </c>
      <c r="I65" s="25" t="s">
        <v>1253</v>
      </c>
      <c r="J65" s="26" t="s">
        <v>1302</v>
      </c>
      <c r="K65" s="27" t="s">
        <v>196</v>
      </c>
      <c r="L65" s="28" t="s">
        <v>197</v>
      </c>
      <c r="M65" s="28" t="s">
        <v>167</v>
      </c>
      <c r="N65" s="25">
        <v>1</v>
      </c>
      <c r="O65" s="29">
        <v>222.6</v>
      </c>
      <c r="P65" s="29">
        <v>222.6</v>
      </c>
      <c r="Q65" s="25" t="s">
        <v>447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23"/>
        <v>222.6</v>
      </c>
      <c r="AF65" s="32">
        <f t="shared" si="24"/>
        <v>0</v>
      </c>
      <c r="AG65" s="30"/>
      <c r="AH65" s="33">
        <v>1</v>
      </c>
      <c r="AI65" s="34">
        <f t="shared" si="25"/>
        <v>222.6</v>
      </c>
      <c r="AJ65" s="35">
        <v>46011</v>
      </c>
      <c r="AK65" s="30">
        <v>1</v>
      </c>
      <c r="AL65" s="36">
        <f t="shared" si="26"/>
        <v>222.6</v>
      </c>
      <c r="AM65" s="35">
        <v>46022</v>
      </c>
      <c r="AN65" s="30">
        <v>1</v>
      </c>
      <c r="AO65" s="36">
        <f t="shared" si="27"/>
        <v>222.6</v>
      </c>
      <c r="AP65" s="35">
        <v>46164</v>
      </c>
      <c r="AQ65" s="30">
        <v>1</v>
      </c>
      <c r="AR65" s="36">
        <f t="shared" si="28"/>
        <v>222.6</v>
      </c>
      <c r="AS65" s="27" t="s">
        <v>1298</v>
      </c>
      <c r="AT65" s="37">
        <v>46213</v>
      </c>
      <c r="AU65" s="30">
        <v>1</v>
      </c>
      <c r="AV65" s="36">
        <f t="shared" si="29"/>
        <v>222.6</v>
      </c>
      <c r="AW65" s="35">
        <v>46218</v>
      </c>
      <c r="AX65" s="30">
        <v>1</v>
      </c>
      <c r="AY65" s="32">
        <f t="shared" ref="AY65" si="36">IFERROR(AX65*$P65/$N65,0)</f>
        <v>222.6</v>
      </c>
      <c r="AZ65" s="30" t="s">
        <v>85</v>
      </c>
      <c r="BA65" s="63" t="s">
        <v>1299</v>
      </c>
      <c r="BB65" s="71"/>
      <c r="BC65" s="71" t="s">
        <v>197</v>
      </c>
      <c r="BD65" s="71"/>
    </row>
    <row r="66" spans="1:56" x14ac:dyDescent="0.25">
      <c r="A66" s="24">
        <f>IF(B66="","",SUBTOTAL(3,$B$4:B66))</f>
        <v>62</v>
      </c>
      <c r="B66" s="25" t="s">
        <v>77</v>
      </c>
      <c r="C66" s="25" t="str">
        <f t="shared" si="12"/>
        <v>Shipment 1 400</v>
      </c>
      <c r="D66" s="25" t="s">
        <v>76</v>
      </c>
      <c r="E66" s="25">
        <v>400</v>
      </c>
      <c r="F66" s="25"/>
      <c r="G66" s="65">
        <v>45990</v>
      </c>
      <c r="H66" s="25" t="s">
        <v>1257</v>
      </c>
      <c r="I66" s="25" t="s">
        <v>1253</v>
      </c>
      <c r="J66" s="26" t="s">
        <v>1302</v>
      </c>
      <c r="K66" s="27" t="s">
        <v>198</v>
      </c>
      <c r="L66" s="28" t="s">
        <v>199</v>
      </c>
      <c r="M66" s="28" t="s">
        <v>167</v>
      </c>
      <c r="N66" s="25">
        <v>1</v>
      </c>
      <c r="O66" s="29">
        <v>898.7</v>
      </c>
      <c r="P66" s="29">
        <v>898.7</v>
      </c>
      <c r="Q66" s="25" t="s">
        <v>448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23"/>
        <v>898.7</v>
      </c>
      <c r="AF66" s="32">
        <f t="shared" si="24"/>
        <v>0</v>
      </c>
      <c r="AG66" s="30"/>
      <c r="AH66" s="33">
        <v>1</v>
      </c>
      <c r="AI66" s="34">
        <f t="shared" si="25"/>
        <v>898.7</v>
      </c>
      <c r="AJ66" s="35">
        <v>46011</v>
      </c>
      <c r="AK66" s="30">
        <v>1</v>
      </c>
      <c r="AL66" s="36">
        <f t="shared" si="26"/>
        <v>898.7</v>
      </c>
      <c r="AM66" s="35">
        <v>46028</v>
      </c>
      <c r="AN66" s="30">
        <v>1</v>
      </c>
      <c r="AO66" s="36">
        <f t="shared" si="27"/>
        <v>898.7</v>
      </c>
      <c r="AP66" s="35">
        <v>46164</v>
      </c>
      <c r="AQ66" s="30">
        <v>1</v>
      </c>
      <c r="AR66" s="36">
        <f t="shared" si="28"/>
        <v>898.7</v>
      </c>
      <c r="AS66" s="27" t="s">
        <v>1286</v>
      </c>
      <c r="AT66" s="37">
        <v>46196</v>
      </c>
      <c r="AU66" s="30">
        <v>1</v>
      </c>
      <c r="AV66" s="36">
        <f t="shared" si="29"/>
        <v>898.7</v>
      </c>
      <c r="AW66" s="35">
        <v>46202</v>
      </c>
      <c r="AX66" s="30">
        <v>1</v>
      </c>
      <c r="AY66" s="32">
        <f t="shared" ref="AY66" si="37">IFERROR(AX66*$P66/$N66,0)</f>
        <v>898.7</v>
      </c>
      <c r="AZ66" s="30" t="s">
        <v>85</v>
      </c>
      <c r="BA66" s="63" t="s">
        <v>1292</v>
      </c>
      <c r="BB66" s="71"/>
      <c r="BC66" s="71" t="s">
        <v>199</v>
      </c>
      <c r="BD66" s="71"/>
    </row>
    <row r="67" spans="1:56" x14ac:dyDescent="0.25">
      <c r="A67" s="24">
        <f>IF(B67="","",SUBTOTAL(3,$B$4:B67))</f>
        <v>63</v>
      </c>
      <c r="B67" s="25" t="s">
        <v>77</v>
      </c>
      <c r="C67" s="25" t="str">
        <f t="shared" si="12"/>
        <v>Shipment 1 400</v>
      </c>
      <c r="D67" s="25" t="s">
        <v>76</v>
      </c>
      <c r="E67" s="25">
        <v>400</v>
      </c>
      <c r="F67" s="25"/>
      <c r="G67" s="65">
        <v>45990</v>
      </c>
      <c r="H67" s="25" t="s">
        <v>1257</v>
      </c>
      <c r="I67" s="25" t="s">
        <v>1253</v>
      </c>
      <c r="J67" s="26" t="s">
        <v>1302</v>
      </c>
      <c r="K67" s="27" t="s">
        <v>200</v>
      </c>
      <c r="L67" s="28" t="s">
        <v>201</v>
      </c>
      <c r="M67" s="28" t="s">
        <v>167</v>
      </c>
      <c r="N67" s="25">
        <v>1</v>
      </c>
      <c r="O67" s="29">
        <v>890.2</v>
      </c>
      <c r="P67" s="29">
        <v>890.2</v>
      </c>
      <c r="Q67" s="25" t="s">
        <v>449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23"/>
        <v>890.2</v>
      </c>
      <c r="AF67" s="32">
        <f t="shared" si="24"/>
        <v>0</v>
      </c>
      <c r="AG67" s="30"/>
      <c r="AH67" s="33">
        <v>1</v>
      </c>
      <c r="AI67" s="34">
        <f t="shared" si="25"/>
        <v>890.2</v>
      </c>
      <c r="AJ67" s="35">
        <v>46011</v>
      </c>
      <c r="AK67" s="30">
        <v>1</v>
      </c>
      <c r="AL67" s="36">
        <f t="shared" si="26"/>
        <v>890.2</v>
      </c>
      <c r="AM67" s="35">
        <v>46028</v>
      </c>
      <c r="AN67" s="30">
        <v>1</v>
      </c>
      <c r="AO67" s="36">
        <f t="shared" si="27"/>
        <v>890.2</v>
      </c>
      <c r="AP67" s="35">
        <v>46164</v>
      </c>
      <c r="AQ67" s="30">
        <v>1</v>
      </c>
      <c r="AR67" s="36">
        <f t="shared" si="28"/>
        <v>890.2</v>
      </c>
      <c r="AS67" s="27" t="s">
        <v>1292</v>
      </c>
      <c r="AT67" s="37">
        <v>46198</v>
      </c>
      <c r="AU67" s="30">
        <v>1</v>
      </c>
      <c r="AV67" s="36">
        <f t="shared" si="29"/>
        <v>890.2</v>
      </c>
      <c r="AW67" s="35">
        <v>46202</v>
      </c>
      <c r="AX67" s="30">
        <v>1</v>
      </c>
      <c r="AY67" s="32">
        <f t="shared" si="30"/>
        <v>890.2</v>
      </c>
      <c r="AZ67" s="30" t="s">
        <v>85</v>
      </c>
      <c r="BA67" s="63" t="s">
        <v>1293</v>
      </c>
      <c r="BB67" s="71"/>
      <c r="BC67" s="71" t="s">
        <v>201</v>
      </c>
      <c r="BD67" s="71"/>
    </row>
    <row r="68" spans="1:56" x14ac:dyDescent="0.25">
      <c r="A68" s="24">
        <f>IF(B68="","",SUBTOTAL(3,$B$4:B68))</f>
        <v>64</v>
      </c>
      <c r="B68" s="25" t="s">
        <v>77</v>
      </c>
      <c r="C68" s="25" t="str">
        <f t="shared" si="12"/>
        <v>Shipment 1 400</v>
      </c>
      <c r="D68" s="25" t="s">
        <v>76</v>
      </c>
      <c r="E68" s="25">
        <v>400</v>
      </c>
      <c r="F68" s="25"/>
      <c r="G68" s="65">
        <v>45990</v>
      </c>
      <c r="H68" s="25" t="s">
        <v>1257</v>
      </c>
      <c r="I68" s="25" t="s">
        <v>1253</v>
      </c>
      <c r="J68" s="26" t="s">
        <v>1302</v>
      </c>
      <c r="K68" s="27" t="s">
        <v>202</v>
      </c>
      <c r="L68" s="28" t="s">
        <v>203</v>
      </c>
      <c r="M68" s="28" t="s">
        <v>167</v>
      </c>
      <c r="N68" s="25">
        <v>1</v>
      </c>
      <c r="O68" s="29">
        <v>890.2</v>
      </c>
      <c r="P68" s="29">
        <v>890.2</v>
      </c>
      <c r="Q68" s="25" t="s">
        <v>449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23"/>
        <v>890.2</v>
      </c>
      <c r="AF68" s="32">
        <f t="shared" si="24"/>
        <v>0</v>
      </c>
      <c r="AG68" s="30"/>
      <c r="AH68" s="33">
        <v>1</v>
      </c>
      <c r="AI68" s="34">
        <f t="shared" si="25"/>
        <v>890.2</v>
      </c>
      <c r="AJ68" s="35">
        <v>45993</v>
      </c>
      <c r="AK68" s="30">
        <v>1</v>
      </c>
      <c r="AL68" s="36">
        <f t="shared" si="26"/>
        <v>890.2</v>
      </c>
      <c r="AM68" s="35">
        <v>45996</v>
      </c>
      <c r="AN68" s="30">
        <v>1</v>
      </c>
      <c r="AO68" s="36">
        <f t="shared" si="27"/>
        <v>890.2</v>
      </c>
      <c r="AP68" s="35">
        <v>46164</v>
      </c>
      <c r="AQ68" s="30">
        <v>1</v>
      </c>
      <c r="AR68" s="36">
        <f t="shared" si="28"/>
        <v>890.2</v>
      </c>
      <c r="AS68" s="27" t="s">
        <v>1292</v>
      </c>
      <c r="AT68" s="37">
        <v>46198</v>
      </c>
      <c r="AU68" s="30">
        <v>1</v>
      </c>
      <c r="AV68" s="36">
        <f t="shared" si="29"/>
        <v>890.2</v>
      </c>
      <c r="AW68" s="35">
        <v>46202</v>
      </c>
      <c r="AX68" s="30">
        <v>1</v>
      </c>
      <c r="AY68" s="32">
        <f t="shared" ref="AY68:AY72" si="38">IFERROR(AX68*$P68/$N68,0)</f>
        <v>890.2</v>
      </c>
      <c r="AZ68" s="30" t="s">
        <v>85</v>
      </c>
      <c r="BA68" s="63" t="s">
        <v>1293</v>
      </c>
      <c r="BB68" s="71"/>
      <c r="BC68" s="71" t="s">
        <v>203</v>
      </c>
      <c r="BD68" s="71"/>
    </row>
    <row r="69" spans="1:56" x14ac:dyDescent="0.25">
      <c r="A69" s="24">
        <f>IF(B69="","",SUBTOTAL(3,$B$4:B69))</f>
        <v>65</v>
      </c>
      <c r="B69" s="25" t="s">
        <v>77</v>
      </c>
      <c r="C69" s="25" t="str">
        <f t="shared" si="12"/>
        <v>Shipment 1 400</v>
      </c>
      <c r="D69" s="25" t="s">
        <v>76</v>
      </c>
      <c r="E69" s="25">
        <v>400</v>
      </c>
      <c r="F69" s="25"/>
      <c r="G69" s="65">
        <v>45990</v>
      </c>
      <c r="H69" s="25" t="s">
        <v>1257</v>
      </c>
      <c r="I69" s="25" t="s">
        <v>1253</v>
      </c>
      <c r="J69" s="26" t="s">
        <v>1302</v>
      </c>
      <c r="K69" s="27" t="s">
        <v>204</v>
      </c>
      <c r="L69" s="28" t="s">
        <v>205</v>
      </c>
      <c r="M69" s="28" t="s">
        <v>167</v>
      </c>
      <c r="N69" s="25">
        <v>1</v>
      </c>
      <c r="O69" s="29">
        <v>894.12</v>
      </c>
      <c r="P69" s="29">
        <v>894.12</v>
      </c>
      <c r="Q69" s="25" t="s">
        <v>450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23"/>
        <v>894.12000000000012</v>
      </c>
      <c r="AF69" s="32">
        <f t="shared" si="24"/>
        <v>0</v>
      </c>
      <c r="AG69" s="30"/>
      <c r="AH69" s="33">
        <v>1</v>
      </c>
      <c r="AI69" s="34">
        <f t="shared" si="25"/>
        <v>894.12</v>
      </c>
      <c r="AJ69" s="35">
        <v>45993</v>
      </c>
      <c r="AK69" s="30">
        <v>1</v>
      </c>
      <c r="AL69" s="36">
        <f t="shared" si="26"/>
        <v>894.12</v>
      </c>
      <c r="AM69" s="35">
        <v>45996</v>
      </c>
      <c r="AN69" s="30">
        <v>1</v>
      </c>
      <c r="AO69" s="36">
        <f t="shared" si="27"/>
        <v>894.12</v>
      </c>
      <c r="AP69" s="35">
        <v>46164</v>
      </c>
      <c r="AQ69" s="30">
        <v>1</v>
      </c>
      <c r="AR69" s="36">
        <f t="shared" si="28"/>
        <v>894.12</v>
      </c>
      <c r="AS69" s="27" t="s">
        <v>1292</v>
      </c>
      <c r="AT69" s="37">
        <v>46198</v>
      </c>
      <c r="AU69" s="30">
        <v>1</v>
      </c>
      <c r="AV69" s="36">
        <f t="shared" si="29"/>
        <v>894.12</v>
      </c>
      <c r="AW69" s="35">
        <v>46202</v>
      </c>
      <c r="AX69" s="30">
        <v>1</v>
      </c>
      <c r="AY69" s="32">
        <f t="shared" si="38"/>
        <v>894.12</v>
      </c>
      <c r="AZ69" s="30" t="s">
        <v>85</v>
      </c>
      <c r="BA69" s="63" t="s">
        <v>1293</v>
      </c>
      <c r="BB69" s="71"/>
      <c r="BC69" s="71" t="s">
        <v>205</v>
      </c>
      <c r="BD69" s="71"/>
    </row>
    <row r="70" spans="1:56" x14ac:dyDescent="0.25">
      <c r="A70" s="24">
        <f>IF(B70="","",SUBTOTAL(3,$B$4:B70))</f>
        <v>66</v>
      </c>
      <c r="B70" s="25" t="s">
        <v>77</v>
      </c>
      <c r="C70" s="25" t="str">
        <f t="shared" si="12"/>
        <v>Shipment 1 400</v>
      </c>
      <c r="D70" s="25" t="s">
        <v>76</v>
      </c>
      <c r="E70" s="25">
        <v>400</v>
      </c>
      <c r="F70" s="25"/>
      <c r="G70" s="65">
        <v>45990</v>
      </c>
      <c r="H70" s="25" t="s">
        <v>1257</v>
      </c>
      <c r="I70" s="25" t="s">
        <v>1253</v>
      </c>
      <c r="J70" s="26" t="s">
        <v>1302</v>
      </c>
      <c r="K70" s="27" t="s">
        <v>206</v>
      </c>
      <c r="L70" s="28" t="s">
        <v>207</v>
      </c>
      <c r="M70" s="28" t="s">
        <v>167</v>
      </c>
      <c r="N70" s="25">
        <v>1</v>
      </c>
      <c r="O70" s="29">
        <v>946.5</v>
      </c>
      <c r="P70" s="29">
        <v>946.5</v>
      </c>
      <c r="Q70" s="25" t="s">
        <v>451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23"/>
        <v>946.5</v>
      </c>
      <c r="AF70" s="32">
        <f t="shared" si="24"/>
        <v>0</v>
      </c>
      <c r="AG70" s="30"/>
      <c r="AH70" s="33">
        <v>1</v>
      </c>
      <c r="AI70" s="34">
        <f t="shared" si="25"/>
        <v>946.5</v>
      </c>
      <c r="AJ70" s="35">
        <v>45996</v>
      </c>
      <c r="AK70" s="30">
        <v>1</v>
      </c>
      <c r="AL70" s="36">
        <f t="shared" si="26"/>
        <v>946.5</v>
      </c>
      <c r="AM70" s="35">
        <v>46029</v>
      </c>
      <c r="AN70" s="30">
        <v>1</v>
      </c>
      <c r="AO70" s="36">
        <f t="shared" si="27"/>
        <v>946.5</v>
      </c>
      <c r="AP70" s="35">
        <v>46164</v>
      </c>
      <c r="AQ70" s="30">
        <v>1</v>
      </c>
      <c r="AR70" s="36">
        <f t="shared" si="28"/>
        <v>946.5</v>
      </c>
      <c r="AS70" s="27" t="s">
        <v>1292</v>
      </c>
      <c r="AT70" s="37">
        <v>46173</v>
      </c>
      <c r="AU70" s="30">
        <v>1</v>
      </c>
      <c r="AV70" s="36">
        <f t="shared" si="29"/>
        <v>946.5</v>
      </c>
      <c r="AW70" s="35">
        <v>46202</v>
      </c>
      <c r="AX70" s="30">
        <v>1</v>
      </c>
      <c r="AY70" s="32">
        <f t="shared" si="38"/>
        <v>946.5</v>
      </c>
      <c r="AZ70" s="30" t="s">
        <v>85</v>
      </c>
      <c r="BA70" s="63" t="s">
        <v>1293</v>
      </c>
      <c r="BB70" s="71"/>
      <c r="BC70" s="71" t="s">
        <v>207</v>
      </c>
      <c r="BD70" s="71"/>
    </row>
    <row r="71" spans="1:56" x14ac:dyDescent="0.25">
      <c r="A71" s="24">
        <f>IF(B71="","",SUBTOTAL(3,$B$4:B71))</f>
        <v>67</v>
      </c>
      <c r="B71" s="25" t="s">
        <v>77</v>
      </c>
      <c r="C71" s="25" t="str">
        <f t="shared" si="12"/>
        <v>Shipment 1 400</v>
      </c>
      <c r="D71" s="25" t="s">
        <v>76</v>
      </c>
      <c r="E71" s="25">
        <v>400</v>
      </c>
      <c r="F71" s="25"/>
      <c r="G71" s="65">
        <v>45990</v>
      </c>
      <c r="H71" s="25" t="s">
        <v>1257</v>
      </c>
      <c r="I71" s="25" t="s">
        <v>1253</v>
      </c>
      <c r="J71" s="26" t="s">
        <v>1302</v>
      </c>
      <c r="K71" s="27" t="s">
        <v>208</v>
      </c>
      <c r="L71" s="28" t="s">
        <v>209</v>
      </c>
      <c r="M71" s="28" t="s">
        <v>167</v>
      </c>
      <c r="N71" s="25">
        <v>1</v>
      </c>
      <c r="O71" s="29">
        <v>946.5</v>
      </c>
      <c r="P71" s="29">
        <v>946.5</v>
      </c>
      <c r="Q71" s="25" t="s">
        <v>452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23"/>
        <v>946.5</v>
      </c>
      <c r="AF71" s="32">
        <f t="shared" si="24"/>
        <v>0</v>
      </c>
      <c r="AG71" s="30"/>
      <c r="AH71" s="33">
        <v>1</v>
      </c>
      <c r="AI71" s="34">
        <f t="shared" si="25"/>
        <v>946.5</v>
      </c>
      <c r="AJ71" s="35">
        <v>46022</v>
      </c>
      <c r="AK71" s="30">
        <v>1</v>
      </c>
      <c r="AL71" s="36">
        <f t="shared" si="26"/>
        <v>946.5</v>
      </c>
      <c r="AM71" s="35">
        <v>46029</v>
      </c>
      <c r="AN71" s="30">
        <v>1</v>
      </c>
      <c r="AO71" s="36">
        <f t="shared" si="27"/>
        <v>946.5</v>
      </c>
      <c r="AP71" s="35">
        <v>46164</v>
      </c>
      <c r="AQ71" s="30">
        <v>1</v>
      </c>
      <c r="AR71" s="36">
        <f t="shared" si="28"/>
        <v>946.5</v>
      </c>
      <c r="AS71" s="27" t="s">
        <v>1292</v>
      </c>
      <c r="AT71" s="37">
        <v>46173</v>
      </c>
      <c r="AU71" s="30">
        <v>1</v>
      </c>
      <c r="AV71" s="36">
        <f t="shared" si="29"/>
        <v>946.5</v>
      </c>
      <c r="AW71" s="35">
        <v>46202</v>
      </c>
      <c r="AX71" s="30">
        <v>1</v>
      </c>
      <c r="AY71" s="32">
        <f t="shared" si="38"/>
        <v>946.5</v>
      </c>
      <c r="AZ71" s="30" t="s">
        <v>85</v>
      </c>
      <c r="BA71" s="63" t="s">
        <v>1293</v>
      </c>
      <c r="BB71" s="71"/>
      <c r="BC71" s="71" t="s">
        <v>209</v>
      </c>
      <c r="BD71" s="71"/>
    </row>
    <row r="72" spans="1:56" x14ac:dyDescent="0.25">
      <c r="A72" s="24">
        <f>IF(B72="","",SUBTOTAL(3,$B$4:B72))</f>
        <v>68</v>
      </c>
      <c r="B72" s="25" t="s">
        <v>77</v>
      </c>
      <c r="C72" s="25" t="str">
        <f t="shared" si="12"/>
        <v>Shipment 1 400</v>
      </c>
      <c r="D72" s="25" t="s">
        <v>76</v>
      </c>
      <c r="E72" s="25">
        <v>400</v>
      </c>
      <c r="F72" s="25"/>
      <c r="G72" s="65">
        <v>45990</v>
      </c>
      <c r="H72" s="25" t="s">
        <v>1257</v>
      </c>
      <c r="I72" s="25" t="s">
        <v>1253</v>
      </c>
      <c r="J72" s="26" t="s">
        <v>1302</v>
      </c>
      <c r="K72" s="27" t="s">
        <v>210</v>
      </c>
      <c r="L72" s="28" t="s">
        <v>211</v>
      </c>
      <c r="M72" s="28" t="s">
        <v>167</v>
      </c>
      <c r="N72" s="25">
        <v>1</v>
      </c>
      <c r="O72" s="29">
        <v>946.5</v>
      </c>
      <c r="P72" s="29">
        <v>946.5</v>
      </c>
      <c r="Q72" s="25" t="s">
        <v>452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23"/>
        <v>946.5</v>
      </c>
      <c r="AF72" s="32">
        <f t="shared" si="24"/>
        <v>0</v>
      </c>
      <c r="AG72" s="30"/>
      <c r="AH72" s="33">
        <v>1</v>
      </c>
      <c r="AI72" s="34">
        <f t="shared" si="25"/>
        <v>946.5</v>
      </c>
      <c r="AJ72" s="35">
        <v>45993</v>
      </c>
      <c r="AK72" s="30">
        <v>1</v>
      </c>
      <c r="AL72" s="36">
        <f t="shared" si="26"/>
        <v>946.5</v>
      </c>
      <c r="AM72" s="35">
        <v>46062</v>
      </c>
      <c r="AN72" s="30">
        <v>1</v>
      </c>
      <c r="AO72" s="36">
        <f t="shared" si="27"/>
        <v>946.5</v>
      </c>
      <c r="AP72" s="35">
        <v>46164</v>
      </c>
      <c r="AQ72" s="30">
        <v>1</v>
      </c>
      <c r="AR72" s="36">
        <f t="shared" si="28"/>
        <v>946.5</v>
      </c>
      <c r="AS72" s="27" t="s">
        <v>1292</v>
      </c>
      <c r="AT72" s="37">
        <v>46173</v>
      </c>
      <c r="AU72" s="30">
        <v>1</v>
      </c>
      <c r="AV72" s="36">
        <f t="shared" si="29"/>
        <v>946.5</v>
      </c>
      <c r="AW72" s="35">
        <v>46202</v>
      </c>
      <c r="AX72" s="30">
        <v>1</v>
      </c>
      <c r="AY72" s="32">
        <f t="shared" si="38"/>
        <v>946.5</v>
      </c>
      <c r="AZ72" s="30" t="s">
        <v>85</v>
      </c>
      <c r="BA72" s="63" t="s">
        <v>1293</v>
      </c>
      <c r="BB72" s="71"/>
      <c r="BC72" s="71" t="s">
        <v>211</v>
      </c>
      <c r="BD72" s="71"/>
    </row>
    <row r="73" spans="1:56" x14ac:dyDescent="0.25">
      <c r="A73" s="24">
        <f>IF(B73="","",SUBTOTAL(3,$B$4:B73))</f>
        <v>69</v>
      </c>
      <c r="B73" s="25" t="s">
        <v>77</v>
      </c>
      <c r="C73" s="25" t="str">
        <f t="shared" ref="C73:C136" si="39">D73&amp;" "&amp;E73</f>
        <v>Shipment 1 400</v>
      </c>
      <c r="D73" s="25" t="s">
        <v>76</v>
      </c>
      <c r="E73" s="25">
        <v>400</v>
      </c>
      <c r="F73" s="25"/>
      <c r="G73" s="65">
        <v>45990</v>
      </c>
      <c r="H73" s="25" t="s">
        <v>1257</v>
      </c>
      <c r="I73" s="25" t="s">
        <v>1253</v>
      </c>
      <c r="J73" s="26" t="s">
        <v>1302</v>
      </c>
      <c r="K73" s="27" t="s">
        <v>212</v>
      </c>
      <c r="L73" s="28" t="s">
        <v>213</v>
      </c>
      <c r="M73" s="28" t="s">
        <v>167</v>
      </c>
      <c r="N73" s="25">
        <v>1</v>
      </c>
      <c r="O73" s="29">
        <v>570.4</v>
      </c>
      <c r="P73" s="29">
        <v>570.4</v>
      </c>
      <c r="Q73" s="25" t="s">
        <v>453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23"/>
        <v>570.4</v>
      </c>
      <c r="AF73" s="32">
        <f t="shared" si="24"/>
        <v>0</v>
      </c>
      <c r="AG73" s="30"/>
      <c r="AH73" s="33">
        <v>1</v>
      </c>
      <c r="AI73" s="34">
        <f t="shared" si="25"/>
        <v>570.4</v>
      </c>
      <c r="AJ73" s="35">
        <v>46045</v>
      </c>
      <c r="AK73" s="30">
        <v>1</v>
      </c>
      <c r="AL73" s="36">
        <f t="shared" si="26"/>
        <v>570.4</v>
      </c>
      <c r="AM73" s="35">
        <v>46062</v>
      </c>
      <c r="AN73" s="30">
        <v>1</v>
      </c>
      <c r="AO73" s="36">
        <f t="shared" si="27"/>
        <v>570.4</v>
      </c>
      <c r="AP73" s="35">
        <v>46164</v>
      </c>
      <c r="AQ73" s="30">
        <v>1</v>
      </c>
      <c r="AR73" s="36">
        <f t="shared" si="28"/>
        <v>570.4</v>
      </c>
      <c r="AS73" s="27" t="s">
        <v>1286</v>
      </c>
      <c r="AT73" s="37">
        <v>46196</v>
      </c>
      <c r="AU73" s="30">
        <v>1</v>
      </c>
      <c r="AV73" s="36">
        <f t="shared" si="29"/>
        <v>570.4</v>
      </c>
      <c r="AW73" s="35">
        <v>46202</v>
      </c>
      <c r="AX73" s="30">
        <v>1</v>
      </c>
      <c r="AY73" s="32">
        <f t="shared" ref="AY73:AY75" si="40">IFERROR(AX73*$P73/$N73,0)</f>
        <v>570.4</v>
      </c>
      <c r="AZ73" s="30" t="s">
        <v>85</v>
      </c>
      <c r="BA73" s="63" t="s">
        <v>1292</v>
      </c>
      <c r="BB73" s="71"/>
      <c r="BC73" s="71" t="s">
        <v>213</v>
      </c>
      <c r="BD73" s="71"/>
    </row>
    <row r="74" spans="1:56" x14ac:dyDescent="0.25">
      <c r="A74" s="24">
        <f>IF(B74="","",SUBTOTAL(3,$B$4:B74))</f>
        <v>70</v>
      </c>
      <c r="B74" s="25" t="s">
        <v>77</v>
      </c>
      <c r="C74" s="25" t="str">
        <f t="shared" si="39"/>
        <v>Shipment 1 400</v>
      </c>
      <c r="D74" s="25" t="s">
        <v>76</v>
      </c>
      <c r="E74" s="25">
        <v>400</v>
      </c>
      <c r="F74" s="25"/>
      <c r="G74" s="65">
        <v>45990</v>
      </c>
      <c r="H74" s="25" t="s">
        <v>1257</v>
      </c>
      <c r="I74" s="25" t="s">
        <v>1253</v>
      </c>
      <c r="J74" s="26" t="s">
        <v>1302</v>
      </c>
      <c r="K74" s="27" t="s">
        <v>214</v>
      </c>
      <c r="L74" s="28" t="s">
        <v>215</v>
      </c>
      <c r="M74" s="28" t="s">
        <v>167</v>
      </c>
      <c r="N74" s="25">
        <v>1</v>
      </c>
      <c r="O74" s="29">
        <v>569.70000000000005</v>
      </c>
      <c r="P74" s="29">
        <v>569.70000000000005</v>
      </c>
      <c r="Q74" s="25" t="s">
        <v>454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23"/>
        <v>569.70000000000005</v>
      </c>
      <c r="AF74" s="32">
        <f t="shared" si="24"/>
        <v>0</v>
      </c>
      <c r="AG74" s="30"/>
      <c r="AH74" s="33">
        <v>1</v>
      </c>
      <c r="AI74" s="34">
        <f t="shared" si="25"/>
        <v>569.70000000000005</v>
      </c>
      <c r="AJ74" s="35">
        <v>45993</v>
      </c>
      <c r="AK74" s="30">
        <v>1</v>
      </c>
      <c r="AL74" s="36">
        <f t="shared" si="26"/>
        <v>569.70000000000005</v>
      </c>
      <c r="AM74" s="35">
        <v>46062</v>
      </c>
      <c r="AN74" s="30">
        <v>1</v>
      </c>
      <c r="AO74" s="36">
        <f t="shared" si="27"/>
        <v>569.70000000000005</v>
      </c>
      <c r="AP74" s="35">
        <v>46164</v>
      </c>
      <c r="AQ74" s="30">
        <v>1</v>
      </c>
      <c r="AR74" s="36">
        <f t="shared" si="28"/>
        <v>569.70000000000005</v>
      </c>
      <c r="AS74" s="27" t="s">
        <v>1292</v>
      </c>
      <c r="AT74" s="37">
        <v>46173</v>
      </c>
      <c r="AU74" s="30">
        <v>1</v>
      </c>
      <c r="AV74" s="36">
        <f t="shared" si="29"/>
        <v>569.70000000000005</v>
      </c>
      <c r="AW74" s="35">
        <v>46202</v>
      </c>
      <c r="AX74" s="30">
        <v>1</v>
      </c>
      <c r="AY74" s="32">
        <f t="shared" si="40"/>
        <v>569.70000000000005</v>
      </c>
      <c r="AZ74" s="30" t="s">
        <v>85</v>
      </c>
      <c r="BA74" s="63" t="s">
        <v>1293</v>
      </c>
      <c r="BB74" s="71"/>
      <c r="BC74" s="71" t="s">
        <v>215</v>
      </c>
      <c r="BD74" s="71"/>
    </row>
    <row r="75" spans="1:56" x14ac:dyDescent="0.25">
      <c r="A75" s="24">
        <f>IF(B75="","",SUBTOTAL(3,$B$4:B75))</f>
        <v>71</v>
      </c>
      <c r="B75" s="25" t="s">
        <v>77</v>
      </c>
      <c r="C75" s="25" t="str">
        <f t="shared" si="39"/>
        <v>Shipment 1 400</v>
      </c>
      <c r="D75" s="25" t="s">
        <v>76</v>
      </c>
      <c r="E75" s="25">
        <v>400</v>
      </c>
      <c r="F75" s="25"/>
      <c r="G75" s="65">
        <v>45990</v>
      </c>
      <c r="H75" s="25" t="s">
        <v>1257</v>
      </c>
      <c r="I75" s="25" t="s">
        <v>1253</v>
      </c>
      <c r="J75" s="26" t="s">
        <v>1302</v>
      </c>
      <c r="K75" s="27" t="s">
        <v>216</v>
      </c>
      <c r="L75" s="28" t="s">
        <v>217</v>
      </c>
      <c r="M75" s="28" t="s">
        <v>167</v>
      </c>
      <c r="N75" s="25">
        <v>1</v>
      </c>
      <c r="O75" s="29">
        <v>985</v>
      </c>
      <c r="P75" s="29">
        <v>985</v>
      </c>
      <c r="Q75" s="25" t="s">
        <v>455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23"/>
        <v>985</v>
      </c>
      <c r="AF75" s="32">
        <f t="shared" si="24"/>
        <v>0</v>
      </c>
      <c r="AG75" s="30"/>
      <c r="AH75" s="33">
        <v>1</v>
      </c>
      <c r="AI75" s="34">
        <f t="shared" si="25"/>
        <v>985</v>
      </c>
      <c r="AJ75" s="35">
        <v>45993</v>
      </c>
      <c r="AK75" s="30">
        <v>1</v>
      </c>
      <c r="AL75" s="36">
        <f t="shared" si="26"/>
        <v>985</v>
      </c>
      <c r="AM75" s="35">
        <v>46062</v>
      </c>
      <c r="AN75" s="30">
        <v>1</v>
      </c>
      <c r="AO75" s="36">
        <f t="shared" si="27"/>
        <v>985</v>
      </c>
      <c r="AP75" s="35">
        <v>46164</v>
      </c>
      <c r="AQ75" s="30">
        <v>1</v>
      </c>
      <c r="AR75" s="36">
        <f t="shared" si="28"/>
        <v>985</v>
      </c>
      <c r="AS75" s="27" t="s">
        <v>1292</v>
      </c>
      <c r="AT75" s="37">
        <v>46173</v>
      </c>
      <c r="AU75" s="30">
        <v>1</v>
      </c>
      <c r="AV75" s="36">
        <f t="shared" si="29"/>
        <v>985</v>
      </c>
      <c r="AW75" s="35">
        <v>46202</v>
      </c>
      <c r="AX75" s="30">
        <v>1</v>
      </c>
      <c r="AY75" s="32">
        <f t="shared" si="40"/>
        <v>985</v>
      </c>
      <c r="AZ75" s="30" t="s">
        <v>85</v>
      </c>
      <c r="BA75" s="63" t="s">
        <v>1293</v>
      </c>
      <c r="BB75" s="71"/>
      <c r="BC75" s="71" t="s">
        <v>217</v>
      </c>
      <c r="BD75" s="71"/>
    </row>
    <row r="76" spans="1:56" x14ac:dyDescent="0.25">
      <c r="A76" s="24">
        <f>IF(B76="","",SUBTOTAL(3,$B$4:B76))</f>
        <v>72</v>
      </c>
      <c r="B76" s="25" t="s">
        <v>77</v>
      </c>
      <c r="C76" s="25" t="str">
        <f t="shared" si="39"/>
        <v>Shipment 1 400</v>
      </c>
      <c r="D76" s="25" t="s">
        <v>76</v>
      </c>
      <c r="E76" s="25">
        <v>400</v>
      </c>
      <c r="F76" s="25"/>
      <c r="G76" s="65">
        <v>45990</v>
      </c>
      <c r="H76" s="25" t="s">
        <v>1257</v>
      </c>
      <c r="I76" s="25" t="s">
        <v>1253</v>
      </c>
      <c r="J76" s="26" t="s">
        <v>1302</v>
      </c>
      <c r="K76" s="27" t="s">
        <v>218</v>
      </c>
      <c r="L76" s="28" t="s">
        <v>219</v>
      </c>
      <c r="M76" s="28" t="s">
        <v>167</v>
      </c>
      <c r="N76" s="25">
        <v>1</v>
      </c>
      <c r="O76" s="29">
        <v>1</v>
      </c>
      <c r="P76" s="29">
        <v>1</v>
      </c>
      <c r="Q76" s="25" t="s">
        <v>456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23"/>
        <v>1</v>
      </c>
      <c r="AF76" s="32">
        <f t="shared" si="24"/>
        <v>0</v>
      </c>
      <c r="AG76" s="30"/>
      <c r="AH76" s="33">
        <v>1</v>
      </c>
      <c r="AI76" s="34">
        <f t="shared" si="25"/>
        <v>1</v>
      </c>
      <c r="AJ76" s="35">
        <v>46164</v>
      </c>
      <c r="AK76" s="30">
        <v>1</v>
      </c>
      <c r="AL76" s="36">
        <f t="shared" si="26"/>
        <v>1</v>
      </c>
      <c r="AM76" s="35">
        <v>46164</v>
      </c>
      <c r="AN76" s="30">
        <v>1</v>
      </c>
      <c r="AO76" s="36">
        <f t="shared" si="27"/>
        <v>1</v>
      </c>
      <c r="AP76" s="35">
        <v>46164</v>
      </c>
      <c r="AQ76" s="30">
        <v>1</v>
      </c>
      <c r="AR76" s="36">
        <f t="shared" si="28"/>
        <v>1</v>
      </c>
      <c r="AS76" s="27" t="s">
        <v>1303</v>
      </c>
      <c r="AT76" s="37">
        <v>46233</v>
      </c>
      <c r="AU76" s="30">
        <v>1</v>
      </c>
      <c r="AV76" s="36">
        <f t="shared" si="29"/>
        <v>1</v>
      </c>
      <c r="AW76" s="35">
        <v>46235</v>
      </c>
      <c r="AX76" s="30">
        <v>1</v>
      </c>
      <c r="AY76" s="32">
        <f t="shared" si="30"/>
        <v>1</v>
      </c>
      <c r="AZ76" s="30" t="s">
        <v>85</v>
      </c>
      <c r="BA76" s="63" t="s">
        <v>1310</v>
      </c>
      <c r="BB76" s="71"/>
      <c r="BC76" s="71" t="s">
        <v>1316</v>
      </c>
      <c r="BD76" s="71"/>
    </row>
    <row r="77" spans="1:56" x14ac:dyDescent="0.25">
      <c r="A77" s="24">
        <f>IF(B77="","",SUBTOTAL(3,$B$4:B77))</f>
        <v>73</v>
      </c>
      <c r="B77" s="25" t="s">
        <v>77</v>
      </c>
      <c r="C77" s="25" t="str">
        <f t="shared" si="39"/>
        <v>Shipment 1 400</v>
      </c>
      <c r="D77" s="25" t="s">
        <v>76</v>
      </c>
      <c r="E77" s="25">
        <v>400</v>
      </c>
      <c r="F77" s="25"/>
      <c r="G77" s="65">
        <v>45990</v>
      </c>
      <c r="H77" s="25" t="s">
        <v>1257</v>
      </c>
      <c r="I77" s="25" t="s">
        <v>1253</v>
      </c>
      <c r="J77" s="26" t="s">
        <v>1302</v>
      </c>
      <c r="K77" s="27" t="s">
        <v>218</v>
      </c>
      <c r="L77" s="28" t="s">
        <v>220</v>
      </c>
      <c r="M77" s="28" t="s">
        <v>167</v>
      </c>
      <c r="N77" s="25">
        <v>1</v>
      </c>
      <c r="O77" s="29">
        <v>1</v>
      </c>
      <c r="P77" s="29">
        <v>1</v>
      </c>
      <c r="Q77" s="25" t="s">
        <v>456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23"/>
        <v>1</v>
      </c>
      <c r="AF77" s="32">
        <f t="shared" si="24"/>
        <v>0</v>
      </c>
      <c r="AG77" s="30"/>
      <c r="AH77" s="33">
        <v>1</v>
      </c>
      <c r="AI77" s="34">
        <f t="shared" si="25"/>
        <v>1</v>
      </c>
      <c r="AJ77" s="35">
        <v>46164</v>
      </c>
      <c r="AK77" s="30">
        <v>1</v>
      </c>
      <c r="AL77" s="36">
        <f t="shared" ref="AL77:AL93" si="41">IFERROR(AK77*$P77/$N77,0)</f>
        <v>1</v>
      </c>
      <c r="AM77" s="35">
        <v>46164</v>
      </c>
      <c r="AN77" s="30">
        <v>1</v>
      </c>
      <c r="AO77" s="36">
        <f t="shared" ref="AO77:AO93" si="42">IFERROR(AN77*$P77/$N77,0)</f>
        <v>1</v>
      </c>
      <c r="AP77" s="35">
        <v>46164</v>
      </c>
      <c r="AQ77" s="30">
        <v>1</v>
      </c>
      <c r="AR77" s="36">
        <f t="shared" si="28"/>
        <v>1</v>
      </c>
      <c r="AS77" s="27" t="s">
        <v>1303</v>
      </c>
      <c r="AT77" s="37">
        <v>46233</v>
      </c>
      <c r="AU77" s="30">
        <v>1</v>
      </c>
      <c r="AV77" s="36">
        <f t="shared" si="29"/>
        <v>1</v>
      </c>
      <c r="AW77" s="35">
        <v>46235</v>
      </c>
      <c r="AX77" s="30">
        <v>1</v>
      </c>
      <c r="AY77" s="32">
        <f t="shared" ref="AY77:AY93" si="43">IFERROR(AX77*$P77/$N77,0)</f>
        <v>1</v>
      </c>
      <c r="AZ77" s="30" t="s">
        <v>85</v>
      </c>
      <c r="BA77" s="63" t="s">
        <v>1310</v>
      </c>
      <c r="BB77" s="71"/>
      <c r="BC77" s="71" t="s">
        <v>1316</v>
      </c>
      <c r="BD77" s="71"/>
    </row>
    <row r="78" spans="1:56" x14ac:dyDescent="0.25">
      <c r="A78" s="24">
        <f>IF(B78="","",SUBTOTAL(3,$B$4:B78))</f>
        <v>74</v>
      </c>
      <c r="B78" s="25" t="s">
        <v>77</v>
      </c>
      <c r="C78" s="25" t="str">
        <f t="shared" si="39"/>
        <v>Shipment 1 400</v>
      </c>
      <c r="D78" s="25" t="s">
        <v>76</v>
      </c>
      <c r="E78" s="25">
        <v>400</v>
      </c>
      <c r="F78" s="25"/>
      <c r="G78" s="65">
        <v>45990</v>
      </c>
      <c r="H78" s="25" t="s">
        <v>1257</v>
      </c>
      <c r="I78" s="25" t="s">
        <v>1253</v>
      </c>
      <c r="J78" s="26" t="s">
        <v>1302</v>
      </c>
      <c r="K78" s="27" t="s">
        <v>218</v>
      </c>
      <c r="L78" s="28" t="s">
        <v>221</v>
      </c>
      <c r="M78" s="28" t="s">
        <v>167</v>
      </c>
      <c r="N78" s="25">
        <v>1</v>
      </c>
      <c r="O78" s="29">
        <v>1</v>
      </c>
      <c r="P78" s="29">
        <v>1</v>
      </c>
      <c r="Q78" s="25" t="s">
        <v>456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23"/>
        <v>1</v>
      </c>
      <c r="AF78" s="32">
        <f t="shared" si="24"/>
        <v>0</v>
      </c>
      <c r="AG78" s="30"/>
      <c r="AH78" s="33">
        <v>1</v>
      </c>
      <c r="AI78" s="34">
        <f t="shared" si="25"/>
        <v>1</v>
      </c>
      <c r="AJ78" s="35">
        <v>46164</v>
      </c>
      <c r="AK78" s="30">
        <v>1</v>
      </c>
      <c r="AL78" s="36">
        <f t="shared" si="41"/>
        <v>1</v>
      </c>
      <c r="AM78" s="35">
        <v>46164</v>
      </c>
      <c r="AN78" s="30">
        <v>1</v>
      </c>
      <c r="AO78" s="36">
        <f t="shared" si="42"/>
        <v>1</v>
      </c>
      <c r="AP78" s="35">
        <v>46164</v>
      </c>
      <c r="AQ78" s="30">
        <v>1</v>
      </c>
      <c r="AR78" s="36">
        <f t="shared" si="28"/>
        <v>1</v>
      </c>
      <c r="AS78" s="27" t="s">
        <v>1303</v>
      </c>
      <c r="AT78" s="37">
        <v>46233</v>
      </c>
      <c r="AU78" s="30">
        <v>1</v>
      </c>
      <c r="AV78" s="36">
        <f t="shared" si="29"/>
        <v>1</v>
      </c>
      <c r="AW78" s="35">
        <v>46235</v>
      </c>
      <c r="AX78" s="30">
        <v>1</v>
      </c>
      <c r="AY78" s="32">
        <f t="shared" si="43"/>
        <v>1</v>
      </c>
      <c r="AZ78" s="30" t="s">
        <v>85</v>
      </c>
      <c r="BA78" s="63" t="s">
        <v>1310</v>
      </c>
      <c r="BB78" s="71"/>
      <c r="BC78" s="71" t="s">
        <v>1316</v>
      </c>
      <c r="BD78" s="71"/>
    </row>
    <row r="79" spans="1:56" x14ac:dyDescent="0.25">
      <c r="A79" s="24">
        <f>IF(B79="","",SUBTOTAL(3,$B$4:B79))</f>
        <v>75</v>
      </c>
      <c r="B79" s="25" t="s">
        <v>77</v>
      </c>
      <c r="C79" s="25" t="str">
        <f t="shared" si="39"/>
        <v>Shipment 1 400</v>
      </c>
      <c r="D79" s="25" t="s">
        <v>76</v>
      </c>
      <c r="E79" s="25">
        <v>400</v>
      </c>
      <c r="F79" s="25"/>
      <c r="G79" s="65">
        <v>45990</v>
      </c>
      <c r="H79" s="25" t="s">
        <v>1257</v>
      </c>
      <c r="I79" s="25" t="s">
        <v>1253</v>
      </c>
      <c r="J79" s="26" t="s">
        <v>1302</v>
      </c>
      <c r="K79" s="27" t="s">
        <v>218</v>
      </c>
      <c r="L79" s="28" t="s">
        <v>222</v>
      </c>
      <c r="M79" s="28" t="s">
        <v>167</v>
      </c>
      <c r="N79" s="25">
        <v>1</v>
      </c>
      <c r="O79" s="29">
        <v>1</v>
      </c>
      <c r="P79" s="29">
        <v>1</v>
      </c>
      <c r="Q79" s="25" t="s">
        <v>456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23"/>
        <v>1</v>
      </c>
      <c r="AF79" s="32">
        <f t="shared" si="24"/>
        <v>0</v>
      </c>
      <c r="AG79" s="30"/>
      <c r="AH79" s="33">
        <v>1</v>
      </c>
      <c r="AI79" s="34">
        <f t="shared" si="25"/>
        <v>1</v>
      </c>
      <c r="AJ79" s="35">
        <v>46164</v>
      </c>
      <c r="AK79" s="30">
        <v>1</v>
      </c>
      <c r="AL79" s="36">
        <f t="shared" si="41"/>
        <v>1</v>
      </c>
      <c r="AM79" s="35">
        <v>46164</v>
      </c>
      <c r="AN79" s="30">
        <v>1</v>
      </c>
      <c r="AO79" s="36">
        <f t="shared" si="42"/>
        <v>1</v>
      </c>
      <c r="AP79" s="35">
        <v>46164</v>
      </c>
      <c r="AQ79" s="30">
        <v>1</v>
      </c>
      <c r="AR79" s="36">
        <f t="shared" si="28"/>
        <v>1</v>
      </c>
      <c r="AS79" s="27" t="s">
        <v>1303</v>
      </c>
      <c r="AT79" s="37">
        <v>46233</v>
      </c>
      <c r="AU79" s="30">
        <v>1</v>
      </c>
      <c r="AV79" s="36">
        <f t="shared" si="29"/>
        <v>1</v>
      </c>
      <c r="AW79" s="35">
        <v>46235</v>
      </c>
      <c r="AX79" s="30">
        <v>1</v>
      </c>
      <c r="AY79" s="32">
        <f t="shared" si="43"/>
        <v>1</v>
      </c>
      <c r="AZ79" s="30" t="s">
        <v>85</v>
      </c>
      <c r="BA79" s="63" t="s">
        <v>1310</v>
      </c>
      <c r="BB79" s="71"/>
      <c r="BC79" s="71" t="s">
        <v>1316</v>
      </c>
      <c r="BD79" s="71"/>
    </row>
    <row r="80" spans="1:56" x14ac:dyDescent="0.25">
      <c r="A80" s="24">
        <f>IF(B80="","",SUBTOTAL(3,$B$4:B80))</f>
        <v>76</v>
      </c>
      <c r="B80" s="25" t="s">
        <v>77</v>
      </c>
      <c r="C80" s="25" t="str">
        <f t="shared" si="39"/>
        <v>Shipment 1 400</v>
      </c>
      <c r="D80" s="25" t="s">
        <v>76</v>
      </c>
      <c r="E80" s="25">
        <v>400</v>
      </c>
      <c r="F80" s="25"/>
      <c r="G80" s="65">
        <v>45990</v>
      </c>
      <c r="H80" s="25" t="s">
        <v>1257</v>
      </c>
      <c r="I80" s="25" t="s">
        <v>1253</v>
      </c>
      <c r="J80" s="26" t="s">
        <v>1302</v>
      </c>
      <c r="K80" s="27" t="s">
        <v>218</v>
      </c>
      <c r="L80" s="28" t="s">
        <v>223</v>
      </c>
      <c r="M80" s="28" t="s">
        <v>167</v>
      </c>
      <c r="N80" s="25">
        <v>1</v>
      </c>
      <c r="O80" s="29">
        <v>1</v>
      </c>
      <c r="P80" s="29">
        <v>1</v>
      </c>
      <c r="Q80" s="25" t="s">
        <v>456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23"/>
        <v>1</v>
      </c>
      <c r="AF80" s="32">
        <f t="shared" si="24"/>
        <v>0</v>
      </c>
      <c r="AG80" s="30"/>
      <c r="AH80" s="33">
        <v>1</v>
      </c>
      <c r="AI80" s="34">
        <f t="shared" si="25"/>
        <v>1</v>
      </c>
      <c r="AJ80" s="35">
        <v>46164</v>
      </c>
      <c r="AK80" s="30">
        <v>1</v>
      </c>
      <c r="AL80" s="36">
        <f t="shared" si="41"/>
        <v>1</v>
      </c>
      <c r="AM80" s="35">
        <v>46164</v>
      </c>
      <c r="AN80" s="30">
        <v>1</v>
      </c>
      <c r="AO80" s="36">
        <f t="shared" si="42"/>
        <v>1</v>
      </c>
      <c r="AP80" s="35">
        <v>46164</v>
      </c>
      <c r="AQ80" s="30">
        <v>1</v>
      </c>
      <c r="AR80" s="36">
        <f t="shared" si="28"/>
        <v>1</v>
      </c>
      <c r="AS80" s="27" t="s">
        <v>1303</v>
      </c>
      <c r="AT80" s="37">
        <v>46233</v>
      </c>
      <c r="AU80" s="30">
        <v>1</v>
      </c>
      <c r="AV80" s="36">
        <f t="shared" si="29"/>
        <v>1</v>
      </c>
      <c r="AW80" s="35">
        <v>46235</v>
      </c>
      <c r="AX80" s="30">
        <v>1</v>
      </c>
      <c r="AY80" s="32">
        <f t="shared" si="43"/>
        <v>1</v>
      </c>
      <c r="AZ80" s="30" t="s">
        <v>85</v>
      </c>
      <c r="BA80" s="63" t="s">
        <v>1310</v>
      </c>
      <c r="BB80" s="71"/>
      <c r="BC80" s="71" t="s">
        <v>1316</v>
      </c>
      <c r="BD80" s="71"/>
    </row>
    <row r="81" spans="1:56" x14ac:dyDescent="0.25">
      <c r="A81" s="24">
        <f>IF(B81="","",SUBTOTAL(3,$B$4:B81))</f>
        <v>77</v>
      </c>
      <c r="B81" s="25" t="s">
        <v>77</v>
      </c>
      <c r="C81" s="25" t="str">
        <f t="shared" si="39"/>
        <v>Shipment 1 400</v>
      </c>
      <c r="D81" s="25" t="s">
        <v>76</v>
      </c>
      <c r="E81" s="25">
        <v>400</v>
      </c>
      <c r="F81" s="25"/>
      <c r="G81" s="65">
        <v>45990</v>
      </c>
      <c r="H81" s="25" t="s">
        <v>1257</v>
      </c>
      <c r="I81" s="25" t="s">
        <v>1253</v>
      </c>
      <c r="J81" s="26" t="s">
        <v>1302</v>
      </c>
      <c r="K81" s="27" t="s">
        <v>218</v>
      </c>
      <c r="L81" s="28" t="s">
        <v>224</v>
      </c>
      <c r="M81" s="28" t="s">
        <v>167</v>
      </c>
      <c r="N81" s="25">
        <v>1</v>
      </c>
      <c r="O81" s="29">
        <v>1</v>
      </c>
      <c r="P81" s="29">
        <v>1</v>
      </c>
      <c r="Q81" s="25" t="s">
        <v>456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ref="AE81:AE144" si="44">+AL81*0.5+AO81*0.4+AV81*0.1</f>
        <v>1</v>
      </c>
      <c r="AF81" s="32">
        <f t="shared" ref="AF81:AF144" si="45">+P81-AE81</f>
        <v>0</v>
      </c>
      <c r="AG81" s="30"/>
      <c r="AH81" s="33">
        <v>1</v>
      </c>
      <c r="AI81" s="34">
        <f t="shared" ref="AI81:AI144" si="46">+AH81*P81</f>
        <v>1</v>
      </c>
      <c r="AJ81" s="35">
        <v>46164</v>
      </c>
      <c r="AK81" s="30">
        <v>1</v>
      </c>
      <c r="AL81" s="36">
        <f t="shared" si="41"/>
        <v>1</v>
      </c>
      <c r="AM81" s="35">
        <v>46164</v>
      </c>
      <c r="AN81" s="30">
        <v>1</v>
      </c>
      <c r="AO81" s="36">
        <f t="shared" si="42"/>
        <v>1</v>
      </c>
      <c r="AP81" s="35">
        <v>46164</v>
      </c>
      <c r="AQ81" s="30">
        <v>1</v>
      </c>
      <c r="AR81" s="36">
        <f t="shared" ref="AR81:AR144" si="47">IFERROR(AQ81*$P81/$N81,0)</f>
        <v>1</v>
      </c>
      <c r="AS81" s="27" t="s">
        <v>1303</v>
      </c>
      <c r="AT81" s="37">
        <v>46233</v>
      </c>
      <c r="AU81" s="30">
        <v>1</v>
      </c>
      <c r="AV81" s="36">
        <f t="shared" ref="AV81:AV144" si="48">IFERROR(AU81*$P81/$N81,0)</f>
        <v>1</v>
      </c>
      <c r="AW81" s="35">
        <v>46235</v>
      </c>
      <c r="AX81" s="30">
        <v>1</v>
      </c>
      <c r="AY81" s="32">
        <f t="shared" si="43"/>
        <v>1</v>
      </c>
      <c r="AZ81" s="30" t="s">
        <v>85</v>
      </c>
      <c r="BA81" s="63" t="s">
        <v>1310</v>
      </c>
      <c r="BB81" s="71"/>
      <c r="BC81" s="71" t="s">
        <v>1316</v>
      </c>
      <c r="BD81" s="71"/>
    </row>
    <row r="82" spans="1:56" x14ac:dyDescent="0.25">
      <c r="A82" s="24">
        <f>IF(B82="","",SUBTOTAL(3,$B$4:B82))</f>
        <v>78</v>
      </c>
      <c r="B82" s="25" t="s">
        <v>77</v>
      </c>
      <c r="C82" s="25" t="str">
        <f t="shared" si="39"/>
        <v>Shipment 1 400</v>
      </c>
      <c r="D82" s="25" t="s">
        <v>76</v>
      </c>
      <c r="E82" s="25">
        <v>400</v>
      </c>
      <c r="F82" s="25"/>
      <c r="G82" s="65">
        <v>45990</v>
      </c>
      <c r="H82" s="25" t="s">
        <v>1257</v>
      </c>
      <c r="I82" s="25" t="s">
        <v>1253</v>
      </c>
      <c r="J82" s="26" t="s">
        <v>1302</v>
      </c>
      <c r="K82" s="27" t="s">
        <v>225</v>
      </c>
      <c r="L82" s="28" t="s">
        <v>226</v>
      </c>
      <c r="M82" s="28" t="s">
        <v>167</v>
      </c>
      <c r="N82" s="25">
        <v>48</v>
      </c>
      <c r="O82" s="29">
        <v>0.1</v>
      </c>
      <c r="P82" s="29">
        <v>3</v>
      </c>
      <c r="Q82" s="25" t="s">
        <v>457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44"/>
        <v>3</v>
      </c>
      <c r="AF82" s="32">
        <f t="shared" si="45"/>
        <v>0</v>
      </c>
      <c r="AG82" s="30"/>
      <c r="AH82" s="33">
        <v>1</v>
      </c>
      <c r="AI82" s="34">
        <f t="shared" si="46"/>
        <v>3</v>
      </c>
      <c r="AJ82" s="35">
        <v>46164</v>
      </c>
      <c r="AK82" s="30">
        <v>48</v>
      </c>
      <c r="AL82" s="36">
        <f t="shared" si="41"/>
        <v>3</v>
      </c>
      <c r="AM82" s="35">
        <v>46164</v>
      </c>
      <c r="AN82" s="30">
        <v>48</v>
      </c>
      <c r="AO82" s="36">
        <f t="shared" si="42"/>
        <v>3</v>
      </c>
      <c r="AP82" s="35">
        <v>46164</v>
      </c>
      <c r="AQ82" s="30">
        <v>48</v>
      </c>
      <c r="AR82" s="36">
        <f t="shared" si="47"/>
        <v>3</v>
      </c>
      <c r="AS82" s="27" t="s">
        <v>1303</v>
      </c>
      <c r="AT82" s="37">
        <v>46233</v>
      </c>
      <c r="AU82" s="30">
        <v>48</v>
      </c>
      <c r="AV82" s="36">
        <f t="shared" si="48"/>
        <v>3</v>
      </c>
      <c r="AW82" s="35">
        <v>46235</v>
      </c>
      <c r="AX82" s="30">
        <v>48</v>
      </c>
      <c r="AY82" s="32">
        <f t="shared" si="43"/>
        <v>3</v>
      </c>
      <c r="AZ82" s="30" t="s">
        <v>85</v>
      </c>
      <c r="BA82" s="63" t="s">
        <v>1310</v>
      </c>
      <c r="BB82" s="71"/>
      <c r="BC82" s="71" t="s">
        <v>226</v>
      </c>
      <c r="BD82" s="71"/>
    </row>
    <row r="83" spans="1:56" x14ac:dyDescent="0.25">
      <c r="A83" s="24">
        <f>IF(B83="","",SUBTOTAL(3,$B$4:B83))</f>
        <v>79</v>
      </c>
      <c r="B83" s="25" t="s">
        <v>77</v>
      </c>
      <c r="C83" s="25" t="str">
        <f t="shared" si="39"/>
        <v>Shipment 1 400</v>
      </c>
      <c r="D83" s="25" t="s">
        <v>76</v>
      </c>
      <c r="E83" s="25">
        <v>400</v>
      </c>
      <c r="F83" s="25"/>
      <c r="G83" s="65">
        <v>45990</v>
      </c>
      <c r="H83" s="25" t="s">
        <v>1257</v>
      </c>
      <c r="I83" s="25" t="s">
        <v>1253</v>
      </c>
      <c r="J83" s="26" t="s">
        <v>1302</v>
      </c>
      <c r="K83" s="27" t="s">
        <v>227</v>
      </c>
      <c r="L83" s="28" t="s">
        <v>228</v>
      </c>
      <c r="M83" s="28" t="s">
        <v>167</v>
      </c>
      <c r="N83" s="25">
        <v>96</v>
      </c>
      <c r="O83" s="29">
        <v>0</v>
      </c>
      <c r="P83" s="29">
        <v>3.5</v>
      </c>
      <c r="Q83" s="25" t="s">
        <v>458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44"/>
        <v>3.5000000000000004</v>
      </c>
      <c r="AF83" s="32">
        <f t="shared" si="45"/>
        <v>0</v>
      </c>
      <c r="AG83" s="30"/>
      <c r="AH83" s="33">
        <v>1</v>
      </c>
      <c r="AI83" s="34">
        <f t="shared" si="46"/>
        <v>3.5</v>
      </c>
      <c r="AJ83" s="35">
        <v>46164</v>
      </c>
      <c r="AK83" s="30">
        <v>96</v>
      </c>
      <c r="AL83" s="36">
        <f t="shared" si="41"/>
        <v>3.5</v>
      </c>
      <c r="AM83" s="35">
        <v>46164</v>
      </c>
      <c r="AN83" s="30">
        <v>96</v>
      </c>
      <c r="AO83" s="36">
        <f t="shared" si="42"/>
        <v>3.5</v>
      </c>
      <c r="AP83" s="35">
        <v>46164</v>
      </c>
      <c r="AQ83" s="30">
        <v>96</v>
      </c>
      <c r="AR83" s="36">
        <f t="shared" si="47"/>
        <v>3.5</v>
      </c>
      <c r="AS83" s="27" t="s">
        <v>1303</v>
      </c>
      <c r="AT83" s="37">
        <v>46233</v>
      </c>
      <c r="AU83" s="30">
        <v>96</v>
      </c>
      <c r="AV83" s="36">
        <f t="shared" si="48"/>
        <v>3.5</v>
      </c>
      <c r="AW83" s="35">
        <v>46235</v>
      </c>
      <c r="AX83" s="30">
        <v>96</v>
      </c>
      <c r="AY83" s="32">
        <f t="shared" si="43"/>
        <v>3.5</v>
      </c>
      <c r="AZ83" s="30" t="s">
        <v>85</v>
      </c>
      <c r="BA83" s="63" t="s">
        <v>1310</v>
      </c>
      <c r="BB83" s="71"/>
      <c r="BC83" s="71" t="s">
        <v>228</v>
      </c>
      <c r="BD83" s="71"/>
    </row>
    <row r="84" spans="1:56" x14ac:dyDescent="0.25">
      <c r="A84" s="24">
        <f>IF(B84="","",SUBTOTAL(3,$B$4:B84))</f>
        <v>80</v>
      </c>
      <c r="B84" s="25" t="s">
        <v>77</v>
      </c>
      <c r="C84" s="25" t="str">
        <f t="shared" si="39"/>
        <v>Shipment 1 400</v>
      </c>
      <c r="D84" s="25" t="s">
        <v>76</v>
      </c>
      <c r="E84" s="25">
        <v>400</v>
      </c>
      <c r="F84" s="25"/>
      <c r="G84" s="65">
        <v>45990</v>
      </c>
      <c r="H84" s="25" t="s">
        <v>1257</v>
      </c>
      <c r="I84" s="25" t="s">
        <v>1253</v>
      </c>
      <c r="J84" s="26" t="s">
        <v>1302</v>
      </c>
      <c r="K84" s="27" t="s">
        <v>229</v>
      </c>
      <c r="L84" s="28" t="s">
        <v>230</v>
      </c>
      <c r="M84" s="28" t="s">
        <v>167</v>
      </c>
      <c r="N84" s="25">
        <v>96</v>
      </c>
      <c r="O84" s="29">
        <v>0</v>
      </c>
      <c r="P84" s="29">
        <v>1.2</v>
      </c>
      <c r="Q84" s="25" t="s">
        <v>459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44"/>
        <v>1.2000000000000002</v>
      </c>
      <c r="AF84" s="32">
        <f t="shared" si="45"/>
        <v>0</v>
      </c>
      <c r="AG84" s="30"/>
      <c r="AH84" s="33">
        <v>1</v>
      </c>
      <c r="AI84" s="34">
        <f t="shared" si="46"/>
        <v>1.2</v>
      </c>
      <c r="AJ84" s="35">
        <v>46164</v>
      </c>
      <c r="AK84" s="30">
        <v>96</v>
      </c>
      <c r="AL84" s="36">
        <f t="shared" si="41"/>
        <v>1.2</v>
      </c>
      <c r="AM84" s="35">
        <v>46164</v>
      </c>
      <c r="AN84" s="30">
        <v>96</v>
      </c>
      <c r="AO84" s="36">
        <f t="shared" si="42"/>
        <v>1.2</v>
      </c>
      <c r="AP84" s="35">
        <v>46164</v>
      </c>
      <c r="AQ84" s="30">
        <v>96</v>
      </c>
      <c r="AR84" s="36">
        <f t="shared" si="47"/>
        <v>1.2</v>
      </c>
      <c r="AS84" s="27" t="s">
        <v>1303</v>
      </c>
      <c r="AT84" s="37">
        <v>46233</v>
      </c>
      <c r="AU84" s="30">
        <v>96</v>
      </c>
      <c r="AV84" s="36">
        <f t="shared" si="48"/>
        <v>1.2</v>
      </c>
      <c r="AW84" s="35">
        <v>46235</v>
      </c>
      <c r="AX84" s="30">
        <v>96</v>
      </c>
      <c r="AY84" s="32">
        <f t="shared" si="43"/>
        <v>1.2</v>
      </c>
      <c r="AZ84" s="30" t="s">
        <v>85</v>
      </c>
      <c r="BA84" s="63" t="s">
        <v>1310</v>
      </c>
      <c r="BB84" s="71"/>
      <c r="BC84" s="71" t="s">
        <v>230</v>
      </c>
      <c r="BD84" s="71"/>
    </row>
    <row r="85" spans="1:56" x14ac:dyDescent="0.25">
      <c r="A85" s="24">
        <f>IF(B85="","",SUBTOTAL(3,$B$4:B85))</f>
        <v>81</v>
      </c>
      <c r="B85" s="25" t="s">
        <v>77</v>
      </c>
      <c r="C85" s="25" t="str">
        <f t="shared" si="39"/>
        <v>Shipment 1 400</v>
      </c>
      <c r="D85" s="25" t="s">
        <v>76</v>
      </c>
      <c r="E85" s="25">
        <v>400</v>
      </c>
      <c r="F85" s="25"/>
      <c r="G85" s="65">
        <v>45990</v>
      </c>
      <c r="H85" s="25" t="s">
        <v>1257</v>
      </c>
      <c r="I85" s="25" t="s">
        <v>1253</v>
      </c>
      <c r="J85" s="26" t="s">
        <v>1302</v>
      </c>
      <c r="K85" s="27" t="s">
        <v>231</v>
      </c>
      <c r="L85" s="28" t="s">
        <v>232</v>
      </c>
      <c r="M85" s="28" t="s">
        <v>167</v>
      </c>
      <c r="N85" s="25">
        <v>96</v>
      </c>
      <c r="O85" s="29">
        <v>0.1</v>
      </c>
      <c r="P85" s="29">
        <v>6.2</v>
      </c>
      <c r="Q85" s="25" t="s">
        <v>460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44"/>
        <v>6.2</v>
      </c>
      <c r="AF85" s="32">
        <f t="shared" si="45"/>
        <v>0</v>
      </c>
      <c r="AG85" s="30"/>
      <c r="AH85" s="33">
        <v>1</v>
      </c>
      <c r="AI85" s="34">
        <f t="shared" si="46"/>
        <v>6.2</v>
      </c>
      <c r="AJ85" s="35">
        <v>46164</v>
      </c>
      <c r="AK85" s="30">
        <v>96</v>
      </c>
      <c r="AL85" s="36">
        <f t="shared" si="41"/>
        <v>6.2</v>
      </c>
      <c r="AM85" s="35">
        <v>46164</v>
      </c>
      <c r="AN85" s="30">
        <v>96</v>
      </c>
      <c r="AO85" s="36">
        <f t="shared" si="42"/>
        <v>6.2</v>
      </c>
      <c r="AP85" s="35">
        <v>46164</v>
      </c>
      <c r="AQ85" s="30">
        <v>96</v>
      </c>
      <c r="AR85" s="36">
        <f t="shared" si="47"/>
        <v>6.2</v>
      </c>
      <c r="AS85" s="27" t="s">
        <v>1303</v>
      </c>
      <c r="AT85" s="37">
        <v>46233</v>
      </c>
      <c r="AU85" s="30">
        <v>96</v>
      </c>
      <c r="AV85" s="36">
        <f t="shared" si="48"/>
        <v>6.2</v>
      </c>
      <c r="AW85" s="35">
        <v>46235</v>
      </c>
      <c r="AX85" s="30">
        <v>96</v>
      </c>
      <c r="AY85" s="32">
        <f t="shared" si="43"/>
        <v>6.2</v>
      </c>
      <c r="AZ85" s="30" t="s">
        <v>85</v>
      </c>
      <c r="BA85" s="63" t="s">
        <v>1310</v>
      </c>
      <c r="BB85" s="71"/>
      <c r="BC85" s="71" t="s">
        <v>232</v>
      </c>
      <c r="BD85" s="71"/>
    </row>
    <row r="86" spans="1:56" x14ac:dyDescent="0.25">
      <c r="A86" s="24">
        <f>IF(B86="","",SUBTOTAL(3,$B$4:B86))</f>
        <v>82</v>
      </c>
      <c r="B86" s="25" t="s">
        <v>77</v>
      </c>
      <c r="C86" s="25" t="str">
        <f t="shared" si="39"/>
        <v>Shipment 1 400</v>
      </c>
      <c r="D86" s="25" t="s">
        <v>76</v>
      </c>
      <c r="E86" s="25">
        <v>400</v>
      </c>
      <c r="F86" s="25"/>
      <c r="G86" s="65">
        <v>45990</v>
      </c>
      <c r="H86" s="25" t="s">
        <v>1257</v>
      </c>
      <c r="I86" s="25" t="s">
        <v>1253</v>
      </c>
      <c r="J86" s="26" t="s">
        <v>1302</v>
      </c>
      <c r="K86" s="27" t="s">
        <v>233</v>
      </c>
      <c r="L86" s="28" t="s">
        <v>234</v>
      </c>
      <c r="M86" s="28" t="s">
        <v>167</v>
      </c>
      <c r="N86" s="25">
        <v>48</v>
      </c>
      <c r="O86" s="29">
        <v>0</v>
      </c>
      <c r="P86" s="29">
        <v>0.6</v>
      </c>
      <c r="Q86" s="25" t="s">
        <v>459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44"/>
        <v>0.60000000000000009</v>
      </c>
      <c r="AF86" s="32">
        <f t="shared" si="45"/>
        <v>0</v>
      </c>
      <c r="AG86" s="30"/>
      <c r="AH86" s="33">
        <v>1</v>
      </c>
      <c r="AI86" s="34">
        <f t="shared" si="46"/>
        <v>0.6</v>
      </c>
      <c r="AJ86" s="35">
        <v>46164</v>
      </c>
      <c r="AK86" s="30">
        <v>48</v>
      </c>
      <c r="AL86" s="36">
        <f t="shared" si="41"/>
        <v>0.6</v>
      </c>
      <c r="AM86" s="35">
        <v>46164</v>
      </c>
      <c r="AN86" s="30">
        <v>48</v>
      </c>
      <c r="AO86" s="36">
        <f t="shared" si="42"/>
        <v>0.6</v>
      </c>
      <c r="AP86" s="35">
        <v>46164</v>
      </c>
      <c r="AQ86" s="30">
        <v>48</v>
      </c>
      <c r="AR86" s="36">
        <f t="shared" si="47"/>
        <v>0.6</v>
      </c>
      <c r="AS86" s="27" t="s">
        <v>1303</v>
      </c>
      <c r="AT86" s="37">
        <v>46233</v>
      </c>
      <c r="AU86" s="30">
        <v>48</v>
      </c>
      <c r="AV86" s="36">
        <f t="shared" si="48"/>
        <v>0.6</v>
      </c>
      <c r="AW86" s="35">
        <v>46235</v>
      </c>
      <c r="AX86" s="30">
        <v>48</v>
      </c>
      <c r="AY86" s="32">
        <f t="shared" si="43"/>
        <v>0.6</v>
      </c>
      <c r="AZ86" s="30" t="s">
        <v>85</v>
      </c>
      <c r="BA86" s="63" t="s">
        <v>1310</v>
      </c>
      <c r="BB86" s="71"/>
      <c r="BC86" s="71" t="s">
        <v>234</v>
      </c>
      <c r="BD86" s="71"/>
    </row>
    <row r="87" spans="1:56" x14ac:dyDescent="0.25">
      <c r="A87" s="24">
        <f>IF(B87="","",SUBTOTAL(3,$B$4:B87))</f>
        <v>83</v>
      </c>
      <c r="B87" s="25" t="s">
        <v>77</v>
      </c>
      <c r="C87" s="25" t="str">
        <f t="shared" si="39"/>
        <v>Shipment 1 400</v>
      </c>
      <c r="D87" s="25" t="s">
        <v>76</v>
      </c>
      <c r="E87" s="25">
        <v>400</v>
      </c>
      <c r="F87" s="25"/>
      <c r="G87" s="65">
        <v>45990</v>
      </c>
      <c r="H87" s="25" t="s">
        <v>1257</v>
      </c>
      <c r="I87" s="25" t="s">
        <v>1253</v>
      </c>
      <c r="J87" s="26" t="s">
        <v>1302</v>
      </c>
      <c r="K87" s="27" t="s">
        <v>235</v>
      </c>
      <c r="L87" s="28" t="s">
        <v>236</v>
      </c>
      <c r="M87" s="28" t="s">
        <v>167</v>
      </c>
      <c r="N87" s="25">
        <v>1</v>
      </c>
      <c r="O87" s="29">
        <v>1</v>
      </c>
      <c r="P87" s="29">
        <v>1</v>
      </c>
      <c r="Q87" s="25" t="s">
        <v>456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44"/>
        <v>1</v>
      </c>
      <c r="AF87" s="32">
        <f t="shared" si="45"/>
        <v>0</v>
      </c>
      <c r="AG87" s="30"/>
      <c r="AH87" s="33">
        <v>1</v>
      </c>
      <c r="AI87" s="34">
        <f t="shared" si="46"/>
        <v>1</v>
      </c>
      <c r="AJ87" s="35">
        <v>46164</v>
      </c>
      <c r="AK87" s="30">
        <v>1</v>
      </c>
      <c r="AL87" s="36">
        <f t="shared" si="41"/>
        <v>1</v>
      </c>
      <c r="AM87" s="35">
        <v>46164</v>
      </c>
      <c r="AN87" s="30">
        <v>1</v>
      </c>
      <c r="AO87" s="36">
        <f t="shared" si="42"/>
        <v>1</v>
      </c>
      <c r="AP87" s="35">
        <v>46164</v>
      </c>
      <c r="AQ87" s="30">
        <v>1</v>
      </c>
      <c r="AR87" s="36">
        <f t="shared" si="47"/>
        <v>1</v>
      </c>
      <c r="AS87" s="27" t="s">
        <v>1303</v>
      </c>
      <c r="AT87" s="37">
        <v>46233</v>
      </c>
      <c r="AU87" s="30">
        <v>1</v>
      </c>
      <c r="AV87" s="36">
        <f t="shared" si="48"/>
        <v>1</v>
      </c>
      <c r="AW87" s="35">
        <v>46235</v>
      </c>
      <c r="AX87" s="30">
        <v>1</v>
      </c>
      <c r="AY87" s="32">
        <f t="shared" si="43"/>
        <v>1</v>
      </c>
      <c r="AZ87" s="30" t="s">
        <v>85</v>
      </c>
      <c r="BA87" s="63" t="s">
        <v>1310</v>
      </c>
      <c r="BB87" s="71"/>
      <c r="BC87" s="71" t="s">
        <v>1317</v>
      </c>
      <c r="BD87" s="71"/>
    </row>
    <row r="88" spans="1:56" x14ac:dyDescent="0.25">
      <c r="A88" s="24">
        <f>IF(B88="","",SUBTOTAL(3,$B$4:B88))</f>
        <v>84</v>
      </c>
      <c r="B88" s="25" t="s">
        <v>77</v>
      </c>
      <c r="C88" s="25" t="str">
        <f t="shared" si="39"/>
        <v>Shipment 1 400</v>
      </c>
      <c r="D88" s="25" t="s">
        <v>76</v>
      </c>
      <c r="E88" s="25">
        <v>400</v>
      </c>
      <c r="F88" s="25"/>
      <c r="G88" s="65">
        <v>45990</v>
      </c>
      <c r="H88" s="25" t="s">
        <v>1257</v>
      </c>
      <c r="I88" s="25" t="s">
        <v>1253</v>
      </c>
      <c r="J88" s="26" t="s">
        <v>1302</v>
      </c>
      <c r="K88" s="27" t="s">
        <v>235</v>
      </c>
      <c r="L88" s="28" t="s">
        <v>237</v>
      </c>
      <c r="M88" s="28" t="s">
        <v>167</v>
      </c>
      <c r="N88" s="25">
        <v>1</v>
      </c>
      <c r="O88" s="29">
        <v>1</v>
      </c>
      <c r="P88" s="29">
        <v>1</v>
      </c>
      <c r="Q88" s="25" t="s">
        <v>456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44"/>
        <v>1</v>
      </c>
      <c r="AF88" s="32">
        <f t="shared" si="45"/>
        <v>0</v>
      </c>
      <c r="AG88" s="30"/>
      <c r="AH88" s="33">
        <v>1</v>
      </c>
      <c r="AI88" s="34">
        <f t="shared" si="46"/>
        <v>1</v>
      </c>
      <c r="AJ88" s="35">
        <v>46164</v>
      </c>
      <c r="AK88" s="30">
        <v>1</v>
      </c>
      <c r="AL88" s="36">
        <f t="shared" si="41"/>
        <v>1</v>
      </c>
      <c r="AM88" s="35">
        <v>46164</v>
      </c>
      <c r="AN88" s="30">
        <v>1</v>
      </c>
      <c r="AO88" s="36">
        <f t="shared" si="42"/>
        <v>1</v>
      </c>
      <c r="AP88" s="35">
        <v>46164</v>
      </c>
      <c r="AQ88" s="30">
        <v>1</v>
      </c>
      <c r="AR88" s="36">
        <f t="shared" si="47"/>
        <v>1</v>
      </c>
      <c r="AS88" s="27" t="s">
        <v>1303</v>
      </c>
      <c r="AT88" s="37">
        <v>46233</v>
      </c>
      <c r="AU88" s="30">
        <v>1</v>
      </c>
      <c r="AV88" s="36">
        <f t="shared" si="48"/>
        <v>1</v>
      </c>
      <c r="AW88" s="35">
        <v>46235</v>
      </c>
      <c r="AX88" s="30">
        <v>1</v>
      </c>
      <c r="AY88" s="32">
        <f t="shared" si="43"/>
        <v>1</v>
      </c>
      <c r="AZ88" s="30" t="s">
        <v>85</v>
      </c>
      <c r="BA88" s="63" t="s">
        <v>1310</v>
      </c>
      <c r="BB88" s="71"/>
      <c r="BC88" s="71" t="s">
        <v>1317</v>
      </c>
      <c r="BD88" s="71"/>
    </row>
    <row r="89" spans="1:56" x14ac:dyDescent="0.25">
      <c r="A89" s="24">
        <f>IF(B89="","",SUBTOTAL(3,$B$4:B89))</f>
        <v>85</v>
      </c>
      <c r="B89" s="25" t="s">
        <v>77</v>
      </c>
      <c r="C89" s="25" t="str">
        <f t="shared" si="39"/>
        <v>Shipment 1 400</v>
      </c>
      <c r="D89" s="25" t="s">
        <v>76</v>
      </c>
      <c r="E89" s="25">
        <v>400</v>
      </c>
      <c r="F89" s="25"/>
      <c r="G89" s="65">
        <v>45990</v>
      </c>
      <c r="H89" s="25" t="s">
        <v>1257</v>
      </c>
      <c r="I89" s="25" t="s">
        <v>1253</v>
      </c>
      <c r="J89" s="26" t="s">
        <v>1302</v>
      </c>
      <c r="K89" s="27" t="s">
        <v>235</v>
      </c>
      <c r="L89" s="28" t="s">
        <v>238</v>
      </c>
      <c r="M89" s="28" t="s">
        <v>167</v>
      </c>
      <c r="N89" s="25">
        <v>1</v>
      </c>
      <c r="O89" s="29">
        <v>1</v>
      </c>
      <c r="P89" s="29">
        <v>1</v>
      </c>
      <c r="Q89" s="25" t="s">
        <v>456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44"/>
        <v>1</v>
      </c>
      <c r="AF89" s="32">
        <f t="shared" si="45"/>
        <v>0</v>
      </c>
      <c r="AG89" s="30"/>
      <c r="AH89" s="33">
        <v>1</v>
      </c>
      <c r="AI89" s="34">
        <f t="shared" si="46"/>
        <v>1</v>
      </c>
      <c r="AJ89" s="35">
        <v>46164</v>
      </c>
      <c r="AK89" s="30">
        <v>1</v>
      </c>
      <c r="AL89" s="36">
        <f t="shared" si="41"/>
        <v>1</v>
      </c>
      <c r="AM89" s="35">
        <v>46164</v>
      </c>
      <c r="AN89" s="30">
        <v>1</v>
      </c>
      <c r="AO89" s="36">
        <f t="shared" si="42"/>
        <v>1</v>
      </c>
      <c r="AP89" s="35">
        <v>46164</v>
      </c>
      <c r="AQ89" s="30">
        <v>1</v>
      </c>
      <c r="AR89" s="36">
        <f t="shared" si="47"/>
        <v>1</v>
      </c>
      <c r="AS89" s="27" t="s">
        <v>1303</v>
      </c>
      <c r="AT89" s="37">
        <v>46233</v>
      </c>
      <c r="AU89" s="30">
        <v>1</v>
      </c>
      <c r="AV89" s="36">
        <f t="shared" si="48"/>
        <v>1</v>
      </c>
      <c r="AW89" s="35">
        <v>46235</v>
      </c>
      <c r="AX89" s="30">
        <v>1</v>
      </c>
      <c r="AY89" s="32">
        <f t="shared" si="43"/>
        <v>1</v>
      </c>
      <c r="AZ89" s="30" t="s">
        <v>85</v>
      </c>
      <c r="BA89" s="63" t="s">
        <v>1310</v>
      </c>
      <c r="BB89" s="71"/>
      <c r="BC89" s="71" t="s">
        <v>1317</v>
      </c>
      <c r="BD89" s="71"/>
    </row>
    <row r="90" spans="1:56" x14ac:dyDescent="0.25">
      <c r="A90" s="24">
        <f>IF(B90="","",SUBTOTAL(3,$B$4:B90))</f>
        <v>86</v>
      </c>
      <c r="B90" s="25" t="s">
        <v>77</v>
      </c>
      <c r="C90" s="25" t="str">
        <f t="shared" si="39"/>
        <v>Shipment 1 400</v>
      </c>
      <c r="D90" s="25" t="s">
        <v>76</v>
      </c>
      <c r="E90" s="25">
        <v>400</v>
      </c>
      <c r="F90" s="25"/>
      <c r="G90" s="65">
        <v>45990</v>
      </c>
      <c r="H90" s="25" t="s">
        <v>1257</v>
      </c>
      <c r="I90" s="25" t="s">
        <v>1253</v>
      </c>
      <c r="J90" s="26" t="s">
        <v>1302</v>
      </c>
      <c r="K90" s="27" t="s">
        <v>235</v>
      </c>
      <c r="L90" s="28" t="s">
        <v>239</v>
      </c>
      <c r="M90" s="28" t="s">
        <v>167</v>
      </c>
      <c r="N90" s="25">
        <v>1</v>
      </c>
      <c r="O90" s="29">
        <v>1</v>
      </c>
      <c r="P90" s="29">
        <v>1</v>
      </c>
      <c r="Q90" s="25" t="s">
        <v>456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44"/>
        <v>1</v>
      </c>
      <c r="AF90" s="32">
        <f t="shared" si="45"/>
        <v>0</v>
      </c>
      <c r="AG90" s="30"/>
      <c r="AH90" s="33">
        <v>1</v>
      </c>
      <c r="AI90" s="34">
        <f t="shared" si="46"/>
        <v>1</v>
      </c>
      <c r="AJ90" s="35">
        <v>46164</v>
      </c>
      <c r="AK90" s="30">
        <v>1</v>
      </c>
      <c r="AL90" s="36">
        <f t="shared" si="41"/>
        <v>1</v>
      </c>
      <c r="AM90" s="35">
        <v>46164</v>
      </c>
      <c r="AN90" s="30">
        <v>1</v>
      </c>
      <c r="AO90" s="36">
        <f t="shared" si="42"/>
        <v>1</v>
      </c>
      <c r="AP90" s="35">
        <v>46164</v>
      </c>
      <c r="AQ90" s="30">
        <v>1</v>
      </c>
      <c r="AR90" s="36">
        <f t="shared" si="47"/>
        <v>1</v>
      </c>
      <c r="AS90" s="27" t="s">
        <v>1303</v>
      </c>
      <c r="AT90" s="37">
        <v>46233</v>
      </c>
      <c r="AU90" s="30">
        <v>1</v>
      </c>
      <c r="AV90" s="36">
        <f t="shared" si="48"/>
        <v>1</v>
      </c>
      <c r="AW90" s="35">
        <v>46235</v>
      </c>
      <c r="AX90" s="30">
        <v>1</v>
      </c>
      <c r="AY90" s="32">
        <f t="shared" si="43"/>
        <v>1</v>
      </c>
      <c r="AZ90" s="30" t="s">
        <v>85</v>
      </c>
      <c r="BA90" s="63" t="s">
        <v>1310</v>
      </c>
      <c r="BB90" s="71"/>
      <c r="BC90" s="71" t="s">
        <v>1317</v>
      </c>
      <c r="BD90" s="71"/>
    </row>
    <row r="91" spans="1:56" x14ac:dyDescent="0.25">
      <c r="A91" s="24">
        <f>IF(B91="","",SUBTOTAL(3,$B$4:B91))</f>
        <v>87</v>
      </c>
      <c r="B91" s="25" t="s">
        <v>77</v>
      </c>
      <c r="C91" s="25" t="str">
        <f t="shared" si="39"/>
        <v>Shipment 1 400</v>
      </c>
      <c r="D91" s="25" t="s">
        <v>76</v>
      </c>
      <c r="E91" s="25">
        <v>400</v>
      </c>
      <c r="F91" s="25"/>
      <c r="G91" s="65">
        <v>45990</v>
      </c>
      <c r="H91" s="25" t="s">
        <v>1257</v>
      </c>
      <c r="I91" s="25" t="s">
        <v>1253</v>
      </c>
      <c r="J91" s="26" t="s">
        <v>1302</v>
      </c>
      <c r="K91" s="27" t="s">
        <v>235</v>
      </c>
      <c r="L91" s="28" t="s">
        <v>240</v>
      </c>
      <c r="M91" s="28" t="s">
        <v>167</v>
      </c>
      <c r="N91" s="25">
        <v>1</v>
      </c>
      <c r="O91" s="29">
        <v>1</v>
      </c>
      <c r="P91" s="29">
        <v>1</v>
      </c>
      <c r="Q91" s="25" t="s">
        <v>456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44"/>
        <v>1</v>
      </c>
      <c r="AF91" s="32">
        <f t="shared" si="45"/>
        <v>0</v>
      </c>
      <c r="AG91" s="30"/>
      <c r="AH91" s="33">
        <v>1</v>
      </c>
      <c r="AI91" s="34">
        <f t="shared" si="46"/>
        <v>1</v>
      </c>
      <c r="AJ91" s="35">
        <v>46164</v>
      </c>
      <c r="AK91" s="30">
        <v>1</v>
      </c>
      <c r="AL91" s="36">
        <f t="shared" si="41"/>
        <v>1</v>
      </c>
      <c r="AM91" s="35">
        <v>46164</v>
      </c>
      <c r="AN91" s="30">
        <v>1</v>
      </c>
      <c r="AO91" s="36">
        <f t="shared" si="42"/>
        <v>1</v>
      </c>
      <c r="AP91" s="35">
        <v>46164</v>
      </c>
      <c r="AQ91" s="30">
        <v>1</v>
      </c>
      <c r="AR91" s="36">
        <f t="shared" si="47"/>
        <v>1</v>
      </c>
      <c r="AS91" s="27" t="s">
        <v>1303</v>
      </c>
      <c r="AT91" s="37">
        <v>46233</v>
      </c>
      <c r="AU91" s="30">
        <v>1</v>
      </c>
      <c r="AV91" s="36">
        <f t="shared" si="48"/>
        <v>1</v>
      </c>
      <c r="AW91" s="35">
        <v>46235</v>
      </c>
      <c r="AX91" s="30">
        <v>1</v>
      </c>
      <c r="AY91" s="32">
        <f t="shared" si="43"/>
        <v>1</v>
      </c>
      <c r="AZ91" s="30" t="s">
        <v>85</v>
      </c>
      <c r="BA91" s="63" t="s">
        <v>1310</v>
      </c>
      <c r="BB91" s="71"/>
      <c r="BC91" s="71" t="s">
        <v>1317</v>
      </c>
      <c r="BD91" s="71"/>
    </row>
    <row r="92" spans="1:56" x14ac:dyDescent="0.25">
      <c r="A92" s="24">
        <f>IF(B92="","",SUBTOTAL(3,$B$4:B92))</f>
        <v>88</v>
      </c>
      <c r="B92" s="25" t="s">
        <v>77</v>
      </c>
      <c r="C92" s="25" t="str">
        <f t="shared" si="39"/>
        <v>Shipment 1 400</v>
      </c>
      <c r="D92" s="25" t="s">
        <v>76</v>
      </c>
      <c r="E92" s="25">
        <v>400</v>
      </c>
      <c r="F92" s="25"/>
      <c r="G92" s="65">
        <v>45990</v>
      </c>
      <c r="H92" s="25" t="s">
        <v>1257</v>
      </c>
      <c r="I92" s="25" t="s">
        <v>1253</v>
      </c>
      <c r="J92" s="26" t="s">
        <v>1302</v>
      </c>
      <c r="K92" s="27" t="s">
        <v>235</v>
      </c>
      <c r="L92" s="28" t="s">
        <v>241</v>
      </c>
      <c r="M92" s="28" t="s">
        <v>167</v>
      </c>
      <c r="N92" s="25">
        <v>1</v>
      </c>
      <c r="O92" s="29">
        <v>1</v>
      </c>
      <c r="P92" s="29">
        <v>1</v>
      </c>
      <c r="Q92" s="25" t="s">
        <v>456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44"/>
        <v>1</v>
      </c>
      <c r="AF92" s="32">
        <f t="shared" si="45"/>
        <v>0</v>
      </c>
      <c r="AG92" s="30"/>
      <c r="AH92" s="33">
        <v>1</v>
      </c>
      <c r="AI92" s="34">
        <f t="shared" si="46"/>
        <v>1</v>
      </c>
      <c r="AJ92" s="35">
        <v>46164</v>
      </c>
      <c r="AK92" s="30">
        <v>1</v>
      </c>
      <c r="AL92" s="36">
        <f t="shared" si="41"/>
        <v>1</v>
      </c>
      <c r="AM92" s="35">
        <v>46164</v>
      </c>
      <c r="AN92" s="30">
        <v>1</v>
      </c>
      <c r="AO92" s="36">
        <f t="shared" si="42"/>
        <v>1</v>
      </c>
      <c r="AP92" s="35">
        <v>46164</v>
      </c>
      <c r="AQ92" s="30">
        <v>1</v>
      </c>
      <c r="AR92" s="36">
        <f t="shared" si="47"/>
        <v>1</v>
      </c>
      <c r="AS92" s="27" t="s">
        <v>1303</v>
      </c>
      <c r="AT92" s="37">
        <v>46233</v>
      </c>
      <c r="AU92" s="30">
        <v>1</v>
      </c>
      <c r="AV92" s="36">
        <f t="shared" si="48"/>
        <v>1</v>
      </c>
      <c r="AW92" s="35">
        <v>46235</v>
      </c>
      <c r="AX92" s="30">
        <v>1</v>
      </c>
      <c r="AY92" s="32">
        <f t="shared" si="43"/>
        <v>1</v>
      </c>
      <c r="AZ92" s="30" t="s">
        <v>85</v>
      </c>
      <c r="BA92" s="63" t="s">
        <v>1310</v>
      </c>
      <c r="BB92" s="71"/>
      <c r="BC92" s="71" t="s">
        <v>1317</v>
      </c>
      <c r="BD92" s="71"/>
    </row>
    <row r="93" spans="1:56" x14ac:dyDescent="0.25">
      <c r="A93" s="24">
        <f>IF(B93="","",SUBTOTAL(3,$B$4:B93))</f>
        <v>89</v>
      </c>
      <c r="B93" s="25" t="s">
        <v>77</v>
      </c>
      <c r="C93" s="25" t="str">
        <f t="shared" si="39"/>
        <v>Shipment 1 400</v>
      </c>
      <c r="D93" s="25" t="s">
        <v>76</v>
      </c>
      <c r="E93" s="25">
        <v>400</v>
      </c>
      <c r="F93" s="25"/>
      <c r="G93" s="65">
        <v>45990</v>
      </c>
      <c r="H93" s="25" t="s">
        <v>1257</v>
      </c>
      <c r="I93" s="25" t="s">
        <v>1253</v>
      </c>
      <c r="J93" s="26" t="s">
        <v>1302</v>
      </c>
      <c r="K93" s="27" t="s">
        <v>242</v>
      </c>
      <c r="L93" s="28" t="s">
        <v>243</v>
      </c>
      <c r="M93" s="28" t="s">
        <v>167</v>
      </c>
      <c r="N93" s="25">
        <v>36</v>
      </c>
      <c r="O93" s="29">
        <v>1</v>
      </c>
      <c r="P93" s="29">
        <v>34.299999999999997</v>
      </c>
      <c r="Q93" s="25" t="s">
        <v>456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44"/>
        <v>34.299999999999997</v>
      </c>
      <c r="AF93" s="32">
        <f t="shared" si="45"/>
        <v>0</v>
      </c>
      <c r="AG93" s="30"/>
      <c r="AH93" s="33">
        <v>1</v>
      </c>
      <c r="AI93" s="34">
        <f t="shared" si="46"/>
        <v>34.299999999999997</v>
      </c>
      <c r="AJ93" s="35">
        <v>46164</v>
      </c>
      <c r="AK93" s="30">
        <v>36</v>
      </c>
      <c r="AL93" s="36">
        <f t="shared" si="41"/>
        <v>34.299999999999997</v>
      </c>
      <c r="AM93" s="35">
        <v>46164</v>
      </c>
      <c r="AN93" s="30">
        <v>36</v>
      </c>
      <c r="AO93" s="36">
        <f t="shared" si="42"/>
        <v>34.299999999999997</v>
      </c>
      <c r="AP93" s="35">
        <v>46164</v>
      </c>
      <c r="AQ93" s="30">
        <v>36</v>
      </c>
      <c r="AR93" s="36">
        <f t="shared" si="47"/>
        <v>34.299999999999997</v>
      </c>
      <c r="AS93" s="27" t="s">
        <v>1303</v>
      </c>
      <c r="AT93" s="37">
        <v>46233</v>
      </c>
      <c r="AU93" s="30">
        <v>36</v>
      </c>
      <c r="AV93" s="36">
        <f t="shared" si="48"/>
        <v>34.299999999999997</v>
      </c>
      <c r="AW93" s="35">
        <v>46235</v>
      </c>
      <c r="AX93" s="30">
        <v>36</v>
      </c>
      <c r="AY93" s="32">
        <f t="shared" si="43"/>
        <v>34.299999999999997</v>
      </c>
      <c r="AZ93" s="30" t="s">
        <v>85</v>
      </c>
      <c r="BA93" s="63" t="s">
        <v>1310</v>
      </c>
      <c r="BB93" s="71"/>
      <c r="BC93" s="71" t="s">
        <v>243</v>
      </c>
      <c r="BD93" s="71"/>
    </row>
    <row r="94" spans="1:56" x14ac:dyDescent="0.25">
      <c r="A94" s="24">
        <f>IF(B94="","",SUBTOTAL(3,$B$4:B94))</f>
        <v>90</v>
      </c>
      <c r="B94" s="25" t="s">
        <v>77</v>
      </c>
      <c r="C94" s="25" t="str">
        <f t="shared" si="39"/>
        <v>Shipment 1 400</v>
      </c>
      <c r="D94" s="25" t="s">
        <v>76</v>
      </c>
      <c r="E94" s="25">
        <v>400</v>
      </c>
      <c r="F94" s="25"/>
      <c r="G94" s="65">
        <v>45990</v>
      </c>
      <c r="H94" s="25" t="s">
        <v>1257</v>
      </c>
      <c r="I94" s="25" t="s">
        <v>1254</v>
      </c>
      <c r="J94" s="26" t="s">
        <v>1302</v>
      </c>
      <c r="K94" s="27" t="s">
        <v>244</v>
      </c>
      <c r="L94" s="28" t="s">
        <v>245</v>
      </c>
      <c r="M94" s="28" t="s">
        <v>246</v>
      </c>
      <c r="N94" s="25">
        <v>1</v>
      </c>
      <c r="O94" s="29">
        <v>127.3</v>
      </c>
      <c r="P94" s="29">
        <v>127.3</v>
      </c>
      <c r="Q94" s="25" t="s">
        <v>461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44"/>
        <v>127.3</v>
      </c>
      <c r="AF94" s="32">
        <f t="shared" si="45"/>
        <v>0</v>
      </c>
      <c r="AG94" s="30"/>
      <c r="AH94" s="33">
        <v>1</v>
      </c>
      <c r="AI94" s="34">
        <f t="shared" si="46"/>
        <v>127.3</v>
      </c>
      <c r="AJ94" s="35">
        <v>46043</v>
      </c>
      <c r="AK94" s="30">
        <v>1</v>
      </c>
      <c r="AL94" s="36">
        <f t="shared" ref="AL94:AL144" si="49">IFERROR(AK94*$P94/$N94,0)</f>
        <v>127.3</v>
      </c>
      <c r="AM94" s="35">
        <v>46052</v>
      </c>
      <c r="AN94" s="30">
        <v>1</v>
      </c>
      <c r="AO94" s="36">
        <f t="shared" ref="AO94:AO144" si="50">IFERROR(AN94*$P94/$N94,0)</f>
        <v>127.3</v>
      </c>
      <c r="AP94" s="35">
        <v>46164</v>
      </c>
      <c r="AQ94" s="30">
        <v>1</v>
      </c>
      <c r="AR94" s="36">
        <f t="shared" si="47"/>
        <v>127.3</v>
      </c>
      <c r="AS94" s="27" t="s">
        <v>1295</v>
      </c>
      <c r="AT94" s="37">
        <v>46207</v>
      </c>
      <c r="AU94" s="30">
        <v>1</v>
      </c>
      <c r="AV94" s="36">
        <f t="shared" si="48"/>
        <v>127.3</v>
      </c>
      <c r="AW94" s="35">
        <v>46211</v>
      </c>
      <c r="AX94" s="30">
        <v>1</v>
      </c>
      <c r="AY94" s="32">
        <f t="shared" ref="AY94:AY103" si="51">IFERROR(AX94*$P94/$N94,0)</f>
        <v>127.3</v>
      </c>
      <c r="AZ94" s="30" t="s">
        <v>85</v>
      </c>
      <c r="BA94" s="63" t="s">
        <v>1297</v>
      </c>
      <c r="BB94" s="71"/>
      <c r="BC94" s="71" t="s">
        <v>245</v>
      </c>
      <c r="BD94" s="71"/>
    </row>
    <row r="95" spans="1:56" x14ac:dyDescent="0.25">
      <c r="A95" s="24">
        <f>IF(B95="","",SUBTOTAL(3,$B$4:B95))</f>
        <v>91</v>
      </c>
      <c r="B95" s="25" t="s">
        <v>77</v>
      </c>
      <c r="C95" s="25" t="str">
        <f t="shared" si="39"/>
        <v>Shipment 1 400</v>
      </c>
      <c r="D95" s="25" t="s">
        <v>76</v>
      </c>
      <c r="E95" s="25">
        <v>400</v>
      </c>
      <c r="F95" s="25"/>
      <c r="G95" s="65">
        <v>45990</v>
      </c>
      <c r="H95" s="25" t="s">
        <v>1257</v>
      </c>
      <c r="I95" s="25" t="s">
        <v>1254</v>
      </c>
      <c r="J95" s="26" t="s">
        <v>1302</v>
      </c>
      <c r="K95" s="27" t="s">
        <v>247</v>
      </c>
      <c r="L95" s="28" t="s">
        <v>248</v>
      </c>
      <c r="M95" s="28" t="s">
        <v>249</v>
      </c>
      <c r="N95" s="25">
        <v>1</v>
      </c>
      <c r="O95" s="29">
        <v>246.5</v>
      </c>
      <c r="P95" s="29">
        <v>246.5</v>
      </c>
      <c r="Q95" s="25" t="s">
        <v>462</v>
      </c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44"/>
        <v>246.50000000000003</v>
      </c>
      <c r="AF95" s="32">
        <f t="shared" si="45"/>
        <v>0</v>
      </c>
      <c r="AG95" s="30"/>
      <c r="AH95" s="33">
        <v>1</v>
      </c>
      <c r="AI95" s="34">
        <f t="shared" si="46"/>
        <v>246.5</v>
      </c>
      <c r="AJ95" s="35">
        <v>46043</v>
      </c>
      <c r="AK95" s="30">
        <v>1</v>
      </c>
      <c r="AL95" s="36">
        <f t="shared" si="49"/>
        <v>246.5</v>
      </c>
      <c r="AM95" s="35">
        <v>46052</v>
      </c>
      <c r="AN95" s="30">
        <v>1</v>
      </c>
      <c r="AO95" s="36">
        <f t="shared" si="50"/>
        <v>246.5</v>
      </c>
      <c r="AP95" s="35">
        <v>46164</v>
      </c>
      <c r="AQ95" s="30">
        <v>1</v>
      </c>
      <c r="AR95" s="36">
        <f t="shared" si="47"/>
        <v>246.5</v>
      </c>
      <c r="AS95" s="27" t="s">
        <v>1295</v>
      </c>
      <c r="AT95" s="37">
        <v>46207</v>
      </c>
      <c r="AU95" s="30">
        <v>1</v>
      </c>
      <c r="AV95" s="36">
        <f t="shared" si="48"/>
        <v>246.5</v>
      </c>
      <c r="AW95" s="35">
        <v>46211</v>
      </c>
      <c r="AX95" s="30">
        <v>1</v>
      </c>
      <c r="AY95" s="32">
        <f t="shared" ref="AY95:AY102" si="52">IFERROR(AX95*$P95/$N95,0)</f>
        <v>246.5</v>
      </c>
      <c r="AZ95" s="30" t="s">
        <v>85</v>
      </c>
      <c r="BA95" s="63" t="s">
        <v>1297</v>
      </c>
      <c r="BB95" s="71"/>
      <c r="BC95" s="71" t="s">
        <v>248</v>
      </c>
      <c r="BD95" s="71"/>
    </row>
    <row r="96" spans="1:56" x14ac:dyDescent="0.25">
      <c r="A96" s="24">
        <f>IF(B96="","",SUBTOTAL(3,$B$4:B96))</f>
        <v>92</v>
      </c>
      <c r="B96" s="25" t="s">
        <v>77</v>
      </c>
      <c r="C96" s="25" t="str">
        <f t="shared" si="39"/>
        <v>Shipment 1 400</v>
      </c>
      <c r="D96" s="25" t="s">
        <v>76</v>
      </c>
      <c r="E96" s="25">
        <v>400</v>
      </c>
      <c r="F96" s="25"/>
      <c r="G96" s="65">
        <v>45990</v>
      </c>
      <c r="H96" s="25" t="s">
        <v>1257</v>
      </c>
      <c r="I96" s="25" t="s">
        <v>1254</v>
      </c>
      <c r="J96" s="26" t="s">
        <v>1302</v>
      </c>
      <c r="K96" s="27" t="s">
        <v>250</v>
      </c>
      <c r="L96" s="28" t="s">
        <v>251</v>
      </c>
      <c r="M96" s="28" t="s">
        <v>246</v>
      </c>
      <c r="N96" s="25">
        <v>1</v>
      </c>
      <c r="O96" s="29">
        <v>97</v>
      </c>
      <c r="P96" s="29">
        <v>97</v>
      </c>
      <c r="Q96" s="25" t="s">
        <v>463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44"/>
        <v>97.000000000000014</v>
      </c>
      <c r="AF96" s="32">
        <f t="shared" si="45"/>
        <v>0</v>
      </c>
      <c r="AG96" s="30"/>
      <c r="AH96" s="33">
        <v>1</v>
      </c>
      <c r="AI96" s="34">
        <f t="shared" si="46"/>
        <v>97</v>
      </c>
      <c r="AJ96" s="35">
        <v>46043</v>
      </c>
      <c r="AK96" s="30">
        <v>1</v>
      </c>
      <c r="AL96" s="36">
        <f t="shared" si="49"/>
        <v>97</v>
      </c>
      <c r="AM96" s="35">
        <v>46052</v>
      </c>
      <c r="AN96" s="30">
        <v>1</v>
      </c>
      <c r="AO96" s="36">
        <f t="shared" si="50"/>
        <v>97</v>
      </c>
      <c r="AP96" s="35">
        <v>46164</v>
      </c>
      <c r="AQ96" s="30">
        <v>1</v>
      </c>
      <c r="AR96" s="36">
        <f t="shared" si="47"/>
        <v>97</v>
      </c>
      <c r="AS96" s="27" t="s">
        <v>1295</v>
      </c>
      <c r="AT96" s="37">
        <v>46207</v>
      </c>
      <c r="AU96" s="30">
        <v>1</v>
      </c>
      <c r="AV96" s="36">
        <f t="shared" si="48"/>
        <v>97</v>
      </c>
      <c r="AW96" s="35">
        <v>46211</v>
      </c>
      <c r="AX96" s="30">
        <v>1</v>
      </c>
      <c r="AY96" s="32">
        <f t="shared" si="52"/>
        <v>97</v>
      </c>
      <c r="AZ96" s="30" t="s">
        <v>85</v>
      </c>
      <c r="BA96" s="63" t="s">
        <v>1297</v>
      </c>
      <c r="BB96" s="71"/>
      <c r="BC96" s="71" t="s">
        <v>251</v>
      </c>
      <c r="BD96" s="71"/>
    </row>
    <row r="97" spans="1:56" x14ac:dyDescent="0.25">
      <c r="A97" s="24">
        <f>IF(B97="","",SUBTOTAL(3,$B$4:B97))</f>
        <v>93</v>
      </c>
      <c r="B97" s="25" t="s">
        <v>77</v>
      </c>
      <c r="C97" s="25" t="str">
        <f t="shared" si="39"/>
        <v>Shipment 1 400</v>
      </c>
      <c r="D97" s="25" t="s">
        <v>76</v>
      </c>
      <c r="E97" s="25">
        <v>400</v>
      </c>
      <c r="F97" s="25"/>
      <c r="G97" s="65">
        <v>45990</v>
      </c>
      <c r="H97" s="25" t="s">
        <v>1257</v>
      </c>
      <c r="I97" s="25" t="s">
        <v>1254</v>
      </c>
      <c r="J97" s="26" t="s">
        <v>1302</v>
      </c>
      <c r="K97" s="27" t="s">
        <v>252</v>
      </c>
      <c r="L97" s="28" t="s">
        <v>253</v>
      </c>
      <c r="M97" s="28" t="s">
        <v>249</v>
      </c>
      <c r="N97" s="25">
        <v>1</v>
      </c>
      <c r="O97" s="29">
        <v>383.2</v>
      </c>
      <c r="P97" s="29">
        <v>383.2</v>
      </c>
      <c r="Q97" s="25" t="s">
        <v>464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44"/>
        <v>383.2</v>
      </c>
      <c r="AF97" s="32">
        <f t="shared" si="45"/>
        <v>0</v>
      </c>
      <c r="AG97" s="30"/>
      <c r="AH97" s="33">
        <v>1</v>
      </c>
      <c r="AI97" s="34">
        <f t="shared" si="46"/>
        <v>383.2</v>
      </c>
      <c r="AJ97" s="35">
        <v>46043</v>
      </c>
      <c r="AK97" s="30">
        <v>1</v>
      </c>
      <c r="AL97" s="36">
        <f t="shared" si="49"/>
        <v>383.2</v>
      </c>
      <c r="AM97" s="35">
        <v>46052</v>
      </c>
      <c r="AN97" s="30">
        <v>1</v>
      </c>
      <c r="AO97" s="36">
        <f t="shared" si="50"/>
        <v>383.2</v>
      </c>
      <c r="AP97" s="35">
        <v>46164</v>
      </c>
      <c r="AQ97" s="30">
        <v>1</v>
      </c>
      <c r="AR97" s="36">
        <f t="shared" si="47"/>
        <v>383.2</v>
      </c>
      <c r="AS97" s="27" t="s">
        <v>1295</v>
      </c>
      <c r="AT97" s="37">
        <v>46207</v>
      </c>
      <c r="AU97" s="30">
        <v>1</v>
      </c>
      <c r="AV97" s="36">
        <f t="shared" si="48"/>
        <v>383.2</v>
      </c>
      <c r="AW97" s="35">
        <v>46211</v>
      </c>
      <c r="AX97" s="30">
        <v>1</v>
      </c>
      <c r="AY97" s="32">
        <f t="shared" si="52"/>
        <v>383.2</v>
      </c>
      <c r="AZ97" s="30" t="s">
        <v>85</v>
      </c>
      <c r="BA97" s="63" t="s">
        <v>1297</v>
      </c>
      <c r="BB97" s="71"/>
      <c r="BC97" s="71" t="s">
        <v>253</v>
      </c>
      <c r="BD97" s="71"/>
    </row>
    <row r="98" spans="1:56" x14ac:dyDescent="0.25">
      <c r="A98" s="24">
        <f>IF(B98="","",SUBTOTAL(3,$B$4:B98))</f>
        <v>94</v>
      </c>
      <c r="B98" s="25" t="s">
        <v>77</v>
      </c>
      <c r="C98" s="25" t="str">
        <f t="shared" si="39"/>
        <v>Shipment 1 400</v>
      </c>
      <c r="D98" s="25" t="s">
        <v>76</v>
      </c>
      <c r="E98" s="25">
        <v>400</v>
      </c>
      <c r="F98" s="25"/>
      <c r="G98" s="65">
        <v>45990</v>
      </c>
      <c r="H98" s="25" t="s">
        <v>1257</v>
      </c>
      <c r="I98" s="25" t="s">
        <v>1254</v>
      </c>
      <c r="J98" s="26" t="s">
        <v>1302</v>
      </c>
      <c r="K98" s="27" t="s">
        <v>254</v>
      </c>
      <c r="L98" s="28" t="s">
        <v>255</v>
      </c>
      <c r="M98" s="28" t="s">
        <v>249</v>
      </c>
      <c r="N98" s="25">
        <v>1</v>
      </c>
      <c r="O98" s="29">
        <v>382.6</v>
      </c>
      <c r="P98" s="29">
        <v>382.6</v>
      </c>
      <c r="Q98" s="25" t="s">
        <v>464</v>
      </c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44"/>
        <v>382.6</v>
      </c>
      <c r="AF98" s="32">
        <f t="shared" si="45"/>
        <v>0</v>
      </c>
      <c r="AG98" s="30"/>
      <c r="AH98" s="33">
        <v>1</v>
      </c>
      <c r="AI98" s="34">
        <f t="shared" si="46"/>
        <v>382.6</v>
      </c>
      <c r="AJ98" s="35">
        <v>46043</v>
      </c>
      <c r="AK98" s="30">
        <v>1</v>
      </c>
      <c r="AL98" s="36">
        <f t="shared" si="49"/>
        <v>382.6</v>
      </c>
      <c r="AM98" s="35">
        <v>46052</v>
      </c>
      <c r="AN98" s="30">
        <v>1</v>
      </c>
      <c r="AO98" s="36">
        <f t="shared" si="50"/>
        <v>382.6</v>
      </c>
      <c r="AP98" s="35">
        <v>46164</v>
      </c>
      <c r="AQ98" s="30">
        <v>1</v>
      </c>
      <c r="AR98" s="36">
        <f t="shared" si="47"/>
        <v>382.6</v>
      </c>
      <c r="AS98" s="27" t="s">
        <v>1295</v>
      </c>
      <c r="AT98" s="37">
        <v>46207</v>
      </c>
      <c r="AU98" s="30">
        <v>1</v>
      </c>
      <c r="AV98" s="36">
        <f t="shared" si="48"/>
        <v>382.6</v>
      </c>
      <c r="AW98" s="35">
        <v>46211</v>
      </c>
      <c r="AX98" s="30">
        <v>1</v>
      </c>
      <c r="AY98" s="32">
        <f t="shared" si="52"/>
        <v>382.6</v>
      </c>
      <c r="AZ98" s="30" t="s">
        <v>85</v>
      </c>
      <c r="BA98" s="63" t="s">
        <v>1297</v>
      </c>
      <c r="BB98" s="71"/>
      <c r="BC98" s="71" t="s">
        <v>255</v>
      </c>
      <c r="BD98" s="71"/>
    </row>
    <row r="99" spans="1:56" x14ac:dyDescent="0.25">
      <c r="A99" s="24">
        <f>IF(B99="","",SUBTOTAL(3,$B$4:B99))</f>
        <v>95</v>
      </c>
      <c r="B99" s="25" t="s">
        <v>77</v>
      </c>
      <c r="C99" s="25" t="str">
        <f t="shared" si="39"/>
        <v>Shipment 1 400</v>
      </c>
      <c r="D99" s="25" t="s">
        <v>76</v>
      </c>
      <c r="E99" s="25">
        <v>400</v>
      </c>
      <c r="F99" s="25"/>
      <c r="G99" s="65">
        <v>45990</v>
      </c>
      <c r="H99" s="25" t="s">
        <v>1257</v>
      </c>
      <c r="I99" s="25" t="s">
        <v>1254</v>
      </c>
      <c r="J99" s="26" t="s">
        <v>1302</v>
      </c>
      <c r="K99" s="27" t="s">
        <v>256</v>
      </c>
      <c r="L99" s="28" t="s">
        <v>257</v>
      </c>
      <c r="M99" s="28" t="s">
        <v>249</v>
      </c>
      <c r="N99" s="25">
        <v>1</v>
      </c>
      <c r="O99" s="29">
        <v>423.9</v>
      </c>
      <c r="P99" s="29">
        <v>423.9</v>
      </c>
      <c r="Q99" s="25" t="s">
        <v>465</v>
      </c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44"/>
        <v>423.9</v>
      </c>
      <c r="AF99" s="32">
        <f t="shared" si="45"/>
        <v>0</v>
      </c>
      <c r="AG99" s="30"/>
      <c r="AH99" s="33">
        <v>1</v>
      </c>
      <c r="AI99" s="34">
        <f t="shared" si="46"/>
        <v>423.9</v>
      </c>
      <c r="AJ99" s="35">
        <v>46043</v>
      </c>
      <c r="AK99" s="30">
        <v>1</v>
      </c>
      <c r="AL99" s="36">
        <f t="shared" si="49"/>
        <v>423.9</v>
      </c>
      <c r="AM99" s="35">
        <v>46052</v>
      </c>
      <c r="AN99" s="30">
        <v>1</v>
      </c>
      <c r="AO99" s="36">
        <f t="shared" si="50"/>
        <v>423.9</v>
      </c>
      <c r="AP99" s="35">
        <v>46164</v>
      </c>
      <c r="AQ99" s="30">
        <v>1</v>
      </c>
      <c r="AR99" s="36">
        <f t="shared" si="47"/>
        <v>423.9</v>
      </c>
      <c r="AS99" s="27" t="s">
        <v>1295</v>
      </c>
      <c r="AT99" s="37">
        <v>46207</v>
      </c>
      <c r="AU99" s="30">
        <v>1</v>
      </c>
      <c r="AV99" s="36">
        <f t="shared" si="48"/>
        <v>423.9</v>
      </c>
      <c r="AW99" s="35">
        <v>46211</v>
      </c>
      <c r="AX99" s="30">
        <v>1</v>
      </c>
      <c r="AY99" s="32">
        <f t="shared" si="52"/>
        <v>423.9</v>
      </c>
      <c r="AZ99" s="30" t="s">
        <v>85</v>
      </c>
      <c r="BA99" s="63" t="s">
        <v>1297</v>
      </c>
      <c r="BB99" s="71"/>
      <c r="BC99" s="71" t="s">
        <v>257</v>
      </c>
      <c r="BD99" s="71"/>
    </row>
    <row r="100" spans="1:56" x14ac:dyDescent="0.25">
      <c r="A100" s="24">
        <f>IF(B100="","",SUBTOTAL(3,$B$4:B100))</f>
        <v>96</v>
      </c>
      <c r="B100" s="25" t="s">
        <v>77</v>
      </c>
      <c r="C100" s="25" t="str">
        <f t="shared" si="39"/>
        <v>Shipment 1 400</v>
      </c>
      <c r="D100" s="25" t="s">
        <v>76</v>
      </c>
      <c r="E100" s="25">
        <v>400</v>
      </c>
      <c r="F100" s="25"/>
      <c r="G100" s="65">
        <v>45990</v>
      </c>
      <c r="H100" s="25" t="s">
        <v>1257</v>
      </c>
      <c r="I100" s="25" t="s">
        <v>1254</v>
      </c>
      <c r="J100" s="26" t="s">
        <v>1302</v>
      </c>
      <c r="K100" s="27" t="s">
        <v>258</v>
      </c>
      <c r="L100" s="28" t="s">
        <v>259</v>
      </c>
      <c r="M100" s="28" t="s">
        <v>249</v>
      </c>
      <c r="N100" s="25">
        <v>1</v>
      </c>
      <c r="O100" s="29">
        <v>423.9</v>
      </c>
      <c r="P100" s="29">
        <v>423.9</v>
      </c>
      <c r="Q100" s="25" t="s">
        <v>465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44"/>
        <v>423.9</v>
      </c>
      <c r="AF100" s="32">
        <f t="shared" si="45"/>
        <v>0</v>
      </c>
      <c r="AG100" s="30"/>
      <c r="AH100" s="33">
        <v>1</v>
      </c>
      <c r="AI100" s="34">
        <f t="shared" si="46"/>
        <v>423.9</v>
      </c>
      <c r="AJ100" s="35">
        <v>46043</v>
      </c>
      <c r="AK100" s="30">
        <v>1</v>
      </c>
      <c r="AL100" s="36">
        <f t="shared" si="49"/>
        <v>423.9</v>
      </c>
      <c r="AM100" s="35">
        <v>46052</v>
      </c>
      <c r="AN100" s="30">
        <v>1</v>
      </c>
      <c r="AO100" s="36">
        <f t="shared" si="50"/>
        <v>423.9</v>
      </c>
      <c r="AP100" s="35">
        <v>46164</v>
      </c>
      <c r="AQ100" s="30">
        <v>1</v>
      </c>
      <c r="AR100" s="36">
        <f t="shared" si="47"/>
        <v>423.9</v>
      </c>
      <c r="AS100" s="27" t="s">
        <v>1295</v>
      </c>
      <c r="AT100" s="37">
        <v>46207</v>
      </c>
      <c r="AU100" s="30">
        <v>1</v>
      </c>
      <c r="AV100" s="36">
        <f t="shared" si="48"/>
        <v>423.9</v>
      </c>
      <c r="AW100" s="35">
        <v>46211</v>
      </c>
      <c r="AX100" s="30">
        <v>1</v>
      </c>
      <c r="AY100" s="32">
        <f t="shared" si="52"/>
        <v>423.9</v>
      </c>
      <c r="AZ100" s="30" t="s">
        <v>85</v>
      </c>
      <c r="BA100" s="63" t="s">
        <v>1297</v>
      </c>
      <c r="BB100" s="71"/>
      <c r="BC100" s="71" t="s">
        <v>259</v>
      </c>
      <c r="BD100" s="71"/>
    </row>
    <row r="101" spans="1:56" x14ac:dyDescent="0.25">
      <c r="A101" s="24">
        <f>IF(B101="","",SUBTOTAL(3,$B$4:B101))</f>
        <v>97</v>
      </c>
      <c r="B101" s="25" t="s">
        <v>77</v>
      </c>
      <c r="C101" s="25" t="str">
        <f t="shared" si="39"/>
        <v>Shipment 1 400</v>
      </c>
      <c r="D101" s="25" t="s">
        <v>76</v>
      </c>
      <c r="E101" s="25">
        <v>400</v>
      </c>
      <c r="F101" s="25"/>
      <c r="G101" s="65">
        <v>45990</v>
      </c>
      <c r="H101" s="25" t="s">
        <v>1257</v>
      </c>
      <c r="I101" s="25" t="s">
        <v>1254</v>
      </c>
      <c r="J101" s="26" t="s">
        <v>1302</v>
      </c>
      <c r="K101" s="27" t="s">
        <v>260</v>
      </c>
      <c r="L101" s="28" t="s">
        <v>261</v>
      </c>
      <c r="M101" s="28" t="s">
        <v>249</v>
      </c>
      <c r="N101" s="25">
        <v>1</v>
      </c>
      <c r="O101" s="29">
        <v>424.5</v>
      </c>
      <c r="P101" s="29">
        <v>424.5</v>
      </c>
      <c r="Q101" s="25" t="s">
        <v>465</v>
      </c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44"/>
        <v>424.5</v>
      </c>
      <c r="AF101" s="32">
        <f t="shared" si="45"/>
        <v>0</v>
      </c>
      <c r="AG101" s="30"/>
      <c r="AH101" s="33">
        <v>1</v>
      </c>
      <c r="AI101" s="34">
        <f t="shared" si="46"/>
        <v>424.5</v>
      </c>
      <c r="AJ101" s="35">
        <v>46043</v>
      </c>
      <c r="AK101" s="30">
        <v>1</v>
      </c>
      <c r="AL101" s="36">
        <f t="shared" si="49"/>
        <v>424.5</v>
      </c>
      <c r="AM101" s="35">
        <v>46052</v>
      </c>
      <c r="AN101" s="30">
        <v>1</v>
      </c>
      <c r="AO101" s="36">
        <f t="shared" si="50"/>
        <v>424.5</v>
      </c>
      <c r="AP101" s="35">
        <v>46164</v>
      </c>
      <c r="AQ101" s="30">
        <v>1</v>
      </c>
      <c r="AR101" s="36">
        <f t="shared" si="47"/>
        <v>424.5</v>
      </c>
      <c r="AS101" s="27" t="s">
        <v>1295</v>
      </c>
      <c r="AT101" s="37">
        <v>46207</v>
      </c>
      <c r="AU101" s="30">
        <v>1</v>
      </c>
      <c r="AV101" s="36">
        <f t="shared" si="48"/>
        <v>424.5</v>
      </c>
      <c r="AW101" s="35">
        <v>46211</v>
      </c>
      <c r="AX101" s="30">
        <v>1</v>
      </c>
      <c r="AY101" s="32">
        <f t="shared" si="52"/>
        <v>424.5</v>
      </c>
      <c r="AZ101" s="30" t="s">
        <v>85</v>
      </c>
      <c r="BA101" s="63" t="s">
        <v>1297</v>
      </c>
      <c r="BB101" s="71"/>
      <c r="BC101" s="71" t="s">
        <v>261</v>
      </c>
      <c r="BD101" s="71"/>
    </row>
    <row r="102" spans="1:56" x14ac:dyDescent="0.25">
      <c r="A102" s="24">
        <f>IF(B102="","",SUBTOTAL(3,$B$4:B102))</f>
        <v>98</v>
      </c>
      <c r="B102" s="25" t="s">
        <v>77</v>
      </c>
      <c r="C102" s="25" t="str">
        <f t="shared" si="39"/>
        <v>Shipment 1 400</v>
      </c>
      <c r="D102" s="25" t="s">
        <v>76</v>
      </c>
      <c r="E102" s="25">
        <v>400</v>
      </c>
      <c r="F102" s="25"/>
      <c r="G102" s="65">
        <v>45990</v>
      </c>
      <c r="H102" s="25" t="s">
        <v>1257</v>
      </c>
      <c r="I102" s="25" t="s">
        <v>1254</v>
      </c>
      <c r="J102" s="26" t="s">
        <v>1302</v>
      </c>
      <c r="K102" s="27" t="s">
        <v>262</v>
      </c>
      <c r="L102" s="28" t="s">
        <v>263</v>
      </c>
      <c r="M102" s="28" t="s">
        <v>249</v>
      </c>
      <c r="N102" s="25">
        <v>1</v>
      </c>
      <c r="O102" s="29">
        <v>424.5</v>
      </c>
      <c r="P102" s="29">
        <v>424.5</v>
      </c>
      <c r="Q102" s="25" t="s">
        <v>465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44"/>
        <v>424.5</v>
      </c>
      <c r="AF102" s="32">
        <f t="shared" si="45"/>
        <v>0</v>
      </c>
      <c r="AG102" s="30"/>
      <c r="AH102" s="33">
        <v>1</v>
      </c>
      <c r="AI102" s="34">
        <f t="shared" si="46"/>
        <v>424.5</v>
      </c>
      <c r="AJ102" s="35">
        <v>46043</v>
      </c>
      <c r="AK102" s="30">
        <v>1</v>
      </c>
      <c r="AL102" s="36">
        <f t="shared" si="49"/>
        <v>424.5</v>
      </c>
      <c r="AM102" s="35">
        <v>46052</v>
      </c>
      <c r="AN102" s="30">
        <v>1</v>
      </c>
      <c r="AO102" s="36">
        <f t="shared" si="50"/>
        <v>424.5</v>
      </c>
      <c r="AP102" s="35">
        <v>46164</v>
      </c>
      <c r="AQ102" s="30">
        <v>1</v>
      </c>
      <c r="AR102" s="36">
        <f t="shared" si="47"/>
        <v>424.5</v>
      </c>
      <c r="AS102" s="27" t="s">
        <v>1295</v>
      </c>
      <c r="AT102" s="37">
        <v>46207</v>
      </c>
      <c r="AU102" s="30">
        <v>1</v>
      </c>
      <c r="AV102" s="36">
        <f t="shared" si="48"/>
        <v>424.5</v>
      </c>
      <c r="AW102" s="35">
        <v>46211</v>
      </c>
      <c r="AX102" s="30">
        <v>1</v>
      </c>
      <c r="AY102" s="32">
        <f t="shared" si="52"/>
        <v>424.5</v>
      </c>
      <c r="AZ102" s="30" t="s">
        <v>85</v>
      </c>
      <c r="BA102" s="63" t="s">
        <v>1297</v>
      </c>
      <c r="BB102" s="71"/>
      <c r="BC102" s="71" t="s">
        <v>263</v>
      </c>
      <c r="BD102" s="71"/>
    </row>
    <row r="103" spans="1:56" x14ac:dyDescent="0.25">
      <c r="A103" s="24">
        <f>IF(B103="","",SUBTOTAL(3,$B$4:B103))</f>
        <v>99</v>
      </c>
      <c r="B103" s="25" t="s">
        <v>77</v>
      </c>
      <c r="C103" s="25" t="str">
        <f t="shared" si="39"/>
        <v>Shipment 1 400</v>
      </c>
      <c r="D103" s="25" t="s">
        <v>76</v>
      </c>
      <c r="E103" s="25">
        <v>400</v>
      </c>
      <c r="F103" s="25"/>
      <c r="G103" s="65">
        <v>45990</v>
      </c>
      <c r="H103" s="25" t="s">
        <v>1257</v>
      </c>
      <c r="I103" s="25" t="s">
        <v>1254</v>
      </c>
      <c r="J103" s="26" t="s">
        <v>1302</v>
      </c>
      <c r="K103" s="27" t="s">
        <v>264</v>
      </c>
      <c r="L103" s="28" t="s">
        <v>265</v>
      </c>
      <c r="M103" s="28" t="s">
        <v>266</v>
      </c>
      <c r="N103" s="25">
        <v>1</v>
      </c>
      <c r="O103" s="29">
        <v>204.3</v>
      </c>
      <c r="P103" s="29">
        <v>204.3</v>
      </c>
      <c r="Q103" s="25" t="s">
        <v>466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44"/>
        <v>204.3</v>
      </c>
      <c r="AF103" s="32">
        <f t="shared" si="45"/>
        <v>0</v>
      </c>
      <c r="AG103" s="30"/>
      <c r="AH103" s="33">
        <v>1</v>
      </c>
      <c r="AI103" s="34">
        <f t="shared" si="46"/>
        <v>204.3</v>
      </c>
      <c r="AJ103" s="35">
        <v>46043</v>
      </c>
      <c r="AK103" s="30">
        <v>1</v>
      </c>
      <c r="AL103" s="36">
        <f t="shared" si="49"/>
        <v>204.3</v>
      </c>
      <c r="AM103" s="35">
        <v>46052</v>
      </c>
      <c r="AN103" s="30">
        <v>1</v>
      </c>
      <c r="AO103" s="36">
        <f t="shared" si="50"/>
        <v>204.3</v>
      </c>
      <c r="AP103" s="35">
        <v>46164</v>
      </c>
      <c r="AQ103" s="30">
        <v>1</v>
      </c>
      <c r="AR103" s="36">
        <f t="shared" si="47"/>
        <v>204.3</v>
      </c>
      <c r="AS103" s="27" t="s">
        <v>1294</v>
      </c>
      <c r="AT103" s="37">
        <v>46205</v>
      </c>
      <c r="AU103" s="30">
        <v>1</v>
      </c>
      <c r="AV103" s="36">
        <f t="shared" si="48"/>
        <v>204.3</v>
      </c>
      <c r="AW103" s="35">
        <v>46208</v>
      </c>
      <c r="AX103" s="30">
        <v>1</v>
      </c>
      <c r="AY103" s="32">
        <f t="shared" si="51"/>
        <v>204.3</v>
      </c>
      <c r="AZ103" s="30" t="s">
        <v>85</v>
      </c>
      <c r="BA103" s="63" t="s">
        <v>1294</v>
      </c>
      <c r="BB103" s="71"/>
      <c r="BC103" s="71" t="s">
        <v>265</v>
      </c>
      <c r="BD103" s="71"/>
    </row>
    <row r="104" spans="1:56" x14ac:dyDescent="0.25">
      <c r="A104" s="24">
        <f>IF(B104="","",SUBTOTAL(3,$B$4:B104))</f>
        <v>100</v>
      </c>
      <c r="B104" s="25" t="s">
        <v>77</v>
      </c>
      <c r="C104" s="25" t="str">
        <f t="shared" si="39"/>
        <v>Shipment 1 400</v>
      </c>
      <c r="D104" s="25" t="s">
        <v>76</v>
      </c>
      <c r="E104" s="25">
        <v>400</v>
      </c>
      <c r="F104" s="25"/>
      <c r="G104" s="65">
        <v>45990</v>
      </c>
      <c r="H104" s="25" t="s">
        <v>1257</v>
      </c>
      <c r="I104" s="25" t="s">
        <v>1254</v>
      </c>
      <c r="J104" s="26" t="s">
        <v>1302</v>
      </c>
      <c r="K104" s="27" t="s">
        <v>267</v>
      </c>
      <c r="L104" s="28" t="s">
        <v>268</v>
      </c>
      <c r="M104" s="28" t="s">
        <v>266</v>
      </c>
      <c r="N104" s="25">
        <v>1</v>
      </c>
      <c r="O104" s="29">
        <v>204.4</v>
      </c>
      <c r="P104" s="29">
        <v>204.4</v>
      </c>
      <c r="Q104" s="25" t="s">
        <v>467</v>
      </c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44"/>
        <v>204.4</v>
      </c>
      <c r="AF104" s="32">
        <f t="shared" si="45"/>
        <v>0</v>
      </c>
      <c r="AG104" s="30"/>
      <c r="AH104" s="33">
        <v>1</v>
      </c>
      <c r="AI104" s="34">
        <f t="shared" si="46"/>
        <v>204.4</v>
      </c>
      <c r="AJ104" s="35">
        <v>46043</v>
      </c>
      <c r="AK104" s="30">
        <v>1</v>
      </c>
      <c r="AL104" s="36">
        <f t="shared" si="49"/>
        <v>204.4</v>
      </c>
      <c r="AM104" s="35">
        <v>46052</v>
      </c>
      <c r="AN104" s="30">
        <v>1</v>
      </c>
      <c r="AO104" s="36">
        <f t="shared" si="50"/>
        <v>204.4</v>
      </c>
      <c r="AP104" s="35">
        <v>46164</v>
      </c>
      <c r="AQ104" s="30">
        <v>1</v>
      </c>
      <c r="AR104" s="36">
        <f t="shared" si="47"/>
        <v>204.4</v>
      </c>
      <c r="AS104" s="27" t="s">
        <v>1294</v>
      </c>
      <c r="AT104" s="37">
        <v>46205</v>
      </c>
      <c r="AU104" s="30">
        <v>1</v>
      </c>
      <c r="AV104" s="36">
        <f t="shared" si="48"/>
        <v>204.4</v>
      </c>
      <c r="AW104" s="35">
        <v>46208</v>
      </c>
      <c r="AX104" s="30">
        <v>1</v>
      </c>
      <c r="AY104" s="32">
        <f t="shared" ref="AY104:AY109" si="53">IFERROR(AX104*$P104/$N104,0)</f>
        <v>204.4</v>
      </c>
      <c r="AZ104" s="30" t="s">
        <v>85</v>
      </c>
      <c r="BA104" s="63" t="s">
        <v>1294</v>
      </c>
      <c r="BB104" s="71"/>
      <c r="BC104" s="71" t="s">
        <v>268</v>
      </c>
      <c r="BD104" s="71"/>
    </row>
    <row r="105" spans="1:56" x14ac:dyDescent="0.25">
      <c r="A105" s="24">
        <f>IF(B105="","",SUBTOTAL(3,$B$4:B105))</f>
        <v>101</v>
      </c>
      <c r="B105" s="25" t="s">
        <v>77</v>
      </c>
      <c r="C105" s="25" t="str">
        <f t="shared" si="39"/>
        <v>Shipment 1 400</v>
      </c>
      <c r="D105" s="25" t="s">
        <v>76</v>
      </c>
      <c r="E105" s="25">
        <v>400</v>
      </c>
      <c r="F105" s="25"/>
      <c r="G105" s="65">
        <v>45990</v>
      </c>
      <c r="H105" s="25" t="s">
        <v>1257</v>
      </c>
      <c r="I105" s="25" t="s">
        <v>1254</v>
      </c>
      <c r="J105" s="26" t="s">
        <v>1302</v>
      </c>
      <c r="K105" s="27" t="s">
        <v>269</v>
      </c>
      <c r="L105" s="28" t="s">
        <v>270</v>
      </c>
      <c r="M105" s="28" t="s">
        <v>266</v>
      </c>
      <c r="N105" s="25">
        <v>1</v>
      </c>
      <c r="O105" s="29">
        <v>204.4</v>
      </c>
      <c r="P105" s="29">
        <v>204.4</v>
      </c>
      <c r="Q105" s="25" t="s">
        <v>466</v>
      </c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44"/>
        <v>204.4</v>
      </c>
      <c r="AF105" s="32">
        <f t="shared" si="45"/>
        <v>0</v>
      </c>
      <c r="AG105" s="30"/>
      <c r="AH105" s="33">
        <v>1</v>
      </c>
      <c r="AI105" s="34">
        <f t="shared" si="46"/>
        <v>204.4</v>
      </c>
      <c r="AJ105" s="35">
        <v>46043</v>
      </c>
      <c r="AK105" s="30">
        <v>1</v>
      </c>
      <c r="AL105" s="36">
        <f t="shared" si="49"/>
        <v>204.4</v>
      </c>
      <c r="AM105" s="35">
        <v>46052</v>
      </c>
      <c r="AN105" s="30">
        <v>1</v>
      </c>
      <c r="AO105" s="36">
        <f t="shared" si="50"/>
        <v>204.4</v>
      </c>
      <c r="AP105" s="35">
        <v>46164</v>
      </c>
      <c r="AQ105" s="30">
        <v>1</v>
      </c>
      <c r="AR105" s="36">
        <f t="shared" si="47"/>
        <v>204.4</v>
      </c>
      <c r="AS105" s="27" t="s">
        <v>1294</v>
      </c>
      <c r="AT105" s="37">
        <v>46205</v>
      </c>
      <c r="AU105" s="30">
        <v>1</v>
      </c>
      <c r="AV105" s="36">
        <f t="shared" si="48"/>
        <v>204.4</v>
      </c>
      <c r="AW105" s="35">
        <v>46208</v>
      </c>
      <c r="AX105" s="30">
        <v>1</v>
      </c>
      <c r="AY105" s="32">
        <f t="shared" si="53"/>
        <v>204.4</v>
      </c>
      <c r="AZ105" s="30" t="s">
        <v>85</v>
      </c>
      <c r="BA105" s="63" t="s">
        <v>1294</v>
      </c>
      <c r="BB105" s="71"/>
      <c r="BC105" s="71" t="s">
        <v>270</v>
      </c>
      <c r="BD105" s="71"/>
    </row>
    <row r="106" spans="1:56" x14ac:dyDescent="0.25">
      <c r="A106" s="24">
        <f>IF(B106="","",SUBTOTAL(3,$B$4:B106))</f>
        <v>102</v>
      </c>
      <c r="B106" s="25" t="s">
        <v>77</v>
      </c>
      <c r="C106" s="25" t="str">
        <f t="shared" si="39"/>
        <v>Shipment 1 400</v>
      </c>
      <c r="D106" s="25" t="s">
        <v>76</v>
      </c>
      <c r="E106" s="25">
        <v>400</v>
      </c>
      <c r="F106" s="25"/>
      <c r="G106" s="65">
        <v>45990</v>
      </c>
      <c r="H106" s="25" t="s">
        <v>1257</v>
      </c>
      <c r="I106" s="25" t="s">
        <v>1254</v>
      </c>
      <c r="J106" s="26" t="s">
        <v>1302</v>
      </c>
      <c r="K106" s="27" t="s">
        <v>271</v>
      </c>
      <c r="L106" s="28" t="s">
        <v>272</v>
      </c>
      <c r="M106" s="28" t="s">
        <v>266</v>
      </c>
      <c r="N106" s="25">
        <v>1</v>
      </c>
      <c r="O106" s="29">
        <v>230.8</v>
      </c>
      <c r="P106" s="29">
        <v>230.8</v>
      </c>
      <c r="Q106" s="25" t="s">
        <v>468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44"/>
        <v>230.80000000000004</v>
      </c>
      <c r="AF106" s="32">
        <f t="shared" si="45"/>
        <v>0</v>
      </c>
      <c r="AG106" s="30"/>
      <c r="AH106" s="33">
        <v>1</v>
      </c>
      <c r="AI106" s="34">
        <f t="shared" si="46"/>
        <v>230.8</v>
      </c>
      <c r="AJ106" s="35">
        <v>46045</v>
      </c>
      <c r="AK106" s="30">
        <v>1</v>
      </c>
      <c r="AL106" s="36">
        <f t="shared" si="49"/>
        <v>230.8</v>
      </c>
      <c r="AM106" s="35">
        <v>46052</v>
      </c>
      <c r="AN106" s="30">
        <v>1</v>
      </c>
      <c r="AO106" s="36">
        <f t="shared" si="50"/>
        <v>230.8</v>
      </c>
      <c r="AP106" s="35">
        <v>46164</v>
      </c>
      <c r="AQ106" s="30">
        <v>1</v>
      </c>
      <c r="AR106" s="36">
        <f t="shared" si="47"/>
        <v>230.8</v>
      </c>
      <c r="AS106" s="27" t="s">
        <v>1294</v>
      </c>
      <c r="AT106" s="37">
        <v>46205</v>
      </c>
      <c r="AU106" s="30">
        <v>1</v>
      </c>
      <c r="AV106" s="36">
        <f t="shared" si="48"/>
        <v>230.8</v>
      </c>
      <c r="AW106" s="35">
        <v>46208</v>
      </c>
      <c r="AX106" s="30">
        <v>1</v>
      </c>
      <c r="AY106" s="32">
        <f t="shared" si="53"/>
        <v>230.8</v>
      </c>
      <c r="AZ106" s="30" t="s">
        <v>85</v>
      </c>
      <c r="BA106" s="63" t="s">
        <v>1294</v>
      </c>
      <c r="BB106" s="71"/>
      <c r="BC106" s="71" t="s">
        <v>272</v>
      </c>
      <c r="BD106" s="71"/>
    </row>
    <row r="107" spans="1:56" x14ac:dyDescent="0.25">
      <c r="A107" s="24">
        <f>IF(B107="","",SUBTOTAL(3,$B$4:B107))</f>
        <v>103</v>
      </c>
      <c r="B107" s="25" t="s">
        <v>77</v>
      </c>
      <c r="C107" s="25" t="str">
        <f t="shared" si="39"/>
        <v>Shipment 1 400</v>
      </c>
      <c r="D107" s="25" t="s">
        <v>76</v>
      </c>
      <c r="E107" s="25">
        <v>400</v>
      </c>
      <c r="F107" s="25"/>
      <c r="G107" s="65">
        <v>45990</v>
      </c>
      <c r="H107" s="25" t="s">
        <v>1257</v>
      </c>
      <c r="I107" s="25" t="s">
        <v>1254</v>
      </c>
      <c r="J107" s="26" t="s">
        <v>1302</v>
      </c>
      <c r="K107" s="27" t="s">
        <v>273</v>
      </c>
      <c r="L107" s="28" t="s">
        <v>274</v>
      </c>
      <c r="M107" s="28" t="s">
        <v>266</v>
      </c>
      <c r="N107" s="25">
        <v>1</v>
      </c>
      <c r="O107" s="29">
        <v>231</v>
      </c>
      <c r="P107" s="29">
        <v>231</v>
      </c>
      <c r="Q107" s="25" t="s">
        <v>468</v>
      </c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44"/>
        <v>231</v>
      </c>
      <c r="AF107" s="32">
        <f t="shared" si="45"/>
        <v>0</v>
      </c>
      <c r="AG107" s="30"/>
      <c r="AH107" s="33">
        <v>1</v>
      </c>
      <c r="AI107" s="34">
        <f t="shared" si="46"/>
        <v>231</v>
      </c>
      <c r="AJ107" s="35">
        <v>46045</v>
      </c>
      <c r="AK107" s="30">
        <v>1</v>
      </c>
      <c r="AL107" s="36">
        <f t="shared" si="49"/>
        <v>231</v>
      </c>
      <c r="AM107" s="35">
        <v>46052</v>
      </c>
      <c r="AN107" s="30">
        <v>1</v>
      </c>
      <c r="AO107" s="36">
        <f t="shared" si="50"/>
        <v>231</v>
      </c>
      <c r="AP107" s="35">
        <v>46164</v>
      </c>
      <c r="AQ107" s="30">
        <v>1</v>
      </c>
      <c r="AR107" s="36">
        <f t="shared" si="47"/>
        <v>231</v>
      </c>
      <c r="AS107" s="27" t="s">
        <v>1294</v>
      </c>
      <c r="AT107" s="37">
        <v>46205</v>
      </c>
      <c r="AU107" s="30">
        <v>1</v>
      </c>
      <c r="AV107" s="36">
        <f t="shared" si="48"/>
        <v>231</v>
      </c>
      <c r="AW107" s="35">
        <v>46208</v>
      </c>
      <c r="AX107" s="30">
        <v>1</v>
      </c>
      <c r="AY107" s="32">
        <f t="shared" si="53"/>
        <v>231</v>
      </c>
      <c r="AZ107" s="30" t="s">
        <v>85</v>
      </c>
      <c r="BA107" s="63" t="s">
        <v>1294</v>
      </c>
      <c r="BB107" s="71"/>
      <c r="BC107" s="71" t="s">
        <v>274</v>
      </c>
      <c r="BD107" s="71"/>
    </row>
    <row r="108" spans="1:56" x14ac:dyDescent="0.25">
      <c r="A108" s="24">
        <f>IF(B108="","",SUBTOTAL(3,$B$4:B108))</f>
        <v>104</v>
      </c>
      <c r="B108" s="25" t="s">
        <v>77</v>
      </c>
      <c r="C108" s="25" t="str">
        <f t="shared" si="39"/>
        <v>Shipment 1 400</v>
      </c>
      <c r="D108" s="25" t="s">
        <v>76</v>
      </c>
      <c r="E108" s="25">
        <v>400</v>
      </c>
      <c r="F108" s="25"/>
      <c r="G108" s="65">
        <v>45990</v>
      </c>
      <c r="H108" s="25" t="s">
        <v>1257</v>
      </c>
      <c r="I108" s="25" t="s">
        <v>1254</v>
      </c>
      <c r="J108" s="26" t="s">
        <v>1302</v>
      </c>
      <c r="K108" s="27" t="s">
        <v>275</v>
      </c>
      <c r="L108" s="28" t="s">
        <v>276</v>
      </c>
      <c r="M108" s="28" t="s">
        <v>266</v>
      </c>
      <c r="N108" s="25">
        <v>1</v>
      </c>
      <c r="O108" s="29">
        <v>204.4</v>
      </c>
      <c r="P108" s="29">
        <v>204.4</v>
      </c>
      <c r="Q108" s="25" t="s">
        <v>467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44"/>
        <v>204.4</v>
      </c>
      <c r="AF108" s="32">
        <f t="shared" si="45"/>
        <v>0</v>
      </c>
      <c r="AG108" s="30"/>
      <c r="AH108" s="33">
        <v>1</v>
      </c>
      <c r="AI108" s="34">
        <f t="shared" si="46"/>
        <v>204.4</v>
      </c>
      <c r="AJ108" s="35">
        <v>46045</v>
      </c>
      <c r="AK108" s="30">
        <v>1</v>
      </c>
      <c r="AL108" s="36">
        <f t="shared" si="49"/>
        <v>204.4</v>
      </c>
      <c r="AM108" s="35">
        <v>46052</v>
      </c>
      <c r="AN108" s="30">
        <v>1</v>
      </c>
      <c r="AO108" s="36">
        <f t="shared" si="50"/>
        <v>204.4</v>
      </c>
      <c r="AP108" s="35">
        <v>46164</v>
      </c>
      <c r="AQ108" s="30">
        <v>1</v>
      </c>
      <c r="AR108" s="36">
        <f t="shared" si="47"/>
        <v>204.4</v>
      </c>
      <c r="AS108" s="27" t="s">
        <v>1294</v>
      </c>
      <c r="AT108" s="37">
        <v>46205</v>
      </c>
      <c r="AU108" s="30">
        <v>1</v>
      </c>
      <c r="AV108" s="36">
        <f t="shared" si="48"/>
        <v>204.4</v>
      </c>
      <c r="AW108" s="35">
        <v>46208</v>
      </c>
      <c r="AX108" s="30">
        <v>1</v>
      </c>
      <c r="AY108" s="32">
        <f t="shared" si="53"/>
        <v>204.4</v>
      </c>
      <c r="AZ108" s="30" t="s">
        <v>85</v>
      </c>
      <c r="BA108" s="63" t="s">
        <v>1294</v>
      </c>
      <c r="BB108" s="71"/>
      <c r="BC108" s="71" t="s">
        <v>276</v>
      </c>
      <c r="BD108" s="71"/>
    </row>
    <row r="109" spans="1:56" x14ac:dyDescent="0.25">
      <c r="A109" s="24">
        <f>IF(B109="","",SUBTOTAL(3,$B$4:B109))</f>
        <v>105</v>
      </c>
      <c r="B109" s="25" t="s">
        <v>77</v>
      </c>
      <c r="C109" s="25" t="str">
        <f t="shared" si="39"/>
        <v>Shipment 1 400</v>
      </c>
      <c r="D109" s="25" t="s">
        <v>76</v>
      </c>
      <c r="E109" s="25">
        <v>400</v>
      </c>
      <c r="F109" s="25"/>
      <c r="G109" s="65">
        <v>45990</v>
      </c>
      <c r="H109" s="25" t="s">
        <v>1257</v>
      </c>
      <c r="I109" s="25" t="s">
        <v>1254</v>
      </c>
      <c r="J109" s="26" t="s">
        <v>1302</v>
      </c>
      <c r="K109" s="27" t="s">
        <v>277</v>
      </c>
      <c r="L109" s="28" t="s">
        <v>278</v>
      </c>
      <c r="M109" s="28" t="s">
        <v>246</v>
      </c>
      <c r="N109" s="25">
        <v>1</v>
      </c>
      <c r="O109" s="29">
        <v>127.3</v>
      </c>
      <c r="P109" s="29">
        <v>127.3</v>
      </c>
      <c r="Q109" s="25" t="s">
        <v>461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44"/>
        <v>127.3</v>
      </c>
      <c r="AF109" s="32">
        <f t="shared" si="45"/>
        <v>0</v>
      </c>
      <c r="AG109" s="30"/>
      <c r="AH109" s="33">
        <v>1</v>
      </c>
      <c r="AI109" s="34">
        <f t="shared" si="46"/>
        <v>127.3</v>
      </c>
      <c r="AJ109" s="35">
        <v>46045</v>
      </c>
      <c r="AK109" s="30">
        <v>1</v>
      </c>
      <c r="AL109" s="36">
        <f t="shared" si="49"/>
        <v>127.3</v>
      </c>
      <c r="AM109" s="35">
        <v>46052</v>
      </c>
      <c r="AN109" s="30">
        <v>1</v>
      </c>
      <c r="AO109" s="36">
        <f t="shared" si="50"/>
        <v>127.3</v>
      </c>
      <c r="AP109" s="35">
        <v>46164</v>
      </c>
      <c r="AQ109" s="30">
        <v>1</v>
      </c>
      <c r="AR109" s="36">
        <f t="shared" si="47"/>
        <v>127.3</v>
      </c>
      <c r="AS109" s="27" t="s">
        <v>1295</v>
      </c>
      <c r="AT109" s="37">
        <v>46207</v>
      </c>
      <c r="AU109" s="30">
        <v>1</v>
      </c>
      <c r="AV109" s="36">
        <f t="shared" si="48"/>
        <v>127.3</v>
      </c>
      <c r="AW109" s="35">
        <v>46211</v>
      </c>
      <c r="AX109" s="30">
        <v>1</v>
      </c>
      <c r="AY109" s="32">
        <f t="shared" si="53"/>
        <v>127.3</v>
      </c>
      <c r="AZ109" s="30" t="s">
        <v>85</v>
      </c>
      <c r="BA109" s="63" t="s">
        <v>1297</v>
      </c>
      <c r="BB109" s="71"/>
      <c r="BC109" s="71" t="s">
        <v>278</v>
      </c>
      <c r="BD109" s="71"/>
    </row>
    <row r="110" spans="1:56" x14ac:dyDescent="0.25">
      <c r="A110" s="24">
        <f>IF(B110="","",SUBTOTAL(3,$B$4:B110))</f>
        <v>106</v>
      </c>
      <c r="B110" s="25" t="s">
        <v>77</v>
      </c>
      <c r="C110" s="25" t="str">
        <f t="shared" si="39"/>
        <v>Shipment 1 400</v>
      </c>
      <c r="D110" s="25" t="s">
        <v>76</v>
      </c>
      <c r="E110" s="25">
        <v>400</v>
      </c>
      <c r="F110" s="25"/>
      <c r="G110" s="65">
        <v>45990</v>
      </c>
      <c r="H110" s="25" t="s">
        <v>1257</v>
      </c>
      <c r="I110" s="25" t="s">
        <v>1254</v>
      </c>
      <c r="J110" s="26" t="s">
        <v>1302</v>
      </c>
      <c r="K110" s="27" t="s">
        <v>279</v>
      </c>
      <c r="L110" s="28" t="s">
        <v>280</v>
      </c>
      <c r="M110" s="28" t="s">
        <v>246</v>
      </c>
      <c r="N110" s="25">
        <v>1</v>
      </c>
      <c r="O110" s="29">
        <v>202.4</v>
      </c>
      <c r="P110" s="29">
        <v>202.4</v>
      </c>
      <c r="Q110" s="25" t="s">
        <v>469</v>
      </c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44"/>
        <v>202.40000000000003</v>
      </c>
      <c r="AF110" s="32">
        <f t="shared" si="45"/>
        <v>0</v>
      </c>
      <c r="AG110" s="30"/>
      <c r="AH110" s="33">
        <v>1</v>
      </c>
      <c r="AI110" s="34">
        <f t="shared" si="46"/>
        <v>202.4</v>
      </c>
      <c r="AJ110" s="35">
        <v>46045</v>
      </c>
      <c r="AK110" s="30">
        <v>1</v>
      </c>
      <c r="AL110" s="36">
        <f t="shared" si="49"/>
        <v>202.4</v>
      </c>
      <c r="AM110" s="35">
        <v>46052</v>
      </c>
      <c r="AN110" s="30">
        <v>1</v>
      </c>
      <c r="AO110" s="36">
        <f t="shared" si="50"/>
        <v>202.4</v>
      </c>
      <c r="AP110" s="35">
        <v>46164</v>
      </c>
      <c r="AQ110" s="30">
        <v>1</v>
      </c>
      <c r="AR110" s="36">
        <f t="shared" si="47"/>
        <v>202.4</v>
      </c>
      <c r="AS110" s="27" t="s">
        <v>1294</v>
      </c>
      <c r="AT110" s="37">
        <v>46205</v>
      </c>
      <c r="AU110" s="30">
        <v>1</v>
      </c>
      <c r="AV110" s="36">
        <f t="shared" si="48"/>
        <v>202.4</v>
      </c>
      <c r="AW110" s="35">
        <v>46208</v>
      </c>
      <c r="AX110" s="30">
        <v>1</v>
      </c>
      <c r="AY110" s="32">
        <f t="shared" ref="AY110:AY119" si="54">IFERROR(AX110*$P110/$N110,0)</f>
        <v>202.4</v>
      </c>
      <c r="AZ110" s="30" t="s">
        <v>85</v>
      </c>
      <c r="BA110" s="63" t="s">
        <v>1294</v>
      </c>
      <c r="BB110" s="71"/>
      <c r="BC110" s="71" t="s">
        <v>280</v>
      </c>
      <c r="BD110" s="71"/>
    </row>
    <row r="111" spans="1:56" x14ac:dyDescent="0.25">
      <c r="A111" s="24">
        <f>IF(B111="","",SUBTOTAL(3,$B$4:B111))</f>
        <v>107</v>
      </c>
      <c r="B111" s="25" t="s">
        <v>77</v>
      </c>
      <c r="C111" s="25" t="str">
        <f t="shared" si="39"/>
        <v>Shipment 1 400</v>
      </c>
      <c r="D111" s="25" t="s">
        <v>76</v>
      </c>
      <c r="E111" s="25">
        <v>400</v>
      </c>
      <c r="F111" s="25"/>
      <c r="G111" s="65">
        <v>45990</v>
      </c>
      <c r="H111" s="25" t="s">
        <v>1257</v>
      </c>
      <c r="I111" s="25" t="s">
        <v>1254</v>
      </c>
      <c r="J111" s="26" t="s">
        <v>1302</v>
      </c>
      <c r="K111" s="27" t="s">
        <v>281</v>
      </c>
      <c r="L111" s="28" t="s">
        <v>282</v>
      </c>
      <c r="M111" s="28" t="s">
        <v>246</v>
      </c>
      <c r="N111" s="25">
        <v>1</v>
      </c>
      <c r="O111" s="29">
        <v>229.2</v>
      </c>
      <c r="P111" s="29">
        <v>229.2</v>
      </c>
      <c r="Q111" s="25" t="s">
        <v>470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44"/>
        <v>229.2</v>
      </c>
      <c r="AF111" s="32">
        <f t="shared" si="45"/>
        <v>0</v>
      </c>
      <c r="AG111" s="30"/>
      <c r="AH111" s="33">
        <v>1</v>
      </c>
      <c r="AI111" s="34">
        <f t="shared" si="46"/>
        <v>229.2</v>
      </c>
      <c r="AJ111" s="35">
        <v>46045</v>
      </c>
      <c r="AK111" s="30">
        <v>1</v>
      </c>
      <c r="AL111" s="36">
        <f t="shared" si="49"/>
        <v>229.2</v>
      </c>
      <c r="AM111" s="35">
        <v>46052</v>
      </c>
      <c r="AN111" s="30">
        <v>1</v>
      </c>
      <c r="AO111" s="36">
        <f t="shared" si="50"/>
        <v>229.2</v>
      </c>
      <c r="AP111" s="35">
        <v>46164</v>
      </c>
      <c r="AQ111" s="30">
        <v>1</v>
      </c>
      <c r="AR111" s="36">
        <f t="shared" si="47"/>
        <v>229.2</v>
      </c>
      <c r="AS111" s="27" t="s">
        <v>1294</v>
      </c>
      <c r="AT111" s="37">
        <v>46205</v>
      </c>
      <c r="AU111" s="30">
        <v>1</v>
      </c>
      <c r="AV111" s="36">
        <f t="shared" si="48"/>
        <v>229.2</v>
      </c>
      <c r="AW111" s="35">
        <v>46208</v>
      </c>
      <c r="AX111" s="30">
        <v>1</v>
      </c>
      <c r="AY111" s="32">
        <f t="shared" si="54"/>
        <v>229.2</v>
      </c>
      <c r="AZ111" s="30" t="s">
        <v>85</v>
      </c>
      <c r="BA111" s="63" t="s">
        <v>1294</v>
      </c>
      <c r="BB111" s="71"/>
      <c r="BC111" s="71" t="s">
        <v>282</v>
      </c>
      <c r="BD111" s="71"/>
    </row>
    <row r="112" spans="1:56" x14ac:dyDescent="0.25">
      <c r="A112" s="24">
        <f>IF(B112="","",SUBTOTAL(3,$B$4:B112))</f>
        <v>108</v>
      </c>
      <c r="B112" s="25" t="s">
        <v>77</v>
      </c>
      <c r="C112" s="25" t="str">
        <f t="shared" si="39"/>
        <v>Shipment 1 400</v>
      </c>
      <c r="D112" s="25" t="s">
        <v>76</v>
      </c>
      <c r="E112" s="25">
        <v>400</v>
      </c>
      <c r="F112" s="25"/>
      <c r="G112" s="65">
        <v>45990</v>
      </c>
      <c r="H112" s="25" t="s">
        <v>1257</v>
      </c>
      <c r="I112" s="25" t="s">
        <v>1254</v>
      </c>
      <c r="J112" s="26" t="s">
        <v>1302</v>
      </c>
      <c r="K112" s="27" t="s">
        <v>283</v>
      </c>
      <c r="L112" s="28" t="s">
        <v>284</v>
      </c>
      <c r="M112" s="28" t="s">
        <v>246</v>
      </c>
      <c r="N112" s="25">
        <v>1</v>
      </c>
      <c r="O112" s="29">
        <v>202.5</v>
      </c>
      <c r="P112" s="29">
        <v>202.5</v>
      </c>
      <c r="Q112" s="25" t="s">
        <v>469</v>
      </c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44"/>
        <v>202.5</v>
      </c>
      <c r="AF112" s="32">
        <f t="shared" si="45"/>
        <v>0</v>
      </c>
      <c r="AG112" s="30"/>
      <c r="AH112" s="33">
        <v>1</v>
      </c>
      <c r="AI112" s="34">
        <f t="shared" si="46"/>
        <v>202.5</v>
      </c>
      <c r="AJ112" s="35">
        <v>46045</v>
      </c>
      <c r="AK112" s="30">
        <v>1</v>
      </c>
      <c r="AL112" s="36">
        <f t="shared" si="49"/>
        <v>202.5</v>
      </c>
      <c r="AM112" s="35">
        <v>46052</v>
      </c>
      <c r="AN112" s="30">
        <v>1</v>
      </c>
      <c r="AO112" s="36">
        <f t="shared" si="50"/>
        <v>202.5</v>
      </c>
      <c r="AP112" s="35">
        <v>46164</v>
      </c>
      <c r="AQ112" s="30">
        <v>1</v>
      </c>
      <c r="AR112" s="36">
        <f t="shared" si="47"/>
        <v>202.5</v>
      </c>
      <c r="AS112" s="27" t="s">
        <v>1294</v>
      </c>
      <c r="AT112" s="37">
        <v>46205</v>
      </c>
      <c r="AU112" s="30">
        <v>1</v>
      </c>
      <c r="AV112" s="36">
        <f t="shared" si="48"/>
        <v>202.5</v>
      </c>
      <c r="AW112" s="35">
        <v>46208</v>
      </c>
      <c r="AX112" s="30">
        <v>1</v>
      </c>
      <c r="AY112" s="32">
        <f t="shared" si="54"/>
        <v>202.5</v>
      </c>
      <c r="AZ112" s="30" t="s">
        <v>85</v>
      </c>
      <c r="BA112" s="63" t="s">
        <v>1294</v>
      </c>
      <c r="BB112" s="71"/>
      <c r="BC112" s="71" t="s">
        <v>284</v>
      </c>
      <c r="BD112" s="71"/>
    </row>
    <row r="113" spans="1:56" x14ac:dyDescent="0.25">
      <c r="A113" s="24">
        <f>IF(B113="","",SUBTOTAL(3,$B$4:B113))</f>
        <v>109</v>
      </c>
      <c r="B113" s="25" t="s">
        <v>77</v>
      </c>
      <c r="C113" s="25" t="str">
        <f t="shared" si="39"/>
        <v>Shipment 1 400</v>
      </c>
      <c r="D113" s="25" t="s">
        <v>76</v>
      </c>
      <c r="E113" s="25">
        <v>400</v>
      </c>
      <c r="F113" s="25"/>
      <c r="G113" s="65">
        <v>45990</v>
      </c>
      <c r="H113" s="25" t="s">
        <v>1257</v>
      </c>
      <c r="I113" s="25" t="s">
        <v>1254</v>
      </c>
      <c r="J113" s="26" t="s">
        <v>1302</v>
      </c>
      <c r="K113" s="27" t="s">
        <v>285</v>
      </c>
      <c r="L113" s="28" t="s">
        <v>286</v>
      </c>
      <c r="M113" s="28" t="s">
        <v>246</v>
      </c>
      <c r="N113" s="25">
        <v>1</v>
      </c>
      <c r="O113" s="29">
        <v>202.5</v>
      </c>
      <c r="P113" s="29">
        <v>202.5</v>
      </c>
      <c r="Q113" s="25" t="s">
        <v>469</v>
      </c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44"/>
        <v>202.5</v>
      </c>
      <c r="AF113" s="32">
        <f t="shared" si="45"/>
        <v>0</v>
      </c>
      <c r="AG113" s="30"/>
      <c r="AH113" s="33">
        <v>1</v>
      </c>
      <c r="AI113" s="34">
        <f t="shared" si="46"/>
        <v>202.5</v>
      </c>
      <c r="AJ113" s="35">
        <v>46045</v>
      </c>
      <c r="AK113" s="30">
        <v>1</v>
      </c>
      <c r="AL113" s="36">
        <f t="shared" si="49"/>
        <v>202.5</v>
      </c>
      <c r="AM113" s="35">
        <v>46052</v>
      </c>
      <c r="AN113" s="30">
        <v>1</v>
      </c>
      <c r="AO113" s="36">
        <f t="shared" si="50"/>
        <v>202.5</v>
      </c>
      <c r="AP113" s="35">
        <v>46164</v>
      </c>
      <c r="AQ113" s="30">
        <v>1</v>
      </c>
      <c r="AR113" s="36">
        <f t="shared" si="47"/>
        <v>202.5</v>
      </c>
      <c r="AS113" s="27" t="s">
        <v>1294</v>
      </c>
      <c r="AT113" s="37">
        <v>46205</v>
      </c>
      <c r="AU113" s="30">
        <v>1</v>
      </c>
      <c r="AV113" s="36">
        <f t="shared" si="48"/>
        <v>202.5</v>
      </c>
      <c r="AW113" s="35">
        <v>46208</v>
      </c>
      <c r="AX113" s="30">
        <v>1</v>
      </c>
      <c r="AY113" s="32">
        <f t="shared" si="54"/>
        <v>202.5</v>
      </c>
      <c r="AZ113" s="30" t="s">
        <v>85</v>
      </c>
      <c r="BA113" s="63" t="s">
        <v>1294</v>
      </c>
      <c r="BB113" s="71"/>
      <c r="BC113" s="71" t="s">
        <v>286</v>
      </c>
      <c r="BD113" s="71"/>
    </row>
    <row r="114" spans="1:56" x14ac:dyDescent="0.25">
      <c r="A114" s="24">
        <f>IF(B114="","",SUBTOTAL(3,$B$4:B114))</f>
        <v>110</v>
      </c>
      <c r="B114" s="25" t="s">
        <v>77</v>
      </c>
      <c r="C114" s="25" t="str">
        <f t="shared" si="39"/>
        <v>Shipment 1 400</v>
      </c>
      <c r="D114" s="25" t="s">
        <v>76</v>
      </c>
      <c r="E114" s="25">
        <v>400</v>
      </c>
      <c r="F114" s="25"/>
      <c r="G114" s="65">
        <v>45990</v>
      </c>
      <c r="H114" s="25" t="s">
        <v>1257</v>
      </c>
      <c r="I114" s="25" t="s">
        <v>1254</v>
      </c>
      <c r="J114" s="26" t="s">
        <v>1302</v>
      </c>
      <c r="K114" s="27" t="s">
        <v>287</v>
      </c>
      <c r="L114" s="28" t="s">
        <v>288</v>
      </c>
      <c r="M114" s="28" t="s">
        <v>246</v>
      </c>
      <c r="N114" s="25">
        <v>1</v>
      </c>
      <c r="O114" s="29">
        <v>97.1</v>
      </c>
      <c r="P114" s="29">
        <v>97.1</v>
      </c>
      <c r="Q114" s="25" t="s">
        <v>471</v>
      </c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44"/>
        <v>97.1</v>
      </c>
      <c r="AF114" s="32">
        <f t="shared" si="45"/>
        <v>0</v>
      </c>
      <c r="AG114" s="30"/>
      <c r="AH114" s="33">
        <v>1</v>
      </c>
      <c r="AI114" s="34">
        <f t="shared" si="46"/>
        <v>97.1</v>
      </c>
      <c r="AJ114" s="35">
        <v>46045</v>
      </c>
      <c r="AK114" s="30">
        <v>1</v>
      </c>
      <c r="AL114" s="36">
        <f t="shared" si="49"/>
        <v>97.1</v>
      </c>
      <c r="AM114" s="35">
        <v>46052</v>
      </c>
      <c r="AN114" s="30">
        <v>1</v>
      </c>
      <c r="AO114" s="36">
        <f t="shared" si="50"/>
        <v>97.1</v>
      </c>
      <c r="AP114" s="35">
        <v>46164</v>
      </c>
      <c r="AQ114" s="30">
        <v>1</v>
      </c>
      <c r="AR114" s="36">
        <f t="shared" si="47"/>
        <v>97.1</v>
      </c>
      <c r="AS114" s="27" t="s">
        <v>1295</v>
      </c>
      <c r="AT114" s="37">
        <v>46207</v>
      </c>
      <c r="AU114" s="30">
        <v>1</v>
      </c>
      <c r="AV114" s="36">
        <f t="shared" si="48"/>
        <v>97.1</v>
      </c>
      <c r="AW114" s="35">
        <v>46211</v>
      </c>
      <c r="AX114" s="30">
        <v>1</v>
      </c>
      <c r="AY114" s="32">
        <f t="shared" si="54"/>
        <v>97.1</v>
      </c>
      <c r="AZ114" s="30" t="s">
        <v>85</v>
      </c>
      <c r="BA114" s="63" t="s">
        <v>1297</v>
      </c>
      <c r="BB114" s="71"/>
      <c r="BC114" s="71" t="s">
        <v>1318</v>
      </c>
      <c r="BD114" s="71"/>
    </row>
    <row r="115" spans="1:56" x14ac:dyDescent="0.25">
      <c r="A115" s="24">
        <f>IF(B115="","",SUBTOTAL(3,$B$4:B115))</f>
        <v>111</v>
      </c>
      <c r="B115" s="25" t="s">
        <v>77</v>
      </c>
      <c r="C115" s="25" t="str">
        <f t="shared" si="39"/>
        <v>Shipment 1 400</v>
      </c>
      <c r="D115" s="25" t="s">
        <v>76</v>
      </c>
      <c r="E115" s="25">
        <v>400</v>
      </c>
      <c r="F115" s="25"/>
      <c r="G115" s="65">
        <v>45990</v>
      </c>
      <c r="H115" s="25" t="s">
        <v>1257</v>
      </c>
      <c r="I115" s="25" t="s">
        <v>1254</v>
      </c>
      <c r="J115" s="26" t="s">
        <v>1302</v>
      </c>
      <c r="K115" s="27" t="s">
        <v>287</v>
      </c>
      <c r="L115" s="28" t="s">
        <v>289</v>
      </c>
      <c r="M115" s="28" t="s">
        <v>246</v>
      </c>
      <c r="N115" s="25">
        <v>1</v>
      </c>
      <c r="O115" s="29">
        <v>97.1</v>
      </c>
      <c r="P115" s="29">
        <v>97.1</v>
      </c>
      <c r="Q115" s="25" t="s">
        <v>471</v>
      </c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44"/>
        <v>97.1</v>
      </c>
      <c r="AF115" s="32">
        <f t="shared" si="45"/>
        <v>0</v>
      </c>
      <c r="AG115" s="30"/>
      <c r="AH115" s="33">
        <v>1</v>
      </c>
      <c r="AI115" s="34">
        <f t="shared" si="46"/>
        <v>97.1</v>
      </c>
      <c r="AJ115" s="35">
        <v>46045</v>
      </c>
      <c r="AK115" s="30">
        <v>1</v>
      </c>
      <c r="AL115" s="36">
        <f t="shared" si="49"/>
        <v>97.1</v>
      </c>
      <c r="AM115" s="35">
        <v>46052</v>
      </c>
      <c r="AN115" s="30">
        <v>1</v>
      </c>
      <c r="AO115" s="36">
        <f t="shared" si="50"/>
        <v>97.1</v>
      </c>
      <c r="AP115" s="35">
        <v>46164</v>
      </c>
      <c r="AQ115" s="30">
        <v>1</v>
      </c>
      <c r="AR115" s="36">
        <f t="shared" si="47"/>
        <v>97.1</v>
      </c>
      <c r="AS115" s="27" t="s">
        <v>1295</v>
      </c>
      <c r="AT115" s="37">
        <v>46207</v>
      </c>
      <c r="AU115" s="30">
        <v>1</v>
      </c>
      <c r="AV115" s="36">
        <f t="shared" si="48"/>
        <v>97.1</v>
      </c>
      <c r="AW115" s="35">
        <v>46211</v>
      </c>
      <c r="AX115" s="30">
        <v>1</v>
      </c>
      <c r="AY115" s="32">
        <f t="shared" si="54"/>
        <v>97.1</v>
      </c>
      <c r="AZ115" s="30" t="s">
        <v>85</v>
      </c>
      <c r="BA115" s="63" t="s">
        <v>1297</v>
      </c>
      <c r="BB115" s="71"/>
      <c r="BC115" s="71" t="s">
        <v>1318</v>
      </c>
      <c r="BD115" s="71"/>
    </row>
    <row r="116" spans="1:56" x14ac:dyDescent="0.25">
      <c r="A116" s="24">
        <f>IF(B116="","",SUBTOTAL(3,$B$4:B116))</f>
        <v>112</v>
      </c>
      <c r="B116" s="25" t="s">
        <v>77</v>
      </c>
      <c r="C116" s="25" t="str">
        <f t="shared" si="39"/>
        <v>Shipment 1 400</v>
      </c>
      <c r="D116" s="25" t="s">
        <v>76</v>
      </c>
      <c r="E116" s="25">
        <v>400</v>
      </c>
      <c r="F116" s="25"/>
      <c r="G116" s="65">
        <v>45990</v>
      </c>
      <c r="H116" s="25" t="s">
        <v>1257</v>
      </c>
      <c r="I116" s="25" t="s">
        <v>1254</v>
      </c>
      <c r="J116" s="26" t="s">
        <v>1302</v>
      </c>
      <c r="K116" s="27" t="s">
        <v>290</v>
      </c>
      <c r="L116" s="28" t="s">
        <v>291</v>
      </c>
      <c r="M116" s="28" t="s">
        <v>246</v>
      </c>
      <c r="N116" s="25">
        <v>1</v>
      </c>
      <c r="O116" s="29">
        <v>97.1</v>
      </c>
      <c r="P116" s="29">
        <v>97.1</v>
      </c>
      <c r="Q116" s="25" t="s">
        <v>472</v>
      </c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44"/>
        <v>97.1</v>
      </c>
      <c r="AF116" s="32">
        <f t="shared" si="45"/>
        <v>0</v>
      </c>
      <c r="AG116" s="30"/>
      <c r="AH116" s="33">
        <v>1</v>
      </c>
      <c r="AI116" s="34">
        <f t="shared" si="46"/>
        <v>97.1</v>
      </c>
      <c r="AJ116" s="35">
        <v>46045</v>
      </c>
      <c r="AK116" s="30">
        <v>1</v>
      </c>
      <c r="AL116" s="36">
        <f t="shared" si="49"/>
        <v>97.1</v>
      </c>
      <c r="AM116" s="35">
        <v>46057</v>
      </c>
      <c r="AN116" s="30">
        <v>1</v>
      </c>
      <c r="AO116" s="36">
        <f t="shared" si="50"/>
        <v>97.1</v>
      </c>
      <c r="AP116" s="35">
        <v>46164</v>
      </c>
      <c r="AQ116" s="30">
        <v>1</v>
      </c>
      <c r="AR116" s="36">
        <f t="shared" si="47"/>
        <v>97.1</v>
      </c>
      <c r="AS116" s="27" t="s">
        <v>1295</v>
      </c>
      <c r="AT116" s="37">
        <v>46207</v>
      </c>
      <c r="AU116" s="30">
        <v>1</v>
      </c>
      <c r="AV116" s="36">
        <f t="shared" si="48"/>
        <v>97.1</v>
      </c>
      <c r="AW116" s="35">
        <v>46211</v>
      </c>
      <c r="AX116" s="30">
        <v>1</v>
      </c>
      <c r="AY116" s="32">
        <f t="shared" si="54"/>
        <v>97.1</v>
      </c>
      <c r="AZ116" s="30" t="s">
        <v>85</v>
      </c>
      <c r="BA116" s="63" t="s">
        <v>1297</v>
      </c>
      <c r="BB116" s="71"/>
      <c r="BC116" s="71" t="s">
        <v>1319</v>
      </c>
      <c r="BD116" s="71"/>
    </row>
    <row r="117" spans="1:56" x14ac:dyDescent="0.25">
      <c r="A117" s="24">
        <f>IF(B117="","",SUBTOTAL(3,$B$4:B117))</f>
        <v>113</v>
      </c>
      <c r="B117" s="25" t="s">
        <v>77</v>
      </c>
      <c r="C117" s="25" t="str">
        <f t="shared" si="39"/>
        <v>Shipment 1 400</v>
      </c>
      <c r="D117" s="25" t="s">
        <v>76</v>
      </c>
      <c r="E117" s="25">
        <v>400</v>
      </c>
      <c r="F117" s="25"/>
      <c r="G117" s="65">
        <v>45990</v>
      </c>
      <c r="H117" s="25" t="s">
        <v>1257</v>
      </c>
      <c r="I117" s="25" t="s">
        <v>1254</v>
      </c>
      <c r="J117" s="26" t="s">
        <v>1302</v>
      </c>
      <c r="K117" s="27" t="s">
        <v>290</v>
      </c>
      <c r="L117" s="28" t="s">
        <v>292</v>
      </c>
      <c r="M117" s="28" t="s">
        <v>246</v>
      </c>
      <c r="N117" s="25">
        <v>1</v>
      </c>
      <c r="O117" s="29">
        <v>97.1</v>
      </c>
      <c r="P117" s="29">
        <v>97.1</v>
      </c>
      <c r="Q117" s="25" t="s">
        <v>472</v>
      </c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44"/>
        <v>97.1</v>
      </c>
      <c r="AF117" s="32">
        <f t="shared" si="45"/>
        <v>0</v>
      </c>
      <c r="AG117" s="30"/>
      <c r="AH117" s="33">
        <v>1</v>
      </c>
      <c r="AI117" s="34">
        <f t="shared" si="46"/>
        <v>97.1</v>
      </c>
      <c r="AJ117" s="35">
        <v>46045</v>
      </c>
      <c r="AK117" s="30">
        <v>1</v>
      </c>
      <c r="AL117" s="36">
        <f t="shared" si="49"/>
        <v>97.1</v>
      </c>
      <c r="AM117" s="35">
        <v>46057</v>
      </c>
      <c r="AN117" s="30">
        <v>1</v>
      </c>
      <c r="AO117" s="36">
        <f t="shared" si="50"/>
        <v>97.1</v>
      </c>
      <c r="AP117" s="35">
        <v>46164</v>
      </c>
      <c r="AQ117" s="30">
        <v>1</v>
      </c>
      <c r="AR117" s="36">
        <f t="shared" si="47"/>
        <v>97.1</v>
      </c>
      <c r="AS117" s="27" t="s">
        <v>1295</v>
      </c>
      <c r="AT117" s="37">
        <v>46207</v>
      </c>
      <c r="AU117" s="30">
        <v>1</v>
      </c>
      <c r="AV117" s="36">
        <f t="shared" si="48"/>
        <v>97.1</v>
      </c>
      <c r="AW117" s="35">
        <v>46211</v>
      </c>
      <c r="AX117" s="30">
        <v>1</v>
      </c>
      <c r="AY117" s="32">
        <f t="shared" si="54"/>
        <v>97.1</v>
      </c>
      <c r="AZ117" s="30" t="s">
        <v>85</v>
      </c>
      <c r="BA117" s="63" t="s">
        <v>1297</v>
      </c>
      <c r="BB117" s="71"/>
      <c r="BC117" s="71" t="s">
        <v>1319</v>
      </c>
      <c r="BD117" s="71"/>
    </row>
    <row r="118" spans="1:56" x14ac:dyDescent="0.25">
      <c r="A118" s="24">
        <f>IF(B118="","",SUBTOTAL(3,$B$4:B118))</f>
        <v>114</v>
      </c>
      <c r="B118" s="25" t="s">
        <v>77</v>
      </c>
      <c r="C118" s="25" t="str">
        <f t="shared" si="39"/>
        <v>Shipment 1 400</v>
      </c>
      <c r="D118" s="25" t="s">
        <v>76</v>
      </c>
      <c r="E118" s="25">
        <v>400</v>
      </c>
      <c r="F118" s="25"/>
      <c r="G118" s="65">
        <v>45990</v>
      </c>
      <c r="H118" s="25" t="s">
        <v>1257</v>
      </c>
      <c r="I118" s="25" t="s">
        <v>1254</v>
      </c>
      <c r="J118" s="26" t="s">
        <v>1302</v>
      </c>
      <c r="K118" s="27" t="s">
        <v>293</v>
      </c>
      <c r="L118" s="28" t="s">
        <v>294</v>
      </c>
      <c r="M118" s="28" t="s">
        <v>246</v>
      </c>
      <c r="N118" s="25">
        <v>1</v>
      </c>
      <c r="O118" s="29">
        <v>127.3</v>
      </c>
      <c r="P118" s="29">
        <v>127.3</v>
      </c>
      <c r="Q118" s="25" t="s">
        <v>461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44"/>
        <v>127.3</v>
      </c>
      <c r="AF118" s="32">
        <f t="shared" si="45"/>
        <v>0</v>
      </c>
      <c r="AG118" s="30"/>
      <c r="AH118" s="33">
        <v>1</v>
      </c>
      <c r="AI118" s="34">
        <f t="shared" si="46"/>
        <v>127.3</v>
      </c>
      <c r="AJ118" s="35">
        <v>46045</v>
      </c>
      <c r="AK118" s="30">
        <v>1</v>
      </c>
      <c r="AL118" s="36">
        <f t="shared" si="49"/>
        <v>127.3</v>
      </c>
      <c r="AM118" s="35">
        <v>46057</v>
      </c>
      <c r="AN118" s="30">
        <v>1</v>
      </c>
      <c r="AO118" s="36">
        <f t="shared" si="50"/>
        <v>127.3</v>
      </c>
      <c r="AP118" s="35">
        <v>46164</v>
      </c>
      <c r="AQ118" s="30">
        <v>1</v>
      </c>
      <c r="AR118" s="36">
        <f t="shared" si="47"/>
        <v>127.3</v>
      </c>
      <c r="AS118" s="27" t="s">
        <v>1295</v>
      </c>
      <c r="AT118" s="37">
        <v>46207</v>
      </c>
      <c r="AU118" s="30">
        <v>1</v>
      </c>
      <c r="AV118" s="36">
        <f t="shared" si="48"/>
        <v>127.3</v>
      </c>
      <c r="AW118" s="35">
        <v>46211</v>
      </c>
      <c r="AX118" s="30">
        <v>1</v>
      </c>
      <c r="AY118" s="32">
        <f t="shared" si="54"/>
        <v>127.3</v>
      </c>
      <c r="AZ118" s="30" t="s">
        <v>85</v>
      </c>
      <c r="BA118" s="63" t="s">
        <v>1297</v>
      </c>
      <c r="BB118" s="71"/>
      <c r="BC118" s="71" t="s">
        <v>1320</v>
      </c>
      <c r="BD118" s="71"/>
    </row>
    <row r="119" spans="1:56" x14ac:dyDescent="0.25">
      <c r="A119" s="24">
        <f>IF(B119="","",SUBTOTAL(3,$B$4:B119))</f>
        <v>115</v>
      </c>
      <c r="B119" s="25" t="s">
        <v>77</v>
      </c>
      <c r="C119" s="25" t="str">
        <f t="shared" si="39"/>
        <v>Shipment 1 400</v>
      </c>
      <c r="D119" s="25" t="s">
        <v>76</v>
      </c>
      <c r="E119" s="25">
        <v>400</v>
      </c>
      <c r="F119" s="25"/>
      <c r="G119" s="65">
        <v>45990</v>
      </c>
      <c r="H119" s="25" t="s">
        <v>1257</v>
      </c>
      <c r="I119" s="25" t="s">
        <v>1254</v>
      </c>
      <c r="J119" s="26" t="s">
        <v>1302</v>
      </c>
      <c r="K119" s="27" t="s">
        <v>293</v>
      </c>
      <c r="L119" s="28" t="s">
        <v>295</v>
      </c>
      <c r="M119" s="28" t="s">
        <v>246</v>
      </c>
      <c r="N119" s="25">
        <v>1</v>
      </c>
      <c r="O119" s="29">
        <v>127.3</v>
      </c>
      <c r="P119" s="29">
        <v>127.3</v>
      </c>
      <c r="Q119" s="25" t="s">
        <v>461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44"/>
        <v>127.3</v>
      </c>
      <c r="AF119" s="32">
        <f t="shared" si="45"/>
        <v>0</v>
      </c>
      <c r="AG119" s="30"/>
      <c r="AH119" s="33">
        <v>1</v>
      </c>
      <c r="AI119" s="34">
        <f t="shared" si="46"/>
        <v>127.3</v>
      </c>
      <c r="AJ119" s="35">
        <v>46045</v>
      </c>
      <c r="AK119" s="30">
        <v>1</v>
      </c>
      <c r="AL119" s="36">
        <f t="shared" si="49"/>
        <v>127.3</v>
      </c>
      <c r="AM119" s="35">
        <v>46057</v>
      </c>
      <c r="AN119" s="30">
        <v>1</v>
      </c>
      <c r="AO119" s="36">
        <f t="shared" si="50"/>
        <v>127.3</v>
      </c>
      <c r="AP119" s="35">
        <v>46164</v>
      </c>
      <c r="AQ119" s="30">
        <v>1</v>
      </c>
      <c r="AR119" s="36">
        <f t="shared" si="47"/>
        <v>127.3</v>
      </c>
      <c r="AS119" s="27" t="s">
        <v>1295</v>
      </c>
      <c r="AT119" s="37">
        <v>46207</v>
      </c>
      <c r="AU119" s="30">
        <v>1</v>
      </c>
      <c r="AV119" s="36">
        <f t="shared" si="48"/>
        <v>127.3</v>
      </c>
      <c r="AW119" s="35">
        <v>46211</v>
      </c>
      <c r="AX119" s="30">
        <v>1</v>
      </c>
      <c r="AY119" s="32">
        <f t="shared" si="54"/>
        <v>127.3</v>
      </c>
      <c r="AZ119" s="30" t="s">
        <v>85</v>
      </c>
      <c r="BA119" s="63" t="s">
        <v>1297</v>
      </c>
      <c r="BB119" s="71"/>
      <c r="BC119" s="71" t="s">
        <v>1320</v>
      </c>
      <c r="BD119" s="71"/>
    </row>
    <row r="120" spans="1:56" x14ac:dyDescent="0.25">
      <c r="A120" s="24">
        <f>IF(B120="","",SUBTOTAL(3,$B$4:B120))</f>
        <v>116</v>
      </c>
      <c r="B120" s="25" t="s">
        <v>77</v>
      </c>
      <c r="C120" s="25" t="str">
        <f t="shared" si="39"/>
        <v>Shipment 1 400</v>
      </c>
      <c r="D120" s="25" t="s">
        <v>76</v>
      </c>
      <c r="E120" s="25">
        <v>400</v>
      </c>
      <c r="F120" s="25"/>
      <c r="G120" s="65">
        <v>45990</v>
      </c>
      <c r="H120" s="25" t="s">
        <v>1257</v>
      </c>
      <c r="I120" s="25" t="s">
        <v>1254</v>
      </c>
      <c r="J120" s="26" t="s">
        <v>1302</v>
      </c>
      <c r="K120" s="27" t="s">
        <v>296</v>
      </c>
      <c r="L120" s="28" t="s">
        <v>297</v>
      </c>
      <c r="M120" s="28" t="s">
        <v>246</v>
      </c>
      <c r="N120" s="25">
        <v>1</v>
      </c>
      <c r="O120" s="29">
        <v>202.5</v>
      </c>
      <c r="P120" s="29">
        <v>202.5</v>
      </c>
      <c r="Q120" s="25" t="s">
        <v>469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44"/>
        <v>202.5</v>
      </c>
      <c r="AF120" s="32">
        <f t="shared" si="45"/>
        <v>0</v>
      </c>
      <c r="AG120" s="30"/>
      <c r="AH120" s="33">
        <v>1</v>
      </c>
      <c r="AI120" s="34">
        <f t="shared" si="46"/>
        <v>202.5</v>
      </c>
      <c r="AJ120" s="35">
        <v>46045</v>
      </c>
      <c r="AK120" s="30">
        <v>1</v>
      </c>
      <c r="AL120" s="36">
        <f t="shared" si="49"/>
        <v>202.5</v>
      </c>
      <c r="AM120" s="35">
        <v>46057</v>
      </c>
      <c r="AN120" s="30">
        <v>1</v>
      </c>
      <c r="AO120" s="36">
        <f t="shared" si="50"/>
        <v>202.5</v>
      </c>
      <c r="AP120" s="35">
        <v>46164</v>
      </c>
      <c r="AQ120" s="30">
        <v>1</v>
      </c>
      <c r="AR120" s="36">
        <f t="shared" si="47"/>
        <v>202.5</v>
      </c>
      <c r="AS120" s="27" t="s">
        <v>1294</v>
      </c>
      <c r="AT120" s="37">
        <v>46205</v>
      </c>
      <c r="AU120" s="30">
        <v>1</v>
      </c>
      <c r="AV120" s="36">
        <f t="shared" si="48"/>
        <v>202.5</v>
      </c>
      <c r="AW120" s="35">
        <v>46208</v>
      </c>
      <c r="AX120" s="30">
        <v>1</v>
      </c>
      <c r="AY120" s="32">
        <f t="shared" ref="AY120:AY144" si="55">IFERROR(AX120*$P120/$N120,0)</f>
        <v>202.5</v>
      </c>
      <c r="AZ120" s="30" t="s">
        <v>85</v>
      </c>
      <c r="BA120" s="63" t="s">
        <v>1294</v>
      </c>
      <c r="BB120" s="71"/>
      <c r="BC120" s="71" t="s">
        <v>297</v>
      </c>
      <c r="BD120" s="71"/>
    </row>
    <row r="121" spans="1:56" x14ac:dyDescent="0.25">
      <c r="A121" s="24">
        <f>IF(B121="","",SUBTOTAL(3,$B$4:B121))</f>
        <v>117</v>
      </c>
      <c r="B121" s="25" t="s">
        <v>77</v>
      </c>
      <c r="C121" s="25" t="str">
        <f t="shared" si="39"/>
        <v>Shipment 1 400</v>
      </c>
      <c r="D121" s="25" t="s">
        <v>76</v>
      </c>
      <c r="E121" s="25">
        <v>400</v>
      </c>
      <c r="F121" s="25"/>
      <c r="G121" s="65">
        <v>45990</v>
      </c>
      <c r="H121" s="25" t="s">
        <v>1257</v>
      </c>
      <c r="I121" s="25" t="s">
        <v>1254</v>
      </c>
      <c r="J121" s="26" t="s">
        <v>1302</v>
      </c>
      <c r="K121" s="27" t="s">
        <v>298</v>
      </c>
      <c r="L121" s="28" t="s">
        <v>299</v>
      </c>
      <c r="M121" s="28" t="s">
        <v>246</v>
      </c>
      <c r="N121" s="25">
        <v>1</v>
      </c>
      <c r="O121" s="29">
        <v>202.5</v>
      </c>
      <c r="P121" s="29">
        <v>202.5</v>
      </c>
      <c r="Q121" s="25" t="s">
        <v>469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44"/>
        <v>202.5</v>
      </c>
      <c r="AF121" s="32">
        <f t="shared" si="45"/>
        <v>0</v>
      </c>
      <c r="AG121" s="30"/>
      <c r="AH121" s="33">
        <v>1</v>
      </c>
      <c r="AI121" s="34">
        <f t="shared" si="46"/>
        <v>202.5</v>
      </c>
      <c r="AJ121" s="35">
        <v>46045</v>
      </c>
      <c r="AK121" s="30">
        <v>1</v>
      </c>
      <c r="AL121" s="36">
        <f t="shared" si="49"/>
        <v>202.5</v>
      </c>
      <c r="AM121" s="35">
        <v>46057</v>
      </c>
      <c r="AN121" s="30">
        <v>1</v>
      </c>
      <c r="AO121" s="36">
        <f t="shared" si="50"/>
        <v>202.5</v>
      </c>
      <c r="AP121" s="35">
        <v>46164</v>
      </c>
      <c r="AQ121" s="30">
        <v>1</v>
      </c>
      <c r="AR121" s="36">
        <f t="shared" si="47"/>
        <v>202.5</v>
      </c>
      <c r="AS121" s="27" t="s">
        <v>1294</v>
      </c>
      <c r="AT121" s="37">
        <v>46205</v>
      </c>
      <c r="AU121" s="30">
        <v>1</v>
      </c>
      <c r="AV121" s="36">
        <f t="shared" si="48"/>
        <v>202.5</v>
      </c>
      <c r="AW121" s="35">
        <v>46208</v>
      </c>
      <c r="AX121" s="30">
        <v>1</v>
      </c>
      <c r="AY121" s="32">
        <f t="shared" si="55"/>
        <v>202.5</v>
      </c>
      <c r="AZ121" s="30" t="s">
        <v>85</v>
      </c>
      <c r="BA121" s="63" t="s">
        <v>1294</v>
      </c>
      <c r="BB121" s="71"/>
      <c r="BC121" s="71" t="s">
        <v>299</v>
      </c>
      <c r="BD121" s="71"/>
    </row>
    <row r="122" spans="1:56" x14ac:dyDescent="0.25">
      <c r="A122" s="24">
        <f>IF(B122="","",SUBTOTAL(3,$B$4:B122))</f>
        <v>118</v>
      </c>
      <c r="B122" s="25" t="s">
        <v>77</v>
      </c>
      <c r="C122" s="25" t="str">
        <f t="shared" si="39"/>
        <v>Shipment 1 400</v>
      </c>
      <c r="D122" s="25" t="s">
        <v>76</v>
      </c>
      <c r="E122" s="25">
        <v>400</v>
      </c>
      <c r="F122" s="25"/>
      <c r="G122" s="65">
        <v>45990</v>
      </c>
      <c r="H122" s="25" t="s">
        <v>1257</v>
      </c>
      <c r="I122" s="25" t="s">
        <v>1254</v>
      </c>
      <c r="J122" s="26" t="s">
        <v>1302</v>
      </c>
      <c r="K122" s="27" t="s">
        <v>300</v>
      </c>
      <c r="L122" s="28" t="s">
        <v>301</v>
      </c>
      <c r="M122" s="28" t="s">
        <v>246</v>
      </c>
      <c r="N122" s="25">
        <v>1</v>
      </c>
      <c r="O122" s="29">
        <v>229.2</v>
      </c>
      <c r="P122" s="29">
        <v>229.2</v>
      </c>
      <c r="Q122" s="25" t="s">
        <v>470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44"/>
        <v>229.2</v>
      </c>
      <c r="AF122" s="32">
        <f t="shared" si="45"/>
        <v>0</v>
      </c>
      <c r="AG122" s="30"/>
      <c r="AH122" s="33">
        <v>1</v>
      </c>
      <c r="AI122" s="34">
        <f t="shared" si="46"/>
        <v>229.2</v>
      </c>
      <c r="AJ122" s="35">
        <v>46045</v>
      </c>
      <c r="AK122" s="30">
        <v>1</v>
      </c>
      <c r="AL122" s="36">
        <f t="shared" si="49"/>
        <v>229.2</v>
      </c>
      <c r="AM122" s="35">
        <v>46057</v>
      </c>
      <c r="AN122" s="30">
        <v>1</v>
      </c>
      <c r="AO122" s="36">
        <f t="shared" si="50"/>
        <v>229.2</v>
      </c>
      <c r="AP122" s="35">
        <v>46164</v>
      </c>
      <c r="AQ122" s="30">
        <v>1</v>
      </c>
      <c r="AR122" s="36">
        <f t="shared" si="47"/>
        <v>229.2</v>
      </c>
      <c r="AS122" s="27" t="s">
        <v>1294</v>
      </c>
      <c r="AT122" s="37">
        <v>46205</v>
      </c>
      <c r="AU122" s="30">
        <v>1</v>
      </c>
      <c r="AV122" s="36">
        <f t="shared" si="48"/>
        <v>229.2</v>
      </c>
      <c r="AW122" s="35">
        <v>46208</v>
      </c>
      <c r="AX122" s="30">
        <v>1</v>
      </c>
      <c r="AY122" s="32">
        <f t="shared" si="55"/>
        <v>229.2</v>
      </c>
      <c r="AZ122" s="30" t="s">
        <v>85</v>
      </c>
      <c r="BA122" s="63" t="s">
        <v>1294</v>
      </c>
      <c r="BB122" s="71"/>
      <c r="BC122" s="71" t="s">
        <v>301</v>
      </c>
      <c r="BD122" s="71"/>
    </row>
    <row r="123" spans="1:56" x14ac:dyDescent="0.25">
      <c r="A123" s="24">
        <f>IF(B123="","",SUBTOTAL(3,$B$4:B123))</f>
        <v>119</v>
      </c>
      <c r="B123" s="25" t="s">
        <v>77</v>
      </c>
      <c r="C123" s="25" t="str">
        <f t="shared" si="39"/>
        <v>Shipment 1 400</v>
      </c>
      <c r="D123" s="25" t="s">
        <v>76</v>
      </c>
      <c r="E123" s="25">
        <v>400</v>
      </c>
      <c r="F123" s="25"/>
      <c r="G123" s="65">
        <v>45990</v>
      </c>
      <c r="H123" s="25" t="s">
        <v>1257</v>
      </c>
      <c r="I123" s="25" t="s">
        <v>1254</v>
      </c>
      <c r="J123" s="26" t="s">
        <v>1302</v>
      </c>
      <c r="K123" s="27" t="s">
        <v>302</v>
      </c>
      <c r="L123" s="28" t="s">
        <v>303</v>
      </c>
      <c r="M123" s="28" t="s">
        <v>246</v>
      </c>
      <c r="N123" s="25">
        <v>1</v>
      </c>
      <c r="O123" s="29">
        <v>229.2</v>
      </c>
      <c r="P123" s="29">
        <v>229.2</v>
      </c>
      <c r="Q123" s="25" t="s">
        <v>470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44"/>
        <v>229.2</v>
      </c>
      <c r="AF123" s="32">
        <f t="shared" si="45"/>
        <v>0</v>
      </c>
      <c r="AG123" s="30"/>
      <c r="AH123" s="33">
        <v>1</v>
      </c>
      <c r="AI123" s="34">
        <f t="shared" si="46"/>
        <v>229.2</v>
      </c>
      <c r="AJ123" s="35">
        <v>46045</v>
      </c>
      <c r="AK123" s="30">
        <v>1</v>
      </c>
      <c r="AL123" s="36">
        <f t="shared" si="49"/>
        <v>229.2</v>
      </c>
      <c r="AM123" s="35">
        <v>46057</v>
      </c>
      <c r="AN123" s="30">
        <v>1</v>
      </c>
      <c r="AO123" s="36">
        <f t="shared" si="50"/>
        <v>229.2</v>
      </c>
      <c r="AP123" s="35">
        <v>46164</v>
      </c>
      <c r="AQ123" s="30">
        <v>1</v>
      </c>
      <c r="AR123" s="36">
        <f t="shared" si="47"/>
        <v>229.2</v>
      </c>
      <c r="AS123" s="27" t="s">
        <v>1294</v>
      </c>
      <c r="AT123" s="37">
        <v>46205</v>
      </c>
      <c r="AU123" s="30">
        <v>1</v>
      </c>
      <c r="AV123" s="36">
        <f t="shared" si="48"/>
        <v>229.2</v>
      </c>
      <c r="AW123" s="35">
        <v>46208</v>
      </c>
      <c r="AX123" s="30">
        <v>1</v>
      </c>
      <c r="AY123" s="32">
        <f t="shared" si="55"/>
        <v>229.2</v>
      </c>
      <c r="AZ123" s="30" t="s">
        <v>85</v>
      </c>
      <c r="BA123" s="63" t="s">
        <v>1294</v>
      </c>
      <c r="BB123" s="71"/>
      <c r="BC123" s="71" t="s">
        <v>303</v>
      </c>
      <c r="BD123" s="71"/>
    </row>
    <row r="124" spans="1:56" x14ac:dyDescent="0.25">
      <c r="A124" s="24">
        <f>IF(B124="","",SUBTOTAL(3,$B$4:B124))</f>
        <v>120</v>
      </c>
      <c r="B124" s="25" t="s">
        <v>77</v>
      </c>
      <c r="C124" s="25" t="str">
        <f t="shared" si="39"/>
        <v>Shipment 1 400</v>
      </c>
      <c r="D124" s="25" t="s">
        <v>76</v>
      </c>
      <c r="E124" s="25">
        <v>400</v>
      </c>
      <c r="F124" s="25"/>
      <c r="G124" s="65">
        <v>45990</v>
      </c>
      <c r="H124" s="25" t="s">
        <v>1257</v>
      </c>
      <c r="I124" s="25" t="s">
        <v>1254</v>
      </c>
      <c r="J124" s="26" t="s">
        <v>1302</v>
      </c>
      <c r="K124" s="27" t="s">
        <v>304</v>
      </c>
      <c r="L124" s="28" t="s">
        <v>305</v>
      </c>
      <c r="M124" s="28" t="s">
        <v>246</v>
      </c>
      <c r="N124" s="25">
        <v>1</v>
      </c>
      <c r="O124" s="29">
        <v>202.5</v>
      </c>
      <c r="P124" s="29">
        <v>202.5</v>
      </c>
      <c r="Q124" s="25" t="s">
        <v>469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44"/>
        <v>202.5</v>
      </c>
      <c r="AF124" s="32">
        <f t="shared" si="45"/>
        <v>0</v>
      </c>
      <c r="AG124" s="30"/>
      <c r="AH124" s="33">
        <v>1</v>
      </c>
      <c r="AI124" s="34">
        <f t="shared" si="46"/>
        <v>202.5</v>
      </c>
      <c r="AJ124" s="35">
        <v>46045</v>
      </c>
      <c r="AK124" s="30">
        <v>1</v>
      </c>
      <c r="AL124" s="36">
        <f t="shared" si="49"/>
        <v>202.5</v>
      </c>
      <c r="AM124" s="35">
        <v>46057</v>
      </c>
      <c r="AN124" s="30">
        <v>1</v>
      </c>
      <c r="AO124" s="36">
        <f t="shared" si="50"/>
        <v>202.5</v>
      </c>
      <c r="AP124" s="35">
        <v>46164</v>
      </c>
      <c r="AQ124" s="30">
        <v>1</v>
      </c>
      <c r="AR124" s="36">
        <f t="shared" si="47"/>
        <v>202.5</v>
      </c>
      <c r="AS124" s="27" t="s">
        <v>1294</v>
      </c>
      <c r="AT124" s="37">
        <v>46205</v>
      </c>
      <c r="AU124" s="30">
        <v>1</v>
      </c>
      <c r="AV124" s="36">
        <f t="shared" si="48"/>
        <v>202.5</v>
      </c>
      <c r="AW124" s="35">
        <v>46208</v>
      </c>
      <c r="AX124" s="30">
        <v>1</v>
      </c>
      <c r="AY124" s="32">
        <f t="shared" si="55"/>
        <v>202.5</v>
      </c>
      <c r="AZ124" s="30" t="s">
        <v>85</v>
      </c>
      <c r="BA124" s="63" t="s">
        <v>1294</v>
      </c>
      <c r="BB124" s="71"/>
      <c r="BC124" s="71" t="s">
        <v>305</v>
      </c>
      <c r="BD124" s="71"/>
    </row>
    <row r="125" spans="1:56" x14ac:dyDescent="0.25">
      <c r="A125" s="24">
        <f>IF(B125="","",SUBTOTAL(3,$B$4:B125))</f>
        <v>121</v>
      </c>
      <c r="B125" s="25" t="s">
        <v>77</v>
      </c>
      <c r="C125" s="25" t="str">
        <f t="shared" si="39"/>
        <v>Shipment 1 400</v>
      </c>
      <c r="D125" s="25" t="s">
        <v>76</v>
      </c>
      <c r="E125" s="25">
        <v>400</v>
      </c>
      <c r="F125" s="25"/>
      <c r="G125" s="65">
        <v>45990</v>
      </c>
      <c r="H125" s="25" t="s">
        <v>1257</v>
      </c>
      <c r="I125" s="25" t="s">
        <v>1254</v>
      </c>
      <c r="J125" s="26" t="s">
        <v>1302</v>
      </c>
      <c r="K125" s="27" t="s">
        <v>306</v>
      </c>
      <c r="L125" s="28" t="s">
        <v>307</v>
      </c>
      <c r="M125" s="28" t="s">
        <v>246</v>
      </c>
      <c r="N125" s="25">
        <v>1</v>
      </c>
      <c r="O125" s="29">
        <v>101.2</v>
      </c>
      <c r="P125" s="29">
        <v>101.2</v>
      </c>
      <c r="Q125" s="25" t="s">
        <v>473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44"/>
        <v>101.20000000000002</v>
      </c>
      <c r="AF125" s="32">
        <f t="shared" si="45"/>
        <v>0</v>
      </c>
      <c r="AG125" s="30"/>
      <c r="AH125" s="33">
        <v>1</v>
      </c>
      <c r="AI125" s="34">
        <f t="shared" si="46"/>
        <v>101.2</v>
      </c>
      <c r="AJ125" s="35">
        <v>46045</v>
      </c>
      <c r="AK125" s="30">
        <v>1</v>
      </c>
      <c r="AL125" s="36">
        <f t="shared" si="49"/>
        <v>101.2</v>
      </c>
      <c r="AM125" s="35">
        <v>46057</v>
      </c>
      <c r="AN125" s="30">
        <v>1</v>
      </c>
      <c r="AO125" s="36">
        <f t="shared" si="50"/>
        <v>101.2</v>
      </c>
      <c r="AP125" s="35">
        <v>46164</v>
      </c>
      <c r="AQ125" s="30">
        <v>1</v>
      </c>
      <c r="AR125" s="36">
        <f t="shared" si="47"/>
        <v>101.2</v>
      </c>
      <c r="AS125" s="27" t="s">
        <v>1295</v>
      </c>
      <c r="AT125" s="37">
        <v>46207</v>
      </c>
      <c r="AU125" s="30">
        <v>1</v>
      </c>
      <c r="AV125" s="36">
        <f t="shared" si="48"/>
        <v>101.2</v>
      </c>
      <c r="AW125" s="35">
        <v>46211</v>
      </c>
      <c r="AX125" s="30">
        <v>1</v>
      </c>
      <c r="AY125" s="32">
        <f t="shared" si="55"/>
        <v>101.2</v>
      </c>
      <c r="AZ125" s="30" t="s">
        <v>85</v>
      </c>
      <c r="BA125" s="63" t="s">
        <v>1297</v>
      </c>
      <c r="BB125" s="71"/>
      <c r="BC125" s="71" t="s">
        <v>307</v>
      </c>
      <c r="BD125" s="71"/>
    </row>
    <row r="126" spans="1:56" x14ac:dyDescent="0.25">
      <c r="A126" s="24">
        <f>IF(B126="","",SUBTOTAL(3,$B$4:B126))</f>
        <v>122</v>
      </c>
      <c r="B126" s="25" t="s">
        <v>77</v>
      </c>
      <c r="C126" s="25" t="str">
        <f t="shared" si="39"/>
        <v>Shipment 1 400</v>
      </c>
      <c r="D126" s="25" t="s">
        <v>76</v>
      </c>
      <c r="E126" s="25">
        <v>400</v>
      </c>
      <c r="F126" s="25"/>
      <c r="G126" s="65">
        <v>45990</v>
      </c>
      <c r="H126" s="25" t="s">
        <v>1257</v>
      </c>
      <c r="I126" s="25" t="s">
        <v>1254</v>
      </c>
      <c r="J126" s="26" t="s">
        <v>1302</v>
      </c>
      <c r="K126" s="27" t="s">
        <v>308</v>
      </c>
      <c r="L126" s="28" t="s">
        <v>309</v>
      </c>
      <c r="M126" s="28" t="s">
        <v>249</v>
      </c>
      <c r="N126" s="25">
        <v>1</v>
      </c>
      <c r="O126" s="29">
        <v>171.7</v>
      </c>
      <c r="P126" s="29">
        <v>171.7</v>
      </c>
      <c r="Q126" s="25" t="s">
        <v>474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44"/>
        <v>171.69999999999996</v>
      </c>
      <c r="AF126" s="32">
        <f t="shared" si="45"/>
        <v>0</v>
      </c>
      <c r="AG126" s="30"/>
      <c r="AH126" s="33">
        <v>1</v>
      </c>
      <c r="AI126" s="34">
        <f t="shared" si="46"/>
        <v>171.7</v>
      </c>
      <c r="AJ126" s="35">
        <v>46045</v>
      </c>
      <c r="AK126" s="30">
        <v>1</v>
      </c>
      <c r="AL126" s="36">
        <f t="shared" si="49"/>
        <v>171.7</v>
      </c>
      <c r="AM126" s="35">
        <v>46057</v>
      </c>
      <c r="AN126" s="30">
        <v>1</v>
      </c>
      <c r="AO126" s="36">
        <f t="shared" si="50"/>
        <v>171.7</v>
      </c>
      <c r="AP126" s="35">
        <v>46164</v>
      </c>
      <c r="AQ126" s="30">
        <v>1</v>
      </c>
      <c r="AR126" s="36">
        <f t="shared" si="47"/>
        <v>171.7</v>
      </c>
      <c r="AS126" s="27" t="s">
        <v>1295</v>
      </c>
      <c r="AT126" s="37">
        <v>46207</v>
      </c>
      <c r="AU126" s="30">
        <v>1</v>
      </c>
      <c r="AV126" s="36">
        <f t="shared" si="48"/>
        <v>171.7</v>
      </c>
      <c r="AW126" s="35">
        <v>46211</v>
      </c>
      <c r="AX126" s="30">
        <v>1</v>
      </c>
      <c r="AY126" s="32">
        <f t="shared" si="55"/>
        <v>171.7</v>
      </c>
      <c r="AZ126" s="30" t="s">
        <v>85</v>
      </c>
      <c r="BA126" s="63" t="s">
        <v>1297</v>
      </c>
      <c r="BB126" s="71"/>
      <c r="BC126" s="71" t="s">
        <v>309</v>
      </c>
      <c r="BD126" s="71"/>
    </row>
    <row r="127" spans="1:56" x14ac:dyDescent="0.25">
      <c r="A127" s="24">
        <f>IF(B127="","",SUBTOTAL(3,$B$4:B127))</f>
        <v>123</v>
      </c>
      <c r="B127" s="25" t="s">
        <v>77</v>
      </c>
      <c r="C127" s="25" t="str">
        <f t="shared" si="39"/>
        <v>Shipment 1 400</v>
      </c>
      <c r="D127" s="25" t="s">
        <v>76</v>
      </c>
      <c r="E127" s="25">
        <v>400</v>
      </c>
      <c r="F127" s="25"/>
      <c r="G127" s="65">
        <v>45990</v>
      </c>
      <c r="H127" s="25" t="s">
        <v>1257</v>
      </c>
      <c r="I127" s="25" t="s">
        <v>1254</v>
      </c>
      <c r="J127" s="26" t="s">
        <v>1302</v>
      </c>
      <c r="K127" s="27" t="s">
        <v>310</v>
      </c>
      <c r="L127" s="28" t="s">
        <v>311</v>
      </c>
      <c r="M127" s="28" t="s">
        <v>246</v>
      </c>
      <c r="N127" s="25">
        <v>1</v>
      </c>
      <c r="O127" s="29">
        <v>96.8</v>
      </c>
      <c r="P127" s="29">
        <v>96.8</v>
      </c>
      <c r="Q127" s="25" t="s">
        <v>475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44"/>
        <v>96.800000000000011</v>
      </c>
      <c r="AF127" s="32">
        <f t="shared" si="45"/>
        <v>0</v>
      </c>
      <c r="AG127" s="30"/>
      <c r="AH127" s="33">
        <v>1</v>
      </c>
      <c r="AI127" s="34">
        <f t="shared" si="46"/>
        <v>96.8</v>
      </c>
      <c r="AJ127" s="35">
        <v>46045</v>
      </c>
      <c r="AK127" s="30">
        <v>1</v>
      </c>
      <c r="AL127" s="36">
        <f t="shared" si="49"/>
        <v>96.8</v>
      </c>
      <c r="AM127" s="35">
        <v>46057</v>
      </c>
      <c r="AN127" s="30">
        <v>1</v>
      </c>
      <c r="AO127" s="36">
        <f t="shared" si="50"/>
        <v>96.8</v>
      </c>
      <c r="AP127" s="35">
        <v>46164</v>
      </c>
      <c r="AQ127" s="30">
        <v>1</v>
      </c>
      <c r="AR127" s="36">
        <f t="shared" si="47"/>
        <v>96.8</v>
      </c>
      <c r="AS127" s="27" t="s">
        <v>1295</v>
      </c>
      <c r="AT127" s="37">
        <v>46207</v>
      </c>
      <c r="AU127" s="30">
        <v>1</v>
      </c>
      <c r="AV127" s="36">
        <f t="shared" si="48"/>
        <v>96.8</v>
      </c>
      <c r="AW127" s="35">
        <v>46211</v>
      </c>
      <c r="AX127" s="30">
        <v>1</v>
      </c>
      <c r="AY127" s="32">
        <f t="shared" si="55"/>
        <v>96.8</v>
      </c>
      <c r="AZ127" s="30" t="s">
        <v>85</v>
      </c>
      <c r="BA127" s="63" t="s">
        <v>1297</v>
      </c>
      <c r="BB127" s="71"/>
      <c r="BC127" s="71" t="s">
        <v>311</v>
      </c>
      <c r="BD127" s="71"/>
    </row>
    <row r="128" spans="1:56" x14ac:dyDescent="0.25">
      <c r="A128" s="24">
        <f>IF(B128="","",SUBTOTAL(3,$B$4:B128))</f>
        <v>124</v>
      </c>
      <c r="B128" s="25" t="s">
        <v>77</v>
      </c>
      <c r="C128" s="25" t="str">
        <f t="shared" si="39"/>
        <v>Shipment 1 400</v>
      </c>
      <c r="D128" s="25" t="s">
        <v>76</v>
      </c>
      <c r="E128" s="25">
        <v>400</v>
      </c>
      <c r="F128" s="25"/>
      <c r="G128" s="65">
        <v>45990</v>
      </c>
      <c r="H128" s="25" t="s">
        <v>1257</v>
      </c>
      <c r="I128" s="25" t="s">
        <v>1254</v>
      </c>
      <c r="J128" s="26" t="s">
        <v>1302</v>
      </c>
      <c r="K128" s="27" t="s">
        <v>312</v>
      </c>
      <c r="L128" s="28" t="s">
        <v>313</v>
      </c>
      <c r="M128" s="28" t="s">
        <v>249</v>
      </c>
      <c r="N128" s="25">
        <v>1</v>
      </c>
      <c r="O128" s="29">
        <v>246.2</v>
      </c>
      <c r="P128" s="29">
        <v>246.2</v>
      </c>
      <c r="Q128" s="25" t="s">
        <v>462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44"/>
        <v>246.2</v>
      </c>
      <c r="AF128" s="32">
        <f t="shared" si="45"/>
        <v>0</v>
      </c>
      <c r="AG128" s="30"/>
      <c r="AH128" s="33">
        <v>1</v>
      </c>
      <c r="AI128" s="34">
        <f t="shared" si="46"/>
        <v>246.2</v>
      </c>
      <c r="AJ128" s="35">
        <v>46045</v>
      </c>
      <c r="AK128" s="30">
        <v>1</v>
      </c>
      <c r="AL128" s="36">
        <f t="shared" si="49"/>
        <v>246.2</v>
      </c>
      <c r="AM128" s="35">
        <v>46057</v>
      </c>
      <c r="AN128" s="30">
        <v>1</v>
      </c>
      <c r="AO128" s="36">
        <f t="shared" si="50"/>
        <v>246.2</v>
      </c>
      <c r="AP128" s="35">
        <v>46164</v>
      </c>
      <c r="AQ128" s="30">
        <v>1</v>
      </c>
      <c r="AR128" s="36">
        <f t="shared" si="47"/>
        <v>246.2</v>
      </c>
      <c r="AS128" s="27" t="s">
        <v>1295</v>
      </c>
      <c r="AT128" s="37">
        <v>46207</v>
      </c>
      <c r="AU128" s="30">
        <v>1</v>
      </c>
      <c r="AV128" s="36">
        <f t="shared" si="48"/>
        <v>246.2</v>
      </c>
      <c r="AW128" s="35">
        <v>46211</v>
      </c>
      <c r="AX128" s="30">
        <v>1</v>
      </c>
      <c r="AY128" s="32">
        <f t="shared" si="55"/>
        <v>246.2</v>
      </c>
      <c r="AZ128" s="30" t="s">
        <v>85</v>
      </c>
      <c r="BA128" s="63" t="s">
        <v>1297</v>
      </c>
      <c r="BB128" s="71"/>
      <c r="BC128" s="71" t="s">
        <v>313</v>
      </c>
      <c r="BD128" s="71"/>
    </row>
    <row r="129" spans="1:56" x14ac:dyDescent="0.25">
      <c r="A129" s="24">
        <f>IF(B129="","",SUBTOTAL(3,$B$4:B129))</f>
        <v>125</v>
      </c>
      <c r="B129" s="25" t="s">
        <v>77</v>
      </c>
      <c r="C129" s="25" t="str">
        <f t="shared" si="39"/>
        <v>Shipment 1 400</v>
      </c>
      <c r="D129" s="25" t="s">
        <v>76</v>
      </c>
      <c r="E129" s="25">
        <v>400</v>
      </c>
      <c r="F129" s="25"/>
      <c r="G129" s="65">
        <v>45990</v>
      </c>
      <c r="H129" s="25" t="s">
        <v>1257</v>
      </c>
      <c r="I129" s="25" t="s">
        <v>1254</v>
      </c>
      <c r="J129" s="26" t="s">
        <v>1302</v>
      </c>
      <c r="K129" s="27" t="s">
        <v>314</v>
      </c>
      <c r="L129" s="28" t="s">
        <v>315</v>
      </c>
      <c r="M129" s="28" t="s">
        <v>249</v>
      </c>
      <c r="N129" s="25">
        <v>1</v>
      </c>
      <c r="O129" s="29">
        <v>171.7</v>
      </c>
      <c r="P129" s="29">
        <v>171.7</v>
      </c>
      <c r="Q129" s="25" t="s">
        <v>474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44"/>
        <v>171.69999999999996</v>
      </c>
      <c r="AF129" s="32">
        <f t="shared" si="45"/>
        <v>0</v>
      </c>
      <c r="AG129" s="30"/>
      <c r="AH129" s="33">
        <v>1</v>
      </c>
      <c r="AI129" s="34">
        <f t="shared" si="46"/>
        <v>171.7</v>
      </c>
      <c r="AJ129" s="35">
        <v>46045</v>
      </c>
      <c r="AK129" s="30">
        <v>1</v>
      </c>
      <c r="AL129" s="36">
        <f t="shared" si="49"/>
        <v>171.7</v>
      </c>
      <c r="AM129" s="35">
        <v>46057</v>
      </c>
      <c r="AN129" s="30">
        <v>1</v>
      </c>
      <c r="AO129" s="36">
        <f t="shared" si="50"/>
        <v>171.7</v>
      </c>
      <c r="AP129" s="35">
        <v>46164</v>
      </c>
      <c r="AQ129" s="30">
        <v>1</v>
      </c>
      <c r="AR129" s="36">
        <f t="shared" si="47"/>
        <v>171.7</v>
      </c>
      <c r="AS129" s="27" t="s">
        <v>1295</v>
      </c>
      <c r="AT129" s="37">
        <v>46207</v>
      </c>
      <c r="AU129" s="30">
        <v>1</v>
      </c>
      <c r="AV129" s="36">
        <f t="shared" si="48"/>
        <v>171.7</v>
      </c>
      <c r="AW129" s="35">
        <v>46211</v>
      </c>
      <c r="AX129" s="30">
        <v>1</v>
      </c>
      <c r="AY129" s="32">
        <f t="shared" si="55"/>
        <v>171.7</v>
      </c>
      <c r="AZ129" s="30" t="s">
        <v>85</v>
      </c>
      <c r="BA129" s="63" t="s">
        <v>1297</v>
      </c>
      <c r="BB129" s="71"/>
      <c r="BC129" s="71" t="s">
        <v>315</v>
      </c>
      <c r="BD129" s="71"/>
    </row>
    <row r="130" spans="1:56" x14ac:dyDescent="0.25">
      <c r="A130" s="24">
        <f>IF(B130="","",SUBTOTAL(3,$B$4:B130))</f>
        <v>126</v>
      </c>
      <c r="B130" s="25" t="s">
        <v>77</v>
      </c>
      <c r="C130" s="25" t="str">
        <f t="shared" si="39"/>
        <v>Shipment 1 400</v>
      </c>
      <c r="D130" s="25" t="s">
        <v>76</v>
      </c>
      <c r="E130" s="25">
        <v>400</v>
      </c>
      <c r="F130" s="25"/>
      <c r="G130" s="65">
        <v>45990</v>
      </c>
      <c r="H130" s="25" t="s">
        <v>1257</v>
      </c>
      <c r="I130" s="25" t="s">
        <v>1254</v>
      </c>
      <c r="J130" s="26" t="s">
        <v>1302</v>
      </c>
      <c r="K130" s="27" t="s">
        <v>316</v>
      </c>
      <c r="L130" s="28" t="s">
        <v>317</v>
      </c>
      <c r="M130" s="28" t="s">
        <v>246</v>
      </c>
      <c r="N130" s="25">
        <v>1</v>
      </c>
      <c r="O130" s="29">
        <v>101.2</v>
      </c>
      <c r="P130" s="29">
        <v>101.2</v>
      </c>
      <c r="Q130" s="25" t="s">
        <v>476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44"/>
        <v>101.20000000000002</v>
      </c>
      <c r="AF130" s="32">
        <f t="shared" si="45"/>
        <v>0</v>
      </c>
      <c r="AG130" s="30"/>
      <c r="AH130" s="33">
        <v>1</v>
      </c>
      <c r="AI130" s="34">
        <f t="shared" si="46"/>
        <v>101.2</v>
      </c>
      <c r="AJ130" s="35">
        <v>46045</v>
      </c>
      <c r="AK130" s="30">
        <v>1</v>
      </c>
      <c r="AL130" s="36">
        <f t="shared" si="49"/>
        <v>101.2</v>
      </c>
      <c r="AM130" s="35">
        <v>46057</v>
      </c>
      <c r="AN130" s="30">
        <v>1</v>
      </c>
      <c r="AO130" s="36">
        <f t="shared" si="50"/>
        <v>101.2</v>
      </c>
      <c r="AP130" s="35">
        <v>46164</v>
      </c>
      <c r="AQ130" s="30">
        <v>1</v>
      </c>
      <c r="AR130" s="36">
        <f t="shared" si="47"/>
        <v>101.2</v>
      </c>
      <c r="AS130" s="27" t="s">
        <v>1295</v>
      </c>
      <c r="AT130" s="37">
        <v>46207</v>
      </c>
      <c r="AU130" s="30">
        <v>1</v>
      </c>
      <c r="AV130" s="36">
        <f t="shared" si="48"/>
        <v>101.2</v>
      </c>
      <c r="AW130" s="35">
        <v>46211</v>
      </c>
      <c r="AX130" s="30">
        <v>1</v>
      </c>
      <c r="AY130" s="32">
        <f t="shared" si="55"/>
        <v>101.2</v>
      </c>
      <c r="AZ130" s="30" t="s">
        <v>85</v>
      </c>
      <c r="BA130" s="63" t="s">
        <v>1297</v>
      </c>
      <c r="BB130" s="71"/>
      <c r="BC130" s="71" t="s">
        <v>317</v>
      </c>
      <c r="BD130" s="71"/>
    </row>
    <row r="131" spans="1:56" x14ac:dyDescent="0.25">
      <c r="A131" s="24">
        <f>IF(B131="","",SUBTOTAL(3,$B$4:B131))</f>
        <v>127</v>
      </c>
      <c r="B131" s="25" t="s">
        <v>77</v>
      </c>
      <c r="C131" s="25" t="str">
        <f t="shared" si="39"/>
        <v>Shipment 1 400</v>
      </c>
      <c r="D131" s="25" t="s">
        <v>76</v>
      </c>
      <c r="E131" s="25">
        <v>400</v>
      </c>
      <c r="F131" s="25"/>
      <c r="G131" s="65">
        <v>45990</v>
      </c>
      <c r="H131" s="25" t="s">
        <v>1257</v>
      </c>
      <c r="I131" s="25" t="s">
        <v>1254</v>
      </c>
      <c r="J131" s="26" t="s">
        <v>1302</v>
      </c>
      <c r="K131" s="27" t="s">
        <v>318</v>
      </c>
      <c r="L131" s="28" t="s">
        <v>319</v>
      </c>
      <c r="M131" s="28" t="s">
        <v>249</v>
      </c>
      <c r="N131" s="25">
        <v>1</v>
      </c>
      <c r="O131" s="29">
        <v>428.9</v>
      </c>
      <c r="P131" s="29">
        <v>428.9</v>
      </c>
      <c r="Q131" s="25" t="s">
        <v>477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44"/>
        <v>428.9</v>
      </c>
      <c r="AF131" s="32">
        <f t="shared" si="45"/>
        <v>0</v>
      </c>
      <c r="AG131" s="30"/>
      <c r="AH131" s="33">
        <v>1</v>
      </c>
      <c r="AI131" s="34">
        <f t="shared" si="46"/>
        <v>428.9</v>
      </c>
      <c r="AJ131" s="35">
        <v>46045</v>
      </c>
      <c r="AK131" s="30">
        <v>1</v>
      </c>
      <c r="AL131" s="36">
        <f t="shared" si="49"/>
        <v>428.9</v>
      </c>
      <c r="AM131" s="35">
        <v>46057</v>
      </c>
      <c r="AN131" s="30">
        <v>1</v>
      </c>
      <c r="AO131" s="36">
        <f t="shared" si="50"/>
        <v>428.9</v>
      </c>
      <c r="AP131" s="35">
        <v>46164</v>
      </c>
      <c r="AQ131" s="30">
        <v>1</v>
      </c>
      <c r="AR131" s="36">
        <f t="shared" si="47"/>
        <v>428.9</v>
      </c>
      <c r="AS131" s="27" t="s">
        <v>1295</v>
      </c>
      <c r="AT131" s="37">
        <v>46207</v>
      </c>
      <c r="AU131" s="30">
        <v>1</v>
      </c>
      <c r="AV131" s="36">
        <f t="shared" si="48"/>
        <v>428.9</v>
      </c>
      <c r="AW131" s="35">
        <v>46211</v>
      </c>
      <c r="AX131" s="30">
        <v>1</v>
      </c>
      <c r="AY131" s="32">
        <f t="shared" si="55"/>
        <v>428.9</v>
      </c>
      <c r="AZ131" s="30" t="s">
        <v>85</v>
      </c>
      <c r="BA131" s="63" t="s">
        <v>1297</v>
      </c>
      <c r="BB131" s="71"/>
      <c r="BC131" s="71" t="s">
        <v>319</v>
      </c>
      <c r="BD131" s="71"/>
    </row>
    <row r="132" spans="1:56" x14ac:dyDescent="0.25">
      <c r="A132" s="24">
        <f>IF(B132="","",SUBTOTAL(3,$B$4:B132))</f>
        <v>128</v>
      </c>
      <c r="B132" s="25" t="s">
        <v>77</v>
      </c>
      <c r="C132" s="25" t="str">
        <f t="shared" si="39"/>
        <v>Shipment 1 400</v>
      </c>
      <c r="D132" s="25" t="s">
        <v>76</v>
      </c>
      <c r="E132" s="25">
        <v>400</v>
      </c>
      <c r="F132" s="25"/>
      <c r="G132" s="65">
        <v>45990</v>
      </c>
      <c r="H132" s="25" t="s">
        <v>1257</v>
      </c>
      <c r="I132" s="25" t="s">
        <v>1254</v>
      </c>
      <c r="J132" s="26" t="s">
        <v>1302</v>
      </c>
      <c r="K132" s="27" t="s">
        <v>320</v>
      </c>
      <c r="L132" s="28" t="s">
        <v>321</v>
      </c>
      <c r="M132" s="28" t="s">
        <v>249</v>
      </c>
      <c r="N132" s="25">
        <v>1</v>
      </c>
      <c r="O132" s="29">
        <v>428.7</v>
      </c>
      <c r="P132" s="29">
        <v>428.7</v>
      </c>
      <c r="Q132" s="25" t="s">
        <v>477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44"/>
        <v>428.70000000000005</v>
      </c>
      <c r="AF132" s="32">
        <f t="shared" si="45"/>
        <v>0</v>
      </c>
      <c r="AG132" s="30"/>
      <c r="AH132" s="33">
        <v>1</v>
      </c>
      <c r="AI132" s="34">
        <f t="shared" si="46"/>
        <v>428.7</v>
      </c>
      <c r="AJ132" s="35">
        <v>46045</v>
      </c>
      <c r="AK132" s="30">
        <v>1</v>
      </c>
      <c r="AL132" s="36">
        <f t="shared" si="49"/>
        <v>428.7</v>
      </c>
      <c r="AM132" s="35">
        <v>46057</v>
      </c>
      <c r="AN132" s="30">
        <v>1</v>
      </c>
      <c r="AO132" s="36">
        <f t="shared" si="50"/>
        <v>428.7</v>
      </c>
      <c r="AP132" s="35">
        <v>46164</v>
      </c>
      <c r="AQ132" s="30">
        <v>1</v>
      </c>
      <c r="AR132" s="36">
        <f t="shared" si="47"/>
        <v>428.7</v>
      </c>
      <c r="AS132" s="27" t="s">
        <v>1295</v>
      </c>
      <c r="AT132" s="37">
        <v>46207</v>
      </c>
      <c r="AU132" s="30">
        <v>1</v>
      </c>
      <c r="AV132" s="36">
        <f t="shared" si="48"/>
        <v>428.7</v>
      </c>
      <c r="AW132" s="35">
        <v>46211</v>
      </c>
      <c r="AX132" s="30">
        <v>1</v>
      </c>
      <c r="AY132" s="32">
        <f t="shared" si="55"/>
        <v>428.7</v>
      </c>
      <c r="AZ132" s="30" t="s">
        <v>85</v>
      </c>
      <c r="BA132" s="63" t="s">
        <v>1297</v>
      </c>
      <c r="BB132" s="71"/>
      <c r="BC132" s="71" t="s">
        <v>321</v>
      </c>
      <c r="BD132" s="71"/>
    </row>
    <row r="133" spans="1:56" x14ac:dyDescent="0.25">
      <c r="A133" s="24">
        <f>IF(B133="","",SUBTOTAL(3,$B$4:B133))</f>
        <v>129</v>
      </c>
      <c r="B133" s="25" t="s">
        <v>77</v>
      </c>
      <c r="C133" s="25" t="str">
        <f t="shared" si="39"/>
        <v>Shipment 1 400</v>
      </c>
      <c r="D133" s="25" t="s">
        <v>76</v>
      </c>
      <c r="E133" s="25">
        <v>400</v>
      </c>
      <c r="F133" s="25"/>
      <c r="G133" s="65">
        <v>45990</v>
      </c>
      <c r="H133" s="25" t="s">
        <v>1257</v>
      </c>
      <c r="I133" s="25" t="s">
        <v>1254</v>
      </c>
      <c r="J133" s="26" t="s">
        <v>1302</v>
      </c>
      <c r="K133" s="27" t="s">
        <v>322</v>
      </c>
      <c r="L133" s="28" t="s">
        <v>323</v>
      </c>
      <c r="M133" s="28" t="s">
        <v>266</v>
      </c>
      <c r="N133" s="25">
        <v>1</v>
      </c>
      <c r="O133" s="29">
        <v>35.799999999999997</v>
      </c>
      <c r="P133" s="29">
        <v>35.799999999999997</v>
      </c>
      <c r="Q133" s="25" t="s">
        <v>478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44"/>
        <v>35.799999999999997</v>
      </c>
      <c r="AF133" s="32">
        <f t="shared" si="45"/>
        <v>0</v>
      </c>
      <c r="AG133" s="30"/>
      <c r="AH133" s="33">
        <v>1</v>
      </c>
      <c r="AI133" s="34">
        <f t="shared" si="46"/>
        <v>35.799999999999997</v>
      </c>
      <c r="AJ133" s="35">
        <v>46045</v>
      </c>
      <c r="AK133" s="30">
        <v>1</v>
      </c>
      <c r="AL133" s="36">
        <f t="shared" si="49"/>
        <v>35.799999999999997</v>
      </c>
      <c r="AM133" s="35">
        <v>46057</v>
      </c>
      <c r="AN133" s="30">
        <v>1</v>
      </c>
      <c r="AO133" s="36">
        <f t="shared" si="50"/>
        <v>35.799999999999997</v>
      </c>
      <c r="AP133" s="35">
        <v>46164</v>
      </c>
      <c r="AQ133" s="30">
        <v>1</v>
      </c>
      <c r="AR133" s="36">
        <f t="shared" si="47"/>
        <v>35.799999999999997</v>
      </c>
      <c r="AS133" s="27" t="s">
        <v>1295</v>
      </c>
      <c r="AT133" s="37">
        <v>46207</v>
      </c>
      <c r="AU133" s="30">
        <v>1</v>
      </c>
      <c r="AV133" s="36">
        <f t="shared" si="48"/>
        <v>35.799999999999997</v>
      </c>
      <c r="AW133" s="35">
        <v>46211</v>
      </c>
      <c r="AX133" s="30">
        <v>1</v>
      </c>
      <c r="AY133" s="32">
        <f t="shared" si="55"/>
        <v>35.799999999999997</v>
      </c>
      <c r="AZ133" s="30" t="s">
        <v>85</v>
      </c>
      <c r="BA133" s="63" t="s">
        <v>1297</v>
      </c>
      <c r="BB133" s="71"/>
      <c r="BC133" s="71" t="s">
        <v>323</v>
      </c>
      <c r="BD133" s="71"/>
    </row>
    <row r="134" spans="1:56" x14ac:dyDescent="0.25">
      <c r="A134" s="24">
        <f>IF(B134="","",SUBTOTAL(3,$B$4:B134))</f>
        <v>130</v>
      </c>
      <c r="B134" s="25" t="s">
        <v>77</v>
      </c>
      <c r="C134" s="25" t="str">
        <f t="shared" si="39"/>
        <v>Shipment 1 400</v>
      </c>
      <c r="D134" s="25" t="s">
        <v>76</v>
      </c>
      <c r="E134" s="25">
        <v>400</v>
      </c>
      <c r="F134" s="25"/>
      <c r="G134" s="65">
        <v>45990</v>
      </c>
      <c r="H134" s="25" t="s">
        <v>1257</v>
      </c>
      <c r="I134" s="25" t="s">
        <v>1254</v>
      </c>
      <c r="J134" s="26" t="s">
        <v>1302</v>
      </c>
      <c r="K134" s="27" t="s">
        <v>324</v>
      </c>
      <c r="L134" s="28" t="s">
        <v>325</v>
      </c>
      <c r="M134" s="28" t="s">
        <v>266</v>
      </c>
      <c r="N134" s="25">
        <v>1</v>
      </c>
      <c r="O134" s="29">
        <v>35.799999999999997</v>
      </c>
      <c r="P134" s="29">
        <v>35.799999999999997</v>
      </c>
      <c r="Q134" s="25" t="s">
        <v>478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44"/>
        <v>35.799999999999997</v>
      </c>
      <c r="AF134" s="32">
        <f t="shared" si="45"/>
        <v>0</v>
      </c>
      <c r="AG134" s="30"/>
      <c r="AH134" s="33">
        <v>1</v>
      </c>
      <c r="AI134" s="34">
        <f t="shared" si="46"/>
        <v>35.799999999999997</v>
      </c>
      <c r="AJ134" s="35">
        <v>46045</v>
      </c>
      <c r="AK134" s="30">
        <v>1</v>
      </c>
      <c r="AL134" s="36">
        <f t="shared" si="49"/>
        <v>35.799999999999997</v>
      </c>
      <c r="AM134" s="35">
        <v>46057</v>
      </c>
      <c r="AN134" s="30">
        <v>1</v>
      </c>
      <c r="AO134" s="36">
        <f t="shared" si="50"/>
        <v>35.799999999999997</v>
      </c>
      <c r="AP134" s="35">
        <v>46164</v>
      </c>
      <c r="AQ134" s="30">
        <v>1</v>
      </c>
      <c r="AR134" s="36">
        <f t="shared" si="47"/>
        <v>35.799999999999997</v>
      </c>
      <c r="AS134" s="27" t="s">
        <v>1295</v>
      </c>
      <c r="AT134" s="37">
        <v>46207</v>
      </c>
      <c r="AU134" s="30">
        <v>1</v>
      </c>
      <c r="AV134" s="36">
        <f t="shared" si="48"/>
        <v>35.799999999999997</v>
      </c>
      <c r="AW134" s="35">
        <v>46211</v>
      </c>
      <c r="AX134" s="30">
        <v>1</v>
      </c>
      <c r="AY134" s="32">
        <f t="shared" si="55"/>
        <v>35.799999999999997</v>
      </c>
      <c r="AZ134" s="30" t="s">
        <v>85</v>
      </c>
      <c r="BA134" s="63" t="s">
        <v>1297</v>
      </c>
      <c r="BB134" s="71"/>
      <c r="BC134" s="71" t="s">
        <v>325</v>
      </c>
      <c r="BD134" s="71"/>
    </row>
    <row r="135" spans="1:56" x14ac:dyDescent="0.25">
      <c r="A135" s="24">
        <f>IF(B135="","",SUBTOTAL(3,$B$4:B135))</f>
        <v>131</v>
      </c>
      <c r="B135" s="25" t="s">
        <v>77</v>
      </c>
      <c r="C135" s="25" t="str">
        <f t="shared" si="39"/>
        <v>Shipment 1 400</v>
      </c>
      <c r="D135" s="25" t="s">
        <v>76</v>
      </c>
      <c r="E135" s="25">
        <v>400</v>
      </c>
      <c r="F135" s="25"/>
      <c r="G135" s="65">
        <v>45990</v>
      </c>
      <c r="H135" s="25" t="s">
        <v>1257</v>
      </c>
      <c r="I135" s="25" t="s">
        <v>1254</v>
      </c>
      <c r="J135" s="26" t="s">
        <v>1302</v>
      </c>
      <c r="K135" s="27" t="s">
        <v>326</v>
      </c>
      <c r="L135" s="28" t="s">
        <v>327</v>
      </c>
      <c r="M135" s="28" t="s">
        <v>266</v>
      </c>
      <c r="N135" s="25">
        <v>1</v>
      </c>
      <c r="O135" s="29">
        <v>35.799999999999997</v>
      </c>
      <c r="P135" s="29">
        <v>35.799999999999997</v>
      </c>
      <c r="Q135" s="25" t="s">
        <v>479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44"/>
        <v>35.799999999999997</v>
      </c>
      <c r="AF135" s="32">
        <f t="shared" si="45"/>
        <v>0</v>
      </c>
      <c r="AG135" s="30"/>
      <c r="AH135" s="33">
        <v>1</v>
      </c>
      <c r="AI135" s="34">
        <f t="shared" si="46"/>
        <v>35.799999999999997</v>
      </c>
      <c r="AJ135" s="35">
        <v>46045</v>
      </c>
      <c r="AK135" s="30">
        <v>1</v>
      </c>
      <c r="AL135" s="36">
        <f t="shared" si="49"/>
        <v>35.799999999999997</v>
      </c>
      <c r="AM135" s="35">
        <v>46057</v>
      </c>
      <c r="AN135" s="30">
        <v>1</v>
      </c>
      <c r="AO135" s="36">
        <f t="shared" si="50"/>
        <v>35.799999999999997</v>
      </c>
      <c r="AP135" s="35">
        <v>46164</v>
      </c>
      <c r="AQ135" s="30">
        <v>1</v>
      </c>
      <c r="AR135" s="36">
        <f t="shared" si="47"/>
        <v>35.799999999999997</v>
      </c>
      <c r="AS135" s="27" t="s">
        <v>1295</v>
      </c>
      <c r="AT135" s="37">
        <v>46207</v>
      </c>
      <c r="AU135" s="30">
        <v>1</v>
      </c>
      <c r="AV135" s="36">
        <f t="shared" si="48"/>
        <v>35.799999999999997</v>
      </c>
      <c r="AW135" s="35">
        <v>46211</v>
      </c>
      <c r="AX135" s="30">
        <v>1</v>
      </c>
      <c r="AY135" s="32">
        <f t="shared" si="55"/>
        <v>35.799999999999997</v>
      </c>
      <c r="AZ135" s="30" t="s">
        <v>85</v>
      </c>
      <c r="BA135" s="63" t="s">
        <v>1297</v>
      </c>
      <c r="BB135" s="71"/>
      <c r="BC135" s="71" t="s">
        <v>327</v>
      </c>
      <c r="BD135" s="71"/>
    </row>
    <row r="136" spans="1:56" x14ac:dyDescent="0.25">
      <c r="A136" s="24">
        <f>IF(B136="","",SUBTOTAL(3,$B$4:B136))</f>
        <v>132</v>
      </c>
      <c r="B136" s="25" t="s">
        <v>77</v>
      </c>
      <c r="C136" s="25" t="str">
        <f t="shared" si="39"/>
        <v>Shipment 1 400</v>
      </c>
      <c r="D136" s="25" t="s">
        <v>76</v>
      </c>
      <c r="E136" s="25">
        <v>400</v>
      </c>
      <c r="F136" s="25"/>
      <c r="G136" s="65">
        <v>45990</v>
      </c>
      <c r="H136" s="25" t="s">
        <v>1257</v>
      </c>
      <c r="I136" s="25" t="s">
        <v>1254</v>
      </c>
      <c r="J136" s="26" t="s">
        <v>1302</v>
      </c>
      <c r="K136" s="27" t="s">
        <v>328</v>
      </c>
      <c r="L136" s="28" t="s">
        <v>329</v>
      </c>
      <c r="M136" s="28" t="s">
        <v>266</v>
      </c>
      <c r="N136" s="25">
        <v>1</v>
      </c>
      <c r="O136" s="29">
        <v>35.799999999999997</v>
      </c>
      <c r="P136" s="29">
        <v>35.799999999999997</v>
      </c>
      <c r="Q136" s="25" t="s">
        <v>479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44"/>
        <v>35.799999999999997</v>
      </c>
      <c r="AF136" s="32">
        <f t="shared" si="45"/>
        <v>0</v>
      </c>
      <c r="AG136" s="30"/>
      <c r="AH136" s="33">
        <v>1</v>
      </c>
      <c r="AI136" s="34">
        <f t="shared" si="46"/>
        <v>35.799999999999997</v>
      </c>
      <c r="AJ136" s="35">
        <v>46045</v>
      </c>
      <c r="AK136" s="30">
        <v>1</v>
      </c>
      <c r="AL136" s="36">
        <f t="shared" si="49"/>
        <v>35.799999999999997</v>
      </c>
      <c r="AM136" s="35">
        <v>46057</v>
      </c>
      <c r="AN136" s="30">
        <v>1</v>
      </c>
      <c r="AO136" s="36">
        <f t="shared" si="50"/>
        <v>35.799999999999997</v>
      </c>
      <c r="AP136" s="35">
        <v>46164</v>
      </c>
      <c r="AQ136" s="30">
        <v>1</v>
      </c>
      <c r="AR136" s="36">
        <f t="shared" si="47"/>
        <v>35.799999999999997</v>
      </c>
      <c r="AS136" s="27" t="s">
        <v>1295</v>
      </c>
      <c r="AT136" s="37">
        <v>46207</v>
      </c>
      <c r="AU136" s="30">
        <v>1</v>
      </c>
      <c r="AV136" s="36">
        <f t="shared" si="48"/>
        <v>35.799999999999997</v>
      </c>
      <c r="AW136" s="35">
        <v>46211</v>
      </c>
      <c r="AX136" s="30">
        <v>1</v>
      </c>
      <c r="AY136" s="32">
        <f t="shared" si="55"/>
        <v>35.799999999999997</v>
      </c>
      <c r="AZ136" s="30" t="s">
        <v>85</v>
      </c>
      <c r="BA136" s="63" t="s">
        <v>1297</v>
      </c>
      <c r="BB136" s="71"/>
      <c r="BC136" s="71" t="s">
        <v>329</v>
      </c>
      <c r="BD136" s="71"/>
    </row>
    <row r="137" spans="1:56" x14ac:dyDescent="0.25">
      <c r="A137" s="24">
        <f>IF(B137="","",SUBTOTAL(3,$B$4:B137))</f>
        <v>133</v>
      </c>
      <c r="B137" s="25" t="s">
        <v>77</v>
      </c>
      <c r="C137" s="25" t="str">
        <f t="shared" ref="C137:C194" si="56">D137&amp;" "&amp;E137</f>
        <v>Shipment 1 400</v>
      </c>
      <c r="D137" s="25" t="s">
        <v>76</v>
      </c>
      <c r="E137" s="25">
        <v>400</v>
      </c>
      <c r="F137" s="25"/>
      <c r="G137" s="65">
        <v>45990</v>
      </c>
      <c r="H137" s="25" t="s">
        <v>1257</v>
      </c>
      <c r="I137" s="25" t="s">
        <v>1254</v>
      </c>
      <c r="J137" s="26" t="s">
        <v>1302</v>
      </c>
      <c r="K137" s="27" t="s">
        <v>330</v>
      </c>
      <c r="L137" s="28" t="s">
        <v>331</v>
      </c>
      <c r="M137" s="28" t="s">
        <v>266</v>
      </c>
      <c r="N137" s="25">
        <v>1</v>
      </c>
      <c r="O137" s="29">
        <v>35.799999999999997</v>
      </c>
      <c r="P137" s="29">
        <v>35.799999999999997</v>
      </c>
      <c r="Q137" s="25" t="s">
        <v>478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44"/>
        <v>35.799999999999997</v>
      </c>
      <c r="AF137" s="32">
        <f t="shared" si="45"/>
        <v>0</v>
      </c>
      <c r="AG137" s="30"/>
      <c r="AH137" s="33">
        <v>1</v>
      </c>
      <c r="AI137" s="34">
        <f t="shared" si="46"/>
        <v>35.799999999999997</v>
      </c>
      <c r="AJ137" s="35">
        <v>46045</v>
      </c>
      <c r="AK137" s="30">
        <v>1</v>
      </c>
      <c r="AL137" s="36">
        <f t="shared" si="49"/>
        <v>35.799999999999997</v>
      </c>
      <c r="AM137" s="35">
        <v>46057</v>
      </c>
      <c r="AN137" s="30">
        <v>1</v>
      </c>
      <c r="AO137" s="36">
        <f t="shared" si="50"/>
        <v>35.799999999999997</v>
      </c>
      <c r="AP137" s="35">
        <v>46164</v>
      </c>
      <c r="AQ137" s="30">
        <v>1</v>
      </c>
      <c r="AR137" s="36">
        <f t="shared" si="47"/>
        <v>35.799999999999997</v>
      </c>
      <c r="AS137" s="27" t="s">
        <v>1295</v>
      </c>
      <c r="AT137" s="37">
        <v>46207</v>
      </c>
      <c r="AU137" s="30">
        <v>1</v>
      </c>
      <c r="AV137" s="36">
        <f t="shared" si="48"/>
        <v>35.799999999999997</v>
      </c>
      <c r="AW137" s="35">
        <v>46211</v>
      </c>
      <c r="AX137" s="30">
        <v>1</v>
      </c>
      <c r="AY137" s="32">
        <f t="shared" si="55"/>
        <v>35.799999999999997</v>
      </c>
      <c r="AZ137" s="30" t="s">
        <v>85</v>
      </c>
      <c r="BA137" s="63" t="s">
        <v>1297</v>
      </c>
      <c r="BB137" s="71"/>
      <c r="BC137" s="71" t="s">
        <v>331</v>
      </c>
      <c r="BD137" s="71"/>
    </row>
    <row r="138" spans="1:56" x14ac:dyDescent="0.25">
      <c r="A138" s="24">
        <f>IF(B138="","",SUBTOTAL(3,$B$4:B138))</f>
        <v>134</v>
      </c>
      <c r="B138" s="25" t="s">
        <v>77</v>
      </c>
      <c r="C138" s="25" t="str">
        <f t="shared" si="56"/>
        <v>Shipment 1 400</v>
      </c>
      <c r="D138" s="25" t="s">
        <v>76</v>
      </c>
      <c r="E138" s="25">
        <v>400</v>
      </c>
      <c r="F138" s="25"/>
      <c r="G138" s="65">
        <v>45990</v>
      </c>
      <c r="H138" s="25" t="s">
        <v>1257</v>
      </c>
      <c r="I138" s="25" t="s">
        <v>1254</v>
      </c>
      <c r="J138" s="26" t="s">
        <v>1302</v>
      </c>
      <c r="K138" s="27" t="s">
        <v>332</v>
      </c>
      <c r="L138" s="28" t="s">
        <v>333</v>
      </c>
      <c r="M138" s="28" t="s">
        <v>266</v>
      </c>
      <c r="N138" s="25">
        <v>1</v>
      </c>
      <c r="O138" s="29">
        <v>35.799999999999997</v>
      </c>
      <c r="P138" s="29">
        <v>35.799999999999997</v>
      </c>
      <c r="Q138" s="25" t="s">
        <v>478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44"/>
        <v>35.799999999999997</v>
      </c>
      <c r="AF138" s="32">
        <f t="shared" si="45"/>
        <v>0</v>
      </c>
      <c r="AG138" s="30"/>
      <c r="AH138" s="33">
        <v>1</v>
      </c>
      <c r="AI138" s="34">
        <f t="shared" si="46"/>
        <v>35.799999999999997</v>
      </c>
      <c r="AJ138" s="35">
        <v>46045</v>
      </c>
      <c r="AK138" s="30">
        <v>1</v>
      </c>
      <c r="AL138" s="36">
        <f t="shared" si="49"/>
        <v>35.799999999999997</v>
      </c>
      <c r="AM138" s="35">
        <v>46057</v>
      </c>
      <c r="AN138" s="30">
        <v>1</v>
      </c>
      <c r="AO138" s="36">
        <f t="shared" si="50"/>
        <v>35.799999999999997</v>
      </c>
      <c r="AP138" s="35">
        <v>46164</v>
      </c>
      <c r="AQ138" s="30">
        <v>1</v>
      </c>
      <c r="AR138" s="36">
        <f t="shared" si="47"/>
        <v>35.799999999999997</v>
      </c>
      <c r="AS138" s="27" t="s">
        <v>1295</v>
      </c>
      <c r="AT138" s="37">
        <v>46207</v>
      </c>
      <c r="AU138" s="30">
        <v>1</v>
      </c>
      <c r="AV138" s="36">
        <f t="shared" si="48"/>
        <v>35.799999999999997</v>
      </c>
      <c r="AW138" s="35">
        <v>46211</v>
      </c>
      <c r="AX138" s="30">
        <v>1</v>
      </c>
      <c r="AY138" s="32">
        <f t="shared" si="55"/>
        <v>35.799999999999997</v>
      </c>
      <c r="AZ138" s="30" t="s">
        <v>85</v>
      </c>
      <c r="BA138" s="63" t="s">
        <v>1297</v>
      </c>
      <c r="BB138" s="71"/>
      <c r="BC138" s="71" t="s">
        <v>333</v>
      </c>
      <c r="BD138" s="71"/>
    </row>
    <row r="139" spans="1:56" x14ac:dyDescent="0.25">
      <c r="A139" s="24">
        <f>IF(B139="","",SUBTOTAL(3,$B$4:B139))</f>
        <v>135</v>
      </c>
      <c r="B139" s="25" t="s">
        <v>77</v>
      </c>
      <c r="C139" s="25" t="str">
        <f t="shared" si="56"/>
        <v>Shipment 1 400</v>
      </c>
      <c r="D139" s="25" t="s">
        <v>76</v>
      </c>
      <c r="E139" s="25">
        <v>400</v>
      </c>
      <c r="F139" s="25"/>
      <c r="G139" s="65">
        <v>45990</v>
      </c>
      <c r="H139" s="25" t="s">
        <v>1257</v>
      </c>
      <c r="I139" s="25" t="s">
        <v>1254</v>
      </c>
      <c r="J139" s="26" t="s">
        <v>1302</v>
      </c>
      <c r="K139" s="27" t="s">
        <v>334</v>
      </c>
      <c r="L139" s="28" t="s">
        <v>335</v>
      </c>
      <c r="M139" s="28" t="s">
        <v>266</v>
      </c>
      <c r="N139" s="25">
        <v>1</v>
      </c>
      <c r="O139" s="29">
        <v>35.799999999999997</v>
      </c>
      <c r="P139" s="29">
        <v>35.799999999999997</v>
      </c>
      <c r="Q139" s="25" t="s">
        <v>479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44"/>
        <v>35.799999999999997</v>
      </c>
      <c r="AF139" s="32">
        <f t="shared" si="45"/>
        <v>0</v>
      </c>
      <c r="AG139" s="30"/>
      <c r="AH139" s="33">
        <v>1</v>
      </c>
      <c r="AI139" s="34">
        <f t="shared" si="46"/>
        <v>35.799999999999997</v>
      </c>
      <c r="AJ139" s="35">
        <v>46045</v>
      </c>
      <c r="AK139" s="30">
        <v>1</v>
      </c>
      <c r="AL139" s="36">
        <f t="shared" si="49"/>
        <v>35.799999999999997</v>
      </c>
      <c r="AM139" s="35">
        <v>46057</v>
      </c>
      <c r="AN139" s="30">
        <v>1</v>
      </c>
      <c r="AO139" s="36">
        <f t="shared" si="50"/>
        <v>35.799999999999997</v>
      </c>
      <c r="AP139" s="35">
        <v>46164</v>
      </c>
      <c r="AQ139" s="30">
        <v>1</v>
      </c>
      <c r="AR139" s="36">
        <f t="shared" si="47"/>
        <v>35.799999999999997</v>
      </c>
      <c r="AS139" s="27" t="s">
        <v>1295</v>
      </c>
      <c r="AT139" s="37">
        <v>46207</v>
      </c>
      <c r="AU139" s="30">
        <v>1</v>
      </c>
      <c r="AV139" s="36">
        <f t="shared" si="48"/>
        <v>35.799999999999997</v>
      </c>
      <c r="AW139" s="35">
        <v>46211</v>
      </c>
      <c r="AX139" s="30">
        <v>1</v>
      </c>
      <c r="AY139" s="32">
        <f t="shared" si="55"/>
        <v>35.799999999999997</v>
      </c>
      <c r="AZ139" s="30" t="s">
        <v>85</v>
      </c>
      <c r="BA139" s="63" t="s">
        <v>1297</v>
      </c>
      <c r="BB139" s="71"/>
      <c r="BC139" s="71" t="s">
        <v>335</v>
      </c>
      <c r="BD139" s="71"/>
    </row>
    <row r="140" spans="1:56" x14ac:dyDescent="0.25">
      <c r="A140" s="24">
        <f>IF(B140="","",SUBTOTAL(3,$B$4:B140))</f>
        <v>136</v>
      </c>
      <c r="B140" s="25" t="s">
        <v>77</v>
      </c>
      <c r="C140" s="25" t="str">
        <f t="shared" si="56"/>
        <v>Shipment 1 400</v>
      </c>
      <c r="D140" s="25" t="s">
        <v>76</v>
      </c>
      <c r="E140" s="25">
        <v>400</v>
      </c>
      <c r="F140" s="25"/>
      <c r="G140" s="65">
        <v>45990</v>
      </c>
      <c r="H140" s="25" t="s">
        <v>1257</v>
      </c>
      <c r="I140" s="25" t="s">
        <v>1254</v>
      </c>
      <c r="J140" s="26" t="s">
        <v>1302</v>
      </c>
      <c r="K140" s="27" t="s">
        <v>336</v>
      </c>
      <c r="L140" s="28" t="s">
        <v>337</v>
      </c>
      <c r="M140" s="28" t="s">
        <v>266</v>
      </c>
      <c r="N140" s="25">
        <v>1</v>
      </c>
      <c r="O140" s="29">
        <v>35.799999999999997</v>
      </c>
      <c r="P140" s="29">
        <v>35.799999999999997</v>
      </c>
      <c r="Q140" s="25" t="s">
        <v>479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44"/>
        <v>35.799999999999997</v>
      </c>
      <c r="AF140" s="32">
        <f t="shared" si="45"/>
        <v>0</v>
      </c>
      <c r="AG140" s="30"/>
      <c r="AH140" s="33">
        <v>1</v>
      </c>
      <c r="AI140" s="34">
        <f t="shared" si="46"/>
        <v>35.799999999999997</v>
      </c>
      <c r="AJ140" s="35">
        <v>46045</v>
      </c>
      <c r="AK140" s="30">
        <v>1</v>
      </c>
      <c r="AL140" s="36">
        <f t="shared" si="49"/>
        <v>35.799999999999997</v>
      </c>
      <c r="AM140" s="35">
        <v>46057</v>
      </c>
      <c r="AN140" s="30">
        <v>1</v>
      </c>
      <c r="AO140" s="36">
        <f t="shared" si="50"/>
        <v>35.799999999999997</v>
      </c>
      <c r="AP140" s="35">
        <v>46164</v>
      </c>
      <c r="AQ140" s="30">
        <v>1</v>
      </c>
      <c r="AR140" s="36">
        <f t="shared" si="47"/>
        <v>35.799999999999997</v>
      </c>
      <c r="AS140" s="27" t="s">
        <v>1295</v>
      </c>
      <c r="AT140" s="37">
        <v>46207</v>
      </c>
      <c r="AU140" s="30">
        <v>1</v>
      </c>
      <c r="AV140" s="36">
        <f t="shared" si="48"/>
        <v>35.799999999999997</v>
      </c>
      <c r="AW140" s="35">
        <v>46211</v>
      </c>
      <c r="AX140" s="30">
        <v>1</v>
      </c>
      <c r="AY140" s="32">
        <f t="shared" si="55"/>
        <v>35.799999999999997</v>
      </c>
      <c r="AZ140" s="30" t="s">
        <v>85</v>
      </c>
      <c r="BA140" s="63" t="s">
        <v>1297</v>
      </c>
      <c r="BB140" s="71"/>
      <c r="BC140" s="71" t="s">
        <v>337</v>
      </c>
      <c r="BD140" s="71"/>
    </row>
    <row r="141" spans="1:56" x14ac:dyDescent="0.25">
      <c r="A141" s="24">
        <f>IF(B141="","",SUBTOTAL(3,$B$4:B141))</f>
        <v>137</v>
      </c>
      <c r="B141" s="25" t="s">
        <v>77</v>
      </c>
      <c r="C141" s="25" t="str">
        <f t="shared" si="56"/>
        <v>Shipment 1 400</v>
      </c>
      <c r="D141" s="25" t="s">
        <v>76</v>
      </c>
      <c r="E141" s="25">
        <v>400</v>
      </c>
      <c r="F141" s="25"/>
      <c r="G141" s="65">
        <v>45990</v>
      </c>
      <c r="H141" s="25" t="s">
        <v>1257</v>
      </c>
      <c r="I141" s="25" t="s">
        <v>1254</v>
      </c>
      <c r="J141" s="26" t="s">
        <v>1302</v>
      </c>
      <c r="K141" s="27" t="s">
        <v>338</v>
      </c>
      <c r="L141" s="28" t="s">
        <v>339</v>
      </c>
      <c r="M141" s="28" t="s">
        <v>266</v>
      </c>
      <c r="N141" s="25">
        <v>1</v>
      </c>
      <c r="O141" s="29">
        <v>9.8000000000000007</v>
      </c>
      <c r="P141" s="29">
        <v>9.8000000000000007</v>
      </c>
      <c r="Q141" s="25" t="s">
        <v>480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44"/>
        <v>9.8000000000000007</v>
      </c>
      <c r="AF141" s="32">
        <f t="shared" si="45"/>
        <v>0</v>
      </c>
      <c r="AG141" s="30"/>
      <c r="AH141" s="33">
        <v>1</v>
      </c>
      <c r="AI141" s="34">
        <f t="shared" si="46"/>
        <v>9.8000000000000007</v>
      </c>
      <c r="AJ141" s="35">
        <v>46045</v>
      </c>
      <c r="AK141" s="30">
        <v>1</v>
      </c>
      <c r="AL141" s="36">
        <f t="shared" si="49"/>
        <v>9.8000000000000007</v>
      </c>
      <c r="AM141" s="35">
        <v>46057</v>
      </c>
      <c r="AN141" s="30">
        <v>1</v>
      </c>
      <c r="AO141" s="36">
        <f t="shared" si="50"/>
        <v>9.8000000000000007</v>
      </c>
      <c r="AP141" s="35">
        <v>46164</v>
      </c>
      <c r="AQ141" s="30">
        <v>1</v>
      </c>
      <c r="AR141" s="36">
        <f t="shared" si="47"/>
        <v>9.8000000000000007</v>
      </c>
      <c r="AS141" s="27" t="s">
        <v>1303</v>
      </c>
      <c r="AT141" s="37">
        <v>46213</v>
      </c>
      <c r="AU141" s="30">
        <v>1</v>
      </c>
      <c r="AV141" s="36">
        <f t="shared" si="48"/>
        <v>9.8000000000000007</v>
      </c>
      <c r="AW141" s="35">
        <v>46218</v>
      </c>
      <c r="AX141" s="30">
        <v>1</v>
      </c>
      <c r="AY141" s="32">
        <f t="shared" si="55"/>
        <v>9.8000000000000007</v>
      </c>
      <c r="AZ141" s="30" t="s">
        <v>85</v>
      </c>
      <c r="BA141" s="63" t="s">
        <v>1310</v>
      </c>
      <c r="BB141" s="71"/>
      <c r="BC141" s="71" t="s">
        <v>1321</v>
      </c>
      <c r="BD141" s="71"/>
    </row>
    <row r="142" spans="1:56" x14ac:dyDescent="0.25">
      <c r="A142" s="24">
        <f>IF(B142="","",SUBTOTAL(3,$B$4:B142))</f>
        <v>138</v>
      </c>
      <c r="B142" s="25" t="s">
        <v>77</v>
      </c>
      <c r="C142" s="25" t="str">
        <f t="shared" si="56"/>
        <v>Shipment 1 400</v>
      </c>
      <c r="D142" s="25" t="s">
        <v>76</v>
      </c>
      <c r="E142" s="25">
        <v>400</v>
      </c>
      <c r="F142" s="25"/>
      <c r="G142" s="65">
        <v>45990</v>
      </c>
      <c r="H142" s="25" t="s">
        <v>1257</v>
      </c>
      <c r="I142" s="25" t="s">
        <v>1254</v>
      </c>
      <c r="J142" s="26" t="s">
        <v>1302</v>
      </c>
      <c r="K142" s="27" t="s">
        <v>338</v>
      </c>
      <c r="L142" s="28" t="s">
        <v>340</v>
      </c>
      <c r="M142" s="28" t="s">
        <v>266</v>
      </c>
      <c r="N142" s="25">
        <v>1</v>
      </c>
      <c r="O142" s="29">
        <v>9.8000000000000007</v>
      </c>
      <c r="P142" s="29">
        <v>9.8000000000000007</v>
      </c>
      <c r="Q142" s="25" t="s">
        <v>480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44"/>
        <v>9.8000000000000007</v>
      </c>
      <c r="AF142" s="32">
        <f t="shared" si="45"/>
        <v>0</v>
      </c>
      <c r="AG142" s="30"/>
      <c r="AH142" s="33">
        <v>1</v>
      </c>
      <c r="AI142" s="34">
        <f t="shared" si="46"/>
        <v>9.8000000000000007</v>
      </c>
      <c r="AJ142" s="35">
        <v>46045</v>
      </c>
      <c r="AK142" s="30">
        <v>1</v>
      </c>
      <c r="AL142" s="36">
        <f t="shared" si="49"/>
        <v>9.8000000000000007</v>
      </c>
      <c r="AM142" s="35">
        <v>46057</v>
      </c>
      <c r="AN142" s="30">
        <v>1</v>
      </c>
      <c r="AO142" s="36">
        <f t="shared" si="50"/>
        <v>9.8000000000000007</v>
      </c>
      <c r="AP142" s="35">
        <v>46164</v>
      </c>
      <c r="AQ142" s="30">
        <v>1</v>
      </c>
      <c r="AR142" s="36">
        <f t="shared" si="47"/>
        <v>9.8000000000000007</v>
      </c>
      <c r="AS142" s="27" t="s">
        <v>1303</v>
      </c>
      <c r="AT142" s="37">
        <v>46213</v>
      </c>
      <c r="AU142" s="30">
        <v>1</v>
      </c>
      <c r="AV142" s="36">
        <f t="shared" si="48"/>
        <v>9.8000000000000007</v>
      </c>
      <c r="AW142" s="35">
        <v>46218</v>
      </c>
      <c r="AX142" s="30">
        <v>1</v>
      </c>
      <c r="AY142" s="32">
        <f t="shared" si="55"/>
        <v>9.8000000000000007</v>
      </c>
      <c r="AZ142" s="30" t="s">
        <v>85</v>
      </c>
      <c r="BA142" s="63" t="s">
        <v>1310</v>
      </c>
      <c r="BB142" s="71"/>
      <c r="BC142" s="71" t="s">
        <v>1321</v>
      </c>
      <c r="BD142" s="71"/>
    </row>
    <row r="143" spans="1:56" x14ac:dyDescent="0.25">
      <c r="A143" s="24">
        <f>IF(B143="","",SUBTOTAL(3,$B$4:B143))</f>
        <v>139</v>
      </c>
      <c r="B143" s="25" t="s">
        <v>77</v>
      </c>
      <c r="C143" s="25" t="str">
        <f t="shared" si="56"/>
        <v>Shipment 1 400</v>
      </c>
      <c r="D143" s="25" t="s">
        <v>76</v>
      </c>
      <c r="E143" s="25">
        <v>400</v>
      </c>
      <c r="F143" s="25"/>
      <c r="G143" s="65">
        <v>45990</v>
      </c>
      <c r="H143" s="25" t="s">
        <v>1257</v>
      </c>
      <c r="I143" s="25" t="s">
        <v>1254</v>
      </c>
      <c r="J143" s="26" t="s">
        <v>1302</v>
      </c>
      <c r="K143" s="27" t="s">
        <v>341</v>
      </c>
      <c r="L143" s="28" t="s">
        <v>342</v>
      </c>
      <c r="M143" s="28" t="s">
        <v>266</v>
      </c>
      <c r="N143" s="25">
        <v>1</v>
      </c>
      <c r="O143" s="29">
        <v>7.2</v>
      </c>
      <c r="P143" s="29">
        <v>7.2</v>
      </c>
      <c r="Q143" s="25" t="s">
        <v>481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44"/>
        <v>7.2</v>
      </c>
      <c r="AF143" s="32">
        <f t="shared" si="45"/>
        <v>0</v>
      </c>
      <c r="AG143" s="30"/>
      <c r="AH143" s="33">
        <v>1</v>
      </c>
      <c r="AI143" s="34">
        <f t="shared" si="46"/>
        <v>7.2</v>
      </c>
      <c r="AJ143" s="35">
        <v>46045</v>
      </c>
      <c r="AK143" s="30">
        <v>1</v>
      </c>
      <c r="AL143" s="36">
        <f t="shared" si="49"/>
        <v>7.2</v>
      </c>
      <c r="AM143" s="35">
        <v>46057</v>
      </c>
      <c r="AN143" s="30">
        <v>1</v>
      </c>
      <c r="AO143" s="36">
        <f t="shared" si="50"/>
        <v>7.2</v>
      </c>
      <c r="AP143" s="35">
        <v>46164</v>
      </c>
      <c r="AQ143" s="30">
        <v>1</v>
      </c>
      <c r="AR143" s="36">
        <f t="shared" si="47"/>
        <v>7.2</v>
      </c>
      <c r="AS143" s="27" t="s">
        <v>1303</v>
      </c>
      <c r="AT143" s="37">
        <v>46213</v>
      </c>
      <c r="AU143" s="30">
        <v>1</v>
      </c>
      <c r="AV143" s="36">
        <f t="shared" si="48"/>
        <v>7.2</v>
      </c>
      <c r="AW143" s="35">
        <v>46218</v>
      </c>
      <c r="AX143" s="30">
        <v>1</v>
      </c>
      <c r="AY143" s="32">
        <f t="shared" si="55"/>
        <v>7.2</v>
      </c>
      <c r="AZ143" s="30" t="s">
        <v>85</v>
      </c>
      <c r="BA143" s="63" t="s">
        <v>1310</v>
      </c>
      <c r="BB143" s="71"/>
      <c r="BC143" s="71" t="s">
        <v>1322</v>
      </c>
      <c r="BD143" s="71"/>
    </row>
    <row r="144" spans="1:56" x14ac:dyDescent="0.25">
      <c r="A144" s="24">
        <f>IF(B144="","",SUBTOTAL(3,$B$4:B144))</f>
        <v>140</v>
      </c>
      <c r="B144" s="25" t="s">
        <v>77</v>
      </c>
      <c r="C144" s="25" t="str">
        <f t="shared" si="56"/>
        <v>Shipment 1 400</v>
      </c>
      <c r="D144" s="25" t="s">
        <v>76</v>
      </c>
      <c r="E144" s="25">
        <v>400</v>
      </c>
      <c r="F144" s="25"/>
      <c r="G144" s="65">
        <v>45990</v>
      </c>
      <c r="H144" s="25" t="s">
        <v>1257</v>
      </c>
      <c r="I144" s="25" t="s">
        <v>1254</v>
      </c>
      <c r="J144" s="26" t="s">
        <v>1302</v>
      </c>
      <c r="K144" s="27" t="s">
        <v>341</v>
      </c>
      <c r="L144" s="28" t="s">
        <v>343</v>
      </c>
      <c r="M144" s="28" t="s">
        <v>266</v>
      </c>
      <c r="N144" s="25">
        <v>1</v>
      </c>
      <c r="O144" s="29">
        <v>7.2</v>
      </c>
      <c r="P144" s="29">
        <v>7.2</v>
      </c>
      <c r="Q144" s="25" t="s">
        <v>481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44"/>
        <v>7.2</v>
      </c>
      <c r="AF144" s="32">
        <f t="shared" si="45"/>
        <v>0</v>
      </c>
      <c r="AG144" s="30"/>
      <c r="AH144" s="33">
        <v>1</v>
      </c>
      <c r="AI144" s="34">
        <f t="shared" si="46"/>
        <v>7.2</v>
      </c>
      <c r="AJ144" s="35">
        <v>46045</v>
      </c>
      <c r="AK144" s="30">
        <v>1</v>
      </c>
      <c r="AL144" s="36">
        <f t="shared" si="49"/>
        <v>7.2</v>
      </c>
      <c r="AM144" s="35">
        <v>46057</v>
      </c>
      <c r="AN144" s="30">
        <v>1</v>
      </c>
      <c r="AO144" s="36">
        <f t="shared" si="50"/>
        <v>7.2</v>
      </c>
      <c r="AP144" s="35">
        <v>46164</v>
      </c>
      <c r="AQ144" s="30">
        <v>1</v>
      </c>
      <c r="AR144" s="36">
        <f t="shared" si="47"/>
        <v>7.2</v>
      </c>
      <c r="AS144" s="27" t="s">
        <v>1303</v>
      </c>
      <c r="AT144" s="37">
        <v>46213</v>
      </c>
      <c r="AU144" s="30">
        <v>1</v>
      </c>
      <c r="AV144" s="36">
        <f t="shared" si="48"/>
        <v>7.2</v>
      </c>
      <c r="AW144" s="35">
        <v>46218</v>
      </c>
      <c r="AX144" s="30">
        <v>1</v>
      </c>
      <c r="AY144" s="32">
        <f t="shared" si="55"/>
        <v>7.2</v>
      </c>
      <c r="AZ144" s="30" t="s">
        <v>85</v>
      </c>
      <c r="BA144" s="63" t="s">
        <v>1310</v>
      </c>
      <c r="BB144" s="71"/>
      <c r="BC144" s="71" t="s">
        <v>1322</v>
      </c>
      <c r="BD144" s="71"/>
    </row>
    <row r="145" spans="1:56" hidden="1" x14ac:dyDescent="0.25">
      <c r="A145" s="24">
        <f>IF(B145="","",SUBTOTAL(3,$B$4:B145))</f>
        <v>140</v>
      </c>
      <c r="B145" s="25" t="s">
        <v>77</v>
      </c>
      <c r="C145" s="25" t="str">
        <f t="shared" si="56"/>
        <v>Shipment 1 400</v>
      </c>
      <c r="D145" s="25" t="s">
        <v>76</v>
      </c>
      <c r="E145" s="25">
        <v>400</v>
      </c>
      <c r="F145" s="25"/>
      <c r="G145" s="65">
        <v>45990</v>
      </c>
      <c r="H145" s="25" t="s">
        <v>1257</v>
      </c>
      <c r="I145" s="25" t="s">
        <v>1254</v>
      </c>
      <c r="J145" s="26" t="s">
        <v>1302</v>
      </c>
      <c r="K145" s="27" t="s">
        <v>344</v>
      </c>
      <c r="L145" s="28" t="s">
        <v>345</v>
      </c>
      <c r="M145" s="28" t="s">
        <v>266</v>
      </c>
      <c r="N145" s="25">
        <v>24</v>
      </c>
      <c r="O145" s="29">
        <v>0.3</v>
      </c>
      <c r="P145" s="29">
        <v>8.4</v>
      </c>
      <c r="Q145" s="25" t="s">
        <v>482</v>
      </c>
      <c r="R145" s="25"/>
      <c r="S145" s="26" t="s">
        <v>1304</v>
      </c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ref="AE145:AE218" si="57">+AL145*0.5+AO145*0.4+AV145*0.1</f>
        <v>0</v>
      </c>
      <c r="AF145" s="32">
        <f t="shared" ref="AF145:AF218" si="58">+P145-AE145</f>
        <v>8.4</v>
      </c>
      <c r="AG145" s="30"/>
      <c r="AH145" s="33">
        <v>1</v>
      </c>
      <c r="AI145" s="34">
        <f t="shared" ref="AI145:AI218" si="59">+AH145*P145</f>
        <v>8.4</v>
      </c>
      <c r="AJ145" s="35"/>
      <c r="AK145" s="30"/>
      <c r="AL145" s="36">
        <f t="shared" ref="AL145:AL218" si="60">IFERROR(AK145*$P145/$N145,0)</f>
        <v>0</v>
      </c>
      <c r="AM145" s="35"/>
      <c r="AN145" s="30"/>
      <c r="AO145" s="36">
        <f t="shared" ref="AO145:AO218" si="61">IFERROR(AN145*$P145/$N145,0)</f>
        <v>0</v>
      </c>
      <c r="AP145" s="35"/>
      <c r="AQ145" s="30"/>
      <c r="AR145" s="36">
        <f t="shared" ref="AR145:AR218" si="62">IFERROR(AQ145*$P145/$N145,0)</f>
        <v>0</v>
      </c>
      <c r="AS145" s="27"/>
      <c r="AT145" s="37"/>
      <c r="AU145" s="30"/>
      <c r="AV145" s="36">
        <f t="shared" ref="AV145:AV218" si="63">IFERROR(AU145*$P145/$N145,0)</f>
        <v>0</v>
      </c>
      <c r="AW145" s="35"/>
      <c r="AX145" s="30"/>
      <c r="AY145" s="32">
        <f t="shared" ref="AY145:AY205" si="64">IFERROR(AX145*$P145/$N145,0)</f>
        <v>0</v>
      </c>
      <c r="AZ145" s="30" t="s">
        <v>85</v>
      </c>
      <c r="BA145" s="63"/>
      <c r="BB145" s="71" t="e">
        <f>SUMIFS([1]Form!$F$9:$F$67,[1]Form!$K$9:$K$67,L145)</f>
        <v>#VALUE!</v>
      </c>
      <c r="BC145" s="71" t="s">
        <v>345</v>
      </c>
      <c r="BD145" s="71"/>
    </row>
    <row r="146" spans="1:56" x14ac:dyDescent="0.25">
      <c r="A146" s="24">
        <f>IF(B146="","",SUBTOTAL(3,$B$4:B146))</f>
        <v>141</v>
      </c>
      <c r="B146" s="25" t="s">
        <v>77</v>
      </c>
      <c r="C146" s="25" t="str">
        <f t="shared" si="56"/>
        <v>Shipment 1 400</v>
      </c>
      <c r="D146" s="25" t="s">
        <v>76</v>
      </c>
      <c r="E146" s="25">
        <v>400</v>
      </c>
      <c r="F146" s="25"/>
      <c r="G146" s="65">
        <v>45990</v>
      </c>
      <c r="H146" s="25" t="s">
        <v>1257</v>
      </c>
      <c r="I146" s="25" t="s">
        <v>1254</v>
      </c>
      <c r="J146" s="26" t="s">
        <v>1302</v>
      </c>
      <c r="K146" s="27" t="s">
        <v>346</v>
      </c>
      <c r="L146" s="28" t="s">
        <v>347</v>
      </c>
      <c r="M146" s="28" t="s">
        <v>266</v>
      </c>
      <c r="N146" s="25">
        <v>1</v>
      </c>
      <c r="O146" s="29">
        <v>37.700000000000003</v>
      </c>
      <c r="P146" s="29">
        <v>37.700000000000003</v>
      </c>
      <c r="Q146" s="25" t="s">
        <v>483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57"/>
        <v>37.70000000000001</v>
      </c>
      <c r="AF146" s="32">
        <f t="shared" si="58"/>
        <v>0</v>
      </c>
      <c r="AG146" s="30"/>
      <c r="AH146" s="33">
        <v>1</v>
      </c>
      <c r="AI146" s="34">
        <f t="shared" si="59"/>
        <v>37.700000000000003</v>
      </c>
      <c r="AJ146" s="35">
        <v>46045</v>
      </c>
      <c r="AK146" s="30">
        <v>1</v>
      </c>
      <c r="AL146" s="36">
        <f t="shared" si="60"/>
        <v>37.700000000000003</v>
      </c>
      <c r="AM146" s="35">
        <v>46077</v>
      </c>
      <c r="AN146" s="30">
        <v>1</v>
      </c>
      <c r="AO146" s="36">
        <f t="shared" si="61"/>
        <v>37.700000000000003</v>
      </c>
      <c r="AP146" s="35">
        <v>46164</v>
      </c>
      <c r="AQ146" s="30">
        <v>1</v>
      </c>
      <c r="AR146" s="36">
        <f t="shared" si="62"/>
        <v>37.700000000000003</v>
      </c>
      <c r="AS146" s="27" t="s">
        <v>1295</v>
      </c>
      <c r="AT146" s="37">
        <v>46207</v>
      </c>
      <c r="AU146" s="30">
        <v>1</v>
      </c>
      <c r="AV146" s="36">
        <f t="shared" si="63"/>
        <v>37.700000000000003</v>
      </c>
      <c r="AW146" s="35">
        <v>46211</v>
      </c>
      <c r="AX146" s="30">
        <v>1</v>
      </c>
      <c r="AY146" s="32">
        <f t="shared" si="64"/>
        <v>37.700000000000003</v>
      </c>
      <c r="AZ146" s="30" t="s">
        <v>85</v>
      </c>
      <c r="BA146" s="63" t="s">
        <v>1297</v>
      </c>
      <c r="BB146" s="71"/>
      <c r="BC146" s="71" t="s">
        <v>1323</v>
      </c>
      <c r="BD146" s="71"/>
    </row>
    <row r="147" spans="1:56" x14ac:dyDescent="0.25">
      <c r="A147" s="24">
        <f>IF(B147="","",SUBTOTAL(3,$B$4:B147))</f>
        <v>142</v>
      </c>
      <c r="B147" s="25" t="s">
        <v>77</v>
      </c>
      <c r="C147" s="25" t="str">
        <f t="shared" si="56"/>
        <v>Shipment 1 400</v>
      </c>
      <c r="D147" s="25" t="s">
        <v>76</v>
      </c>
      <c r="E147" s="25">
        <v>400</v>
      </c>
      <c r="F147" s="25"/>
      <c r="G147" s="65">
        <v>45990</v>
      </c>
      <c r="H147" s="25" t="s">
        <v>1257</v>
      </c>
      <c r="I147" s="25" t="s">
        <v>1254</v>
      </c>
      <c r="J147" s="26" t="s">
        <v>1302</v>
      </c>
      <c r="K147" s="27" t="s">
        <v>346</v>
      </c>
      <c r="L147" s="28" t="s">
        <v>348</v>
      </c>
      <c r="M147" s="28" t="s">
        <v>266</v>
      </c>
      <c r="N147" s="25">
        <v>1</v>
      </c>
      <c r="O147" s="29">
        <v>37.700000000000003</v>
      </c>
      <c r="P147" s="29">
        <v>37.700000000000003</v>
      </c>
      <c r="Q147" s="25" t="s">
        <v>483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57"/>
        <v>37.70000000000001</v>
      </c>
      <c r="AF147" s="32">
        <f t="shared" si="58"/>
        <v>0</v>
      </c>
      <c r="AG147" s="30"/>
      <c r="AH147" s="33">
        <v>1</v>
      </c>
      <c r="AI147" s="34">
        <f t="shared" si="59"/>
        <v>37.700000000000003</v>
      </c>
      <c r="AJ147" s="35">
        <v>46045</v>
      </c>
      <c r="AK147" s="30">
        <v>1</v>
      </c>
      <c r="AL147" s="36">
        <f t="shared" si="60"/>
        <v>37.700000000000003</v>
      </c>
      <c r="AM147" s="35">
        <v>46077</v>
      </c>
      <c r="AN147" s="30">
        <v>1</v>
      </c>
      <c r="AO147" s="36">
        <f t="shared" si="61"/>
        <v>37.700000000000003</v>
      </c>
      <c r="AP147" s="35">
        <v>46164</v>
      </c>
      <c r="AQ147" s="30">
        <v>1</v>
      </c>
      <c r="AR147" s="36">
        <f t="shared" si="62"/>
        <v>37.700000000000003</v>
      </c>
      <c r="AS147" s="27" t="s">
        <v>1295</v>
      </c>
      <c r="AT147" s="37">
        <v>46207</v>
      </c>
      <c r="AU147" s="30">
        <v>1</v>
      </c>
      <c r="AV147" s="36">
        <f t="shared" si="63"/>
        <v>37.700000000000003</v>
      </c>
      <c r="AW147" s="35">
        <v>46211</v>
      </c>
      <c r="AX147" s="30">
        <v>1</v>
      </c>
      <c r="AY147" s="32">
        <f t="shared" si="64"/>
        <v>37.700000000000003</v>
      </c>
      <c r="AZ147" s="30" t="s">
        <v>85</v>
      </c>
      <c r="BA147" s="63" t="s">
        <v>1297</v>
      </c>
      <c r="BB147" s="71"/>
      <c r="BC147" s="71" t="s">
        <v>1323</v>
      </c>
      <c r="BD147" s="71"/>
    </row>
    <row r="148" spans="1:56" x14ac:dyDescent="0.25">
      <c r="A148" s="24">
        <f>IF(B148="","",SUBTOTAL(3,$B$4:B148))</f>
        <v>143</v>
      </c>
      <c r="B148" s="25" t="s">
        <v>77</v>
      </c>
      <c r="C148" s="25" t="str">
        <f t="shared" si="56"/>
        <v>Shipment 1 400</v>
      </c>
      <c r="D148" s="25" t="s">
        <v>76</v>
      </c>
      <c r="E148" s="25">
        <v>400</v>
      </c>
      <c r="F148" s="25"/>
      <c r="G148" s="65">
        <v>45990</v>
      </c>
      <c r="H148" s="25" t="s">
        <v>1257</v>
      </c>
      <c r="I148" s="25" t="s">
        <v>1254</v>
      </c>
      <c r="J148" s="26" t="s">
        <v>1302</v>
      </c>
      <c r="K148" s="27" t="s">
        <v>349</v>
      </c>
      <c r="L148" s="28" t="s">
        <v>350</v>
      </c>
      <c r="M148" s="28" t="s">
        <v>266</v>
      </c>
      <c r="N148" s="25">
        <v>1</v>
      </c>
      <c r="O148" s="29">
        <v>37.700000000000003</v>
      </c>
      <c r="P148" s="29">
        <v>37.700000000000003</v>
      </c>
      <c r="Q148" s="25" t="s">
        <v>483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57"/>
        <v>37.70000000000001</v>
      </c>
      <c r="AF148" s="32">
        <f t="shared" si="58"/>
        <v>0</v>
      </c>
      <c r="AG148" s="30"/>
      <c r="AH148" s="33">
        <v>1</v>
      </c>
      <c r="AI148" s="34">
        <f t="shared" si="59"/>
        <v>37.700000000000003</v>
      </c>
      <c r="AJ148" s="35">
        <v>46045</v>
      </c>
      <c r="AK148" s="30">
        <v>1</v>
      </c>
      <c r="AL148" s="36">
        <f t="shared" si="60"/>
        <v>37.700000000000003</v>
      </c>
      <c r="AM148" s="35">
        <v>46077</v>
      </c>
      <c r="AN148" s="30">
        <v>1</v>
      </c>
      <c r="AO148" s="36">
        <f t="shared" si="61"/>
        <v>37.700000000000003</v>
      </c>
      <c r="AP148" s="35">
        <v>46164</v>
      </c>
      <c r="AQ148" s="30">
        <v>1</v>
      </c>
      <c r="AR148" s="36">
        <f t="shared" si="62"/>
        <v>37.700000000000003</v>
      </c>
      <c r="AS148" s="27" t="s">
        <v>1295</v>
      </c>
      <c r="AT148" s="37">
        <v>46207</v>
      </c>
      <c r="AU148" s="30">
        <v>1</v>
      </c>
      <c r="AV148" s="36">
        <f t="shared" si="63"/>
        <v>37.700000000000003</v>
      </c>
      <c r="AW148" s="35">
        <v>46211</v>
      </c>
      <c r="AX148" s="30">
        <v>1</v>
      </c>
      <c r="AY148" s="32">
        <f t="shared" si="64"/>
        <v>37.700000000000003</v>
      </c>
      <c r="AZ148" s="30" t="s">
        <v>85</v>
      </c>
      <c r="BA148" s="63" t="s">
        <v>1297</v>
      </c>
      <c r="BB148" s="71"/>
      <c r="BC148" s="71" t="s">
        <v>1324</v>
      </c>
      <c r="BD148" s="71"/>
    </row>
    <row r="149" spans="1:56" x14ac:dyDescent="0.25">
      <c r="A149" s="24">
        <f>IF(B149="","",SUBTOTAL(3,$B$4:B149))</f>
        <v>144</v>
      </c>
      <c r="B149" s="25" t="s">
        <v>77</v>
      </c>
      <c r="C149" s="25" t="str">
        <f t="shared" si="56"/>
        <v>Shipment 1 400</v>
      </c>
      <c r="D149" s="25" t="s">
        <v>76</v>
      </c>
      <c r="E149" s="25">
        <v>400</v>
      </c>
      <c r="F149" s="25"/>
      <c r="G149" s="65">
        <v>45990</v>
      </c>
      <c r="H149" s="25" t="s">
        <v>1257</v>
      </c>
      <c r="I149" s="25" t="s">
        <v>1254</v>
      </c>
      <c r="J149" s="26" t="s">
        <v>1302</v>
      </c>
      <c r="K149" s="27" t="s">
        <v>349</v>
      </c>
      <c r="L149" s="28" t="s">
        <v>351</v>
      </c>
      <c r="M149" s="28" t="s">
        <v>266</v>
      </c>
      <c r="N149" s="25">
        <v>1</v>
      </c>
      <c r="O149" s="29">
        <v>37.700000000000003</v>
      </c>
      <c r="P149" s="29">
        <v>37.700000000000003</v>
      </c>
      <c r="Q149" s="25" t="s">
        <v>483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57"/>
        <v>37.70000000000001</v>
      </c>
      <c r="AF149" s="32">
        <f t="shared" si="58"/>
        <v>0</v>
      </c>
      <c r="AG149" s="30"/>
      <c r="AH149" s="33">
        <v>1</v>
      </c>
      <c r="AI149" s="34">
        <f t="shared" si="59"/>
        <v>37.700000000000003</v>
      </c>
      <c r="AJ149" s="35">
        <v>46045</v>
      </c>
      <c r="AK149" s="30">
        <v>1</v>
      </c>
      <c r="AL149" s="36">
        <f t="shared" si="60"/>
        <v>37.700000000000003</v>
      </c>
      <c r="AM149" s="35">
        <v>46077</v>
      </c>
      <c r="AN149" s="30">
        <v>1</v>
      </c>
      <c r="AO149" s="36">
        <f t="shared" si="61"/>
        <v>37.700000000000003</v>
      </c>
      <c r="AP149" s="35">
        <v>46164</v>
      </c>
      <c r="AQ149" s="30">
        <v>1</v>
      </c>
      <c r="AR149" s="36">
        <f t="shared" si="62"/>
        <v>37.700000000000003</v>
      </c>
      <c r="AS149" s="27" t="s">
        <v>1295</v>
      </c>
      <c r="AT149" s="37">
        <v>46207</v>
      </c>
      <c r="AU149" s="30">
        <v>1</v>
      </c>
      <c r="AV149" s="36">
        <f t="shared" si="63"/>
        <v>37.700000000000003</v>
      </c>
      <c r="AW149" s="35">
        <v>46211</v>
      </c>
      <c r="AX149" s="30">
        <v>1</v>
      </c>
      <c r="AY149" s="32">
        <f t="shared" si="64"/>
        <v>37.700000000000003</v>
      </c>
      <c r="AZ149" s="30" t="s">
        <v>85</v>
      </c>
      <c r="BA149" s="63" t="s">
        <v>1297</v>
      </c>
      <c r="BB149" s="71"/>
      <c r="BC149" s="71" t="s">
        <v>1324</v>
      </c>
      <c r="BD149" s="71"/>
    </row>
    <row r="150" spans="1:56" x14ac:dyDescent="0.25">
      <c r="A150" s="24">
        <f>IF(B150="","",SUBTOTAL(3,$B$4:B150))</f>
        <v>145</v>
      </c>
      <c r="B150" s="25" t="s">
        <v>77</v>
      </c>
      <c r="C150" s="25" t="str">
        <f t="shared" si="56"/>
        <v>Shipment 1 400</v>
      </c>
      <c r="D150" s="25" t="s">
        <v>76</v>
      </c>
      <c r="E150" s="25">
        <v>400</v>
      </c>
      <c r="F150" s="25"/>
      <c r="G150" s="65">
        <v>45990</v>
      </c>
      <c r="H150" s="25" t="s">
        <v>1257</v>
      </c>
      <c r="I150" s="25" t="s">
        <v>1254</v>
      </c>
      <c r="J150" s="26" t="s">
        <v>1302</v>
      </c>
      <c r="K150" s="27" t="s">
        <v>352</v>
      </c>
      <c r="L150" s="28" t="s">
        <v>353</v>
      </c>
      <c r="M150" s="28" t="s">
        <v>266</v>
      </c>
      <c r="N150" s="25">
        <v>1</v>
      </c>
      <c r="O150" s="29">
        <v>37.700000000000003</v>
      </c>
      <c r="P150" s="29">
        <v>37.700000000000003</v>
      </c>
      <c r="Q150" s="25" t="s">
        <v>483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57"/>
        <v>37.70000000000001</v>
      </c>
      <c r="AF150" s="32">
        <f t="shared" si="58"/>
        <v>0</v>
      </c>
      <c r="AG150" s="30"/>
      <c r="AH150" s="33">
        <v>1</v>
      </c>
      <c r="AI150" s="34">
        <f t="shared" si="59"/>
        <v>37.700000000000003</v>
      </c>
      <c r="AJ150" s="35">
        <v>46045</v>
      </c>
      <c r="AK150" s="30">
        <v>1</v>
      </c>
      <c r="AL150" s="36">
        <f t="shared" si="60"/>
        <v>37.700000000000003</v>
      </c>
      <c r="AM150" s="35">
        <v>46077</v>
      </c>
      <c r="AN150" s="30">
        <v>1</v>
      </c>
      <c r="AO150" s="36">
        <f t="shared" si="61"/>
        <v>37.700000000000003</v>
      </c>
      <c r="AP150" s="35">
        <v>46164</v>
      </c>
      <c r="AQ150" s="30">
        <v>1</v>
      </c>
      <c r="AR150" s="36">
        <f t="shared" si="62"/>
        <v>37.700000000000003</v>
      </c>
      <c r="AS150" s="27" t="s">
        <v>1295</v>
      </c>
      <c r="AT150" s="37">
        <v>46207</v>
      </c>
      <c r="AU150" s="30">
        <v>1</v>
      </c>
      <c r="AV150" s="36">
        <f t="shared" si="63"/>
        <v>37.700000000000003</v>
      </c>
      <c r="AW150" s="35">
        <v>46211</v>
      </c>
      <c r="AX150" s="30">
        <v>1</v>
      </c>
      <c r="AY150" s="32">
        <f t="shared" si="64"/>
        <v>37.700000000000003</v>
      </c>
      <c r="AZ150" s="30" t="s">
        <v>85</v>
      </c>
      <c r="BA150" s="63" t="s">
        <v>1297</v>
      </c>
      <c r="BB150" s="71"/>
      <c r="BC150" s="71" t="s">
        <v>1325</v>
      </c>
      <c r="BD150" s="71"/>
    </row>
    <row r="151" spans="1:56" x14ac:dyDescent="0.25">
      <c r="A151" s="24">
        <f>IF(B151="","",SUBTOTAL(3,$B$4:B151))</f>
        <v>146</v>
      </c>
      <c r="B151" s="25" t="s">
        <v>77</v>
      </c>
      <c r="C151" s="25" t="str">
        <f t="shared" si="56"/>
        <v>Shipment 1 400</v>
      </c>
      <c r="D151" s="25" t="s">
        <v>76</v>
      </c>
      <c r="E151" s="25">
        <v>400</v>
      </c>
      <c r="F151" s="25"/>
      <c r="G151" s="65">
        <v>45990</v>
      </c>
      <c r="H151" s="25" t="s">
        <v>1257</v>
      </c>
      <c r="I151" s="25" t="s">
        <v>1254</v>
      </c>
      <c r="J151" s="26" t="s">
        <v>1302</v>
      </c>
      <c r="K151" s="27" t="s">
        <v>352</v>
      </c>
      <c r="L151" s="28" t="s">
        <v>354</v>
      </c>
      <c r="M151" s="28" t="s">
        <v>266</v>
      </c>
      <c r="N151" s="25">
        <v>1</v>
      </c>
      <c r="O151" s="29">
        <v>37.700000000000003</v>
      </c>
      <c r="P151" s="29">
        <v>37.700000000000003</v>
      </c>
      <c r="Q151" s="25" t="s">
        <v>483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57"/>
        <v>37.70000000000001</v>
      </c>
      <c r="AF151" s="32">
        <f t="shared" si="58"/>
        <v>0</v>
      </c>
      <c r="AG151" s="30"/>
      <c r="AH151" s="33">
        <v>1</v>
      </c>
      <c r="AI151" s="34">
        <f t="shared" si="59"/>
        <v>37.700000000000003</v>
      </c>
      <c r="AJ151" s="35">
        <v>46045</v>
      </c>
      <c r="AK151" s="30">
        <v>1</v>
      </c>
      <c r="AL151" s="36">
        <f t="shared" si="60"/>
        <v>37.700000000000003</v>
      </c>
      <c r="AM151" s="35">
        <v>46077</v>
      </c>
      <c r="AN151" s="30">
        <v>1</v>
      </c>
      <c r="AO151" s="36">
        <f t="shared" si="61"/>
        <v>37.700000000000003</v>
      </c>
      <c r="AP151" s="35">
        <v>46164</v>
      </c>
      <c r="AQ151" s="30">
        <v>1</v>
      </c>
      <c r="AR151" s="36">
        <f t="shared" si="62"/>
        <v>37.700000000000003</v>
      </c>
      <c r="AS151" s="27" t="s">
        <v>1295</v>
      </c>
      <c r="AT151" s="37">
        <v>46207</v>
      </c>
      <c r="AU151" s="30">
        <v>1</v>
      </c>
      <c r="AV151" s="36">
        <f t="shared" si="63"/>
        <v>37.700000000000003</v>
      </c>
      <c r="AW151" s="35">
        <v>46211</v>
      </c>
      <c r="AX151" s="30">
        <v>1</v>
      </c>
      <c r="AY151" s="32">
        <f t="shared" si="64"/>
        <v>37.700000000000003</v>
      </c>
      <c r="AZ151" s="30" t="s">
        <v>85</v>
      </c>
      <c r="BA151" s="63" t="s">
        <v>1297</v>
      </c>
      <c r="BB151" s="71"/>
      <c r="BC151" s="71" t="s">
        <v>1325</v>
      </c>
      <c r="BD151" s="71"/>
    </row>
    <row r="152" spans="1:56" x14ac:dyDescent="0.25">
      <c r="A152" s="24">
        <f>IF(B152="","",SUBTOTAL(3,$B$4:B152))</f>
        <v>147</v>
      </c>
      <c r="B152" s="25" t="s">
        <v>77</v>
      </c>
      <c r="C152" s="25" t="str">
        <f t="shared" si="56"/>
        <v>Shipment 1 400</v>
      </c>
      <c r="D152" s="25" t="s">
        <v>76</v>
      </c>
      <c r="E152" s="25">
        <v>400</v>
      </c>
      <c r="F152" s="25"/>
      <c r="G152" s="65">
        <v>45990</v>
      </c>
      <c r="H152" s="25" t="s">
        <v>1257</v>
      </c>
      <c r="I152" s="25" t="s">
        <v>1254</v>
      </c>
      <c r="J152" s="26" t="s">
        <v>1302</v>
      </c>
      <c r="K152" s="27" t="s">
        <v>355</v>
      </c>
      <c r="L152" s="28" t="s">
        <v>356</v>
      </c>
      <c r="M152" s="28" t="s">
        <v>266</v>
      </c>
      <c r="N152" s="25">
        <v>1</v>
      </c>
      <c r="O152" s="29">
        <v>37.700000000000003</v>
      </c>
      <c r="P152" s="29">
        <v>37.700000000000003</v>
      </c>
      <c r="Q152" s="25" t="s">
        <v>483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57"/>
        <v>37.70000000000001</v>
      </c>
      <c r="AF152" s="32">
        <f t="shared" si="58"/>
        <v>0</v>
      </c>
      <c r="AG152" s="30"/>
      <c r="AH152" s="33">
        <v>1</v>
      </c>
      <c r="AI152" s="34">
        <f t="shared" si="59"/>
        <v>37.700000000000003</v>
      </c>
      <c r="AJ152" s="35">
        <v>46045</v>
      </c>
      <c r="AK152" s="30">
        <v>1</v>
      </c>
      <c r="AL152" s="36">
        <f t="shared" si="60"/>
        <v>37.700000000000003</v>
      </c>
      <c r="AM152" s="35">
        <v>46077</v>
      </c>
      <c r="AN152" s="30">
        <v>1</v>
      </c>
      <c r="AO152" s="36">
        <f t="shared" si="61"/>
        <v>37.700000000000003</v>
      </c>
      <c r="AP152" s="35">
        <v>46164</v>
      </c>
      <c r="AQ152" s="30">
        <v>1</v>
      </c>
      <c r="AR152" s="36">
        <f t="shared" si="62"/>
        <v>37.700000000000003</v>
      </c>
      <c r="AS152" s="27" t="s">
        <v>1295</v>
      </c>
      <c r="AT152" s="37">
        <v>46207</v>
      </c>
      <c r="AU152" s="30">
        <v>1</v>
      </c>
      <c r="AV152" s="36">
        <f t="shared" si="63"/>
        <v>37.700000000000003</v>
      </c>
      <c r="AW152" s="35">
        <v>46211</v>
      </c>
      <c r="AX152" s="30">
        <v>1</v>
      </c>
      <c r="AY152" s="32">
        <f t="shared" si="64"/>
        <v>37.700000000000003</v>
      </c>
      <c r="AZ152" s="30" t="s">
        <v>85</v>
      </c>
      <c r="BA152" s="63" t="s">
        <v>1297</v>
      </c>
      <c r="BB152" s="71"/>
      <c r="BC152" s="71" t="s">
        <v>1326</v>
      </c>
      <c r="BD152" s="71"/>
    </row>
    <row r="153" spans="1:56" x14ac:dyDescent="0.25">
      <c r="A153" s="24">
        <f>IF(B153="","",SUBTOTAL(3,$B$4:B153))</f>
        <v>148</v>
      </c>
      <c r="B153" s="25" t="s">
        <v>77</v>
      </c>
      <c r="C153" s="25" t="str">
        <f t="shared" si="56"/>
        <v>Shipment 1 400</v>
      </c>
      <c r="D153" s="25" t="s">
        <v>76</v>
      </c>
      <c r="E153" s="25">
        <v>400</v>
      </c>
      <c r="F153" s="25"/>
      <c r="G153" s="65">
        <v>45990</v>
      </c>
      <c r="H153" s="25" t="s">
        <v>1257</v>
      </c>
      <c r="I153" s="25" t="s">
        <v>1254</v>
      </c>
      <c r="J153" s="26" t="s">
        <v>1302</v>
      </c>
      <c r="K153" s="27" t="s">
        <v>355</v>
      </c>
      <c r="L153" s="28" t="s">
        <v>357</v>
      </c>
      <c r="M153" s="28" t="s">
        <v>266</v>
      </c>
      <c r="N153" s="25">
        <v>1</v>
      </c>
      <c r="O153" s="29">
        <v>37.700000000000003</v>
      </c>
      <c r="P153" s="29">
        <v>37.700000000000003</v>
      </c>
      <c r="Q153" s="25" t="s">
        <v>483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57"/>
        <v>37.70000000000001</v>
      </c>
      <c r="AF153" s="32">
        <f t="shared" si="58"/>
        <v>0</v>
      </c>
      <c r="AG153" s="30"/>
      <c r="AH153" s="33">
        <v>1</v>
      </c>
      <c r="AI153" s="34">
        <f t="shared" si="59"/>
        <v>37.700000000000003</v>
      </c>
      <c r="AJ153" s="35">
        <v>46045</v>
      </c>
      <c r="AK153" s="30">
        <v>1</v>
      </c>
      <c r="AL153" s="36">
        <f t="shared" si="60"/>
        <v>37.700000000000003</v>
      </c>
      <c r="AM153" s="35">
        <v>46077</v>
      </c>
      <c r="AN153" s="30">
        <v>1</v>
      </c>
      <c r="AO153" s="36">
        <f t="shared" si="61"/>
        <v>37.700000000000003</v>
      </c>
      <c r="AP153" s="35">
        <v>46164</v>
      </c>
      <c r="AQ153" s="30">
        <v>1</v>
      </c>
      <c r="AR153" s="36">
        <f t="shared" si="62"/>
        <v>37.700000000000003</v>
      </c>
      <c r="AS153" s="27" t="s">
        <v>1295</v>
      </c>
      <c r="AT153" s="37">
        <v>46207</v>
      </c>
      <c r="AU153" s="30">
        <v>1</v>
      </c>
      <c r="AV153" s="36">
        <f t="shared" si="63"/>
        <v>37.700000000000003</v>
      </c>
      <c r="AW153" s="35">
        <v>46211</v>
      </c>
      <c r="AX153" s="30">
        <v>1</v>
      </c>
      <c r="AY153" s="32">
        <f t="shared" si="64"/>
        <v>37.700000000000003</v>
      </c>
      <c r="AZ153" s="30" t="s">
        <v>85</v>
      </c>
      <c r="BA153" s="63" t="s">
        <v>1297</v>
      </c>
      <c r="BB153" s="71"/>
      <c r="BC153" s="71" t="s">
        <v>1326</v>
      </c>
      <c r="BD153" s="71"/>
    </row>
    <row r="154" spans="1:56" x14ac:dyDescent="0.25">
      <c r="A154" s="24">
        <f>IF(B154="","",SUBTOTAL(3,$B$4:B154))</f>
        <v>149</v>
      </c>
      <c r="B154" s="25" t="s">
        <v>77</v>
      </c>
      <c r="C154" s="25" t="str">
        <f t="shared" si="56"/>
        <v>Shipment 1 400</v>
      </c>
      <c r="D154" s="25" t="s">
        <v>76</v>
      </c>
      <c r="E154" s="25">
        <v>400</v>
      </c>
      <c r="F154" s="25"/>
      <c r="G154" s="65">
        <v>45990</v>
      </c>
      <c r="H154" s="25" t="s">
        <v>1257</v>
      </c>
      <c r="I154" s="25" t="s">
        <v>1254</v>
      </c>
      <c r="J154" s="26" t="s">
        <v>1302</v>
      </c>
      <c r="K154" s="27" t="s">
        <v>358</v>
      </c>
      <c r="L154" s="28" t="s">
        <v>359</v>
      </c>
      <c r="M154" s="28" t="s">
        <v>266</v>
      </c>
      <c r="N154" s="25">
        <v>12</v>
      </c>
      <c r="O154" s="29">
        <v>2</v>
      </c>
      <c r="P154" s="29">
        <v>24</v>
      </c>
      <c r="Q154" s="25" t="s">
        <v>484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57"/>
        <v>24</v>
      </c>
      <c r="AF154" s="32">
        <f t="shared" si="58"/>
        <v>0</v>
      </c>
      <c r="AG154" s="30"/>
      <c r="AH154" s="33">
        <v>1</v>
      </c>
      <c r="AI154" s="34">
        <f t="shared" si="59"/>
        <v>24</v>
      </c>
      <c r="AJ154" s="35">
        <v>46164</v>
      </c>
      <c r="AK154" s="30">
        <v>12</v>
      </c>
      <c r="AL154" s="36">
        <f t="shared" si="60"/>
        <v>24</v>
      </c>
      <c r="AM154" s="35">
        <v>46164</v>
      </c>
      <c r="AN154" s="30">
        <v>12</v>
      </c>
      <c r="AO154" s="36">
        <f t="shared" si="61"/>
        <v>24</v>
      </c>
      <c r="AP154" s="35">
        <v>46164</v>
      </c>
      <c r="AQ154" s="30">
        <v>12</v>
      </c>
      <c r="AR154" s="36">
        <f t="shared" si="62"/>
        <v>24</v>
      </c>
      <c r="AS154" s="27" t="s">
        <v>1303</v>
      </c>
      <c r="AT154" s="37">
        <v>46233</v>
      </c>
      <c r="AU154" s="30">
        <v>12</v>
      </c>
      <c r="AV154" s="36">
        <f t="shared" si="63"/>
        <v>24</v>
      </c>
      <c r="AW154" s="35">
        <v>46235</v>
      </c>
      <c r="AX154" s="30">
        <v>12</v>
      </c>
      <c r="AY154" s="32">
        <f t="shared" si="64"/>
        <v>24</v>
      </c>
      <c r="AZ154" s="30" t="s">
        <v>85</v>
      </c>
      <c r="BA154" s="63" t="s">
        <v>1310</v>
      </c>
      <c r="BB154" s="71"/>
      <c r="BC154" s="71" t="s">
        <v>359</v>
      </c>
      <c r="BD154" s="71"/>
    </row>
    <row r="155" spans="1:56" x14ac:dyDescent="0.25">
      <c r="A155" s="24">
        <f>IF(B155="","",SUBTOTAL(3,$B$4:B155))</f>
        <v>150</v>
      </c>
      <c r="B155" s="25" t="s">
        <v>77</v>
      </c>
      <c r="C155" s="25" t="str">
        <f t="shared" si="56"/>
        <v>Shipment 1 400</v>
      </c>
      <c r="D155" s="25" t="s">
        <v>76</v>
      </c>
      <c r="E155" s="25">
        <v>400</v>
      </c>
      <c r="F155" s="25"/>
      <c r="G155" s="65">
        <v>45990</v>
      </c>
      <c r="H155" s="25" t="s">
        <v>1257</v>
      </c>
      <c r="I155" s="25" t="s">
        <v>1254</v>
      </c>
      <c r="J155" s="26" t="s">
        <v>1302</v>
      </c>
      <c r="K155" s="27" t="s">
        <v>360</v>
      </c>
      <c r="L155" s="28" t="s">
        <v>361</v>
      </c>
      <c r="M155" s="28" t="s">
        <v>266</v>
      </c>
      <c r="N155" s="25">
        <v>12</v>
      </c>
      <c r="O155" s="29">
        <v>2</v>
      </c>
      <c r="P155" s="29">
        <v>24.1</v>
      </c>
      <c r="Q155" s="25" t="s">
        <v>485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57"/>
        <v>24.100000000000005</v>
      </c>
      <c r="AF155" s="32">
        <f t="shared" si="58"/>
        <v>0</v>
      </c>
      <c r="AG155" s="30"/>
      <c r="AH155" s="33">
        <v>1</v>
      </c>
      <c r="AI155" s="34">
        <f t="shared" si="59"/>
        <v>24.1</v>
      </c>
      <c r="AJ155" s="35">
        <v>46164</v>
      </c>
      <c r="AK155" s="30">
        <v>12</v>
      </c>
      <c r="AL155" s="36">
        <f t="shared" ref="AL155:AL156" si="65">IFERROR(AK155*$P155/$N155,0)</f>
        <v>24.100000000000005</v>
      </c>
      <c r="AM155" s="35">
        <v>46164</v>
      </c>
      <c r="AN155" s="30">
        <v>12</v>
      </c>
      <c r="AO155" s="36">
        <f t="shared" si="61"/>
        <v>24.100000000000005</v>
      </c>
      <c r="AP155" s="35">
        <v>46164</v>
      </c>
      <c r="AQ155" s="30">
        <v>12</v>
      </c>
      <c r="AR155" s="36">
        <f t="shared" si="62"/>
        <v>24.100000000000005</v>
      </c>
      <c r="AS155" s="27" t="s">
        <v>1303</v>
      </c>
      <c r="AT155" s="37">
        <v>46233</v>
      </c>
      <c r="AU155" s="30">
        <v>12</v>
      </c>
      <c r="AV155" s="36">
        <f t="shared" si="63"/>
        <v>24.100000000000005</v>
      </c>
      <c r="AW155" s="35">
        <v>46235</v>
      </c>
      <c r="AX155" s="30">
        <v>12</v>
      </c>
      <c r="AY155" s="32">
        <f t="shared" si="64"/>
        <v>24.100000000000005</v>
      </c>
      <c r="AZ155" s="30" t="s">
        <v>85</v>
      </c>
      <c r="BA155" s="63" t="s">
        <v>1310</v>
      </c>
      <c r="BB155" s="71"/>
      <c r="BC155" s="71" t="s">
        <v>361</v>
      </c>
      <c r="BD155" s="71"/>
    </row>
    <row r="156" spans="1:56" x14ac:dyDescent="0.25">
      <c r="A156" s="24">
        <f>IF(B156="","",SUBTOTAL(3,$B$4:B156))</f>
        <v>151</v>
      </c>
      <c r="B156" s="25" t="s">
        <v>77</v>
      </c>
      <c r="C156" s="25" t="str">
        <f t="shared" si="56"/>
        <v>Shipment 1 400</v>
      </c>
      <c r="D156" s="25" t="s">
        <v>76</v>
      </c>
      <c r="E156" s="25">
        <v>400</v>
      </c>
      <c r="F156" s="25"/>
      <c r="G156" s="65">
        <v>45990</v>
      </c>
      <c r="H156" s="25" t="s">
        <v>1257</v>
      </c>
      <c r="I156" s="25" t="s">
        <v>1254</v>
      </c>
      <c r="J156" s="26" t="s">
        <v>1302</v>
      </c>
      <c r="K156" s="27" t="s">
        <v>362</v>
      </c>
      <c r="L156" s="28" t="s">
        <v>363</v>
      </c>
      <c r="M156" s="28" t="s">
        <v>266</v>
      </c>
      <c r="N156" s="25">
        <v>12</v>
      </c>
      <c r="O156" s="29">
        <v>0.8</v>
      </c>
      <c r="P156" s="29">
        <v>9.6</v>
      </c>
      <c r="Q156" s="25" t="s">
        <v>486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57"/>
        <v>9.6000000000000014</v>
      </c>
      <c r="AF156" s="32">
        <f t="shared" si="58"/>
        <v>0</v>
      </c>
      <c r="AG156" s="30"/>
      <c r="AH156" s="33">
        <v>1</v>
      </c>
      <c r="AI156" s="34">
        <f t="shared" si="59"/>
        <v>9.6</v>
      </c>
      <c r="AJ156" s="35">
        <v>46164</v>
      </c>
      <c r="AK156" s="30">
        <v>12</v>
      </c>
      <c r="AL156" s="36">
        <f t="shared" si="65"/>
        <v>9.6</v>
      </c>
      <c r="AM156" s="35">
        <v>46164</v>
      </c>
      <c r="AN156" s="30">
        <v>12</v>
      </c>
      <c r="AO156" s="36">
        <f t="shared" si="61"/>
        <v>9.6</v>
      </c>
      <c r="AP156" s="35">
        <v>46164</v>
      </c>
      <c r="AQ156" s="30">
        <v>12</v>
      </c>
      <c r="AR156" s="36">
        <f t="shared" si="62"/>
        <v>9.6</v>
      </c>
      <c r="AS156" s="27" t="s">
        <v>1303</v>
      </c>
      <c r="AT156" s="37">
        <v>46233</v>
      </c>
      <c r="AU156" s="30">
        <v>12</v>
      </c>
      <c r="AV156" s="36">
        <f t="shared" si="63"/>
        <v>9.6</v>
      </c>
      <c r="AW156" s="35">
        <v>46235</v>
      </c>
      <c r="AX156" s="30">
        <v>12</v>
      </c>
      <c r="AY156" s="32">
        <f t="shared" si="64"/>
        <v>9.6</v>
      </c>
      <c r="AZ156" s="30" t="s">
        <v>85</v>
      </c>
      <c r="BA156" s="63" t="s">
        <v>1310</v>
      </c>
      <c r="BB156" s="71"/>
      <c r="BC156" s="71" t="s">
        <v>363</v>
      </c>
      <c r="BD156" s="71"/>
    </row>
    <row r="157" spans="1:56" x14ac:dyDescent="0.25">
      <c r="A157" s="24">
        <f>IF(B157="","",SUBTOTAL(3,$B$4:B157))</f>
        <v>152</v>
      </c>
      <c r="B157" s="25" t="s">
        <v>77</v>
      </c>
      <c r="C157" s="25" t="str">
        <f t="shared" si="56"/>
        <v>Shipment 1 400</v>
      </c>
      <c r="D157" s="25" t="s">
        <v>76</v>
      </c>
      <c r="E157" s="25">
        <v>400</v>
      </c>
      <c r="F157" s="25"/>
      <c r="G157" s="65">
        <v>45990</v>
      </c>
      <c r="H157" s="25" t="s">
        <v>1257</v>
      </c>
      <c r="I157" s="25" t="s">
        <v>1254</v>
      </c>
      <c r="J157" s="26" t="s">
        <v>1302</v>
      </c>
      <c r="K157" s="27" t="s">
        <v>364</v>
      </c>
      <c r="L157" s="28" t="s">
        <v>365</v>
      </c>
      <c r="M157" s="28" t="s">
        <v>266</v>
      </c>
      <c r="N157" s="25">
        <v>1</v>
      </c>
      <c r="O157" s="29">
        <v>15</v>
      </c>
      <c r="P157" s="29">
        <v>15</v>
      </c>
      <c r="Q157" s="25" t="s">
        <v>487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57"/>
        <v>15</v>
      </c>
      <c r="AF157" s="32">
        <f t="shared" si="58"/>
        <v>0</v>
      </c>
      <c r="AG157" s="30"/>
      <c r="AH157" s="33">
        <v>1</v>
      </c>
      <c r="AI157" s="34">
        <f t="shared" si="59"/>
        <v>15</v>
      </c>
      <c r="AJ157" s="35">
        <v>46045</v>
      </c>
      <c r="AK157" s="30">
        <v>1</v>
      </c>
      <c r="AL157" s="36">
        <f t="shared" si="60"/>
        <v>15</v>
      </c>
      <c r="AM157" s="35">
        <v>46098</v>
      </c>
      <c r="AN157" s="30">
        <v>1</v>
      </c>
      <c r="AO157" s="36">
        <f t="shared" si="61"/>
        <v>15</v>
      </c>
      <c r="AP157" s="35">
        <v>46164</v>
      </c>
      <c r="AQ157" s="30">
        <v>1</v>
      </c>
      <c r="AR157" s="36">
        <f t="shared" si="62"/>
        <v>15</v>
      </c>
      <c r="AS157" s="27" t="s">
        <v>1298</v>
      </c>
      <c r="AT157" s="37">
        <v>46213</v>
      </c>
      <c r="AU157" s="30">
        <v>1</v>
      </c>
      <c r="AV157" s="36">
        <f t="shared" si="63"/>
        <v>15</v>
      </c>
      <c r="AW157" s="35">
        <v>46218</v>
      </c>
      <c r="AX157" s="30">
        <v>1</v>
      </c>
      <c r="AY157" s="32">
        <f t="shared" si="64"/>
        <v>15</v>
      </c>
      <c r="AZ157" s="30" t="s">
        <v>85</v>
      </c>
      <c r="BA157" s="63" t="s">
        <v>1299</v>
      </c>
      <c r="BB157" s="71"/>
      <c r="BC157" s="71" t="s">
        <v>1327</v>
      </c>
      <c r="BD157" s="71"/>
    </row>
    <row r="158" spans="1:56" x14ac:dyDescent="0.25">
      <c r="A158" s="24">
        <f>IF(B158="","",SUBTOTAL(3,$B$4:B158))</f>
        <v>153</v>
      </c>
      <c r="B158" s="25" t="s">
        <v>77</v>
      </c>
      <c r="C158" s="25" t="str">
        <f t="shared" si="56"/>
        <v>Shipment 1 400</v>
      </c>
      <c r="D158" s="25" t="s">
        <v>76</v>
      </c>
      <c r="E158" s="25">
        <v>400</v>
      </c>
      <c r="F158" s="25"/>
      <c r="G158" s="65">
        <v>45990</v>
      </c>
      <c r="H158" s="25" t="s">
        <v>1257</v>
      </c>
      <c r="I158" s="25" t="s">
        <v>1254</v>
      </c>
      <c r="J158" s="26" t="s">
        <v>1302</v>
      </c>
      <c r="K158" s="27" t="s">
        <v>364</v>
      </c>
      <c r="L158" s="28" t="s">
        <v>366</v>
      </c>
      <c r="M158" s="28" t="s">
        <v>266</v>
      </c>
      <c r="N158" s="25">
        <v>1</v>
      </c>
      <c r="O158" s="29">
        <v>15</v>
      </c>
      <c r="P158" s="29">
        <v>15</v>
      </c>
      <c r="Q158" s="25" t="s">
        <v>487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57"/>
        <v>15</v>
      </c>
      <c r="AF158" s="32">
        <f t="shared" si="58"/>
        <v>0</v>
      </c>
      <c r="AG158" s="30"/>
      <c r="AH158" s="33">
        <v>1</v>
      </c>
      <c r="AI158" s="34">
        <f t="shared" si="59"/>
        <v>15</v>
      </c>
      <c r="AJ158" s="35">
        <v>46045</v>
      </c>
      <c r="AK158" s="30">
        <v>1</v>
      </c>
      <c r="AL158" s="36">
        <f t="shared" si="60"/>
        <v>15</v>
      </c>
      <c r="AM158" s="35">
        <v>46098</v>
      </c>
      <c r="AN158" s="30">
        <v>1</v>
      </c>
      <c r="AO158" s="36">
        <f t="shared" si="61"/>
        <v>15</v>
      </c>
      <c r="AP158" s="35">
        <v>46164</v>
      </c>
      <c r="AQ158" s="30">
        <v>1</v>
      </c>
      <c r="AR158" s="36">
        <f t="shared" si="62"/>
        <v>15</v>
      </c>
      <c r="AS158" s="27" t="s">
        <v>1298</v>
      </c>
      <c r="AT158" s="37">
        <v>46213</v>
      </c>
      <c r="AU158" s="30">
        <v>1</v>
      </c>
      <c r="AV158" s="36">
        <f t="shared" si="63"/>
        <v>15</v>
      </c>
      <c r="AW158" s="35">
        <v>46218</v>
      </c>
      <c r="AX158" s="30">
        <v>1</v>
      </c>
      <c r="AY158" s="32">
        <f t="shared" si="64"/>
        <v>15</v>
      </c>
      <c r="AZ158" s="30" t="s">
        <v>85</v>
      </c>
      <c r="BA158" s="63" t="s">
        <v>1299</v>
      </c>
      <c r="BB158" s="71"/>
      <c r="BC158" s="71" t="s">
        <v>1327</v>
      </c>
      <c r="BD158" s="71"/>
    </row>
    <row r="159" spans="1:56" x14ac:dyDescent="0.25">
      <c r="A159" s="24">
        <f>IF(B159="","",SUBTOTAL(3,$B$4:B159))</f>
        <v>154</v>
      </c>
      <c r="B159" s="25" t="s">
        <v>77</v>
      </c>
      <c r="C159" s="25" t="str">
        <f t="shared" si="56"/>
        <v>Shipment 1 400</v>
      </c>
      <c r="D159" s="25" t="s">
        <v>76</v>
      </c>
      <c r="E159" s="25">
        <v>400</v>
      </c>
      <c r="F159" s="25"/>
      <c r="G159" s="65">
        <v>45990</v>
      </c>
      <c r="H159" s="25" t="s">
        <v>1257</v>
      </c>
      <c r="I159" s="25" t="s">
        <v>1254</v>
      </c>
      <c r="J159" s="26" t="s">
        <v>1302</v>
      </c>
      <c r="K159" s="27" t="s">
        <v>367</v>
      </c>
      <c r="L159" s="28" t="s">
        <v>368</v>
      </c>
      <c r="M159" s="28" t="s">
        <v>266</v>
      </c>
      <c r="N159" s="25">
        <v>1</v>
      </c>
      <c r="O159" s="29">
        <v>16.3</v>
      </c>
      <c r="P159" s="29">
        <v>16.3</v>
      </c>
      <c r="Q159" s="25" t="s">
        <v>488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57"/>
        <v>16.3</v>
      </c>
      <c r="AF159" s="32">
        <f t="shared" si="58"/>
        <v>0</v>
      </c>
      <c r="AG159" s="30"/>
      <c r="AH159" s="33">
        <v>1</v>
      </c>
      <c r="AI159" s="34">
        <f t="shared" si="59"/>
        <v>16.3</v>
      </c>
      <c r="AJ159" s="35">
        <v>46045</v>
      </c>
      <c r="AK159" s="30">
        <v>1</v>
      </c>
      <c r="AL159" s="36">
        <f t="shared" si="60"/>
        <v>16.3</v>
      </c>
      <c r="AM159" s="35">
        <v>46098</v>
      </c>
      <c r="AN159" s="30">
        <v>1</v>
      </c>
      <c r="AO159" s="36">
        <f t="shared" si="61"/>
        <v>16.3</v>
      </c>
      <c r="AP159" s="35">
        <v>46164</v>
      </c>
      <c r="AQ159" s="30">
        <v>1</v>
      </c>
      <c r="AR159" s="36">
        <f t="shared" si="62"/>
        <v>16.3</v>
      </c>
      <c r="AS159" s="27" t="s">
        <v>1298</v>
      </c>
      <c r="AT159" s="37">
        <v>46213</v>
      </c>
      <c r="AU159" s="30">
        <v>1</v>
      </c>
      <c r="AV159" s="36">
        <f t="shared" si="63"/>
        <v>16.3</v>
      </c>
      <c r="AW159" s="35">
        <v>46218</v>
      </c>
      <c r="AX159" s="30">
        <v>1</v>
      </c>
      <c r="AY159" s="32">
        <f t="shared" si="64"/>
        <v>16.3</v>
      </c>
      <c r="AZ159" s="30" t="s">
        <v>85</v>
      </c>
      <c r="BA159" s="63" t="s">
        <v>1299</v>
      </c>
      <c r="BB159" s="71"/>
      <c r="BC159" s="71" t="s">
        <v>1328</v>
      </c>
      <c r="BD159" s="71"/>
    </row>
    <row r="160" spans="1:56" x14ac:dyDescent="0.25">
      <c r="A160" s="24">
        <f>IF(B160="","",SUBTOTAL(3,$B$4:B160))</f>
        <v>155</v>
      </c>
      <c r="B160" s="25" t="s">
        <v>77</v>
      </c>
      <c r="C160" s="25" t="str">
        <f t="shared" si="56"/>
        <v>Shipment 1 400</v>
      </c>
      <c r="D160" s="25" t="s">
        <v>76</v>
      </c>
      <c r="E160" s="25">
        <v>400</v>
      </c>
      <c r="F160" s="25"/>
      <c r="G160" s="65">
        <v>45990</v>
      </c>
      <c r="H160" s="25" t="s">
        <v>1257</v>
      </c>
      <c r="I160" s="25" t="s">
        <v>1254</v>
      </c>
      <c r="J160" s="26" t="s">
        <v>1302</v>
      </c>
      <c r="K160" s="27" t="s">
        <v>367</v>
      </c>
      <c r="L160" s="28" t="s">
        <v>369</v>
      </c>
      <c r="M160" s="28" t="s">
        <v>266</v>
      </c>
      <c r="N160" s="25">
        <v>1</v>
      </c>
      <c r="O160" s="29">
        <v>16.3</v>
      </c>
      <c r="P160" s="29">
        <v>16.3</v>
      </c>
      <c r="Q160" s="25" t="s">
        <v>488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57"/>
        <v>16.3</v>
      </c>
      <c r="AF160" s="32">
        <f t="shared" si="58"/>
        <v>0</v>
      </c>
      <c r="AG160" s="30"/>
      <c r="AH160" s="33">
        <v>1</v>
      </c>
      <c r="AI160" s="34">
        <f t="shared" si="59"/>
        <v>16.3</v>
      </c>
      <c r="AJ160" s="35">
        <v>46045</v>
      </c>
      <c r="AK160" s="30">
        <v>1</v>
      </c>
      <c r="AL160" s="36">
        <f t="shared" si="60"/>
        <v>16.3</v>
      </c>
      <c r="AM160" s="35">
        <v>46098</v>
      </c>
      <c r="AN160" s="30">
        <v>1</v>
      </c>
      <c r="AO160" s="36">
        <f t="shared" si="61"/>
        <v>16.3</v>
      </c>
      <c r="AP160" s="35">
        <v>46164</v>
      </c>
      <c r="AQ160" s="30">
        <v>1</v>
      </c>
      <c r="AR160" s="36">
        <f t="shared" si="62"/>
        <v>16.3</v>
      </c>
      <c r="AS160" s="27" t="s">
        <v>1298</v>
      </c>
      <c r="AT160" s="37">
        <v>46213</v>
      </c>
      <c r="AU160" s="30">
        <v>1</v>
      </c>
      <c r="AV160" s="36">
        <f t="shared" si="63"/>
        <v>16.3</v>
      </c>
      <c r="AW160" s="35">
        <v>46218</v>
      </c>
      <c r="AX160" s="30">
        <v>1</v>
      </c>
      <c r="AY160" s="32">
        <f t="shared" si="64"/>
        <v>16.3</v>
      </c>
      <c r="AZ160" s="30" t="s">
        <v>85</v>
      </c>
      <c r="BA160" s="63" t="s">
        <v>1299</v>
      </c>
      <c r="BB160" s="71"/>
      <c r="BC160" s="71" t="s">
        <v>1328</v>
      </c>
      <c r="BD160" s="71"/>
    </row>
    <row r="161" spans="1:56" x14ac:dyDescent="0.25">
      <c r="A161" s="24">
        <f>IF(B161="","",SUBTOTAL(3,$B$4:B161))</f>
        <v>156</v>
      </c>
      <c r="B161" s="25" t="s">
        <v>77</v>
      </c>
      <c r="C161" s="25" t="str">
        <f t="shared" si="56"/>
        <v>Shipment 1 400</v>
      </c>
      <c r="D161" s="25" t="s">
        <v>76</v>
      </c>
      <c r="E161" s="25">
        <v>400</v>
      </c>
      <c r="F161" s="25"/>
      <c r="G161" s="65">
        <v>45990</v>
      </c>
      <c r="H161" s="25" t="s">
        <v>1257</v>
      </c>
      <c r="I161" s="25" t="s">
        <v>1254</v>
      </c>
      <c r="J161" s="26" t="s">
        <v>1302</v>
      </c>
      <c r="K161" s="27" t="s">
        <v>370</v>
      </c>
      <c r="L161" s="28" t="s">
        <v>371</v>
      </c>
      <c r="M161" s="28" t="s">
        <v>266</v>
      </c>
      <c r="N161" s="25">
        <v>1</v>
      </c>
      <c r="O161" s="29">
        <v>78.400000000000006</v>
      </c>
      <c r="P161" s="29">
        <v>78.400000000000006</v>
      </c>
      <c r="Q161" s="25" t="s">
        <v>489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57"/>
        <v>78.400000000000006</v>
      </c>
      <c r="AF161" s="32">
        <f t="shared" si="58"/>
        <v>0</v>
      </c>
      <c r="AG161" s="30"/>
      <c r="AH161" s="33">
        <v>1</v>
      </c>
      <c r="AI161" s="34">
        <f t="shared" si="59"/>
        <v>78.400000000000006</v>
      </c>
      <c r="AJ161" s="35">
        <v>46045</v>
      </c>
      <c r="AK161" s="30">
        <v>1</v>
      </c>
      <c r="AL161" s="36">
        <f t="shared" si="60"/>
        <v>78.400000000000006</v>
      </c>
      <c r="AM161" s="35">
        <v>46098</v>
      </c>
      <c r="AN161" s="30">
        <v>1</v>
      </c>
      <c r="AO161" s="36">
        <f t="shared" si="61"/>
        <v>78.400000000000006</v>
      </c>
      <c r="AP161" s="35">
        <v>46164</v>
      </c>
      <c r="AQ161" s="30">
        <v>1</v>
      </c>
      <c r="AR161" s="36">
        <f t="shared" si="62"/>
        <v>78.400000000000006</v>
      </c>
      <c r="AS161" s="27" t="s">
        <v>1298</v>
      </c>
      <c r="AT161" s="37">
        <v>46213</v>
      </c>
      <c r="AU161" s="30">
        <v>1</v>
      </c>
      <c r="AV161" s="36">
        <f t="shared" si="63"/>
        <v>78.400000000000006</v>
      </c>
      <c r="AW161" s="35">
        <v>46218</v>
      </c>
      <c r="AX161" s="30">
        <v>1</v>
      </c>
      <c r="AY161" s="32">
        <f t="shared" si="64"/>
        <v>78.400000000000006</v>
      </c>
      <c r="AZ161" s="30" t="s">
        <v>85</v>
      </c>
      <c r="BA161" s="63" t="s">
        <v>1299</v>
      </c>
      <c r="BB161" s="71"/>
      <c r="BC161" s="71" t="s">
        <v>1329</v>
      </c>
      <c r="BD161" s="71"/>
    </row>
    <row r="162" spans="1:56" x14ac:dyDescent="0.25">
      <c r="A162" s="24">
        <f>IF(B162="","",SUBTOTAL(3,$B$4:B162))</f>
        <v>157</v>
      </c>
      <c r="B162" s="25" t="s">
        <v>77</v>
      </c>
      <c r="C162" s="25" t="str">
        <f t="shared" si="56"/>
        <v>Shipment 1 400</v>
      </c>
      <c r="D162" s="25" t="s">
        <v>76</v>
      </c>
      <c r="E162" s="25">
        <v>400</v>
      </c>
      <c r="F162" s="25"/>
      <c r="G162" s="65">
        <v>45990</v>
      </c>
      <c r="H162" s="25" t="s">
        <v>1257</v>
      </c>
      <c r="I162" s="25" t="s">
        <v>1254</v>
      </c>
      <c r="J162" s="26" t="s">
        <v>1302</v>
      </c>
      <c r="K162" s="27" t="s">
        <v>370</v>
      </c>
      <c r="L162" s="28" t="s">
        <v>372</v>
      </c>
      <c r="M162" s="28" t="s">
        <v>266</v>
      </c>
      <c r="N162" s="25">
        <v>1</v>
      </c>
      <c r="O162" s="29">
        <v>78.400000000000006</v>
      </c>
      <c r="P162" s="29">
        <v>78.400000000000006</v>
      </c>
      <c r="Q162" s="25" t="s">
        <v>489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57"/>
        <v>78.400000000000006</v>
      </c>
      <c r="AF162" s="32">
        <f t="shared" si="58"/>
        <v>0</v>
      </c>
      <c r="AG162" s="30"/>
      <c r="AH162" s="33">
        <v>1</v>
      </c>
      <c r="AI162" s="34">
        <f t="shared" si="59"/>
        <v>78.400000000000006</v>
      </c>
      <c r="AJ162" s="35">
        <v>46045</v>
      </c>
      <c r="AK162" s="30">
        <v>1</v>
      </c>
      <c r="AL162" s="36">
        <f t="shared" si="60"/>
        <v>78.400000000000006</v>
      </c>
      <c r="AM162" s="35">
        <v>46098</v>
      </c>
      <c r="AN162" s="30">
        <v>1</v>
      </c>
      <c r="AO162" s="36">
        <f t="shared" si="61"/>
        <v>78.400000000000006</v>
      </c>
      <c r="AP162" s="35">
        <v>46164</v>
      </c>
      <c r="AQ162" s="30">
        <v>1</v>
      </c>
      <c r="AR162" s="36">
        <f t="shared" si="62"/>
        <v>78.400000000000006</v>
      </c>
      <c r="AS162" s="27" t="s">
        <v>1298</v>
      </c>
      <c r="AT162" s="37">
        <v>46213</v>
      </c>
      <c r="AU162" s="30">
        <v>1</v>
      </c>
      <c r="AV162" s="36">
        <f t="shared" si="63"/>
        <v>78.400000000000006</v>
      </c>
      <c r="AW162" s="35">
        <v>46218</v>
      </c>
      <c r="AX162" s="30">
        <v>1</v>
      </c>
      <c r="AY162" s="32">
        <f t="shared" si="64"/>
        <v>78.400000000000006</v>
      </c>
      <c r="AZ162" s="30" t="s">
        <v>85</v>
      </c>
      <c r="BA162" s="63" t="s">
        <v>1299</v>
      </c>
      <c r="BB162" s="71"/>
      <c r="BC162" s="71" t="s">
        <v>1329</v>
      </c>
      <c r="BD162" s="71"/>
    </row>
    <row r="163" spans="1:56" x14ac:dyDescent="0.25">
      <c r="A163" s="24">
        <f>IF(B163="","",SUBTOTAL(3,$B$4:B163))</f>
        <v>158</v>
      </c>
      <c r="B163" s="25" t="s">
        <v>77</v>
      </c>
      <c r="C163" s="25" t="str">
        <f t="shared" si="56"/>
        <v>Shipment 1 400</v>
      </c>
      <c r="D163" s="25" t="s">
        <v>76</v>
      </c>
      <c r="E163" s="25">
        <v>400</v>
      </c>
      <c r="F163" s="25"/>
      <c r="G163" s="65">
        <v>45990</v>
      </c>
      <c r="H163" s="25" t="s">
        <v>1257</v>
      </c>
      <c r="I163" s="25" t="s">
        <v>1254</v>
      </c>
      <c r="J163" s="26" t="s">
        <v>1302</v>
      </c>
      <c r="K163" s="27" t="s">
        <v>373</v>
      </c>
      <c r="L163" s="28" t="s">
        <v>374</v>
      </c>
      <c r="M163" s="28" t="s">
        <v>266</v>
      </c>
      <c r="N163" s="25">
        <v>1</v>
      </c>
      <c r="O163" s="29">
        <v>64.900000000000006</v>
      </c>
      <c r="P163" s="29">
        <v>64.900000000000006</v>
      </c>
      <c r="Q163" s="25" t="s">
        <v>490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57"/>
        <v>64.900000000000006</v>
      </c>
      <c r="AF163" s="32">
        <f t="shared" si="58"/>
        <v>0</v>
      </c>
      <c r="AG163" s="30"/>
      <c r="AH163" s="33">
        <v>1</v>
      </c>
      <c r="AI163" s="34">
        <f t="shared" si="59"/>
        <v>64.900000000000006</v>
      </c>
      <c r="AJ163" s="35">
        <v>46045</v>
      </c>
      <c r="AK163" s="30">
        <v>1</v>
      </c>
      <c r="AL163" s="36">
        <f t="shared" si="60"/>
        <v>64.900000000000006</v>
      </c>
      <c r="AM163" s="35">
        <v>46098</v>
      </c>
      <c r="AN163" s="30">
        <v>1</v>
      </c>
      <c r="AO163" s="36">
        <f t="shared" si="61"/>
        <v>64.900000000000006</v>
      </c>
      <c r="AP163" s="35">
        <v>46164</v>
      </c>
      <c r="AQ163" s="30">
        <v>1</v>
      </c>
      <c r="AR163" s="36">
        <f t="shared" si="62"/>
        <v>64.900000000000006</v>
      </c>
      <c r="AS163" s="27" t="s">
        <v>1298</v>
      </c>
      <c r="AT163" s="37">
        <v>46213</v>
      </c>
      <c r="AU163" s="30">
        <v>1</v>
      </c>
      <c r="AV163" s="36">
        <f t="shared" si="63"/>
        <v>64.900000000000006</v>
      </c>
      <c r="AW163" s="35">
        <v>46218</v>
      </c>
      <c r="AX163" s="30">
        <v>1</v>
      </c>
      <c r="AY163" s="32">
        <f t="shared" si="64"/>
        <v>64.900000000000006</v>
      </c>
      <c r="AZ163" s="30" t="s">
        <v>85</v>
      </c>
      <c r="BA163" s="63" t="s">
        <v>1299</v>
      </c>
      <c r="BB163" s="71"/>
      <c r="BC163" s="71" t="s">
        <v>1330</v>
      </c>
      <c r="BD163" s="71"/>
    </row>
    <row r="164" spans="1:56" x14ac:dyDescent="0.25">
      <c r="A164" s="24">
        <f>IF(B164="","",SUBTOTAL(3,$B$4:B164))</f>
        <v>159</v>
      </c>
      <c r="B164" s="25" t="s">
        <v>77</v>
      </c>
      <c r="C164" s="25" t="str">
        <f t="shared" si="56"/>
        <v>Shipment 1 400</v>
      </c>
      <c r="D164" s="25" t="s">
        <v>76</v>
      </c>
      <c r="E164" s="25">
        <v>400</v>
      </c>
      <c r="F164" s="25"/>
      <c r="G164" s="65">
        <v>45990</v>
      </c>
      <c r="H164" s="25" t="s">
        <v>1257</v>
      </c>
      <c r="I164" s="25" t="s">
        <v>1254</v>
      </c>
      <c r="J164" s="26" t="s">
        <v>1302</v>
      </c>
      <c r="K164" s="27" t="s">
        <v>373</v>
      </c>
      <c r="L164" s="28" t="s">
        <v>375</v>
      </c>
      <c r="M164" s="28" t="s">
        <v>266</v>
      </c>
      <c r="N164" s="25">
        <v>1</v>
      </c>
      <c r="O164" s="29">
        <v>64.900000000000006</v>
      </c>
      <c r="P164" s="29">
        <v>64.900000000000006</v>
      </c>
      <c r="Q164" s="25" t="s">
        <v>490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57"/>
        <v>64.900000000000006</v>
      </c>
      <c r="AF164" s="32">
        <f t="shared" si="58"/>
        <v>0</v>
      </c>
      <c r="AG164" s="30"/>
      <c r="AH164" s="33">
        <v>1</v>
      </c>
      <c r="AI164" s="34">
        <f t="shared" si="59"/>
        <v>64.900000000000006</v>
      </c>
      <c r="AJ164" s="35">
        <v>46045</v>
      </c>
      <c r="AK164" s="30">
        <v>1</v>
      </c>
      <c r="AL164" s="36">
        <f t="shared" si="60"/>
        <v>64.900000000000006</v>
      </c>
      <c r="AM164" s="35">
        <v>46098</v>
      </c>
      <c r="AN164" s="30">
        <v>1</v>
      </c>
      <c r="AO164" s="36">
        <f t="shared" si="61"/>
        <v>64.900000000000006</v>
      </c>
      <c r="AP164" s="35">
        <v>46164</v>
      </c>
      <c r="AQ164" s="30">
        <v>1</v>
      </c>
      <c r="AR164" s="36">
        <f t="shared" si="62"/>
        <v>64.900000000000006</v>
      </c>
      <c r="AS164" s="27" t="s">
        <v>1298</v>
      </c>
      <c r="AT164" s="37">
        <v>46213</v>
      </c>
      <c r="AU164" s="30">
        <v>1</v>
      </c>
      <c r="AV164" s="36">
        <f t="shared" si="63"/>
        <v>64.900000000000006</v>
      </c>
      <c r="AW164" s="35">
        <v>46218</v>
      </c>
      <c r="AX164" s="30">
        <v>1</v>
      </c>
      <c r="AY164" s="32">
        <f t="shared" si="64"/>
        <v>64.900000000000006</v>
      </c>
      <c r="AZ164" s="30" t="s">
        <v>85</v>
      </c>
      <c r="BA164" s="63" t="s">
        <v>1299</v>
      </c>
      <c r="BB164" s="71"/>
      <c r="BC164" s="71" t="s">
        <v>1330</v>
      </c>
      <c r="BD164" s="71"/>
    </row>
    <row r="165" spans="1:56" x14ac:dyDescent="0.25">
      <c r="A165" s="24">
        <f>IF(B165="","",SUBTOTAL(3,$B$4:B165))</f>
        <v>160</v>
      </c>
      <c r="B165" s="25" t="s">
        <v>77</v>
      </c>
      <c r="C165" s="25" t="str">
        <f t="shared" si="56"/>
        <v>Shipment 1 400</v>
      </c>
      <c r="D165" s="25" t="s">
        <v>76</v>
      </c>
      <c r="E165" s="25">
        <v>400</v>
      </c>
      <c r="F165" s="25"/>
      <c r="G165" s="65">
        <v>45990</v>
      </c>
      <c r="H165" s="25" t="s">
        <v>1257</v>
      </c>
      <c r="I165" s="25" t="s">
        <v>1254</v>
      </c>
      <c r="J165" s="26" t="s">
        <v>1302</v>
      </c>
      <c r="K165" s="27" t="s">
        <v>376</v>
      </c>
      <c r="L165" s="28" t="s">
        <v>377</v>
      </c>
      <c r="M165" s="28" t="s">
        <v>266</v>
      </c>
      <c r="N165" s="25">
        <v>1</v>
      </c>
      <c r="O165" s="29">
        <v>0.6</v>
      </c>
      <c r="P165" s="29">
        <v>0.6</v>
      </c>
      <c r="Q165" s="25" t="s">
        <v>491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57"/>
        <v>0.60000000000000009</v>
      </c>
      <c r="AF165" s="32">
        <f t="shared" si="58"/>
        <v>0</v>
      </c>
      <c r="AG165" s="30"/>
      <c r="AH165" s="33">
        <v>1</v>
      </c>
      <c r="AI165" s="34">
        <f t="shared" si="59"/>
        <v>0.6</v>
      </c>
      <c r="AJ165" s="35">
        <v>46164</v>
      </c>
      <c r="AK165" s="30">
        <v>1</v>
      </c>
      <c r="AL165" s="36">
        <f t="shared" si="60"/>
        <v>0.6</v>
      </c>
      <c r="AM165" s="35">
        <v>46164</v>
      </c>
      <c r="AN165" s="30">
        <v>1</v>
      </c>
      <c r="AO165" s="36">
        <f t="shared" si="61"/>
        <v>0.6</v>
      </c>
      <c r="AP165" s="35">
        <v>46164</v>
      </c>
      <c r="AQ165" s="30">
        <v>1</v>
      </c>
      <c r="AR165" s="36">
        <f t="shared" si="62"/>
        <v>0.6</v>
      </c>
      <c r="AS165" s="27" t="s">
        <v>1303</v>
      </c>
      <c r="AT165" s="37">
        <v>46233</v>
      </c>
      <c r="AU165" s="30">
        <v>1</v>
      </c>
      <c r="AV165" s="36">
        <f t="shared" si="63"/>
        <v>0.6</v>
      </c>
      <c r="AW165" s="35">
        <v>46235</v>
      </c>
      <c r="AX165" s="30">
        <v>1</v>
      </c>
      <c r="AY165" s="32">
        <f t="shared" si="64"/>
        <v>0.6</v>
      </c>
      <c r="AZ165" s="30" t="s">
        <v>85</v>
      </c>
      <c r="BA165" s="63" t="s">
        <v>1310</v>
      </c>
      <c r="BB165" s="71"/>
      <c r="BC165" s="71" t="s">
        <v>1331</v>
      </c>
      <c r="BD165" s="71"/>
    </row>
    <row r="166" spans="1:56" x14ac:dyDescent="0.25">
      <c r="A166" s="24">
        <f>IF(B166="","",SUBTOTAL(3,$B$4:B166))</f>
        <v>161</v>
      </c>
      <c r="B166" s="25" t="s">
        <v>77</v>
      </c>
      <c r="C166" s="25" t="str">
        <f t="shared" si="56"/>
        <v>Shipment 1 400</v>
      </c>
      <c r="D166" s="25" t="s">
        <v>76</v>
      </c>
      <c r="E166" s="25">
        <v>400</v>
      </c>
      <c r="F166" s="25"/>
      <c r="G166" s="65">
        <v>45990</v>
      </c>
      <c r="H166" s="25" t="s">
        <v>1257</v>
      </c>
      <c r="I166" s="25" t="s">
        <v>1254</v>
      </c>
      <c r="J166" s="26" t="s">
        <v>1302</v>
      </c>
      <c r="K166" s="27" t="s">
        <v>376</v>
      </c>
      <c r="L166" s="28" t="s">
        <v>378</v>
      </c>
      <c r="M166" s="28" t="s">
        <v>266</v>
      </c>
      <c r="N166" s="25">
        <v>1</v>
      </c>
      <c r="O166" s="29">
        <v>0.6</v>
      </c>
      <c r="P166" s="29">
        <v>0.6</v>
      </c>
      <c r="Q166" s="25" t="s">
        <v>491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57"/>
        <v>0.60000000000000009</v>
      </c>
      <c r="AF166" s="32">
        <f t="shared" si="58"/>
        <v>0</v>
      </c>
      <c r="AG166" s="30"/>
      <c r="AH166" s="33">
        <v>1</v>
      </c>
      <c r="AI166" s="34">
        <f t="shared" si="59"/>
        <v>0.6</v>
      </c>
      <c r="AJ166" s="35">
        <v>46164</v>
      </c>
      <c r="AK166" s="30">
        <v>1</v>
      </c>
      <c r="AL166" s="36">
        <f t="shared" ref="AL166:AL184" si="66">IFERROR(AK166*$P166/$N166,0)</f>
        <v>0.6</v>
      </c>
      <c r="AM166" s="35">
        <v>46164</v>
      </c>
      <c r="AN166" s="30">
        <v>1</v>
      </c>
      <c r="AO166" s="36">
        <f t="shared" ref="AO166:AO184" si="67">IFERROR(AN166*$P166/$N166,0)</f>
        <v>0.6</v>
      </c>
      <c r="AP166" s="35">
        <v>46164</v>
      </c>
      <c r="AQ166" s="30">
        <v>1</v>
      </c>
      <c r="AR166" s="36">
        <f t="shared" si="62"/>
        <v>0.6</v>
      </c>
      <c r="AS166" s="27" t="s">
        <v>1303</v>
      </c>
      <c r="AT166" s="37">
        <v>46233</v>
      </c>
      <c r="AU166" s="30">
        <v>1</v>
      </c>
      <c r="AV166" s="36">
        <f t="shared" si="63"/>
        <v>0.6</v>
      </c>
      <c r="AW166" s="35">
        <v>46235</v>
      </c>
      <c r="AX166" s="30">
        <v>1</v>
      </c>
      <c r="AY166" s="32">
        <f t="shared" si="64"/>
        <v>0.6</v>
      </c>
      <c r="AZ166" s="30" t="s">
        <v>85</v>
      </c>
      <c r="BA166" s="63" t="s">
        <v>1310</v>
      </c>
      <c r="BB166" s="71"/>
      <c r="BC166" s="71" t="s">
        <v>1331</v>
      </c>
      <c r="BD166" s="71"/>
    </row>
    <row r="167" spans="1:56" x14ac:dyDescent="0.25">
      <c r="A167" s="24">
        <f>IF(B167="","",SUBTOTAL(3,$B$4:B167))</f>
        <v>162</v>
      </c>
      <c r="B167" s="25" t="s">
        <v>77</v>
      </c>
      <c r="C167" s="25" t="str">
        <f t="shared" si="56"/>
        <v>Shipment 1 400</v>
      </c>
      <c r="D167" s="25" t="s">
        <v>76</v>
      </c>
      <c r="E167" s="25">
        <v>400</v>
      </c>
      <c r="F167" s="25"/>
      <c r="G167" s="65">
        <v>45990</v>
      </c>
      <c r="H167" s="25" t="s">
        <v>1257</v>
      </c>
      <c r="I167" s="25" t="s">
        <v>1254</v>
      </c>
      <c r="J167" s="26" t="s">
        <v>1302</v>
      </c>
      <c r="K167" s="27" t="s">
        <v>376</v>
      </c>
      <c r="L167" s="28" t="s">
        <v>379</v>
      </c>
      <c r="M167" s="28" t="s">
        <v>266</v>
      </c>
      <c r="N167" s="25">
        <v>1</v>
      </c>
      <c r="O167" s="29">
        <v>0.6</v>
      </c>
      <c r="P167" s="29">
        <v>0.6</v>
      </c>
      <c r="Q167" s="25" t="s">
        <v>491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57"/>
        <v>0.60000000000000009</v>
      </c>
      <c r="AF167" s="32">
        <f t="shared" si="58"/>
        <v>0</v>
      </c>
      <c r="AG167" s="30"/>
      <c r="AH167" s="33">
        <v>1</v>
      </c>
      <c r="AI167" s="34">
        <f t="shared" si="59"/>
        <v>0.6</v>
      </c>
      <c r="AJ167" s="35">
        <v>46164</v>
      </c>
      <c r="AK167" s="30">
        <v>1</v>
      </c>
      <c r="AL167" s="36">
        <f t="shared" si="66"/>
        <v>0.6</v>
      </c>
      <c r="AM167" s="35">
        <v>46164</v>
      </c>
      <c r="AN167" s="30">
        <v>1</v>
      </c>
      <c r="AO167" s="36">
        <f t="shared" si="67"/>
        <v>0.6</v>
      </c>
      <c r="AP167" s="35">
        <v>46164</v>
      </c>
      <c r="AQ167" s="30">
        <v>1</v>
      </c>
      <c r="AR167" s="36">
        <f t="shared" si="62"/>
        <v>0.6</v>
      </c>
      <c r="AS167" s="27" t="s">
        <v>1303</v>
      </c>
      <c r="AT167" s="37">
        <v>46233</v>
      </c>
      <c r="AU167" s="30">
        <v>1</v>
      </c>
      <c r="AV167" s="36">
        <f t="shared" si="63"/>
        <v>0.6</v>
      </c>
      <c r="AW167" s="35">
        <v>46235</v>
      </c>
      <c r="AX167" s="30">
        <v>1</v>
      </c>
      <c r="AY167" s="32">
        <f t="shared" si="64"/>
        <v>0.6</v>
      </c>
      <c r="AZ167" s="30" t="s">
        <v>85</v>
      </c>
      <c r="BA167" s="63" t="s">
        <v>1310</v>
      </c>
      <c r="BB167" s="71"/>
      <c r="BC167" s="71" t="s">
        <v>1331</v>
      </c>
      <c r="BD167" s="71"/>
    </row>
    <row r="168" spans="1:56" x14ac:dyDescent="0.25">
      <c r="A168" s="24">
        <f>IF(B168="","",SUBTOTAL(3,$B$4:B168))</f>
        <v>163</v>
      </c>
      <c r="B168" s="25" t="s">
        <v>77</v>
      </c>
      <c r="C168" s="25" t="str">
        <f t="shared" si="56"/>
        <v>Shipment 1 400</v>
      </c>
      <c r="D168" s="25" t="s">
        <v>76</v>
      </c>
      <c r="E168" s="25">
        <v>400</v>
      </c>
      <c r="F168" s="25"/>
      <c r="G168" s="65">
        <v>45990</v>
      </c>
      <c r="H168" s="25" t="s">
        <v>1257</v>
      </c>
      <c r="I168" s="25" t="s">
        <v>1254</v>
      </c>
      <c r="J168" s="26" t="s">
        <v>1302</v>
      </c>
      <c r="K168" s="27" t="s">
        <v>376</v>
      </c>
      <c r="L168" s="28" t="s">
        <v>380</v>
      </c>
      <c r="M168" s="28" t="s">
        <v>266</v>
      </c>
      <c r="N168" s="25">
        <v>1</v>
      </c>
      <c r="O168" s="29">
        <v>0.6</v>
      </c>
      <c r="P168" s="29">
        <v>0.6</v>
      </c>
      <c r="Q168" s="25" t="s">
        <v>491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57"/>
        <v>0.60000000000000009</v>
      </c>
      <c r="AF168" s="32">
        <f t="shared" si="58"/>
        <v>0</v>
      </c>
      <c r="AG168" s="30"/>
      <c r="AH168" s="33">
        <v>1</v>
      </c>
      <c r="AI168" s="34">
        <f t="shared" si="59"/>
        <v>0.6</v>
      </c>
      <c r="AJ168" s="35">
        <v>46164</v>
      </c>
      <c r="AK168" s="30">
        <v>1</v>
      </c>
      <c r="AL168" s="36">
        <f t="shared" si="66"/>
        <v>0.6</v>
      </c>
      <c r="AM168" s="35">
        <v>46164</v>
      </c>
      <c r="AN168" s="30">
        <v>1</v>
      </c>
      <c r="AO168" s="36">
        <f t="shared" si="67"/>
        <v>0.6</v>
      </c>
      <c r="AP168" s="35">
        <v>46164</v>
      </c>
      <c r="AQ168" s="30">
        <v>1</v>
      </c>
      <c r="AR168" s="36">
        <f t="shared" si="62"/>
        <v>0.6</v>
      </c>
      <c r="AS168" s="27" t="s">
        <v>1303</v>
      </c>
      <c r="AT168" s="37">
        <v>46233</v>
      </c>
      <c r="AU168" s="30">
        <v>1</v>
      </c>
      <c r="AV168" s="36">
        <f t="shared" si="63"/>
        <v>0.6</v>
      </c>
      <c r="AW168" s="35">
        <v>46235</v>
      </c>
      <c r="AX168" s="30">
        <v>1</v>
      </c>
      <c r="AY168" s="32">
        <f t="shared" si="64"/>
        <v>0.6</v>
      </c>
      <c r="AZ168" s="30" t="s">
        <v>85</v>
      </c>
      <c r="BA168" s="63" t="s">
        <v>1310</v>
      </c>
      <c r="BB168" s="71"/>
      <c r="BC168" s="71" t="s">
        <v>1331</v>
      </c>
      <c r="BD168" s="71"/>
    </row>
    <row r="169" spans="1:56" x14ac:dyDescent="0.25">
      <c r="A169" s="24">
        <f>IF(B169="","",SUBTOTAL(3,$B$4:B169))</f>
        <v>164</v>
      </c>
      <c r="B169" s="25" t="s">
        <v>77</v>
      </c>
      <c r="C169" s="25" t="str">
        <f t="shared" si="56"/>
        <v>Shipment 1 400</v>
      </c>
      <c r="D169" s="25" t="s">
        <v>76</v>
      </c>
      <c r="E169" s="25">
        <v>400</v>
      </c>
      <c r="F169" s="25"/>
      <c r="G169" s="65">
        <v>45990</v>
      </c>
      <c r="H169" s="25" t="s">
        <v>1257</v>
      </c>
      <c r="I169" s="25" t="s">
        <v>1254</v>
      </c>
      <c r="J169" s="26" t="s">
        <v>1302</v>
      </c>
      <c r="K169" s="27" t="s">
        <v>381</v>
      </c>
      <c r="L169" s="28" t="s">
        <v>382</v>
      </c>
      <c r="M169" s="28" t="s">
        <v>266</v>
      </c>
      <c r="N169" s="25">
        <v>1</v>
      </c>
      <c r="O169" s="29">
        <v>0.6</v>
      </c>
      <c r="P169" s="29">
        <v>0.6</v>
      </c>
      <c r="Q169" s="25" t="s">
        <v>491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57"/>
        <v>0.60000000000000009</v>
      </c>
      <c r="AF169" s="32">
        <f t="shared" si="58"/>
        <v>0</v>
      </c>
      <c r="AG169" s="30"/>
      <c r="AH169" s="33">
        <v>1</v>
      </c>
      <c r="AI169" s="34">
        <f t="shared" si="59"/>
        <v>0.6</v>
      </c>
      <c r="AJ169" s="35">
        <v>46164</v>
      </c>
      <c r="AK169" s="30">
        <v>1</v>
      </c>
      <c r="AL169" s="36">
        <f t="shared" si="66"/>
        <v>0.6</v>
      </c>
      <c r="AM169" s="35">
        <v>46164</v>
      </c>
      <c r="AN169" s="30">
        <v>1</v>
      </c>
      <c r="AO169" s="36">
        <f t="shared" si="67"/>
        <v>0.6</v>
      </c>
      <c r="AP169" s="35">
        <v>46164</v>
      </c>
      <c r="AQ169" s="30">
        <v>1</v>
      </c>
      <c r="AR169" s="36">
        <f t="shared" si="62"/>
        <v>0.6</v>
      </c>
      <c r="AS169" s="27" t="s">
        <v>1303</v>
      </c>
      <c r="AT169" s="37">
        <v>46233</v>
      </c>
      <c r="AU169" s="30">
        <v>1</v>
      </c>
      <c r="AV169" s="36">
        <f t="shared" si="63"/>
        <v>0.6</v>
      </c>
      <c r="AW169" s="35">
        <v>46235</v>
      </c>
      <c r="AX169" s="30">
        <v>1</v>
      </c>
      <c r="AY169" s="32">
        <f t="shared" si="64"/>
        <v>0.6</v>
      </c>
      <c r="AZ169" s="30" t="s">
        <v>85</v>
      </c>
      <c r="BA169" s="63" t="s">
        <v>1310</v>
      </c>
      <c r="BB169" s="71"/>
      <c r="BC169" s="71" t="s">
        <v>1332</v>
      </c>
      <c r="BD169" s="71"/>
    </row>
    <row r="170" spans="1:56" x14ac:dyDescent="0.25">
      <c r="A170" s="24">
        <f>IF(B170="","",SUBTOTAL(3,$B$4:B170))</f>
        <v>165</v>
      </c>
      <c r="B170" s="25" t="s">
        <v>77</v>
      </c>
      <c r="C170" s="25" t="str">
        <f t="shared" si="56"/>
        <v>Shipment 1 400</v>
      </c>
      <c r="D170" s="25" t="s">
        <v>76</v>
      </c>
      <c r="E170" s="25">
        <v>400</v>
      </c>
      <c r="F170" s="25"/>
      <c r="G170" s="65">
        <v>45990</v>
      </c>
      <c r="H170" s="25" t="s">
        <v>1257</v>
      </c>
      <c r="I170" s="25" t="s">
        <v>1254</v>
      </c>
      <c r="J170" s="26" t="s">
        <v>1302</v>
      </c>
      <c r="K170" s="27" t="s">
        <v>381</v>
      </c>
      <c r="L170" s="28" t="s">
        <v>383</v>
      </c>
      <c r="M170" s="28" t="s">
        <v>266</v>
      </c>
      <c r="N170" s="25">
        <v>1</v>
      </c>
      <c r="O170" s="29">
        <v>0.6</v>
      </c>
      <c r="P170" s="29">
        <v>0.6</v>
      </c>
      <c r="Q170" s="25" t="s">
        <v>491</v>
      </c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57"/>
        <v>0.60000000000000009</v>
      </c>
      <c r="AF170" s="32">
        <f t="shared" si="58"/>
        <v>0</v>
      </c>
      <c r="AG170" s="30"/>
      <c r="AH170" s="33">
        <v>1</v>
      </c>
      <c r="AI170" s="34">
        <f t="shared" si="59"/>
        <v>0.6</v>
      </c>
      <c r="AJ170" s="35">
        <v>46164</v>
      </c>
      <c r="AK170" s="30">
        <v>1</v>
      </c>
      <c r="AL170" s="36">
        <f t="shared" si="66"/>
        <v>0.6</v>
      </c>
      <c r="AM170" s="35">
        <v>46164</v>
      </c>
      <c r="AN170" s="30">
        <v>1</v>
      </c>
      <c r="AO170" s="36">
        <f t="shared" si="67"/>
        <v>0.6</v>
      </c>
      <c r="AP170" s="35">
        <v>46164</v>
      </c>
      <c r="AQ170" s="30">
        <v>1</v>
      </c>
      <c r="AR170" s="36">
        <f t="shared" si="62"/>
        <v>0.6</v>
      </c>
      <c r="AS170" s="27" t="s">
        <v>1303</v>
      </c>
      <c r="AT170" s="37">
        <v>46233</v>
      </c>
      <c r="AU170" s="30">
        <v>1</v>
      </c>
      <c r="AV170" s="36">
        <f t="shared" si="63"/>
        <v>0.6</v>
      </c>
      <c r="AW170" s="35">
        <v>46235</v>
      </c>
      <c r="AX170" s="30">
        <v>1</v>
      </c>
      <c r="AY170" s="32">
        <f t="shared" si="64"/>
        <v>0.6</v>
      </c>
      <c r="AZ170" s="30" t="s">
        <v>85</v>
      </c>
      <c r="BA170" s="63" t="s">
        <v>1310</v>
      </c>
      <c r="BB170" s="71"/>
      <c r="BC170" s="71" t="s">
        <v>1332</v>
      </c>
      <c r="BD170" s="71"/>
    </row>
    <row r="171" spans="1:56" x14ac:dyDescent="0.25">
      <c r="A171" s="24">
        <f>IF(B171="","",SUBTOTAL(3,$B$4:B171))</f>
        <v>166</v>
      </c>
      <c r="B171" s="25" t="s">
        <v>77</v>
      </c>
      <c r="C171" s="25" t="str">
        <f t="shared" si="56"/>
        <v>Shipment 1 400</v>
      </c>
      <c r="D171" s="25" t="s">
        <v>76</v>
      </c>
      <c r="E171" s="25">
        <v>400</v>
      </c>
      <c r="F171" s="25"/>
      <c r="G171" s="65">
        <v>45990</v>
      </c>
      <c r="H171" s="25" t="s">
        <v>1257</v>
      </c>
      <c r="I171" s="25" t="s">
        <v>1254</v>
      </c>
      <c r="J171" s="26" t="s">
        <v>1302</v>
      </c>
      <c r="K171" s="27" t="s">
        <v>381</v>
      </c>
      <c r="L171" s="28" t="s">
        <v>384</v>
      </c>
      <c r="M171" s="28" t="s">
        <v>266</v>
      </c>
      <c r="N171" s="25">
        <v>1</v>
      </c>
      <c r="O171" s="29">
        <v>0.6</v>
      </c>
      <c r="P171" s="29">
        <v>0.6</v>
      </c>
      <c r="Q171" s="25" t="s">
        <v>491</v>
      </c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57"/>
        <v>0.60000000000000009</v>
      </c>
      <c r="AF171" s="32">
        <f t="shared" si="58"/>
        <v>0</v>
      </c>
      <c r="AG171" s="30"/>
      <c r="AH171" s="33">
        <v>1</v>
      </c>
      <c r="AI171" s="34">
        <f t="shared" si="59"/>
        <v>0.6</v>
      </c>
      <c r="AJ171" s="35">
        <v>46164</v>
      </c>
      <c r="AK171" s="30">
        <v>1</v>
      </c>
      <c r="AL171" s="36">
        <f t="shared" si="66"/>
        <v>0.6</v>
      </c>
      <c r="AM171" s="35">
        <v>46164</v>
      </c>
      <c r="AN171" s="30">
        <v>1</v>
      </c>
      <c r="AO171" s="36">
        <f t="shared" si="67"/>
        <v>0.6</v>
      </c>
      <c r="AP171" s="35">
        <v>46164</v>
      </c>
      <c r="AQ171" s="30">
        <v>1</v>
      </c>
      <c r="AR171" s="36">
        <f t="shared" si="62"/>
        <v>0.6</v>
      </c>
      <c r="AS171" s="27" t="s">
        <v>1303</v>
      </c>
      <c r="AT171" s="37">
        <v>46233</v>
      </c>
      <c r="AU171" s="30">
        <v>1</v>
      </c>
      <c r="AV171" s="36">
        <f t="shared" si="63"/>
        <v>0.6</v>
      </c>
      <c r="AW171" s="35">
        <v>46235</v>
      </c>
      <c r="AX171" s="30">
        <v>1</v>
      </c>
      <c r="AY171" s="32">
        <f t="shared" si="64"/>
        <v>0.6</v>
      </c>
      <c r="AZ171" s="30" t="s">
        <v>85</v>
      </c>
      <c r="BA171" s="63" t="s">
        <v>1310</v>
      </c>
      <c r="BB171" s="71"/>
      <c r="BC171" s="71" t="s">
        <v>1332</v>
      </c>
      <c r="BD171" s="71"/>
    </row>
    <row r="172" spans="1:56" x14ac:dyDescent="0.25">
      <c r="A172" s="24">
        <f>IF(B172="","",SUBTOTAL(3,$B$4:B172))</f>
        <v>167</v>
      </c>
      <c r="B172" s="25" t="s">
        <v>77</v>
      </c>
      <c r="C172" s="25" t="str">
        <f t="shared" si="56"/>
        <v>Shipment 1 400</v>
      </c>
      <c r="D172" s="25" t="s">
        <v>76</v>
      </c>
      <c r="E172" s="25">
        <v>400</v>
      </c>
      <c r="F172" s="25"/>
      <c r="G172" s="65">
        <v>45990</v>
      </c>
      <c r="H172" s="25" t="s">
        <v>1257</v>
      </c>
      <c r="I172" s="25" t="s">
        <v>1254</v>
      </c>
      <c r="J172" s="26" t="s">
        <v>1302</v>
      </c>
      <c r="K172" s="27" t="s">
        <v>381</v>
      </c>
      <c r="L172" s="28" t="s">
        <v>385</v>
      </c>
      <c r="M172" s="28" t="s">
        <v>266</v>
      </c>
      <c r="N172" s="25">
        <v>1</v>
      </c>
      <c r="O172" s="29">
        <v>0.6</v>
      </c>
      <c r="P172" s="29">
        <v>0.6</v>
      </c>
      <c r="Q172" s="25" t="s">
        <v>491</v>
      </c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57"/>
        <v>0.60000000000000009</v>
      </c>
      <c r="AF172" s="32">
        <f t="shared" si="58"/>
        <v>0</v>
      </c>
      <c r="AG172" s="30"/>
      <c r="AH172" s="33">
        <v>1</v>
      </c>
      <c r="AI172" s="34">
        <f t="shared" si="59"/>
        <v>0.6</v>
      </c>
      <c r="AJ172" s="35">
        <v>46164</v>
      </c>
      <c r="AK172" s="30">
        <v>1</v>
      </c>
      <c r="AL172" s="36">
        <f t="shared" si="66"/>
        <v>0.6</v>
      </c>
      <c r="AM172" s="35">
        <v>46164</v>
      </c>
      <c r="AN172" s="30">
        <v>1</v>
      </c>
      <c r="AO172" s="36">
        <f t="shared" si="67"/>
        <v>0.6</v>
      </c>
      <c r="AP172" s="35">
        <v>46164</v>
      </c>
      <c r="AQ172" s="30">
        <v>1</v>
      </c>
      <c r="AR172" s="36">
        <f t="shared" si="62"/>
        <v>0.6</v>
      </c>
      <c r="AS172" s="27" t="s">
        <v>1303</v>
      </c>
      <c r="AT172" s="37">
        <v>46233</v>
      </c>
      <c r="AU172" s="30">
        <v>1</v>
      </c>
      <c r="AV172" s="36">
        <f t="shared" si="63"/>
        <v>0.6</v>
      </c>
      <c r="AW172" s="35">
        <v>46235</v>
      </c>
      <c r="AX172" s="30">
        <v>1</v>
      </c>
      <c r="AY172" s="32">
        <f t="shared" si="64"/>
        <v>0.6</v>
      </c>
      <c r="AZ172" s="30" t="s">
        <v>85</v>
      </c>
      <c r="BA172" s="63" t="s">
        <v>1310</v>
      </c>
      <c r="BB172" s="71"/>
      <c r="BC172" s="71" t="s">
        <v>1332</v>
      </c>
      <c r="BD172" s="71"/>
    </row>
    <row r="173" spans="1:56" x14ac:dyDescent="0.25">
      <c r="A173" s="24">
        <f>IF(B173="","",SUBTOTAL(3,$B$4:B173))</f>
        <v>168</v>
      </c>
      <c r="B173" s="25" t="s">
        <v>77</v>
      </c>
      <c r="C173" s="25" t="str">
        <f t="shared" si="56"/>
        <v>Shipment 1 400</v>
      </c>
      <c r="D173" s="25" t="s">
        <v>76</v>
      </c>
      <c r="E173" s="25">
        <v>400</v>
      </c>
      <c r="F173" s="25"/>
      <c r="G173" s="65">
        <v>45990</v>
      </c>
      <c r="H173" s="25" t="s">
        <v>1257</v>
      </c>
      <c r="I173" s="25" t="s">
        <v>1254</v>
      </c>
      <c r="J173" s="26" t="s">
        <v>1302</v>
      </c>
      <c r="K173" s="27" t="s">
        <v>386</v>
      </c>
      <c r="L173" s="28" t="s">
        <v>387</v>
      </c>
      <c r="M173" s="28" t="s">
        <v>266</v>
      </c>
      <c r="N173" s="25">
        <v>1</v>
      </c>
      <c r="O173" s="29">
        <v>4.9000000000000004</v>
      </c>
      <c r="P173" s="29">
        <v>4.9000000000000004</v>
      </c>
      <c r="Q173" s="25" t="s">
        <v>492</v>
      </c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57"/>
        <v>4.9000000000000004</v>
      </c>
      <c r="AF173" s="32">
        <f t="shared" si="58"/>
        <v>0</v>
      </c>
      <c r="AG173" s="30"/>
      <c r="AH173" s="33">
        <v>1</v>
      </c>
      <c r="AI173" s="34">
        <f t="shared" si="59"/>
        <v>4.9000000000000004</v>
      </c>
      <c r="AJ173" s="35">
        <v>46164</v>
      </c>
      <c r="AK173" s="30">
        <v>1</v>
      </c>
      <c r="AL173" s="36">
        <f t="shared" si="66"/>
        <v>4.9000000000000004</v>
      </c>
      <c r="AM173" s="35">
        <v>46164</v>
      </c>
      <c r="AN173" s="30">
        <v>1</v>
      </c>
      <c r="AO173" s="36">
        <f t="shared" si="67"/>
        <v>4.9000000000000004</v>
      </c>
      <c r="AP173" s="35">
        <v>46164</v>
      </c>
      <c r="AQ173" s="30">
        <v>1</v>
      </c>
      <c r="AR173" s="36">
        <f t="shared" si="62"/>
        <v>4.9000000000000004</v>
      </c>
      <c r="AS173" s="27" t="s">
        <v>1298</v>
      </c>
      <c r="AT173" s="37">
        <v>46213</v>
      </c>
      <c r="AU173" s="30">
        <v>1</v>
      </c>
      <c r="AV173" s="36">
        <f t="shared" si="63"/>
        <v>4.9000000000000004</v>
      </c>
      <c r="AW173" s="35">
        <v>46218</v>
      </c>
      <c r="AX173" s="30">
        <v>1</v>
      </c>
      <c r="AY173" s="32">
        <f t="shared" si="64"/>
        <v>4.9000000000000004</v>
      </c>
      <c r="AZ173" s="30" t="s">
        <v>85</v>
      </c>
      <c r="BA173" s="63" t="s">
        <v>1299</v>
      </c>
      <c r="BB173" s="71"/>
      <c r="BC173" s="71" t="s">
        <v>1333</v>
      </c>
      <c r="BD173" s="71"/>
    </row>
    <row r="174" spans="1:56" x14ac:dyDescent="0.25">
      <c r="A174" s="24">
        <f>IF(B174="","",SUBTOTAL(3,$B$4:B174))</f>
        <v>169</v>
      </c>
      <c r="B174" s="25" t="s">
        <v>77</v>
      </c>
      <c r="C174" s="25" t="str">
        <f t="shared" si="56"/>
        <v>Shipment 1 400</v>
      </c>
      <c r="D174" s="25" t="s">
        <v>76</v>
      </c>
      <c r="E174" s="25">
        <v>400</v>
      </c>
      <c r="F174" s="25"/>
      <c r="G174" s="65">
        <v>45990</v>
      </c>
      <c r="H174" s="25" t="s">
        <v>1257</v>
      </c>
      <c r="I174" s="25" t="s">
        <v>1254</v>
      </c>
      <c r="J174" s="26" t="s">
        <v>1302</v>
      </c>
      <c r="K174" s="27" t="s">
        <v>386</v>
      </c>
      <c r="L174" s="28" t="s">
        <v>388</v>
      </c>
      <c r="M174" s="28" t="s">
        <v>266</v>
      </c>
      <c r="N174" s="25">
        <v>1</v>
      </c>
      <c r="O174" s="29">
        <v>4.9000000000000004</v>
      </c>
      <c r="P174" s="29">
        <v>4.9000000000000004</v>
      </c>
      <c r="Q174" s="25" t="s">
        <v>492</v>
      </c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57"/>
        <v>4.9000000000000004</v>
      </c>
      <c r="AF174" s="32">
        <f t="shared" si="58"/>
        <v>0</v>
      </c>
      <c r="AG174" s="30"/>
      <c r="AH174" s="33">
        <v>1</v>
      </c>
      <c r="AI174" s="34">
        <f t="shared" si="59"/>
        <v>4.9000000000000004</v>
      </c>
      <c r="AJ174" s="35">
        <v>46164</v>
      </c>
      <c r="AK174" s="30">
        <v>1</v>
      </c>
      <c r="AL174" s="36">
        <f t="shared" si="66"/>
        <v>4.9000000000000004</v>
      </c>
      <c r="AM174" s="35">
        <v>46164</v>
      </c>
      <c r="AN174" s="30">
        <v>1</v>
      </c>
      <c r="AO174" s="36">
        <f t="shared" si="67"/>
        <v>4.9000000000000004</v>
      </c>
      <c r="AP174" s="35">
        <v>46164</v>
      </c>
      <c r="AQ174" s="30">
        <v>1</v>
      </c>
      <c r="AR174" s="36">
        <f t="shared" si="62"/>
        <v>4.9000000000000004</v>
      </c>
      <c r="AS174" s="27" t="s">
        <v>1298</v>
      </c>
      <c r="AT174" s="37">
        <v>46213</v>
      </c>
      <c r="AU174" s="30">
        <v>1</v>
      </c>
      <c r="AV174" s="36">
        <f t="shared" si="63"/>
        <v>4.9000000000000004</v>
      </c>
      <c r="AW174" s="35">
        <v>46218</v>
      </c>
      <c r="AX174" s="30">
        <v>1</v>
      </c>
      <c r="AY174" s="32">
        <f t="shared" si="64"/>
        <v>4.9000000000000004</v>
      </c>
      <c r="AZ174" s="30" t="s">
        <v>85</v>
      </c>
      <c r="BA174" s="63" t="s">
        <v>1299</v>
      </c>
      <c r="BB174" s="71"/>
      <c r="BC174" s="71" t="s">
        <v>1333</v>
      </c>
      <c r="BD174" s="71"/>
    </row>
    <row r="175" spans="1:56" x14ac:dyDescent="0.25">
      <c r="A175" s="24">
        <f>IF(B175="","",SUBTOTAL(3,$B$4:B175))</f>
        <v>170</v>
      </c>
      <c r="B175" s="25" t="s">
        <v>77</v>
      </c>
      <c r="C175" s="25" t="str">
        <f t="shared" si="56"/>
        <v>Shipment 1 400</v>
      </c>
      <c r="D175" s="25" t="s">
        <v>76</v>
      </c>
      <c r="E175" s="25">
        <v>400</v>
      </c>
      <c r="F175" s="25"/>
      <c r="G175" s="65">
        <v>45990</v>
      </c>
      <c r="H175" s="25" t="s">
        <v>1257</v>
      </c>
      <c r="I175" s="25" t="s">
        <v>1254</v>
      </c>
      <c r="J175" s="26" t="s">
        <v>1302</v>
      </c>
      <c r="K175" s="27" t="s">
        <v>386</v>
      </c>
      <c r="L175" s="28" t="s">
        <v>389</v>
      </c>
      <c r="M175" s="28" t="s">
        <v>266</v>
      </c>
      <c r="N175" s="25">
        <v>1</v>
      </c>
      <c r="O175" s="29">
        <v>4.9000000000000004</v>
      </c>
      <c r="P175" s="29">
        <v>4.9000000000000004</v>
      </c>
      <c r="Q175" s="25" t="s">
        <v>492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57"/>
        <v>4.9000000000000004</v>
      </c>
      <c r="AF175" s="32">
        <f t="shared" si="58"/>
        <v>0</v>
      </c>
      <c r="AG175" s="30"/>
      <c r="AH175" s="33">
        <v>1</v>
      </c>
      <c r="AI175" s="34">
        <f t="shared" si="59"/>
        <v>4.9000000000000004</v>
      </c>
      <c r="AJ175" s="35">
        <v>46164</v>
      </c>
      <c r="AK175" s="30">
        <v>1</v>
      </c>
      <c r="AL175" s="36">
        <f t="shared" si="66"/>
        <v>4.9000000000000004</v>
      </c>
      <c r="AM175" s="35">
        <v>46164</v>
      </c>
      <c r="AN175" s="30">
        <v>1</v>
      </c>
      <c r="AO175" s="36">
        <f t="shared" si="67"/>
        <v>4.9000000000000004</v>
      </c>
      <c r="AP175" s="35">
        <v>46164</v>
      </c>
      <c r="AQ175" s="30">
        <v>1</v>
      </c>
      <c r="AR175" s="36">
        <f t="shared" si="62"/>
        <v>4.9000000000000004</v>
      </c>
      <c r="AS175" s="27" t="s">
        <v>1298</v>
      </c>
      <c r="AT175" s="37">
        <v>46213</v>
      </c>
      <c r="AU175" s="30">
        <v>1</v>
      </c>
      <c r="AV175" s="36">
        <f t="shared" si="63"/>
        <v>4.9000000000000004</v>
      </c>
      <c r="AW175" s="35">
        <v>46218</v>
      </c>
      <c r="AX175" s="30">
        <v>1</v>
      </c>
      <c r="AY175" s="32">
        <f t="shared" si="64"/>
        <v>4.9000000000000004</v>
      </c>
      <c r="AZ175" s="30" t="s">
        <v>85</v>
      </c>
      <c r="BA175" s="63" t="s">
        <v>1299</v>
      </c>
      <c r="BB175" s="71"/>
      <c r="BC175" s="71" t="s">
        <v>1333</v>
      </c>
      <c r="BD175" s="71"/>
    </row>
    <row r="176" spans="1:56" x14ac:dyDescent="0.25">
      <c r="A176" s="24">
        <f>IF(B176="","",SUBTOTAL(3,$B$4:B176))</f>
        <v>171</v>
      </c>
      <c r="B176" s="25" t="s">
        <v>77</v>
      </c>
      <c r="C176" s="25" t="str">
        <f t="shared" si="56"/>
        <v>Shipment 1 400</v>
      </c>
      <c r="D176" s="25" t="s">
        <v>76</v>
      </c>
      <c r="E176" s="25">
        <v>400</v>
      </c>
      <c r="F176" s="25"/>
      <c r="G176" s="65">
        <v>45990</v>
      </c>
      <c r="H176" s="25" t="s">
        <v>1257</v>
      </c>
      <c r="I176" s="25" t="s">
        <v>1254</v>
      </c>
      <c r="J176" s="26" t="s">
        <v>1302</v>
      </c>
      <c r="K176" s="27" t="s">
        <v>386</v>
      </c>
      <c r="L176" s="28" t="s">
        <v>390</v>
      </c>
      <c r="M176" s="28" t="s">
        <v>266</v>
      </c>
      <c r="N176" s="25">
        <v>1</v>
      </c>
      <c r="O176" s="29">
        <v>4.9000000000000004</v>
      </c>
      <c r="P176" s="29">
        <v>4.9000000000000004</v>
      </c>
      <c r="Q176" s="25" t="s">
        <v>492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57"/>
        <v>4.9000000000000004</v>
      </c>
      <c r="AF176" s="32">
        <f t="shared" si="58"/>
        <v>0</v>
      </c>
      <c r="AG176" s="30"/>
      <c r="AH176" s="33">
        <v>1</v>
      </c>
      <c r="AI176" s="34">
        <f t="shared" si="59"/>
        <v>4.9000000000000004</v>
      </c>
      <c r="AJ176" s="35">
        <v>46164</v>
      </c>
      <c r="AK176" s="30">
        <v>1</v>
      </c>
      <c r="AL176" s="36">
        <f t="shared" si="66"/>
        <v>4.9000000000000004</v>
      </c>
      <c r="AM176" s="35">
        <v>46164</v>
      </c>
      <c r="AN176" s="30">
        <v>1</v>
      </c>
      <c r="AO176" s="36">
        <f t="shared" si="67"/>
        <v>4.9000000000000004</v>
      </c>
      <c r="AP176" s="35">
        <v>46164</v>
      </c>
      <c r="AQ176" s="30">
        <v>1</v>
      </c>
      <c r="AR176" s="36">
        <f t="shared" si="62"/>
        <v>4.9000000000000004</v>
      </c>
      <c r="AS176" s="27" t="s">
        <v>1298</v>
      </c>
      <c r="AT176" s="37">
        <v>46213</v>
      </c>
      <c r="AU176" s="30">
        <v>1</v>
      </c>
      <c r="AV176" s="36">
        <f t="shared" si="63"/>
        <v>4.9000000000000004</v>
      </c>
      <c r="AW176" s="35">
        <v>46218</v>
      </c>
      <c r="AX176" s="30">
        <v>1</v>
      </c>
      <c r="AY176" s="32">
        <f t="shared" si="64"/>
        <v>4.9000000000000004</v>
      </c>
      <c r="AZ176" s="30" t="s">
        <v>85</v>
      </c>
      <c r="BA176" s="63" t="s">
        <v>1299</v>
      </c>
      <c r="BB176" s="71"/>
      <c r="BC176" s="71" t="s">
        <v>1333</v>
      </c>
      <c r="BD176" s="71"/>
    </row>
    <row r="177" spans="1:56" x14ac:dyDescent="0.25">
      <c r="A177" s="24">
        <f>IF(B177="","",SUBTOTAL(3,$B$4:B177))</f>
        <v>172</v>
      </c>
      <c r="B177" s="25" t="s">
        <v>77</v>
      </c>
      <c r="C177" s="25" t="str">
        <f t="shared" si="56"/>
        <v>Shipment 1 400</v>
      </c>
      <c r="D177" s="25" t="s">
        <v>76</v>
      </c>
      <c r="E177" s="25">
        <v>400</v>
      </c>
      <c r="F177" s="25"/>
      <c r="G177" s="65">
        <v>45990</v>
      </c>
      <c r="H177" s="25" t="s">
        <v>1257</v>
      </c>
      <c r="I177" s="25" t="s">
        <v>1254</v>
      </c>
      <c r="J177" s="26" t="s">
        <v>1302</v>
      </c>
      <c r="K177" s="27" t="s">
        <v>386</v>
      </c>
      <c r="L177" s="28" t="s">
        <v>391</v>
      </c>
      <c r="M177" s="28" t="s">
        <v>266</v>
      </c>
      <c r="N177" s="25">
        <v>1</v>
      </c>
      <c r="O177" s="29">
        <v>4.9000000000000004</v>
      </c>
      <c r="P177" s="29">
        <v>4.9000000000000004</v>
      </c>
      <c r="Q177" s="25" t="s">
        <v>492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57"/>
        <v>4.9000000000000004</v>
      </c>
      <c r="AF177" s="32">
        <f t="shared" si="58"/>
        <v>0</v>
      </c>
      <c r="AG177" s="30"/>
      <c r="AH177" s="33">
        <v>1</v>
      </c>
      <c r="AI177" s="34">
        <f t="shared" si="59"/>
        <v>4.9000000000000004</v>
      </c>
      <c r="AJ177" s="35">
        <v>46164</v>
      </c>
      <c r="AK177" s="30">
        <v>1</v>
      </c>
      <c r="AL177" s="36">
        <f t="shared" si="66"/>
        <v>4.9000000000000004</v>
      </c>
      <c r="AM177" s="35">
        <v>46164</v>
      </c>
      <c r="AN177" s="30">
        <v>1</v>
      </c>
      <c r="AO177" s="36">
        <f t="shared" si="67"/>
        <v>4.9000000000000004</v>
      </c>
      <c r="AP177" s="35">
        <v>46164</v>
      </c>
      <c r="AQ177" s="30">
        <v>1</v>
      </c>
      <c r="AR177" s="36">
        <f t="shared" si="62"/>
        <v>4.9000000000000004</v>
      </c>
      <c r="AS177" s="27" t="s">
        <v>1298</v>
      </c>
      <c r="AT177" s="37">
        <v>46213</v>
      </c>
      <c r="AU177" s="30">
        <v>1</v>
      </c>
      <c r="AV177" s="36">
        <f t="shared" si="63"/>
        <v>4.9000000000000004</v>
      </c>
      <c r="AW177" s="35">
        <v>46218</v>
      </c>
      <c r="AX177" s="30">
        <v>1</v>
      </c>
      <c r="AY177" s="32">
        <f t="shared" si="64"/>
        <v>4.9000000000000004</v>
      </c>
      <c r="AZ177" s="30" t="s">
        <v>85</v>
      </c>
      <c r="BA177" s="63" t="s">
        <v>1299</v>
      </c>
      <c r="BB177" s="71"/>
      <c r="BC177" s="71" t="s">
        <v>1333</v>
      </c>
      <c r="BD177" s="71"/>
    </row>
    <row r="178" spans="1:56" x14ac:dyDescent="0.25">
      <c r="A178" s="24">
        <f>IF(B178="","",SUBTOTAL(3,$B$4:B178))</f>
        <v>173</v>
      </c>
      <c r="B178" s="25" t="s">
        <v>77</v>
      </c>
      <c r="C178" s="25" t="str">
        <f t="shared" si="56"/>
        <v>Shipment 1 400</v>
      </c>
      <c r="D178" s="25" t="s">
        <v>76</v>
      </c>
      <c r="E178" s="25">
        <v>400</v>
      </c>
      <c r="F178" s="25"/>
      <c r="G178" s="65">
        <v>45990</v>
      </c>
      <c r="H178" s="25" t="s">
        <v>1257</v>
      </c>
      <c r="I178" s="25" t="s">
        <v>1254</v>
      </c>
      <c r="J178" s="26" t="s">
        <v>1302</v>
      </c>
      <c r="K178" s="27" t="s">
        <v>386</v>
      </c>
      <c r="L178" s="28" t="s">
        <v>392</v>
      </c>
      <c r="M178" s="28" t="s">
        <v>266</v>
      </c>
      <c r="N178" s="25">
        <v>1</v>
      </c>
      <c r="O178" s="29">
        <v>4.9000000000000004</v>
      </c>
      <c r="P178" s="29">
        <v>4.9000000000000004</v>
      </c>
      <c r="Q178" s="25" t="s">
        <v>492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57"/>
        <v>4.9000000000000004</v>
      </c>
      <c r="AF178" s="32">
        <f t="shared" si="58"/>
        <v>0</v>
      </c>
      <c r="AG178" s="30"/>
      <c r="AH178" s="33">
        <v>1</v>
      </c>
      <c r="AI178" s="34">
        <f t="shared" si="59"/>
        <v>4.9000000000000004</v>
      </c>
      <c r="AJ178" s="35">
        <v>46164</v>
      </c>
      <c r="AK178" s="30">
        <v>1</v>
      </c>
      <c r="AL178" s="36">
        <f t="shared" si="66"/>
        <v>4.9000000000000004</v>
      </c>
      <c r="AM178" s="35">
        <v>46164</v>
      </c>
      <c r="AN178" s="30">
        <v>1</v>
      </c>
      <c r="AO178" s="36">
        <f t="shared" si="67"/>
        <v>4.9000000000000004</v>
      </c>
      <c r="AP178" s="35">
        <v>46164</v>
      </c>
      <c r="AQ178" s="30">
        <v>1</v>
      </c>
      <c r="AR178" s="36">
        <f t="shared" si="62"/>
        <v>4.9000000000000004</v>
      </c>
      <c r="AS178" s="27" t="s">
        <v>1298</v>
      </c>
      <c r="AT178" s="37">
        <v>46213</v>
      </c>
      <c r="AU178" s="30">
        <v>1</v>
      </c>
      <c r="AV178" s="36">
        <f t="shared" si="63"/>
        <v>4.9000000000000004</v>
      </c>
      <c r="AW178" s="35">
        <v>46218</v>
      </c>
      <c r="AX178" s="30">
        <v>1</v>
      </c>
      <c r="AY178" s="32">
        <f t="shared" si="64"/>
        <v>4.9000000000000004</v>
      </c>
      <c r="AZ178" s="30" t="s">
        <v>85</v>
      </c>
      <c r="BA178" s="63" t="s">
        <v>1299</v>
      </c>
      <c r="BB178" s="71"/>
      <c r="BC178" s="71" t="s">
        <v>1333</v>
      </c>
      <c r="BD178" s="71"/>
    </row>
    <row r="179" spans="1:56" x14ac:dyDescent="0.25">
      <c r="A179" s="24">
        <f>IF(B179="","",SUBTOTAL(3,$B$4:B179))</f>
        <v>174</v>
      </c>
      <c r="B179" s="25" t="s">
        <v>77</v>
      </c>
      <c r="C179" s="25" t="str">
        <f t="shared" si="56"/>
        <v>Shipment 1 400</v>
      </c>
      <c r="D179" s="25" t="s">
        <v>76</v>
      </c>
      <c r="E179" s="25">
        <v>400</v>
      </c>
      <c r="F179" s="25"/>
      <c r="G179" s="65">
        <v>45990</v>
      </c>
      <c r="H179" s="25" t="s">
        <v>1257</v>
      </c>
      <c r="I179" s="25" t="s">
        <v>1254</v>
      </c>
      <c r="J179" s="26" t="s">
        <v>1302</v>
      </c>
      <c r="K179" s="27" t="s">
        <v>386</v>
      </c>
      <c r="L179" s="28" t="s">
        <v>393</v>
      </c>
      <c r="M179" s="28" t="s">
        <v>266</v>
      </c>
      <c r="N179" s="25">
        <v>1</v>
      </c>
      <c r="O179" s="29">
        <v>4.9000000000000004</v>
      </c>
      <c r="P179" s="29">
        <v>4.9000000000000004</v>
      </c>
      <c r="Q179" s="25" t="s">
        <v>492</v>
      </c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57"/>
        <v>4.9000000000000004</v>
      </c>
      <c r="AF179" s="32">
        <f t="shared" si="58"/>
        <v>0</v>
      </c>
      <c r="AG179" s="30"/>
      <c r="AH179" s="33">
        <v>1</v>
      </c>
      <c r="AI179" s="34">
        <f t="shared" si="59"/>
        <v>4.9000000000000004</v>
      </c>
      <c r="AJ179" s="35">
        <v>46164</v>
      </c>
      <c r="AK179" s="30">
        <v>1</v>
      </c>
      <c r="AL179" s="36">
        <f t="shared" si="66"/>
        <v>4.9000000000000004</v>
      </c>
      <c r="AM179" s="35">
        <v>46164</v>
      </c>
      <c r="AN179" s="30">
        <v>1</v>
      </c>
      <c r="AO179" s="36">
        <f t="shared" si="67"/>
        <v>4.9000000000000004</v>
      </c>
      <c r="AP179" s="35">
        <v>46164</v>
      </c>
      <c r="AQ179" s="30">
        <v>1</v>
      </c>
      <c r="AR179" s="36">
        <f t="shared" si="62"/>
        <v>4.9000000000000004</v>
      </c>
      <c r="AS179" s="27" t="s">
        <v>1298</v>
      </c>
      <c r="AT179" s="37">
        <v>46213</v>
      </c>
      <c r="AU179" s="30">
        <v>1</v>
      </c>
      <c r="AV179" s="36">
        <f t="shared" si="63"/>
        <v>4.9000000000000004</v>
      </c>
      <c r="AW179" s="35">
        <v>46218</v>
      </c>
      <c r="AX179" s="30">
        <v>1</v>
      </c>
      <c r="AY179" s="32">
        <f t="shared" si="64"/>
        <v>4.9000000000000004</v>
      </c>
      <c r="AZ179" s="30" t="s">
        <v>85</v>
      </c>
      <c r="BA179" s="63" t="s">
        <v>1299</v>
      </c>
      <c r="BB179" s="71"/>
      <c r="BC179" s="71" t="s">
        <v>1333</v>
      </c>
      <c r="BD179" s="71"/>
    </row>
    <row r="180" spans="1:56" x14ac:dyDescent="0.25">
      <c r="A180" s="24">
        <f>IF(B180="","",SUBTOTAL(3,$B$4:B180))</f>
        <v>175</v>
      </c>
      <c r="B180" s="25" t="s">
        <v>77</v>
      </c>
      <c r="C180" s="25" t="str">
        <f t="shared" si="56"/>
        <v>Shipment 1 400</v>
      </c>
      <c r="D180" s="25" t="s">
        <v>76</v>
      </c>
      <c r="E180" s="25">
        <v>400</v>
      </c>
      <c r="F180" s="25"/>
      <c r="G180" s="65">
        <v>45990</v>
      </c>
      <c r="H180" s="25" t="s">
        <v>1257</v>
      </c>
      <c r="I180" s="25" t="s">
        <v>1254</v>
      </c>
      <c r="J180" s="26" t="s">
        <v>1302</v>
      </c>
      <c r="K180" s="27" t="s">
        <v>386</v>
      </c>
      <c r="L180" s="28" t="s">
        <v>394</v>
      </c>
      <c r="M180" s="28" t="s">
        <v>266</v>
      </c>
      <c r="N180" s="25">
        <v>1</v>
      </c>
      <c r="O180" s="29">
        <v>4.9000000000000004</v>
      </c>
      <c r="P180" s="29">
        <v>4.9000000000000004</v>
      </c>
      <c r="Q180" s="25" t="s">
        <v>492</v>
      </c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57"/>
        <v>4.9000000000000004</v>
      </c>
      <c r="AF180" s="32">
        <f t="shared" si="58"/>
        <v>0</v>
      </c>
      <c r="AG180" s="30"/>
      <c r="AH180" s="33">
        <v>1</v>
      </c>
      <c r="AI180" s="34">
        <f t="shared" si="59"/>
        <v>4.9000000000000004</v>
      </c>
      <c r="AJ180" s="35">
        <v>46164</v>
      </c>
      <c r="AK180" s="30">
        <v>1</v>
      </c>
      <c r="AL180" s="36">
        <f t="shared" si="66"/>
        <v>4.9000000000000004</v>
      </c>
      <c r="AM180" s="35">
        <v>46164</v>
      </c>
      <c r="AN180" s="30">
        <v>1</v>
      </c>
      <c r="AO180" s="36">
        <f t="shared" si="67"/>
        <v>4.9000000000000004</v>
      </c>
      <c r="AP180" s="35">
        <v>46164</v>
      </c>
      <c r="AQ180" s="30">
        <v>1</v>
      </c>
      <c r="AR180" s="36">
        <f t="shared" si="62"/>
        <v>4.9000000000000004</v>
      </c>
      <c r="AS180" s="27" t="s">
        <v>1298</v>
      </c>
      <c r="AT180" s="37">
        <v>46213</v>
      </c>
      <c r="AU180" s="30">
        <v>1</v>
      </c>
      <c r="AV180" s="36">
        <f t="shared" si="63"/>
        <v>4.9000000000000004</v>
      </c>
      <c r="AW180" s="35">
        <v>46218</v>
      </c>
      <c r="AX180" s="30">
        <v>1</v>
      </c>
      <c r="AY180" s="32">
        <f t="shared" si="64"/>
        <v>4.9000000000000004</v>
      </c>
      <c r="AZ180" s="30" t="s">
        <v>85</v>
      </c>
      <c r="BA180" s="63" t="s">
        <v>1299</v>
      </c>
      <c r="BB180" s="71"/>
      <c r="BC180" s="71" t="s">
        <v>1333</v>
      </c>
      <c r="BD180" s="71"/>
    </row>
    <row r="181" spans="1:56" hidden="1" x14ac:dyDescent="0.25">
      <c r="A181" s="24">
        <f>IF(B181="","",SUBTOTAL(3,$B$4:B181))</f>
        <v>175</v>
      </c>
      <c r="B181" s="25" t="s">
        <v>77</v>
      </c>
      <c r="C181" s="25" t="str">
        <f t="shared" si="56"/>
        <v>Shipment 1 400</v>
      </c>
      <c r="D181" s="25" t="s">
        <v>76</v>
      </c>
      <c r="E181" s="25">
        <v>400</v>
      </c>
      <c r="F181" s="25"/>
      <c r="G181" s="65">
        <v>45990</v>
      </c>
      <c r="H181" s="25" t="s">
        <v>1257</v>
      </c>
      <c r="I181" s="25" t="s">
        <v>1254</v>
      </c>
      <c r="J181" s="26" t="s">
        <v>1302</v>
      </c>
      <c r="K181" s="27" t="s">
        <v>395</v>
      </c>
      <c r="L181" s="28" t="s">
        <v>396</v>
      </c>
      <c r="M181" s="28" t="s">
        <v>266</v>
      </c>
      <c r="N181" s="25">
        <v>1</v>
      </c>
      <c r="O181" s="29">
        <v>0.2</v>
      </c>
      <c r="P181" s="29">
        <v>0.2</v>
      </c>
      <c r="Q181" s="25" t="s">
        <v>493</v>
      </c>
      <c r="R181" s="25"/>
      <c r="S181" s="26" t="s">
        <v>1305</v>
      </c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57"/>
        <v>0</v>
      </c>
      <c r="AF181" s="32">
        <f t="shared" si="58"/>
        <v>0.2</v>
      </c>
      <c r="AG181" s="30"/>
      <c r="AH181" s="33">
        <v>1</v>
      </c>
      <c r="AI181" s="34">
        <f t="shared" si="59"/>
        <v>0.2</v>
      </c>
      <c r="AJ181" s="35"/>
      <c r="AK181" s="30"/>
      <c r="AL181" s="36">
        <f t="shared" si="66"/>
        <v>0</v>
      </c>
      <c r="AM181" s="35"/>
      <c r="AN181" s="30"/>
      <c r="AO181" s="36">
        <f t="shared" si="67"/>
        <v>0</v>
      </c>
      <c r="AP181" s="35"/>
      <c r="AQ181" s="30"/>
      <c r="AR181" s="36">
        <f t="shared" si="62"/>
        <v>0</v>
      </c>
      <c r="AS181" s="27"/>
      <c r="AT181" s="37"/>
      <c r="AU181" s="30"/>
      <c r="AV181" s="36">
        <f t="shared" si="63"/>
        <v>0</v>
      </c>
      <c r="AW181" s="35"/>
      <c r="AX181" s="30"/>
      <c r="AY181" s="32">
        <f t="shared" si="64"/>
        <v>0</v>
      </c>
      <c r="AZ181" s="30" t="s">
        <v>85</v>
      </c>
      <c r="BA181" s="63"/>
      <c r="BB181" s="71" t="e">
        <f>SUMIFS([1]Form!$F$9:$F$67,[1]Form!$K$9:$K$67,L181)</f>
        <v>#VALUE!</v>
      </c>
      <c r="BC181" s="71" t="s">
        <v>1334</v>
      </c>
      <c r="BD181" s="71"/>
    </row>
    <row r="182" spans="1:56" hidden="1" x14ac:dyDescent="0.25">
      <c r="A182" s="24">
        <f>IF(B182="","",SUBTOTAL(3,$B$4:B182))</f>
        <v>175</v>
      </c>
      <c r="B182" s="25" t="s">
        <v>77</v>
      </c>
      <c r="C182" s="25" t="str">
        <f t="shared" si="56"/>
        <v>Shipment 1 400</v>
      </c>
      <c r="D182" s="25" t="s">
        <v>76</v>
      </c>
      <c r="E182" s="25">
        <v>400</v>
      </c>
      <c r="F182" s="25"/>
      <c r="G182" s="65">
        <v>45990</v>
      </c>
      <c r="H182" s="25" t="s">
        <v>1257</v>
      </c>
      <c r="I182" s="25" t="s">
        <v>1254</v>
      </c>
      <c r="J182" s="26" t="s">
        <v>1302</v>
      </c>
      <c r="K182" s="27" t="s">
        <v>395</v>
      </c>
      <c r="L182" s="28" t="s">
        <v>397</v>
      </c>
      <c r="M182" s="28" t="s">
        <v>266</v>
      </c>
      <c r="N182" s="25">
        <v>1</v>
      </c>
      <c r="O182" s="29">
        <v>0.2</v>
      </c>
      <c r="P182" s="29">
        <v>0.2</v>
      </c>
      <c r="Q182" s="25" t="s">
        <v>493</v>
      </c>
      <c r="R182" s="25"/>
      <c r="S182" s="26" t="s">
        <v>1305</v>
      </c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57"/>
        <v>0</v>
      </c>
      <c r="AF182" s="32">
        <f t="shared" si="58"/>
        <v>0.2</v>
      </c>
      <c r="AG182" s="30"/>
      <c r="AH182" s="33">
        <v>1</v>
      </c>
      <c r="AI182" s="34">
        <f t="shared" si="59"/>
        <v>0.2</v>
      </c>
      <c r="AJ182" s="35"/>
      <c r="AK182" s="30"/>
      <c r="AL182" s="36">
        <f t="shared" si="66"/>
        <v>0</v>
      </c>
      <c r="AM182" s="35"/>
      <c r="AN182" s="30"/>
      <c r="AO182" s="36">
        <f t="shared" si="67"/>
        <v>0</v>
      </c>
      <c r="AP182" s="35"/>
      <c r="AQ182" s="30"/>
      <c r="AR182" s="36">
        <f t="shared" si="62"/>
        <v>0</v>
      </c>
      <c r="AS182" s="27"/>
      <c r="AT182" s="37"/>
      <c r="AU182" s="30"/>
      <c r="AV182" s="36">
        <f t="shared" si="63"/>
        <v>0</v>
      </c>
      <c r="AW182" s="35"/>
      <c r="AX182" s="30"/>
      <c r="AY182" s="32">
        <f t="shared" si="64"/>
        <v>0</v>
      </c>
      <c r="AZ182" s="30" t="s">
        <v>85</v>
      </c>
      <c r="BA182" s="63"/>
      <c r="BB182" s="71" t="e">
        <f>SUMIFS([1]Form!$F$9:$F$67,[1]Form!$K$9:$K$67,L182)</f>
        <v>#VALUE!</v>
      </c>
      <c r="BC182" s="71" t="s">
        <v>1334</v>
      </c>
      <c r="BD182" s="71"/>
    </row>
    <row r="183" spans="1:56" x14ac:dyDescent="0.25">
      <c r="A183" s="24">
        <f>IF(B183="","",SUBTOTAL(3,$B$4:B183))</f>
        <v>176</v>
      </c>
      <c r="B183" s="25" t="s">
        <v>77</v>
      </c>
      <c r="C183" s="25" t="str">
        <f t="shared" si="56"/>
        <v>Shipment 1 400</v>
      </c>
      <c r="D183" s="25" t="s">
        <v>76</v>
      </c>
      <c r="E183" s="25">
        <v>400</v>
      </c>
      <c r="F183" s="25"/>
      <c r="G183" s="65">
        <v>45990</v>
      </c>
      <c r="H183" s="25" t="s">
        <v>1257</v>
      </c>
      <c r="I183" s="25" t="s">
        <v>1254</v>
      </c>
      <c r="J183" s="26" t="s">
        <v>1302</v>
      </c>
      <c r="K183" s="27" t="s">
        <v>398</v>
      </c>
      <c r="L183" s="28" t="s">
        <v>399</v>
      </c>
      <c r="M183" s="28" t="s">
        <v>266</v>
      </c>
      <c r="N183" s="25">
        <v>32</v>
      </c>
      <c r="O183" s="29">
        <v>0.2</v>
      </c>
      <c r="P183" s="29">
        <v>6.3</v>
      </c>
      <c r="Q183" s="25" t="s">
        <v>494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57"/>
        <v>6.3</v>
      </c>
      <c r="AF183" s="32">
        <f t="shared" si="58"/>
        <v>0</v>
      </c>
      <c r="AG183" s="30"/>
      <c r="AH183" s="33">
        <v>1</v>
      </c>
      <c r="AI183" s="34">
        <f t="shared" si="59"/>
        <v>6.3</v>
      </c>
      <c r="AJ183" s="35">
        <v>46233</v>
      </c>
      <c r="AK183" s="30">
        <v>32</v>
      </c>
      <c r="AL183" s="36">
        <f t="shared" si="66"/>
        <v>6.3</v>
      </c>
      <c r="AM183" s="35">
        <v>46233</v>
      </c>
      <c r="AN183" s="30">
        <v>32</v>
      </c>
      <c r="AO183" s="36">
        <f t="shared" si="67"/>
        <v>6.3</v>
      </c>
      <c r="AP183" s="35">
        <v>46233</v>
      </c>
      <c r="AQ183" s="30">
        <v>32</v>
      </c>
      <c r="AR183" s="36">
        <f t="shared" si="62"/>
        <v>6.3</v>
      </c>
      <c r="AS183" s="27" t="s">
        <v>1303</v>
      </c>
      <c r="AT183" s="37">
        <v>46233</v>
      </c>
      <c r="AU183" s="30">
        <v>32</v>
      </c>
      <c r="AV183" s="36">
        <f t="shared" si="63"/>
        <v>6.3</v>
      </c>
      <c r="AW183" s="35">
        <v>46235</v>
      </c>
      <c r="AX183" s="30">
        <v>32</v>
      </c>
      <c r="AY183" s="32">
        <f t="shared" si="64"/>
        <v>6.3</v>
      </c>
      <c r="AZ183" s="30" t="s">
        <v>85</v>
      </c>
      <c r="BA183" s="63" t="s">
        <v>1310</v>
      </c>
      <c r="BB183" s="71"/>
      <c r="BC183" s="71" t="s">
        <v>399</v>
      </c>
      <c r="BD183" s="71"/>
    </row>
    <row r="184" spans="1:56" hidden="1" x14ac:dyDescent="0.25">
      <c r="A184" s="24">
        <f>IF(B184="","",SUBTOTAL(3,$B$4:B184))</f>
        <v>176</v>
      </c>
      <c r="B184" s="25" t="s">
        <v>77</v>
      </c>
      <c r="C184" s="25" t="str">
        <f t="shared" si="56"/>
        <v>Shipment 1 400</v>
      </c>
      <c r="D184" s="25" t="s">
        <v>76</v>
      </c>
      <c r="E184" s="25">
        <v>400</v>
      </c>
      <c r="F184" s="25"/>
      <c r="G184" s="65">
        <v>45990</v>
      </c>
      <c r="H184" s="25" t="s">
        <v>1257</v>
      </c>
      <c r="I184" s="25" t="s">
        <v>1254</v>
      </c>
      <c r="J184" s="26" t="s">
        <v>1302</v>
      </c>
      <c r="K184" s="27" t="s">
        <v>400</v>
      </c>
      <c r="L184" s="28" t="s">
        <v>401</v>
      </c>
      <c r="M184" s="28" t="s">
        <v>266</v>
      </c>
      <c r="N184" s="25">
        <v>24</v>
      </c>
      <c r="O184" s="29">
        <v>0</v>
      </c>
      <c r="P184" s="29">
        <v>0.4</v>
      </c>
      <c r="Q184" s="25" t="s">
        <v>495</v>
      </c>
      <c r="R184" s="25"/>
      <c r="S184" s="26" t="s">
        <v>1306</v>
      </c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57"/>
        <v>0</v>
      </c>
      <c r="AF184" s="32">
        <f t="shared" si="58"/>
        <v>0.4</v>
      </c>
      <c r="AG184" s="30"/>
      <c r="AH184" s="33">
        <v>1</v>
      </c>
      <c r="AI184" s="34">
        <f t="shared" si="59"/>
        <v>0.4</v>
      </c>
      <c r="AJ184" s="35"/>
      <c r="AK184" s="30"/>
      <c r="AL184" s="36">
        <f t="shared" si="66"/>
        <v>0</v>
      </c>
      <c r="AM184" s="35"/>
      <c r="AN184" s="30"/>
      <c r="AO184" s="36">
        <f t="shared" si="67"/>
        <v>0</v>
      </c>
      <c r="AP184" s="35"/>
      <c r="AQ184" s="30"/>
      <c r="AR184" s="36">
        <f t="shared" si="62"/>
        <v>0</v>
      </c>
      <c r="AS184" s="27"/>
      <c r="AT184" s="37"/>
      <c r="AU184" s="30"/>
      <c r="AV184" s="36">
        <f t="shared" si="63"/>
        <v>0</v>
      </c>
      <c r="AW184" s="35"/>
      <c r="AX184" s="30"/>
      <c r="AY184" s="32">
        <f t="shared" si="64"/>
        <v>0</v>
      </c>
      <c r="AZ184" s="30" t="s">
        <v>85</v>
      </c>
      <c r="BA184" s="63"/>
      <c r="BB184" s="71" t="e">
        <f>SUMIFS([1]Form!$F$9:$F$67,[1]Form!$K$9:$K$67,L184)</f>
        <v>#VALUE!</v>
      </c>
      <c r="BC184" s="71" t="s">
        <v>401</v>
      </c>
      <c r="BD184" s="71"/>
    </row>
    <row r="185" spans="1:56" x14ac:dyDescent="0.25">
      <c r="A185" s="24">
        <f>IF(B185="","",SUBTOTAL(3,$B$4:B185))</f>
        <v>177</v>
      </c>
      <c r="B185" s="25" t="s">
        <v>77</v>
      </c>
      <c r="C185" s="25" t="str">
        <f t="shared" si="56"/>
        <v>Shipment 1 400</v>
      </c>
      <c r="D185" s="25" t="s">
        <v>76</v>
      </c>
      <c r="E185" s="25">
        <v>400</v>
      </c>
      <c r="F185" s="25"/>
      <c r="G185" s="65">
        <v>45990</v>
      </c>
      <c r="H185" s="25" t="s">
        <v>1257</v>
      </c>
      <c r="I185" s="25" t="s">
        <v>1254</v>
      </c>
      <c r="J185" s="26" t="s">
        <v>1302</v>
      </c>
      <c r="K185" s="27" t="s">
        <v>402</v>
      </c>
      <c r="L185" s="28" t="s">
        <v>403</v>
      </c>
      <c r="M185" s="28" t="s">
        <v>246</v>
      </c>
      <c r="N185" s="25">
        <v>1</v>
      </c>
      <c r="O185" s="29">
        <v>202.5</v>
      </c>
      <c r="P185" s="29">
        <v>202.5</v>
      </c>
      <c r="Q185" s="25" t="s">
        <v>469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57"/>
        <v>202.5</v>
      </c>
      <c r="AF185" s="32">
        <f t="shared" si="58"/>
        <v>0</v>
      </c>
      <c r="AG185" s="30"/>
      <c r="AH185" s="33">
        <v>1</v>
      </c>
      <c r="AI185" s="34">
        <f t="shared" si="59"/>
        <v>202.5</v>
      </c>
      <c r="AJ185" s="35">
        <v>46045</v>
      </c>
      <c r="AK185" s="30">
        <v>1</v>
      </c>
      <c r="AL185" s="36">
        <f t="shared" si="60"/>
        <v>202.5</v>
      </c>
      <c r="AM185" s="35">
        <v>46077</v>
      </c>
      <c r="AN185" s="30">
        <v>1</v>
      </c>
      <c r="AO185" s="36">
        <f t="shared" si="61"/>
        <v>202.5</v>
      </c>
      <c r="AP185" s="35">
        <v>46164</v>
      </c>
      <c r="AQ185" s="30">
        <v>1</v>
      </c>
      <c r="AR185" s="36">
        <f t="shared" si="62"/>
        <v>202.5</v>
      </c>
      <c r="AS185" s="27" t="s">
        <v>1294</v>
      </c>
      <c r="AT185" s="37">
        <v>46205</v>
      </c>
      <c r="AU185" s="30">
        <v>1</v>
      </c>
      <c r="AV185" s="36">
        <f t="shared" si="63"/>
        <v>202.5</v>
      </c>
      <c r="AW185" s="35">
        <v>46208</v>
      </c>
      <c r="AX185" s="30">
        <v>1</v>
      </c>
      <c r="AY185" s="32">
        <f t="shared" si="64"/>
        <v>202.5</v>
      </c>
      <c r="AZ185" s="30" t="s">
        <v>85</v>
      </c>
      <c r="BA185" s="63" t="s">
        <v>1294</v>
      </c>
      <c r="BB185" s="71"/>
      <c r="BC185" s="71" t="s">
        <v>403</v>
      </c>
      <c r="BD185" s="71"/>
    </row>
    <row r="186" spans="1:56" x14ac:dyDescent="0.25">
      <c r="A186" s="24">
        <f>IF(B186="","",SUBTOTAL(3,$B$4:B186))</f>
        <v>178</v>
      </c>
      <c r="B186" s="25" t="s">
        <v>77</v>
      </c>
      <c r="C186" s="25" t="str">
        <f t="shared" si="56"/>
        <v>Shipment 1 400</v>
      </c>
      <c r="D186" s="25" t="s">
        <v>76</v>
      </c>
      <c r="E186" s="25">
        <v>400</v>
      </c>
      <c r="F186" s="25"/>
      <c r="G186" s="65">
        <v>45990</v>
      </c>
      <c r="H186" s="25" t="s">
        <v>1257</v>
      </c>
      <c r="I186" s="25" t="s">
        <v>1254</v>
      </c>
      <c r="J186" s="26" t="s">
        <v>1302</v>
      </c>
      <c r="K186" s="27" t="s">
        <v>404</v>
      </c>
      <c r="L186" s="28" t="s">
        <v>405</v>
      </c>
      <c r="M186" s="28" t="s">
        <v>246</v>
      </c>
      <c r="N186" s="25">
        <v>1</v>
      </c>
      <c r="O186" s="29">
        <v>229.2</v>
      </c>
      <c r="P186" s="29">
        <v>229.2</v>
      </c>
      <c r="Q186" s="25" t="s">
        <v>470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57"/>
        <v>229.2</v>
      </c>
      <c r="AF186" s="32">
        <f t="shared" si="58"/>
        <v>0</v>
      </c>
      <c r="AG186" s="30"/>
      <c r="AH186" s="33">
        <v>1</v>
      </c>
      <c r="AI186" s="34">
        <f t="shared" si="59"/>
        <v>229.2</v>
      </c>
      <c r="AJ186" s="35">
        <v>46045</v>
      </c>
      <c r="AK186" s="30">
        <v>1</v>
      </c>
      <c r="AL186" s="36">
        <f t="shared" si="60"/>
        <v>229.2</v>
      </c>
      <c r="AM186" s="35">
        <v>46077</v>
      </c>
      <c r="AN186" s="30">
        <v>1</v>
      </c>
      <c r="AO186" s="36">
        <f t="shared" si="61"/>
        <v>229.2</v>
      </c>
      <c r="AP186" s="35">
        <v>46164</v>
      </c>
      <c r="AQ186" s="30">
        <v>1</v>
      </c>
      <c r="AR186" s="36">
        <f t="shared" si="62"/>
        <v>229.2</v>
      </c>
      <c r="AS186" s="27" t="s">
        <v>1294</v>
      </c>
      <c r="AT186" s="37">
        <v>46205</v>
      </c>
      <c r="AU186" s="30">
        <v>1</v>
      </c>
      <c r="AV186" s="36">
        <f t="shared" si="63"/>
        <v>229.2</v>
      </c>
      <c r="AW186" s="35">
        <v>46208</v>
      </c>
      <c r="AX186" s="30">
        <v>1</v>
      </c>
      <c r="AY186" s="32">
        <f t="shared" si="64"/>
        <v>229.2</v>
      </c>
      <c r="AZ186" s="30" t="s">
        <v>85</v>
      </c>
      <c r="BA186" s="63" t="s">
        <v>1294</v>
      </c>
      <c r="BB186" s="71"/>
      <c r="BC186" s="71" t="s">
        <v>405</v>
      </c>
      <c r="BD186" s="71"/>
    </row>
    <row r="187" spans="1:56" x14ac:dyDescent="0.25">
      <c r="A187" s="24">
        <f>IF(B187="","",SUBTOTAL(3,$B$4:B187))</f>
        <v>179</v>
      </c>
      <c r="B187" s="25" t="s">
        <v>77</v>
      </c>
      <c r="C187" s="25" t="str">
        <f t="shared" si="56"/>
        <v>Shipment 1 400</v>
      </c>
      <c r="D187" s="25" t="s">
        <v>76</v>
      </c>
      <c r="E187" s="25">
        <v>400</v>
      </c>
      <c r="F187" s="25"/>
      <c r="G187" s="65">
        <v>45990</v>
      </c>
      <c r="H187" s="25" t="s">
        <v>1257</v>
      </c>
      <c r="I187" s="25" t="s">
        <v>1254</v>
      </c>
      <c r="J187" s="26" t="s">
        <v>1302</v>
      </c>
      <c r="K187" s="27" t="s">
        <v>406</v>
      </c>
      <c r="L187" s="28" t="s">
        <v>407</v>
      </c>
      <c r="M187" s="28" t="s">
        <v>246</v>
      </c>
      <c r="N187" s="25">
        <v>1</v>
      </c>
      <c r="O187" s="29">
        <v>202.5</v>
      </c>
      <c r="P187" s="29">
        <v>202.5</v>
      </c>
      <c r="Q187" s="25" t="s">
        <v>469</v>
      </c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57"/>
        <v>202.5</v>
      </c>
      <c r="AF187" s="32">
        <f t="shared" si="58"/>
        <v>0</v>
      </c>
      <c r="AG187" s="30"/>
      <c r="AH187" s="33">
        <v>1</v>
      </c>
      <c r="AI187" s="34">
        <f t="shared" si="59"/>
        <v>202.5</v>
      </c>
      <c r="AJ187" s="35">
        <v>46045</v>
      </c>
      <c r="AK187" s="30">
        <v>1</v>
      </c>
      <c r="AL187" s="36">
        <f t="shared" si="60"/>
        <v>202.5</v>
      </c>
      <c r="AM187" s="35">
        <v>46077</v>
      </c>
      <c r="AN187" s="30">
        <v>1</v>
      </c>
      <c r="AO187" s="36">
        <f t="shared" si="61"/>
        <v>202.5</v>
      </c>
      <c r="AP187" s="35">
        <v>46164</v>
      </c>
      <c r="AQ187" s="30">
        <v>1</v>
      </c>
      <c r="AR187" s="36">
        <f t="shared" si="62"/>
        <v>202.5</v>
      </c>
      <c r="AS187" s="27" t="s">
        <v>1294</v>
      </c>
      <c r="AT187" s="37">
        <v>46205</v>
      </c>
      <c r="AU187" s="30">
        <v>1</v>
      </c>
      <c r="AV187" s="36">
        <f t="shared" si="63"/>
        <v>202.5</v>
      </c>
      <c r="AW187" s="35">
        <v>46208</v>
      </c>
      <c r="AX187" s="30">
        <v>1</v>
      </c>
      <c r="AY187" s="32">
        <f t="shared" si="64"/>
        <v>202.5</v>
      </c>
      <c r="AZ187" s="30" t="s">
        <v>85</v>
      </c>
      <c r="BA187" s="63" t="s">
        <v>1294</v>
      </c>
      <c r="BB187" s="71"/>
      <c r="BC187" s="71" t="s">
        <v>407</v>
      </c>
      <c r="BD187" s="71"/>
    </row>
    <row r="188" spans="1:56" hidden="1" x14ac:dyDescent="0.25">
      <c r="A188" s="24">
        <f>IF(B188="","",SUBTOTAL(3,$B$4:B188))</f>
        <v>179</v>
      </c>
      <c r="B188" s="25" t="s">
        <v>77</v>
      </c>
      <c r="C188" s="25" t="str">
        <f t="shared" si="56"/>
        <v>Shipment 1 400</v>
      </c>
      <c r="D188" s="25" t="s">
        <v>76</v>
      </c>
      <c r="E188" s="25">
        <v>400</v>
      </c>
      <c r="F188" s="25"/>
      <c r="G188" s="65">
        <v>45990</v>
      </c>
      <c r="H188" s="25" t="s">
        <v>1257</v>
      </c>
      <c r="I188" s="25" t="s">
        <v>1254</v>
      </c>
      <c r="J188" s="26" t="s">
        <v>1302</v>
      </c>
      <c r="K188" s="27" t="s">
        <v>408</v>
      </c>
      <c r="L188" s="28" t="s">
        <v>409</v>
      </c>
      <c r="M188" s="28" t="s">
        <v>266</v>
      </c>
      <c r="N188" s="25">
        <v>1</v>
      </c>
      <c r="O188" s="29">
        <v>0.2</v>
      </c>
      <c r="P188" s="29">
        <v>0.2</v>
      </c>
      <c r="Q188" s="25" t="s">
        <v>493</v>
      </c>
      <c r="R188" s="25"/>
      <c r="S188" s="26" t="s">
        <v>1305</v>
      </c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57"/>
        <v>0.18000000000000002</v>
      </c>
      <c r="AF188" s="32">
        <f t="shared" si="58"/>
        <v>1.999999999999999E-2</v>
      </c>
      <c r="AG188" s="30"/>
      <c r="AH188" s="33">
        <v>1</v>
      </c>
      <c r="AI188" s="34">
        <f t="shared" si="59"/>
        <v>0.2</v>
      </c>
      <c r="AJ188" s="35">
        <v>46045</v>
      </c>
      <c r="AK188" s="30">
        <v>1</v>
      </c>
      <c r="AL188" s="36">
        <f t="shared" si="60"/>
        <v>0.2</v>
      </c>
      <c r="AM188" s="35">
        <v>46077</v>
      </c>
      <c r="AN188" s="30">
        <v>1</v>
      </c>
      <c r="AO188" s="36">
        <f t="shared" si="61"/>
        <v>0.2</v>
      </c>
      <c r="AP188" s="35">
        <v>46164</v>
      </c>
      <c r="AQ188" s="30">
        <v>1</v>
      </c>
      <c r="AR188" s="36">
        <f t="shared" si="62"/>
        <v>0.2</v>
      </c>
      <c r="AS188" s="27"/>
      <c r="AT188" s="37"/>
      <c r="AU188" s="30"/>
      <c r="AV188" s="36">
        <f t="shared" si="63"/>
        <v>0</v>
      </c>
      <c r="AW188" s="35"/>
      <c r="AX188" s="30"/>
      <c r="AY188" s="32">
        <f t="shared" si="64"/>
        <v>0</v>
      </c>
      <c r="AZ188" s="30" t="s">
        <v>85</v>
      </c>
      <c r="BA188" s="63"/>
      <c r="BB188" s="71" t="e">
        <f>SUMIFS([1]Form!$F$9:$F$67,[1]Form!$K$9:$K$67,L188)</f>
        <v>#VALUE!</v>
      </c>
      <c r="BC188" s="71" t="s">
        <v>1335</v>
      </c>
      <c r="BD188" s="71"/>
    </row>
    <row r="189" spans="1:56" hidden="1" x14ac:dyDescent="0.25">
      <c r="A189" s="24">
        <f>IF(B189="","",SUBTOTAL(3,$B$4:B189))</f>
        <v>179</v>
      </c>
      <c r="B189" s="25" t="s">
        <v>77</v>
      </c>
      <c r="C189" s="25" t="str">
        <f t="shared" si="56"/>
        <v>Shipment 1 400</v>
      </c>
      <c r="D189" s="25" t="s">
        <v>76</v>
      </c>
      <c r="E189" s="25">
        <v>400</v>
      </c>
      <c r="F189" s="25"/>
      <c r="G189" s="65">
        <v>45990</v>
      </c>
      <c r="H189" s="25" t="s">
        <v>1257</v>
      </c>
      <c r="I189" s="25" t="s">
        <v>1254</v>
      </c>
      <c r="J189" s="26" t="s">
        <v>1302</v>
      </c>
      <c r="K189" s="27" t="s">
        <v>408</v>
      </c>
      <c r="L189" s="28" t="s">
        <v>410</v>
      </c>
      <c r="M189" s="28" t="s">
        <v>266</v>
      </c>
      <c r="N189" s="25">
        <v>1</v>
      </c>
      <c r="O189" s="29">
        <v>0.2</v>
      </c>
      <c r="P189" s="29">
        <v>0.2</v>
      </c>
      <c r="Q189" s="25" t="s">
        <v>493</v>
      </c>
      <c r="R189" s="25"/>
      <c r="S189" s="26" t="s">
        <v>1305</v>
      </c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57"/>
        <v>0.18000000000000002</v>
      </c>
      <c r="AF189" s="32">
        <f t="shared" si="58"/>
        <v>1.999999999999999E-2</v>
      </c>
      <c r="AG189" s="30"/>
      <c r="AH189" s="33">
        <v>1</v>
      </c>
      <c r="AI189" s="34">
        <f t="shared" si="59"/>
        <v>0.2</v>
      </c>
      <c r="AJ189" s="35">
        <v>46045</v>
      </c>
      <c r="AK189" s="30">
        <v>1</v>
      </c>
      <c r="AL189" s="36">
        <f t="shared" si="60"/>
        <v>0.2</v>
      </c>
      <c r="AM189" s="35">
        <v>46077</v>
      </c>
      <c r="AN189" s="30">
        <v>1</v>
      </c>
      <c r="AO189" s="36">
        <f t="shared" si="61"/>
        <v>0.2</v>
      </c>
      <c r="AP189" s="35">
        <v>46164</v>
      </c>
      <c r="AQ189" s="30">
        <v>1</v>
      </c>
      <c r="AR189" s="36">
        <f t="shared" si="62"/>
        <v>0.2</v>
      </c>
      <c r="AS189" s="27"/>
      <c r="AT189" s="37"/>
      <c r="AU189" s="30"/>
      <c r="AV189" s="36">
        <f t="shared" si="63"/>
        <v>0</v>
      </c>
      <c r="AW189" s="35"/>
      <c r="AX189" s="30"/>
      <c r="AY189" s="32">
        <f t="shared" si="64"/>
        <v>0</v>
      </c>
      <c r="AZ189" s="30" t="s">
        <v>85</v>
      </c>
      <c r="BA189" s="63"/>
      <c r="BB189" s="71" t="e">
        <f>SUMIFS([1]Form!$F$9:$F$67,[1]Form!$K$9:$K$67,L189)</f>
        <v>#VALUE!</v>
      </c>
      <c r="BC189" s="71" t="s">
        <v>1335</v>
      </c>
      <c r="BD189" s="71"/>
    </row>
    <row r="190" spans="1:56" hidden="1" x14ac:dyDescent="0.25">
      <c r="A190" s="24">
        <f>IF(B190="","",SUBTOTAL(3,$B$4:B190))</f>
        <v>179</v>
      </c>
      <c r="B190" s="25" t="s">
        <v>77</v>
      </c>
      <c r="C190" s="25" t="str">
        <f t="shared" si="56"/>
        <v>Shipment 1 400</v>
      </c>
      <c r="D190" s="25" t="s">
        <v>76</v>
      </c>
      <c r="E190" s="25">
        <v>400</v>
      </c>
      <c r="F190" s="25"/>
      <c r="G190" s="65">
        <v>45990</v>
      </c>
      <c r="H190" s="25" t="s">
        <v>1257</v>
      </c>
      <c r="I190" s="25" t="s">
        <v>1254</v>
      </c>
      <c r="J190" s="26" t="s">
        <v>1302</v>
      </c>
      <c r="K190" s="27" t="s">
        <v>411</v>
      </c>
      <c r="L190" s="28" t="s">
        <v>412</v>
      </c>
      <c r="M190" s="28" t="s">
        <v>266</v>
      </c>
      <c r="N190" s="25">
        <v>152</v>
      </c>
      <c r="O190" s="29">
        <v>0</v>
      </c>
      <c r="P190" s="29">
        <v>0.5</v>
      </c>
      <c r="Q190" s="25" t="s">
        <v>496</v>
      </c>
      <c r="R190" s="25"/>
      <c r="S190" s="26" t="s">
        <v>1307</v>
      </c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57"/>
        <v>0</v>
      </c>
      <c r="AF190" s="32">
        <f t="shared" si="58"/>
        <v>0.5</v>
      </c>
      <c r="AG190" s="30"/>
      <c r="AH190" s="33">
        <v>1</v>
      </c>
      <c r="AI190" s="34">
        <f t="shared" si="59"/>
        <v>0.5</v>
      </c>
      <c r="AJ190" s="35"/>
      <c r="AK190" s="30"/>
      <c r="AL190" s="36">
        <f t="shared" si="60"/>
        <v>0</v>
      </c>
      <c r="AM190" s="35"/>
      <c r="AN190" s="30"/>
      <c r="AO190" s="36">
        <f t="shared" si="61"/>
        <v>0</v>
      </c>
      <c r="AP190" s="35"/>
      <c r="AQ190" s="30"/>
      <c r="AR190" s="36">
        <f t="shared" si="62"/>
        <v>0</v>
      </c>
      <c r="AS190" s="27"/>
      <c r="AT190" s="37"/>
      <c r="AU190" s="30"/>
      <c r="AV190" s="36">
        <f t="shared" si="63"/>
        <v>0</v>
      </c>
      <c r="AW190" s="35"/>
      <c r="AX190" s="30"/>
      <c r="AY190" s="32">
        <f t="shared" si="64"/>
        <v>0</v>
      </c>
      <c r="AZ190" s="30" t="s">
        <v>85</v>
      </c>
      <c r="BA190" s="63"/>
      <c r="BB190" s="71" t="e">
        <f>SUMIFS([1]Form!$F$9:$F$67,[1]Form!$K$9:$K$67,L190)</f>
        <v>#VALUE!</v>
      </c>
      <c r="BC190" s="71" t="s">
        <v>412</v>
      </c>
      <c r="BD190" s="71"/>
    </row>
    <row r="191" spans="1:56" x14ac:dyDescent="0.25">
      <c r="A191" s="24">
        <f>IF(B191="","",SUBTOTAL(3,$B$4:B191))</f>
        <v>180</v>
      </c>
      <c r="B191" s="25" t="s">
        <v>77</v>
      </c>
      <c r="C191" s="25" t="str">
        <f t="shared" si="56"/>
        <v>Shipment 1 400</v>
      </c>
      <c r="D191" s="25" t="s">
        <v>76</v>
      </c>
      <c r="E191" s="25">
        <v>400</v>
      </c>
      <c r="F191" s="25"/>
      <c r="G191" s="65">
        <v>45990</v>
      </c>
      <c r="H191" s="25" t="s">
        <v>1257</v>
      </c>
      <c r="I191" s="25" t="s">
        <v>1254</v>
      </c>
      <c r="J191" s="26" t="s">
        <v>1302</v>
      </c>
      <c r="K191" s="27" t="s">
        <v>413</v>
      </c>
      <c r="L191" s="28" t="s">
        <v>414</v>
      </c>
      <c r="M191" s="28" t="s">
        <v>266</v>
      </c>
      <c r="N191" s="25">
        <v>1</v>
      </c>
      <c r="O191" s="29">
        <v>20.100000000000001</v>
      </c>
      <c r="P191" s="29">
        <v>20.100000000000001</v>
      </c>
      <c r="Q191" s="25" t="s">
        <v>497</v>
      </c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57"/>
        <v>20.100000000000005</v>
      </c>
      <c r="AF191" s="32">
        <f t="shared" si="58"/>
        <v>0</v>
      </c>
      <c r="AG191" s="30"/>
      <c r="AH191" s="33">
        <v>1</v>
      </c>
      <c r="AI191" s="34">
        <f t="shared" si="59"/>
        <v>20.100000000000001</v>
      </c>
      <c r="AJ191" s="35">
        <v>46045</v>
      </c>
      <c r="AK191" s="30">
        <v>1</v>
      </c>
      <c r="AL191" s="36">
        <f t="shared" si="60"/>
        <v>20.100000000000001</v>
      </c>
      <c r="AM191" s="35">
        <v>46077</v>
      </c>
      <c r="AN191" s="30">
        <v>1</v>
      </c>
      <c r="AO191" s="36">
        <f t="shared" si="61"/>
        <v>20.100000000000001</v>
      </c>
      <c r="AP191" s="35">
        <v>46164</v>
      </c>
      <c r="AQ191" s="30">
        <v>1</v>
      </c>
      <c r="AR191" s="36">
        <f t="shared" si="62"/>
        <v>20.100000000000001</v>
      </c>
      <c r="AS191" s="27" t="s">
        <v>1298</v>
      </c>
      <c r="AT191" s="37">
        <v>46213</v>
      </c>
      <c r="AU191" s="30">
        <v>1</v>
      </c>
      <c r="AV191" s="36">
        <f t="shared" si="63"/>
        <v>20.100000000000001</v>
      </c>
      <c r="AW191" s="35">
        <v>46218</v>
      </c>
      <c r="AX191" s="30">
        <v>1</v>
      </c>
      <c r="AY191" s="32">
        <f t="shared" si="64"/>
        <v>20.100000000000001</v>
      </c>
      <c r="AZ191" s="30" t="s">
        <v>85</v>
      </c>
      <c r="BA191" s="63" t="s">
        <v>1299</v>
      </c>
      <c r="BB191" s="71"/>
      <c r="BC191" s="71" t="s">
        <v>1336</v>
      </c>
      <c r="BD191" s="71"/>
    </row>
    <row r="192" spans="1:56" x14ac:dyDescent="0.25">
      <c r="A192" s="24">
        <f>IF(B192="","",SUBTOTAL(3,$B$4:B192))</f>
        <v>181</v>
      </c>
      <c r="B192" s="25" t="s">
        <v>77</v>
      </c>
      <c r="C192" s="25" t="str">
        <f t="shared" si="56"/>
        <v>Shipment 1 400</v>
      </c>
      <c r="D192" s="25" t="s">
        <v>76</v>
      </c>
      <c r="E192" s="25">
        <v>400</v>
      </c>
      <c r="F192" s="25"/>
      <c r="G192" s="65">
        <v>45990</v>
      </c>
      <c r="H192" s="25" t="s">
        <v>1257</v>
      </c>
      <c r="I192" s="25" t="s">
        <v>1254</v>
      </c>
      <c r="J192" s="26" t="s">
        <v>1302</v>
      </c>
      <c r="K192" s="27" t="s">
        <v>413</v>
      </c>
      <c r="L192" s="28" t="s">
        <v>415</v>
      </c>
      <c r="M192" s="28" t="s">
        <v>266</v>
      </c>
      <c r="N192" s="25">
        <v>1</v>
      </c>
      <c r="O192" s="29">
        <v>20.100000000000001</v>
      </c>
      <c r="P192" s="29">
        <v>20.100000000000001</v>
      </c>
      <c r="Q192" s="25" t="s">
        <v>497</v>
      </c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57"/>
        <v>20.100000000000005</v>
      </c>
      <c r="AF192" s="32">
        <f t="shared" si="58"/>
        <v>0</v>
      </c>
      <c r="AG192" s="30"/>
      <c r="AH192" s="33">
        <v>1</v>
      </c>
      <c r="AI192" s="34">
        <f t="shared" si="59"/>
        <v>20.100000000000001</v>
      </c>
      <c r="AJ192" s="35">
        <v>46045</v>
      </c>
      <c r="AK192" s="30">
        <v>1</v>
      </c>
      <c r="AL192" s="36">
        <f t="shared" si="60"/>
        <v>20.100000000000001</v>
      </c>
      <c r="AM192" s="35">
        <v>46077</v>
      </c>
      <c r="AN192" s="30">
        <v>1</v>
      </c>
      <c r="AO192" s="36">
        <f t="shared" si="61"/>
        <v>20.100000000000001</v>
      </c>
      <c r="AP192" s="35">
        <v>46164</v>
      </c>
      <c r="AQ192" s="30">
        <v>1</v>
      </c>
      <c r="AR192" s="36">
        <f t="shared" si="62"/>
        <v>20.100000000000001</v>
      </c>
      <c r="AS192" s="27" t="s">
        <v>1298</v>
      </c>
      <c r="AT192" s="37">
        <v>46213</v>
      </c>
      <c r="AU192" s="30">
        <v>1</v>
      </c>
      <c r="AV192" s="36">
        <f t="shared" si="63"/>
        <v>20.100000000000001</v>
      </c>
      <c r="AW192" s="35">
        <v>46218</v>
      </c>
      <c r="AX192" s="30">
        <v>1</v>
      </c>
      <c r="AY192" s="32">
        <f t="shared" si="64"/>
        <v>20.100000000000001</v>
      </c>
      <c r="AZ192" s="30" t="s">
        <v>85</v>
      </c>
      <c r="BA192" s="63" t="s">
        <v>1299</v>
      </c>
      <c r="BB192" s="71"/>
      <c r="BC192" s="71" t="s">
        <v>1336</v>
      </c>
      <c r="BD192" s="71"/>
    </row>
    <row r="193" spans="1:56" x14ac:dyDescent="0.25">
      <c r="A193" s="24">
        <f>IF(B193="","",SUBTOTAL(3,$B$4:B193))</f>
        <v>182</v>
      </c>
      <c r="B193" s="25" t="s">
        <v>77</v>
      </c>
      <c r="C193" s="25" t="str">
        <f t="shared" si="56"/>
        <v>Shipment 1 400</v>
      </c>
      <c r="D193" s="25" t="s">
        <v>76</v>
      </c>
      <c r="E193" s="25">
        <v>400</v>
      </c>
      <c r="F193" s="25"/>
      <c r="G193" s="65">
        <v>45990</v>
      </c>
      <c r="H193" s="25" t="s">
        <v>1257</v>
      </c>
      <c r="I193" s="25" t="s">
        <v>1254</v>
      </c>
      <c r="J193" s="26" t="s">
        <v>1302</v>
      </c>
      <c r="K193" s="27" t="s">
        <v>416</v>
      </c>
      <c r="L193" s="28" t="s">
        <v>417</v>
      </c>
      <c r="M193" s="28" t="s">
        <v>266</v>
      </c>
      <c r="N193" s="25">
        <v>1</v>
      </c>
      <c r="O193" s="29">
        <v>18.600000000000001</v>
      </c>
      <c r="P193" s="29">
        <v>18.600000000000001</v>
      </c>
      <c r="Q193" s="25" t="s">
        <v>498</v>
      </c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57"/>
        <v>18.600000000000001</v>
      </c>
      <c r="AF193" s="32">
        <f t="shared" si="58"/>
        <v>0</v>
      </c>
      <c r="AG193" s="30"/>
      <c r="AH193" s="33">
        <v>1</v>
      </c>
      <c r="AI193" s="34">
        <f t="shared" si="59"/>
        <v>18.600000000000001</v>
      </c>
      <c r="AJ193" s="35">
        <v>46045</v>
      </c>
      <c r="AK193" s="30">
        <v>1</v>
      </c>
      <c r="AL193" s="36">
        <f t="shared" si="60"/>
        <v>18.600000000000001</v>
      </c>
      <c r="AM193" s="35">
        <v>46077</v>
      </c>
      <c r="AN193" s="30">
        <v>1</v>
      </c>
      <c r="AO193" s="36">
        <f t="shared" si="61"/>
        <v>18.600000000000001</v>
      </c>
      <c r="AP193" s="35">
        <v>46164</v>
      </c>
      <c r="AQ193" s="30">
        <v>1</v>
      </c>
      <c r="AR193" s="36">
        <f t="shared" si="62"/>
        <v>18.600000000000001</v>
      </c>
      <c r="AS193" s="27" t="s">
        <v>1298</v>
      </c>
      <c r="AT193" s="37">
        <v>46213</v>
      </c>
      <c r="AU193" s="30">
        <v>1</v>
      </c>
      <c r="AV193" s="36">
        <f t="shared" si="63"/>
        <v>18.600000000000001</v>
      </c>
      <c r="AW193" s="35">
        <v>46218</v>
      </c>
      <c r="AX193" s="30">
        <v>1</v>
      </c>
      <c r="AY193" s="32">
        <f t="shared" si="64"/>
        <v>18.600000000000001</v>
      </c>
      <c r="AZ193" s="30" t="s">
        <v>85</v>
      </c>
      <c r="BA193" s="63" t="s">
        <v>1299</v>
      </c>
      <c r="BB193" s="71"/>
      <c r="BC193" s="71" t="s">
        <v>1337</v>
      </c>
      <c r="BD193" s="71"/>
    </row>
    <row r="194" spans="1:56" x14ac:dyDescent="0.25">
      <c r="A194" s="24">
        <f>IF(B194="","",SUBTOTAL(3,$B$4:B194))</f>
        <v>183</v>
      </c>
      <c r="B194" s="25" t="s">
        <v>77</v>
      </c>
      <c r="C194" s="25" t="str">
        <f t="shared" si="56"/>
        <v>Shipment 1 400</v>
      </c>
      <c r="D194" s="25" t="s">
        <v>76</v>
      </c>
      <c r="E194" s="25">
        <v>400</v>
      </c>
      <c r="F194" s="25"/>
      <c r="G194" s="65">
        <v>45990</v>
      </c>
      <c r="H194" s="25" t="s">
        <v>1257</v>
      </c>
      <c r="I194" s="25" t="s">
        <v>1254</v>
      </c>
      <c r="J194" s="26" t="s">
        <v>1302</v>
      </c>
      <c r="K194" s="27" t="s">
        <v>416</v>
      </c>
      <c r="L194" s="28" t="s">
        <v>418</v>
      </c>
      <c r="M194" s="28" t="s">
        <v>266</v>
      </c>
      <c r="N194" s="25">
        <v>1</v>
      </c>
      <c r="O194" s="29">
        <v>18.600000000000001</v>
      </c>
      <c r="P194" s="29">
        <v>18.600000000000001</v>
      </c>
      <c r="Q194" s="25" t="s">
        <v>498</v>
      </c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57"/>
        <v>18.600000000000001</v>
      </c>
      <c r="AF194" s="32">
        <f t="shared" si="58"/>
        <v>0</v>
      </c>
      <c r="AG194" s="30"/>
      <c r="AH194" s="33">
        <v>1</v>
      </c>
      <c r="AI194" s="34">
        <f t="shared" si="59"/>
        <v>18.600000000000001</v>
      </c>
      <c r="AJ194" s="35">
        <v>46045</v>
      </c>
      <c r="AK194" s="30">
        <v>1</v>
      </c>
      <c r="AL194" s="36">
        <f t="shared" si="60"/>
        <v>18.600000000000001</v>
      </c>
      <c r="AM194" s="35">
        <v>46077</v>
      </c>
      <c r="AN194" s="30">
        <v>1</v>
      </c>
      <c r="AO194" s="36">
        <f t="shared" si="61"/>
        <v>18.600000000000001</v>
      </c>
      <c r="AP194" s="35">
        <v>46164</v>
      </c>
      <c r="AQ194" s="30">
        <v>1</v>
      </c>
      <c r="AR194" s="36">
        <f t="shared" si="62"/>
        <v>18.600000000000001</v>
      </c>
      <c r="AS194" s="27" t="s">
        <v>1298</v>
      </c>
      <c r="AT194" s="37">
        <v>46213</v>
      </c>
      <c r="AU194" s="30">
        <v>1</v>
      </c>
      <c r="AV194" s="36">
        <f t="shared" si="63"/>
        <v>18.600000000000001</v>
      </c>
      <c r="AW194" s="35">
        <v>46218</v>
      </c>
      <c r="AX194" s="30">
        <v>1</v>
      </c>
      <c r="AY194" s="32">
        <f t="shared" si="64"/>
        <v>18.600000000000001</v>
      </c>
      <c r="AZ194" s="30" t="s">
        <v>85</v>
      </c>
      <c r="BA194" s="63" t="s">
        <v>1299</v>
      </c>
      <c r="BB194" s="71"/>
      <c r="BC194" s="71" t="s">
        <v>1337</v>
      </c>
      <c r="BD194" s="71"/>
    </row>
    <row r="195" spans="1:56" x14ac:dyDescent="0.25">
      <c r="A195" s="24">
        <f>IF(B195="","",SUBTOTAL(3,$B$4:B195))</f>
        <v>184</v>
      </c>
      <c r="B195" s="25" t="s">
        <v>77</v>
      </c>
      <c r="C195" s="25" t="str">
        <f t="shared" ref="C195:C204" si="68">D195&amp;" "&amp;E195</f>
        <v>Shipment 1 400</v>
      </c>
      <c r="D195" s="25" t="s">
        <v>76</v>
      </c>
      <c r="E195" s="25">
        <v>400</v>
      </c>
      <c r="F195" s="25"/>
      <c r="G195" s="65">
        <v>45990</v>
      </c>
      <c r="H195" s="25" t="s">
        <v>1257</v>
      </c>
      <c r="I195" s="25" t="s">
        <v>1254</v>
      </c>
      <c r="J195" s="26" t="s">
        <v>1302</v>
      </c>
      <c r="K195" s="27" t="s">
        <v>1371</v>
      </c>
      <c r="L195" s="28" t="s">
        <v>1372</v>
      </c>
      <c r="M195" s="28" t="s">
        <v>1397</v>
      </c>
      <c r="N195" s="25">
        <v>2</v>
      </c>
      <c r="O195" s="29">
        <v>13.69</v>
      </c>
      <c r="P195" s="29">
        <v>27.37</v>
      </c>
      <c r="Q195" s="25" t="s">
        <v>1391</v>
      </c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ref="AE195:AE204" si="69">+AL195*0.5+AO195*0.4+AV195*0.1</f>
        <v>27.370000000000005</v>
      </c>
      <c r="AF195" s="32">
        <f t="shared" ref="AF195:AF204" si="70">+P195-AE195</f>
        <v>0</v>
      </c>
      <c r="AG195" s="30"/>
      <c r="AH195" s="33">
        <v>1</v>
      </c>
      <c r="AI195" s="34">
        <f t="shared" ref="AI195:AI204" si="71">+AH195*P195</f>
        <v>27.37</v>
      </c>
      <c r="AJ195" s="35">
        <v>46247</v>
      </c>
      <c r="AK195" s="30">
        <v>2</v>
      </c>
      <c r="AL195" s="36">
        <f t="shared" si="60"/>
        <v>27.37</v>
      </c>
      <c r="AM195" s="35">
        <v>46247</v>
      </c>
      <c r="AN195" s="30">
        <v>2</v>
      </c>
      <c r="AO195" s="36">
        <f t="shared" si="61"/>
        <v>27.37</v>
      </c>
      <c r="AP195" s="35"/>
      <c r="AQ195" s="30"/>
      <c r="AR195" s="36">
        <f t="shared" si="62"/>
        <v>0</v>
      </c>
      <c r="AS195" s="27" t="s">
        <v>1308</v>
      </c>
      <c r="AT195" s="37">
        <v>46247</v>
      </c>
      <c r="AU195" s="30">
        <v>2</v>
      </c>
      <c r="AV195" s="36">
        <f t="shared" si="63"/>
        <v>27.37</v>
      </c>
      <c r="AW195" s="35">
        <v>46255</v>
      </c>
      <c r="AX195" s="30">
        <v>2</v>
      </c>
      <c r="AY195" s="32">
        <f t="shared" ref="AY195" si="72">IFERROR(AX195*$P195/$N195,0)</f>
        <v>27.37</v>
      </c>
      <c r="AZ195" s="30" t="s">
        <v>85</v>
      </c>
      <c r="BA195" s="63" t="s">
        <v>1303</v>
      </c>
      <c r="BB195" s="71"/>
      <c r="BC195" s="71"/>
      <c r="BD195" s="71"/>
    </row>
    <row r="196" spans="1:56" x14ac:dyDescent="0.25">
      <c r="A196" s="24">
        <f>IF(B196="","",SUBTOTAL(3,$B$4:B196))</f>
        <v>185</v>
      </c>
      <c r="B196" s="25" t="s">
        <v>77</v>
      </c>
      <c r="C196" s="25" t="str">
        <f t="shared" si="68"/>
        <v>Shipment 1 400</v>
      </c>
      <c r="D196" s="25" t="s">
        <v>76</v>
      </c>
      <c r="E196" s="25">
        <v>400</v>
      </c>
      <c r="F196" s="25"/>
      <c r="G196" s="65">
        <v>45990</v>
      </c>
      <c r="H196" s="25" t="s">
        <v>1257</v>
      </c>
      <c r="I196" s="25" t="s">
        <v>1254</v>
      </c>
      <c r="J196" s="26" t="s">
        <v>1302</v>
      </c>
      <c r="K196" s="27" t="s">
        <v>1373</v>
      </c>
      <c r="L196" s="28" t="s">
        <v>1374</v>
      </c>
      <c r="M196" s="28" t="s">
        <v>1397</v>
      </c>
      <c r="N196" s="25">
        <v>2</v>
      </c>
      <c r="O196" s="29">
        <v>13.69</v>
      </c>
      <c r="P196" s="29">
        <v>27.37</v>
      </c>
      <c r="Q196" s="25" t="s">
        <v>1391</v>
      </c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69"/>
        <v>27.370000000000005</v>
      </c>
      <c r="AF196" s="32">
        <f t="shared" si="70"/>
        <v>0</v>
      </c>
      <c r="AG196" s="30"/>
      <c r="AH196" s="33">
        <v>1</v>
      </c>
      <c r="AI196" s="34">
        <f t="shared" si="71"/>
        <v>27.37</v>
      </c>
      <c r="AJ196" s="35">
        <v>46247</v>
      </c>
      <c r="AK196" s="30">
        <v>2</v>
      </c>
      <c r="AL196" s="36">
        <f t="shared" si="60"/>
        <v>27.37</v>
      </c>
      <c r="AM196" s="35">
        <v>46247</v>
      </c>
      <c r="AN196" s="30">
        <v>2</v>
      </c>
      <c r="AO196" s="36">
        <f t="shared" ref="AO196:AO204" si="73">IFERROR(AN196*$P196/$N196,0)</f>
        <v>27.37</v>
      </c>
      <c r="AP196" s="35"/>
      <c r="AQ196" s="30"/>
      <c r="AR196" s="36">
        <f t="shared" si="62"/>
        <v>0</v>
      </c>
      <c r="AS196" s="27" t="s">
        <v>1308</v>
      </c>
      <c r="AT196" s="37">
        <v>46247</v>
      </c>
      <c r="AU196" s="30">
        <v>2</v>
      </c>
      <c r="AV196" s="36">
        <f t="shared" si="63"/>
        <v>27.37</v>
      </c>
      <c r="AW196" s="35">
        <v>46255</v>
      </c>
      <c r="AX196" s="30">
        <v>2</v>
      </c>
      <c r="AY196" s="32">
        <f t="shared" ref="AY196:AY204" si="74">IFERROR(AX196*$P196/$N196,0)</f>
        <v>27.37</v>
      </c>
      <c r="AZ196" s="30" t="s">
        <v>85</v>
      </c>
      <c r="BA196" s="63" t="s">
        <v>1303</v>
      </c>
      <c r="BB196" s="71"/>
      <c r="BC196" s="71"/>
      <c r="BD196" s="71"/>
    </row>
    <row r="197" spans="1:56" x14ac:dyDescent="0.25">
      <c r="A197" s="24">
        <f>IF(B197="","",SUBTOTAL(3,$B$4:B197))</f>
        <v>186</v>
      </c>
      <c r="B197" s="25" t="s">
        <v>77</v>
      </c>
      <c r="C197" s="25" t="str">
        <f t="shared" si="68"/>
        <v>Shipment 1 400</v>
      </c>
      <c r="D197" s="25" t="s">
        <v>76</v>
      </c>
      <c r="E197" s="25">
        <v>400</v>
      </c>
      <c r="F197" s="25"/>
      <c r="G197" s="65">
        <v>45990</v>
      </c>
      <c r="H197" s="25" t="s">
        <v>1257</v>
      </c>
      <c r="I197" s="25" t="s">
        <v>1254</v>
      </c>
      <c r="J197" s="26" t="s">
        <v>1302</v>
      </c>
      <c r="K197" s="27" t="s">
        <v>1375</v>
      </c>
      <c r="L197" s="28" t="s">
        <v>1376</v>
      </c>
      <c r="M197" s="28" t="s">
        <v>1397</v>
      </c>
      <c r="N197" s="25">
        <v>1</v>
      </c>
      <c r="O197" s="29">
        <v>15.76</v>
      </c>
      <c r="P197" s="29">
        <v>15.76</v>
      </c>
      <c r="Q197" s="25" t="s">
        <v>1392</v>
      </c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69"/>
        <v>15.760000000000002</v>
      </c>
      <c r="AF197" s="32">
        <f t="shared" si="70"/>
        <v>0</v>
      </c>
      <c r="AG197" s="30"/>
      <c r="AH197" s="33">
        <v>1</v>
      </c>
      <c r="AI197" s="34">
        <f t="shared" si="71"/>
        <v>15.76</v>
      </c>
      <c r="AJ197" s="35">
        <v>46247</v>
      </c>
      <c r="AK197" s="30">
        <v>1</v>
      </c>
      <c r="AL197" s="36">
        <f t="shared" si="60"/>
        <v>15.76</v>
      </c>
      <c r="AM197" s="35">
        <v>46247</v>
      </c>
      <c r="AN197" s="30">
        <v>1</v>
      </c>
      <c r="AO197" s="36">
        <f t="shared" si="73"/>
        <v>15.76</v>
      </c>
      <c r="AP197" s="35"/>
      <c r="AQ197" s="30"/>
      <c r="AR197" s="36">
        <f t="shared" si="62"/>
        <v>0</v>
      </c>
      <c r="AS197" s="27" t="s">
        <v>1308</v>
      </c>
      <c r="AT197" s="37">
        <v>46247</v>
      </c>
      <c r="AU197" s="30">
        <v>1</v>
      </c>
      <c r="AV197" s="36">
        <f t="shared" si="63"/>
        <v>15.76</v>
      </c>
      <c r="AW197" s="35">
        <v>46255</v>
      </c>
      <c r="AX197" s="30">
        <v>1</v>
      </c>
      <c r="AY197" s="32">
        <f t="shared" si="74"/>
        <v>15.76</v>
      </c>
      <c r="AZ197" s="30" t="s">
        <v>85</v>
      </c>
      <c r="BA197" s="63" t="s">
        <v>1303</v>
      </c>
      <c r="BB197" s="71"/>
      <c r="BC197" s="71"/>
      <c r="BD197" s="71"/>
    </row>
    <row r="198" spans="1:56" x14ac:dyDescent="0.25">
      <c r="A198" s="24">
        <f>IF(B198="","",SUBTOTAL(3,$B$4:B198))</f>
        <v>187</v>
      </c>
      <c r="B198" s="25" t="s">
        <v>77</v>
      </c>
      <c r="C198" s="25" t="str">
        <f t="shared" si="68"/>
        <v>Shipment 1 400</v>
      </c>
      <c r="D198" s="25" t="s">
        <v>76</v>
      </c>
      <c r="E198" s="25">
        <v>400</v>
      </c>
      <c r="F198" s="25"/>
      <c r="G198" s="65">
        <v>45990</v>
      </c>
      <c r="H198" s="25" t="s">
        <v>1257</v>
      </c>
      <c r="I198" s="25" t="s">
        <v>1254</v>
      </c>
      <c r="J198" s="26" t="s">
        <v>1302</v>
      </c>
      <c r="K198" s="27" t="s">
        <v>1377</v>
      </c>
      <c r="L198" s="28" t="s">
        <v>1378</v>
      </c>
      <c r="M198" s="28" t="s">
        <v>1397</v>
      </c>
      <c r="N198" s="25">
        <v>1</v>
      </c>
      <c r="O198" s="29">
        <v>15.76</v>
      </c>
      <c r="P198" s="29">
        <v>15.76</v>
      </c>
      <c r="Q198" s="25" t="s">
        <v>1392</v>
      </c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69"/>
        <v>15.760000000000002</v>
      </c>
      <c r="AF198" s="32">
        <f t="shared" si="70"/>
        <v>0</v>
      </c>
      <c r="AG198" s="30"/>
      <c r="AH198" s="33">
        <v>1</v>
      </c>
      <c r="AI198" s="34">
        <f t="shared" si="71"/>
        <v>15.76</v>
      </c>
      <c r="AJ198" s="35">
        <v>46247</v>
      </c>
      <c r="AK198" s="30">
        <v>1</v>
      </c>
      <c r="AL198" s="36">
        <f t="shared" si="60"/>
        <v>15.76</v>
      </c>
      <c r="AM198" s="35">
        <v>46247</v>
      </c>
      <c r="AN198" s="30">
        <v>1</v>
      </c>
      <c r="AO198" s="36">
        <f t="shared" si="73"/>
        <v>15.76</v>
      </c>
      <c r="AP198" s="35"/>
      <c r="AQ198" s="30"/>
      <c r="AR198" s="36">
        <f t="shared" si="62"/>
        <v>0</v>
      </c>
      <c r="AS198" s="27" t="s">
        <v>1308</v>
      </c>
      <c r="AT198" s="37">
        <v>46247</v>
      </c>
      <c r="AU198" s="30">
        <v>1</v>
      </c>
      <c r="AV198" s="36">
        <f t="shared" si="63"/>
        <v>15.76</v>
      </c>
      <c r="AW198" s="35">
        <v>46255</v>
      </c>
      <c r="AX198" s="30">
        <v>1</v>
      </c>
      <c r="AY198" s="32">
        <f t="shared" si="74"/>
        <v>15.76</v>
      </c>
      <c r="AZ198" s="30" t="s">
        <v>85</v>
      </c>
      <c r="BA198" s="63" t="s">
        <v>1303</v>
      </c>
      <c r="BB198" s="71"/>
      <c r="BC198" s="71"/>
      <c r="BD198" s="71"/>
    </row>
    <row r="199" spans="1:56" x14ac:dyDescent="0.25">
      <c r="A199" s="24">
        <f>IF(B199="","",SUBTOTAL(3,$B$4:B199))</f>
        <v>188</v>
      </c>
      <c r="B199" s="25" t="s">
        <v>77</v>
      </c>
      <c r="C199" s="25" t="str">
        <f t="shared" si="68"/>
        <v>Shipment 1 400</v>
      </c>
      <c r="D199" s="25" t="s">
        <v>76</v>
      </c>
      <c r="E199" s="25">
        <v>400</v>
      </c>
      <c r="F199" s="25"/>
      <c r="G199" s="65">
        <v>45990</v>
      </c>
      <c r="H199" s="25" t="s">
        <v>1257</v>
      </c>
      <c r="I199" s="25" t="s">
        <v>1254</v>
      </c>
      <c r="J199" s="26" t="s">
        <v>1302</v>
      </c>
      <c r="K199" s="27" t="s">
        <v>1379</v>
      </c>
      <c r="L199" s="28" t="s">
        <v>1380</v>
      </c>
      <c r="M199" s="28" t="s">
        <v>1397</v>
      </c>
      <c r="N199" s="25">
        <v>1</v>
      </c>
      <c r="O199" s="29">
        <v>13.87</v>
      </c>
      <c r="P199" s="29">
        <v>13.87</v>
      </c>
      <c r="Q199" s="25" t="s">
        <v>1393</v>
      </c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69"/>
        <v>13.870000000000001</v>
      </c>
      <c r="AF199" s="32">
        <f t="shared" si="70"/>
        <v>0</v>
      </c>
      <c r="AG199" s="30"/>
      <c r="AH199" s="33">
        <v>1</v>
      </c>
      <c r="AI199" s="34">
        <f t="shared" si="71"/>
        <v>13.87</v>
      </c>
      <c r="AJ199" s="35">
        <v>46247</v>
      </c>
      <c r="AK199" s="30">
        <v>1</v>
      </c>
      <c r="AL199" s="36">
        <f t="shared" si="60"/>
        <v>13.87</v>
      </c>
      <c r="AM199" s="35">
        <v>46247</v>
      </c>
      <c r="AN199" s="30">
        <v>1</v>
      </c>
      <c r="AO199" s="36">
        <f t="shared" si="73"/>
        <v>13.87</v>
      </c>
      <c r="AP199" s="35"/>
      <c r="AQ199" s="30"/>
      <c r="AR199" s="36">
        <f t="shared" si="62"/>
        <v>0</v>
      </c>
      <c r="AS199" s="27" t="s">
        <v>1308</v>
      </c>
      <c r="AT199" s="37">
        <v>46247</v>
      </c>
      <c r="AU199" s="30">
        <v>1</v>
      </c>
      <c r="AV199" s="36">
        <f t="shared" si="63"/>
        <v>13.87</v>
      </c>
      <c r="AW199" s="35">
        <v>46255</v>
      </c>
      <c r="AX199" s="30">
        <v>1</v>
      </c>
      <c r="AY199" s="32">
        <f t="shared" si="74"/>
        <v>13.87</v>
      </c>
      <c r="AZ199" s="30" t="s">
        <v>85</v>
      </c>
      <c r="BA199" s="63" t="s">
        <v>1303</v>
      </c>
      <c r="BB199" s="71"/>
      <c r="BC199" s="71"/>
      <c r="BD199" s="71"/>
    </row>
    <row r="200" spans="1:56" x14ac:dyDescent="0.25">
      <c r="A200" s="24">
        <f>IF(B200="","",SUBTOTAL(3,$B$4:B200))</f>
        <v>189</v>
      </c>
      <c r="B200" s="25" t="s">
        <v>77</v>
      </c>
      <c r="C200" s="25" t="str">
        <f t="shared" si="68"/>
        <v>Shipment 1 400</v>
      </c>
      <c r="D200" s="25" t="s">
        <v>76</v>
      </c>
      <c r="E200" s="25">
        <v>400</v>
      </c>
      <c r="F200" s="25"/>
      <c r="G200" s="65">
        <v>45990</v>
      </c>
      <c r="H200" s="25" t="s">
        <v>1257</v>
      </c>
      <c r="I200" s="25" t="s">
        <v>1254</v>
      </c>
      <c r="J200" s="26" t="s">
        <v>1302</v>
      </c>
      <c r="K200" s="27" t="s">
        <v>1381</v>
      </c>
      <c r="L200" s="28" t="s">
        <v>1382</v>
      </c>
      <c r="M200" s="28" t="s">
        <v>1397</v>
      </c>
      <c r="N200" s="25">
        <v>1</v>
      </c>
      <c r="O200" s="29">
        <v>16.45</v>
      </c>
      <c r="P200" s="29">
        <v>16.45</v>
      </c>
      <c r="Q200" s="25" t="s">
        <v>1394</v>
      </c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69"/>
        <v>16.45</v>
      </c>
      <c r="AF200" s="32">
        <f t="shared" si="70"/>
        <v>0</v>
      </c>
      <c r="AG200" s="30"/>
      <c r="AH200" s="33">
        <v>1</v>
      </c>
      <c r="AI200" s="34">
        <f t="shared" si="71"/>
        <v>16.45</v>
      </c>
      <c r="AJ200" s="35">
        <v>46247</v>
      </c>
      <c r="AK200" s="30">
        <v>1</v>
      </c>
      <c r="AL200" s="36">
        <f t="shared" si="60"/>
        <v>16.45</v>
      </c>
      <c r="AM200" s="35">
        <v>46247</v>
      </c>
      <c r="AN200" s="30">
        <v>1</v>
      </c>
      <c r="AO200" s="36">
        <f t="shared" si="73"/>
        <v>16.45</v>
      </c>
      <c r="AP200" s="35"/>
      <c r="AQ200" s="30"/>
      <c r="AR200" s="36">
        <f t="shared" si="62"/>
        <v>0</v>
      </c>
      <c r="AS200" s="27" t="s">
        <v>1308</v>
      </c>
      <c r="AT200" s="37">
        <v>46247</v>
      </c>
      <c r="AU200" s="30">
        <v>1</v>
      </c>
      <c r="AV200" s="36">
        <f t="shared" si="63"/>
        <v>16.45</v>
      </c>
      <c r="AW200" s="35">
        <v>46255</v>
      </c>
      <c r="AX200" s="30">
        <v>1</v>
      </c>
      <c r="AY200" s="32">
        <f t="shared" si="74"/>
        <v>16.45</v>
      </c>
      <c r="AZ200" s="30" t="s">
        <v>85</v>
      </c>
      <c r="BA200" s="63" t="s">
        <v>1303</v>
      </c>
      <c r="BB200" s="71"/>
      <c r="BC200" s="71"/>
      <c r="BD200" s="71"/>
    </row>
    <row r="201" spans="1:56" x14ac:dyDescent="0.25">
      <c r="A201" s="24">
        <f>IF(B201="","",SUBTOTAL(3,$B$4:B201))</f>
        <v>190</v>
      </c>
      <c r="B201" s="25" t="s">
        <v>77</v>
      </c>
      <c r="C201" s="25" t="str">
        <f t="shared" si="68"/>
        <v>Shipment 1 400</v>
      </c>
      <c r="D201" s="25" t="s">
        <v>76</v>
      </c>
      <c r="E201" s="25">
        <v>400</v>
      </c>
      <c r="F201" s="25"/>
      <c r="G201" s="65">
        <v>45990</v>
      </c>
      <c r="H201" s="25" t="s">
        <v>1257</v>
      </c>
      <c r="I201" s="25" t="s">
        <v>1254</v>
      </c>
      <c r="J201" s="26" t="s">
        <v>1302</v>
      </c>
      <c r="K201" s="27" t="s">
        <v>1383</v>
      </c>
      <c r="L201" s="28" t="s">
        <v>1384</v>
      </c>
      <c r="M201" s="28" t="s">
        <v>1397</v>
      </c>
      <c r="N201" s="25">
        <v>1</v>
      </c>
      <c r="O201" s="29">
        <v>16.45</v>
      </c>
      <c r="P201" s="29">
        <v>16.45</v>
      </c>
      <c r="Q201" s="25" t="s">
        <v>1394</v>
      </c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69"/>
        <v>16.45</v>
      </c>
      <c r="AF201" s="32">
        <f t="shared" si="70"/>
        <v>0</v>
      </c>
      <c r="AG201" s="30"/>
      <c r="AH201" s="33">
        <v>1</v>
      </c>
      <c r="AI201" s="34">
        <f t="shared" si="71"/>
        <v>16.45</v>
      </c>
      <c r="AJ201" s="35">
        <v>46247</v>
      </c>
      <c r="AK201" s="30">
        <v>1</v>
      </c>
      <c r="AL201" s="36">
        <f t="shared" si="60"/>
        <v>16.45</v>
      </c>
      <c r="AM201" s="35">
        <v>46247</v>
      </c>
      <c r="AN201" s="30">
        <v>1</v>
      </c>
      <c r="AO201" s="36">
        <f t="shared" si="73"/>
        <v>16.45</v>
      </c>
      <c r="AP201" s="35"/>
      <c r="AQ201" s="30"/>
      <c r="AR201" s="36">
        <f t="shared" si="62"/>
        <v>0</v>
      </c>
      <c r="AS201" s="27" t="s">
        <v>1308</v>
      </c>
      <c r="AT201" s="37">
        <v>46247</v>
      </c>
      <c r="AU201" s="30">
        <v>1</v>
      </c>
      <c r="AV201" s="36">
        <f t="shared" si="63"/>
        <v>16.45</v>
      </c>
      <c r="AW201" s="35">
        <v>46255</v>
      </c>
      <c r="AX201" s="30">
        <v>1</v>
      </c>
      <c r="AY201" s="32">
        <f t="shared" si="74"/>
        <v>16.45</v>
      </c>
      <c r="AZ201" s="30" t="s">
        <v>85</v>
      </c>
      <c r="BA201" s="63" t="s">
        <v>1303</v>
      </c>
      <c r="BB201" s="71"/>
      <c r="BC201" s="71"/>
      <c r="BD201" s="71"/>
    </row>
    <row r="202" spans="1:56" x14ac:dyDescent="0.25">
      <c r="A202" s="24">
        <f>IF(B202="","",SUBTOTAL(3,$B$4:B202))</f>
        <v>191</v>
      </c>
      <c r="B202" s="25" t="s">
        <v>77</v>
      </c>
      <c r="C202" s="25" t="str">
        <f t="shared" si="68"/>
        <v>Shipment 1 400</v>
      </c>
      <c r="D202" s="25" t="s">
        <v>76</v>
      </c>
      <c r="E202" s="25">
        <v>400</v>
      </c>
      <c r="F202" s="25"/>
      <c r="G202" s="65">
        <v>45990</v>
      </c>
      <c r="H202" s="25" t="s">
        <v>1257</v>
      </c>
      <c r="I202" s="25" t="s">
        <v>1254</v>
      </c>
      <c r="J202" s="26" t="s">
        <v>1302</v>
      </c>
      <c r="K202" s="27" t="s">
        <v>1385</v>
      </c>
      <c r="L202" s="28" t="s">
        <v>1386</v>
      </c>
      <c r="M202" s="28" t="s">
        <v>1397</v>
      </c>
      <c r="N202" s="25">
        <v>2</v>
      </c>
      <c r="O202" s="29">
        <v>18.87</v>
      </c>
      <c r="P202" s="29">
        <v>37.74</v>
      </c>
      <c r="Q202" s="25" t="s">
        <v>1395</v>
      </c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69"/>
        <v>37.74</v>
      </c>
      <c r="AF202" s="32">
        <f t="shared" si="70"/>
        <v>0</v>
      </c>
      <c r="AG202" s="30"/>
      <c r="AH202" s="33">
        <v>1</v>
      </c>
      <c r="AI202" s="34">
        <f t="shared" si="71"/>
        <v>37.74</v>
      </c>
      <c r="AJ202" s="35">
        <v>46247</v>
      </c>
      <c r="AK202" s="30">
        <v>2</v>
      </c>
      <c r="AL202" s="36">
        <f t="shared" si="60"/>
        <v>37.74</v>
      </c>
      <c r="AM202" s="35">
        <v>46247</v>
      </c>
      <c r="AN202" s="30">
        <v>2</v>
      </c>
      <c r="AO202" s="36">
        <f t="shared" si="73"/>
        <v>37.74</v>
      </c>
      <c r="AP202" s="35"/>
      <c r="AQ202" s="30"/>
      <c r="AR202" s="36">
        <f t="shared" si="62"/>
        <v>0</v>
      </c>
      <c r="AS202" s="27" t="s">
        <v>1308</v>
      </c>
      <c r="AT202" s="37">
        <v>46247</v>
      </c>
      <c r="AU202" s="30">
        <v>2</v>
      </c>
      <c r="AV202" s="36">
        <f t="shared" si="63"/>
        <v>37.74</v>
      </c>
      <c r="AW202" s="35">
        <v>46255</v>
      </c>
      <c r="AX202" s="30">
        <v>2</v>
      </c>
      <c r="AY202" s="32">
        <f t="shared" si="74"/>
        <v>37.74</v>
      </c>
      <c r="AZ202" s="30" t="s">
        <v>85</v>
      </c>
      <c r="BA202" s="63" t="s">
        <v>1303</v>
      </c>
      <c r="BB202" s="71"/>
      <c r="BC202" s="71"/>
      <c r="BD202" s="71"/>
    </row>
    <row r="203" spans="1:56" x14ac:dyDescent="0.25">
      <c r="A203" s="24">
        <f>IF(B203="","",SUBTOTAL(3,$B$4:B203))</f>
        <v>192</v>
      </c>
      <c r="B203" s="25" t="s">
        <v>77</v>
      </c>
      <c r="C203" s="25" t="str">
        <f t="shared" si="68"/>
        <v>Shipment 1 400</v>
      </c>
      <c r="D203" s="25" t="s">
        <v>76</v>
      </c>
      <c r="E203" s="25">
        <v>400</v>
      </c>
      <c r="F203" s="25"/>
      <c r="G203" s="65">
        <v>45990</v>
      </c>
      <c r="H203" s="25" t="s">
        <v>1257</v>
      </c>
      <c r="I203" s="25" t="s">
        <v>1254</v>
      </c>
      <c r="J203" s="26" t="s">
        <v>1302</v>
      </c>
      <c r="K203" s="27" t="s">
        <v>1387</v>
      </c>
      <c r="L203" s="28" t="s">
        <v>1388</v>
      </c>
      <c r="M203" s="28" t="s">
        <v>1397</v>
      </c>
      <c r="N203" s="25">
        <v>2</v>
      </c>
      <c r="O203" s="29">
        <v>16.7</v>
      </c>
      <c r="P203" s="29">
        <v>33.4</v>
      </c>
      <c r="Q203" s="25" t="s">
        <v>1396</v>
      </c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69"/>
        <v>33.4</v>
      </c>
      <c r="AF203" s="32">
        <f t="shared" si="70"/>
        <v>0</v>
      </c>
      <c r="AG203" s="30"/>
      <c r="AH203" s="33">
        <v>1</v>
      </c>
      <c r="AI203" s="34">
        <f t="shared" si="71"/>
        <v>33.4</v>
      </c>
      <c r="AJ203" s="35">
        <v>46247</v>
      </c>
      <c r="AK203" s="30">
        <v>2</v>
      </c>
      <c r="AL203" s="36">
        <f t="shared" si="60"/>
        <v>33.4</v>
      </c>
      <c r="AM203" s="35">
        <v>46247</v>
      </c>
      <c r="AN203" s="30">
        <v>2</v>
      </c>
      <c r="AO203" s="36">
        <f t="shared" si="73"/>
        <v>33.4</v>
      </c>
      <c r="AP203" s="35"/>
      <c r="AQ203" s="30"/>
      <c r="AR203" s="36">
        <f t="shared" si="62"/>
        <v>0</v>
      </c>
      <c r="AS203" s="27" t="s">
        <v>1308</v>
      </c>
      <c r="AT203" s="37">
        <v>46247</v>
      </c>
      <c r="AU203" s="30">
        <v>2</v>
      </c>
      <c r="AV203" s="36">
        <f t="shared" si="63"/>
        <v>33.4</v>
      </c>
      <c r="AW203" s="35">
        <v>46255</v>
      </c>
      <c r="AX203" s="30">
        <v>2</v>
      </c>
      <c r="AY203" s="32">
        <f t="shared" si="74"/>
        <v>33.4</v>
      </c>
      <c r="AZ203" s="30" t="s">
        <v>85</v>
      </c>
      <c r="BA203" s="63" t="s">
        <v>1303</v>
      </c>
      <c r="BB203" s="71"/>
      <c r="BC203" s="71"/>
      <c r="BD203" s="71"/>
    </row>
    <row r="204" spans="1:56" x14ac:dyDescent="0.25">
      <c r="A204" s="24">
        <f>IF(B204="","",SUBTOTAL(3,$B$4:B204))</f>
        <v>193</v>
      </c>
      <c r="B204" s="25" t="s">
        <v>77</v>
      </c>
      <c r="C204" s="25" t="str">
        <f t="shared" si="68"/>
        <v>Shipment 1 400</v>
      </c>
      <c r="D204" s="25" t="s">
        <v>76</v>
      </c>
      <c r="E204" s="25">
        <v>400</v>
      </c>
      <c r="F204" s="25"/>
      <c r="G204" s="65">
        <v>45990</v>
      </c>
      <c r="H204" s="25" t="s">
        <v>1257</v>
      </c>
      <c r="I204" s="25" t="s">
        <v>1254</v>
      </c>
      <c r="J204" s="26" t="s">
        <v>1302</v>
      </c>
      <c r="K204" s="27" t="s">
        <v>1389</v>
      </c>
      <c r="L204" s="28" t="s">
        <v>1390</v>
      </c>
      <c r="M204" s="28" t="s">
        <v>1397</v>
      </c>
      <c r="N204" s="25">
        <v>1</v>
      </c>
      <c r="O204" s="29">
        <v>13.87</v>
      </c>
      <c r="P204" s="29">
        <v>13.87</v>
      </c>
      <c r="Q204" s="25" t="s">
        <v>1393</v>
      </c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69"/>
        <v>13.870000000000001</v>
      </c>
      <c r="AF204" s="32">
        <f t="shared" si="70"/>
        <v>0</v>
      </c>
      <c r="AG204" s="30"/>
      <c r="AH204" s="33">
        <v>1</v>
      </c>
      <c r="AI204" s="34">
        <f t="shared" si="71"/>
        <v>13.87</v>
      </c>
      <c r="AJ204" s="35">
        <v>46247</v>
      </c>
      <c r="AK204" s="30">
        <v>1</v>
      </c>
      <c r="AL204" s="36">
        <f t="shared" si="60"/>
        <v>13.87</v>
      </c>
      <c r="AM204" s="35">
        <v>46247</v>
      </c>
      <c r="AN204" s="30">
        <v>1</v>
      </c>
      <c r="AO204" s="36">
        <f t="shared" si="73"/>
        <v>13.87</v>
      </c>
      <c r="AP204" s="35"/>
      <c r="AQ204" s="30"/>
      <c r="AR204" s="36">
        <f t="shared" si="62"/>
        <v>0</v>
      </c>
      <c r="AS204" s="27" t="s">
        <v>1308</v>
      </c>
      <c r="AT204" s="37">
        <v>46247</v>
      </c>
      <c r="AU204" s="30">
        <v>1</v>
      </c>
      <c r="AV204" s="36">
        <f t="shared" si="63"/>
        <v>13.87</v>
      </c>
      <c r="AW204" s="35">
        <v>46255</v>
      </c>
      <c r="AX204" s="30">
        <v>1</v>
      </c>
      <c r="AY204" s="32">
        <f t="shared" si="74"/>
        <v>13.87</v>
      </c>
      <c r="AZ204" s="30" t="s">
        <v>85</v>
      </c>
      <c r="BA204" s="63" t="s">
        <v>1303</v>
      </c>
      <c r="BB204" s="71"/>
      <c r="BC204" s="71"/>
      <c r="BD204" s="71"/>
    </row>
    <row r="205" spans="1:56" x14ac:dyDescent="0.25">
      <c r="A205" s="24">
        <f>IF(B205="","",SUBTOTAL(3,$B$4:B205))</f>
        <v>194</v>
      </c>
      <c r="B205" s="25" t="s">
        <v>77</v>
      </c>
      <c r="C205" s="25" t="str">
        <f t="shared" ref="C205" si="75">D205&amp;" "&amp;E205</f>
        <v>Shipment 2 400</v>
      </c>
      <c r="D205" s="25" t="s">
        <v>1252</v>
      </c>
      <c r="E205" s="25">
        <v>400</v>
      </c>
      <c r="F205" s="25"/>
      <c r="G205" s="65">
        <v>45990</v>
      </c>
      <c r="H205" s="25" t="s">
        <v>1257</v>
      </c>
      <c r="I205" s="25" t="s">
        <v>1254</v>
      </c>
      <c r="J205" s="26" t="s">
        <v>1301</v>
      </c>
      <c r="K205" s="27" t="s">
        <v>499</v>
      </c>
      <c r="L205" s="28" t="s">
        <v>500</v>
      </c>
      <c r="M205" s="28" t="s">
        <v>501</v>
      </c>
      <c r="N205" s="25">
        <v>1</v>
      </c>
      <c r="O205" s="29">
        <v>2.63</v>
      </c>
      <c r="P205" s="29">
        <v>2.63</v>
      </c>
      <c r="Q205" s="25" t="s">
        <v>1110</v>
      </c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57"/>
        <v>2.63</v>
      </c>
      <c r="AF205" s="32">
        <f t="shared" si="58"/>
        <v>0</v>
      </c>
      <c r="AG205" s="30"/>
      <c r="AH205" s="33">
        <v>1</v>
      </c>
      <c r="AI205" s="34">
        <f t="shared" si="59"/>
        <v>2.63</v>
      </c>
      <c r="AJ205" s="35">
        <v>45987</v>
      </c>
      <c r="AK205" s="30">
        <v>1</v>
      </c>
      <c r="AL205" s="36">
        <f t="shared" si="60"/>
        <v>2.63</v>
      </c>
      <c r="AM205" s="35">
        <v>46003</v>
      </c>
      <c r="AN205" s="30">
        <v>1</v>
      </c>
      <c r="AO205" s="36">
        <f t="shared" si="61"/>
        <v>2.63</v>
      </c>
      <c r="AP205" s="35">
        <v>46147</v>
      </c>
      <c r="AQ205" s="30">
        <v>1</v>
      </c>
      <c r="AR205" s="36">
        <f t="shared" si="62"/>
        <v>2.63</v>
      </c>
      <c r="AS205" s="27" t="s">
        <v>1276</v>
      </c>
      <c r="AT205" s="37">
        <v>46147</v>
      </c>
      <c r="AU205" s="30">
        <v>1</v>
      </c>
      <c r="AV205" s="36">
        <f t="shared" si="63"/>
        <v>2.63</v>
      </c>
      <c r="AW205" s="35">
        <v>46150</v>
      </c>
      <c r="AX205" s="30">
        <v>1</v>
      </c>
      <c r="AY205" s="32">
        <f t="shared" si="64"/>
        <v>2.63</v>
      </c>
      <c r="AZ205" s="30" t="s">
        <v>85</v>
      </c>
      <c r="BA205" s="63" t="s">
        <v>1277</v>
      </c>
      <c r="BB205" s="72"/>
      <c r="BC205" s="71" t="s">
        <v>1338</v>
      </c>
      <c r="BD205" s="71"/>
    </row>
    <row r="206" spans="1:56" x14ac:dyDescent="0.25">
      <c r="A206" s="24">
        <f>IF(B206="","",SUBTOTAL(3,$B$4:B206))</f>
        <v>195</v>
      </c>
      <c r="B206" s="25" t="s">
        <v>77</v>
      </c>
      <c r="C206" s="25" t="str">
        <f t="shared" ref="C206:C269" si="76">D206&amp;" "&amp;E206</f>
        <v>Shipment 2 400</v>
      </c>
      <c r="D206" s="25" t="s">
        <v>1252</v>
      </c>
      <c r="E206" s="25">
        <v>400</v>
      </c>
      <c r="F206" s="25"/>
      <c r="G206" s="65">
        <v>45990</v>
      </c>
      <c r="H206" s="25" t="s">
        <v>1257</v>
      </c>
      <c r="I206" s="25" t="s">
        <v>1254</v>
      </c>
      <c r="J206" s="26" t="s">
        <v>1301</v>
      </c>
      <c r="K206" s="27" t="s">
        <v>499</v>
      </c>
      <c r="L206" s="28" t="s">
        <v>502</v>
      </c>
      <c r="M206" s="28" t="s">
        <v>501</v>
      </c>
      <c r="N206" s="25">
        <v>1</v>
      </c>
      <c r="O206" s="29">
        <v>2.63</v>
      </c>
      <c r="P206" s="29">
        <v>2.63</v>
      </c>
      <c r="Q206" s="25" t="s">
        <v>1110</v>
      </c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57"/>
        <v>2.63</v>
      </c>
      <c r="AF206" s="32">
        <f t="shared" si="58"/>
        <v>0</v>
      </c>
      <c r="AG206" s="30"/>
      <c r="AH206" s="33">
        <v>1</v>
      </c>
      <c r="AI206" s="34">
        <f t="shared" si="59"/>
        <v>2.63</v>
      </c>
      <c r="AJ206" s="35">
        <v>45987</v>
      </c>
      <c r="AK206" s="30">
        <v>1</v>
      </c>
      <c r="AL206" s="36">
        <f t="shared" si="60"/>
        <v>2.63</v>
      </c>
      <c r="AM206" s="35">
        <v>46003</v>
      </c>
      <c r="AN206" s="30">
        <v>1</v>
      </c>
      <c r="AO206" s="36">
        <f t="shared" si="61"/>
        <v>2.63</v>
      </c>
      <c r="AP206" s="35">
        <v>46147</v>
      </c>
      <c r="AQ206" s="30">
        <v>1</v>
      </c>
      <c r="AR206" s="36">
        <f t="shared" si="62"/>
        <v>2.63</v>
      </c>
      <c r="AS206" s="27" t="s">
        <v>1276</v>
      </c>
      <c r="AT206" s="37">
        <v>46147</v>
      </c>
      <c r="AU206" s="30">
        <v>1</v>
      </c>
      <c r="AV206" s="36">
        <f t="shared" si="63"/>
        <v>2.63</v>
      </c>
      <c r="AW206" s="35">
        <v>46150</v>
      </c>
      <c r="AX206" s="30">
        <v>1</v>
      </c>
      <c r="AY206" s="32">
        <f t="shared" ref="AY206:AY240" si="77">IFERROR(AX206*$P206/$N206,0)</f>
        <v>2.63</v>
      </c>
      <c r="AZ206" s="30" t="s">
        <v>85</v>
      </c>
      <c r="BA206" s="63" t="s">
        <v>1277</v>
      </c>
      <c r="BB206" s="72"/>
      <c r="BC206" s="71" t="s">
        <v>1338</v>
      </c>
      <c r="BD206" s="71"/>
    </row>
    <row r="207" spans="1:56" x14ac:dyDescent="0.25">
      <c r="A207" s="24">
        <f>IF(B207="","",SUBTOTAL(3,$B$4:B207))</f>
        <v>196</v>
      </c>
      <c r="B207" s="25" t="s">
        <v>77</v>
      </c>
      <c r="C207" s="25" t="str">
        <f t="shared" si="76"/>
        <v>Shipment 2 400</v>
      </c>
      <c r="D207" s="25" t="s">
        <v>1252</v>
      </c>
      <c r="E207" s="25">
        <v>400</v>
      </c>
      <c r="F207" s="25"/>
      <c r="G207" s="65">
        <v>45990</v>
      </c>
      <c r="H207" s="25" t="s">
        <v>1257</v>
      </c>
      <c r="I207" s="25" t="s">
        <v>1254</v>
      </c>
      <c r="J207" s="26" t="s">
        <v>1301</v>
      </c>
      <c r="K207" s="27" t="s">
        <v>499</v>
      </c>
      <c r="L207" s="28" t="s">
        <v>503</v>
      </c>
      <c r="M207" s="28" t="s">
        <v>501</v>
      </c>
      <c r="N207" s="25">
        <v>1</v>
      </c>
      <c r="O207" s="29">
        <v>2.63</v>
      </c>
      <c r="P207" s="29">
        <v>2.63</v>
      </c>
      <c r="Q207" s="25" t="s">
        <v>1110</v>
      </c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57"/>
        <v>2.63</v>
      </c>
      <c r="AF207" s="32">
        <f t="shared" si="58"/>
        <v>0</v>
      </c>
      <c r="AG207" s="30"/>
      <c r="AH207" s="33">
        <v>1</v>
      </c>
      <c r="AI207" s="34">
        <f t="shared" si="59"/>
        <v>2.63</v>
      </c>
      <c r="AJ207" s="35">
        <v>45987</v>
      </c>
      <c r="AK207" s="30">
        <v>1</v>
      </c>
      <c r="AL207" s="36">
        <f t="shared" si="60"/>
        <v>2.63</v>
      </c>
      <c r="AM207" s="35">
        <v>46003</v>
      </c>
      <c r="AN207" s="30">
        <v>1</v>
      </c>
      <c r="AO207" s="36">
        <f t="shared" si="61"/>
        <v>2.63</v>
      </c>
      <c r="AP207" s="35">
        <v>46147</v>
      </c>
      <c r="AQ207" s="30">
        <v>1</v>
      </c>
      <c r="AR207" s="36">
        <f t="shared" si="62"/>
        <v>2.63</v>
      </c>
      <c r="AS207" s="27" t="s">
        <v>1276</v>
      </c>
      <c r="AT207" s="37">
        <v>46147</v>
      </c>
      <c r="AU207" s="30">
        <v>1</v>
      </c>
      <c r="AV207" s="36">
        <f t="shared" si="63"/>
        <v>2.63</v>
      </c>
      <c r="AW207" s="35">
        <v>46150</v>
      </c>
      <c r="AX207" s="30">
        <v>1</v>
      </c>
      <c r="AY207" s="32">
        <f t="shared" si="77"/>
        <v>2.63</v>
      </c>
      <c r="AZ207" s="30" t="s">
        <v>85</v>
      </c>
      <c r="BA207" s="63" t="s">
        <v>1277</v>
      </c>
      <c r="BB207" s="72"/>
      <c r="BC207" s="71" t="s">
        <v>1338</v>
      </c>
      <c r="BD207" s="71"/>
    </row>
    <row r="208" spans="1:56" x14ac:dyDescent="0.25">
      <c r="A208" s="24">
        <f>IF(B208="","",SUBTOTAL(3,$B$4:B208))</f>
        <v>197</v>
      </c>
      <c r="B208" s="25" t="s">
        <v>77</v>
      </c>
      <c r="C208" s="25" t="str">
        <f t="shared" si="76"/>
        <v>Shipment 2 400</v>
      </c>
      <c r="D208" s="25" t="s">
        <v>1252</v>
      </c>
      <c r="E208" s="25">
        <v>400</v>
      </c>
      <c r="F208" s="25"/>
      <c r="G208" s="65">
        <v>45990</v>
      </c>
      <c r="H208" s="25" t="s">
        <v>1257</v>
      </c>
      <c r="I208" s="25" t="s">
        <v>1254</v>
      </c>
      <c r="J208" s="26" t="s">
        <v>1301</v>
      </c>
      <c r="K208" s="27" t="s">
        <v>499</v>
      </c>
      <c r="L208" s="28" t="s">
        <v>504</v>
      </c>
      <c r="M208" s="28" t="s">
        <v>501</v>
      </c>
      <c r="N208" s="25">
        <v>1</v>
      </c>
      <c r="O208" s="29">
        <v>2.63</v>
      </c>
      <c r="P208" s="29">
        <v>2.63</v>
      </c>
      <c r="Q208" s="25" t="s">
        <v>1110</v>
      </c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57"/>
        <v>2.63</v>
      </c>
      <c r="AF208" s="32">
        <f t="shared" si="58"/>
        <v>0</v>
      </c>
      <c r="AG208" s="30"/>
      <c r="AH208" s="33">
        <v>1</v>
      </c>
      <c r="AI208" s="34">
        <f t="shared" si="59"/>
        <v>2.63</v>
      </c>
      <c r="AJ208" s="35">
        <v>45987</v>
      </c>
      <c r="AK208" s="30">
        <v>1</v>
      </c>
      <c r="AL208" s="36">
        <f t="shared" si="60"/>
        <v>2.63</v>
      </c>
      <c r="AM208" s="35">
        <v>46003</v>
      </c>
      <c r="AN208" s="30">
        <v>1</v>
      </c>
      <c r="AO208" s="36">
        <f t="shared" si="61"/>
        <v>2.63</v>
      </c>
      <c r="AP208" s="35">
        <v>46147</v>
      </c>
      <c r="AQ208" s="30">
        <v>1</v>
      </c>
      <c r="AR208" s="36">
        <f t="shared" si="62"/>
        <v>2.63</v>
      </c>
      <c r="AS208" s="27" t="s">
        <v>1276</v>
      </c>
      <c r="AT208" s="37">
        <v>46147</v>
      </c>
      <c r="AU208" s="30">
        <v>1</v>
      </c>
      <c r="AV208" s="36">
        <f t="shared" si="63"/>
        <v>2.63</v>
      </c>
      <c r="AW208" s="35">
        <v>46150</v>
      </c>
      <c r="AX208" s="30">
        <v>1</v>
      </c>
      <c r="AY208" s="32">
        <f t="shared" si="77"/>
        <v>2.63</v>
      </c>
      <c r="AZ208" s="30" t="s">
        <v>85</v>
      </c>
      <c r="BA208" s="63" t="s">
        <v>1277</v>
      </c>
      <c r="BB208" s="72"/>
      <c r="BC208" s="71" t="s">
        <v>1338</v>
      </c>
      <c r="BD208" s="71"/>
    </row>
    <row r="209" spans="1:56" x14ac:dyDescent="0.25">
      <c r="A209" s="24">
        <f>IF(B209="","",SUBTOTAL(3,$B$4:B209))</f>
        <v>198</v>
      </c>
      <c r="B209" s="25" t="s">
        <v>77</v>
      </c>
      <c r="C209" s="25" t="str">
        <f t="shared" si="76"/>
        <v>Shipment 2 400</v>
      </c>
      <c r="D209" s="25" t="s">
        <v>1252</v>
      </c>
      <c r="E209" s="25">
        <v>400</v>
      </c>
      <c r="F209" s="25"/>
      <c r="G209" s="65">
        <v>45990</v>
      </c>
      <c r="H209" s="25" t="s">
        <v>1257</v>
      </c>
      <c r="I209" s="25" t="s">
        <v>1254</v>
      </c>
      <c r="J209" s="26" t="s">
        <v>1301</v>
      </c>
      <c r="K209" s="27" t="s">
        <v>499</v>
      </c>
      <c r="L209" s="28" t="s">
        <v>505</v>
      </c>
      <c r="M209" s="28" t="s">
        <v>501</v>
      </c>
      <c r="N209" s="25">
        <v>1</v>
      </c>
      <c r="O209" s="29">
        <v>2.63</v>
      </c>
      <c r="P209" s="29">
        <v>2.63</v>
      </c>
      <c r="Q209" s="25" t="s">
        <v>1110</v>
      </c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57"/>
        <v>2.63</v>
      </c>
      <c r="AF209" s="32">
        <f t="shared" si="58"/>
        <v>0</v>
      </c>
      <c r="AG209" s="30"/>
      <c r="AH209" s="33">
        <v>1</v>
      </c>
      <c r="AI209" s="34">
        <f t="shared" si="59"/>
        <v>2.63</v>
      </c>
      <c r="AJ209" s="35">
        <v>45987</v>
      </c>
      <c r="AK209" s="30">
        <v>1</v>
      </c>
      <c r="AL209" s="36">
        <f t="shared" si="60"/>
        <v>2.63</v>
      </c>
      <c r="AM209" s="35">
        <v>46003</v>
      </c>
      <c r="AN209" s="30">
        <v>1</v>
      </c>
      <c r="AO209" s="36">
        <f t="shared" si="61"/>
        <v>2.63</v>
      </c>
      <c r="AP209" s="35">
        <v>46147</v>
      </c>
      <c r="AQ209" s="30">
        <v>1</v>
      </c>
      <c r="AR209" s="36">
        <f t="shared" si="62"/>
        <v>2.63</v>
      </c>
      <c r="AS209" s="27" t="s">
        <v>1276</v>
      </c>
      <c r="AT209" s="37">
        <v>46147</v>
      </c>
      <c r="AU209" s="30">
        <v>1</v>
      </c>
      <c r="AV209" s="36">
        <f t="shared" si="63"/>
        <v>2.63</v>
      </c>
      <c r="AW209" s="35">
        <v>46150</v>
      </c>
      <c r="AX209" s="30">
        <v>1</v>
      </c>
      <c r="AY209" s="32">
        <f t="shared" si="77"/>
        <v>2.63</v>
      </c>
      <c r="AZ209" s="30" t="s">
        <v>85</v>
      </c>
      <c r="BA209" s="63" t="s">
        <v>1277</v>
      </c>
      <c r="BB209" s="72"/>
      <c r="BC209" s="71" t="s">
        <v>1338</v>
      </c>
      <c r="BD209" s="71"/>
    </row>
    <row r="210" spans="1:56" x14ac:dyDescent="0.25">
      <c r="A210" s="24">
        <f>IF(B210="","",SUBTOTAL(3,$B$4:B210))</f>
        <v>199</v>
      </c>
      <c r="B210" s="25" t="s">
        <v>77</v>
      </c>
      <c r="C210" s="25" t="str">
        <f t="shared" si="76"/>
        <v>Shipment 2 400</v>
      </c>
      <c r="D210" s="25" t="s">
        <v>1252</v>
      </c>
      <c r="E210" s="25">
        <v>400</v>
      </c>
      <c r="F210" s="25"/>
      <c r="G210" s="65">
        <v>45990</v>
      </c>
      <c r="H210" s="25" t="s">
        <v>1257</v>
      </c>
      <c r="I210" s="25" t="s">
        <v>1254</v>
      </c>
      <c r="J210" s="26" t="s">
        <v>1301</v>
      </c>
      <c r="K210" s="27" t="s">
        <v>499</v>
      </c>
      <c r="L210" s="28" t="s">
        <v>506</v>
      </c>
      <c r="M210" s="28" t="s">
        <v>501</v>
      </c>
      <c r="N210" s="25">
        <v>1</v>
      </c>
      <c r="O210" s="29">
        <v>2.63</v>
      </c>
      <c r="P210" s="29">
        <v>2.63</v>
      </c>
      <c r="Q210" s="25" t="s">
        <v>1110</v>
      </c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57"/>
        <v>2.63</v>
      </c>
      <c r="AF210" s="32">
        <f t="shared" si="58"/>
        <v>0</v>
      </c>
      <c r="AG210" s="30"/>
      <c r="AH210" s="33">
        <v>1</v>
      </c>
      <c r="AI210" s="34">
        <f t="shared" si="59"/>
        <v>2.63</v>
      </c>
      <c r="AJ210" s="35">
        <v>45987</v>
      </c>
      <c r="AK210" s="30">
        <v>1</v>
      </c>
      <c r="AL210" s="36">
        <f t="shared" si="60"/>
        <v>2.63</v>
      </c>
      <c r="AM210" s="35">
        <v>46003</v>
      </c>
      <c r="AN210" s="30">
        <v>1</v>
      </c>
      <c r="AO210" s="36">
        <f t="shared" si="61"/>
        <v>2.63</v>
      </c>
      <c r="AP210" s="35">
        <v>46147</v>
      </c>
      <c r="AQ210" s="30">
        <v>1</v>
      </c>
      <c r="AR210" s="36">
        <f t="shared" si="62"/>
        <v>2.63</v>
      </c>
      <c r="AS210" s="27" t="s">
        <v>1276</v>
      </c>
      <c r="AT210" s="37">
        <v>46147</v>
      </c>
      <c r="AU210" s="30">
        <v>1</v>
      </c>
      <c r="AV210" s="36">
        <f t="shared" si="63"/>
        <v>2.63</v>
      </c>
      <c r="AW210" s="35">
        <v>46150</v>
      </c>
      <c r="AX210" s="30">
        <v>1</v>
      </c>
      <c r="AY210" s="32">
        <f t="shared" si="77"/>
        <v>2.63</v>
      </c>
      <c r="AZ210" s="30" t="s">
        <v>85</v>
      </c>
      <c r="BA210" s="63" t="s">
        <v>1277</v>
      </c>
      <c r="BB210" s="72"/>
      <c r="BC210" s="71" t="s">
        <v>1338</v>
      </c>
      <c r="BD210" s="71"/>
    </row>
    <row r="211" spans="1:56" x14ac:dyDescent="0.25">
      <c r="A211" s="24">
        <f>IF(B211="","",SUBTOTAL(3,$B$4:B211))</f>
        <v>200</v>
      </c>
      <c r="B211" s="25" t="s">
        <v>77</v>
      </c>
      <c r="C211" s="25" t="str">
        <f t="shared" si="76"/>
        <v>Shipment 2 400</v>
      </c>
      <c r="D211" s="25" t="s">
        <v>1252</v>
      </c>
      <c r="E211" s="25">
        <v>400</v>
      </c>
      <c r="F211" s="25"/>
      <c r="G211" s="65">
        <v>45990</v>
      </c>
      <c r="H211" s="25" t="s">
        <v>1257</v>
      </c>
      <c r="I211" s="25" t="s">
        <v>1254</v>
      </c>
      <c r="J211" s="26" t="s">
        <v>1301</v>
      </c>
      <c r="K211" s="27" t="s">
        <v>499</v>
      </c>
      <c r="L211" s="28" t="s">
        <v>507</v>
      </c>
      <c r="M211" s="28" t="s">
        <v>501</v>
      </c>
      <c r="N211" s="25">
        <v>1</v>
      </c>
      <c r="O211" s="29">
        <v>2.63</v>
      </c>
      <c r="P211" s="29">
        <v>2.63</v>
      </c>
      <c r="Q211" s="25" t="s">
        <v>1110</v>
      </c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57"/>
        <v>2.63</v>
      </c>
      <c r="AF211" s="32">
        <f t="shared" si="58"/>
        <v>0</v>
      </c>
      <c r="AG211" s="30"/>
      <c r="AH211" s="33">
        <v>1</v>
      </c>
      <c r="AI211" s="34">
        <f t="shared" si="59"/>
        <v>2.63</v>
      </c>
      <c r="AJ211" s="35">
        <v>45996</v>
      </c>
      <c r="AK211" s="30">
        <v>1</v>
      </c>
      <c r="AL211" s="36">
        <f t="shared" si="60"/>
        <v>2.63</v>
      </c>
      <c r="AM211" s="35">
        <v>46003</v>
      </c>
      <c r="AN211" s="30">
        <v>1</v>
      </c>
      <c r="AO211" s="36">
        <f t="shared" si="61"/>
        <v>2.63</v>
      </c>
      <c r="AP211" s="35">
        <v>46147</v>
      </c>
      <c r="AQ211" s="30">
        <v>1</v>
      </c>
      <c r="AR211" s="36">
        <f t="shared" si="62"/>
        <v>2.63</v>
      </c>
      <c r="AS211" s="27" t="s">
        <v>1276</v>
      </c>
      <c r="AT211" s="37">
        <v>46147</v>
      </c>
      <c r="AU211" s="30">
        <v>1</v>
      </c>
      <c r="AV211" s="36">
        <f t="shared" si="63"/>
        <v>2.63</v>
      </c>
      <c r="AW211" s="35">
        <v>46150</v>
      </c>
      <c r="AX211" s="30">
        <v>1</v>
      </c>
      <c r="AY211" s="32">
        <f t="shared" si="77"/>
        <v>2.63</v>
      </c>
      <c r="AZ211" s="30" t="s">
        <v>85</v>
      </c>
      <c r="BA211" s="63" t="s">
        <v>1277</v>
      </c>
      <c r="BB211" s="72"/>
      <c r="BC211" s="71" t="s">
        <v>1338</v>
      </c>
      <c r="BD211" s="71"/>
    </row>
    <row r="212" spans="1:56" x14ac:dyDescent="0.25">
      <c r="A212" s="24">
        <f>IF(B212="","",SUBTOTAL(3,$B$4:B212))</f>
        <v>201</v>
      </c>
      <c r="B212" s="25" t="s">
        <v>77</v>
      </c>
      <c r="C212" s="25" t="str">
        <f t="shared" si="76"/>
        <v>Shipment 2 400</v>
      </c>
      <c r="D212" s="25" t="s">
        <v>1252</v>
      </c>
      <c r="E212" s="25">
        <v>400</v>
      </c>
      <c r="F212" s="25"/>
      <c r="G212" s="65">
        <v>45990</v>
      </c>
      <c r="H212" s="25" t="s">
        <v>1257</v>
      </c>
      <c r="I212" s="25" t="s">
        <v>1254</v>
      </c>
      <c r="J212" s="26" t="s">
        <v>1301</v>
      </c>
      <c r="K212" s="27" t="s">
        <v>499</v>
      </c>
      <c r="L212" s="28" t="s">
        <v>508</v>
      </c>
      <c r="M212" s="28" t="s">
        <v>501</v>
      </c>
      <c r="N212" s="25">
        <v>1</v>
      </c>
      <c r="O212" s="29">
        <v>2.63</v>
      </c>
      <c r="P212" s="29">
        <v>2.63</v>
      </c>
      <c r="Q212" s="25" t="s">
        <v>1110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57"/>
        <v>2.63</v>
      </c>
      <c r="AF212" s="32">
        <f t="shared" si="58"/>
        <v>0</v>
      </c>
      <c r="AG212" s="30"/>
      <c r="AH212" s="33">
        <v>1</v>
      </c>
      <c r="AI212" s="34">
        <f t="shared" si="59"/>
        <v>2.63</v>
      </c>
      <c r="AJ212" s="35">
        <v>45996</v>
      </c>
      <c r="AK212" s="30">
        <v>1</v>
      </c>
      <c r="AL212" s="36">
        <f t="shared" si="60"/>
        <v>2.63</v>
      </c>
      <c r="AM212" s="35">
        <v>46003</v>
      </c>
      <c r="AN212" s="30">
        <v>1</v>
      </c>
      <c r="AO212" s="36">
        <f t="shared" si="61"/>
        <v>2.63</v>
      </c>
      <c r="AP212" s="35">
        <v>46147</v>
      </c>
      <c r="AQ212" s="30">
        <v>1</v>
      </c>
      <c r="AR212" s="36">
        <f t="shared" si="62"/>
        <v>2.63</v>
      </c>
      <c r="AS212" s="27" t="s">
        <v>1276</v>
      </c>
      <c r="AT212" s="37">
        <v>46147</v>
      </c>
      <c r="AU212" s="30">
        <v>1</v>
      </c>
      <c r="AV212" s="36">
        <f t="shared" si="63"/>
        <v>2.63</v>
      </c>
      <c r="AW212" s="35">
        <v>46150</v>
      </c>
      <c r="AX212" s="30">
        <v>1</v>
      </c>
      <c r="AY212" s="32">
        <f t="shared" si="77"/>
        <v>2.63</v>
      </c>
      <c r="AZ212" s="30" t="s">
        <v>85</v>
      </c>
      <c r="BA212" s="63" t="s">
        <v>1277</v>
      </c>
      <c r="BB212" s="72"/>
      <c r="BC212" s="71" t="s">
        <v>1338</v>
      </c>
      <c r="BD212" s="71"/>
    </row>
    <row r="213" spans="1:56" x14ac:dyDescent="0.25">
      <c r="A213" s="24">
        <f>IF(B213="","",SUBTOTAL(3,$B$4:B213))</f>
        <v>202</v>
      </c>
      <c r="B213" s="25" t="s">
        <v>77</v>
      </c>
      <c r="C213" s="25" t="str">
        <f t="shared" si="76"/>
        <v>Shipment 2 400</v>
      </c>
      <c r="D213" s="25" t="s">
        <v>1252</v>
      </c>
      <c r="E213" s="25">
        <v>400</v>
      </c>
      <c r="F213" s="25"/>
      <c r="G213" s="65">
        <v>45990</v>
      </c>
      <c r="H213" s="25" t="s">
        <v>1257</v>
      </c>
      <c r="I213" s="25" t="s">
        <v>1254</v>
      </c>
      <c r="J213" s="26" t="s">
        <v>1301</v>
      </c>
      <c r="K213" s="27" t="s">
        <v>499</v>
      </c>
      <c r="L213" s="28" t="s">
        <v>509</v>
      </c>
      <c r="M213" s="28" t="s">
        <v>501</v>
      </c>
      <c r="N213" s="25">
        <v>1</v>
      </c>
      <c r="O213" s="29">
        <v>2.63</v>
      </c>
      <c r="P213" s="29">
        <v>2.63</v>
      </c>
      <c r="Q213" s="25" t="s">
        <v>1110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57"/>
        <v>2.63</v>
      </c>
      <c r="AF213" s="32">
        <f t="shared" si="58"/>
        <v>0</v>
      </c>
      <c r="AG213" s="30"/>
      <c r="AH213" s="33">
        <v>1</v>
      </c>
      <c r="AI213" s="34">
        <f t="shared" si="59"/>
        <v>2.63</v>
      </c>
      <c r="AJ213" s="35">
        <v>45996</v>
      </c>
      <c r="AK213" s="30">
        <v>1</v>
      </c>
      <c r="AL213" s="36">
        <f t="shared" si="60"/>
        <v>2.63</v>
      </c>
      <c r="AM213" s="35">
        <v>46003</v>
      </c>
      <c r="AN213" s="30">
        <v>1</v>
      </c>
      <c r="AO213" s="36">
        <f t="shared" si="61"/>
        <v>2.63</v>
      </c>
      <c r="AP213" s="35">
        <v>46147</v>
      </c>
      <c r="AQ213" s="30">
        <v>1</v>
      </c>
      <c r="AR213" s="36">
        <f t="shared" si="62"/>
        <v>2.63</v>
      </c>
      <c r="AS213" s="27" t="s">
        <v>1276</v>
      </c>
      <c r="AT213" s="37">
        <v>46147</v>
      </c>
      <c r="AU213" s="30">
        <v>1</v>
      </c>
      <c r="AV213" s="36">
        <f t="shared" si="63"/>
        <v>2.63</v>
      </c>
      <c r="AW213" s="35">
        <v>46150</v>
      </c>
      <c r="AX213" s="30">
        <v>1</v>
      </c>
      <c r="AY213" s="32">
        <f t="shared" si="77"/>
        <v>2.63</v>
      </c>
      <c r="AZ213" s="30" t="s">
        <v>85</v>
      </c>
      <c r="BA213" s="63" t="s">
        <v>1277</v>
      </c>
      <c r="BB213" s="72"/>
      <c r="BC213" s="71" t="s">
        <v>1338</v>
      </c>
      <c r="BD213" s="71"/>
    </row>
    <row r="214" spans="1:56" x14ac:dyDescent="0.25">
      <c r="A214" s="24">
        <f>IF(B214="","",SUBTOTAL(3,$B$4:B214))</f>
        <v>203</v>
      </c>
      <c r="B214" s="25" t="s">
        <v>77</v>
      </c>
      <c r="C214" s="25" t="str">
        <f t="shared" si="76"/>
        <v>Shipment 2 400</v>
      </c>
      <c r="D214" s="25" t="s">
        <v>1252</v>
      </c>
      <c r="E214" s="25">
        <v>400</v>
      </c>
      <c r="F214" s="25"/>
      <c r="G214" s="65">
        <v>45990</v>
      </c>
      <c r="H214" s="25" t="s">
        <v>1257</v>
      </c>
      <c r="I214" s="25" t="s">
        <v>1254</v>
      </c>
      <c r="J214" s="26" t="s">
        <v>1301</v>
      </c>
      <c r="K214" s="27" t="s">
        <v>499</v>
      </c>
      <c r="L214" s="28" t="s">
        <v>510</v>
      </c>
      <c r="M214" s="28" t="s">
        <v>501</v>
      </c>
      <c r="N214" s="25">
        <v>1</v>
      </c>
      <c r="O214" s="29">
        <v>2.63</v>
      </c>
      <c r="P214" s="29">
        <v>2.63</v>
      </c>
      <c r="Q214" s="25" t="s">
        <v>1110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57"/>
        <v>2.63</v>
      </c>
      <c r="AF214" s="32">
        <f t="shared" si="58"/>
        <v>0</v>
      </c>
      <c r="AG214" s="30"/>
      <c r="AH214" s="33">
        <v>1</v>
      </c>
      <c r="AI214" s="34">
        <f t="shared" si="59"/>
        <v>2.63</v>
      </c>
      <c r="AJ214" s="35">
        <v>45996</v>
      </c>
      <c r="AK214" s="30">
        <v>1</v>
      </c>
      <c r="AL214" s="36">
        <f t="shared" si="60"/>
        <v>2.63</v>
      </c>
      <c r="AM214" s="35">
        <v>46147</v>
      </c>
      <c r="AN214" s="30">
        <v>1</v>
      </c>
      <c r="AO214" s="36">
        <f t="shared" si="61"/>
        <v>2.63</v>
      </c>
      <c r="AP214" s="35">
        <v>46147</v>
      </c>
      <c r="AQ214" s="30">
        <v>1</v>
      </c>
      <c r="AR214" s="36">
        <f t="shared" si="62"/>
        <v>2.63</v>
      </c>
      <c r="AS214" s="27" t="s">
        <v>1276</v>
      </c>
      <c r="AT214" s="37">
        <v>46147</v>
      </c>
      <c r="AU214" s="30">
        <v>1</v>
      </c>
      <c r="AV214" s="36">
        <f t="shared" si="63"/>
        <v>2.63</v>
      </c>
      <c r="AW214" s="35">
        <v>46150</v>
      </c>
      <c r="AX214" s="30">
        <v>1</v>
      </c>
      <c r="AY214" s="32">
        <f t="shared" si="77"/>
        <v>2.63</v>
      </c>
      <c r="AZ214" s="30" t="s">
        <v>85</v>
      </c>
      <c r="BA214" s="63" t="s">
        <v>1277</v>
      </c>
      <c r="BB214" s="72"/>
      <c r="BC214" s="71" t="s">
        <v>1338</v>
      </c>
      <c r="BD214" s="71"/>
    </row>
    <row r="215" spans="1:56" x14ac:dyDescent="0.25">
      <c r="A215" s="24">
        <f>IF(B215="","",SUBTOTAL(3,$B$4:B215))</f>
        <v>204</v>
      </c>
      <c r="B215" s="25" t="s">
        <v>77</v>
      </c>
      <c r="C215" s="25" t="str">
        <f t="shared" si="76"/>
        <v>Shipment 2 400</v>
      </c>
      <c r="D215" s="25" t="s">
        <v>1252</v>
      </c>
      <c r="E215" s="25">
        <v>400</v>
      </c>
      <c r="F215" s="25"/>
      <c r="G215" s="65">
        <v>45990</v>
      </c>
      <c r="H215" s="25" t="s">
        <v>1257</v>
      </c>
      <c r="I215" s="25" t="s">
        <v>1254</v>
      </c>
      <c r="J215" s="26" t="s">
        <v>1301</v>
      </c>
      <c r="K215" s="27" t="s">
        <v>499</v>
      </c>
      <c r="L215" s="28" t="s">
        <v>511</v>
      </c>
      <c r="M215" s="28" t="s">
        <v>501</v>
      </c>
      <c r="N215" s="25">
        <v>1</v>
      </c>
      <c r="O215" s="29">
        <v>2.63</v>
      </c>
      <c r="P215" s="29">
        <v>2.63</v>
      </c>
      <c r="Q215" s="25" t="s">
        <v>1110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57"/>
        <v>2.63</v>
      </c>
      <c r="AF215" s="32">
        <f t="shared" si="58"/>
        <v>0</v>
      </c>
      <c r="AG215" s="30"/>
      <c r="AH215" s="33">
        <v>1</v>
      </c>
      <c r="AI215" s="34">
        <f t="shared" si="59"/>
        <v>2.63</v>
      </c>
      <c r="AJ215" s="35">
        <v>45996</v>
      </c>
      <c r="AK215" s="30">
        <v>1</v>
      </c>
      <c r="AL215" s="36">
        <f t="shared" si="60"/>
        <v>2.63</v>
      </c>
      <c r="AM215" s="35">
        <v>46147</v>
      </c>
      <c r="AN215" s="30">
        <v>1</v>
      </c>
      <c r="AO215" s="36">
        <f t="shared" si="61"/>
        <v>2.63</v>
      </c>
      <c r="AP215" s="35">
        <v>46147</v>
      </c>
      <c r="AQ215" s="30">
        <v>1</v>
      </c>
      <c r="AR215" s="36">
        <f t="shared" si="62"/>
        <v>2.63</v>
      </c>
      <c r="AS215" s="27" t="s">
        <v>1276</v>
      </c>
      <c r="AT215" s="37">
        <v>46147</v>
      </c>
      <c r="AU215" s="30">
        <v>1</v>
      </c>
      <c r="AV215" s="36">
        <f t="shared" si="63"/>
        <v>2.63</v>
      </c>
      <c r="AW215" s="35">
        <v>46150</v>
      </c>
      <c r="AX215" s="30">
        <v>1</v>
      </c>
      <c r="AY215" s="32">
        <f t="shared" si="77"/>
        <v>2.63</v>
      </c>
      <c r="AZ215" s="30" t="s">
        <v>85</v>
      </c>
      <c r="BA215" s="63" t="s">
        <v>1277</v>
      </c>
      <c r="BB215" s="72"/>
      <c r="BC215" s="71" t="s">
        <v>1338</v>
      </c>
      <c r="BD215" s="71"/>
    </row>
    <row r="216" spans="1:56" x14ac:dyDescent="0.25">
      <c r="A216" s="24">
        <f>IF(B216="","",SUBTOTAL(3,$B$4:B216))</f>
        <v>205</v>
      </c>
      <c r="B216" s="25" t="s">
        <v>77</v>
      </c>
      <c r="C216" s="25" t="str">
        <f t="shared" si="76"/>
        <v>Shipment 2 400</v>
      </c>
      <c r="D216" s="25" t="s">
        <v>1252</v>
      </c>
      <c r="E216" s="25">
        <v>400</v>
      </c>
      <c r="F216" s="25"/>
      <c r="G216" s="65">
        <v>45990</v>
      </c>
      <c r="H216" s="25" t="s">
        <v>1257</v>
      </c>
      <c r="I216" s="25" t="s">
        <v>1254</v>
      </c>
      <c r="J216" s="26" t="s">
        <v>1301</v>
      </c>
      <c r="K216" s="27" t="s">
        <v>499</v>
      </c>
      <c r="L216" s="28" t="s">
        <v>512</v>
      </c>
      <c r="M216" s="28" t="s">
        <v>501</v>
      </c>
      <c r="N216" s="25">
        <v>1</v>
      </c>
      <c r="O216" s="29">
        <v>2.63</v>
      </c>
      <c r="P216" s="29">
        <v>2.63</v>
      </c>
      <c r="Q216" s="25" t="s">
        <v>1110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57"/>
        <v>2.63</v>
      </c>
      <c r="AF216" s="32">
        <f t="shared" si="58"/>
        <v>0</v>
      </c>
      <c r="AG216" s="30"/>
      <c r="AH216" s="33">
        <v>1</v>
      </c>
      <c r="AI216" s="34">
        <f t="shared" si="59"/>
        <v>2.63</v>
      </c>
      <c r="AJ216" s="35">
        <v>45996</v>
      </c>
      <c r="AK216" s="30">
        <v>1</v>
      </c>
      <c r="AL216" s="36">
        <f t="shared" si="60"/>
        <v>2.63</v>
      </c>
      <c r="AM216" s="35">
        <v>46147</v>
      </c>
      <c r="AN216" s="30">
        <v>1</v>
      </c>
      <c r="AO216" s="36">
        <f t="shared" si="61"/>
        <v>2.63</v>
      </c>
      <c r="AP216" s="35">
        <v>46147</v>
      </c>
      <c r="AQ216" s="30">
        <v>1</v>
      </c>
      <c r="AR216" s="36">
        <f t="shared" si="62"/>
        <v>2.63</v>
      </c>
      <c r="AS216" s="27" t="s">
        <v>1276</v>
      </c>
      <c r="AT216" s="37">
        <v>46147</v>
      </c>
      <c r="AU216" s="30">
        <v>1</v>
      </c>
      <c r="AV216" s="36">
        <f t="shared" si="63"/>
        <v>2.63</v>
      </c>
      <c r="AW216" s="35">
        <v>46150</v>
      </c>
      <c r="AX216" s="30">
        <v>1</v>
      </c>
      <c r="AY216" s="32">
        <f t="shared" si="77"/>
        <v>2.63</v>
      </c>
      <c r="AZ216" s="30" t="s">
        <v>85</v>
      </c>
      <c r="BA216" s="63" t="s">
        <v>1277</v>
      </c>
      <c r="BB216" s="72"/>
      <c r="BC216" s="71" t="s">
        <v>1338</v>
      </c>
      <c r="BD216" s="71"/>
    </row>
    <row r="217" spans="1:56" x14ac:dyDescent="0.25">
      <c r="A217" s="24">
        <f>IF(B217="","",SUBTOTAL(3,$B$4:B217))</f>
        <v>206</v>
      </c>
      <c r="B217" s="25" t="s">
        <v>77</v>
      </c>
      <c r="C217" s="25" t="str">
        <f t="shared" si="76"/>
        <v>Shipment 2 400</v>
      </c>
      <c r="D217" s="25" t="s">
        <v>1252</v>
      </c>
      <c r="E217" s="25">
        <v>400</v>
      </c>
      <c r="F217" s="25"/>
      <c r="G217" s="65">
        <v>45990</v>
      </c>
      <c r="H217" s="25" t="s">
        <v>1257</v>
      </c>
      <c r="I217" s="25" t="s">
        <v>1254</v>
      </c>
      <c r="J217" s="26" t="s">
        <v>1301</v>
      </c>
      <c r="K217" s="27" t="s">
        <v>499</v>
      </c>
      <c r="L217" s="28" t="s">
        <v>513</v>
      </c>
      <c r="M217" s="28" t="s">
        <v>501</v>
      </c>
      <c r="N217" s="25">
        <v>1</v>
      </c>
      <c r="O217" s="29">
        <v>2.63</v>
      </c>
      <c r="P217" s="29">
        <v>2.63</v>
      </c>
      <c r="Q217" s="25" t="s">
        <v>1110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57"/>
        <v>2.63</v>
      </c>
      <c r="AF217" s="32">
        <f t="shared" si="58"/>
        <v>0</v>
      </c>
      <c r="AG217" s="30"/>
      <c r="AH217" s="33">
        <v>1</v>
      </c>
      <c r="AI217" s="34">
        <f t="shared" si="59"/>
        <v>2.63</v>
      </c>
      <c r="AJ217" s="35">
        <v>45996</v>
      </c>
      <c r="AK217" s="30">
        <v>1</v>
      </c>
      <c r="AL217" s="36">
        <f t="shared" si="60"/>
        <v>2.63</v>
      </c>
      <c r="AM217" s="35">
        <v>46147</v>
      </c>
      <c r="AN217" s="30">
        <v>1</v>
      </c>
      <c r="AO217" s="36">
        <f t="shared" si="61"/>
        <v>2.63</v>
      </c>
      <c r="AP217" s="35">
        <v>46147</v>
      </c>
      <c r="AQ217" s="30">
        <v>1</v>
      </c>
      <c r="AR217" s="36">
        <f t="shared" si="62"/>
        <v>2.63</v>
      </c>
      <c r="AS217" s="27" t="s">
        <v>1276</v>
      </c>
      <c r="AT217" s="37">
        <v>46147</v>
      </c>
      <c r="AU217" s="30">
        <v>1</v>
      </c>
      <c r="AV217" s="36">
        <f t="shared" si="63"/>
        <v>2.63</v>
      </c>
      <c r="AW217" s="35">
        <v>46150</v>
      </c>
      <c r="AX217" s="30">
        <v>1</v>
      </c>
      <c r="AY217" s="32">
        <f t="shared" si="77"/>
        <v>2.63</v>
      </c>
      <c r="AZ217" s="30" t="s">
        <v>85</v>
      </c>
      <c r="BA217" s="63" t="s">
        <v>1277</v>
      </c>
      <c r="BB217" s="72"/>
      <c r="BC217" s="71" t="s">
        <v>1338</v>
      </c>
      <c r="BD217" s="71"/>
    </row>
    <row r="218" spans="1:56" x14ac:dyDescent="0.25">
      <c r="A218" s="24">
        <f>IF(B218="","",SUBTOTAL(3,$B$4:B218))</f>
        <v>207</v>
      </c>
      <c r="B218" s="25" t="s">
        <v>77</v>
      </c>
      <c r="C218" s="25" t="str">
        <f t="shared" si="76"/>
        <v>Shipment 2 400</v>
      </c>
      <c r="D218" s="25" t="s">
        <v>1252</v>
      </c>
      <c r="E218" s="25">
        <v>400</v>
      </c>
      <c r="F218" s="25"/>
      <c r="G218" s="65">
        <v>45990</v>
      </c>
      <c r="H218" s="25" t="s">
        <v>1257</v>
      </c>
      <c r="I218" s="25" t="s">
        <v>1254</v>
      </c>
      <c r="J218" s="26" t="s">
        <v>1301</v>
      </c>
      <c r="K218" s="27" t="s">
        <v>499</v>
      </c>
      <c r="L218" s="28" t="s">
        <v>514</v>
      </c>
      <c r="M218" s="28" t="s">
        <v>501</v>
      </c>
      <c r="N218" s="25">
        <v>1</v>
      </c>
      <c r="O218" s="29">
        <v>2.63</v>
      </c>
      <c r="P218" s="29">
        <v>2.63</v>
      </c>
      <c r="Q218" s="25" t="s">
        <v>1110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57"/>
        <v>2.63</v>
      </c>
      <c r="AF218" s="32">
        <f t="shared" si="58"/>
        <v>0</v>
      </c>
      <c r="AG218" s="30"/>
      <c r="AH218" s="33">
        <v>1</v>
      </c>
      <c r="AI218" s="34">
        <f t="shared" si="59"/>
        <v>2.63</v>
      </c>
      <c r="AJ218" s="35">
        <v>45996</v>
      </c>
      <c r="AK218" s="30">
        <v>1</v>
      </c>
      <c r="AL218" s="36">
        <f t="shared" si="60"/>
        <v>2.63</v>
      </c>
      <c r="AM218" s="35">
        <v>46147</v>
      </c>
      <c r="AN218" s="30">
        <v>1</v>
      </c>
      <c r="AO218" s="36">
        <f t="shared" si="61"/>
        <v>2.63</v>
      </c>
      <c r="AP218" s="35">
        <v>46147</v>
      </c>
      <c r="AQ218" s="30">
        <v>1</v>
      </c>
      <c r="AR218" s="36">
        <f t="shared" si="62"/>
        <v>2.63</v>
      </c>
      <c r="AS218" s="27" t="s">
        <v>1276</v>
      </c>
      <c r="AT218" s="37">
        <v>46147</v>
      </c>
      <c r="AU218" s="30">
        <v>1</v>
      </c>
      <c r="AV218" s="36">
        <f t="shared" si="63"/>
        <v>2.63</v>
      </c>
      <c r="AW218" s="35">
        <v>46150</v>
      </c>
      <c r="AX218" s="30">
        <v>1</v>
      </c>
      <c r="AY218" s="32">
        <f t="shared" si="77"/>
        <v>2.63</v>
      </c>
      <c r="AZ218" s="30" t="s">
        <v>85</v>
      </c>
      <c r="BA218" s="63" t="s">
        <v>1277</v>
      </c>
      <c r="BB218" s="72"/>
      <c r="BC218" s="71" t="s">
        <v>1338</v>
      </c>
      <c r="BD218" s="71"/>
    </row>
    <row r="219" spans="1:56" x14ac:dyDescent="0.25">
      <c r="A219" s="24">
        <f>IF(B219="","",SUBTOTAL(3,$B$4:B219))</f>
        <v>208</v>
      </c>
      <c r="B219" s="25" t="s">
        <v>77</v>
      </c>
      <c r="C219" s="25" t="str">
        <f t="shared" si="76"/>
        <v>Shipment 2 400</v>
      </c>
      <c r="D219" s="25" t="s">
        <v>1252</v>
      </c>
      <c r="E219" s="25">
        <v>400</v>
      </c>
      <c r="F219" s="25"/>
      <c r="G219" s="65">
        <v>45990</v>
      </c>
      <c r="H219" s="25" t="s">
        <v>1257</v>
      </c>
      <c r="I219" s="25" t="s">
        <v>1254</v>
      </c>
      <c r="J219" s="26" t="s">
        <v>1301</v>
      </c>
      <c r="K219" s="27" t="s">
        <v>499</v>
      </c>
      <c r="L219" s="28" t="s">
        <v>515</v>
      </c>
      <c r="M219" s="28" t="s">
        <v>501</v>
      </c>
      <c r="N219" s="25">
        <v>1</v>
      </c>
      <c r="O219" s="29">
        <v>2.63</v>
      </c>
      <c r="P219" s="29">
        <v>2.63</v>
      </c>
      <c r="Q219" s="25" t="s">
        <v>1110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ref="AE219:AE282" si="78">+AL219*0.5+AO219*0.4+AV219*0.1</f>
        <v>2.63</v>
      </c>
      <c r="AF219" s="32">
        <f t="shared" ref="AF219:AF282" si="79">+P219-AE219</f>
        <v>0</v>
      </c>
      <c r="AG219" s="30"/>
      <c r="AH219" s="33">
        <v>1</v>
      </c>
      <c r="AI219" s="34">
        <f t="shared" ref="AI219:AI282" si="80">+AH219*P219</f>
        <v>2.63</v>
      </c>
      <c r="AJ219" s="35">
        <v>46147</v>
      </c>
      <c r="AK219" s="30">
        <v>1</v>
      </c>
      <c r="AL219" s="36">
        <f t="shared" ref="AL219:AL282" si="81">IFERROR(AK219*$P219/$N219,0)</f>
        <v>2.63</v>
      </c>
      <c r="AM219" s="35">
        <v>46147</v>
      </c>
      <c r="AN219" s="30">
        <v>1</v>
      </c>
      <c r="AO219" s="36">
        <f t="shared" ref="AO219:AO282" si="82">IFERROR(AN219*$P219/$N219,0)</f>
        <v>2.63</v>
      </c>
      <c r="AP219" s="35">
        <v>46147</v>
      </c>
      <c r="AQ219" s="30">
        <v>1</v>
      </c>
      <c r="AR219" s="36">
        <f t="shared" ref="AR219:AR282" si="83">IFERROR(AQ219*$P219/$N219,0)</f>
        <v>2.63</v>
      </c>
      <c r="AS219" s="27" t="s">
        <v>1276</v>
      </c>
      <c r="AT219" s="37">
        <v>46147</v>
      </c>
      <c r="AU219" s="30">
        <v>1</v>
      </c>
      <c r="AV219" s="36">
        <f t="shared" ref="AV219:AV282" si="84">IFERROR(AU219*$P219/$N219,0)</f>
        <v>2.63</v>
      </c>
      <c r="AW219" s="35">
        <v>46150</v>
      </c>
      <c r="AX219" s="30">
        <v>1</v>
      </c>
      <c r="AY219" s="32">
        <f t="shared" si="77"/>
        <v>2.63</v>
      </c>
      <c r="AZ219" s="30" t="s">
        <v>85</v>
      </c>
      <c r="BA219" s="63" t="s">
        <v>1277</v>
      </c>
      <c r="BB219" s="72"/>
      <c r="BC219" s="71" t="s">
        <v>1338</v>
      </c>
      <c r="BD219" s="71"/>
    </row>
    <row r="220" spans="1:56" x14ac:dyDescent="0.25">
      <c r="A220" s="24">
        <f>IF(B220="","",SUBTOTAL(3,$B$4:B220))</f>
        <v>209</v>
      </c>
      <c r="B220" s="25" t="s">
        <v>77</v>
      </c>
      <c r="C220" s="25" t="str">
        <f t="shared" si="76"/>
        <v>Shipment 2 400</v>
      </c>
      <c r="D220" s="25" t="s">
        <v>1252</v>
      </c>
      <c r="E220" s="25">
        <v>400</v>
      </c>
      <c r="F220" s="25"/>
      <c r="G220" s="65">
        <v>45990</v>
      </c>
      <c r="H220" s="25" t="s">
        <v>1257</v>
      </c>
      <c r="I220" s="25" t="s">
        <v>1254</v>
      </c>
      <c r="J220" s="26" t="s">
        <v>1301</v>
      </c>
      <c r="K220" s="27" t="s">
        <v>499</v>
      </c>
      <c r="L220" s="28" t="s">
        <v>516</v>
      </c>
      <c r="M220" s="28" t="s">
        <v>501</v>
      </c>
      <c r="N220" s="25">
        <v>1</v>
      </c>
      <c r="O220" s="29">
        <v>2.63</v>
      </c>
      <c r="P220" s="29">
        <v>2.63</v>
      </c>
      <c r="Q220" s="25" t="s">
        <v>1110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78"/>
        <v>2.63</v>
      </c>
      <c r="AF220" s="32">
        <f t="shared" si="79"/>
        <v>0</v>
      </c>
      <c r="AG220" s="30"/>
      <c r="AH220" s="33">
        <v>1</v>
      </c>
      <c r="AI220" s="34">
        <f t="shared" si="80"/>
        <v>2.63</v>
      </c>
      <c r="AJ220" s="35">
        <v>46147</v>
      </c>
      <c r="AK220" s="30">
        <v>1</v>
      </c>
      <c r="AL220" s="36">
        <f t="shared" si="81"/>
        <v>2.63</v>
      </c>
      <c r="AM220" s="35">
        <v>46147</v>
      </c>
      <c r="AN220" s="30">
        <v>1</v>
      </c>
      <c r="AO220" s="36">
        <f t="shared" si="82"/>
        <v>2.63</v>
      </c>
      <c r="AP220" s="35">
        <v>46147</v>
      </c>
      <c r="AQ220" s="30">
        <v>1</v>
      </c>
      <c r="AR220" s="36">
        <f t="shared" si="83"/>
        <v>2.63</v>
      </c>
      <c r="AS220" s="27" t="s">
        <v>1276</v>
      </c>
      <c r="AT220" s="37">
        <v>46147</v>
      </c>
      <c r="AU220" s="30">
        <v>1</v>
      </c>
      <c r="AV220" s="36">
        <f t="shared" si="84"/>
        <v>2.63</v>
      </c>
      <c r="AW220" s="35">
        <v>46150</v>
      </c>
      <c r="AX220" s="30">
        <v>1</v>
      </c>
      <c r="AY220" s="32">
        <f t="shared" si="77"/>
        <v>2.63</v>
      </c>
      <c r="AZ220" s="30" t="s">
        <v>85</v>
      </c>
      <c r="BA220" s="63" t="s">
        <v>1277</v>
      </c>
      <c r="BB220" s="72"/>
      <c r="BC220" s="71" t="s">
        <v>1338</v>
      </c>
      <c r="BD220" s="71"/>
    </row>
    <row r="221" spans="1:56" x14ac:dyDescent="0.25">
      <c r="A221" s="24">
        <f>IF(B221="","",SUBTOTAL(3,$B$4:B221))</f>
        <v>210</v>
      </c>
      <c r="B221" s="25" t="s">
        <v>77</v>
      </c>
      <c r="C221" s="25" t="str">
        <f t="shared" si="76"/>
        <v>Shipment 2 400</v>
      </c>
      <c r="D221" s="25" t="s">
        <v>1252</v>
      </c>
      <c r="E221" s="25">
        <v>400</v>
      </c>
      <c r="F221" s="25"/>
      <c r="G221" s="65">
        <v>45990</v>
      </c>
      <c r="H221" s="25" t="s">
        <v>1257</v>
      </c>
      <c r="I221" s="25" t="s">
        <v>1254</v>
      </c>
      <c r="J221" s="26" t="s">
        <v>1301</v>
      </c>
      <c r="K221" s="27" t="s">
        <v>517</v>
      </c>
      <c r="L221" s="28" t="s">
        <v>518</v>
      </c>
      <c r="M221" s="28" t="s">
        <v>501</v>
      </c>
      <c r="N221" s="25">
        <v>1</v>
      </c>
      <c r="O221" s="29">
        <v>7.67</v>
      </c>
      <c r="P221" s="29">
        <v>7.67</v>
      </c>
      <c r="Q221" s="25" t="s">
        <v>1111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78"/>
        <v>7.6700000000000008</v>
      </c>
      <c r="AF221" s="32">
        <f t="shared" si="79"/>
        <v>0</v>
      </c>
      <c r="AG221" s="30"/>
      <c r="AH221" s="33">
        <v>1</v>
      </c>
      <c r="AI221" s="34">
        <f t="shared" si="80"/>
        <v>7.67</v>
      </c>
      <c r="AJ221" s="35">
        <v>46147</v>
      </c>
      <c r="AK221" s="30">
        <v>1</v>
      </c>
      <c r="AL221" s="36">
        <f t="shared" si="81"/>
        <v>7.67</v>
      </c>
      <c r="AM221" s="35">
        <v>46147</v>
      </c>
      <c r="AN221" s="30">
        <v>1</v>
      </c>
      <c r="AO221" s="36">
        <f t="shared" si="82"/>
        <v>7.67</v>
      </c>
      <c r="AP221" s="35">
        <v>46147</v>
      </c>
      <c r="AQ221" s="30">
        <v>1</v>
      </c>
      <c r="AR221" s="36">
        <f t="shared" si="83"/>
        <v>7.67</v>
      </c>
      <c r="AS221" s="27" t="s">
        <v>1276</v>
      </c>
      <c r="AT221" s="37">
        <v>46147</v>
      </c>
      <c r="AU221" s="30">
        <v>1</v>
      </c>
      <c r="AV221" s="36">
        <f t="shared" si="84"/>
        <v>7.67</v>
      </c>
      <c r="AW221" s="35">
        <v>46150</v>
      </c>
      <c r="AX221" s="30">
        <v>1</v>
      </c>
      <c r="AY221" s="32">
        <f t="shared" si="77"/>
        <v>7.67</v>
      </c>
      <c r="AZ221" s="30" t="s">
        <v>85</v>
      </c>
      <c r="BA221" s="63" t="s">
        <v>1277</v>
      </c>
      <c r="BB221" s="72"/>
      <c r="BC221" s="71" t="s">
        <v>1339</v>
      </c>
      <c r="BD221" s="71"/>
    </row>
    <row r="222" spans="1:56" x14ac:dyDescent="0.25">
      <c r="A222" s="24">
        <f>IF(B222="","",SUBTOTAL(3,$B$4:B222))</f>
        <v>211</v>
      </c>
      <c r="B222" s="25" t="s">
        <v>77</v>
      </c>
      <c r="C222" s="25" t="str">
        <f t="shared" si="76"/>
        <v>Shipment 2 400</v>
      </c>
      <c r="D222" s="25" t="s">
        <v>1252</v>
      </c>
      <c r="E222" s="25">
        <v>400</v>
      </c>
      <c r="F222" s="25"/>
      <c r="G222" s="65">
        <v>45990</v>
      </c>
      <c r="H222" s="25" t="s">
        <v>1257</v>
      </c>
      <c r="I222" s="25" t="s">
        <v>1254</v>
      </c>
      <c r="J222" s="26" t="s">
        <v>1301</v>
      </c>
      <c r="K222" s="27" t="s">
        <v>517</v>
      </c>
      <c r="L222" s="28" t="s">
        <v>519</v>
      </c>
      <c r="M222" s="28" t="s">
        <v>501</v>
      </c>
      <c r="N222" s="25">
        <v>1</v>
      </c>
      <c r="O222" s="29">
        <v>7.67</v>
      </c>
      <c r="P222" s="29">
        <v>7.67</v>
      </c>
      <c r="Q222" s="25" t="s">
        <v>1111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78"/>
        <v>7.6700000000000008</v>
      </c>
      <c r="AF222" s="32">
        <f t="shared" si="79"/>
        <v>0</v>
      </c>
      <c r="AG222" s="30"/>
      <c r="AH222" s="33">
        <v>1</v>
      </c>
      <c r="AI222" s="34">
        <f t="shared" si="80"/>
        <v>7.67</v>
      </c>
      <c r="AJ222" s="35">
        <v>46147</v>
      </c>
      <c r="AK222" s="30">
        <v>1</v>
      </c>
      <c r="AL222" s="36">
        <f t="shared" si="81"/>
        <v>7.67</v>
      </c>
      <c r="AM222" s="35">
        <v>46147</v>
      </c>
      <c r="AN222" s="30">
        <v>1</v>
      </c>
      <c r="AO222" s="36">
        <f t="shared" si="82"/>
        <v>7.67</v>
      </c>
      <c r="AP222" s="35">
        <v>46147</v>
      </c>
      <c r="AQ222" s="30">
        <v>1</v>
      </c>
      <c r="AR222" s="36">
        <f t="shared" si="83"/>
        <v>7.67</v>
      </c>
      <c r="AS222" s="27" t="s">
        <v>1276</v>
      </c>
      <c r="AT222" s="37">
        <v>46147</v>
      </c>
      <c r="AU222" s="30">
        <v>1</v>
      </c>
      <c r="AV222" s="36">
        <f t="shared" si="84"/>
        <v>7.67</v>
      </c>
      <c r="AW222" s="35">
        <v>46150</v>
      </c>
      <c r="AX222" s="30">
        <v>1</v>
      </c>
      <c r="AY222" s="32">
        <f t="shared" si="77"/>
        <v>7.67</v>
      </c>
      <c r="AZ222" s="30" t="s">
        <v>85</v>
      </c>
      <c r="BA222" s="63" t="s">
        <v>1277</v>
      </c>
      <c r="BB222" s="72"/>
      <c r="BC222" s="71" t="s">
        <v>1339</v>
      </c>
      <c r="BD222" s="71"/>
    </row>
    <row r="223" spans="1:56" x14ac:dyDescent="0.25">
      <c r="A223" s="24">
        <f>IF(B223="","",SUBTOTAL(3,$B$4:B223))</f>
        <v>212</v>
      </c>
      <c r="B223" s="25" t="s">
        <v>77</v>
      </c>
      <c r="C223" s="25" t="str">
        <f t="shared" si="76"/>
        <v>Shipment 2 400</v>
      </c>
      <c r="D223" s="25" t="s">
        <v>1252</v>
      </c>
      <c r="E223" s="25">
        <v>400</v>
      </c>
      <c r="F223" s="25"/>
      <c r="G223" s="65">
        <v>45990</v>
      </c>
      <c r="H223" s="25" t="s">
        <v>1257</v>
      </c>
      <c r="I223" s="25" t="s">
        <v>1254</v>
      </c>
      <c r="J223" s="26" t="s">
        <v>1301</v>
      </c>
      <c r="K223" s="27" t="s">
        <v>517</v>
      </c>
      <c r="L223" s="28" t="s">
        <v>520</v>
      </c>
      <c r="M223" s="28" t="s">
        <v>501</v>
      </c>
      <c r="N223" s="25">
        <v>1</v>
      </c>
      <c r="O223" s="29">
        <v>7.67</v>
      </c>
      <c r="P223" s="29">
        <v>7.67</v>
      </c>
      <c r="Q223" s="25" t="s">
        <v>1111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78"/>
        <v>7.6700000000000008</v>
      </c>
      <c r="AF223" s="32">
        <f t="shared" si="79"/>
        <v>0</v>
      </c>
      <c r="AG223" s="30"/>
      <c r="AH223" s="33">
        <v>1</v>
      </c>
      <c r="AI223" s="34">
        <f t="shared" si="80"/>
        <v>7.67</v>
      </c>
      <c r="AJ223" s="35">
        <v>46147</v>
      </c>
      <c r="AK223" s="30">
        <v>1</v>
      </c>
      <c r="AL223" s="36">
        <f t="shared" si="81"/>
        <v>7.67</v>
      </c>
      <c r="AM223" s="35">
        <v>46147</v>
      </c>
      <c r="AN223" s="30">
        <v>1</v>
      </c>
      <c r="AO223" s="36">
        <f t="shared" si="82"/>
        <v>7.67</v>
      </c>
      <c r="AP223" s="35">
        <v>46147</v>
      </c>
      <c r="AQ223" s="30">
        <v>1</v>
      </c>
      <c r="AR223" s="36">
        <f t="shared" si="83"/>
        <v>7.67</v>
      </c>
      <c r="AS223" s="27" t="s">
        <v>1276</v>
      </c>
      <c r="AT223" s="37">
        <v>46147</v>
      </c>
      <c r="AU223" s="30">
        <v>1</v>
      </c>
      <c r="AV223" s="36">
        <f t="shared" si="84"/>
        <v>7.67</v>
      </c>
      <c r="AW223" s="35">
        <v>46150</v>
      </c>
      <c r="AX223" s="30">
        <v>1</v>
      </c>
      <c r="AY223" s="32">
        <f t="shared" si="77"/>
        <v>7.67</v>
      </c>
      <c r="AZ223" s="30" t="s">
        <v>85</v>
      </c>
      <c r="BA223" s="63" t="s">
        <v>1277</v>
      </c>
      <c r="BB223" s="72"/>
      <c r="BC223" s="71" t="s">
        <v>1339</v>
      </c>
      <c r="BD223" s="71"/>
    </row>
    <row r="224" spans="1:56" x14ac:dyDescent="0.25">
      <c r="A224" s="24">
        <f>IF(B224="","",SUBTOTAL(3,$B$4:B224))</f>
        <v>213</v>
      </c>
      <c r="B224" s="25" t="s">
        <v>77</v>
      </c>
      <c r="C224" s="25" t="str">
        <f t="shared" si="76"/>
        <v>Shipment 2 400</v>
      </c>
      <c r="D224" s="25" t="s">
        <v>1252</v>
      </c>
      <c r="E224" s="25">
        <v>400</v>
      </c>
      <c r="F224" s="25"/>
      <c r="G224" s="65">
        <v>45990</v>
      </c>
      <c r="H224" s="25" t="s">
        <v>1257</v>
      </c>
      <c r="I224" s="25" t="s">
        <v>1254</v>
      </c>
      <c r="J224" s="26" t="s">
        <v>1301</v>
      </c>
      <c r="K224" s="27" t="s">
        <v>517</v>
      </c>
      <c r="L224" s="28" t="s">
        <v>521</v>
      </c>
      <c r="M224" s="28" t="s">
        <v>501</v>
      </c>
      <c r="N224" s="25">
        <v>1</v>
      </c>
      <c r="O224" s="29">
        <v>7.67</v>
      </c>
      <c r="P224" s="29">
        <v>7.67</v>
      </c>
      <c r="Q224" s="25" t="s">
        <v>1111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78"/>
        <v>7.6700000000000008</v>
      </c>
      <c r="AF224" s="32">
        <f t="shared" si="79"/>
        <v>0</v>
      </c>
      <c r="AG224" s="30"/>
      <c r="AH224" s="33">
        <v>1</v>
      </c>
      <c r="AI224" s="34">
        <f t="shared" si="80"/>
        <v>7.67</v>
      </c>
      <c r="AJ224" s="35">
        <v>46147</v>
      </c>
      <c r="AK224" s="30">
        <v>1</v>
      </c>
      <c r="AL224" s="36">
        <f t="shared" si="81"/>
        <v>7.67</v>
      </c>
      <c r="AM224" s="35">
        <v>46147</v>
      </c>
      <c r="AN224" s="30">
        <v>1</v>
      </c>
      <c r="AO224" s="36">
        <f t="shared" si="82"/>
        <v>7.67</v>
      </c>
      <c r="AP224" s="35">
        <v>46147</v>
      </c>
      <c r="AQ224" s="30">
        <v>1</v>
      </c>
      <c r="AR224" s="36">
        <f t="shared" si="83"/>
        <v>7.67</v>
      </c>
      <c r="AS224" s="27" t="s">
        <v>1276</v>
      </c>
      <c r="AT224" s="37">
        <v>46147</v>
      </c>
      <c r="AU224" s="30">
        <v>1</v>
      </c>
      <c r="AV224" s="36">
        <f t="shared" si="84"/>
        <v>7.67</v>
      </c>
      <c r="AW224" s="35">
        <v>46150</v>
      </c>
      <c r="AX224" s="30">
        <v>1</v>
      </c>
      <c r="AY224" s="32">
        <f t="shared" si="77"/>
        <v>7.67</v>
      </c>
      <c r="AZ224" s="30" t="s">
        <v>85</v>
      </c>
      <c r="BA224" s="63" t="s">
        <v>1277</v>
      </c>
      <c r="BB224" s="72"/>
      <c r="BC224" s="71" t="s">
        <v>1339</v>
      </c>
      <c r="BD224" s="71"/>
    </row>
    <row r="225" spans="1:56" x14ac:dyDescent="0.25">
      <c r="A225" s="24">
        <f>IF(B225="","",SUBTOTAL(3,$B$4:B225))</f>
        <v>214</v>
      </c>
      <c r="B225" s="25" t="s">
        <v>77</v>
      </c>
      <c r="C225" s="25" t="str">
        <f t="shared" si="76"/>
        <v>Shipment 2 400</v>
      </c>
      <c r="D225" s="25" t="s">
        <v>1252</v>
      </c>
      <c r="E225" s="25">
        <v>400</v>
      </c>
      <c r="F225" s="25"/>
      <c r="G225" s="65">
        <v>45990</v>
      </c>
      <c r="H225" s="25" t="s">
        <v>1257</v>
      </c>
      <c r="I225" s="25" t="s">
        <v>1254</v>
      </c>
      <c r="J225" s="26" t="s">
        <v>1301</v>
      </c>
      <c r="K225" s="27" t="s">
        <v>517</v>
      </c>
      <c r="L225" s="28" t="s">
        <v>522</v>
      </c>
      <c r="M225" s="28" t="s">
        <v>501</v>
      </c>
      <c r="N225" s="25">
        <v>1</v>
      </c>
      <c r="O225" s="29">
        <v>7.67</v>
      </c>
      <c r="P225" s="29">
        <v>7.67</v>
      </c>
      <c r="Q225" s="25" t="s">
        <v>1111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78"/>
        <v>7.6700000000000008</v>
      </c>
      <c r="AF225" s="32">
        <f t="shared" si="79"/>
        <v>0</v>
      </c>
      <c r="AG225" s="30"/>
      <c r="AH225" s="33">
        <v>1</v>
      </c>
      <c r="AI225" s="34">
        <f t="shared" si="80"/>
        <v>7.67</v>
      </c>
      <c r="AJ225" s="35">
        <v>46147</v>
      </c>
      <c r="AK225" s="30">
        <v>1</v>
      </c>
      <c r="AL225" s="36">
        <f t="shared" si="81"/>
        <v>7.67</v>
      </c>
      <c r="AM225" s="35">
        <v>46147</v>
      </c>
      <c r="AN225" s="30">
        <v>1</v>
      </c>
      <c r="AO225" s="36">
        <f t="shared" si="82"/>
        <v>7.67</v>
      </c>
      <c r="AP225" s="35">
        <v>46147</v>
      </c>
      <c r="AQ225" s="30">
        <v>1</v>
      </c>
      <c r="AR225" s="36">
        <f t="shared" si="83"/>
        <v>7.67</v>
      </c>
      <c r="AS225" s="27" t="s">
        <v>1276</v>
      </c>
      <c r="AT225" s="37">
        <v>46147</v>
      </c>
      <c r="AU225" s="30">
        <v>1</v>
      </c>
      <c r="AV225" s="36">
        <f t="shared" si="84"/>
        <v>7.67</v>
      </c>
      <c r="AW225" s="35">
        <v>46150</v>
      </c>
      <c r="AX225" s="30">
        <v>1</v>
      </c>
      <c r="AY225" s="32">
        <f t="shared" si="77"/>
        <v>7.67</v>
      </c>
      <c r="AZ225" s="30" t="s">
        <v>85</v>
      </c>
      <c r="BA225" s="63" t="s">
        <v>1277</v>
      </c>
      <c r="BB225" s="72"/>
      <c r="BC225" s="71" t="s">
        <v>1339</v>
      </c>
      <c r="BD225" s="71"/>
    </row>
    <row r="226" spans="1:56" x14ac:dyDescent="0.25">
      <c r="A226" s="24">
        <f>IF(B226="","",SUBTOTAL(3,$B$4:B226))</f>
        <v>215</v>
      </c>
      <c r="B226" s="25" t="s">
        <v>77</v>
      </c>
      <c r="C226" s="25" t="str">
        <f t="shared" si="76"/>
        <v>Shipment 2 400</v>
      </c>
      <c r="D226" s="25" t="s">
        <v>1252</v>
      </c>
      <c r="E226" s="25">
        <v>400</v>
      </c>
      <c r="F226" s="25"/>
      <c r="G226" s="65">
        <v>45990</v>
      </c>
      <c r="H226" s="25" t="s">
        <v>1257</v>
      </c>
      <c r="I226" s="25" t="s">
        <v>1254</v>
      </c>
      <c r="J226" s="26" t="s">
        <v>1301</v>
      </c>
      <c r="K226" s="27" t="s">
        <v>517</v>
      </c>
      <c r="L226" s="28" t="s">
        <v>523</v>
      </c>
      <c r="M226" s="28" t="s">
        <v>501</v>
      </c>
      <c r="N226" s="25">
        <v>1</v>
      </c>
      <c r="O226" s="29">
        <v>7.67</v>
      </c>
      <c r="P226" s="29">
        <v>7.67</v>
      </c>
      <c r="Q226" s="25" t="s">
        <v>1111</v>
      </c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78"/>
        <v>7.6700000000000008</v>
      </c>
      <c r="AF226" s="32">
        <f t="shared" si="79"/>
        <v>0</v>
      </c>
      <c r="AG226" s="30"/>
      <c r="AH226" s="33">
        <v>1</v>
      </c>
      <c r="AI226" s="34">
        <f t="shared" si="80"/>
        <v>7.67</v>
      </c>
      <c r="AJ226" s="35">
        <v>46147</v>
      </c>
      <c r="AK226" s="30">
        <v>1</v>
      </c>
      <c r="AL226" s="36">
        <f t="shared" si="81"/>
        <v>7.67</v>
      </c>
      <c r="AM226" s="35">
        <v>46147</v>
      </c>
      <c r="AN226" s="30">
        <v>1</v>
      </c>
      <c r="AO226" s="36">
        <f t="shared" si="82"/>
        <v>7.67</v>
      </c>
      <c r="AP226" s="35">
        <v>46147</v>
      </c>
      <c r="AQ226" s="30">
        <v>1</v>
      </c>
      <c r="AR226" s="36">
        <f t="shared" si="83"/>
        <v>7.67</v>
      </c>
      <c r="AS226" s="27" t="s">
        <v>1276</v>
      </c>
      <c r="AT226" s="37">
        <v>46147</v>
      </c>
      <c r="AU226" s="30">
        <v>1</v>
      </c>
      <c r="AV226" s="36">
        <f t="shared" si="84"/>
        <v>7.67</v>
      </c>
      <c r="AW226" s="35">
        <v>46150</v>
      </c>
      <c r="AX226" s="30">
        <v>1</v>
      </c>
      <c r="AY226" s="32">
        <f t="shared" si="77"/>
        <v>7.67</v>
      </c>
      <c r="AZ226" s="30" t="s">
        <v>85</v>
      </c>
      <c r="BA226" s="63" t="s">
        <v>1277</v>
      </c>
      <c r="BB226" s="72"/>
      <c r="BC226" s="71" t="s">
        <v>1339</v>
      </c>
      <c r="BD226" s="71"/>
    </row>
    <row r="227" spans="1:56" x14ac:dyDescent="0.25">
      <c r="A227" s="24">
        <f>IF(B227="","",SUBTOTAL(3,$B$4:B227))</f>
        <v>216</v>
      </c>
      <c r="B227" s="25" t="s">
        <v>77</v>
      </c>
      <c r="C227" s="25" t="str">
        <f t="shared" si="76"/>
        <v>Shipment 2 400</v>
      </c>
      <c r="D227" s="25" t="s">
        <v>1252</v>
      </c>
      <c r="E227" s="25">
        <v>400</v>
      </c>
      <c r="F227" s="25"/>
      <c r="G227" s="65">
        <v>45990</v>
      </c>
      <c r="H227" s="25" t="s">
        <v>1257</v>
      </c>
      <c r="I227" s="25" t="s">
        <v>1254</v>
      </c>
      <c r="J227" s="26" t="s">
        <v>1301</v>
      </c>
      <c r="K227" s="27" t="s">
        <v>517</v>
      </c>
      <c r="L227" s="28" t="s">
        <v>524</v>
      </c>
      <c r="M227" s="28" t="s">
        <v>501</v>
      </c>
      <c r="N227" s="25">
        <v>1</v>
      </c>
      <c r="O227" s="29">
        <v>7.67</v>
      </c>
      <c r="P227" s="29">
        <v>7.67</v>
      </c>
      <c r="Q227" s="25" t="s">
        <v>1111</v>
      </c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78"/>
        <v>7.6700000000000008</v>
      </c>
      <c r="AF227" s="32">
        <f t="shared" si="79"/>
        <v>0</v>
      </c>
      <c r="AG227" s="30"/>
      <c r="AH227" s="33">
        <v>1</v>
      </c>
      <c r="AI227" s="34">
        <f t="shared" si="80"/>
        <v>7.67</v>
      </c>
      <c r="AJ227" s="35">
        <v>46147</v>
      </c>
      <c r="AK227" s="30">
        <v>1</v>
      </c>
      <c r="AL227" s="36">
        <f t="shared" si="81"/>
        <v>7.67</v>
      </c>
      <c r="AM227" s="35">
        <v>46147</v>
      </c>
      <c r="AN227" s="30">
        <v>1</v>
      </c>
      <c r="AO227" s="36">
        <f t="shared" si="82"/>
        <v>7.67</v>
      </c>
      <c r="AP227" s="35">
        <v>46147</v>
      </c>
      <c r="AQ227" s="30">
        <v>1</v>
      </c>
      <c r="AR227" s="36">
        <f t="shared" si="83"/>
        <v>7.67</v>
      </c>
      <c r="AS227" s="27" t="s">
        <v>1276</v>
      </c>
      <c r="AT227" s="37">
        <v>46147</v>
      </c>
      <c r="AU227" s="30">
        <v>1</v>
      </c>
      <c r="AV227" s="36">
        <f t="shared" si="84"/>
        <v>7.67</v>
      </c>
      <c r="AW227" s="35">
        <v>46150</v>
      </c>
      <c r="AX227" s="30">
        <v>1</v>
      </c>
      <c r="AY227" s="32">
        <f t="shared" si="77"/>
        <v>7.67</v>
      </c>
      <c r="AZ227" s="30" t="s">
        <v>85</v>
      </c>
      <c r="BA227" s="63" t="s">
        <v>1277</v>
      </c>
      <c r="BB227" s="72"/>
      <c r="BC227" s="71" t="s">
        <v>1339</v>
      </c>
      <c r="BD227" s="71"/>
    </row>
    <row r="228" spans="1:56" x14ac:dyDescent="0.25">
      <c r="A228" s="24">
        <f>IF(B228="","",SUBTOTAL(3,$B$4:B228))</f>
        <v>217</v>
      </c>
      <c r="B228" s="25" t="s">
        <v>77</v>
      </c>
      <c r="C228" s="25" t="str">
        <f t="shared" si="76"/>
        <v>Shipment 2 400</v>
      </c>
      <c r="D228" s="25" t="s">
        <v>1252</v>
      </c>
      <c r="E228" s="25">
        <v>400</v>
      </c>
      <c r="F228" s="25"/>
      <c r="G228" s="65">
        <v>45990</v>
      </c>
      <c r="H228" s="25" t="s">
        <v>1257</v>
      </c>
      <c r="I228" s="25" t="s">
        <v>1254</v>
      </c>
      <c r="J228" s="26" t="s">
        <v>1301</v>
      </c>
      <c r="K228" s="27" t="s">
        <v>517</v>
      </c>
      <c r="L228" s="28" t="s">
        <v>525</v>
      </c>
      <c r="M228" s="28" t="s">
        <v>501</v>
      </c>
      <c r="N228" s="25">
        <v>1</v>
      </c>
      <c r="O228" s="29">
        <v>7.67</v>
      </c>
      <c r="P228" s="29">
        <v>7.67</v>
      </c>
      <c r="Q228" s="25" t="s">
        <v>1111</v>
      </c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78"/>
        <v>7.6700000000000008</v>
      </c>
      <c r="AF228" s="32">
        <f t="shared" si="79"/>
        <v>0</v>
      </c>
      <c r="AG228" s="30"/>
      <c r="AH228" s="33">
        <v>1</v>
      </c>
      <c r="AI228" s="34">
        <f t="shared" si="80"/>
        <v>7.67</v>
      </c>
      <c r="AJ228" s="35">
        <v>46147</v>
      </c>
      <c r="AK228" s="30">
        <v>1</v>
      </c>
      <c r="AL228" s="36">
        <f t="shared" si="81"/>
        <v>7.67</v>
      </c>
      <c r="AM228" s="35">
        <v>46147</v>
      </c>
      <c r="AN228" s="30">
        <v>1</v>
      </c>
      <c r="AO228" s="36">
        <f t="shared" si="82"/>
        <v>7.67</v>
      </c>
      <c r="AP228" s="35">
        <v>46147</v>
      </c>
      <c r="AQ228" s="30">
        <v>1</v>
      </c>
      <c r="AR228" s="36">
        <f t="shared" si="83"/>
        <v>7.67</v>
      </c>
      <c r="AS228" s="27" t="s">
        <v>1276</v>
      </c>
      <c r="AT228" s="37">
        <v>46147</v>
      </c>
      <c r="AU228" s="30">
        <v>1</v>
      </c>
      <c r="AV228" s="36">
        <f t="shared" si="84"/>
        <v>7.67</v>
      </c>
      <c r="AW228" s="35">
        <v>46150</v>
      </c>
      <c r="AX228" s="30">
        <v>1</v>
      </c>
      <c r="AY228" s="32">
        <f t="shared" si="77"/>
        <v>7.67</v>
      </c>
      <c r="AZ228" s="30" t="s">
        <v>85</v>
      </c>
      <c r="BA228" s="63" t="s">
        <v>1277</v>
      </c>
      <c r="BB228" s="72"/>
      <c r="BC228" s="71" t="s">
        <v>1339</v>
      </c>
      <c r="BD228" s="71"/>
    </row>
    <row r="229" spans="1:56" x14ac:dyDescent="0.25">
      <c r="A229" s="24">
        <f>IF(B229="","",SUBTOTAL(3,$B$4:B229))</f>
        <v>218</v>
      </c>
      <c r="B229" s="25" t="s">
        <v>77</v>
      </c>
      <c r="C229" s="25" t="str">
        <f t="shared" si="76"/>
        <v>Shipment 2 400</v>
      </c>
      <c r="D229" s="25" t="s">
        <v>1252</v>
      </c>
      <c r="E229" s="25">
        <v>400</v>
      </c>
      <c r="F229" s="25"/>
      <c r="G229" s="65">
        <v>45990</v>
      </c>
      <c r="H229" s="25" t="s">
        <v>1257</v>
      </c>
      <c r="I229" s="25" t="s">
        <v>1254</v>
      </c>
      <c r="J229" s="26" t="s">
        <v>1301</v>
      </c>
      <c r="K229" s="27" t="s">
        <v>517</v>
      </c>
      <c r="L229" s="28" t="s">
        <v>526</v>
      </c>
      <c r="M229" s="28" t="s">
        <v>501</v>
      </c>
      <c r="N229" s="25">
        <v>1</v>
      </c>
      <c r="O229" s="29">
        <v>7.67</v>
      </c>
      <c r="P229" s="29">
        <v>7.67</v>
      </c>
      <c r="Q229" s="25" t="s">
        <v>1111</v>
      </c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78"/>
        <v>7.6700000000000008</v>
      </c>
      <c r="AF229" s="32">
        <f t="shared" si="79"/>
        <v>0</v>
      </c>
      <c r="AG229" s="30"/>
      <c r="AH229" s="33">
        <v>1</v>
      </c>
      <c r="AI229" s="34">
        <f t="shared" si="80"/>
        <v>7.67</v>
      </c>
      <c r="AJ229" s="35">
        <v>46147</v>
      </c>
      <c r="AK229" s="30">
        <v>1</v>
      </c>
      <c r="AL229" s="36">
        <f t="shared" si="81"/>
        <v>7.67</v>
      </c>
      <c r="AM229" s="35">
        <v>46147</v>
      </c>
      <c r="AN229" s="30">
        <v>1</v>
      </c>
      <c r="AO229" s="36">
        <f t="shared" si="82"/>
        <v>7.67</v>
      </c>
      <c r="AP229" s="35">
        <v>46147</v>
      </c>
      <c r="AQ229" s="30">
        <v>1</v>
      </c>
      <c r="AR229" s="36">
        <f t="shared" si="83"/>
        <v>7.67</v>
      </c>
      <c r="AS229" s="27" t="s">
        <v>1276</v>
      </c>
      <c r="AT229" s="37">
        <v>46147</v>
      </c>
      <c r="AU229" s="30">
        <v>1</v>
      </c>
      <c r="AV229" s="36">
        <f t="shared" si="84"/>
        <v>7.67</v>
      </c>
      <c r="AW229" s="35">
        <v>46150</v>
      </c>
      <c r="AX229" s="30">
        <v>1</v>
      </c>
      <c r="AY229" s="32">
        <f t="shared" si="77"/>
        <v>7.67</v>
      </c>
      <c r="AZ229" s="30" t="s">
        <v>85</v>
      </c>
      <c r="BA229" s="63" t="s">
        <v>1277</v>
      </c>
      <c r="BB229" s="72"/>
      <c r="BC229" s="71" t="s">
        <v>1339</v>
      </c>
      <c r="BD229" s="71"/>
    </row>
    <row r="230" spans="1:56" x14ac:dyDescent="0.25">
      <c r="A230" s="24">
        <f>IF(B230="","",SUBTOTAL(3,$B$4:B230))</f>
        <v>219</v>
      </c>
      <c r="B230" s="25" t="s">
        <v>77</v>
      </c>
      <c r="C230" s="25" t="str">
        <f t="shared" si="76"/>
        <v>Shipment 2 400</v>
      </c>
      <c r="D230" s="25" t="s">
        <v>1252</v>
      </c>
      <c r="E230" s="25">
        <v>400</v>
      </c>
      <c r="F230" s="25"/>
      <c r="G230" s="65">
        <v>45990</v>
      </c>
      <c r="H230" s="25" t="s">
        <v>1257</v>
      </c>
      <c r="I230" s="25" t="s">
        <v>1254</v>
      </c>
      <c r="J230" s="26" t="s">
        <v>1301</v>
      </c>
      <c r="K230" s="27" t="s">
        <v>517</v>
      </c>
      <c r="L230" s="28" t="s">
        <v>527</v>
      </c>
      <c r="M230" s="28" t="s">
        <v>501</v>
      </c>
      <c r="N230" s="25">
        <v>1</v>
      </c>
      <c r="O230" s="29">
        <v>7.67</v>
      </c>
      <c r="P230" s="29">
        <v>7.67</v>
      </c>
      <c r="Q230" s="25" t="s">
        <v>1111</v>
      </c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78"/>
        <v>7.6700000000000008</v>
      </c>
      <c r="AF230" s="32">
        <f t="shared" si="79"/>
        <v>0</v>
      </c>
      <c r="AG230" s="30"/>
      <c r="AH230" s="33">
        <v>1</v>
      </c>
      <c r="AI230" s="34">
        <f t="shared" si="80"/>
        <v>7.67</v>
      </c>
      <c r="AJ230" s="35">
        <v>46147</v>
      </c>
      <c r="AK230" s="30">
        <v>1</v>
      </c>
      <c r="AL230" s="36">
        <f t="shared" si="81"/>
        <v>7.67</v>
      </c>
      <c r="AM230" s="35">
        <v>46147</v>
      </c>
      <c r="AN230" s="30">
        <v>1</v>
      </c>
      <c r="AO230" s="36">
        <f t="shared" si="82"/>
        <v>7.67</v>
      </c>
      <c r="AP230" s="35">
        <v>46147</v>
      </c>
      <c r="AQ230" s="30">
        <v>1</v>
      </c>
      <c r="AR230" s="36">
        <f t="shared" si="83"/>
        <v>7.67</v>
      </c>
      <c r="AS230" s="27" t="s">
        <v>1276</v>
      </c>
      <c r="AT230" s="37">
        <v>46147</v>
      </c>
      <c r="AU230" s="30">
        <v>1</v>
      </c>
      <c r="AV230" s="36">
        <f t="shared" si="84"/>
        <v>7.67</v>
      </c>
      <c r="AW230" s="35">
        <v>46150</v>
      </c>
      <c r="AX230" s="30">
        <v>1</v>
      </c>
      <c r="AY230" s="32">
        <f t="shared" si="77"/>
        <v>7.67</v>
      </c>
      <c r="AZ230" s="30" t="s">
        <v>85</v>
      </c>
      <c r="BA230" s="63" t="s">
        <v>1277</v>
      </c>
      <c r="BB230" s="72"/>
      <c r="BC230" s="71" t="s">
        <v>1339</v>
      </c>
      <c r="BD230" s="71"/>
    </row>
    <row r="231" spans="1:56" x14ac:dyDescent="0.25">
      <c r="A231" s="24">
        <f>IF(B231="","",SUBTOTAL(3,$B$4:B231))</f>
        <v>220</v>
      </c>
      <c r="B231" s="25" t="s">
        <v>77</v>
      </c>
      <c r="C231" s="25" t="str">
        <f t="shared" si="76"/>
        <v>Shipment 2 400</v>
      </c>
      <c r="D231" s="25" t="s">
        <v>1252</v>
      </c>
      <c r="E231" s="25">
        <v>400</v>
      </c>
      <c r="F231" s="25"/>
      <c r="G231" s="65">
        <v>45990</v>
      </c>
      <c r="H231" s="25" t="s">
        <v>1257</v>
      </c>
      <c r="I231" s="25" t="s">
        <v>1254</v>
      </c>
      <c r="J231" s="26" t="s">
        <v>1301</v>
      </c>
      <c r="K231" s="27" t="s">
        <v>517</v>
      </c>
      <c r="L231" s="28" t="s">
        <v>528</v>
      </c>
      <c r="M231" s="28" t="s">
        <v>501</v>
      </c>
      <c r="N231" s="25">
        <v>1</v>
      </c>
      <c r="O231" s="29">
        <v>7.67</v>
      </c>
      <c r="P231" s="29">
        <v>7.67</v>
      </c>
      <c r="Q231" s="25" t="s">
        <v>1111</v>
      </c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78"/>
        <v>7.6700000000000008</v>
      </c>
      <c r="AF231" s="32">
        <f t="shared" si="79"/>
        <v>0</v>
      </c>
      <c r="AG231" s="30"/>
      <c r="AH231" s="33">
        <v>1</v>
      </c>
      <c r="AI231" s="34">
        <f t="shared" si="80"/>
        <v>7.67</v>
      </c>
      <c r="AJ231" s="35">
        <v>46147</v>
      </c>
      <c r="AK231" s="30">
        <v>1</v>
      </c>
      <c r="AL231" s="36">
        <f t="shared" si="81"/>
        <v>7.67</v>
      </c>
      <c r="AM231" s="35">
        <v>46147</v>
      </c>
      <c r="AN231" s="30">
        <v>1</v>
      </c>
      <c r="AO231" s="36">
        <f t="shared" si="82"/>
        <v>7.67</v>
      </c>
      <c r="AP231" s="35">
        <v>46147</v>
      </c>
      <c r="AQ231" s="30">
        <v>1</v>
      </c>
      <c r="AR231" s="36">
        <f t="shared" si="83"/>
        <v>7.67</v>
      </c>
      <c r="AS231" s="27" t="s">
        <v>1276</v>
      </c>
      <c r="AT231" s="37">
        <v>46147</v>
      </c>
      <c r="AU231" s="30">
        <v>1</v>
      </c>
      <c r="AV231" s="36">
        <f t="shared" si="84"/>
        <v>7.67</v>
      </c>
      <c r="AW231" s="35">
        <v>46150</v>
      </c>
      <c r="AX231" s="30">
        <v>1</v>
      </c>
      <c r="AY231" s="32">
        <f t="shared" si="77"/>
        <v>7.67</v>
      </c>
      <c r="AZ231" s="30" t="s">
        <v>85</v>
      </c>
      <c r="BA231" s="63" t="s">
        <v>1277</v>
      </c>
      <c r="BB231" s="72"/>
      <c r="BC231" s="71" t="s">
        <v>1339</v>
      </c>
      <c r="BD231" s="71"/>
    </row>
    <row r="232" spans="1:56" x14ac:dyDescent="0.25">
      <c r="A232" s="24">
        <f>IF(B232="","",SUBTOTAL(3,$B$4:B232))</f>
        <v>221</v>
      </c>
      <c r="B232" s="25" t="s">
        <v>77</v>
      </c>
      <c r="C232" s="25" t="str">
        <f t="shared" si="76"/>
        <v>Shipment 2 400</v>
      </c>
      <c r="D232" s="25" t="s">
        <v>1252</v>
      </c>
      <c r="E232" s="25">
        <v>400</v>
      </c>
      <c r="F232" s="25"/>
      <c r="G232" s="65">
        <v>45990</v>
      </c>
      <c r="H232" s="25" t="s">
        <v>1257</v>
      </c>
      <c r="I232" s="25" t="s">
        <v>1254</v>
      </c>
      <c r="J232" s="26" t="s">
        <v>1301</v>
      </c>
      <c r="K232" s="27" t="s">
        <v>517</v>
      </c>
      <c r="L232" s="28" t="s">
        <v>529</v>
      </c>
      <c r="M232" s="28" t="s">
        <v>501</v>
      </c>
      <c r="N232" s="25">
        <v>1</v>
      </c>
      <c r="O232" s="29">
        <v>7.67</v>
      </c>
      <c r="P232" s="29">
        <v>7.67</v>
      </c>
      <c r="Q232" s="25" t="s">
        <v>1111</v>
      </c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78"/>
        <v>7.6700000000000008</v>
      </c>
      <c r="AF232" s="32">
        <f t="shared" si="79"/>
        <v>0</v>
      </c>
      <c r="AG232" s="30"/>
      <c r="AH232" s="33">
        <v>1</v>
      </c>
      <c r="AI232" s="34">
        <f t="shared" si="80"/>
        <v>7.67</v>
      </c>
      <c r="AJ232" s="35">
        <v>46147</v>
      </c>
      <c r="AK232" s="30">
        <v>1</v>
      </c>
      <c r="AL232" s="36">
        <f t="shared" si="81"/>
        <v>7.67</v>
      </c>
      <c r="AM232" s="35">
        <v>46147</v>
      </c>
      <c r="AN232" s="30">
        <v>1</v>
      </c>
      <c r="AO232" s="36">
        <f t="shared" si="82"/>
        <v>7.67</v>
      </c>
      <c r="AP232" s="35">
        <v>46147</v>
      </c>
      <c r="AQ232" s="30">
        <v>1</v>
      </c>
      <c r="AR232" s="36">
        <f t="shared" si="83"/>
        <v>7.67</v>
      </c>
      <c r="AS232" s="27" t="s">
        <v>1276</v>
      </c>
      <c r="AT232" s="37">
        <v>46147</v>
      </c>
      <c r="AU232" s="30">
        <v>1</v>
      </c>
      <c r="AV232" s="36">
        <f t="shared" si="84"/>
        <v>7.67</v>
      </c>
      <c r="AW232" s="35">
        <v>46150</v>
      </c>
      <c r="AX232" s="30">
        <v>1</v>
      </c>
      <c r="AY232" s="32">
        <f t="shared" si="77"/>
        <v>7.67</v>
      </c>
      <c r="AZ232" s="30" t="s">
        <v>85</v>
      </c>
      <c r="BA232" s="63" t="s">
        <v>1277</v>
      </c>
      <c r="BB232" s="72"/>
      <c r="BC232" s="71" t="s">
        <v>1339</v>
      </c>
      <c r="BD232" s="71"/>
    </row>
    <row r="233" spans="1:56" x14ac:dyDescent="0.25">
      <c r="A233" s="24">
        <f>IF(B233="","",SUBTOTAL(3,$B$4:B233))</f>
        <v>222</v>
      </c>
      <c r="B233" s="25" t="s">
        <v>77</v>
      </c>
      <c r="C233" s="25" t="str">
        <f t="shared" si="76"/>
        <v>Shipment 2 400</v>
      </c>
      <c r="D233" s="25" t="s">
        <v>1252</v>
      </c>
      <c r="E233" s="25">
        <v>400</v>
      </c>
      <c r="F233" s="25"/>
      <c r="G233" s="65">
        <v>45990</v>
      </c>
      <c r="H233" s="25" t="s">
        <v>1257</v>
      </c>
      <c r="I233" s="25" t="s">
        <v>1254</v>
      </c>
      <c r="J233" s="26" t="s">
        <v>1301</v>
      </c>
      <c r="K233" s="27" t="s">
        <v>530</v>
      </c>
      <c r="L233" s="28" t="s">
        <v>531</v>
      </c>
      <c r="M233" s="28" t="s">
        <v>501</v>
      </c>
      <c r="N233" s="25">
        <v>1</v>
      </c>
      <c r="O233" s="29">
        <v>7.67</v>
      </c>
      <c r="P233" s="29">
        <v>7.67</v>
      </c>
      <c r="Q233" s="25" t="s">
        <v>1111</v>
      </c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78"/>
        <v>7.6700000000000008</v>
      </c>
      <c r="AF233" s="32">
        <f t="shared" si="79"/>
        <v>0</v>
      </c>
      <c r="AG233" s="30"/>
      <c r="AH233" s="33">
        <v>1</v>
      </c>
      <c r="AI233" s="34">
        <f t="shared" si="80"/>
        <v>7.67</v>
      </c>
      <c r="AJ233" s="35">
        <v>46147</v>
      </c>
      <c r="AK233" s="30">
        <v>1</v>
      </c>
      <c r="AL233" s="36">
        <f t="shared" si="81"/>
        <v>7.67</v>
      </c>
      <c r="AM233" s="35">
        <v>46147</v>
      </c>
      <c r="AN233" s="30">
        <v>1</v>
      </c>
      <c r="AO233" s="36">
        <f t="shared" si="82"/>
        <v>7.67</v>
      </c>
      <c r="AP233" s="35">
        <v>46147</v>
      </c>
      <c r="AQ233" s="30">
        <v>1</v>
      </c>
      <c r="AR233" s="36">
        <f t="shared" si="83"/>
        <v>7.67</v>
      </c>
      <c r="AS233" s="27" t="s">
        <v>1276</v>
      </c>
      <c r="AT233" s="37">
        <v>46147</v>
      </c>
      <c r="AU233" s="30">
        <v>1</v>
      </c>
      <c r="AV233" s="36">
        <f t="shared" si="84"/>
        <v>7.67</v>
      </c>
      <c r="AW233" s="35">
        <v>46150</v>
      </c>
      <c r="AX233" s="30">
        <v>1</v>
      </c>
      <c r="AY233" s="32">
        <f t="shared" si="77"/>
        <v>7.67</v>
      </c>
      <c r="AZ233" s="30" t="s">
        <v>85</v>
      </c>
      <c r="BA233" s="63" t="s">
        <v>1277</v>
      </c>
      <c r="BB233" s="72"/>
      <c r="BC233" s="71" t="s">
        <v>531</v>
      </c>
      <c r="BD233" s="71"/>
    </row>
    <row r="234" spans="1:56" x14ac:dyDescent="0.25">
      <c r="A234" s="24">
        <f>IF(B234="","",SUBTOTAL(3,$B$4:B234))</f>
        <v>223</v>
      </c>
      <c r="B234" s="25" t="s">
        <v>77</v>
      </c>
      <c r="C234" s="25" t="str">
        <f t="shared" si="76"/>
        <v>Shipment 2 400</v>
      </c>
      <c r="D234" s="25" t="s">
        <v>1252</v>
      </c>
      <c r="E234" s="25">
        <v>400</v>
      </c>
      <c r="F234" s="25"/>
      <c r="G234" s="65">
        <v>45990</v>
      </c>
      <c r="H234" s="25" t="s">
        <v>1257</v>
      </c>
      <c r="I234" s="25" t="s">
        <v>1254</v>
      </c>
      <c r="J234" s="26" t="s">
        <v>1301</v>
      </c>
      <c r="K234" s="27" t="s">
        <v>532</v>
      </c>
      <c r="L234" s="28" t="s">
        <v>533</v>
      </c>
      <c r="M234" s="28" t="s">
        <v>501</v>
      </c>
      <c r="N234" s="25">
        <v>1</v>
      </c>
      <c r="O234" s="29">
        <v>7.67</v>
      </c>
      <c r="P234" s="29">
        <v>7.67</v>
      </c>
      <c r="Q234" s="25" t="s">
        <v>1111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78"/>
        <v>7.6700000000000008</v>
      </c>
      <c r="AF234" s="32">
        <f t="shared" si="79"/>
        <v>0</v>
      </c>
      <c r="AG234" s="30"/>
      <c r="AH234" s="33">
        <v>1</v>
      </c>
      <c r="AI234" s="34">
        <f t="shared" si="80"/>
        <v>7.67</v>
      </c>
      <c r="AJ234" s="35">
        <v>46147</v>
      </c>
      <c r="AK234" s="30">
        <v>1</v>
      </c>
      <c r="AL234" s="36">
        <f t="shared" si="81"/>
        <v>7.67</v>
      </c>
      <c r="AM234" s="35">
        <v>46147</v>
      </c>
      <c r="AN234" s="30">
        <v>1</v>
      </c>
      <c r="AO234" s="36">
        <f t="shared" si="82"/>
        <v>7.67</v>
      </c>
      <c r="AP234" s="35">
        <v>46147</v>
      </c>
      <c r="AQ234" s="30">
        <v>1</v>
      </c>
      <c r="AR234" s="36">
        <f t="shared" si="83"/>
        <v>7.67</v>
      </c>
      <c r="AS234" s="27" t="s">
        <v>1276</v>
      </c>
      <c r="AT234" s="37">
        <v>46147</v>
      </c>
      <c r="AU234" s="30">
        <v>1</v>
      </c>
      <c r="AV234" s="36">
        <f t="shared" si="84"/>
        <v>7.67</v>
      </c>
      <c r="AW234" s="35">
        <v>46150</v>
      </c>
      <c r="AX234" s="30">
        <v>1</v>
      </c>
      <c r="AY234" s="32">
        <f t="shared" si="77"/>
        <v>7.67</v>
      </c>
      <c r="AZ234" s="30" t="s">
        <v>85</v>
      </c>
      <c r="BA234" s="63" t="s">
        <v>1277</v>
      </c>
      <c r="BB234" s="72"/>
      <c r="BC234" s="71" t="s">
        <v>533</v>
      </c>
      <c r="BD234" s="71"/>
    </row>
    <row r="235" spans="1:56" x14ac:dyDescent="0.25">
      <c r="A235" s="24">
        <f>IF(B235="","",SUBTOTAL(3,$B$4:B235))</f>
        <v>224</v>
      </c>
      <c r="B235" s="25" t="s">
        <v>77</v>
      </c>
      <c r="C235" s="25" t="str">
        <f t="shared" si="76"/>
        <v>Shipment 2 400</v>
      </c>
      <c r="D235" s="25" t="s">
        <v>1252</v>
      </c>
      <c r="E235" s="25">
        <v>400</v>
      </c>
      <c r="F235" s="25"/>
      <c r="G235" s="65">
        <v>45990</v>
      </c>
      <c r="H235" s="25" t="s">
        <v>1257</v>
      </c>
      <c r="I235" s="25" t="s">
        <v>1254</v>
      </c>
      <c r="J235" s="26" t="s">
        <v>1301</v>
      </c>
      <c r="K235" s="27" t="s">
        <v>534</v>
      </c>
      <c r="L235" s="28" t="s">
        <v>535</v>
      </c>
      <c r="M235" s="28" t="s">
        <v>501</v>
      </c>
      <c r="N235" s="25">
        <v>1</v>
      </c>
      <c r="O235" s="29">
        <v>7.68</v>
      </c>
      <c r="P235" s="29">
        <v>7.68</v>
      </c>
      <c r="Q235" s="25" t="s">
        <v>1111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78"/>
        <v>7.68</v>
      </c>
      <c r="AF235" s="32">
        <f t="shared" si="79"/>
        <v>0</v>
      </c>
      <c r="AG235" s="30"/>
      <c r="AH235" s="33">
        <v>1</v>
      </c>
      <c r="AI235" s="34">
        <f t="shared" si="80"/>
        <v>7.68</v>
      </c>
      <c r="AJ235" s="35">
        <v>46147</v>
      </c>
      <c r="AK235" s="30">
        <v>1</v>
      </c>
      <c r="AL235" s="36">
        <f t="shared" si="81"/>
        <v>7.68</v>
      </c>
      <c r="AM235" s="35">
        <v>46147</v>
      </c>
      <c r="AN235" s="30">
        <v>1</v>
      </c>
      <c r="AO235" s="36">
        <f t="shared" si="82"/>
        <v>7.68</v>
      </c>
      <c r="AP235" s="35">
        <v>46147</v>
      </c>
      <c r="AQ235" s="30">
        <v>1</v>
      </c>
      <c r="AR235" s="36">
        <f t="shared" si="83"/>
        <v>7.68</v>
      </c>
      <c r="AS235" s="27" t="s">
        <v>1276</v>
      </c>
      <c r="AT235" s="37">
        <v>46147</v>
      </c>
      <c r="AU235" s="30">
        <v>1</v>
      </c>
      <c r="AV235" s="36">
        <f t="shared" si="84"/>
        <v>7.68</v>
      </c>
      <c r="AW235" s="35">
        <v>46150</v>
      </c>
      <c r="AX235" s="30">
        <v>1</v>
      </c>
      <c r="AY235" s="32">
        <f t="shared" si="77"/>
        <v>7.68</v>
      </c>
      <c r="AZ235" s="30" t="s">
        <v>85</v>
      </c>
      <c r="BA235" s="63" t="s">
        <v>1277</v>
      </c>
      <c r="BB235" s="72"/>
      <c r="BC235" s="71" t="s">
        <v>535</v>
      </c>
      <c r="BD235" s="71"/>
    </row>
    <row r="236" spans="1:56" x14ac:dyDescent="0.25">
      <c r="A236" s="24">
        <f>IF(B236="","",SUBTOTAL(3,$B$4:B236))</f>
        <v>225</v>
      </c>
      <c r="B236" s="25" t="s">
        <v>77</v>
      </c>
      <c r="C236" s="25" t="str">
        <f t="shared" si="76"/>
        <v>Shipment 2 400</v>
      </c>
      <c r="D236" s="25" t="s">
        <v>1252</v>
      </c>
      <c r="E236" s="25">
        <v>400</v>
      </c>
      <c r="F236" s="25"/>
      <c r="G236" s="65">
        <v>45990</v>
      </c>
      <c r="H236" s="25" t="s">
        <v>1257</v>
      </c>
      <c r="I236" s="25" t="s">
        <v>1254</v>
      </c>
      <c r="J236" s="26" t="s">
        <v>1301</v>
      </c>
      <c r="K236" s="27" t="s">
        <v>536</v>
      </c>
      <c r="L236" s="28" t="s">
        <v>537</v>
      </c>
      <c r="M236" s="28" t="s">
        <v>501</v>
      </c>
      <c r="N236" s="25">
        <v>1</v>
      </c>
      <c r="O236" s="29">
        <v>7.67</v>
      </c>
      <c r="P236" s="29">
        <v>7.67</v>
      </c>
      <c r="Q236" s="25" t="s">
        <v>1111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78"/>
        <v>7.6700000000000008</v>
      </c>
      <c r="AF236" s="32">
        <f t="shared" si="79"/>
        <v>0</v>
      </c>
      <c r="AG236" s="30"/>
      <c r="AH236" s="33">
        <v>1</v>
      </c>
      <c r="AI236" s="34">
        <f t="shared" si="80"/>
        <v>7.67</v>
      </c>
      <c r="AJ236" s="35">
        <v>46147</v>
      </c>
      <c r="AK236" s="30">
        <v>1</v>
      </c>
      <c r="AL236" s="36">
        <f t="shared" si="81"/>
        <v>7.67</v>
      </c>
      <c r="AM236" s="35">
        <v>46147</v>
      </c>
      <c r="AN236" s="30">
        <v>1</v>
      </c>
      <c r="AO236" s="36">
        <f t="shared" si="82"/>
        <v>7.67</v>
      </c>
      <c r="AP236" s="35">
        <v>46147</v>
      </c>
      <c r="AQ236" s="30">
        <v>1</v>
      </c>
      <c r="AR236" s="36">
        <f t="shared" si="83"/>
        <v>7.67</v>
      </c>
      <c r="AS236" s="27" t="s">
        <v>1276</v>
      </c>
      <c r="AT236" s="37">
        <v>46147</v>
      </c>
      <c r="AU236" s="30">
        <v>1</v>
      </c>
      <c r="AV236" s="36">
        <f t="shared" si="84"/>
        <v>7.67</v>
      </c>
      <c r="AW236" s="35">
        <v>46150</v>
      </c>
      <c r="AX236" s="30">
        <v>1</v>
      </c>
      <c r="AY236" s="32">
        <f t="shared" si="77"/>
        <v>7.67</v>
      </c>
      <c r="AZ236" s="30" t="s">
        <v>85</v>
      </c>
      <c r="BA236" s="63" t="s">
        <v>1277</v>
      </c>
      <c r="BB236" s="72"/>
      <c r="BC236" s="71" t="s">
        <v>537</v>
      </c>
      <c r="BD236" s="71"/>
    </row>
    <row r="237" spans="1:56" x14ac:dyDescent="0.25">
      <c r="A237" s="24">
        <f>IF(B237="","",SUBTOTAL(3,$B$4:B237))</f>
        <v>226</v>
      </c>
      <c r="B237" s="25" t="s">
        <v>77</v>
      </c>
      <c r="C237" s="25" t="str">
        <f t="shared" si="76"/>
        <v>Shipment 2 400</v>
      </c>
      <c r="D237" s="25" t="s">
        <v>1252</v>
      </c>
      <c r="E237" s="25">
        <v>400</v>
      </c>
      <c r="F237" s="25"/>
      <c r="G237" s="65">
        <v>45990</v>
      </c>
      <c r="H237" s="25" t="s">
        <v>1257</v>
      </c>
      <c r="I237" s="25" t="s">
        <v>1254</v>
      </c>
      <c r="J237" s="26" t="s">
        <v>1301</v>
      </c>
      <c r="K237" s="27" t="s">
        <v>538</v>
      </c>
      <c r="L237" s="28" t="s">
        <v>539</v>
      </c>
      <c r="M237" s="28" t="s">
        <v>501</v>
      </c>
      <c r="N237" s="25">
        <v>1</v>
      </c>
      <c r="O237" s="29">
        <v>7.67</v>
      </c>
      <c r="P237" s="29">
        <v>7.67</v>
      </c>
      <c r="Q237" s="25" t="s">
        <v>1111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78"/>
        <v>7.6700000000000008</v>
      </c>
      <c r="AF237" s="32">
        <f t="shared" si="79"/>
        <v>0</v>
      </c>
      <c r="AG237" s="30"/>
      <c r="AH237" s="33">
        <v>1</v>
      </c>
      <c r="AI237" s="34">
        <f t="shared" si="80"/>
        <v>7.67</v>
      </c>
      <c r="AJ237" s="35">
        <v>46147</v>
      </c>
      <c r="AK237" s="30">
        <v>1</v>
      </c>
      <c r="AL237" s="36">
        <f t="shared" si="81"/>
        <v>7.67</v>
      </c>
      <c r="AM237" s="35">
        <v>46147</v>
      </c>
      <c r="AN237" s="30">
        <v>1</v>
      </c>
      <c r="AO237" s="36">
        <f t="shared" si="82"/>
        <v>7.67</v>
      </c>
      <c r="AP237" s="35">
        <v>46147</v>
      </c>
      <c r="AQ237" s="30">
        <v>1</v>
      </c>
      <c r="AR237" s="36">
        <f t="shared" si="83"/>
        <v>7.67</v>
      </c>
      <c r="AS237" s="27" t="s">
        <v>1276</v>
      </c>
      <c r="AT237" s="37">
        <v>46147</v>
      </c>
      <c r="AU237" s="30">
        <v>1</v>
      </c>
      <c r="AV237" s="36">
        <f t="shared" si="84"/>
        <v>7.67</v>
      </c>
      <c r="AW237" s="35">
        <v>46150</v>
      </c>
      <c r="AX237" s="30">
        <v>1</v>
      </c>
      <c r="AY237" s="32">
        <f t="shared" si="77"/>
        <v>7.67</v>
      </c>
      <c r="AZ237" s="30" t="s">
        <v>85</v>
      </c>
      <c r="BA237" s="63" t="s">
        <v>1277</v>
      </c>
      <c r="BB237" s="72"/>
      <c r="BC237" s="71" t="s">
        <v>1340</v>
      </c>
      <c r="BD237" s="71"/>
    </row>
    <row r="238" spans="1:56" x14ac:dyDescent="0.25">
      <c r="A238" s="24">
        <f>IF(B238="","",SUBTOTAL(3,$B$4:B238))</f>
        <v>227</v>
      </c>
      <c r="B238" s="25" t="s">
        <v>77</v>
      </c>
      <c r="C238" s="25" t="str">
        <f t="shared" si="76"/>
        <v>Shipment 2 400</v>
      </c>
      <c r="D238" s="25" t="s">
        <v>1252</v>
      </c>
      <c r="E238" s="25">
        <v>400</v>
      </c>
      <c r="F238" s="25"/>
      <c r="G238" s="65">
        <v>45990</v>
      </c>
      <c r="H238" s="25" t="s">
        <v>1257</v>
      </c>
      <c r="I238" s="25" t="s">
        <v>1254</v>
      </c>
      <c r="J238" s="26" t="s">
        <v>1301</v>
      </c>
      <c r="K238" s="27" t="s">
        <v>538</v>
      </c>
      <c r="L238" s="28" t="s">
        <v>540</v>
      </c>
      <c r="M238" s="28" t="s">
        <v>501</v>
      </c>
      <c r="N238" s="25">
        <v>1</v>
      </c>
      <c r="O238" s="29">
        <v>7.67</v>
      </c>
      <c r="P238" s="29">
        <v>7.67</v>
      </c>
      <c r="Q238" s="25" t="s">
        <v>1111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78"/>
        <v>7.6700000000000008</v>
      </c>
      <c r="AF238" s="32">
        <f t="shared" si="79"/>
        <v>0</v>
      </c>
      <c r="AG238" s="30"/>
      <c r="AH238" s="33">
        <v>1</v>
      </c>
      <c r="AI238" s="34">
        <f t="shared" si="80"/>
        <v>7.67</v>
      </c>
      <c r="AJ238" s="35">
        <v>46147</v>
      </c>
      <c r="AK238" s="30">
        <v>1</v>
      </c>
      <c r="AL238" s="36">
        <f t="shared" si="81"/>
        <v>7.67</v>
      </c>
      <c r="AM238" s="35">
        <v>46147</v>
      </c>
      <c r="AN238" s="30">
        <v>1</v>
      </c>
      <c r="AO238" s="36">
        <f t="shared" si="82"/>
        <v>7.67</v>
      </c>
      <c r="AP238" s="35">
        <v>46147</v>
      </c>
      <c r="AQ238" s="30">
        <v>1</v>
      </c>
      <c r="AR238" s="36">
        <f t="shared" si="83"/>
        <v>7.67</v>
      </c>
      <c r="AS238" s="27" t="s">
        <v>1276</v>
      </c>
      <c r="AT238" s="37">
        <v>46147</v>
      </c>
      <c r="AU238" s="30">
        <v>1</v>
      </c>
      <c r="AV238" s="36">
        <f t="shared" si="84"/>
        <v>7.67</v>
      </c>
      <c r="AW238" s="35">
        <v>46150</v>
      </c>
      <c r="AX238" s="30">
        <v>1</v>
      </c>
      <c r="AY238" s="32">
        <f t="shared" si="77"/>
        <v>7.67</v>
      </c>
      <c r="AZ238" s="30" t="s">
        <v>85</v>
      </c>
      <c r="BA238" s="63" t="s">
        <v>1277</v>
      </c>
      <c r="BB238" s="72"/>
      <c r="BC238" s="71" t="s">
        <v>1340</v>
      </c>
      <c r="BD238" s="71"/>
    </row>
    <row r="239" spans="1:56" x14ac:dyDescent="0.25">
      <c r="A239" s="24">
        <f>IF(B239="","",SUBTOTAL(3,$B$4:B239))</f>
        <v>228</v>
      </c>
      <c r="B239" s="25" t="s">
        <v>77</v>
      </c>
      <c r="C239" s="25" t="str">
        <f t="shared" si="76"/>
        <v>Shipment 2 400</v>
      </c>
      <c r="D239" s="25" t="s">
        <v>1252</v>
      </c>
      <c r="E239" s="25">
        <v>400</v>
      </c>
      <c r="F239" s="25"/>
      <c r="G239" s="65">
        <v>45990</v>
      </c>
      <c r="H239" s="25" t="s">
        <v>1257</v>
      </c>
      <c r="I239" s="25" t="s">
        <v>1254</v>
      </c>
      <c r="J239" s="26" t="s">
        <v>1301</v>
      </c>
      <c r="K239" s="27" t="s">
        <v>541</v>
      </c>
      <c r="L239" s="28" t="s">
        <v>542</v>
      </c>
      <c r="M239" s="28" t="s">
        <v>501</v>
      </c>
      <c r="N239" s="25">
        <v>1</v>
      </c>
      <c r="O239" s="29">
        <v>7.67</v>
      </c>
      <c r="P239" s="29">
        <v>7.67</v>
      </c>
      <c r="Q239" s="25" t="s">
        <v>1111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78"/>
        <v>7.6700000000000008</v>
      </c>
      <c r="AF239" s="32">
        <f t="shared" si="79"/>
        <v>0</v>
      </c>
      <c r="AG239" s="30"/>
      <c r="AH239" s="33">
        <v>1</v>
      </c>
      <c r="AI239" s="34">
        <f t="shared" si="80"/>
        <v>7.67</v>
      </c>
      <c r="AJ239" s="35">
        <v>46147</v>
      </c>
      <c r="AK239" s="30">
        <v>1</v>
      </c>
      <c r="AL239" s="36">
        <f t="shared" si="81"/>
        <v>7.67</v>
      </c>
      <c r="AM239" s="35">
        <v>46147</v>
      </c>
      <c r="AN239" s="30">
        <v>1</v>
      </c>
      <c r="AO239" s="36">
        <f t="shared" si="82"/>
        <v>7.67</v>
      </c>
      <c r="AP239" s="35">
        <v>46147</v>
      </c>
      <c r="AQ239" s="30">
        <v>1</v>
      </c>
      <c r="AR239" s="36">
        <f t="shared" si="83"/>
        <v>7.67</v>
      </c>
      <c r="AS239" s="27" t="s">
        <v>1276</v>
      </c>
      <c r="AT239" s="37">
        <v>46147</v>
      </c>
      <c r="AU239" s="30">
        <v>1</v>
      </c>
      <c r="AV239" s="36">
        <f t="shared" si="84"/>
        <v>7.67</v>
      </c>
      <c r="AW239" s="35">
        <v>46150</v>
      </c>
      <c r="AX239" s="30">
        <v>1</v>
      </c>
      <c r="AY239" s="32">
        <f t="shared" si="77"/>
        <v>7.67</v>
      </c>
      <c r="AZ239" s="30" t="s">
        <v>85</v>
      </c>
      <c r="BA239" s="63" t="s">
        <v>1277</v>
      </c>
      <c r="BB239" s="72"/>
      <c r="BC239" s="71" t="s">
        <v>542</v>
      </c>
      <c r="BD239" s="71"/>
    </row>
    <row r="240" spans="1:56" x14ac:dyDescent="0.25">
      <c r="A240" s="24">
        <f>IF(B240="","",SUBTOTAL(3,$B$4:B240))</f>
        <v>229</v>
      </c>
      <c r="B240" s="25" t="s">
        <v>77</v>
      </c>
      <c r="C240" s="25" t="str">
        <f t="shared" si="76"/>
        <v>Shipment 2 400</v>
      </c>
      <c r="D240" s="25" t="s">
        <v>1252</v>
      </c>
      <c r="E240" s="25">
        <v>400</v>
      </c>
      <c r="F240" s="25"/>
      <c r="G240" s="65">
        <v>45990</v>
      </c>
      <c r="H240" s="25" t="s">
        <v>1257</v>
      </c>
      <c r="I240" s="25" t="s">
        <v>1254</v>
      </c>
      <c r="J240" s="26" t="s">
        <v>1301</v>
      </c>
      <c r="K240" s="27" t="s">
        <v>543</v>
      </c>
      <c r="L240" s="28" t="s">
        <v>544</v>
      </c>
      <c r="M240" s="28" t="s">
        <v>501</v>
      </c>
      <c r="N240" s="25">
        <v>1</v>
      </c>
      <c r="O240" s="29">
        <v>7.67</v>
      </c>
      <c r="P240" s="29">
        <v>7.67</v>
      </c>
      <c r="Q240" s="25" t="s">
        <v>1111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78"/>
        <v>7.6700000000000008</v>
      </c>
      <c r="AF240" s="32">
        <f t="shared" si="79"/>
        <v>0</v>
      </c>
      <c r="AG240" s="30"/>
      <c r="AH240" s="33">
        <v>1</v>
      </c>
      <c r="AI240" s="34">
        <f t="shared" si="80"/>
        <v>7.67</v>
      </c>
      <c r="AJ240" s="35">
        <v>46147</v>
      </c>
      <c r="AK240" s="30">
        <v>1</v>
      </c>
      <c r="AL240" s="36">
        <f t="shared" si="81"/>
        <v>7.67</v>
      </c>
      <c r="AM240" s="35">
        <v>46147</v>
      </c>
      <c r="AN240" s="30">
        <v>1</v>
      </c>
      <c r="AO240" s="36">
        <f t="shared" si="82"/>
        <v>7.67</v>
      </c>
      <c r="AP240" s="35">
        <v>46147</v>
      </c>
      <c r="AQ240" s="30">
        <v>1</v>
      </c>
      <c r="AR240" s="36">
        <f t="shared" si="83"/>
        <v>7.67</v>
      </c>
      <c r="AS240" s="27" t="s">
        <v>1276</v>
      </c>
      <c r="AT240" s="37">
        <v>46147</v>
      </c>
      <c r="AU240" s="30">
        <v>1</v>
      </c>
      <c r="AV240" s="36">
        <f t="shared" si="84"/>
        <v>7.67</v>
      </c>
      <c r="AW240" s="35">
        <v>46150</v>
      </c>
      <c r="AX240" s="30">
        <v>1</v>
      </c>
      <c r="AY240" s="32">
        <f t="shared" si="77"/>
        <v>7.67</v>
      </c>
      <c r="AZ240" s="30" t="s">
        <v>85</v>
      </c>
      <c r="BA240" s="63" t="s">
        <v>1277</v>
      </c>
      <c r="BB240" s="72"/>
      <c r="BC240" s="71" t="s">
        <v>544</v>
      </c>
      <c r="BD240" s="71"/>
    </row>
    <row r="241" spans="1:56" x14ac:dyDescent="0.25">
      <c r="A241" s="24">
        <f>IF(B241="","",SUBTOTAL(3,$B$4:B241))</f>
        <v>230</v>
      </c>
      <c r="B241" s="25" t="s">
        <v>77</v>
      </c>
      <c r="C241" s="25" t="str">
        <f t="shared" si="76"/>
        <v>Shipment 2 400</v>
      </c>
      <c r="D241" s="25" t="s">
        <v>1252</v>
      </c>
      <c r="E241" s="25">
        <v>400</v>
      </c>
      <c r="F241" s="25"/>
      <c r="G241" s="65">
        <v>45990</v>
      </c>
      <c r="H241" s="25" t="s">
        <v>1257</v>
      </c>
      <c r="I241" s="25" t="s">
        <v>1254</v>
      </c>
      <c r="J241" s="26" t="s">
        <v>1301</v>
      </c>
      <c r="K241" s="27" t="s">
        <v>545</v>
      </c>
      <c r="L241" s="28" t="s">
        <v>546</v>
      </c>
      <c r="M241" s="28" t="s">
        <v>547</v>
      </c>
      <c r="N241" s="25">
        <v>1</v>
      </c>
      <c r="O241" s="29">
        <v>4765.33</v>
      </c>
      <c r="P241" s="29">
        <v>4765.33</v>
      </c>
      <c r="Q241" s="25" t="s">
        <v>1112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78"/>
        <v>4765.3300000000008</v>
      </c>
      <c r="AF241" s="32">
        <f t="shared" si="79"/>
        <v>0</v>
      </c>
      <c r="AG241" s="30"/>
      <c r="AH241" s="33">
        <v>1</v>
      </c>
      <c r="AI241" s="34">
        <f t="shared" si="80"/>
        <v>4765.33</v>
      </c>
      <c r="AJ241" s="35">
        <v>45986</v>
      </c>
      <c r="AK241" s="30">
        <v>1</v>
      </c>
      <c r="AL241" s="36">
        <f t="shared" si="81"/>
        <v>4765.33</v>
      </c>
      <c r="AM241" s="35">
        <v>46032</v>
      </c>
      <c r="AN241" s="30">
        <v>1</v>
      </c>
      <c r="AO241" s="36">
        <f t="shared" si="82"/>
        <v>4765.33</v>
      </c>
      <c r="AP241" s="35">
        <v>46106</v>
      </c>
      <c r="AQ241" s="30">
        <v>1</v>
      </c>
      <c r="AR241" s="36">
        <f t="shared" si="83"/>
        <v>4765.33</v>
      </c>
      <c r="AS241" s="27" t="s">
        <v>1270</v>
      </c>
      <c r="AT241" s="37">
        <v>46106</v>
      </c>
      <c r="AU241" s="30">
        <v>1</v>
      </c>
      <c r="AV241" s="36">
        <f t="shared" si="84"/>
        <v>4765.33</v>
      </c>
      <c r="AW241" s="35">
        <v>46109</v>
      </c>
      <c r="AX241" s="30">
        <v>1</v>
      </c>
      <c r="AY241" s="32">
        <f t="shared" ref="AY241:AY282" si="85">IFERROR(AX241*$P241/$N241,0)</f>
        <v>4765.33</v>
      </c>
      <c r="AZ241" s="30" t="s">
        <v>85</v>
      </c>
      <c r="BA241" s="63" t="s">
        <v>1271</v>
      </c>
      <c r="BB241" s="72"/>
      <c r="BC241" s="71" t="s">
        <v>546</v>
      </c>
      <c r="BD241" s="71"/>
    </row>
    <row r="242" spans="1:56" x14ac:dyDescent="0.25">
      <c r="A242" s="24">
        <f>IF(B242="","",SUBTOTAL(3,$B$4:B242))</f>
        <v>231</v>
      </c>
      <c r="B242" s="25" t="s">
        <v>77</v>
      </c>
      <c r="C242" s="25" t="str">
        <f t="shared" si="76"/>
        <v>Shipment 2 400</v>
      </c>
      <c r="D242" s="25" t="s">
        <v>1252</v>
      </c>
      <c r="E242" s="25">
        <v>400</v>
      </c>
      <c r="F242" s="25"/>
      <c r="G242" s="65">
        <v>45990</v>
      </c>
      <c r="H242" s="25" t="s">
        <v>1257</v>
      </c>
      <c r="I242" s="25" t="s">
        <v>1254</v>
      </c>
      <c r="J242" s="26" t="s">
        <v>1301</v>
      </c>
      <c r="K242" s="27" t="s">
        <v>548</v>
      </c>
      <c r="L242" s="28" t="s">
        <v>549</v>
      </c>
      <c r="M242" s="28" t="s">
        <v>550</v>
      </c>
      <c r="N242" s="25">
        <v>1</v>
      </c>
      <c r="O242" s="29">
        <v>3826.56</v>
      </c>
      <c r="P242" s="29">
        <v>3826.56</v>
      </c>
      <c r="Q242" s="25" t="s">
        <v>1113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78"/>
        <v>3826.56</v>
      </c>
      <c r="AF242" s="32">
        <f t="shared" si="79"/>
        <v>0</v>
      </c>
      <c r="AG242" s="30"/>
      <c r="AH242" s="33">
        <v>1</v>
      </c>
      <c r="AI242" s="34">
        <f t="shared" si="80"/>
        <v>3826.56</v>
      </c>
      <c r="AJ242" s="35">
        <v>45997</v>
      </c>
      <c r="AK242" s="30">
        <v>1</v>
      </c>
      <c r="AL242" s="36">
        <f t="shared" si="81"/>
        <v>3826.56</v>
      </c>
      <c r="AM242" s="35">
        <v>46039</v>
      </c>
      <c r="AN242" s="30">
        <v>1</v>
      </c>
      <c r="AO242" s="36">
        <f t="shared" si="82"/>
        <v>3826.56</v>
      </c>
      <c r="AP242" s="35">
        <v>46108</v>
      </c>
      <c r="AQ242" s="30">
        <v>1</v>
      </c>
      <c r="AR242" s="36">
        <f t="shared" si="83"/>
        <v>3826.56</v>
      </c>
      <c r="AS242" s="27" t="s">
        <v>1271</v>
      </c>
      <c r="AT242" s="37">
        <v>46108</v>
      </c>
      <c r="AU242" s="30">
        <v>1</v>
      </c>
      <c r="AV242" s="36">
        <f t="shared" si="84"/>
        <v>3826.56</v>
      </c>
      <c r="AW242" s="35">
        <v>46112</v>
      </c>
      <c r="AX242" s="30">
        <v>1</v>
      </c>
      <c r="AY242" s="32">
        <f t="shared" si="85"/>
        <v>3826.56</v>
      </c>
      <c r="AZ242" s="30" t="s">
        <v>85</v>
      </c>
      <c r="BA242" s="63" t="s">
        <v>1272</v>
      </c>
      <c r="BB242" s="72"/>
      <c r="BC242" s="71" t="s">
        <v>549</v>
      </c>
      <c r="BD242" s="71"/>
    </row>
    <row r="243" spans="1:56" x14ac:dyDescent="0.25">
      <c r="A243" s="24">
        <f>IF(B243="","",SUBTOTAL(3,$B$4:B243))</f>
        <v>232</v>
      </c>
      <c r="B243" s="25" t="s">
        <v>77</v>
      </c>
      <c r="C243" s="25" t="str">
        <f t="shared" si="76"/>
        <v>Shipment 2 400</v>
      </c>
      <c r="D243" s="25" t="s">
        <v>1252</v>
      </c>
      <c r="E243" s="25">
        <v>400</v>
      </c>
      <c r="F243" s="25"/>
      <c r="G243" s="65">
        <v>45990</v>
      </c>
      <c r="H243" s="25" t="s">
        <v>1257</v>
      </c>
      <c r="I243" s="25" t="s">
        <v>1254</v>
      </c>
      <c r="J243" s="26" t="s">
        <v>1301</v>
      </c>
      <c r="K243" s="27" t="s">
        <v>551</v>
      </c>
      <c r="L243" s="28" t="s">
        <v>552</v>
      </c>
      <c r="M243" s="28" t="s">
        <v>553</v>
      </c>
      <c r="N243" s="25">
        <v>1</v>
      </c>
      <c r="O243" s="29">
        <v>5263.47</v>
      </c>
      <c r="P243" s="29">
        <v>5263.47</v>
      </c>
      <c r="Q243" s="25" t="s">
        <v>1114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78"/>
        <v>5263.47</v>
      </c>
      <c r="AF243" s="32">
        <f t="shared" si="79"/>
        <v>0</v>
      </c>
      <c r="AG243" s="30"/>
      <c r="AH243" s="33">
        <v>1</v>
      </c>
      <c r="AI243" s="34">
        <f t="shared" si="80"/>
        <v>5263.47</v>
      </c>
      <c r="AJ243" s="35">
        <v>46039</v>
      </c>
      <c r="AK243" s="30">
        <v>1</v>
      </c>
      <c r="AL243" s="36">
        <f t="shared" si="81"/>
        <v>5263.47</v>
      </c>
      <c r="AM243" s="35">
        <v>46057</v>
      </c>
      <c r="AN243" s="30">
        <v>1</v>
      </c>
      <c r="AO243" s="36">
        <f t="shared" si="82"/>
        <v>5263.47</v>
      </c>
      <c r="AP243" s="35">
        <v>46115</v>
      </c>
      <c r="AQ243" s="30">
        <v>1</v>
      </c>
      <c r="AR243" s="36">
        <f t="shared" si="83"/>
        <v>5263.47</v>
      </c>
      <c r="AS243" s="27" t="s">
        <v>1273</v>
      </c>
      <c r="AT243" s="37">
        <v>46115</v>
      </c>
      <c r="AU243" s="30">
        <v>1</v>
      </c>
      <c r="AV243" s="36">
        <f t="shared" si="84"/>
        <v>5263.47</v>
      </c>
      <c r="AW243" s="35">
        <v>46119</v>
      </c>
      <c r="AX243" s="30">
        <v>1</v>
      </c>
      <c r="AY243" s="32">
        <f t="shared" si="85"/>
        <v>5263.47</v>
      </c>
      <c r="AZ243" s="30" t="s">
        <v>85</v>
      </c>
      <c r="BA243" s="63" t="s">
        <v>1274</v>
      </c>
      <c r="BB243" s="72"/>
      <c r="BC243" s="71" t="s">
        <v>552</v>
      </c>
      <c r="BD243" s="71"/>
    </row>
    <row r="244" spans="1:56" hidden="1" x14ac:dyDescent="0.25">
      <c r="A244" s="24">
        <f>IF(B244="","",SUBTOTAL(3,$B$4:B244))</f>
        <v>232</v>
      </c>
      <c r="B244" s="25" t="s">
        <v>77</v>
      </c>
      <c r="C244" s="25" t="str">
        <f t="shared" si="76"/>
        <v>Shipment 2 400</v>
      </c>
      <c r="D244" s="25" t="s">
        <v>1252</v>
      </c>
      <c r="E244" s="25">
        <v>400</v>
      </c>
      <c r="F244" s="25"/>
      <c r="G244" s="65">
        <v>45990</v>
      </c>
      <c r="H244" s="25" t="s">
        <v>1257</v>
      </c>
      <c r="I244" s="25" t="s">
        <v>1254</v>
      </c>
      <c r="J244" s="26" t="s">
        <v>1301</v>
      </c>
      <c r="K244" s="27" t="s">
        <v>554</v>
      </c>
      <c r="L244" s="28" t="s">
        <v>555</v>
      </c>
      <c r="M244" s="28" t="s">
        <v>556</v>
      </c>
      <c r="N244" s="25">
        <v>1</v>
      </c>
      <c r="O244" s="29">
        <v>0.32</v>
      </c>
      <c r="P244" s="29">
        <v>0.32</v>
      </c>
      <c r="Q244" s="25" t="s">
        <v>1115</v>
      </c>
      <c r="R244" s="25"/>
      <c r="S244" s="26" t="s">
        <v>1304</v>
      </c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78"/>
        <v>0</v>
      </c>
      <c r="AF244" s="32">
        <f t="shared" si="79"/>
        <v>0.32</v>
      </c>
      <c r="AG244" s="30"/>
      <c r="AH244" s="33">
        <v>1</v>
      </c>
      <c r="AI244" s="34">
        <f t="shared" si="80"/>
        <v>0.32</v>
      </c>
      <c r="AJ244" s="35"/>
      <c r="AK244" s="30"/>
      <c r="AL244" s="36">
        <f t="shared" si="81"/>
        <v>0</v>
      </c>
      <c r="AM244" s="35"/>
      <c r="AN244" s="30"/>
      <c r="AO244" s="36">
        <f t="shared" si="82"/>
        <v>0</v>
      </c>
      <c r="AP244" s="35"/>
      <c r="AQ244" s="30"/>
      <c r="AR244" s="36">
        <f t="shared" si="83"/>
        <v>0</v>
      </c>
      <c r="AS244" s="27"/>
      <c r="AT244" s="37"/>
      <c r="AU244" s="30"/>
      <c r="AV244" s="36">
        <f t="shared" si="84"/>
        <v>0</v>
      </c>
      <c r="AW244" s="35"/>
      <c r="AX244" s="30"/>
      <c r="AY244" s="32">
        <f t="shared" si="85"/>
        <v>0</v>
      </c>
      <c r="AZ244" s="30" t="s">
        <v>85</v>
      </c>
      <c r="BA244" s="63"/>
      <c r="BB244" s="71" t="e">
        <f>SUMIFS([1]Form!$F$9:$F$67,[1]Form!$K$9:$K$67,L244)</f>
        <v>#VALUE!</v>
      </c>
      <c r="BC244" s="71" t="s">
        <v>1341</v>
      </c>
      <c r="BD244" s="71"/>
    </row>
    <row r="245" spans="1:56" hidden="1" x14ac:dyDescent="0.25">
      <c r="A245" s="24">
        <f>IF(B245="","",SUBTOTAL(3,$B$4:B245))</f>
        <v>232</v>
      </c>
      <c r="B245" s="25" t="s">
        <v>77</v>
      </c>
      <c r="C245" s="25" t="str">
        <f t="shared" si="76"/>
        <v>Shipment 2 400</v>
      </c>
      <c r="D245" s="25" t="s">
        <v>1252</v>
      </c>
      <c r="E245" s="25">
        <v>400</v>
      </c>
      <c r="F245" s="25"/>
      <c r="G245" s="65">
        <v>45990</v>
      </c>
      <c r="H245" s="25" t="s">
        <v>1257</v>
      </c>
      <c r="I245" s="25" t="s">
        <v>1254</v>
      </c>
      <c r="J245" s="26" t="s">
        <v>1301</v>
      </c>
      <c r="K245" s="27" t="s">
        <v>554</v>
      </c>
      <c r="L245" s="28" t="s">
        <v>557</v>
      </c>
      <c r="M245" s="28" t="s">
        <v>556</v>
      </c>
      <c r="N245" s="25">
        <v>1</v>
      </c>
      <c r="O245" s="29">
        <v>0.32</v>
      </c>
      <c r="P245" s="29">
        <v>0.32</v>
      </c>
      <c r="Q245" s="25" t="s">
        <v>1115</v>
      </c>
      <c r="R245" s="25"/>
      <c r="S245" s="26" t="s">
        <v>1304</v>
      </c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78"/>
        <v>0</v>
      </c>
      <c r="AF245" s="32">
        <f t="shared" si="79"/>
        <v>0.32</v>
      </c>
      <c r="AG245" s="30"/>
      <c r="AH245" s="33">
        <v>1</v>
      </c>
      <c r="AI245" s="34">
        <f t="shared" si="80"/>
        <v>0.32</v>
      </c>
      <c r="AJ245" s="35"/>
      <c r="AK245" s="30"/>
      <c r="AL245" s="36">
        <f t="shared" si="81"/>
        <v>0</v>
      </c>
      <c r="AM245" s="35"/>
      <c r="AN245" s="30"/>
      <c r="AO245" s="36">
        <f t="shared" si="82"/>
        <v>0</v>
      </c>
      <c r="AP245" s="35"/>
      <c r="AQ245" s="30"/>
      <c r="AR245" s="36">
        <f t="shared" si="83"/>
        <v>0</v>
      </c>
      <c r="AS245" s="27"/>
      <c r="AT245" s="37"/>
      <c r="AU245" s="30"/>
      <c r="AV245" s="36">
        <f t="shared" si="84"/>
        <v>0</v>
      </c>
      <c r="AW245" s="35"/>
      <c r="AX245" s="30"/>
      <c r="AY245" s="32">
        <f t="shared" si="85"/>
        <v>0</v>
      </c>
      <c r="AZ245" s="30" t="s">
        <v>85</v>
      </c>
      <c r="BA245" s="63"/>
      <c r="BB245" s="71" t="e">
        <f>SUMIFS([1]Form!$F$9:$F$67,[1]Form!$K$9:$K$67,L245)</f>
        <v>#VALUE!</v>
      </c>
      <c r="BC245" s="71" t="s">
        <v>1341</v>
      </c>
      <c r="BD245" s="71"/>
    </row>
    <row r="246" spans="1:56" hidden="1" x14ac:dyDescent="0.25">
      <c r="A246" s="24">
        <f>IF(B246="","",SUBTOTAL(3,$B$4:B246))</f>
        <v>232</v>
      </c>
      <c r="B246" s="25" t="s">
        <v>77</v>
      </c>
      <c r="C246" s="25" t="str">
        <f t="shared" si="76"/>
        <v>Shipment 2 400</v>
      </c>
      <c r="D246" s="25" t="s">
        <v>1252</v>
      </c>
      <c r="E246" s="25">
        <v>400</v>
      </c>
      <c r="F246" s="25"/>
      <c r="G246" s="65">
        <v>45990</v>
      </c>
      <c r="H246" s="25" t="s">
        <v>1257</v>
      </c>
      <c r="I246" s="25" t="s">
        <v>1254</v>
      </c>
      <c r="J246" s="26" t="s">
        <v>1301</v>
      </c>
      <c r="K246" s="27" t="s">
        <v>554</v>
      </c>
      <c r="L246" s="28" t="s">
        <v>558</v>
      </c>
      <c r="M246" s="28" t="s">
        <v>556</v>
      </c>
      <c r="N246" s="25">
        <v>1</v>
      </c>
      <c r="O246" s="29">
        <v>0.32</v>
      </c>
      <c r="P246" s="29">
        <v>0.32</v>
      </c>
      <c r="Q246" s="25" t="s">
        <v>1115</v>
      </c>
      <c r="R246" s="25"/>
      <c r="S246" s="26" t="s">
        <v>1304</v>
      </c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78"/>
        <v>0</v>
      </c>
      <c r="AF246" s="32">
        <f t="shared" si="79"/>
        <v>0.32</v>
      </c>
      <c r="AG246" s="30"/>
      <c r="AH246" s="33">
        <v>1</v>
      </c>
      <c r="AI246" s="34">
        <f t="shared" si="80"/>
        <v>0.32</v>
      </c>
      <c r="AJ246" s="35"/>
      <c r="AK246" s="30"/>
      <c r="AL246" s="36">
        <f t="shared" si="81"/>
        <v>0</v>
      </c>
      <c r="AM246" s="35"/>
      <c r="AN246" s="30"/>
      <c r="AO246" s="36">
        <f t="shared" si="82"/>
        <v>0</v>
      </c>
      <c r="AP246" s="35"/>
      <c r="AQ246" s="30"/>
      <c r="AR246" s="36">
        <f t="shared" si="83"/>
        <v>0</v>
      </c>
      <c r="AS246" s="27"/>
      <c r="AT246" s="37"/>
      <c r="AU246" s="30"/>
      <c r="AV246" s="36">
        <f t="shared" si="84"/>
        <v>0</v>
      </c>
      <c r="AW246" s="35"/>
      <c r="AX246" s="30"/>
      <c r="AY246" s="32">
        <f t="shared" si="85"/>
        <v>0</v>
      </c>
      <c r="AZ246" s="30" t="s">
        <v>85</v>
      </c>
      <c r="BA246" s="63"/>
      <c r="BB246" s="71" t="e">
        <f>SUMIFS([1]Form!$F$9:$F$67,[1]Form!$K$9:$K$67,L246)</f>
        <v>#VALUE!</v>
      </c>
      <c r="BC246" s="71" t="s">
        <v>1341</v>
      </c>
      <c r="BD246" s="71"/>
    </row>
    <row r="247" spans="1:56" hidden="1" x14ac:dyDescent="0.25">
      <c r="A247" s="24">
        <f>IF(B247="","",SUBTOTAL(3,$B$4:B247))</f>
        <v>232</v>
      </c>
      <c r="B247" s="25" t="s">
        <v>77</v>
      </c>
      <c r="C247" s="25" t="str">
        <f t="shared" si="76"/>
        <v>Shipment 2 400</v>
      </c>
      <c r="D247" s="25" t="s">
        <v>1252</v>
      </c>
      <c r="E247" s="25">
        <v>400</v>
      </c>
      <c r="F247" s="25"/>
      <c r="G247" s="65">
        <v>45990</v>
      </c>
      <c r="H247" s="25" t="s">
        <v>1257</v>
      </c>
      <c r="I247" s="25" t="s">
        <v>1254</v>
      </c>
      <c r="J247" s="26" t="s">
        <v>1301</v>
      </c>
      <c r="K247" s="27" t="s">
        <v>554</v>
      </c>
      <c r="L247" s="28" t="s">
        <v>559</v>
      </c>
      <c r="M247" s="28" t="s">
        <v>556</v>
      </c>
      <c r="N247" s="25">
        <v>1</v>
      </c>
      <c r="O247" s="29">
        <v>0.32</v>
      </c>
      <c r="P247" s="29">
        <v>0.32</v>
      </c>
      <c r="Q247" s="25" t="s">
        <v>1115</v>
      </c>
      <c r="R247" s="25"/>
      <c r="S247" s="26" t="s">
        <v>1304</v>
      </c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78"/>
        <v>0</v>
      </c>
      <c r="AF247" s="32">
        <f t="shared" si="79"/>
        <v>0.32</v>
      </c>
      <c r="AG247" s="30"/>
      <c r="AH247" s="33">
        <v>1</v>
      </c>
      <c r="AI247" s="34">
        <f t="shared" si="80"/>
        <v>0.32</v>
      </c>
      <c r="AJ247" s="35"/>
      <c r="AK247" s="30"/>
      <c r="AL247" s="36">
        <f t="shared" si="81"/>
        <v>0</v>
      </c>
      <c r="AM247" s="35"/>
      <c r="AN247" s="30"/>
      <c r="AO247" s="36">
        <f t="shared" si="82"/>
        <v>0</v>
      </c>
      <c r="AP247" s="35"/>
      <c r="AQ247" s="30"/>
      <c r="AR247" s="36">
        <f t="shared" si="83"/>
        <v>0</v>
      </c>
      <c r="AS247" s="27"/>
      <c r="AT247" s="37"/>
      <c r="AU247" s="30"/>
      <c r="AV247" s="36">
        <f t="shared" si="84"/>
        <v>0</v>
      </c>
      <c r="AW247" s="35"/>
      <c r="AX247" s="30"/>
      <c r="AY247" s="32">
        <f t="shared" si="85"/>
        <v>0</v>
      </c>
      <c r="AZ247" s="30" t="s">
        <v>85</v>
      </c>
      <c r="BA247" s="63"/>
      <c r="BB247" s="71" t="e">
        <f>SUMIFS([1]Form!$F$9:$F$67,[1]Form!$K$9:$K$67,L247)</f>
        <v>#VALUE!</v>
      </c>
      <c r="BC247" s="71" t="s">
        <v>1341</v>
      </c>
      <c r="BD247" s="71"/>
    </row>
    <row r="248" spans="1:56" hidden="1" x14ac:dyDescent="0.25">
      <c r="A248" s="24">
        <f>IF(B248="","",SUBTOTAL(3,$B$4:B248))</f>
        <v>232</v>
      </c>
      <c r="B248" s="25" t="s">
        <v>77</v>
      </c>
      <c r="C248" s="25" t="str">
        <f t="shared" si="76"/>
        <v>Shipment 2 400</v>
      </c>
      <c r="D248" s="25" t="s">
        <v>1252</v>
      </c>
      <c r="E248" s="25">
        <v>400</v>
      </c>
      <c r="F248" s="25"/>
      <c r="G248" s="65">
        <v>45990</v>
      </c>
      <c r="H248" s="25" t="s">
        <v>1257</v>
      </c>
      <c r="I248" s="25" t="s">
        <v>1254</v>
      </c>
      <c r="J248" s="26" t="s">
        <v>1301</v>
      </c>
      <c r="K248" s="27" t="s">
        <v>554</v>
      </c>
      <c r="L248" s="28" t="s">
        <v>560</v>
      </c>
      <c r="M248" s="28" t="s">
        <v>556</v>
      </c>
      <c r="N248" s="25">
        <v>1</v>
      </c>
      <c r="O248" s="29">
        <v>0.32</v>
      </c>
      <c r="P248" s="29">
        <v>0.32</v>
      </c>
      <c r="Q248" s="25" t="s">
        <v>1115</v>
      </c>
      <c r="R248" s="25"/>
      <c r="S248" s="26" t="s">
        <v>1304</v>
      </c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78"/>
        <v>0</v>
      </c>
      <c r="AF248" s="32">
        <f t="shared" si="79"/>
        <v>0.32</v>
      </c>
      <c r="AG248" s="30"/>
      <c r="AH248" s="33">
        <v>1</v>
      </c>
      <c r="AI248" s="34">
        <f t="shared" si="80"/>
        <v>0.32</v>
      </c>
      <c r="AJ248" s="35"/>
      <c r="AK248" s="30"/>
      <c r="AL248" s="36">
        <f t="shared" si="81"/>
        <v>0</v>
      </c>
      <c r="AM248" s="35"/>
      <c r="AN248" s="30"/>
      <c r="AO248" s="36">
        <f t="shared" si="82"/>
        <v>0</v>
      </c>
      <c r="AP248" s="35"/>
      <c r="AQ248" s="30"/>
      <c r="AR248" s="36">
        <f t="shared" si="83"/>
        <v>0</v>
      </c>
      <c r="AS248" s="27"/>
      <c r="AT248" s="37"/>
      <c r="AU248" s="30"/>
      <c r="AV248" s="36">
        <f t="shared" si="84"/>
        <v>0</v>
      </c>
      <c r="AW248" s="35"/>
      <c r="AX248" s="30"/>
      <c r="AY248" s="32">
        <f t="shared" si="85"/>
        <v>0</v>
      </c>
      <c r="AZ248" s="30" t="s">
        <v>85</v>
      </c>
      <c r="BA248" s="63"/>
      <c r="BB248" s="71" t="e">
        <f>SUMIFS([1]Form!$F$9:$F$67,[1]Form!$K$9:$K$67,L248)</f>
        <v>#VALUE!</v>
      </c>
      <c r="BC248" s="71" t="s">
        <v>1341</v>
      </c>
      <c r="BD248" s="71"/>
    </row>
    <row r="249" spans="1:56" hidden="1" x14ac:dyDescent="0.25">
      <c r="A249" s="24">
        <f>IF(B249="","",SUBTOTAL(3,$B$4:B249))</f>
        <v>232</v>
      </c>
      <c r="B249" s="25" t="s">
        <v>77</v>
      </c>
      <c r="C249" s="25" t="str">
        <f t="shared" si="76"/>
        <v>Shipment 2 400</v>
      </c>
      <c r="D249" s="25" t="s">
        <v>1252</v>
      </c>
      <c r="E249" s="25">
        <v>400</v>
      </c>
      <c r="F249" s="25"/>
      <c r="G249" s="65">
        <v>45990</v>
      </c>
      <c r="H249" s="25" t="s">
        <v>1257</v>
      </c>
      <c r="I249" s="25" t="s">
        <v>1254</v>
      </c>
      <c r="J249" s="26" t="s">
        <v>1301</v>
      </c>
      <c r="K249" s="27" t="s">
        <v>554</v>
      </c>
      <c r="L249" s="28" t="s">
        <v>561</v>
      </c>
      <c r="M249" s="28" t="s">
        <v>556</v>
      </c>
      <c r="N249" s="25">
        <v>1</v>
      </c>
      <c r="O249" s="29">
        <v>0.32</v>
      </c>
      <c r="P249" s="29">
        <v>0.32</v>
      </c>
      <c r="Q249" s="25" t="s">
        <v>1115</v>
      </c>
      <c r="R249" s="25"/>
      <c r="S249" s="26" t="s">
        <v>1304</v>
      </c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78"/>
        <v>0</v>
      </c>
      <c r="AF249" s="32">
        <f t="shared" si="79"/>
        <v>0.32</v>
      </c>
      <c r="AG249" s="30"/>
      <c r="AH249" s="33">
        <v>1</v>
      </c>
      <c r="AI249" s="34">
        <f t="shared" si="80"/>
        <v>0.32</v>
      </c>
      <c r="AJ249" s="35"/>
      <c r="AK249" s="30"/>
      <c r="AL249" s="36">
        <f t="shared" si="81"/>
        <v>0</v>
      </c>
      <c r="AM249" s="35"/>
      <c r="AN249" s="30"/>
      <c r="AO249" s="36">
        <f t="shared" si="82"/>
        <v>0</v>
      </c>
      <c r="AP249" s="35"/>
      <c r="AQ249" s="30"/>
      <c r="AR249" s="36">
        <f t="shared" si="83"/>
        <v>0</v>
      </c>
      <c r="AS249" s="27"/>
      <c r="AT249" s="37"/>
      <c r="AU249" s="30"/>
      <c r="AV249" s="36">
        <f t="shared" si="84"/>
        <v>0</v>
      </c>
      <c r="AW249" s="35"/>
      <c r="AX249" s="30"/>
      <c r="AY249" s="32">
        <f t="shared" si="85"/>
        <v>0</v>
      </c>
      <c r="AZ249" s="30" t="s">
        <v>85</v>
      </c>
      <c r="BA249" s="63"/>
      <c r="BB249" s="71" t="e">
        <f>SUMIFS([1]Form!$F$9:$F$67,[1]Form!$K$9:$K$67,L249)</f>
        <v>#VALUE!</v>
      </c>
      <c r="BC249" s="71" t="s">
        <v>1341</v>
      </c>
      <c r="BD249" s="71"/>
    </row>
    <row r="250" spans="1:56" x14ac:dyDescent="0.25">
      <c r="A250" s="24">
        <f>IF(B250="","",SUBTOTAL(3,$B$4:B250))</f>
        <v>233</v>
      </c>
      <c r="B250" s="25" t="s">
        <v>77</v>
      </c>
      <c r="C250" s="25" t="str">
        <f t="shared" si="76"/>
        <v>Shipment 2 400</v>
      </c>
      <c r="D250" s="25" t="s">
        <v>1252</v>
      </c>
      <c r="E250" s="25">
        <v>400</v>
      </c>
      <c r="F250" s="25"/>
      <c r="G250" s="65">
        <v>45990</v>
      </c>
      <c r="H250" s="25" t="s">
        <v>1257</v>
      </c>
      <c r="I250" s="25" t="s">
        <v>1254</v>
      </c>
      <c r="J250" s="26" t="s">
        <v>1301</v>
      </c>
      <c r="K250" s="27" t="s">
        <v>562</v>
      </c>
      <c r="L250" s="28" t="s">
        <v>563</v>
      </c>
      <c r="M250" s="28" t="s">
        <v>556</v>
      </c>
      <c r="N250" s="25">
        <v>1</v>
      </c>
      <c r="O250" s="29">
        <v>286.93</v>
      </c>
      <c r="P250" s="29">
        <v>286.93</v>
      </c>
      <c r="Q250" s="25" t="s">
        <v>1116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78"/>
        <v>286.93</v>
      </c>
      <c r="AF250" s="32">
        <f t="shared" si="79"/>
        <v>0</v>
      </c>
      <c r="AG250" s="30"/>
      <c r="AH250" s="33">
        <v>1</v>
      </c>
      <c r="AI250" s="34">
        <f t="shared" si="80"/>
        <v>286.93</v>
      </c>
      <c r="AJ250" s="35">
        <v>45987</v>
      </c>
      <c r="AK250" s="30">
        <v>1</v>
      </c>
      <c r="AL250" s="36">
        <f t="shared" si="81"/>
        <v>286.93</v>
      </c>
      <c r="AM250" s="35">
        <v>46003</v>
      </c>
      <c r="AN250" s="30">
        <v>1</v>
      </c>
      <c r="AO250" s="36">
        <f t="shared" si="82"/>
        <v>286.93</v>
      </c>
      <c r="AP250" s="35">
        <v>46155</v>
      </c>
      <c r="AQ250" s="30">
        <v>1</v>
      </c>
      <c r="AR250" s="36">
        <f t="shared" si="83"/>
        <v>286.93</v>
      </c>
      <c r="AS250" s="27" t="s">
        <v>1277</v>
      </c>
      <c r="AT250" s="37">
        <v>46155</v>
      </c>
      <c r="AU250" s="30">
        <v>1</v>
      </c>
      <c r="AV250" s="36">
        <f t="shared" si="84"/>
        <v>286.93</v>
      </c>
      <c r="AW250" s="35">
        <v>46157</v>
      </c>
      <c r="AX250" s="30">
        <v>1</v>
      </c>
      <c r="AY250" s="32">
        <f t="shared" si="85"/>
        <v>286.93</v>
      </c>
      <c r="AZ250" s="30" t="s">
        <v>85</v>
      </c>
      <c r="BA250" s="63" t="s">
        <v>1278</v>
      </c>
      <c r="BB250" s="72"/>
      <c r="BC250" s="71" t="s">
        <v>563</v>
      </c>
      <c r="BD250" s="71"/>
    </row>
    <row r="251" spans="1:56" x14ac:dyDescent="0.25">
      <c r="A251" s="24">
        <f>IF(B251="","",SUBTOTAL(3,$B$4:B251))</f>
        <v>234</v>
      </c>
      <c r="B251" s="25" t="s">
        <v>77</v>
      </c>
      <c r="C251" s="25" t="str">
        <f t="shared" si="76"/>
        <v>Shipment 2 400</v>
      </c>
      <c r="D251" s="25" t="s">
        <v>1252</v>
      </c>
      <c r="E251" s="25">
        <v>400</v>
      </c>
      <c r="F251" s="25"/>
      <c r="G251" s="65">
        <v>45990</v>
      </c>
      <c r="H251" s="25" t="s">
        <v>1257</v>
      </c>
      <c r="I251" s="25" t="s">
        <v>1254</v>
      </c>
      <c r="J251" s="26" t="s">
        <v>1301</v>
      </c>
      <c r="K251" s="27" t="s">
        <v>564</v>
      </c>
      <c r="L251" s="28" t="s">
        <v>565</v>
      </c>
      <c r="M251" s="28" t="s">
        <v>556</v>
      </c>
      <c r="N251" s="25">
        <v>1</v>
      </c>
      <c r="O251" s="29">
        <v>286.93</v>
      </c>
      <c r="P251" s="29">
        <v>286.93</v>
      </c>
      <c r="Q251" s="25" t="s">
        <v>1116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78"/>
        <v>286.93</v>
      </c>
      <c r="AF251" s="32">
        <f t="shared" si="79"/>
        <v>0</v>
      </c>
      <c r="AG251" s="30"/>
      <c r="AH251" s="33">
        <v>1</v>
      </c>
      <c r="AI251" s="34">
        <f t="shared" si="80"/>
        <v>286.93</v>
      </c>
      <c r="AJ251" s="35">
        <v>45996</v>
      </c>
      <c r="AK251" s="30">
        <v>1</v>
      </c>
      <c r="AL251" s="36">
        <f t="shared" si="81"/>
        <v>286.93</v>
      </c>
      <c r="AM251" s="35">
        <v>46003</v>
      </c>
      <c r="AN251" s="30">
        <v>1</v>
      </c>
      <c r="AO251" s="36">
        <f t="shared" si="82"/>
        <v>286.93</v>
      </c>
      <c r="AP251" s="35">
        <v>46155</v>
      </c>
      <c r="AQ251" s="30">
        <v>1</v>
      </c>
      <c r="AR251" s="36">
        <f t="shared" si="83"/>
        <v>286.93</v>
      </c>
      <c r="AS251" s="27" t="s">
        <v>1277</v>
      </c>
      <c r="AT251" s="37">
        <v>46155</v>
      </c>
      <c r="AU251" s="30">
        <v>1</v>
      </c>
      <c r="AV251" s="36">
        <f t="shared" si="84"/>
        <v>286.93</v>
      </c>
      <c r="AW251" s="35">
        <v>46157</v>
      </c>
      <c r="AX251" s="30">
        <v>1</v>
      </c>
      <c r="AY251" s="32">
        <f t="shared" ref="AY251:AY255" si="86">IFERROR(AX251*$P251/$N251,0)</f>
        <v>286.93</v>
      </c>
      <c r="AZ251" s="30" t="s">
        <v>85</v>
      </c>
      <c r="BA251" s="63" t="s">
        <v>1278</v>
      </c>
      <c r="BB251" s="72"/>
      <c r="BC251" s="71" t="s">
        <v>565</v>
      </c>
      <c r="BD251" s="71"/>
    </row>
    <row r="252" spans="1:56" x14ac:dyDescent="0.25">
      <c r="A252" s="24">
        <f>IF(B252="","",SUBTOTAL(3,$B$4:B252))</f>
        <v>235</v>
      </c>
      <c r="B252" s="25" t="s">
        <v>77</v>
      </c>
      <c r="C252" s="25" t="str">
        <f t="shared" si="76"/>
        <v>Shipment 2 400</v>
      </c>
      <c r="D252" s="25" t="s">
        <v>1252</v>
      </c>
      <c r="E252" s="25">
        <v>400</v>
      </c>
      <c r="F252" s="25"/>
      <c r="G252" s="65">
        <v>45990</v>
      </c>
      <c r="H252" s="25" t="s">
        <v>1257</v>
      </c>
      <c r="I252" s="25" t="s">
        <v>1254</v>
      </c>
      <c r="J252" s="26" t="s">
        <v>1301</v>
      </c>
      <c r="K252" s="27" t="s">
        <v>566</v>
      </c>
      <c r="L252" s="28" t="s">
        <v>567</v>
      </c>
      <c r="M252" s="28" t="s">
        <v>556</v>
      </c>
      <c r="N252" s="25">
        <v>1</v>
      </c>
      <c r="O252" s="29">
        <v>247.42</v>
      </c>
      <c r="P252" s="29">
        <v>247.42</v>
      </c>
      <c r="Q252" s="25" t="s">
        <v>1117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78"/>
        <v>247.42</v>
      </c>
      <c r="AF252" s="32">
        <f t="shared" si="79"/>
        <v>0</v>
      </c>
      <c r="AG252" s="30"/>
      <c r="AH252" s="33">
        <v>1</v>
      </c>
      <c r="AI252" s="34">
        <f t="shared" si="80"/>
        <v>247.42</v>
      </c>
      <c r="AJ252" s="35">
        <v>45996</v>
      </c>
      <c r="AK252" s="30">
        <v>1</v>
      </c>
      <c r="AL252" s="36">
        <f t="shared" si="81"/>
        <v>247.42</v>
      </c>
      <c r="AM252" s="35">
        <v>46003</v>
      </c>
      <c r="AN252" s="30">
        <v>1</v>
      </c>
      <c r="AO252" s="36">
        <f t="shared" si="82"/>
        <v>247.42</v>
      </c>
      <c r="AP252" s="35">
        <v>46155</v>
      </c>
      <c r="AQ252" s="30">
        <v>1</v>
      </c>
      <c r="AR252" s="36">
        <f t="shared" si="83"/>
        <v>247.42</v>
      </c>
      <c r="AS252" s="27" t="s">
        <v>1277</v>
      </c>
      <c r="AT252" s="37">
        <v>46155</v>
      </c>
      <c r="AU252" s="30">
        <v>1</v>
      </c>
      <c r="AV252" s="36">
        <f t="shared" si="84"/>
        <v>247.42</v>
      </c>
      <c r="AW252" s="35">
        <v>46157</v>
      </c>
      <c r="AX252" s="30">
        <v>1</v>
      </c>
      <c r="AY252" s="32">
        <f t="shared" si="86"/>
        <v>247.42</v>
      </c>
      <c r="AZ252" s="30" t="s">
        <v>85</v>
      </c>
      <c r="BA252" s="63" t="s">
        <v>1278</v>
      </c>
      <c r="BB252" s="72"/>
      <c r="BC252" s="71" t="s">
        <v>567</v>
      </c>
      <c r="BD252" s="71"/>
    </row>
    <row r="253" spans="1:56" x14ac:dyDescent="0.25">
      <c r="A253" s="24">
        <f>IF(B253="","",SUBTOTAL(3,$B$4:B253))</f>
        <v>236</v>
      </c>
      <c r="B253" s="25" t="s">
        <v>77</v>
      </c>
      <c r="C253" s="25" t="str">
        <f t="shared" si="76"/>
        <v>Shipment 2 400</v>
      </c>
      <c r="D253" s="25" t="s">
        <v>1252</v>
      </c>
      <c r="E253" s="25">
        <v>400</v>
      </c>
      <c r="F253" s="25"/>
      <c r="G253" s="65">
        <v>45990</v>
      </c>
      <c r="H253" s="25" t="s">
        <v>1257</v>
      </c>
      <c r="I253" s="25" t="s">
        <v>1254</v>
      </c>
      <c r="J253" s="26" t="s">
        <v>1301</v>
      </c>
      <c r="K253" s="27" t="s">
        <v>568</v>
      </c>
      <c r="L253" s="28" t="s">
        <v>569</v>
      </c>
      <c r="M253" s="28" t="s">
        <v>556</v>
      </c>
      <c r="N253" s="25">
        <v>1</v>
      </c>
      <c r="O253" s="29">
        <v>247.31</v>
      </c>
      <c r="P253" s="29">
        <v>247.31</v>
      </c>
      <c r="Q253" s="25" t="s">
        <v>1117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78"/>
        <v>247.31</v>
      </c>
      <c r="AF253" s="32">
        <f t="shared" si="79"/>
        <v>0</v>
      </c>
      <c r="AG253" s="30"/>
      <c r="AH253" s="33">
        <v>1</v>
      </c>
      <c r="AI253" s="34">
        <f t="shared" si="80"/>
        <v>247.31</v>
      </c>
      <c r="AJ253" s="35">
        <v>45996</v>
      </c>
      <c r="AK253" s="30">
        <v>1</v>
      </c>
      <c r="AL253" s="36">
        <f t="shared" si="81"/>
        <v>247.31</v>
      </c>
      <c r="AM253" s="35">
        <v>46058</v>
      </c>
      <c r="AN253" s="30">
        <v>1</v>
      </c>
      <c r="AO253" s="36">
        <f t="shared" si="82"/>
        <v>247.31</v>
      </c>
      <c r="AP253" s="35">
        <v>46155</v>
      </c>
      <c r="AQ253" s="30">
        <v>1</v>
      </c>
      <c r="AR253" s="36">
        <f t="shared" si="83"/>
        <v>247.31</v>
      </c>
      <c r="AS253" s="27" t="s">
        <v>1277</v>
      </c>
      <c r="AT253" s="37">
        <v>46155</v>
      </c>
      <c r="AU253" s="30">
        <v>1</v>
      </c>
      <c r="AV253" s="36">
        <f t="shared" si="84"/>
        <v>247.31</v>
      </c>
      <c r="AW253" s="35">
        <v>46157</v>
      </c>
      <c r="AX253" s="30">
        <v>1</v>
      </c>
      <c r="AY253" s="32">
        <f t="shared" si="86"/>
        <v>247.31</v>
      </c>
      <c r="AZ253" s="30" t="s">
        <v>85</v>
      </c>
      <c r="BA253" s="63" t="s">
        <v>1278</v>
      </c>
      <c r="BB253" s="72"/>
      <c r="BC253" s="71" t="s">
        <v>569</v>
      </c>
      <c r="BD253" s="71"/>
    </row>
    <row r="254" spans="1:56" x14ac:dyDescent="0.25">
      <c r="A254" s="24">
        <f>IF(B254="","",SUBTOTAL(3,$B$4:B254))</f>
        <v>237</v>
      </c>
      <c r="B254" s="25" t="s">
        <v>77</v>
      </c>
      <c r="C254" s="25" t="str">
        <f t="shared" si="76"/>
        <v>Shipment 2 400</v>
      </c>
      <c r="D254" s="25" t="s">
        <v>1252</v>
      </c>
      <c r="E254" s="25">
        <v>400</v>
      </c>
      <c r="F254" s="25"/>
      <c r="G254" s="65">
        <v>45990</v>
      </c>
      <c r="H254" s="25" t="s">
        <v>1257</v>
      </c>
      <c r="I254" s="25" t="s">
        <v>1254</v>
      </c>
      <c r="J254" s="26" t="s">
        <v>1301</v>
      </c>
      <c r="K254" s="27" t="s">
        <v>570</v>
      </c>
      <c r="L254" s="28" t="s">
        <v>571</v>
      </c>
      <c r="M254" s="28" t="s">
        <v>556</v>
      </c>
      <c r="N254" s="25">
        <v>1</v>
      </c>
      <c r="O254" s="29">
        <v>258.68</v>
      </c>
      <c r="P254" s="29">
        <v>258.68</v>
      </c>
      <c r="Q254" s="25" t="s">
        <v>1118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78"/>
        <v>258.68</v>
      </c>
      <c r="AF254" s="32">
        <f t="shared" si="79"/>
        <v>0</v>
      </c>
      <c r="AG254" s="30"/>
      <c r="AH254" s="33">
        <v>1</v>
      </c>
      <c r="AI254" s="34">
        <f t="shared" si="80"/>
        <v>258.68</v>
      </c>
      <c r="AJ254" s="35">
        <v>46004</v>
      </c>
      <c r="AK254" s="30">
        <v>1</v>
      </c>
      <c r="AL254" s="36">
        <f t="shared" si="81"/>
        <v>258.68</v>
      </c>
      <c r="AM254" s="35">
        <v>46058</v>
      </c>
      <c r="AN254" s="30">
        <v>1</v>
      </c>
      <c r="AO254" s="36">
        <f t="shared" si="82"/>
        <v>258.68</v>
      </c>
      <c r="AP254" s="35">
        <v>46155</v>
      </c>
      <c r="AQ254" s="30">
        <v>1</v>
      </c>
      <c r="AR254" s="36">
        <f t="shared" si="83"/>
        <v>258.68</v>
      </c>
      <c r="AS254" s="27" t="s">
        <v>1277</v>
      </c>
      <c r="AT254" s="37">
        <v>46155</v>
      </c>
      <c r="AU254" s="30">
        <v>1</v>
      </c>
      <c r="AV254" s="36">
        <f t="shared" si="84"/>
        <v>258.68</v>
      </c>
      <c r="AW254" s="35">
        <v>46157</v>
      </c>
      <c r="AX254" s="30">
        <v>1</v>
      </c>
      <c r="AY254" s="32">
        <f t="shared" si="86"/>
        <v>258.68</v>
      </c>
      <c r="AZ254" s="30" t="s">
        <v>85</v>
      </c>
      <c r="BA254" s="63" t="s">
        <v>1278</v>
      </c>
      <c r="BB254" s="72"/>
      <c r="BC254" s="71" t="s">
        <v>571</v>
      </c>
      <c r="BD254" s="71"/>
    </row>
    <row r="255" spans="1:56" x14ac:dyDescent="0.25">
      <c r="A255" s="24">
        <f>IF(B255="","",SUBTOTAL(3,$B$4:B255))</f>
        <v>238</v>
      </c>
      <c r="B255" s="25" t="s">
        <v>77</v>
      </c>
      <c r="C255" s="25" t="str">
        <f t="shared" si="76"/>
        <v>Shipment 2 400</v>
      </c>
      <c r="D255" s="25" t="s">
        <v>1252</v>
      </c>
      <c r="E255" s="25">
        <v>400</v>
      </c>
      <c r="F255" s="25"/>
      <c r="G255" s="65">
        <v>45990</v>
      </c>
      <c r="H255" s="25" t="s">
        <v>1257</v>
      </c>
      <c r="I255" s="25" t="s">
        <v>1254</v>
      </c>
      <c r="J255" s="26" t="s">
        <v>1301</v>
      </c>
      <c r="K255" s="27" t="s">
        <v>572</v>
      </c>
      <c r="L255" s="28" t="s">
        <v>573</v>
      </c>
      <c r="M255" s="28" t="s">
        <v>556</v>
      </c>
      <c r="N255" s="25">
        <v>1</v>
      </c>
      <c r="O255" s="29">
        <v>258.54000000000002</v>
      </c>
      <c r="P255" s="29">
        <v>258.54000000000002</v>
      </c>
      <c r="Q255" s="25" t="s">
        <v>1118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78"/>
        <v>258.54000000000002</v>
      </c>
      <c r="AF255" s="32">
        <f t="shared" si="79"/>
        <v>0</v>
      </c>
      <c r="AG255" s="30"/>
      <c r="AH255" s="33">
        <v>1</v>
      </c>
      <c r="AI255" s="34">
        <f t="shared" si="80"/>
        <v>258.54000000000002</v>
      </c>
      <c r="AJ255" s="35">
        <v>46004</v>
      </c>
      <c r="AK255" s="30">
        <v>1</v>
      </c>
      <c r="AL255" s="36">
        <f t="shared" si="81"/>
        <v>258.54000000000002</v>
      </c>
      <c r="AM255" s="35">
        <v>46058</v>
      </c>
      <c r="AN255" s="30">
        <v>1</v>
      </c>
      <c r="AO255" s="36">
        <f t="shared" si="82"/>
        <v>258.54000000000002</v>
      </c>
      <c r="AP255" s="35">
        <v>46155</v>
      </c>
      <c r="AQ255" s="30">
        <v>1</v>
      </c>
      <c r="AR255" s="36">
        <f t="shared" si="83"/>
        <v>258.54000000000002</v>
      </c>
      <c r="AS255" s="27" t="s">
        <v>1277</v>
      </c>
      <c r="AT255" s="37">
        <v>46155</v>
      </c>
      <c r="AU255" s="30">
        <v>1</v>
      </c>
      <c r="AV255" s="36">
        <f t="shared" si="84"/>
        <v>258.54000000000002</v>
      </c>
      <c r="AW255" s="35">
        <v>46157</v>
      </c>
      <c r="AX255" s="30">
        <v>1</v>
      </c>
      <c r="AY255" s="32">
        <f t="shared" si="86"/>
        <v>258.54000000000002</v>
      </c>
      <c r="AZ255" s="30" t="s">
        <v>85</v>
      </c>
      <c r="BA255" s="63" t="s">
        <v>1278</v>
      </c>
      <c r="BB255" s="72"/>
      <c r="BC255" s="71" t="s">
        <v>573</v>
      </c>
      <c r="BD255" s="71"/>
    </row>
    <row r="256" spans="1:56" x14ac:dyDescent="0.25">
      <c r="A256" s="24">
        <f>IF(B256="","",SUBTOTAL(3,$B$4:B256))</f>
        <v>239</v>
      </c>
      <c r="B256" s="25" t="s">
        <v>77</v>
      </c>
      <c r="C256" s="25" t="str">
        <f t="shared" si="76"/>
        <v>Shipment 2 400</v>
      </c>
      <c r="D256" s="25" t="s">
        <v>1252</v>
      </c>
      <c r="E256" s="25">
        <v>400</v>
      </c>
      <c r="F256" s="25"/>
      <c r="G256" s="65">
        <v>45990</v>
      </c>
      <c r="H256" s="25" t="s">
        <v>1257</v>
      </c>
      <c r="I256" s="25" t="s">
        <v>1254</v>
      </c>
      <c r="J256" s="26" t="s">
        <v>1301</v>
      </c>
      <c r="K256" s="27" t="s">
        <v>574</v>
      </c>
      <c r="L256" s="28" t="s">
        <v>575</v>
      </c>
      <c r="M256" s="28" t="s">
        <v>556</v>
      </c>
      <c r="N256" s="25">
        <v>1</v>
      </c>
      <c r="O256" s="29">
        <v>49.71</v>
      </c>
      <c r="P256" s="29">
        <v>49.71</v>
      </c>
      <c r="Q256" s="25" t="s">
        <v>1119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78"/>
        <v>49.710000000000008</v>
      </c>
      <c r="AF256" s="32">
        <f t="shared" si="79"/>
        <v>0</v>
      </c>
      <c r="AG256" s="30"/>
      <c r="AH256" s="33">
        <v>1</v>
      </c>
      <c r="AI256" s="34">
        <f t="shared" si="80"/>
        <v>49.71</v>
      </c>
      <c r="AJ256" s="35">
        <v>46028</v>
      </c>
      <c r="AK256" s="30">
        <v>1</v>
      </c>
      <c r="AL256" s="36">
        <f t="shared" si="81"/>
        <v>49.71</v>
      </c>
      <c r="AM256" s="35">
        <v>46058</v>
      </c>
      <c r="AN256" s="30">
        <v>1</v>
      </c>
      <c r="AO256" s="36">
        <f t="shared" si="82"/>
        <v>49.71</v>
      </c>
      <c r="AP256" s="35">
        <v>46162</v>
      </c>
      <c r="AQ256" s="30">
        <v>1</v>
      </c>
      <c r="AR256" s="36">
        <f t="shared" si="83"/>
        <v>49.71</v>
      </c>
      <c r="AS256" s="27" t="s">
        <v>1278</v>
      </c>
      <c r="AT256" s="37">
        <v>46181</v>
      </c>
      <c r="AU256" s="30">
        <v>1</v>
      </c>
      <c r="AV256" s="36">
        <f t="shared" si="84"/>
        <v>49.71</v>
      </c>
      <c r="AW256" s="35">
        <v>46184</v>
      </c>
      <c r="AX256" s="30">
        <v>1</v>
      </c>
      <c r="AY256" s="32">
        <f t="shared" si="85"/>
        <v>49.71</v>
      </c>
      <c r="AZ256" s="30" t="s">
        <v>85</v>
      </c>
      <c r="BA256" s="63" t="s">
        <v>1285</v>
      </c>
      <c r="BB256" s="72"/>
      <c r="BC256" s="71" t="s">
        <v>575</v>
      </c>
      <c r="BD256" s="71"/>
    </row>
    <row r="257" spans="1:56" x14ac:dyDescent="0.25">
      <c r="A257" s="24">
        <f>IF(B257="","",SUBTOTAL(3,$B$4:B257))</f>
        <v>240</v>
      </c>
      <c r="B257" s="25" t="s">
        <v>77</v>
      </c>
      <c r="C257" s="25" t="str">
        <f t="shared" si="76"/>
        <v>Shipment 2 400</v>
      </c>
      <c r="D257" s="25" t="s">
        <v>1252</v>
      </c>
      <c r="E257" s="25">
        <v>400</v>
      </c>
      <c r="F257" s="25"/>
      <c r="G257" s="65">
        <v>45990</v>
      </c>
      <c r="H257" s="25" t="s">
        <v>1257</v>
      </c>
      <c r="I257" s="25" t="s">
        <v>1254</v>
      </c>
      <c r="J257" s="26" t="s">
        <v>1301</v>
      </c>
      <c r="K257" s="27" t="s">
        <v>576</v>
      </c>
      <c r="L257" s="28" t="s">
        <v>577</v>
      </c>
      <c r="M257" s="28" t="s">
        <v>556</v>
      </c>
      <c r="N257" s="25">
        <v>1</v>
      </c>
      <c r="O257" s="29">
        <v>49.71</v>
      </c>
      <c r="P257" s="29">
        <v>49.71</v>
      </c>
      <c r="Q257" s="25" t="s">
        <v>1119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78"/>
        <v>49.710000000000008</v>
      </c>
      <c r="AF257" s="32">
        <f t="shared" si="79"/>
        <v>0</v>
      </c>
      <c r="AG257" s="30"/>
      <c r="AH257" s="33">
        <v>1</v>
      </c>
      <c r="AI257" s="34">
        <f t="shared" si="80"/>
        <v>49.71</v>
      </c>
      <c r="AJ257" s="35">
        <v>46028</v>
      </c>
      <c r="AK257" s="30">
        <v>1</v>
      </c>
      <c r="AL257" s="36">
        <f t="shared" si="81"/>
        <v>49.71</v>
      </c>
      <c r="AM257" s="35">
        <v>46058</v>
      </c>
      <c r="AN257" s="30">
        <v>1</v>
      </c>
      <c r="AO257" s="36">
        <f t="shared" si="82"/>
        <v>49.71</v>
      </c>
      <c r="AP257" s="35">
        <v>46162</v>
      </c>
      <c r="AQ257" s="30">
        <v>1</v>
      </c>
      <c r="AR257" s="36">
        <f t="shared" si="83"/>
        <v>49.71</v>
      </c>
      <c r="AS257" s="27" t="s">
        <v>1278</v>
      </c>
      <c r="AT257" s="37">
        <v>46181</v>
      </c>
      <c r="AU257" s="30">
        <v>1</v>
      </c>
      <c r="AV257" s="36">
        <f t="shared" si="84"/>
        <v>49.71</v>
      </c>
      <c r="AW257" s="35">
        <v>46184</v>
      </c>
      <c r="AX257" s="30">
        <v>1</v>
      </c>
      <c r="AY257" s="32">
        <f t="shared" ref="AY257" si="87">IFERROR(AX257*$P257/$N257,0)</f>
        <v>49.71</v>
      </c>
      <c r="AZ257" s="30" t="s">
        <v>85</v>
      </c>
      <c r="BA257" s="63" t="s">
        <v>1285</v>
      </c>
      <c r="BB257" s="72"/>
      <c r="BC257" s="71" t="s">
        <v>577</v>
      </c>
      <c r="BD257" s="71"/>
    </row>
    <row r="258" spans="1:56" x14ac:dyDescent="0.25">
      <c r="A258" s="24">
        <f>IF(B258="","",SUBTOTAL(3,$B$4:B258))</f>
        <v>241</v>
      </c>
      <c r="B258" s="25" t="s">
        <v>77</v>
      </c>
      <c r="C258" s="25" t="str">
        <f t="shared" si="76"/>
        <v>Shipment 2 400</v>
      </c>
      <c r="D258" s="25" t="s">
        <v>1252</v>
      </c>
      <c r="E258" s="25">
        <v>400</v>
      </c>
      <c r="F258" s="25"/>
      <c r="G258" s="65">
        <v>45990</v>
      </c>
      <c r="H258" s="25" t="s">
        <v>1257</v>
      </c>
      <c r="I258" s="25" t="s">
        <v>1254</v>
      </c>
      <c r="J258" s="26" t="s">
        <v>1301</v>
      </c>
      <c r="K258" s="27" t="s">
        <v>578</v>
      </c>
      <c r="L258" s="28" t="s">
        <v>579</v>
      </c>
      <c r="M258" s="28" t="s">
        <v>556</v>
      </c>
      <c r="N258" s="25">
        <v>1</v>
      </c>
      <c r="O258" s="29">
        <v>0.05</v>
      </c>
      <c r="P258" s="29">
        <v>0.05</v>
      </c>
      <c r="Q258" s="25" t="s">
        <v>1120</v>
      </c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78"/>
        <v>0.05</v>
      </c>
      <c r="AF258" s="32">
        <f t="shared" si="79"/>
        <v>0</v>
      </c>
      <c r="AG258" s="30"/>
      <c r="AH258" s="33">
        <v>1</v>
      </c>
      <c r="AI258" s="34">
        <f t="shared" si="80"/>
        <v>0.05</v>
      </c>
      <c r="AJ258" s="35">
        <v>46028</v>
      </c>
      <c r="AK258" s="30">
        <v>1</v>
      </c>
      <c r="AL258" s="36">
        <f t="shared" si="81"/>
        <v>0.05</v>
      </c>
      <c r="AM258" s="35">
        <v>46058</v>
      </c>
      <c r="AN258" s="30">
        <v>1</v>
      </c>
      <c r="AO258" s="36">
        <f t="shared" si="82"/>
        <v>0.05</v>
      </c>
      <c r="AP258" s="35">
        <v>46147</v>
      </c>
      <c r="AQ258" s="30">
        <v>1</v>
      </c>
      <c r="AR258" s="36">
        <f t="shared" si="83"/>
        <v>0.05</v>
      </c>
      <c r="AS258" s="27" t="s">
        <v>1276</v>
      </c>
      <c r="AT258" s="37">
        <v>46147</v>
      </c>
      <c r="AU258" s="30">
        <v>1</v>
      </c>
      <c r="AV258" s="36">
        <f t="shared" si="84"/>
        <v>0.05</v>
      </c>
      <c r="AW258" s="35">
        <v>46150</v>
      </c>
      <c r="AX258" s="30">
        <v>1</v>
      </c>
      <c r="AY258" s="32">
        <f t="shared" si="85"/>
        <v>0.05</v>
      </c>
      <c r="AZ258" s="30" t="s">
        <v>85</v>
      </c>
      <c r="BA258" s="63" t="s">
        <v>1277</v>
      </c>
      <c r="BB258" s="72"/>
      <c r="BC258" s="71" t="s">
        <v>1342</v>
      </c>
      <c r="BD258" s="71"/>
    </row>
    <row r="259" spans="1:56" x14ac:dyDescent="0.25">
      <c r="A259" s="24">
        <f>IF(B259="","",SUBTOTAL(3,$B$4:B259))</f>
        <v>242</v>
      </c>
      <c r="B259" s="25" t="s">
        <v>77</v>
      </c>
      <c r="C259" s="25" t="str">
        <f t="shared" si="76"/>
        <v>Shipment 2 400</v>
      </c>
      <c r="D259" s="25" t="s">
        <v>1252</v>
      </c>
      <c r="E259" s="25">
        <v>400</v>
      </c>
      <c r="F259" s="25"/>
      <c r="G259" s="65">
        <v>45990</v>
      </c>
      <c r="H259" s="25" t="s">
        <v>1257</v>
      </c>
      <c r="I259" s="25" t="s">
        <v>1254</v>
      </c>
      <c r="J259" s="26" t="s">
        <v>1301</v>
      </c>
      <c r="K259" s="27" t="s">
        <v>578</v>
      </c>
      <c r="L259" s="28" t="s">
        <v>580</v>
      </c>
      <c r="M259" s="28" t="s">
        <v>556</v>
      </c>
      <c r="N259" s="25">
        <v>1</v>
      </c>
      <c r="O259" s="29">
        <v>0.05</v>
      </c>
      <c r="P259" s="29">
        <v>0.05</v>
      </c>
      <c r="Q259" s="25" t="s">
        <v>1120</v>
      </c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78"/>
        <v>0.05</v>
      </c>
      <c r="AF259" s="32">
        <f t="shared" si="79"/>
        <v>0</v>
      </c>
      <c r="AG259" s="30"/>
      <c r="AH259" s="33">
        <v>1</v>
      </c>
      <c r="AI259" s="34">
        <f t="shared" si="80"/>
        <v>0.05</v>
      </c>
      <c r="AJ259" s="35">
        <v>46028</v>
      </c>
      <c r="AK259" s="30">
        <v>1</v>
      </c>
      <c r="AL259" s="36">
        <f t="shared" si="81"/>
        <v>0.05</v>
      </c>
      <c r="AM259" s="35">
        <v>46058</v>
      </c>
      <c r="AN259" s="30">
        <v>1</v>
      </c>
      <c r="AO259" s="36">
        <f t="shared" si="82"/>
        <v>0.05</v>
      </c>
      <c r="AP259" s="35">
        <v>46147</v>
      </c>
      <c r="AQ259" s="30">
        <v>1</v>
      </c>
      <c r="AR259" s="36">
        <f t="shared" si="83"/>
        <v>0.05</v>
      </c>
      <c r="AS259" s="27" t="s">
        <v>1276</v>
      </c>
      <c r="AT259" s="37">
        <v>46147</v>
      </c>
      <c r="AU259" s="30">
        <v>1</v>
      </c>
      <c r="AV259" s="36">
        <f t="shared" si="84"/>
        <v>0.05</v>
      </c>
      <c r="AW259" s="35">
        <v>46150</v>
      </c>
      <c r="AX259" s="30">
        <v>1</v>
      </c>
      <c r="AY259" s="32">
        <f t="shared" si="85"/>
        <v>0.05</v>
      </c>
      <c r="AZ259" s="30" t="s">
        <v>85</v>
      </c>
      <c r="BA259" s="63" t="s">
        <v>1277</v>
      </c>
      <c r="BB259" s="72"/>
      <c r="BC259" s="71" t="s">
        <v>1342</v>
      </c>
      <c r="BD259" s="71"/>
    </row>
    <row r="260" spans="1:56" x14ac:dyDescent="0.25">
      <c r="A260" s="24">
        <f>IF(B260="","",SUBTOTAL(3,$B$4:B260))</f>
        <v>243</v>
      </c>
      <c r="B260" s="25" t="s">
        <v>77</v>
      </c>
      <c r="C260" s="25" t="str">
        <f t="shared" si="76"/>
        <v>Shipment 2 400</v>
      </c>
      <c r="D260" s="25" t="s">
        <v>1252</v>
      </c>
      <c r="E260" s="25">
        <v>400</v>
      </c>
      <c r="F260" s="25"/>
      <c r="G260" s="65">
        <v>45990</v>
      </c>
      <c r="H260" s="25" t="s">
        <v>1257</v>
      </c>
      <c r="I260" s="25" t="s">
        <v>1254</v>
      </c>
      <c r="J260" s="26" t="s">
        <v>1301</v>
      </c>
      <c r="K260" s="27" t="s">
        <v>578</v>
      </c>
      <c r="L260" s="28" t="s">
        <v>581</v>
      </c>
      <c r="M260" s="28" t="s">
        <v>556</v>
      </c>
      <c r="N260" s="25">
        <v>1</v>
      </c>
      <c r="O260" s="29">
        <v>0.05</v>
      </c>
      <c r="P260" s="29">
        <v>0.05</v>
      </c>
      <c r="Q260" s="25" t="s">
        <v>1120</v>
      </c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78"/>
        <v>0.05</v>
      </c>
      <c r="AF260" s="32">
        <f t="shared" si="79"/>
        <v>0</v>
      </c>
      <c r="AG260" s="30"/>
      <c r="AH260" s="33">
        <v>1</v>
      </c>
      <c r="AI260" s="34">
        <f t="shared" si="80"/>
        <v>0.05</v>
      </c>
      <c r="AJ260" s="35">
        <v>46028</v>
      </c>
      <c r="AK260" s="30">
        <v>1</v>
      </c>
      <c r="AL260" s="36">
        <f t="shared" si="81"/>
        <v>0.05</v>
      </c>
      <c r="AM260" s="35">
        <v>46058</v>
      </c>
      <c r="AN260" s="30">
        <v>1</v>
      </c>
      <c r="AO260" s="36">
        <f t="shared" si="82"/>
        <v>0.05</v>
      </c>
      <c r="AP260" s="35">
        <v>46147</v>
      </c>
      <c r="AQ260" s="30">
        <v>1</v>
      </c>
      <c r="AR260" s="36">
        <f t="shared" si="83"/>
        <v>0.05</v>
      </c>
      <c r="AS260" s="27" t="s">
        <v>1276</v>
      </c>
      <c r="AT260" s="37">
        <v>46147</v>
      </c>
      <c r="AU260" s="30">
        <v>1</v>
      </c>
      <c r="AV260" s="36">
        <f t="shared" si="84"/>
        <v>0.05</v>
      </c>
      <c r="AW260" s="35">
        <v>46150</v>
      </c>
      <c r="AX260" s="30">
        <v>1</v>
      </c>
      <c r="AY260" s="32">
        <f t="shared" si="85"/>
        <v>0.05</v>
      </c>
      <c r="AZ260" s="30" t="s">
        <v>85</v>
      </c>
      <c r="BA260" s="63" t="s">
        <v>1277</v>
      </c>
      <c r="BB260" s="72"/>
      <c r="BC260" s="71" t="s">
        <v>1342</v>
      </c>
      <c r="BD260" s="71"/>
    </row>
    <row r="261" spans="1:56" x14ac:dyDescent="0.25">
      <c r="A261" s="24">
        <f>IF(B261="","",SUBTOTAL(3,$B$4:B261))</f>
        <v>244</v>
      </c>
      <c r="B261" s="25" t="s">
        <v>77</v>
      </c>
      <c r="C261" s="25" t="str">
        <f t="shared" si="76"/>
        <v>Shipment 2 400</v>
      </c>
      <c r="D261" s="25" t="s">
        <v>1252</v>
      </c>
      <c r="E261" s="25">
        <v>400</v>
      </c>
      <c r="F261" s="25"/>
      <c r="G261" s="65">
        <v>45990</v>
      </c>
      <c r="H261" s="25" t="s">
        <v>1257</v>
      </c>
      <c r="I261" s="25" t="s">
        <v>1254</v>
      </c>
      <c r="J261" s="26" t="s">
        <v>1301</v>
      </c>
      <c r="K261" s="27" t="s">
        <v>578</v>
      </c>
      <c r="L261" s="28" t="s">
        <v>582</v>
      </c>
      <c r="M261" s="28" t="s">
        <v>556</v>
      </c>
      <c r="N261" s="25">
        <v>1</v>
      </c>
      <c r="O261" s="29">
        <v>0.05</v>
      </c>
      <c r="P261" s="29">
        <v>0.05</v>
      </c>
      <c r="Q261" s="25" t="s">
        <v>1120</v>
      </c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78"/>
        <v>0.05</v>
      </c>
      <c r="AF261" s="32">
        <f t="shared" si="79"/>
        <v>0</v>
      </c>
      <c r="AG261" s="30"/>
      <c r="AH261" s="33">
        <v>1</v>
      </c>
      <c r="AI261" s="34">
        <f t="shared" si="80"/>
        <v>0.05</v>
      </c>
      <c r="AJ261" s="35">
        <v>46028</v>
      </c>
      <c r="AK261" s="30">
        <v>1</v>
      </c>
      <c r="AL261" s="36">
        <f t="shared" si="81"/>
        <v>0.05</v>
      </c>
      <c r="AM261" s="35">
        <v>46058</v>
      </c>
      <c r="AN261" s="30">
        <v>1</v>
      </c>
      <c r="AO261" s="36">
        <f t="shared" si="82"/>
        <v>0.05</v>
      </c>
      <c r="AP261" s="35">
        <v>46147</v>
      </c>
      <c r="AQ261" s="30">
        <v>1</v>
      </c>
      <c r="AR261" s="36">
        <f t="shared" si="83"/>
        <v>0.05</v>
      </c>
      <c r="AS261" s="27" t="s">
        <v>1276</v>
      </c>
      <c r="AT261" s="37">
        <v>46147</v>
      </c>
      <c r="AU261" s="30">
        <v>1</v>
      </c>
      <c r="AV261" s="36">
        <f t="shared" si="84"/>
        <v>0.05</v>
      </c>
      <c r="AW261" s="35">
        <v>46150</v>
      </c>
      <c r="AX261" s="30">
        <v>1</v>
      </c>
      <c r="AY261" s="32">
        <f t="shared" si="85"/>
        <v>0.05</v>
      </c>
      <c r="AZ261" s="30" t="s">
        <v>85</v>
      </c>
      <c r="BA261" s="63" t="s">
        <v>1277</v>
      </c>
      <c r="BB261" s="72"/>
      <c r="BC261" s="71" t="s">
        <v>1342</v>
      </c>
      <c r="BD261" s="71"/>
    </row>
    <row r="262" spans="1:56" x14ac:dyDescent="0.25">
      <c r="A262" s="24">
        <f>IF(B262="","",SUBTOTAL(3,$B$4:B262))</f>
        <v>245</v>
      </c>
      <c r="B262" s="25" t="s">
        <v>77</v>
      </c>
      <c r="C262" s="25" t="str">
        <f t="shared" si="76"/>
        <v>Shipment 2 400</v>
      </c>
      <c r="D262" s="25" t="s">
        <v>1252</v>
      </c>
      <c r="E262" s="25">
        <v>400</v>
      </c>
      <c r="F262" s="25"/>
      <c r="G262" s="65">
        <v>45990</v>
      </c>
      <c r="H262" s="25" t="s">
        <v>1257</v>
      </c>
      <c r="I262" s="25" t="s">
        <v>1254</v>
      </c>
      <c r="J262" s="26" t="s">
        <v>1301</v>
      </c>
      <c r="K262" s="27" t="s">
        <v>578</v>
      </c>
      <c r="L262" s="28" t="s">
        <v>583</v>
      </c>
      <c r="M262" s="28" t="s">
        <v>556</v>
      </c>
      <c r="N262" s="25">
        <v>1</v>
      </c>
      <c r="O262" s="29">
        <v>0.05</v>
      </c>
      <c r="P262" s="29">
        <v>0.05</v>
      </c>
      <c r="Q262" s="25" t="s">
        <v>1120</v>
      </c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78"/>
        <v>0.05</v>
      </c>
      <c r="AF262" s="32">
        <f t="shared" si="79"/>
        <v>0</v>
      </c>
      <c r="AG262" s="30"/>
      <c r="AH262" s="33">
        <v>1</v>
      </c>
      <c r="AI262" s="34">
        <f t="shared" si="80"/>
        <v>0.05</v>
      </c>
      <c r="AJ262" s="35">
        <v>46028</v>
      </c>
      <c r="AK262" s="30">
        <v>1</v>
      </c>
      <c r="AL262" s="36">
        <f t="shared" si="81"/>
        <v>0.05</v>
      </c>
      <c r="AM262" s="35">
        <v>46058</v>
      </c>
      <c r="AN262" s="30">
        <v>1</v>
      </c>
      <c r="AO262" s="36">
        <f t="shared" si="82"/>
        <v>0.05</v>
      </c>
      <c r="AP262" s="35">
        <v>46147</v>
      </c>
      <c r="AQ262" s="30">
        <v>1</v>
      </c>
      <c r="AR262" s="36">
        <f t="shared" si="83"/>
        <v>0.05</v>
      </c>
      <c r="AS262" s="27" t="s">
        <v>1276</v>
      </c>
      <c r="AT262" s="37">
        <v>46147</v>
      </c>
      <c r="AU262" s="30">
        <v>1</v>
      </c>
      <c r="AV262" s="36">
        <f t="shared" si="84"/>
        <v>0.05</v>
      </c>
      <c r="AW262" s="35">
        <v>46150</v>
      </c>
      <c r="AX262" s="30">
        <v>1</v>
      </c>
      <c r="AY262" s="32">
        <f t="shared" si="85"/>
        <v>0.05</v>
      </c>
      <c r="AZ262" s="30" t="s">
        <v>85</v>
      </c>
      <c r="BA262" s="63" t="s">
        <v>1277</v>
      </c>
      <c r="BB262" s="72"/>
      <c r="BC262" s="71" t="s">
        <v>1342</v>
      </c>
      <c r="BD262" s="71"/>
    </row>
    <row r="263" spans="1:56" x14ac:dyDescent="0.25">
      <c r="A263" s="24">
        <f>IF(B263="","",SUBTOTAL(3,$B$4:B263))</f>
        <v>246</v>
      </c>
      <c r="B263" s="25" t="s">
        <v>77</v>
      </c>
      <c r="C263" s="25" t="str">
        <f t="shared" si="76"/>
        <v>Shipment 2 400</v>
      </c>
      <c r="D263" s="25" t="s">
        <v>1252</v>
      </c>
      <c r="E263" s="25">
        <v>400</v>
      </c>
      <c r="F263" s="25"/>
      <c r="G263" s="65">
        <v>45990</v>
      </c>
      <c r="H263" s="25" t="s">
        <v>1257</v>
      </c>
      <c r="I263" s="25" t="s">
        <v>1254</v>
      </c>
      <c r="J263" s="26" t="s">
        <v>1301</v>
      </c>
      <c r="K263" s="27" t="s">
        <v>578</v>
      </c>
      <c r="L263" s="28" t="s">
        <v>584</v>
      </c>
      <c r="M263" s="28" t="s">
        <v>556</v>
      </c>
      <c r="N263" s="25">
        <v>1</v>
      </c>
      <c r="O263" s="29">
        <v>0.05</v>
      </c>
      <c r="P263" s="29">
        <v>0.05</v>
      </c>
      <c r="Q263" s="25" t="s">
        <v>1120</v>
      </c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78"/>
        <v>0.05</v>
      </c>
      <c r="AF263" s="32">
        <f t="shared" si="79"/>
        <v>0</v>
      </c>
      <c r="AG263" s="30"/>
      <c r="AH263" s="33">
        <v>1</v>
      </c>
      <c r="AI263" s="34">
        <f t="shared" si="80"/>
        <v>0.05</v>
      </c>
      <c r="AJ263" s="35">
        <v>46028</v>
      </c>
      <c r="AK263" s="30">
        <v>1</v>
      </c>
      <c r="AL263" s="36">
        <f t="shared" si="81"/>
        <v>0.05</v>
      </c>
      <c r="AM263" s="35">
        <v>46058</v>
      </c>
      <c r="AN263" s="30">
        <v>1</v>
      </c>
      <c r="AO263" s="36">
        <f t="shared" si="82"/>
        <v>0.05</v>
      </c>
      <c r="AP263" s="35">
        <v>46147</v>
      </c>
      <c r="AQ263" s="30">
        <v>1</v>
      </c>
      <c r="AR263" s="36">
        <f t="shared" si="83"/>
        <v>0.05</v>
      </c>
      <c r="AS263" s="27" t="s">
        <v>1276</v>
      </c>
      <c r="AT263" s="37">
        <v>46147</v>
      </c>
      <c r="AU263" s="30">
        <v>1</v>
      </c>
      <c r="AV263" s="36">
        <f t="shared" si="84"/>
        <v>0.05</v>
      </c>
      <c r="AW263" s="35">
        <v>46150</v>
      </c>
      <c r="AX263" s="30">
        <v>1</v>
      </c>
      <c r="AY263" s="32">
        <f t="shared" si="85"/>
        <v>0.05</v>
      </c>
      <c r="AZ263" s="30" t="s">
        <v>85</v>
      </c>
      <c r="BA263" s="63" t="s">
        <v>1277</v>
      </c>
      <c r="BB263" s="72"/>
      <c r="BC263" s="71" t="s">
        <v>1342</v>
      </c>
      <c r="BD263" s="71"/>
    </row>
    <row r="264" spans="1:56" x14ac:dyDescent="0.25">
      <c r="A264" s="24">
        <f>IF(B264="","",SUBTOTAL(3,$B$4:B264))</f>
        <v>247</v>
      </c>
      <c r="B264" s="25" t="s">
        <v>77</v>
      </c>
      <c r="C264" s="25" t="str">
        <f t="shared" si="76"/>
        <v>Shipment 2 400</v>
      </c>
      <c r="D264" s="25" t="s">
        <v>1252</v>
      </c>
      <c r="E264" s="25">
        <v>400</v>
      </c>
      <c r="F264" s="25"/>
      <c r="G264" s="65">
        <v>45990</v>
      </c>
      <c r="H264" s="25" t="s">
        <v>1257</v>
      </c>
      <c r="I264" s="25" t="s">
        <v>1254</v>
      </c>
      <c r="J264" s="26" t="s">
        <v>1301</v>
      </c>
      <c r="K264" s="27" t="s">
        <v>585</v>
      </c>
      <c r="L264" s="28" t="s">
        <v>586</v>
      </c>
      <c r="M264" s="28" t="s">
        <v>587</v>
      </c>
      <c r="N264" s="25">
        <v>1</v>
      </c>
      <c r="O264" s="29">
        <v>39.54</v>
      </c>
      <c r="P264" s="29">
        <v>39.54</v>
      </c>
      <c r="Q264" s="25" t="s">
        <v>1121</v>
      </c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78"/>
        <v>39.54</v>
      </c>
      <c r="AF264" s="32">
        <f t="shared" si="79"/>
        <v>0</v>
      </c>
      <c r="AG264" s="30"/>
      <c r="AH264" s="33">
        <v>1</v>
      </c>
      <c r="AI264" s="34">
        <f t="shared" si="80"/>
        <v>39.54</v>
      </c>
      <c r="AJ264" s="35">
        <v>46007</v>
      </c>
      <c r="AK264" s="30">
        <v>1</v>
      </c>
      <c r="AL264" s="36">
        <f t="shared" si="81"/>
        <v>39.54</v>
      </c>
      <c r="AM264" s="35">
        <v>46016</v>
      </c>
      <c r="AN264" s="30">
        <v>1</v>
      </c>
      <c r="AO264" s="36">
        <f t="shared" si="82"/>
        <v>39.54</v>
      </c>
      <c r="AP264" s="35">
        <v>46155</v>
      </c>
      <c r="AQ264" s="30">
        <v>1</v>
      </c>
      <c r="AR264" s="36">
        <f t="shared" si="83"/>
        <v>39.54</v>
      </c>
      <c r="AS264" s="27" t="s">
        <v>1277</v>
      </c>
      <c r="AT264" s="37">
        <v>46155</v>
      </c>
      <c r="AU264" s="30">
        <v>1</v>
      </c>
      <c r="AV264" s="36">
        <f t="shared" si="84"/>
        <v>39.54</v>
      </c>
      <c r="AW264" s="35">
        <v>46157</v>
      </c>
      <c r="AX264" s="30">
        <v>1</v>
      </c>
      <c r="AY264" s="32">
        <f t="shared" ref="AY264:AY277" si="88">IFERROR(AX264*$P264/$N264,0)</f>
        <v>39.54</v>
      </c>
      <c r="AZ264" s="30" t="s">
        <v>85</v>
      </c>
      <c r="BA264" s="63" t="s">
        <v>1278</v>
      </c>
      <c r="BB264" s="72"/>
      <c r="BC264" s="71" t="s">
        <v>586</v>
      </c>
      <c r="BD264" s="71"/>
    </row>
    <row r="265" spans="1:56" x14ac:dyDescent="0.25">
      <c r="A265" s="24">
        <f>IF(B265="","",SUBTOTAL(3,$B$4:B265))</f>
        <v>248</v>
      </c>
      <c r="B265" s="25" t="s">
        <v>77</v>
      </c>
      <c r="C265" s="25" t="str">
        <f t="shared" si="76"/>
        <v>Shipment 2 400</v>
      </c>
      <c r="D265" s="25" t="s">
        <v>1252</v>
      </c>
      <c r="E265" s="25">
        <v>400</v>
      </c>
      <c r="F265" s="25"/>
      <c r="G265" s="65">
        <v>45990</v>
      </c>
      <c r="H265" s="25" t="s">
        <v>1257</v>
      </c>
      <c r="I265" s="25" t="s">
        <v>1254</v>
      </c>
      <c r="J265" s="26" t="s">
        <v>1301</v>
      </c>
      <c r="K265" s="27" t="s">
        <v>588</v>
      </c>
      <c r="L265" s="28" t="s">
        <v>589</v>
      </c>
      <c r="M265" s="28" t="s">
        <v>587</v>
      </c>
      <c r="N265" s="25">
        <v>1</v>
      </c>
      <c r="O265" s="29">
        <v>116.73</v>
      </c>
      <c r="P265" s="29">
        <v>116.73</v>
      </c>
      <c r="Q265" s="25" t="s">
        <v>1122</v>
      </c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78"/>
        <v>116.73000000000002</v>
      </c>
      <c r="AF265" s="32">
        <f t="shared" si="79"/>
        <v>0</v>
      </c>
      <c r="AG265" s="30"/>
      <c r="AH265" s="33">
        <v>1</v>
      </c>
      <c r="AI265" s="34">
        <f t="shared" si="80"/>
        <v>116.73</v>
      </c>
      <c r="AJ265" s="35">
        <v>46007</v>
      </c>
      <c r="AK265" s="30">
        <v>1</v>
      </c>
      <c r="AL265" s="36">
        <f t="shared" si="81"/>
        <v>116.73</v>
      </c>
      <c r="AM265" s="35">
        <v>46016</v>
      </c>
      <c r="AN265" s="30">
        <v>1</v>
      </c>
      <c r="AO265" s="36">
        <f t="shared" si="82"/>
        <v>116.73</v>
      </c>
      <c r="AP265" s="35">
        <v>46164</v>
      </c>
      <c r="AQ265" s="30">
        <v>1</v>
      </c>
      <c r="AR265" s="36">
        <f t="shared" si="83"/>
        <v>116.73</v>
      </c>
      <c r="AS265" s="27" t="s">
        <v>1278</v>
      </c>
      <c r="AT265" s="37">
        <v>46181</v>
      </c>
      <c r="AU265" s="30">
        <v>1</v>
      </c>
      <c r="AV265" s="36">
        <f t="shared" si="84"/>
        <v>116.73</v>
      </c>
      <c r="AW265" s="35">
        <v>46184</v>
      </c>
      <c r="AX265" s="30">
        <v>1</v>
      </c>
      <c r="AY265" s="32">
        <f t="shared" si="88"/>
        <v>116.73</v>
      </c>
      <c r="AZ265" s="30" t="s">
        <v>85</v>
      </c>
      <c r="BA265" s="63" t="s">
        <v>1285</v>
      </c>
      <c r="BB265" s="72"/>
      <c r="BC265" s="71" t="s">
        <v>589</v>
      </c>
      <c r="BD265" s="71"/>
    </row>
    <row r="266" spans="1:56" x14ac:dyDescent="0.25">
      <c r="A266" s="24">
        <f>IF(B266="","",SUBTOTAL(3,$B$4:B266))</f>
        <v>249</v>
      </c>
      <c r="B266" s="25" t="s">
        <v>77</v>
      </c>
      <c r="C266" s="25" t="str">
        <f t="shared" si="76"/>
        <v>Shipment 2 400</v>
      </c>
      <c r="D266" s="25" t="s">
        <v>1252</v>
      </c>
      <c r="E266" s="25">
        <v>400</v>
      </c>
      <c r="F266" s="25"/>
      <c r="G266" s="65">
        <v>45990</v>
      </c>
      <c r="H266" s="25" t="s">
        <v>1257</v>
      </c>
      <c r="I266" s="25" t="s">
        <v>1254</v>
      </c>
      <c r="J266" s="26" t="s">
        <v>1301</v>
      </c>
      <c r="K266" s="27" t="s">
        <v>590</v>
      </c>
      <c r="L266" s="28" t="s">
        <v>591</v>
      </c>
      <c r="M266" s="28" t="s">
        <v>587</v>
      </c>
      <c r="N266" s="25">
        <v>1</v>
      </c>
      <c r="O266" s="29">
        <v>104.94</v>
      </c>
      <c r="P266" s="29">
        <v>104.94</v>
      </c>
      <c r="Q266" s="25" t="s">
        <v>1123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78"/>
        <v>104.94</v>
      </c>
      <c r="AF266" s="32">
        <f t="shared" si="79"/>
        <v>0</v>
      </c>
      <c r="AG266" s="30"/>
      <c r="AH266" s="33">
        <v>1</v>
      </c>
      <c r="AI266" s="34">
        <f t="shared" si="80"/>
        <v>104.94</v>
      </c>
      <c r="AJ266" s="35">
        <v>46007</v>
      </c>
      <c r="AK266" s="30">
        <v>1</v>
      </c>
      <c r="AL266" s="36">
        <f t="shared" si="81"/>
        <v>104.94</v>
      </c>
      <c r="AM266" s="35">
        <v>46016</v>
      </c>
      <c r="AN266" s="30">
        <v>1</v>
      </c>
      <c r="AO266" s="36">
        <f t="shared" si="82"/>
        <v>104.94</v>
      </c>
      <c r="AP266" s="35">
        <v>46164</v>
      </c>
      <c r="AQ266" s="30">
        <v>1</v>
      </c>
      <c r="AR266" s="36">
        <f t="shared" si="83"/>
        <v>104.94</v>
      </c>
      <c r="AS266" s="27" t="s">
        <v>1278</v>
      </c>
      <c r="AT266" s="37">
        <v>46181</v>
      </c>
      <c r="AU266" s="30">
        <v>1</v>
      </c>
      <c r="AV266" s="36">
        <f t="shared" si="84"/>
        <v>104.94</v>
      </c>
      <c r="AW266" s="35">
        <v>46184</v>
      </c>
      <c r="AX266" s="30">
        <v>1</v>
      </c>
      <c r="AY266" s="32">
        <f t="shared" si="88"/>
        <v>104.94</v>
      </c>
      <c r="AZ266" s="30" t="s">
        <v>85</v>
      </c>
      <c r="BA266" s="63" t="s">
        <v>1285</v>
      </c>
      <c r="BB266" s="72"/>
      <c r="BC266" s="71" t="s">
        <v>591</v>
      </c>
      <c r="BD266" s="71"/>
    </row>
    <row r="267" spans="1:56" x14ac:dyDescent="0.25">
      <c r="A267" s="24">
        <f>IF(B267="","",SUBTOTAL(3,$B$4:B267))</f>
        <v>250</v>
      </c>
      <c r="B267" s="25" t="s">
        <v>77</v>
      </c>
      <c r="C267" s="25" t="str">
        <f t="shared" si="76"/>
        <v>Shipment 2 400</v>
      </c>
      <c r="D267" s="25" t="s">
        <v>1252</v>
      </c>
      <c r="E267" s="25">
        <v>400</v>
      </c>
      <c r="F267" s="25"/>
      <c r="G267" s="65">
        <v>45990</v>
      </c>
      <c r="H267" s="25" t="s">
        <v>1257</v>
      </c>
      <c r="I267" s="25" t="s">
        <v>1254</v>
      </c>
      <c r="J267" s="26" t="s">
        <v>1301</v>
      </c>
      <c r="K267" s="27" t="s">
        <v>592</v>
      </c>
      <c r="L267" s="28" t="s">
        <v>593</v>
      </c>
      <c r="M267" s="28" t="s">
        <v>587</v>
      </c>
      <c r="N267" s="25">
        <v>1</v>
      </c>
      <c r="O267" s="29">
        <v>46.61</v>
      </c>
      <c r="P267" s="29">
        <v>46.61</v>
      </c>
      <c r="Q267" s="25" t="s">
        <v>1124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78"/>
        <v>46.61</v>
      </c>
      <c r="AF267" s="32">
        <f t="shared" si="79"/>
        <v>0</v>
      </c>
      <c r="AG267" s="30"/>
      <c r="AH267" s="33">
        <v>1</v>
      </c>
      <c r="AI267" s="34">
        <f t="shared" si="80"/>
        <v>46.61</v>
      </c>
      <c r="AJ267" s="35">
        <v>46007</v>
      </c>
      <c r="AK267" s="30">
        <v>1</v>
      </c>
      <c r="AL267" s="36">
        <f t="shared" si="81"/>
        <v>46.61</v>
      </c>
      <c r="AM267" s="35">
        <v>46016</v>
      </c>
      <c r="AN267" s="30">
        <v>1</v>
      </c>
      <c r="AO267" s="36">
        <f t="shared" si="82"/>
        <v>46.61</v>
      </c>
      <c r="AP267" s="35">
        <v>46164</v>
      </c>
      <c r="AQ267" s="30">
        <v>1</v>
      </c>
      <c r="AR267" s="36">
        <f t="shared" si="83"/>
        <v>46.61</v>
      </c>
      <c r="AS267" s="27" t="s">
        <v>1278</v>
      </c>
      <c r="AT267" s="37">
        <v>46181</v>
      </c>
      <c r="AU267" s="30">
        <v>1</v>
      </c>
      <c r="AV267" s="36">
        <f t="shared" si="84"/>
        <v>46.61</v>
      </c>
      <c r="AW267" s="35">
        <v>46184</v>
      </c>
      <c r="AX267" s="30">
        <v>1</v>
      </c>
      <c r="AY267" s="32">
        <f t="shared" si="88"/>
        <v>46.61</v>
      </c>
      <c r="AZ267" s="30" t="s">
        <v>85</v>
      </c>
      <c r="BA267" s="63" t="s">
        <v>1285</v>
      </c>
      <c r="BB267" s="72"/>
      <c r="BC267" s="71" t="s">
        <v>1343</v>
      </c>
      <c r="BD267" s="71"/>
    </row>
    <row r="268" spans="1:56" x14ac:dyDescent="0.25">
      <c r="A268" s="24">
        <f>IF(B268="","",SUBTOTAL(3,$B$4:B268))</f>
        <v>251</v>
      </c>
      <c r="B268" s="25" t="s">
        <v>77</v>
      </c>
      <c r="C268" s="25" t="str">
        <f t="shared" si="76"/>
        <v>Shipment 2 400</v>
      </c>
      <c r="D268" s="25" t="s">
        <v>1252</v>
      </c>
      <c r="E268" s="25">
        <v>400</v>
      </c>
      <c r="F268" s="25"/>
      <c r="G268" s="65">
        <v>45990</v>
      </c>
      <c r="H268" s="25" t="s">
        <v>1257</v>
      </c>
      <c r="I268" s="25" t="s">
        <v>1254</v>
      </c>
      <c r="J268" s="26" t="s">
        <v>1301</v>
      </c>
      <c r="K268" s="27" t="s">
        <v>592</v>
      </c>
      <c r="L268" s="28" t="s">
        <v>594</v>
      </c>
      <c r="M268" s="28" t="s">
        <v>587</v>
      </c>
      <c r="N268" s="25">
        <v>1</v>
      </c>
      <c r="O268" s="29">
        <v>46.61</v>
      </c>
      <c r="P268" s="29">
        <v>46.61</v>
      </c>
      <c r="Q268" s="25" t="s">
        <v>1124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78"/>
        <v>46.61</v>
      </c>
      <c r="AF268" s="32">
        <f t="shared" si="79"/>
        <v>0</v>
      </c>
      <c r="AG268" s="30"/>
      <c r="AH268" s="33">
        <v>1</v>
      </c>
      <c r="AI268" s="34">
        <f t="shared" si="80"/>
        <v>46.61</v>
      </c>
      <c r="AJ268" s="35">
        <v>46011</v>
      </c>
      <c r="AK268" s="30">
        <v>1</v>
      </c>
      <c r="AL268" s="36">
        <f t="shared" si="81"/>
        <v>46.61</v>
      </c>
      <c r="AM268" s="35">
        <v>46016</v>
      </c>
      <c r="AN268" s="30">
        <v>1</v>
      </c>
      <c r="AO268" s="36">
        <f t="shared" si="82"/>
        <v>46.61</v>
      </c>
      <c r="AP268" s="35">
        <v>46164</v>
      </c>
      <c r="AQ268" s="30">
        <v>1</v>
      </c>
      <c r="AR268" s="36">
        <f t="shared" si="83"/>
        <v>46.61</v>
      </c>
      <c r="AS268" s="27" t="s">
        <v>1278</v>
      </c>
      <c r="AT268" s="37">
        <v>46181</v>
      </c>
      <c r="AU268" s="30">
        <v>1</v>
      </c>
      <c r="AV268" s="36">
        <f t="shared" si="84"/>
        <v>46.61</v>
      </c>
      <c r="AW268" s="35">
        <v>46184</v>
      </c>
      <c r="AX268" s="30">
        <v>1</v>
      </c>
      <c r="AY268" s="32">
        <f t="shared" si="88"/>
        <v>46.61</v>
      </c>
      <c r="AZ268" s="30" t="s">
        <v>85</v>
      </c>
      <c r="BA268" s="63" t="s">
        <v>1285</v>
      </c>
      <c r="BB268" s="72"/>
      <c r="BC268" s="71" t="s">
        <v>1343</v>
      </c>
      <c r="BD268" s="71"/>
    </row>
    <row r="269" spans="1:56" x14ac:dyDescent="0.25">
      <c r="A269" s="24">
        <f>IF(B269="","",SUBTOTAL(3,$B$4:B269))</f>
        <v>252</v>
      </c>
      <c r="B269" s="25" t="s">
        <v>77</v>
      </c>
      <c r="C269" s="25" t="str">
        <f t="shared" si="76"/>
        <v>Shipment 2 400</v>
      </c>
      <c r="D269" s="25" t="s">
        <v>1252</v>
      </c>
      <c r="E269" s="25">
        <v>400</v>
      </c>
      <c r="F269" s="25"/>
      <c r="G269" s="65">
        <v>45990</v>
      </c>
      <c r="H269" s="25" t="s">
        <v>1257</v>
      </c>
      <c r="I269" s="25" t="s">
        <v>1254</v>
      </c>
      <c r="J269" s="26" t="s">
        <v>1301</v>
      </c>
      <c r="K269" s="27" t="s">
        <v>592</v>
      </c>
      <c r="L269" s="28" t="s">
        <v>595</v>
      </c>
      <c r="M269" s="28" t="s">
        <v>587</v>
      </c>
      <c r="N269" s="25">
        <v>1</v>
      </c>
      <c r="O269" s="29">
        <v>46.61</v>
      </c>
      <c r="P269" s="29">
        <v>46.61</v>
      </c>
      <c r="Q269" s="25" t="s">
        <v>1124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78"/>
        <v>46.61</v>
      </c>
      <c r="AF269" s="32">
        <f t="shared" si="79"/>
        <v>0</v>
      </c>
      <c r="AG269" s="30"/>
      <c r="AH269" s="33">
        <v>1</v>
      </c>
      <c r="AI269" s="34">
        <f t="shared" si="80"/>
        <v>46.61</v>
      </c>
      <c r="AJ269" s="35">
        <v>46011</v>
      </c>
      <c r="AK269" s="30">
        <v>1</v>
      </c>
      <c r="AL269" s="36">
        <f t="shared" si="81"/>
        <v>46.61</v>
      </c>
      <c r="AM269" s="35">
        <v>46016</v>
      </c>
      <c r="AN269" s="30">
        <v>1</v>
      </c>
      <c r="AO269" s="36">
        <f t="shared" si="82"/>
        <v>46.61</v>
      </c>
      <c r="AP269" s="35">
        <v>46164</v>
      </c>
      <c r="AQ269" s="30">
        <v>1</v>
      </c>
      <c r="AR269" s="36">
        <f t="shared" si="83"/>
        <v>46.61</v>
      </c>
      <c r="AS269" s="27" t="s">
        <v>1278</v>
      </c>
      <c r="AT269" s="37">
        <v>46181</v>
      </c>
      <c r="AU269" s="30">
        <v>1</v>
      </c>
      <c r="AV269" s="36">
        <f t="shared" si="84"/>
        <v>46.61</v>
      </c>
      <c r="AW269" s="35">
        <v>46184</v>
      </c>
      <c r="AX269" s="30">
        <v>1</v>
      </c>
      <c r="AY269" s="32">
        <f t="shared" si="88"/>
        <v>46.61</v>
      </c>
      <c r="AZ269" s="30" t="s">
        <v>85</v>
      </c>
      <c r="BA269" s="63" t="s">
        <v>1285</v>
      </c>
      <c r="BB269" s="72"/>
      <c r="BC269" s="71" t="s">
        <v>1343</v>
      </c>
      <c r="BD269" s="71"/>
    </row>
    <row r="270" spans="1:56" x14ac:dyDescent="0.25">
      <c r="A270" s="24">
        <f>IF(B270="","",SUBTOTAL(3,$B$4:B270))</f>
        <v>253</v>
      </c>
      <c r="B270" s="25" t="s">
        <v>77</v>
      </c>
      <c r="C270" s="25" t="str">
        <f t="shared" ref="C270:C333" si="89">D270&amp;" "&amp;E270</f>
        <v>Shipment 2 400</v>
      </c>
      <c r="D270" s="25" t="s">
        <v>1252</v>
      </c>
      <c r="E270" s="25">
        <v>400</v>
      </c>
      <c r="F270" s="25"/>
      <c r="G270" s="65">
        <v>45990</v>
      </c>
      <c r="H270" s="25" t="s">
        <v>1257</v>
      </c>
      <c r="I270" s="25" t="s">
        <v>1254</v>
      </c>
      <c r="J270" s="26" t="s">
        <v>1301</v>
      </c>
      <c r="K270" s="27" t="s">
        <v>592</v>
      </c>
      <c r="L270" s="28" t="s">
        <v>596</v>
      </c>
      <c r="M270" s="28" t="s">
        <v>587</v>
      </c>
      <c r="N270" s="25">
        <v>1</v>
      </c>
      <c r="O270" s="29">
        <v>46.61</v>
      </c>
      <c r="P270" s="29">
        <v>46.61</v>
      </c>
      <c r="Q270" s="25" t="s">
        <v>1124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78"/>
        <v>46.61</v>
      </c>
      <c r="AF270" s="32">
        <f t="shared" si="79"/>
        <v>0</v>
      </c>
      <c r="AG270" s="30"/>
      <c r="AH270" s="33">
        <v>1</v>
      </c>
      <c r="AI270" s="34">
        <f t="shared" si="80"/>
        <v>46.61</v>
      </c>
      <c r="AJ270" s="35">
        <v>46011</v>
      </c>
      <c r="AK270" s="30">
        <v>1</v>
      </c>
      <c r="AL270" s="36">
        <f t="shared" si="81"/>
        <v>46.61</v>
      </c>
      <c r="AM270" s="35">
        <v>46016</v>
      </c>
      <c r="AN270" s="30">
        <v>1</v>
      </c>
      <c r="AO270" s="36">
        <f t="shared" si="82"/>
        <v>46.61</v>
      </c>
      <c r="AP270" s="35">
        <v>46164</v>
      </c>
      <c r="AQ270" s="30">
        <v>1</v>
      </c>
      <c r="AR270" s="36">
        <f t="shared" si="83"/>
        <v>46.61</v>
      </c>
      <c r="AS270" s="27" t="s">
        <v>1278</v>
      </c>
      <c r="AT270" s="37">
        <v>46181</v>
      </c>
      <c r="AU270" s="30">
        <v>1</v>
      </c>
      <c r="AV270" s="36">
        <f t="shared" si="84"/>
        <v>46.61</v>
      </c>
      <c r="AW270" s="35">
        <v>46184</v>
      </c>
      <c r="AX270" s="30">
        <v>1</v>
      </c>
      <c r="AY270" s="32">
        <f t="shared" si="88"/>
        <v>46.61</v>
      </c>
      <c r="AZ270" s="30" t="s">
        <v>85</v>
      </c>
      <c r="BA270" s="63" t="s">
        <v>1285</v>
      </c>
      <c r="BB270" s="72"/>
      <c r="BC270" s="71" t="s">
        <v>1343</v>
      </c>
      <c r="BD270" s="71"/>
    </row>
    <row r="271" spans="1:56" x14ac:dyDescent="0.25">
      <c r="A271" s="24">
        <f>IF(B271="","",SUBTOTAL(3,$B$4:B271))</f>
        <v>254</v>
      </c>
      <c r="B271" s="25" t="s">
        <v>77</v>
      </c>
      <c r="C271" s="25" t="str">
        <f t="shared" si="89"/>
        <v>Shipment 2 400</v>
      </c>
      <c r="D271" s="25" t="s">
        <v>1252</v>
      </c>
      <c r="E271" s="25">
        <v>400</v>
      </c>
      <c r="F271" s="25"/>
      <c r="G271" s="65">
        <v>45990</v>
      </c>
      <c r="H271" s="25" t="s">
        <v>1257</v>
      </c>
      <c r="I271" s="25" t="s">
        <v>1254</v>
      </c>
      <c r="J271" s="26" t="s">
        <v>1301</v>
      </c>
      <c r="K271" s="27" t="s">
        <v>597</v>
      </c>
      <c r="L271" s="28" t="s">
        <v>598</v>
      </c>
      <c r="M271" s="28" t="s">
        <v>587</v>
      </c>
      <c r="N271" s="25">
        <v>1</v>
      </c>
      <c r="O271" s="29">
        <v>46.63</v>
      </c>
      <c r="P271" s="29">
        <v>46.63</v>
      </c>
      <c r="Q271" s="25" t="s">
        <v>1124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78"/>
        <v>46.629999999999995</v>
      </c>
      <c r="AF271" s="32">
        <f t="shared" si="79"/>
        <v>0</v>
      </c>
      <c r="AG271" s="30"/>
      <c r="AH271" s="33">
        <v>1</v>
      </c>
      <c r="AI271" s="34">
        <f t="shared" si="80"/>
        <v>46.63</v>
      </c>
      <c r="AJ271" s="35">
        <v>46011</v>
      </c>
      <c r="AK271" s="30">
        <v>1</v>
      </c>
      <c r="AL271" s="36">
        <f t="shared" si="81"/>
        <v>46.63</v>
      </c>
      <c r="AM271" s="35">
        <v>46022</v>
      </c>
      <c r="AN271" s="30">
        <v>1</v>
      </c>
      <c r="AO271" s="36">
        <f t="shared" si="82"/>
        <v>46.63</v>
      </c>
      <c r="AP271" s="35">
        <v>46164</v>
      </c>
      <c r="AQ271" s="30">
        <v>1</v>
      </c>
      <c r="AR271" s="36">
        <f t="shared" si="83"/>
        <v>46.63</v>
      </c>
      <c r="AS271" s="27" t="s">
        <v>1278</v>
      </c>
      <c r="AT271" s="37">
        <v>46181</v>
      </c>
      <c r="AU271" s="30">
        <v>1</v>
      </c>
      <c r="AV271" s="36">
        <f t="shared" si="84"/>
        <v>46.63</v>
      </c>
      <c r="AW271" s="35">
        <v>46184</v>
      </c>
      <c r="AX271" s="30">
        <v>1</v>
      </c>
      <c r="AY271" s="32">
        <f t="shared" si="88"/>
        <v>46.63</v>
      </c>
      <c r="AZ271" s="30" t="s">
        <v>85</v>
      </c>
      <c r="BA271" s="63" t="s">
        <v>1285</v>
      </c>
      <c r="BB271" s="72"/>
      <c r="BC271" s="71" t="s">
        <v>598</v>
      </c>
      <c r="BD271" s="71"/>
    </row>
    <row r="272" spans="1:56" x14ac:dyDescent="0.25">
      <c r="A272" s="24">
        <f>IF(B272="","",SUBTOTAL(3,$B$4:B272))</f>
        <v>255</v>
      </c>
      <c r="B272" s="25" t="s">
        <v>77</v>
      </c>
      <c r="C272" s="25" t="str">
        <f t="shared" si="89"/>
        <v>Shipment 2 400</v>
      </c>
      <c r="D272" s="25" t="s">
        <v>1252</v>
      </c>
      <c r="E272" s="25">
        <v>400</v>
      </c>
      <c r="F272" s="25"/>
      <c r="G272" s="65">
        <v>45990</v>
      </c>
      <c r="H272" s="25" t="s">
        <v>1257</v>
      </c>
      <c r="I272" s="25" t="s">
        <v>1254</v>
      </c>
      <c r="J272" s="26" t="s">
        <v>1301</v>
      </c>
      <c r="K272" s="27" t="s">
        <v>599</v>
      </c>
      <c r="L272" s="28" t="s">
        <v>600</v>
      </c>
      <c r="M272" s="28" t="s">
        <v>587</v>
      </c>
      <c r="N272" s="25">
        <v>1</v>
      </c>
      <c r="O272" s="29">
        <v>39.54</v>
      </c>
      <c r="P272" s="29">
        <v>39.54</v>
      </c>
      <c r="Q272" s="25" t="s">
        <v>1125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78"/>
        <v>39.54</v>
      </c>
      <c r="AF272" s="32">
        <f t="shared" si="79"/>
        <v>0</v>
      </c>
      <c r="AG272" s="30"/>
      <c r="AH272" s="33">
        <v>1</v>
      </c>
      <c r="AI272" s="34">
        <f t="shared" si="80"/>
        <v>39.54</v>
      </c>
      <c r="AJ272" s="35">
        <v>46011</v>
      </c>
      <c r="AK272" s="30">
        <v>1</v>
      </c>
      <c r="AL272" s="36">
        <f t="shared" si="81"/>
        <v>39.54</v>
      </c>
      <c r="AM272" s="35">
        <v>46022</v>
      </c>
      <c r="AN272" s="30">
        <v>1</v>
      </c>
      <c r="AO272" s="36">
        <f t="shared" si="82"/>
        <v>39.54</v>
      </c>
      <c r="AP272" s="35">
        <v>46164</v>
      </c>
      <c r="AQ272" s="30">
        <v>1</v>
      </c>
      <c r="AR272" s="36">
        <f t="shared" si="83"/>
        <v>39.54</v>
      </c>
      <c r="AS272" s="27" t="s">
        <v>1278</v>
      </c>
      <c r="AT272" s="37">
        <v>46181</v>
      </c>
      <c r="AU272" s="30">
        <v>1</v>
      </c>
      <c r="AV272" s="36">
        <f t="shared" si="84"/>
        <v>39.54</v>
      </c>
      <c r="AW272" s="35">
        <v>46184</v>
      </c>
      <c r="AX272" s="30">
        <v>1</v>
      </c>
      <c r="AY272" s="32">
        <f t="shared" si="88"/>
        <v>39.54</v>
      </c>
      <c r="AZ272" s="30" t="s">
        <v>85</v>
      </c>
      <c r="BA272" s="63" t="s">
        <v>1285</v>
      </c>
      <c r="BB272" s="72"/>
      <c r="BC272" s="71" t="s">
        <v>1344</v>
      </c>
      <c r="BD272" s="71"/>
    </row>
    <row r="273" spans="1:56" x14ac:dyDescent="0.25">
      <c r="A273" s="24">
        <f>IF(B273="","",SUBTOTAL(3,$B$4:B273))</f>
        <v>256</v>
      </c>
      <c r="B273" s="25" t="s">
        <v>77</v>
      </c>
      <c r="C273" s="25" t="str">
        <f t="shared" si="89"/>
        <v>Shipment 2 400</v>
      </c>
      <c r="D273" s="25" t="s">
        <v>1252</v>
      </c>
      <c r="E273" s="25">
        <v>400</v>
      </c>
      <c r="F273" s="25"/>
      <c r="G273" s="65">
        <v>45990</v>
      </c>
      <c r="H273" s="25" t="s">
        <v>1257</v>
      </c>
      <c r="I273" s="25" t="s">
        <v>1254</v>
      </c>
      <c r="J273" s="26" t="s">
        <v>1301</v>
      </c>
      <c r="K273" s="27" t="s">
        <v>599</v>
      </c>
      <c r="L273" s="28" t="s">
        <v>601</v>
      </c>
      <c r="M273" s="28" t="s">
        <v>587</v>
      </c>
      <c r="N273" s="25">
        <v>1</v>
      </c>
      <c r="O273" s="29">
        <v>39.54</v>
      </c>
      <c r="P273" s="29">
        <v>39.54</v>
      </c>
      <c r="Q273" s="25" t="s">
        <v>1125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78"/>
        <v>39.54</v>
      </c>
      <c r="AF273" s="32">
        <f t="shared" si="79"/>
        <v>0</v>
      </c>
      <c r="AG273" s="30"/>
      <c r="AH273" s="33">
        <v>1</v>
      </c>
      <c r="AI273" s="34">
        <f t="shared" si="80"/>
        <v>39.54</v>
      </c>
      <c r="AJ273" s="35">
        <v>46011</v>
      </c>
      <c r="AK273" s="30">
        <v>1</v>
      </c>
      <c r="AL273" s="36">
        <f t="shared" si="81"/>
        <v>39.54</v>
      </c>
      <c r="AM273" s="35">
        <v>46043</v>
      </c>
      <c r="AN273" s="30">
        <v>1</v>
      </c>
      <c r="AO273" s="36">
        <f t="shared" si="82"/>
        <v>39.54</v>
      </c>
      <c r="AP273" s="35">
        <v>46164</v>
      </c>
      <c r="AQ273" s="30">
        <v>1</v>
      </c>
      <c r="AR273" s="36">
        <f t="shared" si="83"/>
        <v>39.54</v>
      </c>
      <c r="AS273" s="27" t="s">
        <v>1278</v>
      </c>
      <c r="AT273" s="37">
        <v>46181</v>
      </c>
      <c r="AU273" s="30">
        <v>1</v>
      </c>
      <c r="AV273" s="36">
        <f t="shared" si="84"/>
        <v>39.54</v>
      </c>
      <c r="AW273" s="35">
        <v>46184</v>
      </c>
      <c r="AX273" s="30">
        <v>1</v>
      </c>
      <c r="AY273" s="32">
        <f t="shared" si="88"/>
        <v>39.54</v>
      </c>
      <c r="AZ273" s="30" t="s">
        <v>85</v>
      </c>
      <c r="BA273" s="63" t="s">
        <v>1285</v>
      </c>
      <c r="BB273" s="72"/>
      <c r="BC273" s="71" t="s">
        <v>1344</v>
      </c>
      <c r="BD273" s="71"/>
    </row>
    <row r="274" spans="1:56" x14ac:dyDescent="0.25">
      <c r="A274" s="24">
        <f>IF(B274="","",SUBTOTAL(3,$B$4:B274))</f>
        <v>257</v>
      </c>
      <c r="B274" s="25" t="s">
        <v>77</v>
      </c>
      <c r="C274" s="25" t="str">
        <f t="shared" si="89"/>
        <v>Shipment 2 400</v>
      </c>
      <c r="D274" s="25" t="s">
        <v>1252</v>
      </c>
      <c r="E274" s="25">
        <v>400</v>
      </c>
      <c r="F274" s="25"/>
      <c r="G274" s="65">
        <v>45990</v>
      </c>
      <c r="H274" s="25" t="s">
        <v>1257</v>
      </c>
      <c r="I274" s="25" t="s">
        <v>1254</v>
      </c>
      <c r="J274" s="26" t="s">
        <v>1301</v>
      </c>
      <c r="K274" s="27" t="s">
        <v>599</v>
      </c>
      <c r="L274" s="28" t="s">
        <v>602</v>
      </c>
      <c r="M274" s="28" t="s">
        <v>587</v>
      </c>
      <c r="N274" s="25">
        <v>1</v>
      </c>
      <c r="O274" s="29">
        <v>39.54</v>
      </c>
      <c r="P274" s="29">
        <v>39.54</v>
      </c>
      <c r="Q274" s="25" t="s">
        <v>1125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78"/>
        <v>39.54</v>
      </c>
      <c r="AF274" s="32">
        <f t="shared" si="79"/>
        <v>0</v>
      </c>
      <c r="AG274" s="30"/>
      <c r="AH274" s="33">
        <v>1</v>
      </c>
      <c r="AI274" s="34">
        <f t="shared" si="80"/>
        <v>39.54</v>
      </c>
      <c r="AJ274" s="35">
        <v>46011</v>
      </c>
      <c r="AK274" s="30">
        <v>1</v>
      </c>
      <c r="AL274" s="36">
        <f t="shared" si="81"/>
        <v>39.54</v>
      </c>
      <c r="AM274" s="35">
        <v>46043</v>
      </c>
      <c r="AN274" s="30">
        <v>1</v>
      </c>
      <c r="AO274" s="36">
        <f t="shared" si="82"/>
        <v>39.54</v>
      </c>
      <c r="AP274" s="35">
        <v>46164</v>
      </c>
      <c r="AQ274" s="30">
        <v>1</v>
      </c>
      <c r="AR274" s="36">
        <f t="shared" si="83"/>
        <v>39.54</v>
      </c>
      <c r="AS274" s="27" t="s">
        <v>1278</v>
      </c>
      <c r="AT274" s="37">
        <v>46181</v>
      </c>
      <c r="AU274" s="30">
        <v>1</v>
      </c>
      <c r="AV274" s="36">
        <f t="shared" si="84"/>
        <v>39.54</v>
      </c>
      <c r="AW274" s="35">
        <v>46184</v>
      </c>
      <c r="AX274" s="30">
        <v>1</v>
      </c>
      <c r="AY274" s="32">
        <f t="shared" si="88"/>
        <v>39.54</v>
      </c>
      <c r="AZ274" s="30" t="s">
        <v>85</v>
      </c>
      <c r="BA274" s="63" t="s">
        <v>1285</v>
      </c>
      <c r="BB274" s="72"/>
      <c r="BC274" s="71" t="s">
        <v>1344</v>
      </c>
      <c r="BD274" s="71"/>
    </row>
    <row r="275" spans="1:56" x14ac:dyDescent="0.25">
      <c r="A275" s="24">
        <f>IF(B275="","",SUBTOTAL(3,$B$4:B275))</f>
        <v>258</v>
      </c>
      <c r="B275" s="25" t="s">
        <v>77</v>
      </c>
      <c r="C275" s="25" t="str">
        <f t="shared" si="89"/>
        <v>Shipment 2 400</v>
      </c>
      <c r="D275" s="25" t="s">
        <v>1252</v>
      </c>
      <c r="E275" s="25">
        <v>400</v>
      </c>
      <c r="F275" s="25"/>
      <c r="G275" s="65">
        <v>45990</v>
      </c>
      <c r="H275" s="25" t="s">
        <v>1257</v>
      </c>
      <c r="I275" s="25" t="s">
        <v>1254</v>
      </c>
      <c r="J275" s="26" t="s">
        <v>1301</v>
      </c>
      <c r="K275" s="27" t="s">
        <v>599</v>
      </c>
      <c r="L275" s="28" t="s">
        <v>603</v>
      </c>
      <c r="M275" s="28" t="s">
        <v>587</v>
      </c>
      <c r="N275" s="25">
        <v>1</v>
      </c>
      <c r="O275" s="29">
        <v>39.54</v>
      </c>
      <c r="P275" s="29">
        <v>39.54</v>
      </c>
      <c r="Q275" s="25" t="s">
        <v>1125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78"/>
        <v>39.54</v>
      </c>
      <c r="AF275" s="32">
        <f t="shared" si="79"/>
        <v>0</v>
      </c>
      <c r="AG275" s="30"/>
      <c r="AH275" s="33">
        <v>1</v>
      </c>
      <c r="AI275" s="34">
        <f t="shared" si="80"/>
        <v>39.54</v>
      </c>
      <c r="AJ275" s="35">
        <v>46011</v>
      </c>
      <c r="AK275" s="30">
        <v>1</v>
      </c>
      <c r="AL275" s="36">
        <f t="shared" si="81"/>
        <v>39.54</v>
      </c>
      <c r="AM275" s="35">
        <v>46043</v>
      </c>
      <c r="AN275" s="30">
        <v>1</v>
      </c>
      <c r="AO275" s="36">
        <f t="shared" si="82"/>
        <v>39.54</v>
      </c>
      <c r="AP275" s="35">
        <v>46164</v>
      </c>
      <c r="AQ275" s="30">
        <v>1</v>
      </c>
      <c r="AR275" s="36">
        <f t="shared" si="83"/>
        <v>39.54</v>
      </c>
      <c r="AS275" s="27" t="s">
        <v>1278</v>
      </c>
      <c r="AT275" s="37">
        <v>46181</v>
      </c>
      <c r="AU275" s="30">
        <v>1</v>
      </c>
      <c r="AV275" s="36">
        <f t="shared" si="84"/>
        <v>39.54</v>
      </c>
      <c r="AW275" s="35">
        <v>46184</v>
      </c>
      <c r="AX275" s="30">
        <v>1</v>
      </c>
      <c r="AY275" s="32">
        <f t="shared" si="88"/>
        <v>39.54</v>
      </c>
      <c r="AZ275" s="30" t="s">
        <v>85</v>
      </c>
      <c r="BA275" s="63" t="s">
        <v>1285</v>
      </c>
      <c r="BB275" s="72"/>
      <c r="BC275" s="71" t="s">
        <v>1344</v>
      </c>
      <c r="BD275" s="71"/>
    </row>
    <row r="276" spans="1:56" x14ac:dyDescent="0.25">
      <c r="A276" s="24">
        <f>IF(B276="","",SUBTOTAL(3,$B$4:B276))</f>
        <v>259</v>
      </c>
      <c r="B276" s="25" t="s">
        <v>77</v>
      </c>
      <c r="C276" s="25" t="str">
        <f t="shared" si="89"/>
        <v>Shipment 2 400</v>
      </c>
      <c r="D276" s="25" t="s">
        <v>1252</v>
      </c>
      <c r="E276" s="25">
        <v>400</v>
      </c>
      <c r="F276" s="25"/>
      <c r="G276" s="65">
        <v>45990</v>
      </c>
      <c r="H276" s="25" t="s">
        <v>1257</v>
      </c>
      <c r="I276" s="25" t="s">
        <v>1254</v>
      </c>
      <c r="J276" s="26" t="s">
        <v>1301</v>
      </c>
      <c r="K276" s="27" t="s">
        <v>604</v>
      </c>
      <c r="L276" s="28" t="s">
        <v>605</v>
      </c>
      <c r="M276" s="28" t="s">
        <v>587</v>
      </c>
      <c r="N276" s="25">
        <v>1</v>
      </c>
      <c r="O276" s="29">
        <v>39.54</v>
      </c>
      <c r="P276" s="29">
        <v>39.54</v>
      </c>
      <c r="Q276" s="25" t="s">
        <v>1125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78"/>
        <v>39.54</v>
      </c>
      <c r="AF276" s="32">
        <f t="shared" si="79"/>
        <v>0</v>
      </c>
      <c r="AG276" s="30"/>
      <c r="AH276" s="33">
        <v>1</v>
      </c>
      <c r="AI276" s="34">
        <f t="shared" si="80"/>
        <v>39.54</v>
      </c>
      <c r="AJ276" s="35">
        <v>46011</v>
      </c>
      <c r="AK276" s="30">
        <v>1</v>
      </c>
      <c r="AL276" s="36">
        <f t="shared" si="81"/>
        <v>39.54</v>
      </c>
      <c r="AM276" s="35">
        <v>46043</v>
      </c>
      <c r="AN276" s="30">
        <v>1</v>
      </c>
      <c r="AO276" s="36">
        <f t="shared" si="82"/>
        <v>39.54</v>
      </c>
      <c r="AP276" s="35">
        <v>46164</v>
      </c>
      <c r="AQ276" s="30">
        <v>1</v>
      </c>
      <c r="AR276" s="36">
        <f t="shared" si="83"/>
        <v>39.54</v>
      </c>
      <c r="AS276" s="27" t="s">
        <v>1278</v>
      </c>
      <c r="AT276" s="37">
        <v>46181</v>
      </c>
      <c r="AU276" s="30">
        <v>1</v>
      </c>
      <c r="AV276" s="36">
        <f t="shared" si="84"/>
        <v>39.54</v>
      </c>
      <c r="AW276" s="35">
        <v>46184</v>
      </c>
      <c r="AX276" s="30">
        <v>1</v>
      </c>
      <c r="AY276" s="32">
        <f t="shared" si="88"/>
        <v>39.54</v>
      </c>
      <c r="AZ276" s="30" t="s">
        <v>85</v>
      </c>
      <c r="BA276" s="63" t="s">
        <v>1285</v>
      </c>
      <c r="BB276" s="72"/>
      <c r="BC276" s="71" t="s">
        <v>605</v>
      </c>
      <c r="BD276" s="71"/>
    </row>
    <row r="277" spans="1:56" x14ac:dyDescent="0.25">
      <c r="A277" s="24">
        <f>IF(B277="","",SUBTOTAL(3,$B$4:B277))</f>
        <v>260</v>
      </c>
      <c r="B277" s="25" t="s">
        <v>77</v>
      </c>
      <c r="C277" s="25" t="str">
        <f t="shared" si="89"/>
        <v>Shipment 2 400</v>
      </c>
      <c r="D277" s="25" t="s">
        <v>1252</v>
      </c>
      <c r="E277" s="25">
        <v>400</v>
      </c>
      <c r="F277" s="25"/>
      <c r="G277" s="65">
        <v>45990</v>
      </c>
      <c r="H277" s="25" t="s">
        <v>1257</v>
      </c>
      <c r="I277" s="25" t="s">
        <v>1254</v>
      </c>
      <c r="J277" s="26" t="s">
        <v>1301</v>
      </c>
      <c r="K277" s="27" t="s">
        <v>606</v>
      </c>
      <c r="L277" s="28" t="s">
        <v>607</v>
      </c>
      <c r="M277" s="28" t="s">
        <v>587</v>
      </c>
      <c r="N277" s="25">
        <v>1</v>
      </c>
      <c r="O277" s="29">
        <v>16.73</v>
      </c>
      <c r="P277" s="29">
        <v>16.73</v>
      </c>
      <c r="Q277" s="25" t="s">
        <v>1126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78"/>
        <v>16.73</v>
      </c>
      <c r="AF277" s="32">
        <f t="shared" si="79"/>
        <v>0</v>
      </c>
      <c r="AG277" s="30"/>
      <c r="AH277" s="33">
        <v>1</v>
      </c>
      <c r="AI277" s="34">
        <f t="shared" si="80"/>
        <v>16.73</v>
      </c>
      <c r="AJ277" s="35">
        <v>46028</v>
      </c>
      <c r="AK277" s="30">
        <v>1</v>
      </c>
      <c r="AL277" s="36">
        <f t="shared" si="81"/>
        <v>16.73</v>
      </c>
      <c r="AM277" s="35">
        <v>46043</v>
      </c>
      <c r="AN277" s="30">
        <v>1</v>
      </c>
      <c r="AO277" s="36">
        <f t="shared" si="82"/>
        <v>16.73</v>
      </c>
      <c r="AP277" s="35">
        <v>46164</v>
      </c>
      <c r="AQ277" s="30">
        <v>1</v>
      </c>
      <c r="AR277" s="36">
        <f t="shared" si="83"/>
        <v>16.73</v>
      </c>
      <c r="AS277" s="27" t="s">
        <v>1278</v>
      </c>
      <c r="AT277" s="37">
        <v>46181</v>
      </c>
      <c r="AU277" s="30">
        <v>1</v>
      </c>
      <c r="AV277" s="36">
        <f t="shared" si="84"/>
        <v>16.73</v>
      </c>
      <c r="AW277" s="35">
        <v>46184</v>
      </c>
      <c r="AX277" s="30">
        <v>1</v>
      </c>
      <c r="AY277" s="32">
        <f t="shared" si="88"/>
        <v>16.73</v>
      </c>
      <c r="AZ277" s="30" t="s">
        <v>85</v>
      </c>
      <c r="BA277" s="63" t="s">
        <v>1285</v>
      </c>
      <c r="BB277" s="72"/>
      <c r="BC277" s="71" t="s">
        <v>607</v>
      </c>
      <c r="BD277" s="71"/>
    </row>
    <row r="278" spans="1:56" x14ac:dyDescent="0.25">
      <c r="A278" s="24">
        <f>IF(B278="","",SUBTOTAL(3,$B$4:B278))</f>
        <v>261</v>
      </c>
      <c r="B278" s="25" t="s">
        <v>77</v>
      </c>
      <c r="C278" s="25" t="str">
        <f t="shared" si="89"/>
        <v>Shipment 2 400</v>
      </c>
      <c r="D278" s="25" t="s">
        <v>1252</v>
      </c>
      <c r="E278" s="25">
        <v>400</v>
      </c>
      <c r="F278" s="25"/>
      <c r="G278" s="65">
        <v>45990</v>
      </c>
      <c r="H278" s="25" t="s">
        <v>1257</v>
      </c>
      <c r="I278" s="25" t="s">
        <v>1254</v>
      </c>
      <c r="J278" s="26" t="s">
        <v>1301</v>
      </c>
      <c r="K278" s="27" t="s">
        <v>608</v>
      </c>
      <c r="L278" s="28" t="s">
        <v>609</v>
      </c>
      <c r="M278" s="28" t="s">
        <v>587</v>
      </c>
      <c r="N278" s="25">
        <v>1</v>
      </c>
      <c r="O278" s="29">
        <v>22.05</v>
      </c>
      <c r="P278" s="29">
        <v>22.05</v>
      </c>
      <c r="Q278" s="25" t="s">
        <v>1127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78"/>
        <v>22.049999999999997</v>
      </c>
      <c r="AF278" s="32">
        <f t="shared" si="79"/>
        <v>0</v>
      </c>
      <c r="AG278" s="30"/>
      <c r="AH278" s="33">
        <v>1</v>
      </c>
      <c r="AI278" s="34">
        <f t="shared" si="80"/>
        <v>22.05</v>
      </c>
      <c r="AJ278" s="35">
        <v>46028</v>
      </c>
      <c r="AK278" s="30">
        <v>1</v>
      </c>
      <c r="AL278" s="36">
        <f t="shared" si="81"/>
        <v>22.05</v>
      </c>
      <c r="AM278" s="35">
        <v>46043</v>
      </c>
      <c r="AN278" s="30">
        <v>1</v>
      </c>
      <c r="AO278" s="36">
        <f t="shared" si="82"/>
        <v>22.05</v>
      </c>
      <c r="AP278" s="35">
        <v>46147</v>
      </c>
      <c r="AQ278" s="30">
        <v>1</v>
      </c>
      <c r="AR278" s="36">
        <f t="shared" si="83"/>
        <v>22.05</v>
      </c>
      <c r="AS278" s="27" t="s">
        <v>1276</v>
      </c>
      <c r="AT278" s="37">
        <v>46147</v>
      </c>
      <c r="AU278" s="30">
        <v>1</v>
      </c>
      <c r="AV278" s="36">
        <f t="shared" si="84"/>
        <v>22.05</v>
      </c>
      <c r="AW278" s="35">
        <v>46150</v>
      </c>
      <c r="AX278" s="30">
        <v>1</v>
      </c>
      <c r="AY278" s="32">
        <f t="shared" si="85"/>
        <v>22.05</v>
      </c>
      <c r="AZ278" s="30" t="s">
        <v>85</v>
      </c>
      <c r="BA278" s="63" t="s">
        <v>1277</v>
      </c>
      <c r="BB278" s="72"/>
      <c r="BC278" s="71" t="s">
        <v>609</v>
      </c>
      <c r="BD278" s="71"/>
    </row>
    <row r="279" spans="1:56" x14ac:dyDescent="0.25">
      <c r="A279" s="24">
        <f>IF(B279="","",SUBTOTAL(3,$B$4:B279))</f>
        <v>262</v>
      </c>
      <c r="B279" s="25" t="s">
        <v>77</v>
      </c>
      <c r="C279" s="25" t="str">
        <f t="shared" si="89"/>
        <v>Shipment 2 400</v>
      </c>
      <c r="D279" s="25" t="s">
        <v>1252</v>
      </c>
      <c r="E279" s="25">
        <v>400</v>
      </c>
      <c r="F279" s="25"/>
      <c r="G279" s="65">
        <v>45990</v>
      </c>
      <c r="H279" s="25" t="s">
        <v>1257</v>
      </c>
      <c r="I279" s="25" t="s">
        <v>1254</v>
      </c>
      <c r="J279" s="26" t="s">
        <v>1301</v>
      </c>
      <c r="K279" s="27" t="s">
        <v>610</v>
      </c>
      <c r="L279" s="28" t="s">
        <v>611</v>
      </c>
      <c r="M279" s="28" t="s">
        <v>587</v>
      </c>
      <c r="N279" s="25">
        <v>1</v>
      </c>
      <c r="O279" s="29">
        <v>22.05</v>
      </c>
      <c r="P279" s="29">
        <v>22.05</v>
      </c>
      <c r="Q279" s="25" t="s">
        <v>1127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78"/>
        <v>22.049999999999997</v>
      </c>
      <c r="AF279" s="32">
        <f t="shared" si="79"/>
        <v>0</v>
      </c>
      <c r="AG279" s="30"/>
      <c r="AH279" s="33">
        <v>1</v>
      </c>
      <c r="AI279" s="34">
        <f t="shared" si="80"/>
        <v>22.05</v>
      </c>
      <c r="AJ279" s="35">
        <v>46028</v>
      </c>
      <c r="AK279" s="30">
        <v>1</v>
      </c>
      <c r="AL279" s="36">
        <f t="shared" si="81"/>
        <v>22.05</v>
      </c>
      <c r="AM279" s="35">
        <v>46043</v>
      </c>
      <c r="AN279" s="30">
        <v>1</v>
      </c>
      <c r="AO279" s="36">
        <f t="shared" si="82"/>
        <v>22.05</v>
      </c>
      <c r="AP279" s="35">
        <v>46147</v>
      </c>
      <c r="AQ279" s="30">
        <v>1</v>
      </c>
      <c r="AR279" s="36">
        <f t="shared" si="83"/>
        <v>22.05</v>
      </c>
      <c r="AS279" s="27" t="s">
        <v>1276</v>
      </c>
      <c r="AT279" s="37">
        <v>46147</v>
      </c>
      <c r="AU279" s="30">
        <v>1</v>
      </c>
      <c r="AV279" s="36">
        <f t="shared" si="84"/>
        <v>22.05</v>
      </c>
      <c r="AW279" s="35">
        <v>46150</v>
      </c>
      <c r="AX279" s="30">
        <v>1</v>
      </c>
      <c r="AY279" s="32">
        <f t="shared" si="85"/>
        <v>22.05</v>
      </c>
      <c r="AZ279" s="30" t="s">
        <v>85</v>
      </c>
      <c r="BA279" s="63" t="s">
        <v>1277</v>
      </c>
      <c r="BB279" s="72"/>
      <c r="BC279" s="71" t="s">
        <v>611</v>
      </c>
      <c r="BD279" s="71"/>
    </row>
    <row r="280" spans="1:56" x14ac:dyDescent="0.25">
      <c r="A280" s="24">
        <f>IF(B280="","",SUBTOTAL(3,$B$4:B280))</f>
        <v>263</v>
      </c>
      <c r="B280" s="25" t="s">
        <v>77</v>
      </c>
      <c r="C280" s="25" t="str">
        <f t="shared" si="89"/>
        <v>Shipment 2 400</v>
      </c>
      <c r="D280" s="25" t="s">
        <v>1252</v>
      </c>
      <c r="E280" s="25">
        <v>400</v>
      </c>
      <c r="F280" s="25"/>
      <c r="G280" s="65">
        <v>45990</v>
      </c>
      <c r="H280" s="25" t="s">
        <v>1257</v>
      </c>
      <c r="I280" s="25" t="s">
        <v>1254</v>
      </c>
      <c r="J280" s="26" t="s">
        <v>1301</v>
      </c>
      <c r="K280" s="27" t="s">
        <v>612</v>
      </c>
      <c r="L280" s="28" t="s">
        <v>613</v>
      </c>
      <c r="M280" s="28" t="s">
        <v>587</v>
      </c>
      <c r="N280" s="25">
        <v>1</v>
      </c>
      <c r="O280" s="29">
        <v>57.97</v>
      </c>
      <c r="P280" s="29">
        <v>57.97</v>
      </c>
      <c r="Q280" s="25" t="s">
        <v>1128</v>
      </c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78"/>
        <v>57.97</v>
      </c>
      <c r="AF280" s="32">
        <f t="shared" si="79"/>
        <v>0</v>
      </c>
      <c r="AG280" s="30"/>
      <c r="AH280" s="33">
        <v>1</v>
      </c>
      <c r="AI280" s="34">
        <f t="shared" si="80"/>
        <v>57.97</v>
      </c>
      <c r="AJ280" s="35">
        <v>46028</v>
      </c>
      <c r="AK280" s="30">
        <v>1</v>
      </c>
      <c r="AL280" s="36">
        <f t="shared" si="81"/>
        <v>57.97</v>
      </c>
      <c r="AM280" s="35">
        <v>46043</v>
      </c>
      <c r="AN280" s="30">
        <v>1</v>
      </c>
      <c r="AO280" s="36">
        <f t="shared" si="82"/>
        <v>57.97</v>
      </c>
      <c r="AP280" s="35">
        <v>46155</v>
      </c>
      <c r="AQ280" s="30">
        <v>1</v>
      </c>
      <c r="AR280" s="36">
        <f t="shared" si="83"/>
        <v>57.97</v>
      </c>
      <c r="AS280" s="27" t="s">
        <v>1277</v>
      </c>
      <c r="AT280" s="37">
        <v>46155</v>
      </c>
      <c r="AU280" s="30">
        <v>1</v>
      </c>
      <c r="AV280" s="36">
        <f t="shared" si="84"/>
        <v>57.97</v>
      </c>
      <c r="AW280" s="35">
        <v>46157</v>
      </c>
      <c r="AX280" s="30">
        <v>1</v>
      </c>
      <c r="AY280" s="32">
        <f t="shared" ref="AY280:AY281" si="90">IFERROR(AX280*$P280/$N280,0)</f>
        <v>57.97</v>
      </c>
      <c r="AZ280" s="30" t="s">
        <v>85</v>
      </c>
      <c r="BA280" s="63" t="s">
        <v>1278</v>
      </c>
      <c r="BB280" s="72"/>
      <c r="BC280" s="71" t="s">
        <v>613</v>
      </c>
      <c r="BD280" s="71"/>
    </row>
    <row r="281" spans="1:56" x14ac:dyDescent="0.25">
      <c r="A281" s="24">
        <f>IF(B281="","",SUBTOTAL(3,$B$4:B281))</f>
        <v>264</v>
      </c>
      <c r="B281" s="25" t="s">
        <v>77</v>
      </c>
      <c r="C281" s="25" t="str">
        <f t="shared" si="89"/>
        <v>Shipment 2 400</v>
      </c>
      <c r="D281" s="25" t="s">
        <v>1252</v>
      </c>
      <c r="E281" s="25">
        <v>400</v>
      </c>
      <c r="F281" s="25"/>
      <c r="G281" s="65">
        <v>45990</v>
      </c>
      <c r="H281" s="25" t="s">
        <v>1257</v>
      </c>
      <c r="I281" s="25" t="s">
        <v>1254</v>
      </c>
      <c r="J281" s="26" t="s">
        <v>1301</v>
      </c>
      <c r="K281" s="27" t="s">
        <v>614</v>
      </c>
      <c r="L281" s="28" t="s">
        <v>615</v>
      </c>
      <c r="M281" s="28" t="s">
        <v>587</v>
      </c>
      <c r="N281" s="25">
        <v>1</v>
      </c>
      <c r="O281" s="29">
        <v>39.56</v>
      </c>
      <c r="P281" s="29">
        <v>39.56</v>
      </c>
      <c r="Q281" s="25" t="s">
        <v>1129</v>
      </c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78"/>
        <v>39.56</v>
      </c>
      <c r="AF281" s="32">
        <f t="shared" si="79"/>
        <v>0</v>
      </c>
      <c r="AG281" s="30"/>
      <c r="AH281" s="33">
        <v>1</v>
      </c>
      <c r="AI281" s="34">
        <f t="shared" si="80"/>
        <v>39.56</v>
      </c>
      <c r="AJ281" s="35">
        <v>46028</v>
      </c>
      <c r="AK281" s="30">
        <v>1</v>
      </c>
      <c r="AL281" s="36">
        <f t="shared" si="81"/>
        <v>39.56</v>
      </c>
      <c r="AM281" s="35">
        <v>46043</v>
      </c>
      <c r="AN281" s="30">
        <v>1</v>
      </c>
      <c r="AO281" s="36">
        <f t="shared" si="82"/>
        <v>39.56</v>
      </c>
      <c r="AP281" s="35">
        <v>46164</v>
      </c>
      <c r="AQ281" s="30">
        <v>1</v>
      </c>
      <c r="AR281" s="36">
        <f t="shared" si="83"/>
        <v>39.56</v>
      </c>
      <c r="AS281" s="27" t="s">
        <v>1278</v>
      </c>
      <c r="AT281" s="37">
        <v>46181</v>
      </c>
      <c r="AU281" s="30">
        <v>1</v>
      </c>
      <c r="AV281" s="36">
        <f t="shared" si="84"/>
        <v>39.56</v>
      </c>
      <c r="AW281" s="35">
        <v>46184</v>
      </c>
      <c r="AX281" s="30">
        <v>1</v>
      </c>
      <c r="AY281" s="32">
        <f t="shared" si="90"/>
        <v>39.56</v>
      </c>
      <c r="AZ281" s="30" t="s">
        <v>85</v>
      </c>
      <c r="BA281" s="63" t="s">
        <v>1285</v>
      </c>
      <c r="BB281" s="72"/>
      <c r="BC281" s="71" t="s">
        <v>615</v>
      </c>
      <c r="BD281" s="71"/>
    </row>
    <row r="282" spans="1:56" x14ac:dyDescent="0.25">
      <c r="A282" s="24">
        <f>IF(B282="","",SUBTOTAL(3,$B$4:B282))</f>
        <v>265</v>
      </c>
      <c r="B282" s="25" t="s">
        <v>77</v>
      </c>
      <c r="C282" s="25" t="str">
        <f t="shared" si="89"/>
        <v>Shipment 2 400</v>
      </c>
      <c r="D282" s="25" t="s">
        <v>1252</v>
      </c>
      <c r="E282" s="25">
        <v>400</v>
      </c>
      <c r="F282" s="25"/>
      <c r="G282" s="65">
        <v>45990</v>
      </c>
      <c r="H282" s="25" t="s">
        <v>1257</v>
      </c>
      <c r="I282" s="25" t="s">
        <v>1254</v>
      </c>
      <c r="J282" s="26" t="s">
        <v>1301</v>
      </c>
      <c r="K282" s="27" t="s">
        <v>616</v>
      </c>
      <c r="L282" s="28" t="s">
        <v>617</v>
      </c>
      <c r="M282" s="28" t="s">
        <v>587</v>
      </c>
      <c r="N282" s="25">
        <v>1</v>
      </c>
      <c r="O282" s="29">
        <v>20.149999999999999</v>
      </c>
      <c r="P282" s="29">
        <v>20.149999999999999</v>
      </c>
      <c r="Q282" s="25" t="s">
        <v>1130</v>
      </c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78"/>
        <v>20.149999999999999</v>
      </c>
      <c r="AF282" s="32">
        <f t="shared" si="79"/>
        <v>0</v>
      </c>
      <c r="AG282" s="30"/>
      <c r="AH282" s="33">
        <v>1</v>
      </c>
      <c r="AI282" s="34">
        <f t="shared" si="80"/>
        <v>20.149999999999999</v>
      </c>
      <c r="AJ282" s="35">
        <v>46028</v>
      </c>
      <c r="AK282" s="30">
        <v>1</v>
      </c>
      <c r="AL282" s="36">
        <f t="shared" si="81"/>
        <v>20.149999999999999</v>
      </c>
      <c r="AM282" s="35">
        <v>46043</v>
      </c>
      <c r="AN282" s="30">
        <v>1</v>
      </c>
      <c r="AO282" s="36">
        <f t="shared" si="82"/>
        <v>20.149999999999999</v>
      </c>
      <c r="AP282" s="35">
        <v>46147</v>
      </c>
      <c r="AQ282" s="30">
        <v>1</v>
      </c>
      <c r="AR282" s="36">
        <f t="shared" si="83"/>
        <v>20.149999999999999</v>
      </c>
      <c r="AS282" s="27" t="s">
        <v>1276</v>
      </c>
      <c r="AT282" s="37">
        <v>46147</v>
      </c>
      <c r="AU282" s="30">
        <v>1</v>
      </c>
      <c r="AV282" s="36">
        <f t="shared" si="84"/>
        <v>20.149999999999999</v>
      </c>
      <c r="AW282" s="35">
        <v>46150</v>
      </c>
      <c r="AX282" s="30">
        <v>1</v>
      </c>
      <c r="AY282" s="32">
        <f t="shared" si="85"/>
        <v>20.149999999999999</v>
      </c>
      <c r="AZ282" s="30" t="s">
        <v>85</v>
      </c>
      <c r="BA282" s="63" t="s">
        <v>1277</v>
      </c>
      <c r="BB282" s="72"/>
      <c r="BC282" s="71" t="s">
        <v>617</v>
      </c>
      <c r="BD282" s="71"/>
    </row>
    <row r="283" spans="1:56" x14ac:dyDescent="0.25">
      <c r="A283" s="24">
        <f>IF(B283="","",SUBTOTAL(3,$B$4:B283))</f>
        <v>266</v>
      </c>
      <c r="B283" s="25" t="s">
        <v>77</v>
      </c>
      <c r="C283" s="25" t="str">
        <f t="shared" si="89"/>
        <v>Shipment 2 400</v>
      </c>
      <c r="D283" s="25" t="s">
        <v>1252</v>
      </c>
      <c r="E283" s="25">
        <v>400</v>
      </c>
      <c r="F283" s="25"/>
      <c r="G283" s="65">
        <v>45990</v>
      </c>
      <c r="H283" s="25" t="s">
        <v>1257</v>
      </c>
      <c r="I283" s="25" t="s">
        <v>1254</v>
      </c>
      <c r="J283" s="26" t="s">
        <v>1301</v>
      </c>
      <c r="K283" s="27" t="s">
        <v>618</v>
      </c>
      <c r="L283" s="28" t="s">
        <v>619</v>
      </c>
      <c r="M283" s="28" t="s">
        <v>587</v>
      </c>
      <c r="N283" s="25">
        <v>1</v>
      </c>
      <c r="O283" s="29">
        <v>20.149999999999999</v>
      </c>
      <c r="P283" s="29">
        <v>20.149999999999999</v>
      </c>
      <c r="Q283" s="25" t="s">
        <v>1130</v>
      </c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ref="AE283:AE346" si="91">+AL283*0.5+AO283*0.4+AV283*0.1</f>
        <v>20.149999999999999</v>
      </c>
      <c r="AF283" s="32">
        <f t="shared" ref="AF283:AF346" si="92">+P283-AE283</f>
        <v>0</v>
      </c>
      <c r="AG283" s="30"/>
      <c r="AH283" s="33">
        <v>1</v>
      </c>
      <c r="AI283" s="34">
        <f t="shared" ref="AI283:AI346" si="93">+AH283*P283</f>
        <v>20.149999999999999</v>
      </c>
      <c r="AJ283" s="35">
        <v>46028</v>
      </c>
      <c r="AK283" s="30">
        <v>1</v>
      </c>
      <c r="AL283" s="36">
        <f t="shared" ref="AL283:AL346" si="94">IFERROR(AK283*$P283/$N283,0)</f>
        <v>20.149999999999999</v>
      </c>
      <c r="AM283" s="35">
        <v>46043</v>
      </c>
      <c r="AN283" s="30">
        <v>1</v>
      </c>
      <c r="AO283" s="36">
        <f t="shared" ref="AO283:AO346" si="95">IFERROR(AN283*$P283/$N283,0)</f>
        <v>20.149999999999999</v>
      </c>
      <c r="AP283" s="35">
        <v>46164</v>
      </c>
      <c r="AQ283" s="30">
        <v>1</v>
      </c>
      <c r="AR283" s="36">
        <f t="shared" ref="AR283:AR346" si="96">IFERROR(AQ283*$P283/$N283,0)</f>
        <v>20.149999999999999</v>
      </c>
      <c r="AS283" s="27" t="s">
        <v>1278</v>
      </c>
      <c r="AT283" s="37">
        <v>46181</v>
      </c>
      <c r="AU283" s="30">
        <v>1</v>
      </c>
      <c r="AV283" s="36">
        <f t="shared" ref="AV283:AV346" si="97">IFERROR(AU283*$P283/$N283,0)</f>
        <v>20.149999999999999</v>
      </c>
      <c r="AW283" s="35">
        <v>46184</v>
      </c>
      <c r="AX283" s="30">
        <v>1</v>
      </c>
      <c r="AY283" s="32">
        <f t="shared" ref="AY283" si="98">IFERROR(AX283*$P283/$N283,0)</f>
        <v>20.149999999999999</v>
      </c>
      <c r="AZ283" s="30" t="s">
        <v>85</v>
      </c>
      <c r="BA283" s="63" t="s">
        <v>1285</v>
      </c>
      <c r="BB283" s="72"/>
      <c r="BC283" s="71" t="s">
        <v>619</v>
      </c>
      <c r="BD283" s="71"/>
    </row>
    <row r="284" spans="1:56" x14ac:dyDescent="0.25">
      <c r="A284" s="24">
        <f>IF(B284="","",SUBTOTAL(3,$B$4:B284))</f>
        <v>267</v>
      </c>
      <c r="B284" s="25" t="s">
        <v>77</v>
      </c>
      <c r="C284" s="25" t="str">
        <f t="shared" si="89"/>
        <v>Shipment 2 400</v>
      </c>
      <c r="D284" s="25" t="s">
        <v>1252</v>
      </c>
      <c r="E284" s="25">
        <v>400</v>
      </c>
      <c r="F284" s="25"/>
      <c r="G284" s="65">
        <v>45990</v>
      </c>
      <c r="H284" s="25" t="s">
        <v>1257</v>
      </c>
      <c r="I284" s="25" t="s">
        <v>1254</v>
      </c>
      <c r="J284" s="26" t="s">
        <v>1301</v>
      </c>
      <c r="K284" s="27" t="s">
        <v>620</v>
      </c>
      <c r="L284" s="28" t="s">
        <v>621</v>
      </c>
      <c r="M284" s="28" t="s">
        <v>587</v>
      </c>
      <c r="N284" s="25">
        <v>1</v>
      </c>
      <c r="O284" s="29">
        <v>17.760000000000002</v>
      </c>
      <c r="P284" s="29">
        <v>17.760000000000002</v>
      </c>
      <c r="Q284" s="25" t="s">
        <v>1131</v>
      </c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91"/>
        <v>17.760000000000002</v>
      </c>
      <c r="AF284" s="32">
        <f t="shared" si="92"/>
        <v>0</v>
      </c>
      <c r="AG284" s="30"/>
      <c r="AH284" s="33">
        <v>1</v>
      </c>
      <c r="AI284" s="34">
        <f t="shared" si="93"/>
        <v>17.760000000000002</v>
      </c>
      <c r="AJ284" s="35">
        <v>46028</v>
      </c>
      <c r="AK284" s="30">
        <v>1</v>
      </c>
      <c r="AL284" s="36">
        <f t="shared" si="94"/>
        <v>17.760000000000002</v>
      </c>
      <c r="AM284" s="35">
        <v>46043</v>
      </c>
      <c r="AN284" s="30">
        <v>1</v>
      </c>
      <c r="AO284" s="36">
        <f t="shared" si="95"/>
        <v>17.760000000000002</v>
      </c>
      <c r="AP284" s="35">
        <v>46155</v>
      </c>
      <c r="AQ284" s="30">
        <v>1</v>
      </c>
      <c r="AR284" s="36">
        <f t="shared" si="96"/>
        <v>17.760000000000002</v>
      </c>
      <c r="AS284" s="27" t="s">
        <v>1277</v>
      </c>
      <c r="AT284" s="37">
        <v>46155</v>
      </c>
      <c r="AU284" s="30">
        <v>1</v>
      </c>
      <c r="AV284" s="36">
        <f t="shared" si="97"/>
        <v>17.760000000000002</v>
      </c>
      <c r="AW284" s="35">
        <v>46157</v>
      </c>
      <c r="AX284" s="30">
        <v>1</v>
      </c>
      <c r="AY284" s="32">
        <f t="shared" ref="AY284:AY346" si="99">IFERROR(AX284*$P284/$N284,0)</f>
        <v>17.760000000000002</v>
      </c>
      <c r="AZ284" s="30" t="s">
        <v>85</v>
      </c>
      <c r="BA284" s="63" t="s">
        <v>1278</v>
      </c>
      <c r="BB284" s="72"/>
      <c r="BC284" s="71" t="s">
        <v>1345</v>
      </c>
      <c r="BD284" s="71"/>
    </row>
    <row r="285" spans="1:56" x14ac:dyDescent="0.25">
      <c r="A285" s="24">
        <f>IF(B285="","",SUBTOTAL(3,$B$4:B285))</f>
        <v>268</v>
      </c>
      <c r="B285" s="25" t="s">
        <v>77</v>
      </c>
      <c r="C285" s="25" t="str">
        <f t="shared" si="89"/>
        <v>Shipment 2 400</v>
      </c>
      <c r="D285" s="25" t="s">
        <v>1252</v>
      </c>
      <c r="E285" s="25">
        <v>400</v>
      </c>
      <c r="F285" s="25"/>
      <c r="G285" s="65">
        <v>45990</v>
      </c>
      <c r="H285" s="25" t="s">
        <v>1257</v>
      </c>
      <c r="I285" s="25" t="s">
        <v>1254</v>
      </c>
      <c r="J285" s="26" t="s">
        <v>1301</v>
      </c>
      <c r="K285" s="27" t="s">
        <v>620</v>
      </c>
      <c r="L285" s="28" t="s">
        <v>622</v>
      </c>
      <c r="M285" s="28" t="s">
        <v>587</v>
      </c>
      <c r="N285" s="25">
        <v>1</v>
      </c>
      <c r="O285" s="29">
        <v>17.760000000000002</v>
      </c>
      <c r="P285" s="29">
        <v>17.760000000000002</v>
      </c>
      <c r="Q285" s="25" t="s">
        <v>1131</v>
      </c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91"/>
        <v>17.760000000000002</v>
      </c>
      <c r="AF285" s="32">
        <f t="shared" si="92"/>
        <v>0</v>
      </c>
      <c r="AG285" s="30"/>
      <c r="AH285" s="33">
        <v>1</v>
      </c>
      <c r="AI285" s="34">
        <f t="shared" si="93"/>
        <v>17.760000000000002</v>
      </c>
      <c r="AJ285" s="35">
        <v>46028</v>
      </c>
      <c r="AK285" s="30">
        <v>1</v>
      </c>
      <c r="AL285" s="36">
        <f t="shared" si="94"/>
        <v>17.760000000000002</v>
      </c>
      <c r="AM285" s="35">
        <v>46064</v>
      </c>
      <c r="AN285" s="30">
        <v>1</v>
      </c>
      <c r="AO285" s="36">
        <f t="shared" si="95"/>
        <v>17.760000000000002</v>
      </c>
      <c r="AP285" s="35">
        <v>46155</v>
      </c>
      <c r="AQ285" s="30">
        <v>1</v>
      </c>
      <c r="AR285" s="36">
        <f t="shared" si="96"/>
        <v>17.760000000000002</v>
      </c>
      <c r="AS285" s="27" t="s">
        <v>1277</v>
      </c>
      <c r="AT285" s="37">
        <v>46155</v>
      </c>
      <c r="AU285" s="30">
        <v>1</v>
      </c>
      <c r="AV285" s="36">
        <f t="shared" si="97"/>
        <v>17.760000000000002</v>
      </c>
      <c r="AW285" s="35">
        <v>46157</v>
      </c>
      <c r="AX285" s="30">
        <v>1</v>
      </c>
      <c r="AY285" s="32">
        <f t="shared" si="99"/>
        <v>17.760000000000002</v>
      </c>
      <c r="AZ285" s="30" t="s">
        <v>85</v>
      </c>
      <c r="BA285" s="63" t="s">
        <v>1278</v>
      </c>
      <c r="BB285" s="72"/>
      <c r="BC285" s="71" t="s">
        <v>1345</v>
      </c>
      <c r="BD285" s="71"/>
    </row>
    <row r="286" spans="1:56" x14ac:dyDescent="0.25">
      <c r="A286" s="24">
        <f>IF(B286="","",SUBTOTAL(3,$B$4:B286))</f>
        <v>269</v>
      </c>
      <c r="B286" s="25" t="s">
        <v>77</v>
      </c>
      <c r="C286" s="25" t="str">
        <f t="shared" si="89"/>
        <v>Shipment 2 400</v>
      </c>
      <c r="D286" s="25" t="s">
        <v>1252</v>
      </c>
      <c r="E286" s="25">
        <v>400</v>
      </c>
      <c r="F286" s="25"/>
      <c r="G286" s="65">
        <v>45990</v>
      </c>
      <c r="H286" s="25" t="s">
        <v>1257</v>
      </c>
      <c r="I286" s="25" t="s">
        <v>1254</v>
      </c>
      <c r="J286" s="26" t="s">
        <v>1301</v>
      </c>
      <c r="K286" s="27" t="s">
        <v>623</v>
      </c>
      <c r="L286" s="28" t="s">
        <v>624</v>
      </c>
      <c r="M286" s="28" t="s">
        <v>587</v>
      </c>
      <c r="N286" s="25">
        <v>1</v>
      </c>
      <c r="O286" s="29">
        <v>17.760000000000002</v>
      </c>
      <c r="P286" s="29">
        <v>17.760000000000002</v>
      </c>
      <c r="Q286" s="25" t="s">
        <v>1131</v>
      </c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91"/>
        <v>17.760000000000002</v>
      </c>
      <c r="AF286" s="32">
        <f t="shared" si="92"/>
        <v>0</v>
      </c>
      <c r="AG286" s="30"/>
      <c r="AH286" s="33">
        <v>1</v>
      </c>
      <c r="AI286" s="34">
        <f t="shared" si="93"/>
        <v>17.760000000000002</v>
      </c>
      <c r="AJ286" s="35">
        <v>46028</v>
      </c>
      <c r="AK286" s="30">
        <v>1</v>
      </c>
      <c r="AL286" s="36">
        <f t="shared" si="94"/>
        <v>17.760000000000002</v>
      </c>
      <c r="AM286" s="35">
        <v>46064</v>
      </c>
      <c r="AN286" s="30">
        <v>1</v>
      </c>
      <c r="AO286" s="36">
        <f t="shared" si="95"/>
        <v>17.760000000000002</v>
      </c>
      <c r="AP286" s="35">
        <v>46147</v>
      </c>
      <c r="AQ286" s="30">
        <v>1</v>
      </c>
      <c r="AR286" s="36">
        <f t="shared" si="96"/>
        <v>17.760000000000002</v>
      </c>
      <c r="AS286" s="27" t="s">
        <v>1276</v>
      </c>
      <c r="AT286" s="37">
        <v>46147</v>
      </c>
      <c r="AU286" s="30">
        <v>1</v>
      </c>
      <c r="AV286" s="36">
        <f t="shared" si="97"/>
        <v>17.760000000000002</v>
      </c>
      <c r="AW286" s="35">
        <v>46150</v>
      </c>
      <c r="AX286" s="30">
        <v>1</v>
      </c>
      <c r="AY286" s="32">
        <f t="shared" si="99"/>
        <v>17.760000000000002</v>
      </c>
      <c r="AZ286" s="30" t="s">
        <v>85</v>
      </c>
      <c r="BA286" s="63" t="s">
        <v>1277</v>
      </c>
      <c r="BB286" s="72"/>
      <c r="BC286" s="71" t="s">
        <v>1346</v>
      </c>
      <c r="BD286" s="71"/>
    </row>
    <row r="287" spans="1:56" x14ac:dyDescent="0.25">
      <c r="A287" s="24">
        <f>IF(B287="","",SUBTOTAL(3,$B$4:B287))</f>
        <v>270</v>
      </c>
      <c r="B287" s="25" t="s">
        <v>77</v>
      </c>
      <c r="C287" s="25" t="str">
        <f t="shared" si="89"/>
        <v>Shipment 2 400</v>
      </c>
      <c r="D287" s="25" t="s">
        <v>1252</v>
      </c>
      <c r="E287" s="25">
        <v>400</v>
      </c>
      <c r="F287" s="25"/>
      <c r="G287" s="65">
        <v>45990</v>
      </c>
      <c r="H287" s="25" t="s">
        <v>1257</v>
      </c>
      <c r="I287" s="25" t="s">
        <v>1254</v>
      </c>
      <c r="J287" s="26" t="s">
        <v>1301</v>
      </c>
      <c r="K287" s="27" t="s">
        <v>623</v>
      </c>
      <c r="L287" s="28" t="s">
        <v>625</v>
      </c>
      <c r="M287" s="28" t="s">
        <v>587</v>
      </c>
      <c r="N287" s="25">
        <v>1</v>
      </c>
      <c r="O287" s="29">
        <v>17.760000000000002</v>
      </c>
      <c r="P287" s="29">
        <v>17.760000000000002</v>
      </c>
      <c r="Q287" s="25" t="s">
        <v>1131</v>
      </c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91"/>
        <v>17.760000000000002</v>
      </c>
      <c r="AF287" s="32">
        <f t="shared" si="92"/>
        <v>0</v>
      </c>
      <c r="AG287" s="30"/>
      <c r="AH287" s="33">
        <v>1</v>
      </c>
      <c r="AI287" s="34">
        <f t="shared" si="93"/>
        <v>17.760000000000002</v>
      </c>
      <c r="AJ287" s="35">
        <v>46028</v>
      </c>
      <c r="AK287" s="30">
        <v>1</v>
      </c>
      <c r="AL287" s="36">
        <f t="shared" si="94"/>
        <v>17.760000000000002</v>
      </c>
      <c r="AM287" s="35">
        <v>46064</v>
      </c>
      <c r="AN287" s="30">
        <v>1</v>
      </c>
      <c r="AO287" s="36">
        <f t="shared" si="95"/>
        <v>17.760000000000002</v>
      </c>
      <c r="AP287" s="35">
        <v>46147</v>
      </c>
      <c r="AQ287" s="30">
        <v>1</v>
      </c>
      <c r="AR287" s="36">
        <f t="shared" si="96"/>
        <v>17.760000000000002</v>
      </c>
      <c r="AS287" s="27" t="s">
        <v>1276</v>
      </c>
      <c r="AT287" s="37">
        <v>46147</v>
      </c>
      <c r="AU287" s="30">
        <v>1</v>
      </c>
      <c r="AV287" s="36">
        <f t="shared" si="97"/>
        <v>17.760000000000002</v>
      </c>
      <c r="AW287" s="35">
        <v>46150</v>
      </c>
      <c r="AX287" s="30">
        <v>1</v>
      </c>
      <c r="AY287" s="32">
        <f t="shared" si="99"/>
        <v>17.760000000000002</v>
      </c>
      <c r="AZ287" s="30" t="s">
        <v>85</v>
      </c>
      <c r="BA287" s="63" t="s">
        <v>1277</v>
      </c>
      <c r="BB287" s="72"/>
      <c r="BC287" s="71" t="s">
        <v>1346</v>
      </c>
      <c r="BD287" s="71"/>
    </row>
    <row r="288" spans="1:56" x14ac:dyDescent="0.25">
      <c r="A288" s="24">
        <f>IF(B288="","",SUBTOTAL(3,$B$4:B288))</f>
        <v>271</v>
      </c>
      <c r="B288" s="25" t="s">
        <v>77</v>
      </c>
      <c r="C288" s="25" t="str">
        <f t="shared" si="89"/>
        <v>Shipment 2 400</v>
      </c>
      <c r="D288" s="25" t="s">
        <v>1252</v>
      </c>
      <c r="E288" s="25">
        <v>400</v>
      </c>
      <c r="F288" s="25"/>
      <c r="G288" s="65">
        <v>45990</v>
      </c>
      <c r="H288" s="25" t="s">
        <v>1257</v>
      </c>
      <c r="I288" s="25" t="s">
        <v>1254</v>
      </c>
      <c r="J288" s="26" t="s">
        <v>1301</v>
      </c>
      <c r="K288" s="27" t="s">
        <v>626</v>
      </c>
      <c r="L288" s="28" t="s">
        <v>627</v>
      </c>
      <c r="M288" s="28" t="s">
        <v>587</v>
      </c>
      <c r="N288" s="25">
        <v>1</v>
      </c>
      <c r="O288" s="29">
        <v>18.79</v>
      </c>
      <c r="P288" s="29">
        <v>18.79</v>
      </c>
      <c r="Q288" s="25" t="s">
        <v>1132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91"/>
        <v>18.790000000000003</v>
      </c>
      <c r="AF288" s="32">
        <f t="shared" si="92"/>
        <v>0</v>
      </c>
      <c r="AG288" s="30"/>
      <c r="AH288" s="33">
        <v>1</v>
      </c>
      <c r="AI288" s="34">
        <f t="shared" si="93"/>
        <v>18.79</v>
      </c>
      <c r="AJ288" s="35">
        <v>46028</v>
      </c>
      <c r="AK288" s="30">
        <v>1</v>
      </c>
      <c r="AL288" s="36">
        <f t="shared" si="94"/>
        <v>18.79</v>
      </c>
      <c r="AM288" s="35">
        <v>46064</v>
      </c>
      <c r="AN288" s="30">
        <v>1</v>
      </c>
      <c r="AO288" s="36">
        <f t="shared" si="95"/>
        <v>18.79</v>
      </c>
      <c r="AP288" s="35">
        <v>46147</v>
      </c>
      <c r="AQ288" s="30">
        <v>1</v>
      </c>
      <c r="AR288" s="36">
        <f t="shared" si="96"/>
        <v>18.79</v>
      </c>
      <c r="AS288" s="27" t="s">
        <v>1276</v>
      </c>
      <c r="AT288" s="37">
        <v>46147</v>
      </c>
      <c r="AU288" s="30">
        <v>1</v>
      </c>
      <c r="AV288" s="36">
        <f t="shared" si="97"/>
        <v>18.79</v>
      </c>
      <c r="AW288" s="35">
        <v>46150</v>
      </c>
      <c r="AX288" s="30">
        <v>1</v>
      </c>
      <c r="AY288" s="32">
        <f t="shared" si="99"/>
        <v>18.79</v>
      </c>
      <c r="AZ288" s="30" t="s">
        <v>85</v>
      </c>
      <c r="BA288" s="63" t="s">
        <v>1277</v>
      </c>
      <c r="BB288" s="72"/>
      <c r="BC288" s="71" t="s">
        <v>1347</v>
      </c>
      <c r="BD288" s="71"/>
    </row>
    <row r="289" spans="1:56" x14ac:dyDescent="0.25">
      <c r="A289" s="24">
        <f>IF(B289="","",SUBTOTAL(3,$B$4:B289))</f>
        <v>272</v>
      </c>
      <c r="B289" s="25" t="s">
        <v>77</v>
      </c>
      <c r="C289" s="25" t="str">
        <f t="shared" si="89"/>
        <v>Shipment 2 400</v>
      </c>
      <c r="D289" s="25" t="s">
        <v>1252</v>
      </c>
      <c r="E289" s="25">
        <v>400</v>
      </c>
      <c r="F289" s="25"/>
      <c r="G289" s="65">
        <v>45990</v>
      </c>
      <c r="H289" s="25" t="s">
        <v>1257</v>
      </c>
      <c r="I289" s="25" t="s">
        <v>1254</v>
      </c>
      <c r="J289" s="26" t="s">
        <v>1301</v>
      </c>
      <c r="K289" s="27" t="s">
        <v>626</v>
      </c>
      <c r="L289" s="28" t="s">
        <v>628</v>
      </c>
      <c r="M289" s="28" t="s">
        <v>587</v>
      </c>
      <c r="N289" s="25">
        <v>1</v>
      </c>
      <c r="O289" s="29">
        <v>18.79</v>
      </c>
      <c r="P289" s="29">
        <v>18.79</v>
      </c>
      <c r="Q289" s="25" t="s">
        <v>1132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91"/>
        <v>18.790000000000003</v>
      </c>
      <c r="AF289" s="32">
        <f t="shared" si="92"/>
        <v>0</v>
      </c>
      <c r="AG289" s="30"/>
      <c r="AH289" s="33">
        <v>1</v>
      </c>
      <c r="AI289" s="34">
        <f t="shared" si="93"/>
        <v>18.79</v>
      </c>
      <c r="AJ289" s="35">
        <v>46028</v>
      </c>
      <c r="AK289" s="30">
        <v>1</v>
      </c>
      <c r="AL289" s="36">
        <f t="shared" si="94"/>
        <v>18.79</v>
      </c>
      <c r="AM289" s="35">
        <v>46064</v>
      </c>
      <c r="AN289" s="30">
        <v>1</v>
      </c>
      <c r="AO289" s="36">
        <f t="shared" si="95"/>
        <v>18.79</v>
      </c>
      <c r="AP289" s="35">
        <v>46147</v>
      </c>
      <c r="AQ289" s="30">
        <v>1</v>
      </c>
      <c r="AR289" s="36">
        <f t="shared" si="96"/>
        <v>18.79</v>
      </c>
      <c r="AS289" s="27" t="s">
        <v>1276</v>
      </c>
      <c r="AT289" s="37">
        <v>46147</v>
      </c>
      <c r="AU289" s="30">
        <v>1</v>
      </c>
      <c r="AV289" s="36">
        <f t="shared" si="97"/>
        <v>18.79</v>
      </c>
      <c r="AW289" s="35">
        <v>46150</v>
      </c>
      <c r="AX289" s="30">
        <v>1</v>
      </c>
      <c r="AY289" s="32">
        <f t="shared" si="99"/>
        <v>18.79</v>
      </c>
      <c r="AZ289" s="30" t="s">
        <v>85</v>
      </c>
      <c r="BA289" s="63" t="s">
        <v>1277</v>
      </c>
      <c r="BB289" s="72"/>
      <c r="BC289" s="71" t="s">
        <v>1347</v>
      </c>
      <c r="BD289" s="71"/>
    </row>
    <row r="290" spans="1:56" x14ac:dyDescent="0.25">
      <c r="A290" s="24">
        <f>IF(B290="","",SUBTOTAL(3,$B$4:B290))</f>
        <v>273</v>
      </c>
      <c r="B290" s="25" t="s">
        <v>77</v>
      </c>
      <c r="C290" s="25" t="str">
        <f t="shared" si="89"/>
        <v>Shipment 2 400</v>
      </c>
      <c r="D290" s="25" t="s">
        <v>1252</v>
      </c>
      <c r="E290" s="25">
        <v>400</v>
      </c>
      <c r="F290" s="25"/>
      <c r="G290" s="65">
        <v>45990</v>
      </c>
      <c r="H290" s="25" t="s">
        <v>1257</v>
      </c>
      <c r="I290" s="25" t="s">
        <v>1254</v>
      </c>
      <c r="J290" s="26" t="s">
        <v>1301</v>
      </c>
      <c r="K290" s="27" t="s">
        <v>629</v>
      </c>
      <c r="L290" s="28" t="s">
        <v>630</v>
      </c>
      <c r="M290" s="28" t="s">
        <v>587</v>
      </c>
      <c r="N290" s="25">
        <v>1</v>
      </c>
      <c r="O290" s="29">
        <v>18.399999999999999</v>
      </c>
      <c r="P290" s="29">
        <v>18.399999999999999</v>
      </c>
      <c r="Q290" s="25" t="s">
        <v>1133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91"/>
        <v>18.399999999999999</v>
      </c>
      <c r="AF290" s="32">
        <f t="shared" si="92"/>
        <v>0</v>
      </c>
      <c r="AG290" s="30"/>
      <c r="AH290" s="33">
        <v>1</v>
      </c>
      <c r="AI290" s="34">
        <f t="shared" si="93"/>
        <v>18.399999999999999</v>
      </c>
      <c r="AJ290" s="35">
        <v>46064</v>
      </c>
      <c r="AK290" s="30">
        <v>1</v>
      </c>
      <c r="AL290" s="36">
        <f t="shared" si="94"/>
        <v>18.399999999999999</v>
      </c>
      <c r="AM290" s="35">
        <v>46064</v>
      </c>
      <c r="AN290" s="30">
        <v>1</v>
      </c>
      <c r="AO290" s="36">
        <f t="shared" si="95"/>
        <v>18.399999999999999</v>
      </c>
      <c r="AP290" s="35">
        <v>46147</v>
      </c>
      <c r="AQ290" s="30">
        <v>1</v>
      </c>
      <c r="AR290" s="36">
        <f t="shared" si="96"/>
        <v>18.399999999999999</v>
      </c>
      <c r="AS290" s="27" t="s">
        <v>1276</v>
      </c>
      <c r="AT290" s="37">
        <v>46147</v>
      </c>
      <c r="AU290" s="30">
        <v>1</v>
      </c>
      <c r="AV290" s="36">
        <f t="shared" si="97"/>
        <v>18.399999999999999</v>
      </c>
      <c r="AW290" s="35">
        <v>46150</v>
      </c>
      <c r="AX290" s="30">
        <v>1</v>
      </c>
      <c r="AY290" s="32">
        <f t="shared" si="99"/>
        <v>18.399999999999999</v>
      </c>
      <c r="AZ290" s="30" t="s">
        <v>85</v>
      </c>
      <c r="BA290" s="63" t="s">
        <v>1277</v>
      </c>
      <c r="BB290" s="72"/>
      <c r="BC290" s="71" t="s">
        <v>630</v>
      </c>
      <c r="BD290" s="71"/>
    </row>
    <row r="291" spans="1:56" x14ac:dyDescent="0.25">
      <c r="A291" s="24">
        <f>IF(B291="","",SUBTOTAL(3,$B$4:B291))</f>
        <v>274</v>
      </c>
      <c r="B291" s="25" t="s">
        <v>77</v>
      </c>
      <c r="C291" s="25" t="str">
        <f t="shared" si="89"/>
        <v>Shipment 2 400</v>
      </c>
      <c r="D291" s="25" t="s">
        <v>1252</v>
      </c>
      <c r="E291" s="25">
        <v>400</v>
      </c>
      <c r="F291" s="25"/>
      <c r="G291" s="65">
        <v>45990</v>
      </c>
      <c r="H291" s="25" t="s">
        <v>1257</v>
      </c>
      <c r="I291" s="25" t="s">
        <v>1254</v>
      </c>
      <c r="J291" s="26" t="s">
        <v>1301</v>
      </c>
      <c r="K291" s="27" t="s">
        <v>631</v>
      </c>
      <c r="L291" s="28" t="s">
        <v>632</v>
      </c>
      <c r="M291" s="28" t="s">
        <v>587</v>
      </c>
      <c r="N291" s="25">
        <v>1</v>
      </c>
      <c r="O291" s="29">
        <v>18.399999999999999</v>
      </c>
      <c r="P291" s="29">
        <v>18.399999999999999</v>
      </c>
      <c r="Q291" s="25" t="s">
        <v>1133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91"/>
        <v>18.399999999999999</v>
      </c>
      <c r="AF291" s="32">
        <f t="shared" si="92"/>
        <v>0</v>
      </c>
      <c r="AG291" s="30"/>
      <c r="AH291" s="33">
        <v>1</v>
      </c>
      <c r="AI291" s="34">
        <f t="shared" si="93"/>
        <v>18.399999999999999</v>
      </c>
      <c r="AJ291" s="35">
        <v>46064</v>
      </c>
      <c r="AK291" s="30">
        <v>1</v>
      </c>
      <c r="AL291" s="36">
        <f t="shared" si="94"/>
        <v>18.399999999999999</v>
      </c>
      <c r="AM291" s="35">
        <v>46064</v>
      </c>
      <c r="AN291" s="30">
        <v>1</v>
      </c>
      <c r="AO291" s="36">
        <f t="shared" si="95"/>
        <v>18.399999999999999</v>
      </c>
      <c r="AP291" s="35">
        <v>46147</v>
      </c>
      <c r="AQ291" s="30">
        <v>1</v>
      </c>
      <c r="AR291" s="36">
        <f t="shared" si="96"/>
        <v>18.399999999999999</v>
      </c>
      <c r="AS291" s="27" t="s">
        <v>1276</v>
      </c>
      <c r="AT291" s="37">
        <v>46147</v>
      </c>
      <c r="AU291" s="30">
        <v>1</v>
      </c>
      <c r="AV291" s="36">
        <f t="shared" si="97"/>
        <v>18.399999999999999</v>
      </c>
      <c r="AW291" s="35">
        <v>46150</v>
      </c>
      <c r="AX291" s="30">
        <v>1</v>
      </c>
      <c r="AY291" s="32">
        <f t="shared" si="99"/>
        <v>18.399999999999999</v>
      </c>
      <c r="AZ291" s="30" t="s">
        <v>85</v>
      </c>
      <c r="BA291" s="63" t="s">
        <v>1277</v>
      </c>
      <c r="BB291" s="72"/>
      <c r="BC291" s="71" t="s">
        <v>632</v>
      </c>
      <c r="BD291" s="71"/>
    </row>
    <row r="292" spans="1:56" x14ac:dyDescent="0.25">
      <c r="A292" s="24">
        <f>IF(B292="","",SUBTOTAL(3,$B$4:B292))</f>
        <v>275</v>
      </c>
      <c r="B292" s="25" t="s">
        <v>77</v>
      </c>
      <c r="C292" s="25" t="str">
        <f t="shared" si="89"/>
        <v>Shipment 2 400</v>
      </c>
      <c r="D292" s="25" t="s">
        <v>1252</v>
      </c>
      <c r="E292" s="25">
        <v>400</v>
      </c>
      <c r="F292" s="25"/>
      <c r="G292" s="65">
        <v>45990</v>
      </c>
      <c r="H292" s="25" t="s">
        <v>1257</v>
      </c>
      <c r="I292" s="25" t="s">
        <v>1254</v>
      </c>
      <c r="J292" s="26" t="s">
        <v>1301</v>
      </c>
      <c r="K292" s="27" t="s">
        <v>633</v>
      </c>
      <c r="L292" s="28" t="s">
        <v>634</v>
      </c>
      <c r="M292" s="28" t="s">
        <v>587</v>
      </c>
      <c r="N292" s="25">
        <v>1</v>
      </c>
      <c r="O292" s="29">
        <v>12.81</v>
      </c>
      <c r="P292" s="29">
        <v>12.81</v>
      </c>
      <c r="Q292" s="25" t="s">
        <v>1134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91"/>
        <v>12.81</v>
      </c>
      <c r="AF292" s="32">
        <f t="shared" si="92"/>
        <v>0</v>
      </c>
      <c r="AG292" s="30"/>
      <c r="AH292" s="33">
        <v>1</v>
      </c>
      <c r="AI292" s="34">
        <f t="shared" si="93"/>
        <v>12.81</v>
      </c>
      <c r="AJ292" s="35">
        <v>46064</v>
      </c>
      <c r="AK292" s="30">
        <v>1</v>
      </c>
      <c r="AL292" s="36">
        <f t="shared" si="94"/>
        <v>12.81</v>
      </c>
      <c r="AM292" s="35">
        <v>46064</v>
      </c>
      <c r="AN292" s="30">
        <v>1</v>
      </c>
      <c r="AO292" s="36">
        <f t="shared" si="95"/>
        <v>12.81</v>
      </c>
      <c r="AP292" s="35">
        <v>46164</v>
      </c>
      <c r="AQ292" s="30">
        <v>1</v>
      </c>
      <c r="AR292" s="36">
        <f t="shared" si="96"/>
        <v>12.81</v>
      </c>
      <c r="AS292" s="27" t="s">
        <v>1278</v>
      </c>
      <c r="AT292" s="37">
        <v>46181</v>
      </c>
      <c r="AU292" s="30">
        <v>1</v>
      </c>
      <c r="AV292" s="36">
        <f t="shared" si="97"/>
        <v>12.81</v>
      </c>
      <c r="AW292" s="35">
        <v>46184</v>
      </c>
      <c r="AX292" s="30">
        <v>1</v>
      </c>
      <c r="AY292" s="32">
        <f t="shared" si="99"/>
        <v>12.81</v>
      </c>
      <c r="AZ292" s="30" t="s">
        <v>85</v>
      </c>
      <c r="BA292" s="63" t="s">
        <v>1285</v>
      </c>
      <c r="BB292" s="72"/>
      <c r="BC292" s="71" t="s">
        <v>634</v>
      </c>
      <c r="BD292" s="71"/>
    </row>
    <row r="293" spans="1:56" x14ac:dyDescent="0.25">
      <c r="A293" s="24">
        <f>IF(B293="","",SUBTOTAL(3,$B$4:B293))</f>
        <v>276</v>
      </c>
      <c r="B293" s="25" t="s">
        <v>77</v>
      </c>
      <c r="C293" s="25" t="str">
        <f t="shared" si="89"/>
        <v>Shipment 2 400</v>
      </c>
      <c r="D293" s="25" t="s">
        <v>1252</v>
      </c>
      <c r="E293" s="25">
        <v>400</v>
      </c>
      <c r="F293" s="25"/>
      <c r="G293" s="65">
        <v>45990</v>
      </c>
      <c r="H293" s="25" t="s">
        <v>1257</v>
      </c>
      <c r="I293" s="25" t="s">
        <v>1254</v>
      </c>
      <c r="J293" s="26" t="s">
        <v>1301</v>
      </c>
      <c r="K293" s="27" t="s">
        <v>635</v>
      </c>
      <c r="L293" s="28" t="s">
        <v>636</v>
      </c>
      <c r="M293" s="28" t="s">
        <v>587</v>
      </c>
      <c r="N293" s="25">
        <v>1</v>
      </c>
      <c r="O293" s="29">
        <v>19.47</v>
      </c>
      <c r="P293" s="29">
        <v>19.47</v>
      </c>
      <c r="Q293" s="25" t="s">
        <v>1135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91"/>
        <v>19.47</v>
      </c>
      <c r="AF293" s="32">
        <f t="shared" si="92"/>
        <v>0</v>
      </c>
      <c r="AG293" s="30"/>
      <c r="AH293" s="33">
        <v>1</v>
      </c>
      <c r="AI293" s="34">
        <f t="shared" si="93"/>
        <v>19.47</v>
      </c>
      <c r="AJ293" s="35">
        <v>46064</v>
      </c>
      <c r="AK293" s="30">
        <v>1</v>
      </c>
      <c r="AL293" s="36">
        <f t="shared" si="94"/>
        <v>19.47</v>
      </c>
      <c r="AM293" s="35">
        <v>46064</v>
      </c>
      <c r="AN293" s="30">
        <v>1</v>
      </c>
      <c r="AO293" s="36">
        <f t="shared" si="95"/>
        <v>19.47</v>
      </c>
      <c r="AP293" s="35">
        <v>46147</v>
      </c>
      <c r="AQ293" s="30">
        <v>1</v>
      </c>
      <c r="AR293" s="36">
        <f t="shared" si="96"/>
        <v>19.47</v>
      </c>
      <c r="AS293" s="27" t="s">
        <v>1276</v>
      </c>
      <c r="AT293" s="37">
        <v>46147</v>
      </c>
      <c r="AU293" s="30">
        <v>1</v>
      </c>
      <c r="AV293" s="36">
        <f t="shared" si="97"/>
        <v>19.47</v>
      </c>
      <c r="AW293" s="35">
        <v>46150</v>
      </c>
      <c r="AX293" s="30">
        <v>1</v>
      </c>
      <c r="AY293" s="32">
        <f t="shared" si="99"/>
        <v>19.47</v>
      </c>
      <c r="AZ293" s="30" t="s">
        <v>85</v>
      </c>
      <c r="BA293" s="63" t="s">
        <v>1277</v>
      </c>
      <c r="BB293" s="72"/>
      <c r="BC293" s="71" t="s">
        <v>636</v>
      </c>
      <c r="BD293" s="71"/>
    </row>
    <row r="294" spans="1:56" x14ac:dyDescent="0.25">
      <c r="A294" s="24">
        <f>IF(B294="","",SUBTOTAL(3,$B$4:B294))</f>
        <v>277</v>
      </c>
      <c r="B294" s="25" t="s">
        <v>77</v>
      </c>
      <c r="C294" s="25" t="str">
        <f t="shared" si="89"/>
        <v>Shipment 2 400</v>
      </c>
      <c r="D294" s="25" t="s">
        <v>1252</v>
      </c>
      <c r="E294" s="25">
        <v>400</v>
      </c>
      <c r="F294" s="25"/>
      <c r="G294" s="65">
        <v>45990</v>
      </c>
      <c r="H294" s="25" t="s">
        <v>1257</v>
      </c>
      <c r="I294" s="25" t="s">
        <v>1254</v>
      </c>
      <c r="J294" s="26" t="s">
        <v>1301</v>
      </c>
      <c r="K294" s="27" t="s">
        <v>637</v>
      </c>
      <c r="L294" s="28" t="s">
        <v>638</v>
      </c>
      <c r="M294" s="28" t="s">
        <v>587</v>
      </c>
      <c r="N294" s="25">
        <v>1</v>
      </c>
      <c r="O294" s="29">
        <v>21.21</v>
      </c>
      <c r="P294" s="29">
        <v>21.21</v>
      </c>
      <c r="Q294" s="25" t="s">
        <v>1136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91"/>
        <v>21.209999999999997</v>
      </c>
      <c r="AF294" s="32">
        <f t="shared" si="92"/>
        <v>0</v>
      </c>
      <c r="AG294" s="30"/>
      <c r="AH294" s="33">
        <v>1</v>
      </c>
      <c r="AI294" s="34">
        <f t="shared" si="93"/>
        <v>21.21</v>
      </c>
      <c r="AJ294" s="35">
        <v>46064</v>
      </c>
      <c r="AK294" s="30">
        <v>1</v>
      </c>
      <c r="AL294" s="36">
        <f t="shared" si="94"/>
        <v>21.21</v>
      </c>
      <c r="AM294" s="35">
        <v>46064</v>
      </c>
      <c r="AN294" s="30">
        <v>1</v>
      </c>
      <c r="AO294" s="36">
        <f t="shared" si="95"/>
        <v>21.21</v>
      </c>
      <c r="AP294" s="35">
        <v>46147</v>
      </c>
      <c r="AQ294" s="30">
        <v>1</v>
      </c>
      <c r="AR294" s="36">
        <f t="shared" si="96"/>
        <v>21.21</v>
      </c>
      <c r="AS294" s="27" t="s">
        <v>1276</v>
      </c>
      <c r="AT294" s="37">
        <v>46147</v>
      </c>
      <c r="AU294" s="30">
        <v>1</v>
      </c>
      <c r="AV294" s="36">
        <f t="shared" si="97"/>
        <v>21.21</v>
      </c>
      <c r="AW294" s="35">
        <v>46150</v>
      </c>
      <c r="AX294" s="30">
        <v>1</v>
      </c>
      <c r="AY294" s="32">
        <f t="shared" si="99"/>
        <v>21.21</v>
      </c>
      <c r="AZ294" s="30" t="s">
        <v>85</v>
      </c>
      <c r="BA294" s="63" t="s">
        <v>1277</v>
      </c>
      <c r="BB294" s="72"/>
      <c r="BC294" s="71" t="s">
        <v>638</v>
      </c>
      <c r="BD294" s="71"/>
    </row>
    <row r="295" spans="1:56" x14ac:dyDescent="0.25">
      <c r="A295" s="24">
        <f>IF(B295="","",SUBTOTAL(3,$B$4:B295))</f>
        <v>278</v>
      </c>
      <c r="B295" s="25" t="s">
        <v>77</v>
      </c>
      <c r="C295" s="25" t="str">
        <f t="shared" si="89"/>
        <v>Shipment 2 400</v>
      </c>
      <c r="D295" s="25" t="s">
        <v>1252</v>
      </c>
      <c r="E295" s="25">
        <v>400</v>
      </c>
      <c r="F295" s="25"/>
      <c r="G295" s="65">
        <v>45990</v>
      </c>
      <c r="H295" s="25" t="s">
        <v>1257</v>
      </c>
      <c r="I295" s="25" t="s">
        <v>1254</v>
      </c>
      <c r="J295" s="26" t="s">
        <v>1301</v>
      </c>
      <c r="K295" s="27" t="s">
        <v>639</v>
      </c>
      <c r="L295" s="28" t="s">
        <v>640</v>
      </c>
      <c r="M295" s="28" t="s">
        <v>587</v>
      </c>
      <c r="N295" s="25">
        <v>1</v>
      </c>
      <c r="O295" s="29">
        <v>21.2</v>
      </c>
      <c r="P295" s="29">
        <v>21.2</v>
      </c>
      <c r="Q295" s="25" t="s">
        <v>1136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91"/>
        <v>21.2</v>
      </c>
      <c r="AF295" s="32">
        <f t="shared" si="92"/>
        <v>0</v>
      </c>
      <c r="AG295" s="30"/>
      <c r="AH295" s="33">
        <v>1</v>
      </c>
      <c r="AI295" s="34">
        <f t="shared" si="93"/>
        <v>21.2</v>
      </c>
      <c r="AJ295" s="35">
        <v>46064</v>
      </c>
      <c r="AK295" s="30">
        <v>1</v>
      </c>
      <c r="AL295" s="36">
        <f t="shared" si="94"/>
        <v>21.2</v>
      </c>
      <c r="AM295" s="35">
        <v>46064</v>
      </c>
      <c r="AN295" s="30">
        <v>1</v>
      </c>
      <c r="AO295" s="36">
        <f t="shared" si="95"/>
        <v>21.2</v>
      </c>
      <c r="AP295" s="35">
        <v>46147</v>
      </c>
      <c r="AQ295" s="30">
        <v>1</v>
      </c>
      <c r="AR295" s="36">
        <f t="shared" si="96"/>
        <v>21.2</v>
      </c>
      <c r="AS295" s="27" t="s">
        <v>1276</v>
      </c>
      <c r="AT295" s="37">
        <v>46147</v>
      </c>
      <c r="AU295" s="30">
        <v>1</v>
      </c>
      <c r="AV295" s="36">
        <f t="shared" si="97"/>
        <v>21.2</v>
      </c>
      <c r="AW295" s="35">
        <v>46150</v>
      </c>
      <c r="AX295" s="30">
        <v>1</v>
      </c>
      <c r="AY295" s="32">
        <f t="shared" si="99"/>
        <v>21.2</v>
      </c>
      <c r="AZ295" s="30" t="s">
        <v>85</v>
      </c>
      <c r="BA295" s="63" t="s">
        <v>1277</v>
      </c>
      <c r="BB295" s="72"/>
      <c r="BC295" s="71" t="s">
        <v>640</v>
      </c>
      <c r="BD295" s="71"/>
    </row>
    <row r="296" spans="1:56" x14ac:dyDescent="0.25">
      <c r="A296" s="24">
        <f>IF(B296="","",SUBTOTAL(3,$B$4:B296))</f>
        <v>279</v>
      </c>
      <c r="B296" s="25" t="s">
        <v>77</v>
      </c>
      <c r="C296" s="25" t="str">
        <f t="shared" si="89"/>
        <v>Shipment 2 400</v>
      </c>
      <c r="D296" s="25" t="s">
        <v>1252</v>
      </c>
      <c r="E296" s="25">
        <v>400</v>
      </c>
      <c r="F296" s="25"/>
      <c r="G296" s="65">
        <v>45990</v>
      </c>
      <c r="H296" s="25" t="s">
        <v>1257</v>
      </c>
      <c r="I296" s="25" t="s">
        <v>1254</v>
      </c>
      <c r="J296" s="26" t="s">
        <v>1301</v>
      </c>
      <c r="K296" s="27" t="s">
        <v>641</v>
      </c>
      <c r="L296" s="28" t="s">
        <v>642</v>
      </c>
      <c r="M296" s="28" t="s">
        <v>587</v>
      </c>
      <c r="N296" s="25">
        <v>1</v>
      </c>
      <c r="O296" s="29">
        <v>20.059999999999999</v>
      </c>
      <c r="P296" s="29">
        <v>20.059999999999999</v>
      </c>
      <c r="Q296" s="25" t="s">
        <v>1137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91"/>
        <v>20.059999999999999</v>
      </c>
      <c r="AF296" s="32">
        <f t="shared" si="92"/>
        <v>0</v>
      </c>
      <c r="AG296" s="30"/>
      <c r="AH296" s="33">
        <v>1</v>
      </c>
      <c r="AI296" s="34">
        <f t="shared" si="93"/>
        <v>20.059999999999999</v>
      </c>
      <c r="AJ296" s="35">
        <v>46064</v>
      </c>
      <c r="AK296" s="30">
        <v>1</v>
      </c>
      <c r="AL296" s="36">
        <f t="shared" si="94"/>
        <v>20.059999999999999</v>
      </c>
      <c r="AM296" s="35">
        <v>46064</v>
      </c>
      <c r="AN296" s="30">
        <v>1</v>
      </c>
      <c r="AO296" s="36">
        <f t="shared" si="95"/>
        <v>20.059999999999999</v>
      </c>
      <c r="AP296" s="35">
        <v>46147</v>
      </c>
      <c r="AQ296" s="30">
        <v>1</v>
      </c>
      <c r="AR296" s="36">
        <f t="shared" si="96"/>
        <v>20.059999999999999</v>
      </c>
      <c r="AS296" s="27" t="s">
        <v>1276</v>
      </c>
      <c r="AT296" s="37">
        <v>46147</v>
      </c>
      <c r="AU296" s="30">
        <v>1</v>
      </c>
      <c r="AV296" s="36">
        <f t="shared" si="97"/>
        <v>20.059999999999999</v>
      </c>
      <c r="AW296" s="35">
        <v>46150</v>
      </c>
      <c r="AX296" s="30">
        <v>1</v>
      </c>
      <c r="AY296" s="32">
        <f t="shared" si="99"/>
        <v>20.059999999999999</v>
      </c>
      <c r="AZ296" s="30" t="s">
        <v>85</v>
      </c>
      <c r="BA296" s="63" t="s">
        <v>1277</v>
      </c>
      <c r="BB296" s="72"/>
      <c r="BC296" s="71" t="s">
        <v>642</v>
      </c>
      <c r="BD296" s="71"/>
    </row>
    <row r="297" spans="1:56" x14ac:dyDescent="0.25">
      <c r="A297" s="24">
        <f>IF(B297="","",SUBTOTAL(3,$B$4:B297))</f>
        <v>280</v>
      </c>
      <c r="B297" s="25" t="s">
        <v>77</v>
      </c>
      <c r="C297" s="25" t="str">
        <f t="shared" si="89"/>
        <v>Shipment 2 400</v>
      </c>
      <c r="D297" s="25" t="s">
        <v>1252</v>
      </c>
      <c r="E297" s="25">
        <v>400</v>
      </c>
      <c r="F297" s="25"/>
      <c r="G297" s="65">
        <v>45990</v>
      </c>
      <c r="H297" s="25" t="s">
        <v>1257</v>
      </c>
      <c r="I297" s="25" t="s">
        <v>1254</v>
      </c>
      <c r="J297" s="26" t="s">
        <v>1301</v>
      </c>
      <c r="K297" s="27" t="s">
        <v>643</v>
      </c>
      <c r="L297" s="28" t="s">
        <v>644</v>
      </c>
      <c r="M297" s="28" t="s">
        <v>587</v>
      </c>
      <c r="N297" s="25">
        <v>1</v>
      </c>
      <c r="O297" s="29">
        <v>20.059999999999999</v>
      </c>
      <c r="P297" s="29">
        <v>20.059999999999999</v>
      </c>
      <c r="Q297" s="25" t="s">
        <v>1137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91"/>
        <v>20.059999999999999</v>
      </c>
      <c r="AF297" s="32">
        <f t="shared" si="92"/>
        <v>0</v>
      </c>
      <c r="AG297" s="30"/>
      <c r="AH297" s="33">
        <v>1</v>
      </c>
      <c r="AI297" s="34">
        <f t="shared" si="93"/>
        <v>20.059999999999999</v>
      </c>
      <c r="AJ297" s="35">
        <v>46064</v>
      </c>
      <c r="AK297" s="30">
        <v>1</v>
      </c>
      <c r="AL297" s="36">
        <f t="shared" si="94"/>
        <v>20.059999999999999</v>
      </c>
      <c r="AM297" s="35">
        <v>46064</v>
      </c>
      <c r="AN297" s="30">
        <v>1</v>
      </c>
      <c r="AO297" s="36">
        <f t="shared" si="95"/>
        <v>20.059999999999999</v>
      </c>
      <c r="AP297" s="35">
        <v>46147</v>
      </c>
      <c r="AQ297" s="30">
        <v>1</v>
      </c>
      <c r="AR297" s="36">
        <f t="shared" si="96"/>
        <v>20.059999999999999</v>
      </c>
      <c r="AS297" s="27" t="s">
        <v>1276</v>
      </c>
      <c r="AT297" s="37">
        <v>46147</v>
      </c>
      <c r="AU297" s="30">
        <v>1</v>
      </c>
      <c r="AV297" s="36">
        <f t="shared" si="97"/>
        <v>20.059999999999999</v>
      </c>
      <c r="AW297" s="35">
        <v>46150</v>
      </c>
      <c r="AX297" s="30">
        <v>1</v>
      </c>
      <c r="AY297" s="32">
        <f t="shared" si="99"/>
        <v>20.059999999999999</v>
      </c>
      <c r="AZ297" s="30" t="s">
        <v>85</v>
      </c>
      <c r="BA297" s="63" t="s">
        <v>1277</v>
      </c>
      <c r="BB297" s="72"/>
      <c r="BC297" s="71" t="s">
        <v>644</v>
      </c>
      <c r="BD297" s="71"/>
    </row>
    <row r="298" spans="1:56" x14ac:dyDescent="0.25">
      <c r="A298" s="24">
        <f>IF(B298="","",SUBTOTAL(3,$B$4:B298))</f>
        <v>281</v>
      </c>
      <c r="B298" s="25" t="s">
        <v>77</v>
      </c>
      <c r="C298" s="25" t="str">
        <f t="shared" si="89"/>
        <v>Shipment 2 400</v>
      </c>
      <c r="D298" s="25" t="s">
        <v>1252</v>
      </c>
      <c r="E298" s="25">
        <v>400</v>
      </c>
      <c r="F298" s="25"/>
      <c r="G298" s="65">
        <v>45990</v>
      </c>
      <c r="H298" s="25" t="s">
        <v>1257</v>
      </c>
      <c r="I298" s="25" t="s">
        <v>1254</v>
      </c>
      <c r="J298" s="26" t="s">
        <v>1301</v>
      </c>
      <c r="K298" s="27" t="s">
        <v>645</v>
      </c>
      <c r="L298" s="28" t="s">
        <v>646</v>
      </c>
      <c r="M298" s="28" t="s">
        <v>587</v>
      </c>
      <c r="N298" s="25">
        <v>1</v>
      </c>
      <c r="O298" s="29">
        <v>21.34</v>
      </c>
      <c r="P298" s="29">
        <v>21.34</v>
      </c>
      <c r="Q298" s="25" t="s">
        <v>1138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91"/>
        <v>21.34</v>
      </c>
      <c r="AF298" s="32">
        <f t="shared" si="92"/>
        <v>0</v>
      </c>
      <c r="AG298" s="30"/>
      <c r="AH298" s="33">
        <v>1</v>
      </c>
      <c r="AI298" s="34">
        <f t="shared" si="93"/>
        <v>21.34</v>
      </c>
      <c r="AJ298" s="35">
        <v>46064</v>
      </c>
      <c r="AK298" s="30">
        <v>1</v>
      </c>
      <c r="AL298" s="36">
        <f t="shared" si="94"/>
        <v>21.34</v>
      </c>
      <c r="AM298" s="35">
        <v>46064</v>
      </c>
      <c r="AN298" s="30">
        <v>1</v>
      </c>
      <c r="AO298" s="36">
        <f t="shared" si="95"/>
        <v>21.34</v>
      </c>
      <c r="AP298" s="35">
        <v>46164</v>
      </c>
      <c r="AQ298" s="30">
        <v>1</v>
      </c>
      <c r="AR298" s="36">
        <f t="shared" si="96"/>
        <v>21.34</v>
      </c>
      <c r="AS298" s="27" t="s">
        <v>1278</v>
      </c>
      <c r="AT298" s="37">
        <v>46181</v>
      </c>
      <c r="AU298" s="30">
        <v>1</v>
      </c>
      <c r="AV298" s="36">
        <f t="shared" si="97"/>
        <v>21.34</v>
      </c>
      <c r="AW298" s="35">
        <v>46184</v>
      </c>
      <c r="AX298" s="30">
        <v>1</v>
      </c>
      <c r="AY298" s="32">
        <f t="shared" si="99"/>
        <v>21.34</v>
      </c>
      <c r="AZ298" s="30" t="s">
        <v>85</v>
      </c>
      <c r="BA298" s="63" t="s">
        <v>1285</v>
      </c>
      <c r="BB298" s="72"/>
      <c r="BC298" s="71" t="s">
        <v>646</v>
      </c>
      <c r="BD298" s="71"/>
    </row>
    <row r="299" spans="1:56" x14ac:dyDescent="0.25">
      <c r="A299" s="24">
        <f>IF(B299="","",SUBTOTAL(3,$B$4:B299))</f>
        <v>282</v>
      </c>
      <c r="B299" s="25" t="s">
        <v>77</v>
      </c>
      <c r="C299" s="25" t="str">
        <f t="shared" si="89"/>
        <v>Shipment 2 400</v>
      </c>
      <c r="D299" s="25" t="s">
        <v>1252</v>
      </c>
      <c r="E299" s="25">
        <v>400</v>
      </c>
      <c r="F299" s="25"/>
      <c r="G299" s="65">
        <v>45990</v>
      </c>
      <c r="H299" s="25" t="s">
        <v>1257</v>
      </c>
      <c r="I299" s="25" t="s">
        <v>1254</v>
      </c>
      <c r="J299" s="26" t="s">
        <v>1301</v>
      </c>
      <c r="K299" s="27" t="s">
        <v>647</v>
      </c>
      <c r="L299" s="28" t="s">
        <v>648</v>
      </c>
      <c r="M299" s="28" t="s">
        <v>587</v>
      </c>
      <c r="N299" s="25">
        <v>1</v>
      </c>
      <c r="O299" s="29">
        <v>12.89</v>
      </c>
      <c r="P299" s="29">
        <v>12.89</v>
      </c>
      <c r="Q299" s="25" t="s">
        <v>1139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91"/>
        <v>12.89</v>
      </c>
      <c r="AF299" s="32">
        <f t="shared" si="92"/>
        <v>0</v>
      </c>
      <c r="AG299" s="30"/>
      <c r="AH299" s="33">
        <v>1</v>
      </c>
      <c r="AI299" s="34">
        <f t="shared" si="93"/>
        <v>12.89</v>
      </c>
      <c r="AJ299" s="35">
        <v>46064</v>
      </c>
      <c r="AK299" s="30">
        <v>1</v>
      </c>
      <c r="AL299" s="36">
        <f t="shared" si="94"/>
        <v>12.89</v>
      </c>
      <c r="AM299" s="35">
        <v>46064</v>
      </c>
      <c r="AN299" s="30">
        <v>1</v>
      </c>
      <c r="AO299" s="36">
        <f t="shared" si="95"/>
        <v>12.89</v>
      </c>
      <c r="AP299" s="35">
        <v>46147</v>
      </c>
      <c r="AQ299" s="30">
        <v>1</v>
      </c>
      <c r="AR299" s="36">
        <f t="shared" si="96"/>
        <v>12.89</v>
      </c>
      <c r="AS299" s="27" t="s">
        <v>1276</v>
      </c>
      <c r="AT299" s="37">
        <v>46147</v>
      </c>
      <c r="AU299" s="30">
        <v>1</v>
      </c>
      <c r="AV299" s="36">
        <f t="shared" si="97"/>
        <v>12.89</v>
      </c>
      <c r="AW299" s="35">
        <v>46150</v>
      </c>
      <c r="AX299" s="30">
        <v>1</v>
      </c>
      <c r="AY299" s="32">
        <f t="shared" si="99"/>
        <v>12.89</v>
      </c>
      <c r="AZ299" s="30" t="s">
        <v>85</v>
      </c>
      <c r="BA299" s="63" t="s">
        <v>1277</v>
      </c>
      <c r="BB299" s="72"/>
      <c r="BC299" s="71" t="s">
        <v>1348</v>
      </c>
      <c r="BD299" s="71"/>
    </row>
    <row r="300" spans="1:56" x14ac:dyDescent="0.25">
      <c r="A300" s="24">
        <f>IF(B300="","",SUBTOTAL(3,$B$4:B300))</f>
        <v>283</v>
      </c>
      <c r="B300" s="25" t="s">
        <v>77</v>
      </c>
      <c r="C300" s="25" t="str">
        <f t="shared" si="89"/>
        <v>Shipment 2 400</v>
      </c>
      <c r="D300" s="25" t="s">
        <v>1252</v>
      </c>
      <c r="E300" s="25">
        <v>400</v>
      </c>
      <c r="F300" s="25"/>
      <c r="G300" s="65">
        <v>45990</v>
      </c>
      <c r="H300" s="25" t="s">
        <v>1257</v>
      </c>
      <c r="I300" s="25" t="s">
        <v>1254</v>
      </c>
      <c r="J300" s="26" t="s">
        <v>1301</v>
      </c>
      <c r="K300" s="27" t="s">
        <v>647</v>
      </c>
      <c r="L300" s="28" t="s">
        <v>649</v>
      </c>
      <c r="M300" s="28" t="s">
        <v>587</v>
      </c>
      <c r="N300" s="25">
        <v>1</v>
      </c>
      <c r="O300" s="29">
        <v>12.89</v>
      </c>
      <c r="P300" s="29">
        <v>12.89</v>
      </c>
      <c r="Q300" s="25" t="s">
        <v>1139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91"/>
        <v>12.89</v>
      </c>
      <c r="AF300" s="32">
        <f t="shared" si="92"/>
        <v>0</v>
      </c>
      <c r="AG300" s="30"/>
      <c r="AH300" s="33">
        <v>1</v>
      </c>
      <c r="AI300" s="34">
        <f t="shared" si="93"/>
        <v>12.89</v>
      </c>
      <c r="AJ300" s="35">
        <v>46064</v>
      </c>
      <c r="AK300" s="30">
        <v>1</v>
      </c>
      <c r="AL300" s="36">
        <f t="shared" si="94"/>
        <v>12.89</v>
      </c>
      <c r="AM300" s="35">
        <v>46064</v>
      </c>
      <c r="AN300" s="30">
        <v>1</v>
      </c>
      <c r="AO300" s="36">
        <f t="shared" si="95"/>
        <v>12.89</v>
      </c>
      <c r="AP300" s="35">
        <v>46147</v>
      </c>
      <c r="AQ300" s="30">
        <v>1</v>
      </c>
      <c r="AR300" s="36">
        <f t="shared" si="96"/>
        <v>12.89</v>
      </c>
      <c r="AS300" s="27" t="s">
        <v>1276</v>
      </c>
      <c r="AT300" s="37">
        <v>46147</v>
      </c>
      <c r="AU300" s="30">
        <v>1</v>
      </c>
      <c r="AV300" s="36">
        <f t="shared" si="97"/>
        <v>12.89</v>
      </c>
      <c r="AW300" s="35">
        <v>46150</v>
      </c>
      <c r="AX300" s="30">
        <v>1</v>
      </c>
      <c r="AY300" s="32">
        <f t="shared" si="99"/>
        <v>12.89</v>
      </c>
      <c r="AZ300" s="30" t="s">
        <v>85</v>
      </c>
      <c r="BA300" s="63" t="s">
        <v>1277</v>
      </c>
      <c r="BB300" s="72"/>
      <c r="BC300" s="71" t="s">
        <v>1348</v>
      </c>
      <c r="BD300" s="71"/>
    </row>
    <row r="301" spans="1:56" x14ac:dyDescent="0.25">
      <c r="A301" s="24">
        <f>IF(B301="","",SUBTOTAL(3,$B$4:B301))</f>
        <v>284</v>
      </c>
      <c r="B301" s="25" t="s">
        <v>77</v>
      </c>
      <c r="C301" s="25" t="str">
        <f t="shared" si="89"/>
        <v>Shipment 2 400</v>
      </c>
      <c r="D301" s="25" t="s">
        <v>1252</v>
      </c>
      <c r="E301" s="25">
        <v>400</v>
      </c>
      <c r="F301" s="25"/>
      <c r="G301" s="65">
        <v>45990</v>
      </c>
      <c r="H301" s="25" t="s">
        <v>1257</v>
      </c>
      <c r="I301" s="25" t="s">
        <v>1254</v>
      </c>
      <c r="J301" s="26" t="s">
        <v>1301</v>
      </c>
      <c r="K301" s="27" t="s">
        <v>650</v>
      </c>
      <c r="L301" s="28" t="s">
        <v>651</v>
      </c>
      <c r="M301" s="28" t="s">
        <v>587</v>
      </c>
      <c r="N301" s="25">
        <v>1</v>
      </c>
      <c r="O301" s="29">
        <v>12.89</v>
      </c>
      <c r="P301" s="29">
        <v>12.89</v>
      </c>
      <c r="Q301" s="25" t="s">
        <v>1139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91"/>
        <v>12.89</v>
      </c>
      <c r="AF301" s="32">
        <f t="shared" si="92"/>
        <v>0</v>
      </c>
      <c r="AG301" s="30"/>
      <c r="AH301" s="33">
        <v>1</v>
      </c>
      <c r="AI301" s="34">
        <f t="shared" si="93"/>
        <v>12.89</v>
      </c>
      <c r="AJ301" s="35">
        <v>46064</v>
      </c>
      <c r="AK301" s="30">
        <v>1</v>
      </c>
      <c r="AL301" s="36">
        <f t="shared" si="94"/>
        <v>12.89</v>
      </c>
      <c r="AM301" s="35">
        <v>46064</v>
      </c>
      <c r="AN301" s="30">
        <v>1</v>
      </c>
      <c r="AO301" s="36">
        <f t="shared" si="95"/>
        <v>12.89</v>
      </c>
      <c r="AP301" s="35">
        <v>46147</v>
      </c>
      <c r="AQ301" s="30">
        <v>1</v>
      </c>
      <c r="AR301" s="36">
        <f t="shared" si="96"/>
        <v>12.89</v>
      </c>
      <c r="AS301" s="27" t="s">
        <v>1276</v>
      </c>
      <c r="AT301" s="37">
        <v>46147</v>
      </c>
      <c r="AU301" s="30">
        <v>1</v>
      </c>
      <c r="AV301" s="36">
        <f t="shared" si="97"/>
        <v>12.89</v>
      </c>
      <c r="AW301" s="35">
        <v>46150</v>
      </c>
      <c r="AX301" s="30">
        <v>1</v>
      </c>
      <c r="AY301" s="32">
        <f t="shared" si="99"/>
        <v>12.89</v>
      </c>
      <c r="AZ301" s="30" t="s">
        <v>85</v>
      </c>
      <c r="BA301" s="63" t="s">
        <v>1277</v>
      </c>
      <c r="BB301" s="72"/>
      <c r="BC301" s="71" t="s">
        <v>1349</v>
      </c>
      <c r="BD301" s="71"/>
    </row>
    <row r="302" spans="1:56" x14ac:dyDescent="0.25">
      <c r="A302" s="24">
        <f>IF(B302="","",SUBTOTAL(3,$B$4:B302))</f>
        <v>285</v>
      </c>
      <c r="B302" s="25" t="s">
        <v>77</v>
      </c>
      <c r="C302" s="25" t="str">
        <f t="shared" si="89"/>
        <v>Shipment 2 400</v>
      </c>
      <c r="D302" s="25" t="s">
        <v>1252</v>
      </c>
      <c r="E302" s="25">
        <v>400</v>
      </c>
      <c r="F302" s="25"/>
      <c r="G302" s="65">
        <v>45990</v>
      </c>
      <c r="H302" s="25" t="s">
        <v>1257</v>
      </c>
      <c r="I302" s="25" t="s">
        <v>1254</v>
      </c>
      <c r="J302" s="26" t="s">
        <v>1301</v>
      </c>
      <c r="K302" s="27" t="s">
        <v>650</v>
      </c>
      <c r="L302" s="28" t="s">
        <v>652</v>
      </c>
      <c r="M302" s="28" t="s">
        <v>587</v>
      </c>
      <c r="N302" s="25">
        <v>1</v>
      </c>
      <c r="O302" s="29">
        <v>12.89</v>
      </c>
      <c r="P302" s="29">
        <v>12.89</v>
      </c>
      <c r="Q302" s="25" t="s">
        <v>1139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91"/>
        <v>12.89</v>
      </c>
      <c r="AF302" s="32">
        <f t="shared" si="92"/>
        <v>0</v>
      </c>
      <c r="AG302" s="30"/>
      <c r="AH302" s="33">
        <v>1</v>
      </c>
      <c r="AI302" s="34">
        <f t="shared" si="93"/>
        <v>12.89</v>
      </c>
      <c r="AJ302" s="35">
        <v>46064</v>
      </c>
      <c r="AK302" s="30">
        <v>1</v>
      </c>
      <c r="AL302" s="36">
        <f t="shared" si="94"/>
        <v>12.89</v>
      </c>
      <c r="AM302" s="35">
        <v>46064</v>
      </c>
      <c r="AN302" s="30">
        <v>1</v>
      </c>
      <c r="AO302" s="36">
        <f t="shared" si="95"/>
        <v>12.89</v>
      </c>
      <c r="AP302" s="35">
        <v>46147</v>
      </c>
      <c r="AQ302" s="30">
        <v>1</v>
      </c>
      <c r="AR302" s="36">
        <f t="shared" si="96"/>
        <v>12.89</v>
      </c>
      <c r="AS302" s="27" t="s">
        <v>1276</v>
      </c>
      <c r="AT302" s="37">
        <v>46147</v>
      </c>
      <c r="AU302" s="30">
        <v>1</v>
      </c>
      <c r="AV302" s="36">
        <f t="shared" si="97"/>
        <v>12.89</v>
      </c>
      <c r="AW302" s="35">
        <v>46150</v>
      </c>
      <c r="AX302" s="30">
        <v>1</v>
      </c>
      <c r="AY302" s="32">
        <f t="shared" si="99"/>
        <v>12.89</v>
      </c>
      <c r="AZ302" s="30" t="s">
        <v>85</v>
      </c>
      <c r="BA302" s="63" t="s">
        <v>1277</v>
      </c>
      <c r="BB302" s="72"/>
      <c r="BC302" s="71" t="s">
        <v>1349</v>
      </c>
      <c r="BD302" s="71"/>
    </row>
    <row r="303" spans="1:56" x14ac:dyDescent="0.25">
      <c r="A303" s="24">
        <f>IF(B303="","",SUBTOTAL(3,$B$4:B303))</f>
        <v>286</v>
      </c>
      <c r="B303" s="25" t="s">
        <v>77</v>
      </c>
      <c r="C303" s="25" t="str">
        <f t="shared" si="89"/>
        <v>Shipment 2 400</v>
      </c>
      <c r="D303" s="25" t="s">
        <v>1252</v>
      </c>
      <c r="E303" s="25">
        <v>400</v>
      </c>
      <c r="F303" s="25"/>
      <c r="G303" s="65">
        <v>45990</v>
      </c>
      <c r="H303" s="25" t="s">
        <v>1257</v>
      </c>
      <c r="I303" s="25" t="s">
        <v>1254</v>
      </c>
      <c r="J303" s="26" t="s">
        <v>1301</v>
      </c>
      <c r="K303" s="27" t="s">
        <v>653</v>
      </c>
      <c r="L303" s="28" t="s">
        <v>654</v>
      </c>
      <c r="M303" s="28" t="s">
        <v>587</v>
      </c>
      <c r="N303" s="25">
        <v>1</v>
      </c>
      <c r="O303" s="29">
        <v>13.4</v>
      </c>
      <c r="P303" s="29">
        <v>13.4</v>
      </c>
      <c r="Q303" s="25" t="s">
        <v>1140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91"/>
        <v>13.4</v>
      </c>
      <c r="AF303" s="32">
        <f t="shared" si="92"/>
        <v>0</v>
      </c>
      <c r="AG303" s="30"/>
      <c r="AH303" s="33">
        <v>1</v>
      </c>
      <c r="AI303" s="34">
        <f t="shared" si="93"/>
        <v>13.4</v>
      </c>
      <c r="AJ303" s="35">
        <v>46064</v>
      </c>
      <c r="AK303" s="30">
        <v>1</v>
      </c>
      <c r="AL303" s="36">
        <f t="shared" si="94"/>
        <v>13.4</v>
      </c>
      <c r="AM303" s="35">
        <v>46064</v>
      </c>
      <c r="AN303" s="30">
        <v>1</v>
      </c>
      <c r="AO303" s="36">
        <f t="shared" si="95"/>
        <v>13.4</v>
      </c>
      <c r="AP303" s="35">
        <v>46147</v>
      </c>
      <c r="AQ303" s="30">
        <v>1</v>
      </c>
      <c r="AR303" s="36">
        <f t="shared" si="96"/>
        <v>13.4</v>
      </c>
      <c r="AS303" s="27" t="s">
        <v>1276</v>
      </c>
      <c r="AT303" s="37">
        <v>46147</v>
      </c>
      <c r="AU303" s="30">
        <v>1</v>
      </c>
      <c r="AV303" s="36">
        <f t="shared" si="97"/>
        <v>13.4</v>
      </c>
      <c r="AW303" s="35">
        <v>46150</v>
      </c>
      <c r="AX303" s="30">
        <v>1</v>
      </c>
      <c r="AY303" s="32">
        <f t="shared" si="99"/>
        <v>13.4</v>
      </c>
      <c r="AZ303" s="30" t="s">
        <v>85</v>
      </c>
      <c r="BA303" s="63" t="s">
        <v>1277</v>
      </c>
      <c r="BB303" s="72"/>
      <c r="BC303" s="71" t="s">
        <v>654</v>
      </c>
      <c r="BD303" s="71"/>
    </row>
    <row r="304" spans="1:56" x14ac:dyDescent="0.25">
      <c r="A304" s="24">
        <f>IF(B304="","",SUBTOTAL(3,$B$4:B304))</f>
        <v>287</v>
      </c>
      <c r="B304" s="25" t="s">
        <v>77</v>
      </c>
      <c r="C304" s="25" t="str">
        <f t="shared" si="89"/>
        <v>Shipment 2 400</v>
      </c>
      <c r="D304" s="25" t="s">
        <v>1252</v>
      </c>
      <c r="E304" s="25">
        <v>400</v>
      </c>
      <c r="F304" s="25"/>
      <c r="G304" s="65">
        <v>45990</v>
      </c>
      <c r="H304" s="25" t="s">
        <v>1257</v>
      </c>
      <c r="I304" s="25" t="s">
        <v>1254</v>
      </c>
      <c r="J304" s="26" t="s">
        <v>1301</v>
      </c>
      <c r="K304" s="27" t="s">
        <v>655</v>
      </c>
      <c r="L304" s="28" t="s">
        <v>656</v>
      </c>
      <c r="M304" s="28" t="s">
        <v>587</v>
      </c>
      <c r="N304" s="25">
        <v>1</v>
      </c>
      <c r="O304" s="29">
        <v>13.4</v>
      </c>
      <c r="P304" s="29">
        <v>13.4</v>
      </c>
      <c r="Q304" s="25" t="s">
        <v>1140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91"/>
        <v>13.4</v>
      </c>
      <c r="AF304" s="32">
        <f t="shared" si="92"/>
        <v>0</v>
      </c>
      <c r="AG304" s="30"/>
      <c r="AH304" s="33">
        <v>1</v>
      </c>
      <c r="AI304" s="34">
        <f t="shared" si="93"/>
        <v>13.4</v>
      </c>
      <c r="AJ304" s="35">
        <v>46064</v>
      </c>
      <c r="AK304" s="30">
        <v>1</v>
      </c>
      <c r="AL304" s="36">
        <f t="shared" si="94"/>
        <v>13.4</v>
      </c>
      <c r="AM304" s="35">
        <v>46064</v>
      </c>
      <c r="AN304" s="30">
        <v>1</v>
      </c>
      <c r="AO304" s="36">
        <f t="shared" si="95"/>
        <v>13.4</v>
      </c>
      <c r="AP304" s="35">
        <v>46147</v>
      </c>
      <c r="AQ304" s="30">
        <v>1</v>
      </c>
      <c r="AR304" s="36">
        <f t="shared" si="96"/>
        <v>13.4</v>
      </c>
      <c r="AS304" s="27" t="s">
        <v>1276</v>
      </c>
      <c r="AT304" s="37">
        <v>46147</v>
      </c>
      <c r="AU304" s="30">
        <v>1</v>
      </c>
      <c r="AV304" s="36">
        <f t="shared" si="97"/>
        <v>13.4</v>
      </c>
      <c r="AW304" s="35">
        <v>46150</v>
      </c>
      <c r="AX304" s="30">
        <v>1</v>
      </c>
      <c r="AY304" s="32">
        <f t="shared" si="99"/>
        <v>13.4</v>
      </c>
      <c r="AZ304" s="30" t="s">
        <v>85</v>
      </c>
      <c r="BA304" s="63" t="s">
        <v>1277</v>
      </c>
      <c r="BB304" s="72"/>
      <c r="BC304" s="71" t="s">
        <v>656</v>
      </c>
      <c r="BD304" s="71"/>
    </row>
    <row r="305" spans="1:56" x14ac:dyDescent="0.25">
      <c r="A305" s="24">
        <f>IF(B305="","",SUBTOTAL(3,$B$4:B305))</f>
        <v>288</v>
      </c>
      <c r="B305" s="25" t="s">
        <v>77</v>
      </c>
      <c r="C305" s="25" t="str">
        <f t="shared" si="89"/>
        <v>Shipment 2 400</v>
      </c>
      <c r="D305" s="25" t="s">
        <v>1252</v>
      </c>
      <c r="E305" s="25">
        <v>400</v>
      </c>
      <c r="F305" s="25"/>
      <c r="G305" s="65">
        <v>45990</v>
      </c>
      <c r="H305" s="25" t="s">
        <v>1257</v>
      </c>
      <c r="I305" s="25" t="s">
        <v>1254</v>
      </c>
      <c r="J305" s="26" t="s">
        <v>1301</v>
      </c>
      <c r="K305" s="27" t="s">
        <v>657</v>
      </c>
      <c r="L305" s="28" t="s">
        <v>658</v>
      </c>
      <c r="M305" s="28" t="s">
        <v>587</v>
      </c>
      <c r="N305" s="25">
        <v>1</v>
      </c>
      <c r="O305" s="29">
        <v>14.84</v>
      </c>
      <c r="P305" s="29">
        <v>14.84</v>
      </c>
      <c r="Q305" s="25" t="s">
        <v>1141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91"/>
        <v>14.84</v>
      </c>
      <c r="AF305" s="32">
        <f t="shared" si="92"/>
        <v>0</v>
      </c>
      <c r="AG305" s="30"/>
      <c r="AH305" s="33">
        <v>1</v>
      </c>
      <c r="AI305" s="34">
        <f t="shared" si="93"/>
        <v>14.84</v>
      </c>
      <c r="AJ305" s="35">
        <v>46064</v>
      </c>
      <c r="AK305" s="30">
        <v>1</v>
      </c>
      <c r="AL305" s="36">
        <f t="shared" si="94"/>
        <v>14.84</v>
      </c>
      <c r="AM305" s="35">
        <v>46064</v>
      </c>
      <c r="AN305" s="30">
        <v>1</v>
      </c>
      <c r="AO305" s="36">
        <f t="shared" si="95"/>
        <v>14.84</v>
      </c>
      <c r="AP305" s="35">
        <v>46147</v>
      </c>
      <c r="AQ305" s="30">
        <v>1</v>
      </c>
      <c r="AR305" s="36">
        <f t="shared" si="96"/>
        <v>14.84</v>
      </c>
      <c r="AS305" s="27" t="s">
        <v>1276</v>
      </c>
      <c r="AT305" s="37">
        <v>46147</v>
      </c>
      <c r="AU305" s="30">
        <v>1</v>
      </c>
      <c r="AV305" s="36">
        <f t="shared" si="97"/>
        <v>14.84</v>
      </c>
      <c r="AW305" s="35">
        <v>46150</v>
      </c>
      <c r="AX305" s="30">
        <v>1</v>
      </c>
      <c r="AY305" s="32">
        <f t="shared" si="99"/>
        <v>14.84</v>
      </c>
      <c r="AZ305" s="30" t="s">
        <v>85</v>
      </c>
      <c r="BA305" s="63" t="s">
        <v>1277</v>
      </c>
      <c r="BB305" s="72"/>
      <c r="BC305" s="71" t="s">
        <v>658</v>
      </c>
      <c r="BD305" s="71"/>
    </row>
    <row r="306" spans="1:56" x14ac:dyDescent="0.25">
      <c r="A306" s="24">
        <f>IF(B306="","",SUBTOTAL(3,$B$4:B306))</f>
        <v>289</v>
      </c>
      <c r="B306" s="25" t="s">
        <v>77</v>
      </c>
      <c r="C306" s="25" t="str">
        <f t="shared" si="89"/>
        <v>Shipment 2 400</v>
      </c>
      <c r="D306" s="25" t="s">
        <v>1252</v>
      </c>
      <c r="E306" s="25">
        <v>400</v>
      </c>
      <c r="F306" s="25"/>
      <c r="G306" s="65">
        <v>45990</v>
      </c>
      <c r="H306" s="25" t="s">
        <v>1257</v>
      </c>
      <c r="I306" s="25" t="s">
        <v>1254</v>
      </c>
      <c r="J306" s="26" t="s">
        <v>1301</v>
      </c>
      <c r="K306" s="27" t="s">
        <v>659</v>
      </c>
      <c r="L306" s="28" t="s">
        <v>660</v>
      </c>
      <c r="M306" s="28" t="s">
        <v>587</v>
      </c>
      <c r="N306" s="25">
        <v>1</v>
      </c>
      <c r="O306" s="29">
        <v>14.84</v>
      </c>
      <c r="P306" s="29">
        <v>14.84</v>
      </c>
      <c r="Q306" s="25" t="s">
        <v>1141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91"/>
        <v>14.84</v>
      </c>
      <c r="AF306" s="32">
        <f t="shared" si="92"/>
        <v>0</v>
      </c>
      <c r="AG306" s="30"/>
      <c r="AH306" s="33">
        <v>1</v>
      </c>
      <c r="AI306" s="34">
        <f t="shared" si="93"/>
        <v>14.84</v>
      </c>
      <c r="AJ306" s="35">
        <v>46064</v>
      </c>
      <c r="AK306" s="30">
        <v>1</v>
      </c>
      <c r="AL306" s="36">
        <f t="shared" si="94"/>
        <v>14.84</v>
      </c>
      <c r="AM306" s="35">
        <v>46064</v>
      </c>
      <c r="AN306" s="30">
        <v>1</v>
      </c>
      <c r="AO306" s="36">
        <f t="shared" si="95"/>
        <v>14.84</v>
      </c>
      <c r="AP306" s="35">
        <v>46147</v>
      </c>
      <c r="AQ306" s="30">
        <v>1</v>
      </c>
      <c r="AR306" s="36">
        <f t="shared" si="96"/>
        <v>14.84</v>
      </c>
      <c r="AS306" s="27" t="s">
        <v>1276</v>
      </c>
      <c r="AT306" s="37">
        <v>46147</v>
      </c>
      <c r="AU306" s="30">
        <v>1</v>
      </c>
      <c r="AV306" s="36">
        <f t="shared" si="97"/>
        <v>14.84</v>
      </c>
      <c r="AW306" s="35">
        <v>46150</v>
      </c>
      <c r="AX306" s="30">
        <v>1</v>
      </c>
      <c r="AY306" s="32">
        <f t="shared" si="99"/>
        <v>14.84</v>
      </c>
      <c r="AZ306" s="30" t="s">
        <v>85</v>
      </c>
      <c r="BA306" s="63" t="s">
        <v>1277</v>
      </c>
      <c r="BB306" s="72"/>
      <c r="BC306" s="71" t="s">
        <v>660</v>
      </c>
      <c r="BD306" s="71"/>
    </row>
    <row r="307" spans="1:56" x14ac:dyDescent="0.25">
      <c r="A307" s="24">
        <f>IF(B307="","",SUBTOTAL(3,$B$4:B307))</f>
        <v>290</v>
      </c>
      <c r="B307" s="25" t="s">
        <v>77</v>
      </c>
      <c r="C307" s="25" t="str">
        <f t="shared" si="89"/>
        <v>Shipment 2 400</v>
      </c>
      <c r="D307" s="25" t="s">
        <v>1252</v>
      </c>
      <c r="E307" s="25">
        <v>400</v>
      </c>
      <c r="F307" s="25"/>
      <c r="G307" s="65">
        <v>45990</v>
      </c>
      <c r="H307" s="25" t="s">
        <v>1257</v>
      </c>
      <c r="I307" s="25" t="s">
        <v>1254</v>
      </c>
      <c r="J307" s="26" t="s">
        <v>1301</v>
      </c>
      <c r="K307" s="27" t="s">
        <v>661</v>
      </c>
      <c r="L307" s="28" t="s">
        <v>662</v>
      </c>
      <c r="M307" s="28" t="s">
        <v>587</v>
      </c>
      <c r="N307" s="25">
        <v>1</v>
      </c>
      <c r="O307" s="29">
        <v>17.54</v>
      </c>
      <c r="P307" s="29">
        <v>17.54</v>
      </c>
      <c r="Q307" s="25" t="s">
        <v>1142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91"/>
        <v>17.54</v>
      </c>
      <c r="AF307" s="32">
        <f t="shared" si="92"/>
        <v>0</v>
      </c>
      <c r="AG307" s="30"/>
      <c r="AH307" s="33">
        <v>1</v>
      </c>
      <c r="AI307" s="34">
        <f t="shared" si="93"/>
        <v>17.54</v>
      </c>
      <c r="AJ307" s="35">
        <v>46064</v>
      </c>
      <c r="AK307" s="30">
        <v>1</v>
      </c>
      <c r="AL307" s="36">
        <f t="shared" si="94"/>
        <v>17.54</v>
      </c>
      <c r="AM307" s="35">
        <v>46064</v>
      </c>
      <c r="AN307" s="30">
        <v>1</v>
      </c>
      <c r="AO307" s="36">
        <f t="shared" si="95"/>
        <v>17.54</v>
      </c>
      <c r="AP307" s="35">
        <v>46147</v>
      </c>
      <c r="AQ307" s="30">
        <v>1</v>
      </c>
      <c r="AR307" s="36">
        <f t="shared" si="96"/>
        <v>17.54</v>
      </c>
      <c r="AS307" s="27" t="s">
        <v>1276</v>
      </c>
      <c r="AT307" s="37">
        <v>46147</v>
      </c>
      <c r="AU307" s="30">
        <v>1</v>
      </c>
      <c r="AV307" s="36">
        <f t="shared" si="97"/>
        <v>17.54</v>
      </c>
      <c r="AW307" s="35">
        <v>46150</v>
      </c>
      <c r="AX307" s="30">
        <v>1</v>
      </c>
      <c r="AY307" s="32">
        <f t="shared" si="99"/>
        <v>17.54</v>
      </c>
      <c r="AZ307" s="30" t="s">
        <v>85</v>
      </c>
      <c r="BA307" s="63" t="s">
        <v>1277</v>
      </c>
      <c r="BB307" s="72"/>
      <c r="BC307" s="71" t="s">
        <v>662</v>
      </c>
      <c r="BD307" s="71"/>
    </row>
    <row r="308" spans="1:56" x14ac:dyDescent="0.25">
      <c r="A308" s="24">
        <f>IF(B308="","",SUBTOTAL(3,$B$4:B308))</f>
        <v>291</v>
      </c>
      <c r="B308" s="25" t="s">
        <v>77</v>
      </c>
      <c r="C308" s="25" t="str">
        <f t="shared" si="89"/>
        <v>Shipment 2 400</v>
      </c>
      <c r="D308" s="25" t="s">
        <v>1252</v>
      </c>
      <c r="E308" s="25">
        <v>400</v>
      </c>
      <c r="F308" s="25"/>
      <c r="G308" s="65">
        <v>45990</v>
      </c>
      <c r="H308" s="25" t="s">
        <v>1257</v>
      </c>
      <c r="I308" s="25" t="s">
        <v>1254</v>
      </c>
      <c r="J308" s="26" t="s">
        <v>1301</v>
      </c>
      <c r="K308" s="27" t="s">
        <v>663</v>
      </c>
      <c r="L308" s="28" t="s">
        <v>664</v>
      </c>
      <c r="M308" s="28" t="s">
        <v>587</v>
      </c>
      <c r="N308" s="25">
        <v>1</v>
      </c>
      <c r="O308" s="29">
        <v>18.72</v>
      </c>
      <c r="P308" s="29">
        <v>18.72</v>
      </c>
      <c r="Q308" s="25" t="s">
        <v>1143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91"/>
        <v>18.72</v>
      </c>
      <c r="AF308" s="32">
        <f t="shared" si="92"/>
        <v>0</v>
      </c>
      <c r="AG308" s="30"/>
      <c r="AH308" s="33">
        <v>1</v>
      </c>
      <c r="AI308" s="34">
        <f t="shared" si="93"/>
        <v>18.72</v>
      </c>
      <c r="AJ308" s="35">
        <v>46064</v>
      </c>
      <c r="AK308" s="30">
        <v>1</v>
      </c>
      <c r="AL308" s="36">
        <f t="shared" si="94"/>
        <v>18.72</v>
      </c>
      <c r="AM308" s="35">
        <v>46064</v>
      </c>
      <c r="AN308" s="30">
        <v>1</v>
      </c>
      <c r="AO308" s="36">
        <f t="shared" si="95"/>
        <v>18.72</v>
      </c>
      <c r="AP308" s="35">
        <v>46147</v>
      </c>
      <c r="AQ308" s="30">
        <v>1</v>
      </c>
      <c r="AR308" s="36">
        <f t="shared" si="96"/>
        <v>18.72</v>
      </c>
      <c r="AS308" s="27" t="s">
        <v>1276</v>
      </c>
      <c r="AT308" s="37">
        <v>46147</v>
      </c>
      <c r="AU308" s="30">
        <v>1</v>
      </c>
      <c r="AV308" s="36">
        <f t="shared" si="97"/>
        <v>18.72</v>
      </c>
      <c r="AW308" s="35">
        <v>46150</v>
      </c>
      <c r="AX308" s="30">
        <v>1</v>
      </c>
      <c r="AY308" s="32">
        <f t="shared" si="99"/>
        <v>18.72</v>
      </c>
      <c r="AZ308" s="30" t="s">
        <v>85</v>
      </c>
      <c r="BA308" s="63" t="s">
        <v>1277</v>
      </c>
      <c r="BB308" s="72"/>
      <c r="BC308" s="71" t="s">
        <v>664</v>
      </c>
      <c r="BD308" s="71"/>
    </row>
    <row r="309" spans="1:56" x14ac:dyDescent="0.25">
      <c r="A309" s="24">
        <f>IF(B309="","",SUBTOTAL(3,$B$4:B309))</f>
        <v>292</v>
      </c>
      <c r="B309" s="25" t="s">
        <v>77</v>
      </c>
      <c r="C309" s="25" t="str">
        <f t="shared" si="89"/>
        <v>Shipment 2 400</v>
      </c>
      <c r="D309" s="25" t="s">
        <v>1252</v>
      </c>
      <c r="E309" s="25">
        <v>400</v>
      </c>
      <c r="F309" s="25"/>
      <c r="G309" s="65">
        <v>45990</v>
      </c>
      <c r="H309" s="25" t="s">
        <v>1257</v>
      </c>
      <c r="I309" s="25" t="s">
        <v>1254</v>
      </c>
      <c r="J309" s="26" t="s">
        <v>1301</v>
      </c>
      <c r="K309" s="27" t="s">
        <v>665</v>
      </c>
      <c r="L309" s="28" t="s">
        <v>666</v>
      </c>
      <c r="M309" s="28" t="s">
        <v>587</v>
      </c>
      <c r="N309" s="25">
        <v>1</v>
      </c>
      <c r="O309" s="29">
        <v>17.7</v>
      </c>
      <c r="P309" s="29">
        <v>17.7</v>
      </c>
      <c r="Q309" s="25" t="s">
        <v>1144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91"/>
        <v>17.7</v>
      </c>
      <c r="AF309" s="32">
        <f t="shared" si="92"/>
        <v>0</v>
      </c>
      <c r="AG309" s="30"/>
      <c r="AH309" s="33">
        <v>1</v>
      </c>
      <c r="AI309" s="34">
        <f t="shared" si="93"/>
        <v>17.7</v>
      </c>
      <c r="AJ309" s="35">
        <v>46064</v>
      </c>
      <c r="AK309" s="30">
        <v>1</v>
      </c>
      <c r="AL309" s="36">
        <f t="shared" si="94"/>
        <v>17.7</v>
      </c>
      <c r="AM309" s="35">
        <v>46064</v>
      </c>
      <c r="AN309" s="30">
        <v>1</v>
      </c>
      <c r="AO309" s="36">
        <f t="shared" si="95"/>
        <v>17.7</v>
      </c>
      <c r="AP309" s="35">
        <v>46164</v>
      </c>
      <c r="AQ309" s="30">
        <v>1</v>
      </c>
      <c r="AR309" s="36">
        <f t="shared" si="96"/>
        <v>17.7</v>
      </c>
      <c r="AS309" s="27" t="s">
        <v>1278</v>
      </c>
      <c r="AT309" s="37">
        <v>46181</v>
      </c>
      <c r="AU309" s="30">
        <v>1</v>
      </c>
      <c r="AV309" s="36">
        <f t="shared" si="97"/>
        <v>17.7</v>
      </c>
      <c r="AW309" s="35">
        <v>46184</v>
      </c>
      <c r="AX309" s="30">
        <v>1</v>
      </c>
      <c r="AY309" s="32">
        <f t="shared" si="99"/>
        <v>17.7</v>
      </c>
      <c r="AZ309" s="30" t="s">
        <v>85</v>
      </c>
      <c r="BA309" s="63" t="s">
        <v>1285</v>
      </c>
      <c r="BB309" s="72"/>
      <c r="BC309" s="71" t="s">
        <v>666</v>
      </c>
      <c r="BD309" s="71"/>
    </row>
    <row r="310" spans="1:56" x14ac:dyDescent="0.25">
      <c r="A310" s="24">
        <f>IF(B310="","",SUBTOTAL(3,$B$4:B310))</f>
        <v>293</v>
      </c>
      <c r="B310" s="25" t="s">
        <v>77</v>
      </c>
      <c r="C310" s="25" t="str">
        <f t="shared" si="89"/>
        <v>Shipment 2 400</v>
      </c>
      <c r="D310" s="25" t="s">
        <v>1252</v>
      </c>
      <c r="E310" s="25">
        <v>400</v>
      </c>
      <c r="F310" s="25"/>
      <c r="G310" s="65">
        <v>45990</v>
      </c>
      <c r="H310" s="25" t="s">
        <v>1257</v>
      </c>
      <c r="I310" s="25" t="s">
        <v>1254</v>
      </c>
      <c r="J310" s="26" t="s">
        <v>1301</v>
      </c>
      <c r="K310" s="27" t="s">
        <v>667</v>
      </c>
      <c r="L310" s="28" t="s">
        <v>668</v>
      </c>
      <c r="M310" s="28" t="s">
        <v>587</v>
      </c>
      <c r="N310" s="25">
        <v>1</v>
      </c>
      <c r="O310" s="29">
        <v>2.16</v>
      </c>
      <c r="P310" s="29">
        <v>2.16</v>
      </c>
      <c r="Q310" s="25" t="s">
        <v>1145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91"/>
        <v>2.16</v>
      </c>
      <c r="AF310" s="32">
        <f t="shared" si="92"/>
        <v>0</v>
      </c>
      <c r="AG310" s="30"/>
      <c r="AH310" s="33">
        <v>1</v>
      </c>
      <c r="AI310" s="34">
        <f t="shared" si="93"/>
        <v>2.16</v>
      </c>
      <c r="AJ310" s="35">
        <v>46064</v>
      </c>
      <c r="AK310" s="30">
        <v>1</v>
      </c>
      <c r="AL310" s="36">
        <f t="shared" si="94"/>
        <v>2.16</v>
      </c>
      <c r="AM310" s="35">
        <v>46064</v>
      </c>
      <c r="AN310" s="30">
        <v>1</v>
      </c>
      <c r="AO310" s="36">
        <f t="shared" si="95"/>
        <v>2.16</v>
      </c>
      <c r="AP310" s="35">
        <v>46147</v>
      </c>
      <c r="AQ310" s="30">
        <v>1</v>
      </c>
      <c r="AR310" s="36">
        <f t="shared" si="96"/>
        <v>2.16</v>
      </c>
      <c r="AS310" s="27" t="s">
        <v>1276</v>
      </c>
      <c r="AT310" s="37">
        <v>46147</v>
      </c>
      <c r="AU310" s="30">
        <v>1</v>
      </c>
      <c r="AV310" s="36">
        <f t="shared" si="97"/>
        <v>2.16</v>
      </c>
      <c r="AW310" s="35">
        <v>46150</v>
      </c>
      <c r="AX310" s="30">
        <v>1</v>
      </c>
      <c r="AY310" s="32">
        <f t="shared" si="99"/>
        <v>2.16</v>
      </c>
      <c r="AZ310" s="30" t="s">
        <v>85</v>
      </c>
      <c r="BA310" s="63" t="s">
        <v>1277</v>
      </c>
      <c r="BB310" s="72"/>
      <c r="BC310" s="71" t="s">
        <v>1350</v>
      </c>
      <c r="BD310" s="71"/>
    </row>
    <row r="311" spans="1:56" x14ac:dyDescent="0.25">
      <c r="A311" s="24">
        <f>IF(B311="","",SUBTOTAL(3,$B$4:B311))</f>
        <v>294</v>
      </c>
      <c r="B311" s="25" t="s">
        <v>77</v>
      </c>
      <c r="C311" s="25" t="str">
        <f t="shared" si="89"/>
        <v>Shipment 2 400</v>
      </c>
      <c r="D311" s="25" t="s">
        <v>1252</v>
      </c>
      <c r="E311" s="25">
        <v>400</v>
      </c>
      <c r="F311" s="25"/>
      <c r="G311" s="65">
        <v>45990</v>
      </c>
      <c r="H311" s="25" t="s">
        <v>1257</v>
      </c>
      <c r="I311" s="25" t="s">
        <v>1254</v>
      </c>
      <c r="J311" s="26" t="s">
        <v>1301</v>
      </c>
      <c r="K311" s="27" t="s">
        <v>667</v>
      </c>
      <c r="L311" s="28" t="s">
        <v>669</v>
      </c>
      <c r="M311" s="28" t="s">
        <v>587</v>
      </c>
      <c r="N311" s="25">
        <v>1</v>
      </c>
      <c r="O311" s="29">
        <v>2.16</v>
      </c>
      <c r="P311" s="29">
        <v>2.16</v>
      </c>
      <c r="Q311" s="25" t="s">
        <v>1145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91"/>
        <v>2.16</v>
      </c>
      <c r="AF311" s="32">
        <f t="shared" si="92"/>
        <v>0</v>
      </c>
      <c r="AG311" s="30"/>
      <c r="AH311" s="33">
        <v>1</v>
      </c>
      <c r="AI311" s="34">
        <f t="shared" si="93"/>
        <v>2.16</v>
      </c>
      <c r="AJ311" s="35">
        <v>46064</v>
      </c>
      <c r="AK311" s="30">
        <v>1</v>
      </c>
      <c r="AL311" s="36">
        <f t="shared" si="94"/>
        <v>2.16</v>
      </c>
      <c r="AM311" s="35">
        <v>46064</v>
      </c>
      <c r="AN311" s="30">
        <v>1</v>
      </c>
      <c r="AO311" s="36">
        <f t="shared" si="95"/>
        <v>2.16</v>
      </c>
      <c r="AP311" s="35">
        <v>46147</v>
      </c>
      <c r="AQ311" s="30">
        <v>1</v>
      </c>
      <c r="AR311" s="36">
        <f t="shared" si="96"/>
        <v>2.16</v>
      </c>
      <c r="AS311" s="27" t="s">
        <v>1276</v>
      </c>
      <c r="AT311" s="37">
        <v>46147</v>
      </c>
      <c r="AU311" s="30">
        <v>1</v>
      </c>
      <c r="AV311" s="36">
        <f t="shared" si="97"/>
        <v>2.16</v>
      </c>
      <c r="AW311" s="35">
        <v>46150</v>
      </c>
      <c r="AX311" s="30">
        <v>1</v>
      </c>
      <c r="AY311" s="32">
        <f t="shared" si="99"/>
        <v>2.16</v>
      </c>
      <c r="AZ311" s="30" t="s">
        <v>85</v>
      </c>
      <c r="BA311" s="63" t="s">
        <v>1277</v>
      </c>
      <c r="BB311" s="72"/>
      <c r="BC311" s="71" t="s">
        <v>1350</v>
      </c>
      <c r="BD311" s="71"/>
    </row>
    <row r="312" spans="1:56" x14ac:dyDescent="0.25">
      <c r="A312" s="24">
        <f>IF(B312="","",SUBTOTAL(3,$B$4:B312))</f>
        <v>295</v>
      </c>
      <c r="B312" s="25" t="s">
        <v>77</v>
      </c>
      <c r="C312" s="25" t="str">
        <f t="shared" si="89"/>
        <v>Shipment 2 400</v>
      </c>
      <c r="D312" s="25" t="s">
        <v>1252</v>
      </c>
      <c r="E312" s="25">
        <v>400</v>
      </c>
      <c r="F312" s="25"/>
      <c r="G312" s="65">
        <v>45990</v>
      </c>
      <c r="H312" s="25" t="s">
        <v>1257</v>
      </c>
      <c r="I312" s="25" t="s">
        <v>1254</v>
      </c>
      <c r="J312" s="26" t="s">
        <v>1301</v>
      </c>
      <c r="K312" s="27" t="s">
        <v>667</v>
      </c>
      <c r="L312" s="28" t="s">
        <v>670</v>
      </c>
      <c r="M312" s="28" t="s">
        <v>587</v>
      </c>
      <c r="N312" s="25">
        <v>1</v>
      </c>
      <c r="O312" s="29">
        <v>2.16</v>
      </c>
      <c r="P312" s="29">
        <v>2.16</v>
      </c>
      <c r="Q312" s="25" t="s">
        <v>1145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91"/>
        <v>2.16</v>
      </c>
      <c r="AF312" s="32">
        <f t="shared" si="92"/>
        <v>0</v>
      </c>
      <c r="AG312" s="30"/>
      <c r="AH312" s="33">
        <v>1</v>
      </c>
      <c r="AI312" s="34">
        <f t="shared" si="93"/>
        <v>2.16</v>
      </c>
      <c r="AJ312" s="35">
        <v>46064</v>
      </c>
      <c r="AK312" s="30">
        <v>1</v>
      </c>
      <c r="AL312" s="36">
        <f t="shared" si="94"/>
        <v>2.16</v>
      </c>
      <c r="AM312" s="35">
        <v>46064</v>
      </c>
      <c r="AN312" s="30">
        <v>1</v>
      </c>
      <c r="AO312" s="36">
        <f t="shared" si="95"/>
        <v>2.16</v>
      </c>
      <c r="AP312" s="35">
        <v>46147</v>
      </c>
      <c r="AQ312" s="30">
        <v>1</v>
      </c>
      <c r="AR312" s="36">
        <f t="shared" si="96"/>
        <v>2.16</v>
      </c>
      <c r="AS312" s="27" t="s">
        <v>1276</v>
      </c>
      <c r="AT312" s="37">
        <v>46147</v>
      </c>
      <c r="AU312" s="30">
        <v>1</v>
      </c>
      <c r="AV312" s="36">
        <f t="shared" si="97"/>
        <v>2.16</v>
      </c>
      <c r="AW312" s="35">
        <v>46150</v>
      </c>
      <c r="AX312" s="30">
        <v>1</v>
      </c>
      <c r="AY312" s="32">
        <f t="shared" si="99"/>
        <v>2.16</v>
      </c>
      <c r="AZ312" s="30" t="s">
        <v>85</v>
      </c>
      <c r="BA312" s="63" t="s">
        <v>1277</v>
      </c>
      <c r="BB312" s="72"/>
      <c r="BC312" s="71" t="s">
        <v>1350</v>
      </c>
      <c r="BD312" s="71"/>
    </row>
    <row r="313" spans="1:56" x14ac:dyDescent="0.25">
      <c r="A313" s="24">
        <f>IF(B313="","",SUBTOTAL(3,$B$4:B313))</f>
        <v>296</v>
      </c>
      <c r="B313" s="25" t="s">
        <v>77</v>
      </c>
      <c r="C313" s="25" t="str">
        <f t="shared" si="89"/>
        <v>Shipment 2 400</v>
      </c>
      <c r="D313" s="25" t="s">
        <v>1252</v>
      </c>
      <c r="E313" s="25">
        <v>400</v>
      </c>
      <c r="F313" s="25"/>
      <c r="G313" s="65">
        <v>45990</v>
      </c>
      <c r="H313" s="25" t="s">
        <v>1257</v>
      </c>
      <c r="I313" s="25" t="s">
        <v>1254</v>
      </c>
      <c r="J313" s="26" t="s">
        <v>1301</v>
      </c>
      <c r="K313" s="27" t="s">
        <v>667</v>
      </c>
      <c r="L313" s="28" t="s">
        <v>671</v>
      </c>
      <c r="M313" s="28" t="s">
        <v>587</v>
      </c>
      <c r="N313" s="25">
        <v>1</v>
      </c>
      <c r="O313" s="29">
        <v>2.16</v>
      </c>
      <c r="P313" s="29">
        <v>2.16</v>
      </c>
      <c r="Q313" s="25" t="s">
        <v>1145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91"/>
        <v>2.16</v>
      </c>
      <c r="AF313" s="32">
        <f t="shared" si="92"/>
        <v>0</v>
      </c>
      <c r="AG313" s="30"/>
      <c r="AH313" s="33">
        <v>1</v>
      </c>
      <c r="AI313" s="34">
        <f t="shared" si="93"/>
        <v>2.16</v>
      </c>
      <c r="AJ313" s="35">
        <v>46064</v>
      </c>
      <c r="AK313" s="30">
        <v>1</v>
      </c>
      <c r="AL313" s="36">
        <f t="shared" si="94"/>
        <v>2.16</v>
      </c>
      <c r="AM313" s="35">
        <v>46064</v>
      </c>
      <c r="AN313" s="30">
        <v>1</v>
      </c>
      <c r="AO313" s="36">
        <f t="shared" si="95"/>
        <v>2.16</v>
      </c>
      <c r="AP313" s="35">
        <v>46147</v>
      </c>
      <c r="AQ313" s="30">
        <v>1</v>
      </c>
      <c r="AR313" s="36">
        <f t="shared" si="96"/>
        <v>2.16</v>
      </c>
      <c r="AS313" s="27" t="s">
        <v>1276</v>
      </c>
      <c r="AT313" s="37">
        <v>46147</v>
      </c>
      <c r="AU313" s="30">
        <v>1</v>
      </c>
      <c r="AV313" s="36">
        <f t="shared" si="97"/>
        <v>2.16</v>
      </c>
      <c r="AW313" s="35">
        <v>46150</v>
      </c>
      <c r="AX313" s="30">
        <v>1</v>
      </c>
      <c r="AY313" s="32">
        <f t="shared" si="99"/>
        <v>2.16</v>
      </c>
      <c r="AZ313" s="30" t="s">
        <v>85</v>
      </c>
      <c r="BA313" s="63" t="s">
        <v>1277</v>
      </c>
      <c r="BB313" s="72"/>
      <c r="BC313" s="71" t="s">
        <v>1350</v>
      </c>
      <c r="BD313" s="71"/>
    </row>
    <row r="314" spans="1:56" x14ac:dyDescent="0.25">
      <c r="A314" s="24">
        <f>IF(B314="","",SUBTOTAL(3,$B$4:B314))</f>
        <v>297</v>
      </c>
      <c r="B314" s="25" t="s">
        <v>77</v>
      </c>
      <c r="C314" s="25" t="str">
        <f t="shared" si="89"/>
        <v>Shipment 2 400</v>
      </c>
      <c r="D314" s="25" t="s">
        <v>1252</v>
      </c>
      <c r="E314" s="25">
        <v>400</v>
      </c>
      <c r="F314" s="25"/>
      <c r="G314" s="65">
        <v>45990</v>
      </c>
      <c r="H314" s="25" t="s">
        <v>1257</v>
      </c>
      <c r="I314" s="25" t="s">
        <v>1254</v>
      </c>
      <c r="J314" s="26" t="s">
        <v>1301</v>
      </c>
      <c r="K314" s="27" t="s">
        <v>672</v>
      </c>
      <c r="L314" s="28" t="s">
        <v>673</v>
      </c>
      <c r="M314" s="28" t="s">
        <v>587</v>
      </c>
      <c r="N314" s="25">
        <v>1</v>
      </c>
      <c r="O314" s="29">
        <v>12</v>
      </c>
      <c r="P314" s="29">
        <v>12</v>
      </c>
      <c r="Q314" s="25" t="s">
        <v>1146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91"/>
        <v>12</v>
      </c>
      <c r="AF314" s="32">
        <f t="shared" si="92"/>
        <v>0</v>
      </c>
      <c r="AG314" s="30"/>
      <c r="AH314" s="33">
        <v>1</v>
      </c>
      <c r="AI314" s="34">
        <f t="shared" si="93"/>
        <v>12</v>
      </c>
      <c r="AJ314" s="35">
        <v>46064</v>
      </c>
      <c r="AK314" s="30">
        <v>1</v>
      </c>
      <c r="AL314" s="36">
        <f t="shared" si="94"/>
        <v>12</v>
      </c>
      <c r="AM314" s="35">
        <v>46064</v>
      </c>
      <c r="AN314" s="30">
        <v>1</v>
      </c>
      <c r="AO314" s="36">
        <f t="shared" si="95"/>
        <v>12</v>
      </c>
      <c r="AP314" s="35">
        <v>46147</v>
      </c>
      <c r="AQ314" s="30">
        <v>1</v>
      </c>
      <c r="AR314" s="36">
        <f t="shared" si="96"/>
        <v>12</v>
      </c>
      <c r="AS314" s="27" t="s">
        <v>1276</v>
      </c>
      <c r="AT314" s="37">
        <v>46147</v>
      </c>
      <c r="AU314" s="30">
        <v>1</v>
      </c>
      <c r="AV314" s="36">
        <f t="shared" si="97"/>
        <v>12</v>
      </c>
      <c r="AW314" s="35">
        <v>46150</v>
      </c>
      <c r="AX314" s="30">
        <v>1</v>
      </c>
      <c r="AY314" s="32">
        <f t="shared" si="99"/>
        <v>12</v>
      </c>
      <c r="AZ314" s="30" t="s">
        <v>85</v>
      </c>
      <c r="BA314" s="63" t="s">
        <v>1277</v>
      </c>
      <c r="BB314" s="72"/>
      <c r="BC314" s="71" t="s">
        <v>673</v>
      </c>
      <c r="BD314" s="71"/>
    </row>
    <row r="315" spans="1:56" x14ac:dyDescent="0.25">
      <c r="A315" s="24">
        <f>IF(B315="","",SUBTOTAL(3,$B$4:B315))</f>
        <v>298</v>
      </c>
      <c r="B315" s="25" t="s">
        <v>77</v>
      </c>
      <c r="C315" s="25" t="str">
        <f t="shared" si="89"/>
        <v>Shipment 2 400</v>
      </c>
      <c r="D315" s="25" t="s">
        <v>1252</v>
      </c>
      <c r="E315" s="25">
        <v>400</v>
      </c>
      <c r="F315" s="25"/>
      <c r="G315" s="65">
        <v>45990</v>
      </c>
      <c r="H315" s="25" t="s">
        <v>1257</v>
      </c>
      <c r="I315" s="25" t="s">
        <v>1254</v>
      </c>
      <c r="J315" s="26" t="s">
        <v>1301</v>
      </c>
      <c r="K315" s="27" t="s">
        <v>674</v>
      </c>
      <c r="L315" s="28" t="s">
        <v>675</v>
      </c>
      <c r="M315" s="28" t="s">
        <v>587</v>
      </c>
      <c r="N315" s="25">
        <v>1</v>
      </c>
      <c r="O315" s="29">
        <v>11.08</v>
      </c>
      <c r="P315" s="29">
        <v>11.08</v>
      </c>
      <c r="Q315" s="25" t="s">
        <v>1147</v>
      </c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91"/>
        <v>11.080000000000002</v>
      </c>
      <c r="AF315" s="32">
        <f t="shared" si="92"/>
        <v>0</v>
      </c>
      <c r="AG315" s="30"/>
      <c r="AH315" s="33">
        <v>1</v>
      </c>
      <c r="AI315" s="34">
        <f t="shared" si="93"/>
        <v>11.08</v>
      </c>
      <c r="AJ315" s="35">
        <v>46064</v>
      </c>
      <c r="AK315" s="30">
        <v>1</v>
      </c>
      <c r="AL315" s="36">
        <f t="shared" si="94"/>
        <v>11.08</v>
      </c>
      <c r="AM315" s="35">
        <v>46064</v>
      </c>
      <c r="AN315" s="30">
        <v>1</v>
      </c>
      <c r="AO315" s="36">
        <f t="shared" si="95"/>
        <v>11.08</v>
      </c>
      <c r="AP315" s="35">
        <v>46147</v>
      </c>
      <c r="AQ315" s="30">
        <v>1</v>
      </c>
      <c r="AR315" s="36">
        <f t="shared" si="96"/>
        <v>11.08</v>
      </c>
      <c r="AS315" s="27" t="s">
        <v>1276</v>
      </c>
      <c r="AT315" s="37">
        <v>46147</v>
      </c>
      <c r="AU315" s="30">
        <v>1</v>
      </c>
      <c r="AV315" s="36">
        <f t="shared" si="97"/>
        <v>11.08</v>
      </c>
      <c r="AW315" s="35">
        <v>46150</v>
      </c>
      <c r="AX315" s="30">
        <v>1</v>
      </c>
      <c r="AY315" s="32">
        <f t="shared" si="99"/>
        <v>11.08</v>
      </c>
      <c r="AZ315" s="30" t="s">
        <v>85</v>
      </c>
      <c r="BA315" s="63" t="s">
        <v>1277</v>
      </c>
      <c r="BB315" s="72"/>
      <c r="BC315" s="71" t="s">
        <v>675</v>
      </c>
      <c r="BD315" s="71"/>
    </row>
    <row r="316" spans="1:56" x14ac:dyDescent="0.25">
      <c r="A316" s="24">
        <f>IF(B316="","",SUBTOTAL(3,$B$4:B316))</f>
        <v>299</v>
      </c>
      <c r="B316" s="25" t="s">
        <v>77</v>
      </c>
      <c r="C316" s="25" t="str">
        <f t="shared" si="89"/>
        <v>Shipment 2 400</v>
      </c>
      <c r="D316" s="25" t="s">
        <v>1252</v>
      </c>
      <c r="E316" s="25">
        <v>400</v>
      </c>
      <c r="F316" s="25"/>
      <c r="G316" s="65">
        <v>45990</v>
      </c>
      <c r="H316" s="25" t="s">
        <v>1257</v>
      </c>
      <c r="I316" s="25" t="s">
        <v>1254</v>
      </c>
      <c r="J316" s="26" t="s">
        <v>1301</v>
      </c>
      <c r="K316" s="27" t="s">
        <v>676</v>
      </c>
      <c r="L316" s="28" t="s">
        <v>677</v>
      </c>
      <c r="M316" s="28" t="s">
        <v>587</v>
      </c>
      <c r="N316" s="25">
        <v>1</v>
      </c>
      <c r="O316" s="29">
        <v>16.579999999999998</v>
      </c>
      <c r="P316" s="29">
        <v>16.579999999999998</v>
      </c>
      <c r="Q316" s="25" t="s">
        <v>1148</v>
      </c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91"/>
        <v>16.579999999999998</v>
      </c>
      <c r="AF316" s="32">
        <f t="shared" si="92"/>
        <v>0</v>
      </c>
      <c r="AG316" s="30"/>
      <c r="AH316" s="33">
        <v>1</v>
      </c>
      <c r="AI316" s="34">
        <f t="shared" si="93"/>
        <v>16.579999999999998</v>
      </c>
      <c r="AJ316" s="35">
        <v>46064</v>
      </c>
      <c r="AK316" s="30">
        <v>1</v>
      </c>
      <c r="AL316" s="36">
        <f t="shared" si="94"/>
        <v>16.579999999999998</v>
      </c>
      <c r="AM316" s="35">
        <v>46064</v>
      </c>
      <c r="AN316" s="30">
        <v>1</v>
      </c>
      <c r="AO316" s="36">
        <f t="shared" si="95"/>
        <v>16.579999999999998</v>
      </c>
      <c r="AP316" s="35">
        <v>46164</v>
      </c>
      <c r="AQ316" s="30">
        <v>1</v>
      </c>
      <c r="AR316" s="36">
        <f t="shared" si="96"/>
        <v>16.579999999999998</v>
      </c>
      <c r="AS316" s="27" t="s">
        <v>1278</v>
      </c>
      <c r="AT316" s="37">
        <v>46181</v>
      </c>
      <c r="AU316" s="30">
        <v>1</v>
      </c>
      <c r="AV316" s="36">
        <f t="shared" si="97"/>
        <v>16.579999999999998</v>
      </c>
      <c r="AW316" s="35">
        <v>46184</v>
      </c>
      <c r="AX316" s="30">
        <v>1</v>
      </c>
      <c r="AY316" s="32">
        <f t="shared" si="99"/>
        <v>16.579999999999998</v>
      </c>
      <c r="AZ316" s="30" t="s">
        <v>85</v>
      </c>
      <c r="BA316" s="63" t="s">
        <v>1285</v>
      </c>
      <c r="BB316" s="72"/>
      <c r="BC316" s="71" t="s">
        <v>677</v>
      </c>
      <c r="BD316" s="71"/>
    </row>
    <row r="317" spans="1:56" x14ac:dyDescent="0.25">
      <c r="A317" s="24">
        <f>IF(B317="","",SUBTOTAL(3,$B$4:B317))</f>
        <v>300</v>
      </c>
      <c r="B317" s="25" t="s">
        <v>77</v>
      </c>
      <c r="C317" s="25" t="str">
        <f t="shared" si="89"/>
        <v>Shipment 2 400</v>
      </c>
      <c r="D317" s="25" t="s">
        <v>1252</v>
      </c>
      <c r="E317" s="25">
        <v>400</v>
      </c>
      <c r="F317" s="25"/>
      <c r="G317" s="65">
        <v>45990</v>
      </c>
      <c r="H317" s="25" t="s">
        <v>1257</v>
      </c>
      <c r="I317" s="25" t="s">
        <v>1254</v>
      </c>
      <c r="J317" s="26" t="s">
        <v>1301</v>
      </c>
      <c r="K317" s="27" t="s">
        <v>678</v>
      </c>
      <c r="L317" s="28" t="s">
        <v>679</v>
      </c>
      <c r="M317" s="28" t="s">
        <v>587</v>
      </c>
      <c r="N317" s="25">
        <v>1</v>
      </c>
      <c r="O317" s="29">
        <v>23.28</v>
      </c>
      <c r="P317" s="29">
        <v>23.28</v>
      </c>
      <c r="Q317" s="25" t="s">
        <v>1149</v>
      </c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91"/>
        <v>23.28</v>
      </c>
      <c r="AF317" s="32">
        <f t="shared" si="92"/>
        <v>0</v>
      </c>
      <c r="AG317" s="30"/>
      <c r="AH317" s="33">
        <v>1</v>
      </c>
      <c r="AI317" s="34">
        <f t="shared" si="93"/>
        <v>23.28</v>
      </c>
      <c r="AJ317" s="35">
        <v>46064</v>
      </c>
      <c r="AK317" s="30">
        <v>1</v>
      </c>
      <c r="AL317" s="36">
        <f t="shared" si="94"/>
        <v>23.28</v>
      </c>
      <c r="AM317" s="35">
        <v>46064</v>
      </c>
      <c r="AN317" s="30">
        <v>1</v>
      </c>
      <c r="AO317" s="36">
        <f t="shared" si="95"/>
        <v>23.28</v>
      </c>
      <c r="AP317" s="35">
        <v>46147</v>
      </c>
      <c r="AQ317" s="30">
        <v>1</v>
      </c>
      <c r="AR317" s="36">
        <f t="shared" si="96"/>
        <v>23.28</v>
      </c>
      <c r="AS317" s="27" t="s">
        <v>1276</v>
      </c>
      <c r="AT317" s="37">
        <v>46147</v>
      </c>
      <c r="AU317" s="30">
        <v>1</v>
      </c>
      <c r="AV317" s="36">
        <f t="shared" si="97"/>
        <v>23.28</v>
      </c>
      <c r="AW317" s="35">
        <v>46150</v>
      </c>
      <c r="AX317" s="30">
        <v>1</v>
      </c>
      <c r="AY317" s="32">
        <f t="shared" si="99"/>
        <v>23.28</v>
      </c>
      <c r="AZ317" s="30" t="s">
        <v>85</v>
      </c>
      <c r="BA317" s="63" t="s">
        <v>1277</v>
      </c>
      <c r="BB317" s="72"/>
      <c r="BC317" s="71" t="s">
        <v>679</v>
      </c>
      <c r="BD317" s="71"/>
    </row>
    <row r="318" spans="1:56" x14ac:dyDescent="0.25">
      <c r="A318" s="24">
        <f>IF(B318="","",SUBTOTAL(3,$B$4:B318))</f>
        <v>301</v>
      </c>
      <c r="B318" s="25" t="s">
        <v>77</v>
      </c>
      <c r="C318" s="25" t="str">
        <f t="shared" si="89"/>
        <v>Shipment 2 400</v>
      </c>
      <c r="D318" s="25" t="s">
        <v>1252</v>
      </c>
      <c r="E318" s="25">
        <v>400</v>
      </c>
      <c r="F318" s="25"/>
      <c r="G318" s="65">
        <v>45990</v>
      </c>
      <c r="H318" s="25" t="s">
        <v>1257</v>
      </c>
      <c r="I318" s="25" t="s">
        <v>1254</v>
      </c>
      <c r="J318" s="26" t="s">
        <v>1301</v>
      </c>
      <c r="K318" s="27" t="s">
        <v>680</v>
      </c>
      <c r="L318" s="28" t="s">
        <v>681</v>
      </c>
      <c r="M318" s="28" t="s">
        <v>587</v>
      </c>
      <c r="N318" s="25">
        <v>1</v>
      </c>
      <c r="O318" s="29">
        <v>23.29</v>
      </c>
      <c r="P318" s="29">
        <v>23.29</v>
      </c>
      <c r="Q318" s="25" t="s">
        <v>1149</v>
      </c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91"/>
        <v>23.29</v>
      </c>
      <c r="AF318" s="32">
        <f t="shared" si="92"/>
        <v>0</v>
      </c>
      <c r="AG318" s="30"/>
      <c r="AH318" s="33">
        <v>1</v>
      </c>
      <c r="AI318" s="34">
        <f t="shared" si="93"/>
        <v>23.29</v>
      </c>
      <c r="AJ318" s="35">
        <v>46064</v>
      </c>
      <c r="AK318" s="30">
        <v>1</v>
      </c>
      <c r="AL318" s="36">
        <f t="shared" si="94"/>
        <v>23.29</v>
      </c>
      <c r="AM318" s="35">
        <v>46064</v>
      </c>
      <c r="AN318" s="30">
        <v>1</v>
      </c>
      <c r="AO318" s="36">
        <f t="shared" si="95"/>
        <v>23.29</v>
      </c>
      <c r="AP318" s="35">
        <v>46147</v>
      </c>
      <c r="AQ318" s="30">
        <v>1</v>
      </c>
      <c r="AR318" s="36">
        <f t="shared" si="96"/>
        <v>23.29</v>
      </c>
      <c r="AS318" s="27" t="s">
        <v>1276</v>
      </c>
      <c r="AT318" s="37">
        <v>46147</v>
      </c>
      <c r="AU318" s="30">
        <v>1</v>
      </c>
      <c r="AV318" s="36">
        <f t="shared" si="97"/>
        <v>23.29</v>
      </c>
      <c r="AW318" s="35">
        <v>46150</v>
      </c>
      <c r="AX318" s="30">
        <v>1</v>
      </c>
      <c r="AY318" s="32">
        <f t="shared" si="99"/>
        <v>23.29</v>
      </c>
      <c r="AZ318" s="30" t="s">
        <v>85</v>
      </c>
      <c r="BA318" s="63" t="s">
        <v>1277</v>
      </c>
      <c r="BB318" s="72"/>
      <c r="BC318" s="71" t="s">
        <v>681</v>
      </c>
      <c r="BD318" s="71"/>
    </row>
    <row r="319" spans="1:56" x14ac:dyDescent="0.25">
      <c r="A319" s="24">
        <f>IF(B319="","",SUBTOTAL(3,$B$4:B319))</f>
        <v>302</v>
      </c>
      <c r="B319" s="25" t="s">
        <v>77</v>
      </c>
      <c r="C319" s="25" t="str">
        <f t="shared" si="89"/>
        <v>Shipment 2 400</v>
      </c>
      <c r="D319" s="25" t="s">
        <v>1252</v>
      </c>
      <c r="E319" s="25">
        <v>400</v>
      </c>
      <c r="F319" s="25"/>
      <c r="G319" s="65">
        <v>45990</v>
      </c>
      <c r="H319" s="25" t="s">
        <v>1257</v>
      </c>
      <c r="I319" s="25" t="s">
        <v>1254</v>
      </c>
      <c r="J319" s="26" t="s">
        <v>1301</v>
      </c>
      <c r="K319" s="27" t="s">
        <v>682</v>
      </c>
      <c r="L319" s="28" t="s">
        <v>683</v>
      </c>
      <c r="M319" s="28" t="s">
        <v>587</v>
      </c>
      <c r="N319" s="25">
        <v>1</v>
      </c>
      <c r="O319" s="29">
        <v>22.47</v>
      </c>
      <c r="P319" s="29">
        <v>22.47</v>
      </c>
      <c r="Q319" s="25" t="s">
        <v>1150</v>
      </c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91"/>
        <v>22.47</v>
      </c>
      <c r="AF319" s="32">
        <f t="shared" si="92"/>
        <v>0</v>
      </c>
      <c r="AG319" s="30"/>
      <c r="AH319" s="33">
        <v>1</v>
      </c>
      <c r="AI319" s="34">
        <f t="shared" si="93"/>
        <v>22.47</v>
      </c>
      <c r="AJ319" s="35">
        <v>46064</v>
      </c>
      <c r="AK319" s="30">
        <v>1</v>
      </c>
      <c r="AL319" s="36">
        <f t="shared" si="94"/>
        <v>22.47</v>
      </c>
      <c r="AM319" s="35">
        <v>46064</v>
      </c>
      <c r="AN319" s="30">
        <v>1</v>
      </c>
      <c r="AO319" s="36">
        <f t="shared" si="95"/>
        <v>22.47</v>
      </c>
      <c r="AP319" s="35">
        <v>46147</v>
      </c>
      <c r="AQ319" s="30">
        <v>1</v>
      </c>
      <c r="AR319" s="36">
        <f t="shared" si="96"/>
        <v>22.47</v>
      </c>
      <c r="AS319" s="27" t="s">
        <v>1276</v>
      </c>
      <c r="AT319" s="37">
        <v>46147</v>
      </c>
      <c r="AU319" s="30">
        <v>1</v>
      </c>
      <c r="AV319" s="36">
        <f t="shared" si="97"/>
        <v>22.47</v>
      </c>
      <c r="AW319" s="35">
        <v>46150</v>
      </c>
      <c r="AX319" s="30">
        <v>1</v>
      </c>
      <c r="AY319" s="32">
        <f t="shared" si="99"/>
        <v>22.47</v>
      </c>
      <c r="AZ319" s="30" t="s">
        <v>85</v>
      </c>
      <c r="BA319" s="63" t="s">
        <v>1277</v>
      </c>
      <c r="BB319" s="72"/>
      <c r="BC319" s="71" t="s">
        <v>683</v>
      </c>
      <c r="BD319" s="71"/>
    </row>
    <row r="320" spans="1:56" x14ac:dyDescent="0.25">
      <c r="A320" s="24">
        <f>IF(B320="","",SUBTOTAL(3,$B$4:B320))</f>
        <v>303</v>
      </c>
      <c r="B320" s="25" t="s">
        <v>77</v>
      </c>
      <c r="C320" s="25" t="str">
        <f t="shared" si="89"/>
        <v>Shipment 2 400</v>
      </c>
      <c r="D320" s="25" t="s">
        <v>1252</v>
      </c>
      <c r="E320" s="25">
        <v>400</v>
      </c>
      <c r="F320" s="25"/>
      <c r="G320" s="65">
        <v>45990</v>
      </c>
      <c r="H320" s="25" t="s">
        <v>1257</v>
      </c>
      <c r="I320" s="25" t="s">
        <v>1254</v>
      </c>
      <c r="J320" s="26" t="s">
        <v>1301</v>
      </c>
      <c r="K320" s="27" t="s">
        <v>684</v>
      </c>
      <c r="L320" s="28" t="s">
        <v>685</v>
      </c>
      <c r="M320" s="28" t="s">
        <v>587</v>
      </c>
      <c r="N320" s="25">
        <v>1</v>
      </c>
      <c r="O320" s="29">
        <v>22.46</v>
      </c>
      <c r="P320" s="29">
        <v>22.46</v>
      </c>
      <c r="Q320" s="25" t="s">
        <v>1150</v>
      </c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91"/>
        <v>22.459999999999997</v>
      </c>
      <c r="AF320" s="32">
        <f t="shared" si="92"/>
        <v>0</v>
      </c>
      <c r="AG320" s="30"/>
      <c r="AH320" s="33">
        <v>1</v>
      </c>
      <c r="AI320" s="34">
        <f t="shared" si="93"/>
        <v>22.46</v>
      </c>
      <c r="AJ320" s="35">
        <v>46064</v>
      </c>
      <c r="AK320" s="30">
        <v>1</v>
      </c>
      <c r="AL320" s="36">
        <f t="shared" si="94"/>
        <v>22.46</v>
      </c>
      <c r="AM320" s="35">
        <v>46064</v>
      </c>
      <c r="AN320" s="30">
        <v>1</v>
      </c>
      <c r="AO320" s="36">
        <f t="shared" si="95"/>
        <v>22.46</v>
      </c>
      <c r="AP320" s="35">
        <v>46147</v>
      </c>
      <c r="AQ320" s="30">
        <v>1</v>
      </c>
      <c r="AR320" s="36">
        <f t="shared" si="96"/>
        <v>22.46</v>
      </c>
      <c r="AS320" s="27" t="s">
        <v>1276</v>
      </c>
      <c r="AT320" s="37">
        <v>46147</v>
      </c>
      <c r="AU320" s="30">
        <v>1</v>
      </c>
      <c r="AV320" s="36">
        <f t="shared" si="97"/>
        <v>22.46</v>
      </c>
      <c r="AW320" s="35">
        <v>46150</v>
      </c>
      <c r="AX320" s="30">
        <v>1</v>
      </c>
      <c r="AY320" s="32">
        <f t="shared" si="99"/>
        <v>22.46</v>
      </c>
      <c r="AZ320" s="30" t="s">
        <v>85</v>
      </c>
      <c r="BA320" s="63" t="s">
        <v>1277</v>
      </c>
      <c r="BB320" s="72"/>
      <c r="BC320" s="71" t="s">
        <v>685</v>
      </c>
      <c r="BD320" s="71"/>
    </row>
    <row r="321" spans="1:56" x14ac:dyDescent="0.25">
      <c r="A321" s="24">
        <f>IF(B321="","",SUBTOTAL(3,$B$4:B321))</f>
        <v>304</v>
      </c>
      <c r="B321" s="25" t="s">
        <v>77</v>
      </c>
      <c r="C321" s="25" t="str">
        <f t="shared" si="89"/>
        <v>Shipment 2 400</v>
      </c>
      <c r="D321" s="25" t="s">
        <v>1252</v>
      </c>
      <c r="E321" s="25">
        <v>400</v>
      </c>
      <c r="F321" s="25"/>
      <c r="G321" s="65">
        <v>45990</v>
      </c>
      <c r="H321" s="25" t="s">
        <v>1257</v>
      </c>
      <c r="I321" s="25" t="s">
        <v>1254</v>
      </c>
      <c r="J321" s="26" t="s">
        <v>1301</v>
      </c>
      <c r="K321" s="27" t="s">
        <v>686</v>
      </c>
      <c r="L321" s="28" t="s">
        <v>687</v>
      </c>
      <c r="M321" s="28" t="s">
        <v>587</v>
      </c>
      <c r="N321" s="25">
        <v>1</v>
      </c>
      <c r="O321" s="29">
        <v>21.2</v>
      </c>
      <c r="P321" s="29">
        <v>21.2</v>
      </c>
      <c r="Q321" s="25" t="s">
        <v>1136</v>
      </c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91"/>
        <v>21.2</v>
      </c>
      <c r="AF321" s="32">
        <f t="shared" si="92"/>
        <v>0</v>
      </c>
      <c r="AG321" s="30"/>
      <c r="AH321" s="33">
        <v>1</v>
      </c>
      <c r="AI321" s="34">
        <f t="shared" si="93"/>
        <v>21.2</v>
      </c>
      <c r="AJ321" s="35">
        <v>46064</v>
      </c>
      <c r="AK321" s="30">
        <v>1</v>
      </c>
      <c r="AL321" s="36">
        <f t="shared" si="94"/>
        <v>21.2</v>
      </c>
      <c r="AM321" s="35">
        <v>46064</v>
      </c>
      <c r="AN321" s="30">
        <v>1</v>
      </c>
      <c r="AO321" s="36">
        <f t="shared" si="95"/>
        <v>21.2</v>
      </c>
      <c r="AP321" s="35">
        <v>46147</v>
      </c>
      <c r="AQ321" s="30">
        <v>1</v>
      </c>
      <c r="AR321" s="36">
        <f t="shared" si="96"/>
        <v>21.2</v>
      </c>
      <c r="AS321" s="27" t="s">
        <v>1276</v>
      </c>
      <c r="AT321" s="37">
        <v>46147</v>
      </c>
      <c r="AU321" s="30">
        <v>1</v>
      </c>
      <c r="AV321" s="36">
        <f t="shared" si="97"/>
        <v>21.2</v>
      </c>
      <c r="AW321" s="35">
        <v>46150</v>
      </c>
      <c r="AX321" s="30">
        <v>1</v>
      </c>
      <c r="AY321" s="32">
        <f t="shared" si="99"/>
        <v>21.2</v>
      </c>
      <c r="AZ321" s="30" t="s">
        <v>85</v>
      </c>
      <c r="BA321" s="63" t="s">
        <v>1277</v>
      </c>
      <c r="BB321" s="72"/>
      <c r="BC321" s="71" t="s">
        <v>687</v>
      </c>
      <c r="BD321" s="71"/>
    </row>
    <row r="322" spans="1:56" x14ac:dyDescent="0.25">
      <c r="A322" s="24">
        <f>IF(B322="","",SUBTOTAL(3,$B$4:B322))</f>
        <v>305</v>
      </c>
      <c r="B322" s="25" t="s">
        <v>77</v>
      </c>
      <c r="C322" s="25" t="str">
        <f t="shared" si="89"/>
        <v>Shipment 2 400</v>
      </c>
      <c r="D322" s="25" t="s">
        <v>1252</v>
      </c>
      <c r="E322" s="25">
        <v>400</v>
      </c>
      <c r="F322" s="25"/>
      <c r="G322" s="65">
        <v>45990</v>
      </c>
      <c r="H322" s="25" t="s">
        <v>1257</v>
      </c>
      <c r="I322" s="25" t="s">
        <v>1254</v>
      </c>
      <c r="J322" s="26" t="s">
        <v>1301</v>
      </c>
      <c r="K322" s="27" t="s">
        <v>688</v>
      </c>
      <c r="L322" s="28" t="s">
        <v>689</v>
      </c>
      <c r="M322" s="28" t="s">
        <v>587</v>
      </c>
      <c r="N322" s="25">
        <v>1</v>
      </c>
      <c r="O322" s="29">
        <v>21.2</v>
      </c>
      <c r="P322" s="29">
        <v>21.2</v>
      </c>
      <c r="Q322" s="25" t="s">
        <v>1136</v>
      </c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91"/>
        <v>21.2</v>
      </c>
      <c r="AF322" s="32">
        <f t="shared" si="92"/>
        <v>0</v>
      </c>
      <c r="AG322" s="30"/>
      <c r="AH322" s="33">
        <v>1</v>
      </c>
      <c r="AI322" s="34">
        <f t="shared" si="93"/>
        <v>21.2</v>
      </c>
      <c r="AJ322" s="35">
        <v>46064</v>
      </c>
      <c r="AK322" s="30">
        <v>1</v>
      </c>
      <c r="AL322" s="36">
        <f t="shared" si="94"/>
        <v>21.2</v>
      </c>
      <c r="AM322" s="35">
        <v>46064</v>
      </c>
      <c r="AN322" s="30">
        <v>1</v>
      </c>
      <c r="AO322" s="36">
        <f t="shared" si="95"/>
        <v>21.2</v>
      </c>
      <c r="AP322" s="35">
        <v>46147</v>
      </c>
      <c r="AQ322" s="30">
        <v>1</v>
      </c>
      <c r="AR322" s="36">
        <f t="shared" si="96"/>
        <v>21.2</v>
      </c>
      <c r="AS322" s="27" t="s">
        <v>1276</v>
      </c>
      <c r="AT322" s="37">
        <v>46147</v>
      </c>
      <c r="AU322" s="30">
        <v>1</v>
      </c>
      <c r="AV322" s="36">
        <f t="shared" si="97"/>
        <v>21.2</v>
      </c>
      <c r="AW322" s="35">
        <v>46150</v>
      </c>
      <c r="AX322" s="30">
        <v>1</v>
      </c>
      <c r="AY322" s="32">
        <f t="shared" si="99"/>
        <v>21.2</v>
      </c>
      <c r="AZ322" s="30" t="s">
        <v>85</v>
      </c>
      <c r="BA322" s="63" t="s">
        <v>1277</v>
      </c>
      <c r="BB322" s="72"/>
      <c r="BC322" s="71" t="s">
        <v>689</v>
      </c>
      <c r="BD322" s="71"/>
    </row>
    <row r="323" spans="1:56" x14ac:dyDescent="0.25">
      <c r="A323" s="24">
        <f>IF(B323="","",SUBTOTAL(3,$B$4:B323))</f>
        <v>306</v>
      </c>
      <c r="B323" s="25" t="s">
        <v>77</v>
      </c>
      <c r="C323" s="25" t="str">
        <f t="shared" si="89"/>
        <v>Shipment 2 400</v>
      </c>
      <c r="D323" s="25" t="s">
        <v>1252</v>
      </c>
      <c r="E323" s="25">
        <v>400</v>
      </c>
      <c r="F323" s="25"/>
      <c r="G323" s="65">
        <v>45990</v>
      </c>
      <c r="H323" s="25" t="s">
        <v>1257</v>
      </c>
      <c r="I323" s="25" t="s">
        <v>1254</v>
      </c>
      <c r="J323" s="26" t="s">
        <v>1301</v>
      </c>
      <c r="K323" s="27" t="s">
        <v>690</v>
      </c>
      <c r="L323" s="28" t="s">
        <v>691</v>
      </c>
      <c r="M323" s="28" t="s">
        <v>587</v>
      </c>
      <c r="N323" s="25">
        <v>1</v>
      </c>
      <c r="O323" s="29">
        <v>24.38</v>
      </c>
      <c r="P323" s="29">
        <v>24.38</v>
      </c>
      <c r="Q323" s="25" t="s">
        <v>1151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91"/>
        <v>24.38</v>
      </c>
      <c r="AF323" s="32">
        <f t="shared" si="92"/>
        <v>0</v>
      </c>
      <c r="AG323" s="30"/>
      <c r="AH323" s="33">
        <v>1</v>
      </c>
      <c r="AI323" s="34">
        <f t="shared" si="93"/>
        <v>24.38</v>
      </c>
      <c r="AJ323" s="35">
        <v>46064</v>
      </c>
      <c r="AK323" s="30">
        <v>1</v>
      </c>
      <c r="AL323" s="36">
        <f t="shared" si="94"/>
        <v>24.38</v>
      </c>
      <c r="AM323" s="35">
        <v>46064</v>
      </c>
      <c r="AN323" s="30">
        <v>1</v>
      </c>
      <c r="AO323" s="36">
        <f t="shared" si="95"/>
        <v>24.38</v>
      </c>
      <c r="AP323" s="35">
        <v>46147</v>
      </c>
      <c r="AQ323" s="30">
        <v>1</v>
      </c>
      <c r="AR323" s="36">
        <f t="shared" si="96"/>
        <v>24.38</v>
      </c>
      <c r="AS323" s="27" t="s">
        <v>1276</v>
      </c>
      <c r="AT323" s="37">
        <v>46147</v>
      </c>
      <c r="AU323" s="30">
        <v>1</v>
      </c>
      <c r="AV323" s="36">
        <f t="shared" si="97"/>
        <v>24.38</v>
      </c>
      <c r="AW323" s="35">
        <v>46150</v>
      </c>
      <c r="AX323" s="30">
        <v>1</v>
      </c>
      <c r="AY323" s="32">
        <f t="shared" si="99"/>
        <v>24.38</v>
      </c>
      <c r="AZ323" s="30" t="s">
        <v>85</v>
      </c>
      <c r="BA323" s="63" t="s">
        <v>1277</v>
      </c>
      <c r="BB323" s="72"/>
      <c r="BC323" s="71" t="s">
        <v>691</v>
      </c>
      <c r="BD323" s="71"/>
    </row>
    <row r="324" spans="1:56" x14ac:dyDescent="0.25">
      <c r="A324" s="24">
        <f>IF(B324="","",SUBTOTAL(3,$B$4:B324))</f>
        <v>307</v>
      </c>
      <c r="B324" s="25" t="s">
        <v>77</v>
      </c>
      <c r="C324" s="25" t="str">
        <f t="shared" si="89"/>
        <v>Shipment 2 400</v>
      </c>
      <c r="D324" s="25" t="s">
        <v>1252</v>
      </c>
      <c r="E324" s="25">
        <v>400</v>
      </c>
      <c r="F324" s="25"/>
      <c r="G324" s="65">
        <v>45990</v>
      </c>
      <c r="H324" s="25" t="s">
        <v>1257</v>
      </c>
      <c r="I324" s="25" t="s">
        <v>1254</v>
      </c>
      <c r="J324" s="26" t="s">
        <v>1301</v>
      </c>
      <c r="K324" s="27" t="s">
        <v>692</v>
      </c>
      <c r="L324" s="28" t="s">
        <v>693</v>
      </c>
      <c r="M324" s="28" t="s">
        <v>587</v>
      </c>
      <c r="N324" s="25">
        <v>1</v>
      </c>
      <c r="O324" s="29">
        <v>22.04</v>
      </c>
      <c r="P324" s="29">
        <v>22.04</v>
      </c>
      <c r="Q324" s="25" t="s">
        <v>1152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91"/>
        <v>22.04</v>
      </c>
      <c r="AF324" s="32">
        <f t="shared" si="92"/>
        <v>0</v>
      </c>
      <c r="AG324" s="30"/>
      <c r="AH324" s="33">
        <v>1</v>
      </c>
      <c r="AI324" s="34">
        <f t="shared" si="93"/>
        <v>22.04</v>
      </c>
      <c r="AJ324" s="35">
        <v>46064</v>
      </c>
      <c r="AK324" s="30">
        <v>1</v>
      </c>
      <c r="AL324" s="36">
        <f t="shared" si="94"/>
        <v>22.04</v>
      </c>
      <c r="AM324" s="35">
        <v>46064</v>
      </c>
      <c r="AN324" s="30">
        <v>1</v>
      </c>
      <c r="AO324" s="36">
        <f t="shared" si="95"/>
        <v>22.04</v>
      </c>
      <c r="AP324" s="35">
        <v>46147</v>
      </c>
      <c r="AQ324" s="30">
        <v>1</v>
      </c>
      <c r="AR324" s="36">
        <f t="shared" si="96"/>
        <v>22.04</v>
      </c>
      <c r="AS324" s="27" t="s">
        <v>1276</v>
      </c>
      <c r="AT324" s="37">
        <v>46147</v>
      </c>
      <c r="AU324" s="30">
        <v>1</v>
      </c>
      <c r="AV324" s="36">
        <f t="shared" si="97"/>
        <v>22.04</v>
      </c>
      <c r="AW324" s="35">
        <v>46150</v>
      </c>
      <c r="AX324" s="30">
        <v>1</v>
      </c>
      <c r="AY324" s="32">
        <f t="shared" si="99"/>
        <v>22.04</v>
      </c>
      <c r="AZ324" s="30" t="s">
        <v>85</v>
      </c>
      <c r="BA324" s="63" t="s">
        <v>1277</v>
      </c>
      <c r="BB324" s="72"/>
      <c r="BC324" s="71" t="s">
        <v>693</v>
      </c>
      <c r="BD324" s="71"/>
    </row>
    <row r="325" spans="1:56" x14ac:dyDescent="0.25">
      <c r="A325" s="24">
        <f>IF(B325="","",SUBTOTAL(3,$B$4:B325))</f>
        <v>308</v>
      </c>
      <c r="B325" s="25" t="s">
        <v>77</v>
      </c>
      <c r="C325" s="25" t="str">
        <f t="shared" si="89"/>
        <v>Shipment 2 400</v>
      </c>
      <c r="D325" s="25" t="s">
        <v>1252</v>
      </c>
      <c r="E325" s="25">
        <v>400</v>
      </c>
      <c r="F325" s="25"/>
      <c r="G325" s="65">
        <v>45990</v>
      </c>
      <c r="H325" s="25" t="s">
        <v>1257</v>
      </c>
      <c r="I325" s="25" t="s">
        <v>1254</v>
      </c>
      <c r="J325" s="26" t="s">
        <v>1301</v>
      </c>
      <c r="K325" s="27" t="s">
        <v>694</v>
      </c>
      <c r="L325" s="28" t="s">
        <v>695</v>
      </c>
      <c r="M325" s="28" t="s">
        <v>587</v>
      </c>
      <c r="N325" s="25">
        <v>1</v>
      </c>
      <c r="O325" s="29">
        <v>22.04</v>
      </c>
      <c r="P325" s="29">
        <v>22.04</v>
      </c>
      <c r="Q325" s="25" t="s">
        <v>1152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91"/>
        <v>22.04</v>
      </c>
      <c r="AF325" s="32">
        <f t="shared" si="92"/>
        <v>0</v>
      </c>
      <c r="AG325" s="30"/>
      <c r="AH325" s="33">
        <v>1</v>
      </c>
      <c r="AI325" s="34">
        <f t="shared" si="93"/>
        <v>22.04</v>
      </c>
      <c r="AJ325" s="35">
        <v>46064</v>
      </c>
      <c r="AK325" s="30">
        <v>1</v>
      </c>
      <c r="AL325" s="36">
        <f t="shared" si="94"/>
        <v>22.04</v>
      </c>
      <c r="AM325" s="35">
        <v>46064</v>
      </c>
      <c r="AN325" s="30">
        <v>1</v>
      </c>
      <c r="AO325" s="36">
        <f t="shared" si="95"/>
        <v>22.04</v>
      </c>
      <c r="AP325" s="35">
        <v>46155</v>
      </c>
      <c r="AQ325" s="30">
        <v>1</v>
      </c>
      <c r="AR325" s="36">
        <f t="shared" si="96"/>
        <v>22.04</v>
      </c>
      <c r="AS325" s="27" t="s">
        <v>1277</v>
      </c>
      <c r="AT325" s="37">
        <v>46155</v>
      </c>
      <c r="AU325" s="30">
        <v>1</v>
      </c>
      <c r="AV325" s="36">
        <f t="shared" si="97"/>
        <v>22.04</v>
      </c>
      <c r="AW325" s="35">
        <v>46157</v>
      </c>
      <c r="AX325" s="30">
        <v>1</v>
      </c>
      <c r="AY325" s="32">
        <f t="shared" si="99"/>
        <v>22.04</v>
      </c>
      <c r="AZ325" s="30" t="s">
        <v>85</v>
      </c>
      <c r="BA325" s="63" t="s">
        <v>1278</v>
      </c>
      <c r="BB325" s="72"/>
      <c r="BC325" s="71" t="s">
        <v>695</v>
      </c>
      <c r="BD325" s="71"/>
    </row>
    <row r="326" spans="1:56" x14ac:dyDescent="0.25">
      <c r="A326" s="24">
        <f>IF(B326="","",SUBTOTAL(3,$B$4:B326))</f>
        <v>309</v>
      </c>
      <c r="B326" s="25" t="s">
        <v>77</v>
      </c>
      <c r="C326" s="25" t="str">
        <f t="shared" si="89"/>
        <v>Shipment 2 400</v>
      </c>
      <c r="D326" s="25" t="s">
        <v>1252</v>
      </c>
      <c r="E326" s="25">
        <v>400</v>
      </c>
      <c r="F326" s="25"/>
      <c r="G326" s="65">
        <v>45990</v>
      </c>
      <c r="H326" s="25" t="s">
        <v>1257</v>
      </c>
      <c r="I326" s="25" t="s">
        <v>1254</v>
      </c>
      <c r="J326" s="26" t="s">
        <v>1301</v>
      </c>
      <c r="K326" s="27" t="s">
        <v>696</v>
      </c>
      <c r="L326" s="28" t="s">
        <v>697</v>
      </c>
      <c r="M326" s="28" t="s">
        <v>587</v>
      </c>
      <c r="N326" s="25">
        <v>1</v>
      </c>
      <c r="O326" s="29">
        <v>24.38</v>
      </c>
      <c r="P326" s="29">
        <v>24.38</v>
      </c>
      <c r="Q326" s="25" t="s">
        <v>1151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91"/>
        <v>24.38</v>
      </c>
      <c r="AF326" s="32">
        <f t="shared" si="92"/>
        <v>0</v>
      </c>
      <c r="AG326" s="30"/>
      <c r="AH326" s="33">
        <v>1</v>
      </c>
      <c r="AI326" s="34">
        <f t="shared" si="93"/>
        <v>24.38</v>
      </c>
      <c r="AJ326" s="35">
        <v>46064</v>
      </c>
      <c r="AK326" s="30">
        <v>1</v>
      </c>
      <c r="AL326" s="36">
        <f t="shared" si="94"/>
        <v>24.38</v>
      </c>
      <c r="AM326" s="35">
        <v>46064</v>
      </c>
      <c r="AN326" s="30">
        <v>1</v>
      </c>
      <c r="AO326" s="36">
        <f t="shared" si="95"/>
        <v>24.38</v>
      </c>
      <c r="AP326" s="35">
        <v>46147</v>
      </c>
      <c r="AQ326" s="30">
        <v>1</v>
      </c>
      <c r="AR326" s="36">
        <f t="shared" si="96"/>
        <v>24.38</v>
      </c>
      <c r="AS326" s="27" t="s">
        <v>1276</v>
      </c>
      <c r="AT326" s="37">
        <v>46147</v>
      </c>
      <c r="AU326" s="30">
        <v>1</v>
      </c>
      <c r="AV326" s="36">
        <f t="shared" si="97"/>
        <v>24.38</v>
      </c>
      <c r="AW326" s="35">
        <v>46150</v>
      </c>
      <c r="AX326" s="30">
        <v>1</v>
      </c>
      <c r="AY326" s="32">
        <f t="shared" si="99"/>
        <v>24.38</v>
      </c>
      <c r="AZ326" s="30" t="s">
        <v>85</v>
      </c>
      <c r="BA326" s="63" t="s">
        <v>1277</v>
      </c>
      <c r="BB326" s="72"/>
      <c r="BC326" s="71" t="s">
        <v>697</v>
      </c>
      <c r="BD326" s="71"/>
    </row>
    <row r="327" spans="1:56" x14ac:dyDescent="0.25">
      <c r="A327" s="24">
        <f>IF(B327="","",SUBTOTAL(3,$B$4:B327))</f>
        <v>310</v>
      </c>
      <c r="B327" s="25" t="s">
        <v>77</v>
      </c>
      <c r="C327" s="25" t="str">
        <f t="shared" si="89"/>
        <v>Shipment 2 400</v>
      </c>
      <c r="D327" s="25" t="s">
        <v>1252</v>
      </c>
      <c r="E327" s="25">
        <v>400</v>
      </c>
      <c r="F327" s="25"/>
      <c r="G327" s="65">
        <v>45990</v>
      </c>
      <c r="H327" s="25" t="s">
        <v>1257</v>
      </c>
      <c r="I327" s="25" t="s">
        <v>1254</v>
      </c>
      <c r="J327" s="26" t="s">
        <v>1301</v>
      </c>
      <c r="K327" s="27" t="s">
        <v>698</v>
      </c>
      <c r="L327" s="28" t="s">
        <v>699</v>
      </c>
      <c r="M327" s="28" t="s">
        <v>587</v>
      </c>
      <c r="N327" s="25">
        <v>1</v>
      </c>
      <c r="O327" s="29">
        <v>24.38</v>
      </c>
      <c r="P327" s="29">
        <v>24.38</v>
      </c>
      <c r="Q327" s="25" t="s">
        <v>1151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91"/>
        <v>24.38</v>
      </c>
      <c r="AF327" s="32">
        <f t="shared" si="92"/>
        <v>0</v>
      </c>
      <c r="AG327" s="30"/>
      <c r="AH327" s="33">
        <v>1</v>
      </c>
      <c r="AI327" s="34">
        <f t="shared" si="93"/>
        <v>24.38</v>
      </c>
      <c r="AJ327" s="35">
        <v>46064</v>
      </c>
      <c r="AK327" s="30">
        <v>1</v>
      </c>
      <c r="AL327" s="36">
        <f t="shared" si="94"/>
        <v>24.38</v>
      </c>
      <c r="AM327" s="35">
        <v>46064</v>
      </c>
      <c r="AN327" s="30">
        <v>1</v>
      </c>
      <c r="AO327" s="36">
        <f t="shared" si="95"/>
        <v>24.38</v>
      </c>
      <c r="AP327" s="35">
        <v>46147</v>
      </c>
      <c r="AQ327" s="30">
        <v>1</v>
      </c>
      <c r="AR327" s="36">
        <f t="shared" si="96"/>
        <v>24.38</v>
      </c>
      <c r="AS327" s="27" t="s">
        <v>1276</v>
      </c>
      <c r="AT327" s="37">
        <v>46147</v>
      </c>
      <c r="AU327" s="30">
        <v>1</v>
      </c>
      <c r="AV327" s="36">
        <f t="shared" si="97"/>
        <v>24.38</v>
      </c>
      <c r="AW327" s="35">
        <v>46150</v>
      </c>
      <c r="AX327" s="30">
        <v>1</v>
      </c>
      <c r="AY327" s="32">
        <f t="shared" si="99"/>
        <v>24.38</v>
      </c>
      <c r="AZ327" s="30" t="s">
        <v>85</v>
      </c>
      <c r="BA327" s="63" t="s">
        <v>1277</v>
      </c>
      <c r="BB327" s="72"/>
      <c r="BC327" s="71" t="s">
        <v>1351</v>
      </c>
      <c r="BD327" s="71"/>
    </row>
    <row r="328" spans="1:56" x14ac:dyDescent="0.25">
      <c r="A328" s="24">
        <f>IF(B328="","",SUBTOTAL(3,$B$4:B328))</f>
        <v>311</v>
      </c>
      <c r="B328" s="25" t="s">
        <v>77</v>
      </c>
      <c r="C328" s="25" t="str">
        <f t="shared" si="89"/>
        <v>Shipment 2 400</v>
      </c>
      <c r="D328" s="25" t="s">
        <v>1252</v>
      </c>
      <c r="E328" s="25">
        <v>400</v>
      </c>
      <c r="F328" s="25"/>
      <c r="G328" s="65">
        <v>45990</v>
      </c>
      <c r="H328" s="25" t="s">
        <v>1257</v>
      </c>
      <c r="I328" s="25" t="s">
        <v>1254</v>
      </c>
      <c r="J328" s="26" t="s">
        <v>1301</v>
      </c>
      <c r="K328" s="27" t="s">
        <v>698</v>
      </c>
      <c r="L328" s="28" t="s">
        <v>700</v>
      </c>
      <c r="M328" s="28" t="s">
        <v>587</v>
      </c>
      <c r="N328" s="25">
        <v>1</v>
      </c>
      <c r="O328" s="29">
        <v>24.38</v>
      </c>
      <c r="P328" s="29">
        <v>24.38</v>
      </c>
      <c r="Q328" s="25" t="s">
        <v>1151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91"/>
        <v>24.38</v>
      </c>
      <c r="AF328" s="32">
        <f t="shared" si="92"/>
        <v>0</v>
      </c>
      <c r="AG328" s="30"/>
      <c r="AH328" s="33">
        <v>1</v>
      </c>
      <c r="AI328" s="34">
        <f t="shared" si="93"/>
        <v>24.38</v>
      </c>
      <c r="AJ328" s="35">
        <v>46064</v>
      </c>
      <c r="AK328" s="30">
        <v>1</v>
      </c>
      <c r="AL328" s="36">
        <f t="shared" si="94"/>
        <v>24.38</v>
      </c>
      <c r="AM328" s="35">
        <v>46064</v>
      </c>
      <c r="AN328" s="30">
        <v>1</v>
      </c>
      <c r="AO328" s="36">
        <f t="shared" si="95"/>
        <v>24.38</v>
      </c>
      <c r="AP328" s="35">
        <v>46147</v>
      </c>
      <c r="AQ328" s="30">
        <v>1</v>
      </c>
      <c r="AR328" s="36">
        <f t="shared" si="96"/>
        <v>24.38</v>
      </c>
      <c r="AS328" s="27" t="s">
        <v>1276</v>
      </c>
      <c r="AT328" s="37">
        <v>46147</v>
      </c>
      <c r="AU328" s="30">
        <v>1</v>
      </c>
      <c r="AV328" s="36">
        <f t="shared" si="97"/>
        <v>24.38</v>
      </c>
      <c r="AW328" s="35">
        <v>46150</v>
      </c>
      <c r="AX328" s="30">
        <v>1</v>
      </c>
      <c r="AY328" s="32">
        <f t="shared" si="99"/>
        <v>24.38</v>
      </c>
      <c r="AZ328" s="30" t="s">
        <v>85</v>
      </c>
      <c r="BA328" s="63" t="s">
        <v>1277</v>
      </c>
      <c r="BB328" s="72"/>
      <c r="BC328" s="71" t="s">
        <v>1351</v>
      </c>
      <c r="BD328" s="71"/>
    </row>
    <row r="329" spans="1:56" x14ac:dyDescent="0.25">
      <c r="A329" s="24">
        <f>IF(B329="","",SUBTOTAL(3,$B$4:B329))</f>
        <v>312</v>
      </c>
      <c r="B329" s="25" t="s">
        <v>77</v>
      </c>
      <c r="C329" s="25" t="str">
        <f t="shared" si="89"/>
        <v>Shipment 2 400</v>
      </c>
      <c r="D329" s="25" t="s">
        <v>1252</v>
      </c>
      <c r="E329" s="25">
        <v>400</v>
      </c>
      <c r="F329" s="25"/>
      <c r="G329" s="65">
        <v>45990</v>
      </c>
      <c r="H329" s="25" t="s">
        <v>1257</v>
      </c>
      <c r="I329" s="25" t="s">
        <v>1254</v>
      </c>
      <c r="J329" s="26" t="s">
        <v>1301</v>
      </c>
      <c r="K329" s="27" t="s">
        <v>701</v>
      </c>
      <c r="L329" s="28" t="s">
        <v>702</v>
      </c>
      <c r="M329" s="28" t="s">
        <v>587</v>
      </c>
      <c r="N329" s="25">
        <v>1</v>
      </c>
      <c r="O329" s="29">
        <v>21.11</v>
      </c>
      <c r="P329" s="29">
        <v>21.11</v>
      </c>
      <c r="Q329" s="25" t="s">
        <v>1153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91"/>
        <v>21.110000000000003</v>
      </c>
      <c r="AF329" s="32">
        <f t="shared" si="92"/>
        <v>0</v>
      </c>
      <c r="AG329" s="30"/>
      <c r="AH329" s="33">
        <v>1</v>
      </c>
      <c r="AI329" s="34">
        <f t="shared" si="93"/>
        <v>21.11</v>
      </c>
      <c r="AJ329" s="35">
        <v>46064</v>
      </c>
      <c r="AK329" s="30">
        <v>1</v>
      </c>
      <c r="AL329" s="36">
        <f t="shared" si="94"/>
        <v>21.11</v>
      </c>
      <c r="AM329" s="35">
        <v>46064</v>
      </c>
      <c r="AN329" s="30">
        <v>1</v>
      </c>
      <c r="AO329" s="36">
        <f t="shared" si="95"/>
        <v>21.11</v>
      </c>
      <c r="AP329" s="35">
        <v>46147</v>
      </c>
      <c r="AQ329" s="30">
        <v>1</v>
      </c>
      <c r="AR329" s="36">
        <f t="shared" si="96"/>
        <v>21.11</v>
      </c>
      <c r="AS329" s="27" t="s">
        <v>1276</v>
      </c>
      <c r="AT329" s="37">
        <v>46147</v>
      </c>
      <c r="AU329" s="30">
        <v>1</v>
      </c>
      <c r="AV329" s="36">
        <f t="shared" si="97"/>
        <v>21.11</v>
      </c>
      <c r="AW329" s="35">
        <v>46150</v>
      </c>
      <c r="AX329" s="30">
        <v>1</v>
      </c>
      <c r="AY329" s="32">
        <f t="shared" si="99"/>
        <v>21.11</v>
      </c>
      <c r="AZ329" s="30" t="s">
        <v>85</v>
      </c>
      <c r="BA329" s="63" t="s">
        <v>1277</v>
      </c>
      <c r="BB329" s="72"/>
      <c r="BC329" s="71" t="s">
        <v>702</v>
      </c>
      <c r="BD329" s="71"/>
    </row>
    <row r="330" spans="1:56" x14ac:dyDescent="0.25">
      <c r="A330" s="24">
        <f>IF(B330="","",SUBTOTAL(3,$B$4:B330))</f>
        <v>313</v>
      </c>
      <c r="B330" s="25" t="s">
        <v>77</v>
      </c>
      <c r="C330" s="25" t="str">
        <f t="shared" si="89"/>
        <v>Shipment 2 400</v>
      </c>
      <c r="D330" s="25" t="s">
        <v>1252</v>
      </c>
      <c r="E330" s="25">
        <v>400</v>
      </c>
      <c r="F330" s="25"/>
      <c r="G330" s="65">
        <v>45990</v>
      </c>
      <c r="H330" s="25" t="s">
        <v>1257</v>
      </c>
      <c r="I330" s="25" t="s">
        <v>1254</v>
      </c>
      <c r="J330" s="26" t="s">
        <v>1301</v>
      </c>
      <c r="K330" s="27" t="s">
        <v>703</v>
      </c>
      <c r="L330" s="28" t="s">
        <v>704</v>
      </c>
      <c r="M330" s="28" t="s">
        <v>587</v>
      </c>
      <c r="N330" s="25">
        <v>1</v>
      </c>
      <c r="O330" s="29">
        <v>14.01</v>
      </c>
      <c r="P330" s="29">
        <v>14.01</v>
      </c>
      <c r="Q330" s="25" t="s">
        <v>1154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91"/>
        <v>14.01</v>
      </c>
      <c r="AF330" s="32">
        <f t="shared" si="92"/>
        <v>0</v>
      </c>
      <c r="AG330" s="30"/>
      <c r="AH330" s="33">
        <v>1</v>
      </c>
      <c r="AI330" s="34">
        <f t="shared" si="93"/>
        <v>14.01</v>
      </c>
      <c r="AJ330" s="35">
        <v>46064</v>
      </c>
      <c r="AK330" s="30">
        <v>1</v>
      </c>
      <c r="AL330" s="36">
        <f t="shared" si="94"/>
        <v>14.01</v>
      </c>
      <c r="AM330" s="35">
        <v>46064</v>
      </c>
      <c r="AN330" s="30">
        <v>1</v>
      </c>
      <c r="AO330" s="36">
        <f t="shared" si="95"/>
        <v>14.01</v>
      </c>
      <c r="AP330" s="35">
        <v>46147</v>
      </c>
      <c r="AQ330" s="30">
        <v>1</v>
      </c>
      <c r="AR330" s="36">
        <f t="shared" si="96"/>
        <v>14.01</v>
      </c>
      <c r="AS330" s="27" t="s">
        <v>1276</v>
      </c>
      <c r="AT330" s="37">
        <v>46147</v>
      </c>
      <c r="AU330" s="30">
        <v>1</v>
      </c>
      <c r="AV330" s="36">
        <f t="shared" si="97"/>
        <v>14.01</v>
      </c>
      <c r="AW330" s="35">
        <v>46150</v>
      </c>
      <c r="AX330" s="30">
        <v>1</v>
      </c>
      <c r="AY330" s="32">
        <f t="shared" si="99"/>
        <v>14.01</v>
      </c>
      <c r="AZ330" s="30" t="s">
        <v>85</v>
      </c>
      <c r="BA330" s="63" t="s">
        <v>1277</v>
      </c>
      <c r="BB330" s="72"/>
      <c r="BC330" s="71" t="s">
        <v>704</v>
      </c>
      <c r="BD330" s="71"/>
    </row>
    <row r="331" spans="1:56" x14ac:dyDescent="0.25">
      <c r="A331" s="24">
        <f>IF(B331="","",SUBTOTAL(3,$B$4:B331))</f>
        <v>314</v>
      </c>
      <c r="B331" s="25" t="s">
        <v>77</v>
      </c>
      <c r="C331" s="25" t="str">
        <f t="shared" si="89"/>
        <v>Shipment 2 400</v>
      </c>
      <c r="D331" s="25" t="s">
        <v>1252</v>
      </c>
      <c r="E331" s="25">
        <v>400</v>
      </c>
      <c r="F331" s="25"/>
      <c r="G331" s="65">
        <v>45990</v>
      </c>
      <c r="H331" s="25" t="s">
        <v>1257</v>
      </c>
      <c r="I331" s="25" t="s">
        <v>1254</v>
      </c>
      <c r="J331" s="26" t="s">
        <v>1301</v>
      </c>
      <c r="K331" s="27" t="s">
        <v>705</v>
      </c>
      <c r="L331" s="28" t="s">
        <v>706</v>
      </c>
      <c r="M331" s="28" t="s">
        <v>587</v>
      </c>
      <c r="N331" s="25">
        <v>1</v>
      </c>
      <c r="O331" s="29">
        <v>16.600000000000001</v>
      </c>
      <c r="P331" s="29">
        <v>16.600000000000001</v>
      </c>
      <c r="Q331" s="25" t="s">
        <v>1126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91"/>
        <v>16.600000000000001</v>
      </c>
      <c r="AF331" s="32">
        <f t="shared" si="92"/>
        <v>0</v>
      </c>
      <c r="AG331" s="30"/>
      <c r="AH331" s="33">
        <v>1</v>
      </c>
      <c r="AI331" s="34">
        <f t="shared" si="93"/>
        <v>16.600000000000001</v>
      </c>
      <c r="AJ331" s="35">
        <v>46064</v>
      </c>
      <c r="AK331" s="30">
        <v>1</v>
      </c>
      <c r="AL331" s="36">
        <f t="shared" si="94"/>
        <v>16.600000000000001</v>
      </c>
      <c r="AM331" s="35">
        <v>46064</v>
      </c>
      <c r="AN331" s="30">
        <v>1</v>
      </c>
      <c r="AO331" s="36">
        <f t="shared" si="95"/>
        <v>16.600000000000001</v>
      </c>
      <c r="AP331" s="35">
        <v>46147</v>
      </c>
      <c r="AQ331" s="30">
        <v>1</v>
      </c>
      <c r="AR331" s="36">
        <f t="shared" si="96"/>
        <v>16.600000000000001</v>
      </c>
      <c r="AS331" s="27" t="s">
        <v>1276</v>
      </c>
      <c r="AT331" s="37">
        <v>46147</v>
      </c>
      <c r="AU331" s="30">
        <v>1</v>
      </c>
      <c r="AV331" s="36">
        <f t="shared" si="97"/>
        <v>16.600000000000001</v>
      </c>
      <c r="AW331" s="35">
        <v>46150</v>
      </c>
      <c r="AX331" s="30">
        <v>1</v>
      </c>
      <c r="AY331" s="32">
        <f t="shared" si="99"/>
        <v>16.600000000000001</v>
      </c>
      <c r="AZ331" s="30" t="s">
        <v>85</v>
      </c>
      <c r="BA331" s="63" t="s">
        <v>1277</v>
      </c>
      <c r="BB331" s="72"/>
      <c r="BC331" s="71" t="s">
        <v>706</v>
      </c>
      <c r="BD331" s="71"/>
    </row>
    <row r="332" spans="1:56" x14ac:dyDescent="0.25">
      <c r="A332" s="24">
        <f>IF(B332="","",SUBTOTAL(3,$B$4:B332))</f>
        <v>315</v>
      </c>
      <c r="B332" s="25" t="s">
        <v>77</v>
      </c>
      <c r="C332" s="25" t="str">
        <f t="shared" si="89"/>
        <v>Shipment 2 400</v>
      </c>
      <c r="D332" s="25" t="s">
        <v>1252</v>
      </c>
      <c r="E332" s="25">
        <v>400</v>
      </c>
      <c r="F332" s="25"/>
      <c r="G332" s="65">
        <v>45990</v>
      </c>
      <c r="H332" s="25" t="s">
        <v>1257</v>
      </c>
      <c r="I332" s="25" t="s">
        <v>1254</v>
      </c>
      <c r="J332" s="26" t="s">
        <v>1301</v>
      </c>
      <c r="K332" s="27" t="s">
        <v>707</v>
      </c>
      <c r="L332" s="28" t="s">
        <v>708</v>
      </c>
      <c r="M332" s="28" t="s">
        <v>587</v>
      </c>
      <c r="N332" s="25">
        <v>1</v>
      </c>
      <c r="O332" s="29">
        <v>21.34</v>
      </c>
      <c r="P332" s="29">
        <v>21.34</v>
      </c>
      <c r="Q332" s="25" t="s">
        <v>1155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91"/>
        <v>21.34</v>
      </c>
      <c r="AF332" s="32">
        <f t="shared" si="92"/>
        <v>0</v>
      </c>
      <c r="AG332" s="30"/>
      <c r="AH332" s="33">
        <v>1</v>
      </c>
      <c r="AI332" s="34">
        <f t="shared" si="93"/>
        <v>21.34</v>
      </c>
      <c r="AJ332" s="35">
        <v>46064</v>
      </c>
      <c r="AK332" s="30">
        <v>1</v>
      </c>
      <c r="AL332" s="36">
        <f t="shared" si="94"/>
        <v>21.34</v>
      </c>
      <c r="AM332" s="35">
        <v>46064</v>
      </c>
      <c r="AN332" s="30">
        <v>1</v>
      </c>
      <c r="AO332" s="36">
        <f t="shared" si="95"/>
        <v>21.34</v>
      </c>
      <c r="AP332" s="35">
        <v>46147</v>
      </c>
      <c r="AQ332" s="30">
        <v>1</v>
      </c>
      <c r="AR332" s="36">
        <f t="shared" si="96"/>
        <v>21.34</v>
      </c>
      <c r="AS332" s="27" t="s">
        <v>1276</v>
      </c>
      <c r="AT332" s="37">
        <v>46147</v>
      </c>
      <c r="AU332" s="30">
        <v>1</v>
      </c>
      <c r="AV332" s="36">
        <f t="shared" si="97"/>
        <v>21.34</v>
      </c>
      <c r="AW332" s="35">
        <v>46150</v>
      </c>
      <c r="AX332" s="30">
        <v>1</v>
      </c>
      <c r="AY332" s="32">
        <f t="shared" si="99"/>
        <v>21.34</v>
      </c>
      <c r="AZ332" s="30" t="s">
        <v>85</v>
      </c>
      <c r="BA332" s="63" t="s">
        <v>1277</v>
      </c>
      <c r="BB332" s="72"/>
      <c r="BC332" s="71" t="s">
        <v>708</v>
      </c>
      <c r="BD332" s="71"/>
    </row>
    <row r="333" spans="1:56" x14ac:dyDescent="0.25">
      <c r="A333" s="24">
        <f>IF(B333="","",SUBTOTAL(3,$B$4:B333))</f>
        <v>316</v>
      </c>
      <c r="B333" s="25" t="s">
        <v>77</v>
      </c>
      <c r="C333" s="25" t="str">
        <f t="shared" si="89"/>
        <v>Shipment 2 400</v>
      </c>
      <c r="D333" s="25" t="s">
        <v>1252</v>
      </c>
      <c r="E333" s="25">
        <v>400</v>
      </c>
      <c r="F333" s="25"/>
      <c r="G333" s="65">
        <v>45990</v>
      </c>
      <c r="H333" s="25" t="s">
        <v>1257</v>
      </c>
      <c r="I333" s="25" t="s">
        <v>1254</v>
      </c>
      <c r="J333" s="26" t="s">
        <v>1301</v>
      </c>
      <c r="K333" s="27" t="s">
        <v>709</v>
      </c>
      <c r="L333" s="28" t="s">
        <v>710</v>
      </c>
      <c r="M333" s="28" t="s">
        <v>587</v>
      </c>
      <c r="N333" s="25">
        <v>1</v>
      </c>
      <c r="O333" s="29">
        <v>23.45</v>
      </c>
      <c r="P333" s="29">
        <v>23.45</v>
      </c>
      <c r="Q333" s="25" t="s">
        <v>1156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91"/>
        <v>23.45</v>
      </c>
      <c r="AF333" s="32">
        <f t="shared" si="92"/>
        <v>0</v>
      </c>
      <c r="AG333" s="30"/>
      <c r="AH333" s="33">
        <v>1</v>
      </c>
      <c r="AI333" s="34">
        <f t="shared" si="93"/>
        <v>23.45</v>
      </c>
      <c r="AJ333" s="35">
        <v>46064</v>
      </c>
      <c r="AK333" s="30">
        <v>1</v>
      </c>
      <c r="AL333" s="36">
        <f t="shared" si="94"/>
        <v>23.45</v>
      </c>
      <c r="AM333" s="35">
        <v>46064</v>
      </c>
      <c r="AN333" s="30">
        <v>1</v>
      </c>
      <c r="AO333" s="36">
        <f t="shared" si="95"/>
        <v>23.45</v>
      </c>
      <c r="AP333" s="35">
        <v>46155</v>
      </c>
      <c r="AQ333" s="30">
        <v>1</v>
      </c>
      <c r="AR333" s="36">
        <f t="shared" si="96"/>
        <v>23.45</v>
      </c>
      <c r="AS333" s="27" t="s">
        <v>1277</v>
      </c>
      <c r="AT333" s="37">
        <v>46155</v>
      </c>
      <c r="AU333" s="30">
        <v>1</v>
      </c>
      <c r="AV333" s="36">
        <f t="shared" si="97"/>
        <v>23.45</v>
      </c>
      <c r="AW333" s="35">
        <v>46157</v>
      </c>
      <c r="AX333" s="30">
        <v>1</v>
      </c>
      <c r="AY333" s="32">
        <f t="shared" si="99"/>
        <v>23.45</v>
      </c>
      <c r="AZ333" s="30" t="s">
        <v>85</v>
      </c>
      <c r="BA333" s="63" t="s">
        <v>1278</v>
      </c>
      <c r="BB333" s="72"/>
      <c r="BC333" s="71" t="s">
        <v>1352</v>
      </c>
      <c r="BD333" s="71"/>
    </row>
    <row r="334" spans="1:56" x14ac:dyDescent="0.25">
      <c r="A334" s="24">
        <f>IF(B334="","",SUBTOTAL(3,$B$4:B334))</f>
        <v>317</v>
      </c>
      <c r="B334" s="25" t="s">
        <v>77</v>
      </c>
      <c r="C334" s="25" t="str">
        <f t="shared" ref="C334:C371" si="100">D334&amp;" "&amp;E334</f>
        <v>Shipment 2 400</v>
      </c>
      <c r="D334" s="25" t="s">
        <v>1252</v>
      </c>
      <c r="E334" s="25">
        <v>400</v>
      </c>
      <c r="F334" s="25"/>
      <c r="G334" s="65">
        <v>45990</v>
      </c>
      <c r="H334" s="25" t="s">
        <v>1257</v>
      </c>
      <c r="I334" s="25" t="s">
        <v>1254</v>
      </c>
      <c r="J334" s="26" t="s">
        <v>1301</v>
      </c>
      <c r="K334" s="27" t="s">
        <v>709</v>
      </c>
      <c r="L334" s="28" t="s">
        <v>711</v>
      </c>
      <c r="M334" s="28" t="s">
        <v>587</v>
      </c>
      <c r="N334" s="25">
        <v>1</v>
      </c>
      <c r="O334" s="29">
        <v>23.45</v>
      </c>
      <c r="P334" s="29">
        <v>23.45</v>
      </c>
      <c r="Q334" s="25" t="s">
        <v>1156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91"/>
        <v>23.45</v>
      </c>
      <c r="AF334" s="32">
        <f t="shared" si="92"/>
        <v>0</v>
      </c>
      <c r="AG334" s="30"/>
      <c r="AH334" s="33">
        <v>1</v>
      </c>
      <c r="AI334" s="34">
        <f t="shared" si="93"/>
        <v>23.45</v>
      </c>
      <c r="AJ334" s="35">
        <v>46064</v>
      </c>
      <c r="AK334" s="30">
        <v>1</v>
      </c>
      <c r="AL334" s="36">
        <f t="shared" si="94"/>
        <v>23.45</v>
      </c>
      <c r="AM334" s="35">
        <v>46064</v>
      </c>
      <c r="AN334" s="30">
        <v>1</v>
      </c>
      <c r="AO334" s="36">
        <f t="shared" si="95"/>
        <v>23.45</v>
      </c>
      <c r="AP334" s="35">
        <v>46155</v>
      </c>
      <c r="AQ334" s="30">
        <v>1</v>
      </c>
      <c r="AR334" s="36">
        <f t="shared" si="96"/>
        <v>23.45</v>
      </c>
      <c r="AS334" s="27" t="s">
        <v>1278</v>
      </c>
      <c r="AT334" s="37">
        <v>46181</v>
      </c>
      <c r="AU334" s="30">
        <v>1</v>
      </c>
      <c r="AV334" s="36">
        <f t="shared" si="97"/>
        <v>23.45</v>
      </c>
      <c r="AW334" s="35">
        <v>46184</v>
      </c>
      <c r="AX334" s="30">
        <v>1</v>
      </c>
      <c r="AY334" s="32">
        <f t="shared" si="99"/>
        <v>23.45</v>
      </c>
      <c r="AZ334" s="30" t="s">
        <v>85</v>
      </c>
      <c r="BA334" s="63" t="s">
        <v>1285</v>
      </c>
      <c r="BB334" s="72"/>
      <c r="BC334" s="71" t="s">
        <v>1352</v>
      </c>
      <c r="BD334" s="71"/>
    </row>
    <row r="335" spans="1:56" x14ac:dyDescent="0.25">
      <c r="A335" s="24">
        <f>IF(B335="","",SUBTOTAL(3,$B$4:B335))</f>
        <v>318</v>
      </c>
      <c r="B335" s="25" t="s">
        <v>77</v>
      </c>
      <c r="C335" s="25" t="str">
        <f t="shared" si="100"/>
        <v>Shipment 2 400</v>
      </c>
      <c r="D335" s="25" t="s">
        <v>1252</v>
      </c>
      <c r="E335" s="25">
        <v>400</v>
      </c>
      <c r="F335" s="25"/>
      <c r="G335" s="65">
        <v>45990</v>
      </c>
      <c r="H335" s="25" t="s">
        <v>1257</v>
      </c>
      <c r="I335" s="25" t="s">
        <v>1254</v>
      </c>
      <c r="J335" s="26" t="s">
        <v>1301</v>
      </c>
      <c r="K335" s="27" t="s">
        <v>712</v>
      </c>
      <c r="L335" s="28" t="s">
        <v>713</v>
      </c>
      <c r="M335" s="28" t="s">
        <v>587</v>
      </c>
      <c r="N335" s="25">
        <v>1</v>
      </c>
      <c r="O335" s="29">
        <v>21.35</v>
      </c>
      <c r="P335" s="29">
        <v>21.35</v>
      </c>
      <c r="Q335" s="25" t="s">
        <v>1138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91"/>
        <v>21.350000000000005</v>
      </c>
      <c r="AF335" s="32">
        <f t="shared" si="92"/>
        <v>0</v>
      </c>
      <c r="AG335" s="30"/>
      <c r="AH335" s="33">
        <v>1</v>
      </c>
      <c r="AI335" s="34">
        <f t="shared" si="93"/>
        <v>21.35</v>
      </c>
      <c r="AJ335" s="35">
        <v>46064</v>
      </c>
      <c r="AK335" s="30">
        <v>1</v>
      </c>
      <c r="AL335" s="36">
        <f t="shared" si="94"/>
        <v>21.35</v>
      </c>
      <c r="AM335" s="35">
        <v>46064</v>
      </c>
      <c r="AN335" s="30">
        <v>1</v>
      </c>
      <c r="AO335" s="36">
        <f t="shared" si="95"/>
        <v>21.35</v>
      </c>
      <c r="AP335" s="35">
        <v>46147</v>
      </c>
      <c r="AQ335" s="30">
        <v>1</v>
      </c>
      <c r="AR335" s="36">
        <f t="shared" si="96"/>
        <v>21.35</v>
      </c>
      <c r="AS335" s="27" t="s">
        <v>1276</v>
      </c>
      <c r="AT335" s="37">
        <v>46147</v>
      </c>
      <c r="AU335" s="30">
        <v>1</v>
      </c>
      <c r="AV335" s="36">
        <f t="shared" si="97"/>
        <v>21.35</v>
      </c>
      <c r="AW335" s="35">
        <v>46150</v>
      </c>
      <c r="AX335" s="30">
        <v>1</v>
      </c>
      <c r="AY335" s="32">
        <f t="shared" si="99"/>
        <v>21.35</v>
      </c>
      <c r="AZ335" s="30" t="s">
        <v>85</v>
      </c>
      <c r="BA335" s="63" t="s">
        <v>1277</v>
      </c>
      <c r="BB335" s="72"/>
      <c r="BC335" s="71" t="s">
        <v>713</v>
      </c>
      <c r="BD335" s="71"/>
    </row>
    <row r="336" spans="1:56" x14ac:dyDescent="0.25">
      <c r="A336" s="24">
        <f>IF(B336="","",SUBTOTAL(3,$B$4:B336))</f>
        <v>319</v>
      </c>
      <c r="B336" s="25" t="s">
        <v>77</v>
      </c>
      <c r="C336" s="25" t="str">
        <f t="shared" si="100"/>
        <v>Shipment 2 400</v>
      </c>
      <c r="D336" s="25" t="s">
        <v>1252</v>
      </c>
      <c r="E336" s="25">
        <v>400</v>
      </c>
      <c r="F336" s="25"/>
      <c r="G336" s="65">
        <v>45990</v>
      </c>
      <c r="H336" s="25" t="s">
        <v>1257</v>
      </c>
      <c r="I336" s="25" t="s">
        <v>1254</v>
      </c>
      <c r="J336" s="26" t="s">
        <v>1301</v>
      </c>
      <c r="K336" s="27" t="s">
        <v>714</v>
      </c>
      <c r="L336" s="28" t="s">
        <v>715</v>
      </c>
      <c r="M336" s="28" t="s">
        <v>587</v>
      </c>
      <c r="N336" s="25">
        <v>1</v>
      </c>
      <c r="O336" s="29">
        <v>15.51</v>
      </c>
      <c r="P336" s="29">
        <v>15.51</v>
      </c>
      <c r="Q336" s="25" t="s">
        <v>1157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91"/>
        <v>15.51</v>
      </c>
      <c r="AF336" s="32">
        <f t="shared" si="92"/>
        <v>0</v>
      </c>
      <c r="AG336" s="30"/>
      <c r="AH336" s="33">
        <v>1</v>
      </c>
      <c r="AI336" s="34">
        <f t="shared" si="93"/>
        <v>15.51</v>
      </c>
      <c r="AJ336" s="35">
        <v>46064</v>
      </c>
      <c r="AK336" s="30">
        <v>1</v>
      </c>
      <c r="AL336" s="36">
        <f t="shared" si="94"/>
        <v>15.51</v>
      </c>
      <c r="AM336" s="35">
        <v>46064</v>
      </c>
      <c r="AN336" s="30">
        <v>1</v>
      </c>
      <c r="AO336" s="36">
        <f t="shared" si="95"/>
        <v>15.51</v>
      </c>
      <c r="AP336" s="35">
        <v>46147</v>
      </c>
      <c r="AQ336" s="30">
        <v>1</v>
      </c>
      <c r="AR336" s="36">
        <f t="shared" si="96"/>
        <v>15.51</v>
      </c>
      <c r="AS336" s="27" t="s">
        <v>1276</v>
      </c>
      <c r="AT336" s="37">
        <v>46147</v>
      </c>
      <c r="AU336" s="30">
        <v>1</v>
      </c>
      <c r="AV336" s="36">
        <f t="shared" si="97"/>
        <v>15.51</v>
      </c>
      <c r="AW336" s="35">
        <v>46150</v>
      </c>
      <c r="AX336" s="30">
        <v>1</v>
      </c>
      <c r="AY336" s="32">
        <f t="shared" si="99"/>
        <v>15.51</v>
      </c>
      <c r="AZ336" s="30" t="s">
        <v>85</v>
      </c>
      <c r="BA336" s="63" t="s">
        <v>1277</v>
      </c>
      <c r="BB336" s="72"/>
      <c r="BC336" s="71" t="s">
        <v>715</v>
      </c>
      <c r="BD336" s="71"/>
    </row>
    <row r="337" spans="1:56" x14ac:dyDescent="0.25">
      <c r="A337" s="24">
        <f>IF(B337="","",SUBTOTAL(3,$B$4:B337))</f>
        <v>320</v>
      </c>
      <c r="B337" s="25" t="s">
        <v>77</v>
      </c>
      <c r="C337" s="25" t="str">
        <f t="shared" si="100"/>
        <v>Shipment 2 400</v>
      </c>
      <c r="D337" s="25" t="s">
        <v>1252</v>
      </c>
      <c r="E337" s="25">
        <v>400</v>
      </c>
      <c r="F337" s="25"/>
      <c r="G337" s="65">
        <v>45990</v>
      </c>
      <c r="H337" s="25" t="s">
        <v>1257</v>
      </c>
      <c r="I337" s="25" t="s">
        <v>1254</v>
      </c>
      <c r="J337" s="26" t="s">
        <v>1301</v>
      </c>
      <c r="K337" s="27" t="s">
        <v>716</v>
      </c>
      <c r="L337" s="28" t="s">
        <v>717</v>
      </c>
      <c r="M337" s="28" t="s">
        <v>587</v>
      </c>
      <c r="N337" s="25">
        <v>1</v>
      </c>
      <c r="O337" s="29">
        <v>15.51</v>
      </c>
      <c r="P337" s="29">
        <v>15.51</v>
      </c>
      <c r="Q337" s="25" t="s">
        <v>1157</v>
      </c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91"/>
        <v>15.51</v>
      </c>
      <c r="AF337" s="32">
        <f t="shared" si="92"/>
        <v>0</v>
      </c>
      <c r="AG337" s="30"/>
      <c r="AH337" s="33">
        <v>1</v>
      </c>
      <c r="AI337" s="34">
        <f t="shared" si="93"/>
        <v>15.51</v>
      </c>
      <c r="AJ337" s="35">
        <v>46064</v>
      </c>
      <c r="AK337" s="30">
        <v>1</v>
      </c>
      <c r="AL337" s="36">
        <f t="shared" si="94"/>
        <v>15.51</v>
      </c>
      <c r="AM337" s="35">
        <v>46064</v>
      </c>
      <c r="AN337" s="30">
        <v>1</v>
      </c>
      <c r="AO337" s="36">
        <f t="shared" si="95"/>
        <v>15.51</v>
      </c>
      <c r="AP337" s="35">
        <v>46155</v>
      </c>
      <c r="AQ337" s="30">
        <v>1</v>
      </c>
      <c r="AR337" s="36">
        <f t="shared" si="96"/>
        <v>15.51</v>
      </c>
      <c r="AS337" s="27" t="s">
        <v>1277</v>
      </c>
      <c r="AT337" s="37">
        <v>46155</v>
      </c>
      <c r="AU337" s="30">
        <v>1</v>
      </c>
      <c r="AV337" s="36">
        <f t="shared" si="97"/>
        <v>15.51</v>
      </c>
      <c r="AW337" s="35">
        <v>46157</v>
      </c>
      <c r="AX337" s="30">
        <v>1</v>
      </c>
      <c r="AY337" s="32">
        <f t="shared" si="99"/>
        <v>15.51</v>
      </c>
      <c r="AZ337" s="30" t="s">
        <v>85</v>
      </c>
      <c r="BA337" s="63" t="s">
        <v>1278</v>
      </c>
      <c r="BB337" s="72"/>
      <c r="BC337" s="71" t="s">
        <v>717</v>
      </c>
      <c r="BD337" s="71"/>
    </row>
    <row r="338" spans="1:56" x14ac:dyDescent="0.25">
      <c r="A338" s="24">
        <f>IF(B338="","",SUBTOTAL(3,$B$4:B338))</f>
        <v>321</v>
      </c>
      <c r="B338" s="25" t="s">
        <v>77</v>
      </c>
      <c r="C338" s="25" t="str">
        <f t="shared" si="100"/>
        <v>Shipment 2 400</v>
      </c>
      <c r="D338" s="25" t="s">
        <v>1252</v>
      </c>
      <c r="E338" s="25">
        <v>400</v>
      </c>
      <c r="F338" s="25"/>
      <c r="G338" s="65">
        <v>45990</v>
      </c>
      <c r="H338" s="25" t="s">
        <v>1257</v>
      </c>
      <c r="I338" s="25" t="s">
        <v>1254</v>
      </c>
      <c r="J338" s="26" t="s">
        <v>1301</v>
      </c>
      <c r="K338" s="27" t="s">
        <v>718</v>
      </c>
      <c r="L338" s="28" t="s">
        <v>719</v>
      </c>
      <c r="M338" s="28" t="s">
        <v>587</v>
      </c>
      <c r="N338" s="25">
        <v>1</v>
      </c>
      <c r="O338" s="29">
        <v>12</v>
      </c>
      <c r="P338" s="29">
        <v>12</v>
      </c>
      <c r="Q338" s="25" t="s">
        <v>1158</v>
      </c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91"/>
        <v>12</v>
      </c>
      <c r="AF338" s="32">
        <f t="shared" si="92"/>
        <v>0</v>
      </c>
      <c r="AG338" s="30"/>
      <c r="AH338" s="33">
        <v>1</v>
      </c>
      <c r="AI338" s="34">
        <f t="shared" si="93"/>
        <v>12</v>
      </c>
      <c r="AJ338" s="35">
        <v>46064</v>
      </c>
      <c r="AK338" s="30">
        <v>1</v>
      </c>
      <c r="AL338" s="36">
        <f t="shared" si="94"/>
        <v>12</v>
      </c>
      <c r="AM338" s="35">
        <v>46064</v>
      </c>
      <c r="AN338" s="30">
        <v>1</v>
      </c>
      <c r="AO338" s="36">
        <f t="shared" si="95"/>
        <v>12</v>
      </c>
      <c r="AP338" s="35">
        <v>46147</v>
      </c>
      <c r="AQ338" s="30">
        <v>1</v>
      </c>
      <c r="AR338" s="36">
        <f t="shared" si="96"/>
        <v>12</v>
      </c>
      <c r="AS338" s="27" t="s">
        <v>1276</v>
      </c>
      <c r="AT338" s="37">
        <v>46147</v>
      </c>
      <c r="AU338" s="30">
        <v>1</v>
      </c>
      <c r="AV338" s="36">
        <f t="shared" si="97"/>
        <v>12</v>
      </c>
      <c r="AW338" s="35">
        <v>46150</v>
      </c>
      <c r="AX338" s="30">
        <v>1</v>
      </c>
      <c r="AY338" s="32">
        <f t="shared" si="99"/>
        <v>12</v>
      </c>
      <c r="AZ338" s="30" t="s">
        <v>85</v>
      </c>
      <c r="BA338" s="63" t="s">
        <v>1277</v>
      </c>
      <c r="BB338" s="72"/>
      <c r="BC338" s="71" t="s">
        <v>719</v>
      </c>
      <c r="BD338" s="71"/>
    </row>
    <row r="339" spans="1:56" x14ac:dyDescent="0.25">
      <c r="A339" s="24">
        <f>IF(B339="","",SUBTOTAL(3,$B$4:B339))</f>
        <v>322</v>
      </c>
      <c r="B339" s="25" t="s">
        <v>77</v>
      </c>
      <c r="C339" s="25" t="str">
        <f t="shared" si="100"/>
        <v>Shipment 2 400</v>
      </c>
      <c r="D339" s="25" t="s">
        <v>1252</v>
      </c>
      <c r="E339" s="25">
        <v>400</v>
      </c>
      <c r="F339" s="25"/>
      <c r="G339" s="65">
        <v>45990</v>
      </c>
      <c r="H339" s="25" t="s">
        <v>1257</v>
      </c>
      <c r="I339" s="25" t="s">
        <v>1254</v>
      </c>
      <c r="J339" s="26" t="s">
        <v>1301</v>
      </c>
      <c r="K339" s="27" t="s">
        <v>720</v>
      </c>
      <c r="L339" s="28" t="s">
        <v>721</v>
      </c>
      <c r="M339" s="28" t="s">
        <v>587</v>
      </c>
      <c r="N339" s="25">
        <v>1</v>
      </c>
      <c r="O339" s="29">
        <v>22.13</v>
      </c>
      <c r="P339" s="29">
        <v>22.13</v>
      </c>
      <c r="Q339" s="25" t="s">
        <v>1159</v>
      </c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91"/>
        <v>22.130000000000003</v>
      </c>
      <c r="AF339" s="32">
        <f t="shared" si="92"/>
        <v>0</v>
      </c>
      <c r="AG339" s="30"/>
      <c r="AH339" s="33">
        <v>1</v>
      </c>
      <c r="AI339" s="34">
        <f t="shared" si="93"/>
        <v>22.13</v>
      </c>
      <c r="AJ339" s="35">
        <v>46064</v>
      </c>
      <c r="AK339" s="30">
        <v>1</v>
      </c>
      <c r="AL339" s="36">
        <f t="shared" si="94"/>
        <v>22.13</v>
      </c>
      <c r="AM339" s="35">
        <v>46064</v>
      </c>
      <c r="AN339" s="30">
        <v>1</v>
      </c>
      <c r="AO339" s="36">
        <f t="shared" si="95"/>
        <v>22.13</v>
      </c>
      <c r="AP339" s="35">
        <v>46164</v>
      </c>
      <c r="AQ339" s="30">
        <v>1</v>
      </c>
      <c r="AR339" s="36">
        <f t="shared" si="96"/>
        <v>22.13</v>
      </c>
      <c r="AS339" s="27" t="s">
        <v>1278</v>
      </c>
      <c r="AT339" s="37">
        <v>46181</v>
      </c>
      <c r="AU339" s="30">
        <v>1</v>
      </c>
      <c r="AV339" s="36">
        <f t="shared" si="97"/>
        <v>22.13</v>
      </c>
      <c r="AW339" s="35">
        <v>46184</v>
      </c>
      <c r="AX339" s="30">
        <v>1</v>
      </c>
      <c r="AY339" s="32">
        <f t="shared" si="99"/>
        <v>22.13</v>
      </c>
      <c r="AZ339" s="30" t="s">
        <v>85</v>
      </c>
      <c r="BA339" s="63" t="s">
        <v>1285</v>
      </c>
      <c r="BB339" s="72"/>
      <c r="BC339" s="71" t="s">
        <v>1353</v>
      </c>
      <c r="BD339" s="71"/>
    </row>
    <row r="340" spans="1:56" x14ac:dyDescent="0.25">
      <c r="A340" s="24">
        <f>IF(B340="","",SUBTOTAL(3,$B$4:B340))</f>
        <v>323</v>
      </c>
      <c r="B340" s="25" t="s">
        <v>77</v>
      </c>
      <c r="C340" s="25" t="str">
        <f t="shared" si="100"/>
        <v>Shipment 2 400</v>
      </c>
      <c r="D340" s="25" t="s">
        <v>1252</v>
      </c>
      <c r="E340" s="25">
        <v>400</v>
      </c>
      <c r="F340" s="25"/>
      <c r="G340" s="65">
        <v>45990</v>
      </c>
      <c r="H340" s="25" t="s">
        <v>1257</v>
      </c>
      <c r="I340" s="25" t="s">
        <v>1254</v>
      </c>
      <c r="J340" s="26" t="s">
        <v>1301</v>
      </c>
      <c r="K340" s="27" t="s">
        <v>720</v>
      </c>
      <c r="L340" s="28" t="s">
        <v>722</v>
      </c>
      <c r="M340" s="28" t="s">
        <v>587</v>
      </c>
      <c r="N340" s="25">
        <v>1</v>
      </c>
      <c r="O340" s="29">
        <v>22.13</v>
      </c>
      <c r="P340" s="29">
        <v>22.13</v>
      </c>
      <c r="Q340" s="25" t="s">
        <v>1159</v>
      </c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91"/>
        <v>22.130000000000003</v>
      </c>
      <c r="AF340" s="32">
        <f t="shared" si="92"/>
        <v>0</v>
      </c>
      <c r="AG340" s="30"/>
      <c r="AH340" s="33">
        <v>1</v>
      </c>
      <c r="AI340" s="34">
        <f t="shared" si="93"/>
        <v>22.13</v>
      </c>
      <c r="AJ340" s="35">
        <v>46064</v>
      </c>
      <c r="AK340" s="30">
        <v>1</v>
      </c>
      <c r="AL340" s="36">
        <f t="shared" si="94"/>
        <v>22.13</v>
      </c>
      <c r="AM340" s="35">
        <v>46064</v>
      </c>
      <c r="AN340" s="30">
        <v>1</v>
      </c>
      <c r="AO340" s="36">
        <f t="shared" si="95"/>
        <v>22.13</v>
      </c>
      <c r="AP340" s="35">
        <v>46164</v>
      </c>
      <c r="AQ340" s="30">
        <v>1</v>
      </c>
      <c r="AR340" s="36">
        <f t="shared" si="96"/>
        <v>22.13</v>
      </c>
      <c r="AS340" s="27" t="s">
        <v>1278</v>
      </c>
      <c r="AT340" s="37">
        <v>46181</v>
      </c>
      <c r="AU340" s="30">
        <v>1</v>
      </c>
      <c r="AV340" s="36">
        <f t="shared" si="97"/>
        <v>22.13</v>
      </c>
      <c r="AW340" s="35">
        <v>46184</v>
      </c>
      <c r="AX340" s="30">
        <v>1</v>
      </c>
      <c r="AY340" s="32">
        <f t="shared" si="99"/>
        <v>22.13</v>
      </c>
      <c r="AZ340" s="30" t="s">
        <v>85</v>
      </c>
      <c r="BA340" s="63" t="s">
        <v>1285</v>
      </c>
      <c r="BB340" s="72"/>
      <c r="BC340" s="71" t="s">
        <v>1353</v>
      </c>
      <c r="BD340" s="71"/>
    </row>
    <row r="341" spans="1:56" x14ac:dyDescent="0.25">
      <c r="A341" s="24">
        <f>IF(B341="","",SUBTOTAL(3,$B$4:B341))</f>
        <v>324</v>
      </c>
      <c r="B341" s="25" t="s">
        <v>77</v>
      </c>
      <c r="C341" s="25" t="str">
        <f t="shared" si="100"/>
        <v>Shipment 2 400</v>
      </c>
      <c r="D341" s="25" t="s">
        <v>1252</v>
      </c>
      <c r="E341" s="25">
        <v>400</v>
      </c>
      <c r="F341" s="25"/>
      <c r="G341" s="65">
        <v>45990</v>
      </c>
      <c r="H341" s="25" t="s">
        <v>1257</v>
      </c>
      <c r="I341" s="25" t="s">
        <v>1254</v>
      </c>
      <c r="J341" s="26" t="s">
        <v>1301</v>
      </c>
      <c r="K341" s="27" t="s">
        <v>723</v>
      </c>
      <c r="L341" s="28" t="s">
        <v>724</v>
      </c>
      <c r="M341" s="28" t="s">
        <v>587</v>
      </c>
      <c r="N341" s="25">
        <v>1</v>
      </c>
      <c r="O341" s="29">
        <v>22.13</v>
      </c>
      <c r="P341" s="29">
        <v>22.13</v>
      </c>
      <c r="Q341" s="25" t="s">
        <v>1159</v>
      </c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91"/>
        <v>22.130000000000003</v>
      </c>
      <c r="AF341" s="32">
        <f t="shared" si="92"/>
        <v>0</v>
      </c>
      <c r="AG341" s="30"/>
      <c r="AH341" s="33">
        <v>1</v>
      </c>
      <c r="AI341" s="34">
        <f t="shared" si="93"/>
        <v>22.13</v>
      </c>
      <c r="AJ341" s="35">
        <v>46064</v>
      </c>
      <c r="AK341" s="30">
        <v>1</v>
      </c>
      <c r="AL341" s="36">
        <f t="shared" si="94"/>
        <v>22.13</v>
      </c>
      <c r="AM341" s="35">
        <v>46064</v>
      </c>
      <c r="AN341" s="30">
        <v>1</v>
      </c>
      <c r="AO341" s="36">
        <f t="shared" si="95"/>
        <v>22.13</v>
      </c>
      <c r="AP341" s="35">
        <v>46147</v>
      </c>
      <c r="AQ341" s="30">
        <v>1</v>
      </c>
      <c r="AR341" s="36">
        <f t="shared" si="96"/>
        <v>22.13</v>
      </c>
      <c r="AS341" s="27" t="s">
        <v>1276</v>
      </c>
      <c r="AT341" s="37">
        <v>46147</v>
      </c>
      <c r="AU341" s="30">
        <v>1</v>
      </c>
      <c r="AV341" s="36">
        <f t="shared" si="97"/>
        <v>22.13</v>
      </c>
      <c r="AW341" s="35">
        <v>46150</v>
      </c>
      <c r="AX341" s="30">
        <v>1</v>
      </c>
      <c r="AY341" s="32">
        <f t="shared" si="99"/>
        <v>22.13</v>
      </c>
      <c r="AZ341" s="30" t="s">
        <v>85</v>
      </c>
      <c r="BA341" s="63" t="s">
        <v>1277</v>
      </c>
      <c r="BB341" s="72"/>
      <c r="BC341" s="71" t="s">
        <v>1354</v>
      </c>
      <c r="BD341" s="71"/>
    </row>
    <row r="342" spans="1:56" x14ac:dyDescent="0.25">
      <c r="A342" s="24">
        <f>IF(B342="","",SUBTOTAL(3,$B$4:B342))</f>
        <v>325</v>
      </c>
      <c r="B342" s="25" t="s">
        <v>77</v>
      </c>
      <c r="C342" s="25" t="str">
        <f t="shared" si="100"/>
        <v>Shipment 2 400</v>
      </c>
      <c r="D342" s="25" t="s">
        <v>1252</v>
      </c>
      <c r="E342" s="25">
        <v>400</v>
      </c>
      <c r="F342" s="25"/>
      <c r="G342" s="65">
        <v>45990</v>
      </c>
      <c r="H342" s="25" t="s">
        <v>1257</v>
      </c>
      <c r="I342" s="25" t="s">
        <v>1254</v>
      </c>
      <c r="J342" s="26" t="s">
        <v>1301</v>
      </c>
      <c r="K342" s="27" t="s">
        <v>723</v>
      </c>
      <c r="L342" s="28" t="s">
        <v>725</v>
      </c>
      <c r="M342" s="28" t="s">
        <v>587</v>
      </c>
      <c r="N342" s="25">
        <v>1</v>
      </c>
      <c r="O342" s="29">
        <v>22.13</v>
      </c>
      <c r="P342" s="29">
        <v>22.13</v>
      </c>
      <c r="Q342" s="25" t="s">
        <v>1159</v>
      </c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91"/>
        <v>22.130000000000003</v>
      </c>
      <c r="AF342" s="32">
        <f t="shared" si="92"/>
        <v>0</v>
      </c>
      <c r="AG342" s="30"/>
      <c r="AH342" s="33">
        <v>1</v>
      </c>
      <c r="AI342" s="34">
        <f t="shared" si="93"/>
        <v>22.13</v>
      </c>
      <c r="AJ342" s="35">
        <v>46064</v>
      </c>
      <c r="AK342" s="30">
        <v>1</v>
      </c>
      <c r="AL342" s="36">
        <f t="shared" si="94"/>
        <v>22.13</v>
      </c>
      <c r="AM342" s="35">
        <v>46064</v>
      </c>
      <c r="AN342" s="30">
        <v>1</v>
      </c>
      <c r="AO342" s="36">
        <f t="shared" si="95"/>
        <v>22.13</v>
      </c>
      <c r="AP342" s="35">
        <v>46147</v>
      </c>
      <c r="AQ342" s="30">
        <v>1</v>
      </c>
      <c r="AR342" s="36">
        <f t="shared" si="96"/>
        <v>22.13</v>
      </c>
      <c r="AS342" s="27" t="s">
        <v>1276</v>
      </c>
      <c r="AT342" s="37">
        <v>46147</v>
      </c>
      <c r="AU342" s="30">
        <v>1</v>
      </c>
      <c r="AV342" s="36">
        <f t="shared" si="97"/>
        <v>22.13</v>
      </c>
      <c r="AW342" s="35">
        <v>46150</v>
      </c>
      <c r="AX342" s="30">
        <v>1</v>
      </c>
      <c r="AY342" s="32">
        <f t="shared" si="99"/>
        <v>22.13</v>
      </c>
      <c r="AZ342" s="30" t="s">
        <v>85</v>
      </c>
      <c r="BA342" s="63" t="s">
        <v>1277</v>
      </c>
      <c r="BB342" s="72"/>
      <c r="BC342" s="71" t="s">
        <v>1354</v>
      </c>
      <c r="BD342" s="71"/>
    </row>
    <row r="343" spans="1:56" x14ac:dyDescent="0.25">
      <c r="A343" s="24">
        <f>IF(B343="","",SUBTOTAL(3,$B$4:B343))</f>
        <v>326</v>
      </c>
      <c r="B343" s="25" t="s">
        <v>77</v>
      </c>
      <c r="C343" s="25" t="str">
        <f t="shared" si="100"/>
        <v>Shipment 2 400</v>
      </c>
      <c r="D343" s="25" t="s">
        <v>1252</v>
      </c>
      <c r="E343" s="25">
        <v>400</v>
      </c>
      <c r="F343" s="25"/>
      <c r="G343" s="65">
        <v>45990</v>
      </c>
      <c r="H343" s="25" t="s">
        <v>1257</v>
      </c>
      <c r="I343" s="25" t="s">
        <v>1254</v>
      </c>
      <c r="J343" s="26" t="s">
        <v>1301</v>
      </c>
      <c r="K343" s="27" t="s">
        <v>726</v>
      </c>
      <c r="L343" s="28" t="s">
        <v>727</v>
      </c>
      <c r="M343" s="28" t="s">
        <v>587</v>
      </c>
      <c r="N343" s="25">
        <v>1</v>
      </c>
      <c r="O343" s="29">
        <v>16.38</v>
      </c>
      <c r="P343" s="29">
        <v>16.38</v>
      </c>
      <c r="Q343" s="25" t="s">
        <v>1160</v>
      </c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91"/>
        <v>16.38</v>
      </c>
      <c r="AF343" s="32">
        <f t="shared" si="92"/>
        <v>0</v>
      </c>
      <c r="AG343" s="30"/>
      <c r="AH343" s="33">
        <v>1</v>
      </c>
      <c r="AI343" s="34">
        <f t="shared" si="93"/>
        <v>16.38</v>
      </c>
      <c r="AJ343" s="35">
        <v>46064</v>
      </c>
      <c r="AK343" s="30">
        <v>1</v>
      </c>
      <c r="AL343" s="36">
        <f t="shared" si="94"/>
        <v>16.38</v>
      </c>
      <c r="AM343" s="35">
        <v>46064</v>
      </c>
      <c r="AN343" s="30">
        <v>1</v>
      </c>
      <c r="AO343" s="36">
        <f t="shared" si="95"/>
        <v>16.38</v>
      </c>
      <c r="AP343" s="35">
        <v>46147</v>
      </c>
      <c r="AQ343" s="30">
        <v>1</v>
      </c>
      <c r="AR343" s="36">
        <f t="shared" si="96"/>
        <v>16.38</v>
      </c>
      <c r="AS343" s="27" t="s">
        <v>1276</v>
      </c>
      <c r="AT343" s="37">
        <v>46147</v>
      </c>
      <c r="AU343" s="30">
        <v>1</v>
      </c>
      <c r="AV343" s="36">
        <f t="shared" si="97"/>
        <v>16.38</v>
      </c>
      <c r="AW343" s="35">
        <v>46150</v>
      </c>
      <c r="AX343" s="30">
        <v>1</v>
      </c>
      <c r="AY343" s="32">
        <f t="shared" si="99"/>
        <v>16.38</v>
      </c>
      <c r="AZ343" s="30" t="s">
        <v>85</v>
      </c>
      <c r="BA343" s="63" t="s">
        <v>1277</v>
      </c>
      <c r="BB343" s="72"/>
      <c r="BC343" s="71" t="s">
        <v>727</v>
      </c>
      <c r="BD343" s="71"/>
    </row>
    <row r="344" spans="1:56" x14ac:dyDescent="0.25">
      <c r="A344" s="24">
        <f>IF(B344="","",SUBTOTAL(3,$B$4:B344))</f>
        <v>327</v>
      </c>
      <c r="B344" s="25" t="s">
        <v>77</v>
      </c>
      <c r="C344" s="25" t="str">
        <f t="shared" si="100"/>
        <v>Shipment 2 400</v>
      </c>
      <c r="D344" s="25" t="s">
        <v>1252</v>
      </c>
      <c r="E344" s="25">
        <v>400</v>
      </c>
      <c r="F344" s="25"/>
      <c r="G344" s="65">
        <v>45990</v>
      </c>
      <c r="H344" s="25" t="s">
        <v>1257</v>
      </c>
      <c r="I344" s="25" t="s">
        <v>1254</v>
      </c>
      <c r="J344" s="26" t="s">
        <v>1301</v>
      </c>
      <c r="K344" s="27" t="s">
        <v>728</v>
      </c>
      <c r="L344" s="28" t="s">
        <v>729</v>
      </c>
      <c r="M344" s="28" t="s">
        <v>587</v>
      </c>
      <c r="N344" s="25">
        <v>1</v>
      </c>
      <c r="O344" s="29">
        <v>20.14</v>
      </c>
      <c r="P344" s="29">
        <v>20.14</v>
      </c>
      <c r="Q344" s="25" t="s">
        <v>1130</v>
      </c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91"/>
        <v>20.14</v>
      </c>
      <c r="AF344" s="32">
        <f t="shared" si="92"/>
        <v>0</v>
      </c>
      <c r="AG344" s="30"/>
      <c r="AH344" s="33">
        <v>1</v>
      </c>
      <c r="AI344" s="34">
        <f t="shared" si="93"/>
        <v>20.14</v>
      </c>
      <c r="AJ344" s="35">
        <v>46064</v>
      </c>
      <c r="AK344" s="30">
        <v>1</v>
      </c>
      <c r="AL344" s="36">
        <f t="shared" si="94"/>
        <v>20.14</v>
      </c>
      <c r="AM344" s="35">
        <v>46064</v>
      </c>
      <c r="AN344" s="30">
        <v>1</v>
      </c>
      <c r="AO344" s="36">
        <f t="shared" si="95"/>
        <v>20.14</v>
      </c>
      <c r="AP344" s="35">
        <v>46147</v>
      </c>
      <c r="AQ344" s="30">
        <v>1</v>
      </c>
      <c r="AR344" s="36">
        <f t="shared" si="96"/>
        <v>20.14</v>
      </c>
      <c r="AS344" s="27" t="s">
        <v>1276</v>
      </c>
      <c r="AT344" s="37">
        <v>46147</v>
      </c>
      <c r="AU344" s="30">
        <v>1</v>
      </c>
      <c r="AV344" s="36">
        <f t="shared" si="97"/>
        <v>20.14</v>
      </c>
      <c r="AW344" s="35">
        <v>46150</v>
      </c>
      <c r="AX344" s="30">
        <v>1</v>
      </c>
      <c r="AY344" s="32">
        <f t="shared" si="99"/>
        <v>20.14</v>
      </c>
      <c r="AZ344" s="30" t="s">
        <v>85</v>
      </c>
      <c r="BA344" s="63" t="s">
        <v>1277</v>
      </c>
      <c r="BB344" s="72"/>
      <c r="BC344" s="71" t="s">
        <v>729</v>
      </c>
      <c r="BD344" s="71"/>
    </row>
    <row r="345" spans="1:56" x14ac:dyDescent="0.25">
      <c r="A345" s="24">
        <f>IF(B345="","",SUBTOTAL(3,$B$4:B345))</f>
        <v>328</v>
      </c>
      <c r="B345" s="25" t="s">
        <v>77</v>
      </c>
      <c r="C345" s="25" t="str">
        <f t="shared" si="100"/>
        <v>Shipment 2 400</v>
      </c>
      <c r="D345" s="25" t="s">
        <v>1252</v>
      </c>
      <c r="E345" s="25">
        <v>400</v>
      </c>
      <c r="F345" s="25"/>
      <c r="G345" s="65">
        <v>45990</v>
      </c>
      <c r="H345" s="25" t="s">
        <v>1257</v>
      </c>
      <c r="I345" s="25" t="s">
        <v>1254</v>
      </c>
      <c r="J345" s="26" t="s">
        <v>1301</v>
      </c>
      <c r="K345" s="27" t="s">
        <v>730</v>
      </c>
      <c r="L345" s="28" t="s">
        <v>731</v>
      </c>
      <c r="M345" s="28" t="s">
        <v>587</v>
      </c>
      <c r="N345" s="25">
        <v>1</v>
      </c>
      <c r="O345" s="29">
        <v>20.149999999999999</v>
      </c>
      <c r="P345" s="29">
        <v>20.149999999999999</v>
      </c>
      <c r="Q345" s="25" t="s">
        <v>1130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91"/>
        <v>20.149999999999999</v>
      </c>
      <c r="AF345" s="32">
        <f t="shared" si="92"/>
        <v>0</v>
      </c>
      <c r="AG345" s="30"/>
      <c r="AH345" s="33">
        <v>1</v>
      </c>
      <c r="AI345" s="34">
        <f t="shared" si="93"/>
        <v>20.149999999999999</v>
      </c>
      <c r="AJ345" s="35">
        <v>46064</v>
      </c>
      <c r="AK345" s="30">
        <v>1</v>
      </c>
      <c r="AL345" s="36">
        <f t="shared" si="94"/>
        <v>20.149999999999999</v>
      </c>
      <c r="AM345" s="35">
        <v>46064</v>
      </c>
      <c r="AN345" s="30">
        <v>1</v>
      </c>
      <c r="AO345" s="36">
        <f t="shared" si="95"/>
        <v>20.149999999999999</v>
      </c>
      <c r="AP345" s="35">
        <v>46147</v>
      </c>
      <c r="AQ345" s="30">
        <v>1</v>
      </c>
      <c r="AR345" s="36">
        <f t="shared" si="96"/>
        <v>20.149999999999999</v>
      </c>
      <c r="AS345" s="27" t="s">
        <v>1276</v>
      </c>
      <c r="AT345" s="37">
        <v>46147</v>
      </c>
      <c r="AU345" s="30">
        <v>1</v>
      </c>
      <c r="AV345" s="36">
        <f t="shared" si="97"/>
        <v>20.149999999999999</v>
      </c>
      <c r="AW345" s="35">
        <v>46150</v>
      </c>
      <c r="AX345" s="30">
        <v>1</v>
      </c>
      <c r="AY345" s="32">
        <f t="shared" si="99"/>
        <v>20.149999999999999</v>
      </c>
      <c r="AZ345" s="30" t="s">
        <v>85</v>
      </c>
      <c r="BA345" s="63" t="s">
        <v>1277</v>
      </c>
      <c r="BB345" s="72"/>
      <c r="BC345" s="71" t="s">
        <v>731</v>
      </c>
      <c r="BD345" s="71"/>
    </row>
    <row r="346" spans="1:56" x14ac:dyDescent="0.25">
      <c r="A346" s="24">
        <f>IF(B346="","",SUBTOTAL(3,$B$4:B346))</f>
        <v>329</v>
      </c>
      <c r="B346" s="25" t="s">
        <v>77</v>
      </c>
      <c r="C346" s="25" t="str">
        <f t="shared" si="100"/>
        <v>Shipment 2 400</v>
      </c>
      <c r="D346" s="25" t="s">
        <v>1252</v>
      </c>
      <c r="E346" s="25">
        <v>400</v>
      </c>
      <c r="F346" s="25"/>
      <c r="G346" s="65">
        <v>45990</v>
      </c>
      <c r="H346" s="25" t="s">
        <v>1257</v>
      </c>
      <c r="I346" s="25" t="s">
        <v>1254</v>
      </c>
      <c r="J346" s="26" t="s">
        <v>1301</v>
      </c>
      <c r="K346" s="27" t="s">
        <v>732</v>
      </c>
      <c r="L346" s="28" t="s">
        <v>733</v>
      </c>
      <c r="M346" s="28" t="s">
        <v>587</v>
      </c>
      <c r="N346" s="25">
        <v>1</v>
      </c>
      <c r="O346" s="29">
        <v>12.17</v>
      </c>
      <c r="P346" s="29">
        <v>12.17</v>
      </c>
      <c r="Q346" s="25" t="s">
        <v>1161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91"/>
        <v>12.17</v>
      </c>
      <c r="AF346" s="32">
        <f t="shared" si="92"/>
        <v>0</v>
      </c>
      <c r="AG346" s="30"/>
      <c r="AH346" s="33">
        <v>1</v>
      </c>
      <c r="AI346" s="34">
        <f t="shared" si="93"/>
        <v>12.17</v>
      </c>
      <c r="AJ346" s="35">
        <v>46064</v>
      </c>
      <c r="AK346" s="30">
        <v>1</v>
      </c>
      <c r="AL346" s="36">
        <f t="shared" si="94"/>
        <v>12.17</v>
      </c>
      <c r="AM346" s="35">
        <v>46064</v>
      </c>
      <c r="AN346" s="30">
        <v>1</v>
      </c>
      <c r="AO346" s="36">
        <f t="shared" si="95"/>
        <v>12.17</v>
      </c>
      <c r="AP346" s="35">
        <v>46164</v>
      </c>
      <c r="AQ346" s="30">
        <v>1</v>
      </c>
      <c r="AR346" s="36">
        <f t="shared" si="96"/>
        <v>12.17</v>
      </c>
      <c r="AS346" s="27" t="s">
        <v>1278</v>
      </c>
      <c r="AT346" s="37">
        <v>46181</v>
      </c>
      <c r="AU346" s="30">
        <v>1</v>
      </c>
      <c r="AV346" s="36">
        <f t="shared" si="97"/>
        <v>12.17</v>
      </c>
      <c r="AW346" s="35">
        <v>46184</v>
      </c>
      <c r="AX346" s="30">
        <v>1</v>
      </c>
      <c r="AY346" s="32">
        <f t="shared" si="99"/>
        <v>12.17</v>
      </c>
      <c r="AZ346" s="30" t="s">
        <v>85</v>
      </c>
      <c r="BA346" s="63" t="s">
        <v>1285</v>
      </c>
      <c r="BB346" s="72"/>
      <c r="BC346" s="71" t="s">
        <v>733</v>
      </c>
      <c r="BD346" s="71"/>
    </row>
    <row r="347" spans="1:56" x14ac:dyDescent="0.25">
      <c r="A347" s="24">
        <f>IF(B347="","",SUBTOTAL(3,$B$4:B347))</f>
        <v>330</v>
      </c>
      <c r="B347" s="25" t="s">
        <v>77</v>
      </c>
      <c r="C347" s="25" t="str">
        <f t="shared" si="100"/>
        <v>Shipment 2 400</v>
      </c>
      <c r="D347" s="25" t="s">
        <v>1252</v>
      </c>
      <c r="E347" s="25">
        <v>400</v>
      </c>
      <c r="F347" s="25"/>
      <c r="G347" s="65">
        <v>45990</v>
      </c>
      <c r="H347" s="25" t="s">
        <v>1257</v>
      </c>
      <c r="I347" s="25" t="s">
        <v>1254</v>
      </c>
      <c r="J347" s="26" t="s">
        <v>1301</v>
      </c>
      <c r="K347" s="27" t="s">
        <v>734</v>
      </c>
      <c r="L347" s="28" t="s">
        <v>735</v>
      </c>
      <c r="M347" s="28" t="s">
        <v>587</v>
      </c>
      <c r="N347" s="25">
        <v>1</v>
      </c>
      <c r="O347" s="29">
        <v>21.33</v>
      </c>
      <c r="P347" s="29">
        <v>21.33</v>
      </c>
      <c r="Q347" s="25" t="s">
        <v>1155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ref="AE347:AE410" si="101">+AL347*0.5+AO347*0.4+AV347*0.1</f>
        <v>21.33</v>
      </c>
      <c r="AF347" s="32">
        <f t="shared" ref="AF347:AF410" si="102">+P347-AE347</f>
        <v>0</v>
      </c>
      <c r="AG347" s="30"/>
      <c r="AH347" s="33">
        <v>1</v>
      </c>
      <c r="AI347" s="34">
        <f t="shared" ref="AI347:AI410" si="103">+AH347*P347</f>
        <v>21.33</v>
      </c>
      <c r="AJ347" s="35">
        <v>46064</v>
      </c>
      <c r="AK347" s="30">
        <v>1</v>
      </c>
      <c r="AL347" s="36">
        <f t="shared" ref="AL347:AL405" si="104">IFERROR(AK347*$P347/$N347,0)</f>
        <v>21.33</v>
      </c>
      <c r="AM347" s="35">
        <v>46064</v>
      </c>
      <c r="AN347" s="30">
        <v>1</v>
      </c>
      <c r="AO347" s="36">
        <f t="shared" ref="AO347:AO405" si="105">IFERROR(AN347*$P347/$N347,0)</f>
        <v>21.33</v>
      </c>
      <c r="AP347" s="35">
        <v>46147</v>
      </c>
      <c r="AQ347" s="30">
        <v>1</v>
      </c>
      <c r="AR347" s="36">
        <f t="shared" ref="AR347:AR410" si="106">IFERROR(AQ347*$P347/$N347,0)</f>
        <v>21.33</v>
      </c>
      <c r="AS347" s="27" t="s">
        <v>1276</v>
      </c>
      <c r="AT347" s="37">
        <v>46147</v>
      </c>
      <c r="AU347" s="30">
        <v>1</v>
      </c>
      <c r="AV347" s="36">
        <f t="shared" ref="AV347:AV410" si="107">IFERROR(AU347*$P347/$N347,0)</f>
        <v>21.33</v>
      </c>
      <c r="AW347" s="35">
        <v>46150</v>
      </c>
      <c r="AX347" s="30">
        <v>1</v>
      </c>
      <c r="AY347" s="32">
        <f t="shared" ref="AY347:AY349" si="108">IFERROR(AX347*$P347/$N347,0)</f>
        <v>21.33</v>
      </c>
      <c r="AZ347" s="30" t="s">
        <v>85</v>
      </c>
      <c r="BA347" s="63" t="s">
        <v>1277</v>
      </c>
      <c r="BB347" s="72"/>
      <c r="BC347" s="71" t="s">
        <v>735</v>
      </c>
      <c r="BD347" s="71"/>
    </row>
    <row r="348" spans="1:56" x14ac:dyDescent="0.25">
      <c r="A348" s="24">
        <f>IF(B348="","",SUBTOTAL(3,$B$4:B348))</f>
        <v>331</v>
      </c>
      <c r="B348" s="25" t="s">
        <v>77</v>
      </c>
      <c r="C348" s="25" t="str">
        <f t="shared" si="100"/>
        <v>Shipment 2 400</v>
      </c>
      <c r="D348" s="25" t="s">
        <v>1252</v>
      </c>
      <c r="E348" s="25">
        <v>400</v>
      </c>
      <c r="F348" s="25"/>
      <c r="G348" s="65">
        <v>45990</v>
      </c>
      <c r="H348" s="25" t="s">
        <v>1257</v>
      </c>
      <c r="I348" s="25" t="s">
        <v>1254</v>
      </c>
      <c r="J348" s="26" t="s">
        <v>1301</v>
      </c>
      <c r="K348" s="27" t="s">
        <v>736</v>
      </c>
      <c r="L348" s="28" t="s">
        <v>737</v>
      </c>
      <c r="M348" s="28" t="s">
        <v>587</v>
      </c>
      <c r="N348" s="25">
        <v>1</v>
      </c>
      <c r="O348" s="29">
        <v>10.59</v>
      </c>
      <c r="P348" s="29">
        <v>10.59</v>
      </c>
      <c r="Q348" s="25" t="s">
        <v>1162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101"/>
        <v>10.589999999999998</v>
      </c>
      <c r="AF348" s="32">
        <f t="shared" si="102"/>
        <v>0</v>
      </c>
      <c r="AG348" s="30"/>
      <c r="AH348" s="33">
        <v>1</v>
      </c>
      <c r="AI348" s="34">
        <f t="shared" si="103"/>
        <v>10.59</v>
      </c>
      <c r="AJ348" s="35">
        <v>46064</v>
      </c>
      <c r="AK348" s="30">
        <v>1</v>
      </c>
      <c r="AL348" s="36">
        <f t="shared" si="104"/>
        <v>10.59</v>
      </c>
      <c r="AM348" s="35">
        <v>46074</v>
      </c>
      <c r="AN348" s="30">
        <v>1</v>
      </c>
      <c r="AO348" s="36">
        <f t="shared" si="105"/>
        <v>10.59</v>
      </c>
      <c r="AP348" s="35">
        <v>46147</v>
      </c>
      <c r="AQ348" s="30">
        <v>1</v>
      </c>
      <c r="AR348" s="36">
        <f t="shared" si="106"/>
        <v>10.59</v>
      </c>
      <c r="AS348" s="27" t="s">
        <v>1276</v>
      </c>
      <c r="AT348" s="37">
        <v>46147</v>
      </c>
      <c r="AU348" s="30">
        <v>1</v>
      </c>
      <c r="AV348" s="36">
        <f t="shared" si="107"/>
        <v>10.59</v>
      </c>
      <c r="AW348" s="35">
        <v>46150</v>
      </c>
      <c r="AX348" s="30">
        <v>1</v>
      </c>
      <c r="AY348" s="32">
        <f t="shared" si="108"/>
        <v>10.59</v>
      </c>
      <c r="AZ348" s="30" t="s">
        <v>85</v>
      </c>
      <c r="BA348" s="63" t="s">
        <v>1277</v>
      </c>
      <c r="BB348" s="72"/>
      <c r="BC348" s="71" t="s">
        <v>737</v>
      </c>
      <c r="BD348" s="71"/>
    </row>
    <row r="349" spans="1:56" x14ac:dyDescent="0.25">
      <c r="A349" s="24">
        <f>IF(B349="","",SUBTOTAL(3,$B$4:B349))</f>
        <v>332</v>
      </c>
      <c r="B349" s="25" t="s">
        <v>77</v>
      </c>
      <c r="C349" s="25" t="str">
        <f t="shared" si="100"/>
        <v>Shipment 2 400</v>
      </c>
      <c r="D349" s="25" t="s">
        <v>1252</v>
      </c>
      <c r="E349" s="25">
        <v>400</v>
      </c>
      <c r="F349" s="25"/>
      <c r="G349" s="65">
        <v>45990</v>
      </c>
      <c r="H349" s="25" t="s">
        <v>1257</v>
      </c>
      <c r="I349" s="25" t="s">
        <v>1254</v>
      </c>
      <c r="J349" s="26" t="s">
        <v>1301</v>
      </c>
      <c r="K349" s="27" t="s">
        <v>738</v>
      </c>
      <c r="L349" s="28" t="s">
        <v>739</v>
      </c>
      <c r="M349" s="28" t="s">
        <v>587</v>
      </c>
      <c r="N349" s="25">
        <v>1</v>
      </c>
      <c r="O349" s="29">
        <v>14.19</v>
      </c>
      <c r="P349" s="29">
        <v>14.19</v>
      </c>
      <c r="Q349" s="25" t="s">
        <v>1163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101"/>
        <v>14.190000000000001</v>
      </c>
      <c r="AF349" s="32">
        <f t="shared" si="102"/>
        <v>0</v>
      </c>
      <c r="AG349" s="30"/>
      <c r="AH349" s="33">
        <v>1</v>
      </c>
      <c r="AI349" s="34">
        <f t="shared" si="103"/>
        <v>14.19</v>
      </c>
      <c r="AJ349" s="35">
        <v>46064</v>
      </c>
      <c r="AK349" s="30">
        <v>1</v>
      </c>
      <c r="AL349" s="36">
        <f t="shared" si="104"/>
        <v>14.19</v>
      </c>
      <c r="AM349" s="35">
        <v>46074</v>
      </c>
      <c r="AN349" s="30">
        <v>1</v>
      </c>
      <c r="AO349" s="36">
        <f t="shared" si="105"/>
        <v>14.19</v>
      </c>
      <c r="AP349" s="35">
        <v>46155</v>
      </c>
      <c r="AQ349" s="30">
        <v>1</v>
      </c>
      <c r="AR349" s="36">
        <f t="shared" si="106"/>
        <v>14.19</v>
      </c>
      <c r="AS349" s="27" t="s">
        <v>1277</v>
      </c>
      <c r="AT349" s="37">
        <v>46155</v>
      </c>
      <c r="AU349" s="30">
        <v>1</v>
      </c>
      <c r="AV349" s="36">
        <f t="shared" si="107"/>
        <v>14.19</v>
      </c>
      <c r="AW349" s="35">
        <v>46157</v>
      </c>
      <c r="AX349" s="30">
        <v>1</v>
      </c>
      <c r="AY349" s="32">
        <f t="shared" si="108"/>
        <v>14.19</v>
      </c>
      <c r="AZ349" s="30" t="s">
        <v>85</v>
      </c>
      <c r="BA349" s="63" t="s">
        <v>1278</v>
      </c>
      <c r="BB349" s="72"/>
      <c r="BC349" s="71" t="s">
        <v>739</v>
      </c>
      <c r="BD349" s="71"/>
    </row>
    <row r="350" spans="1:56" x14ac:dyDescent="0.25">
      <c r="A350" s="24">
        <f>IF(B350="","",SUBTOTAL(3,$B$4:B350))</f>
        <v>333</v>
      </c>
      <c r="B350" s="25" t="s">
        <v>77</v>
      </c>
      <c r="C350" s="25" t="str">
        <f t="shared" si="100"/>
        <v>Shipment 2 400</v>
      </c>
      <c r="D350" s="25" t="s">
        <v>1252</v>
      </c>
      <c r="E350" s="25">
        <v>400</v>
      </c>
      <c r="F350" s="25"/>
      <c r="G350" s="65">
        <v>45990</v>
      </c>
      <c r="H350" s="25" t="s">
        <v>1257</v>
      </c>
      <c r="I350" s="25" t="s">
        <v>1254</v>
      </c>
      <c r="J350" s="26" t="s">
        <v>1301</v>
      </c>
      <c r="K350" s="27" t="s">
        <v>740</v>
      </c>
      <c r="L350" s="28" t="s">
        <v>741</v>
      </c>
      <c r="M350" s="28" t="s">
        <v>587</v>
      </c>
      <c r="N350" s="25">
        <v>1</v>
      </c>
      <c r="O350" s="29">
        <v>15.34</v>
      </c>
      <c r="P350" s="29">
        <v>15.34</v>
      </c>
      <c r="Q350" s="25" t="s">
        <v>1164</v>
      </c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101"/>
        <v>15.340000000000002</v>
      </c>
      <c r="AF350" s="32">
        <f t="shared" si="102"/>
        <v>0</v>
      </c>
      <c r="AG350" s="30"/>
      <c r="AH350" s="33">
        <v>1</v>
      </c>
      <c r="AI350" s="34">
        <f t="shared" si="103"/>
        <v>15.34</v>
      </c>
      <c r="AJ350" s="35">
        <v>46064</v>
      </c>
      <c r="AK350" s="30">
        <v>1</v>
      </c>
      <c r="AL350" s="36">
        <f t="shared" si="104"/>
        <v>15.34</v>
      </c>
      <c r="AM350" s="35">
        <v>46074</v>
      </c>
      <c r="AN350" s="30">
        <v>1</v>
      </c>
      <c r="AO350" s="36">
        <f t="shared" si="105"/>
        <v>15.34</v>
      </c>
      <c r="AP350" s="35">
        <v>46147</v>
      </c>
      <c r="AQ350" s="30">
        <v>1</v>
      </c>
      <c r="AR350" s="36">
        <f t="shared" si="106"/>
        <v>15.34</v>
      </c>
      <c r="AS350" s="27" t="s">
        <v>1276</v>
      </c>
      <c r="AT350" s="37">
        <v>46147</v>
      </c>
      <c r="AU350" s="30">
        <v>1</v>
      </c>
      <c r="AV350" s="36">
        <f t="shared" si="107"/>
        <v>15.34</v>
      </c>
      <c r="AW350" s="35">
        <v>46150</v>
      </c>
      <c r="AX350" s="30">
        <v>1</v>
      </c>
      <c r="AY350" s="32">
        <f t="shared" ref="AY350:AY410" si="109">IFERROR(AX350*$P350/$N350,0)</f>
        <v>15.34</v>
      </c>
      <c r="AZ350" s="30" t="s">
        <v>85</v>
      </c>
      <c r="BA350" s="63" t="s">
        <v>1277</v>
      </c>
      <c r="BB350" s="72"/>
      <c r="BC350" s="71" t="s">
        <v>741</v>
      </c>
      <c r="BD350" s="71"/>
    </row>
    <row r="351" spans="1:56" x14ac:dyDescent="0.25">
      <c r="A351" s="24">
        <f>IF(B351="","",SUBTOTAL(3,$B$4:B351))</f>
        <v>334</v>
      </c>
      <c r="B351" s="25" t="s">
        <v>77</v>
      </c>
      <c r="C351" s="25" t="str">
        <f t="shared" si="100"/>
        <v>Shipment 2 400</v>
      </c>
      <c r="D351" s="25" t="s">
        <v>1252</v>
      </c>
      <c r="E351" s="25">
        <v>400</v>
      </c>
      <c r="F351" s="25"/>
      <c r="G351" s="65">
        <v>45990</v>
      </c>
      <c r="H351" s="25" t="s">
        <v>1257</v>
      </c>
      <c r="I351" s="25" t="s">
        <v>1254</v>
      </c>
      <c r="J351" s="26" t="s">
        <v>1301</v>
      </c>
      <c r="K351" s="27" t="s">
        <v>742</v>
      </c>
      <c r="L351" s="28" t="s">
        <v>743</v>
      </c>
      <c r="M351" s="28" t="s">
        <v>587</v>
      </c>
      <c r="N351" s="25">
        <v>1</v>
      </c>
      <c r="O351" s="29">
        <v>15.66</v>
      </c>
      <c r="P351" s="29">
        <v>15.66</v>
      </c>
      <c r="Q351" s="25" t="s">
        <v>1165</v>
      </c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101"/>
        <v>15.660000000000002</v>
      </c>
      <c r="AF351" s="32">
        <f t="shared" si="102"/>
        <v>0</v>
      </c>
      <c r="AG351" s="30"/>
      <c r="AH351" s="33">
        <v>1</v>
      </c>
      <c r="AI351" s="34">
        <f t="shared" si="103"/>
        <v>15.66</v>
      </c>
      <c r="AJ351" s="35">
        <v>46064</v>
      </c>
      <c r="AK351" s="30">
        <v>1</v>
      </c>
      <c r="AL351" s="36">
        <f t="shared" si="104"/>
        <v>15.66</v>
      </c>
      <c r="AM351" s="35">
        <v>46074</v>
      </c>
      <c r="AN351" s="30">
        <v>1</v>
      </c>
      <c r="AO351" s="36">
        <f t="shared" si="105"/>
        <v>15.66</v>
      </c>
      <c r="AP351" s="35">
        <v>46147</v>
      </c>
      <c r="AQ351" s="30">
        <v>1</v>
      </c>
      <c r="AR351" s="36">
        <f t="shared" si="106"/>
        <v>15.66</v>
      </c>
      <c r="AS351" s="27" t="s">
        <v>1276</v>
      </c>
      <c r="AT351" s="37">
        <v>46147</v>
      </c>
      <c r="AU351" s="30">
        <v>1</v>
      </c>
      <c r="AV351" s="36">
        <f t="shared" si="107"/>
        <v>15.66</v>
      </c>
      <c r="AW351" s="35">
        <v>46150</v>
      </c>
      <c r="AX351" s="30">
        <v>1</v>
      </c>
      <c r="AY351" s="32">
        <f t="shared" si="109"/>
        <v>15.66</v>
      </c>
      <c r="AZ351" s="30" t="s">
        <v>85</v>
      </c>
      <c r="BA351" s="63" t="s">
        <v>1277</v>
      </c>
      <c r="BB351" s="72"/>
      <c r="BC351" s="71" t="s">
        <v>743</v>
      </c>
      <c r="BD351" s="71"/>
    </row>
    <row r="352" spans="1:56" x14ac:dyDescent="0.25">
      <c r="A352" s="24">
        <f>IF(B352="","",SUBTOTAL(3,$B$4:B352))</f>
        <v>335</v>
      </c>
      <c r="B352" s="25" t="s">
        <v>77</v>
      </c>
      <c r="C352" s="25" t="str">
        <f t="shared" si="100"/>
        <v>Shipment 2 400</v>
      </c>
      <c r="D352" s="25" t="s">
        <v>1252</v>
      </c>
      <c r="E352" s="25">
        <v>400</v>
      </c>
      <c r="F352" s="25"/>
      <c r="G352" s="65">
        <v>45990</v>
      </c>
      <c r="H352" s="25" t="s">
        <v>1257</v>
      </c>
      <c r="I352" s="25" t="s">
        <v>1254</v>
      </c>
      <c r="J352" s="26" t="s">
        <v>1301</v>
      </c>
      <c r="K352" s="27" t="s">
        <v>744</v>
      </c>
      <c r="L352" s="28" t="s">
        <v>745</v>
      </c>
      <c r="M352" s="28" t="s">
        <v>587</v>
      </c>
      <c r="N352" s="25">
        <v>1</v>
      </c>
      <c r="O352" s="29">
        <v>15.66</v>
      </c>
      <c r="P352" s="29">
        <v>15.66</v>
      </c>
      <c r="Q352" s="25" t="s">
        <v>1165</v>
      </c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101"/>
        <v>15.660000000000002</v>
      </c>
      <c r="AF352" s="32">
        <f t="shared" si="102"/>
        <v>0</v>
      </c>
      <c r="AG352" s="30"/>
      <c r="AH352" s="33">
        <v>1</v>
      </c>
      <c r="AI352" s="34">
        <f t="shared" si="103"/>
        <v>15.66</v>
      </c>
      <c r="AJ352" s="35">
        <v>46064</v>
      </c>
      <c r="AK352" s="30">
        <v>1</v>
      </c>
      <c r="AL352" s="36">
        <f t="shared" si="104"/>
        <v>15.66</v>
      </c>
      <c r="AM352" s="35">
        <v>46074</v>
      </c>
      <c r="AN352" s="30">
        <v>1</v>
      </c>
      <c r="AO352" s="36">
        <f t="shared" si="105"/>
        <v>15.66</v>
      </c>
      <c r="AP352" s="35">
        <v>46147</v>
      </c>
      <c r="AQ352" s="30">
        <v>1</v>
      </c>
      <c r="AR352" s="36">
        <f t="shared" si="106"/>
        <v>15.66</v>
      </c>
      <c r="AS352" s="27" t="s">
        <v>1276</v>
      </c>
      <c r="AT352" s="37">
        <v>46147</v>
      </c>
      <c r="AU352" s="30">
        <v>1</v>
      </c>
      <c r="AV352" s="36">
        <f t="shared" si="107"/>
        <v>15.66</v>
      </c>
      <c r="AW352" s="35">
        <v>46150</v>
      </c>
      <c r="AX352" s="30">
        <v>1</v>
      </c>
      <c r="AY352" s="32">
        <f t="shared" si="109"/>
        <v>15.66</v>
      </c>
      <c r="AZ352" s="30" t="s">
        <v>85</v>
      </c>
      <c r="BA352" s="63" t="s">
        <v>1277</v>
      </c>
      <c r="BB352" s="72"/>
      <c r="BC352" s="71" t="s">
        <v>745</v>
      </c>
      <c r="BD352" s="71"/>
    </row>
    <row r="353" spans="1:56" x14ac:dyDescent="0.25">
      <c r="A353" s="24">
        <f>IF(B353="","",SUBTOTAL(3,$B$4:B353))</f>
        <v>336</v>
      </c>
      <c r="B353" s="25" t="s">
        <v>77</v>
      </c>
      <c r="C353" s="25" t="str">
        <f t="shared" si="100"/>
        <v>Shipment 2 400</v>
      </c>
      <c r="D353" s="25" t="s">
        <v>1252</v>
      </c>
      <c r="E353" s="25">
        <v>400</v>
      </c>
      <c r="F353" s="25"/>
      <c r="G353" s="65">
        <v>45990</v>
      </c>
      <c r="H353" s="25" t="s">
        <v>1257</v>
      </c>
      <c r="I353" s="25" t="s">
        <v>1254</v>
      </c>
      <c r="J353" s="26" t="s">
        <v>1301</v>
      </c>
      <c r="K353" s="27" t="s">
        <v>746</v>
      </c>
      <c r="L353" s="28" t="s">
        <v>747</v>
      </c>
      <c r="M353" s="28" t="s">
        <v>587</v>
      </c>
      <c r="N353" s="25">
        <v>1</v>
      </c>
      <c r="O353" s="29">
        <v>12.71</v>
      </c>
      <c r="P353" s="29">
        <v>12.71</v>
      </c>
      <c r="Q353" s="25" t="s">
        <v>1166</v>
      </c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101"/>
        <v>12.71</v>
      </c>
      <c r="AF353" s="32">
        <f t="shared" si="102"/>
        <v>0</v>
      </c>
      <c r="AG353" s="30"/>
      <c r="AH353" s="33">
        <v>1</v>
      </c>
      <c r="AI353" s="34">
        <f t="shared" si="103"/>
        <v>12.71</v>
      </c>
      <c r="AJ353" s="35">
        <v>46064</v>
      </c>
      <c r="AK353" s="30">
        <v>1</v>
      </c>
      <c r="AL353" s="36">
        <f t="shared" si="104"/>
        <v>12.71</v>
      </c>
      <c r="AM353" s="35">
        <v>46074</v>
      </c>
      <c r="AN353" s="30">
        <v>1</v>
      </c>
      <c r="AO353" s="36">
        <f t="shared" si="105"/>
        <v>12.71</v>
      </c>
      <c r="AP353" s="35">
        <v>46147</v>
      </c>
      <c r="AQ353" s="30">
        <v>1</v>
      </c>
      <c r="AR353" s="36">
        <f t="shared" si="106"/>
        <v>12.71</v>
      </c>
      <c r="AS353" s="27" t="s">
        <v>1276</v>
      </c>
      <c r="AT353" s="37">
        <v>46147</v>
      </c>
      <c r="AU353" s="30">
        <v>1</v>
      </c>
      <c r="AV353" s="36">
        <f t="shared" si="107"/>
        <v>12.71</v>
      </c>
      <c r="AW353" s="35">
        <v>46150</v>
      </c>
      <c r="AX353" s="30">
        <v>1</v>
      </c>
      <c r="AY353" s="32">
        <f t="shared" si="109"/>
        <v>12.71</v>
      </c>
      <c r="AZ353" s="30" t="s">
        <v>85</v>
      </c>
      <c r="BA353" s="63" t="s">
        <v>1277</v>
      </c>
      <c r="BB353" s="72"/>
      <c r="BC353" s="71" t="s">
        <v>747</v>
      </c>
      <c r="BD353" s="71"/>
    </row>
    <row r="354" spans="1:56" x14ac:dyDescent="0.25">
      <c r="A354" s="24">
        <f>IF(B354="","",SUBTOTAL(3,$B$4:B354))</f>
        <v>337</v>
      </c>
      <c r="B354" s="25" t="s">
        <v>77</v>
      </c>
      <c r="C354" s="25" t="str">
        <f t="shared" si="100"/>
        <v>Shipment 2 400</v>
      </c>
      <c r="D354" s="25" t="s">
        <v>1252</v>
      </c>
      <c r="E354" s="25">
        <v>400</v>
      </c>
      <c r="F354" s="25"/>
      <c r="G354" s="65">
        <v>45990</v>
      </c>
      <c r="H354" s="25" t="s">
        <v>1257</v>
      </c>
      <c r="I354" s="25" t="s">
        <v>1254</v>
      </c>
      <c r="J354" s="26" t="s">
        <v>1301</v>
      </c>
      <c r="K354" s="27" t="s">
        <v>748</v>
      </c>
      <c r="L354" s="28" t="s">
        <v>749</v>
      </c>
      <c r="M354" s="28" t="s">
        <v>587</v>
      </c>
      <c r="N354" s="25">
        <v>1</v>
      </c>
      <c r="O354" s="29">
        <v>12.71</v>
      </c>
      <c r="P354" s="29">
        <v>12.71</v>
      </c>
      <c r="Q354" s="25" t="s">
        <v>1166</v>
      </c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101"/>
        <v>12.71</v>
      </c>
      <c r="AF354" s="32">
        <f t="shared" si="102"/>
        <v>0</v>
      </c>
      <c r="AG354" s="30"/>
      <c r="AH354" s="33">
        <v>1</v>
      </c>
      <c r="AI354" s="34">
        <f t="shared" si="103"/>
        <v>12.71</v>
      </c>
      <c r="AJ354" s="35">
        <v>46064</v>
      </c>
      <c r="AK354" s="30">
        <v>1</v>
      </c>
      <c r="AL354" s="36">
        <f t="shared" si="104"/>
        <v>12.71</v>
      </c>
      <c r="AM354" s="35">
        <v>46074</v>
      </c>
      <c r="AN354" s="30">
        <v>1</v>
      </c>
      <c r="AO354" s="36">
        <f t="shared" si="105"/>
        <v>12.71</v>
      </c>
      <c r="AP354" s="35">
        <v>46147</v>
      </c>
      <c r="AQ354" s="30">
        <v>1</v>
      </c>
      <c r="AR354" s="36">
        <f t="shared" si="106"/>
        <v>12.71</v>
      </c>
      <c r="AS354" s="27" t="s">
        <v>1276</v>
      </c>
      <c r="AT354" s="37">
        <v>46147</v>
      </c>
      <c r="AU354" s="30">
        <v>1</v>
      </c>
      <c r="AV354" s="36">
        <f t="shared" si="107"/>
        <v>12.71</v>
      </c>
      <c r="AW354" s="35">
        <v>46150</v>
      </c>
      <c r="AX354" s="30">
        <v>1</v>
      </c>
      <c r="AY354" s="32">
        <f t="shared" si="109"/>
        <v>12.71</v>
      </c>
      <c r="AZ354" s="30" t="s">
        <v>85</v>
      </c>
      <c r="BA354" s="63" t="s">
        <v>1277</v>
      </c>
      <c r="BB354" s="72"/>
      <c r="BC354" s="71" t="s">
        <v>749</v>
      </c>
      <c r="BD354" s="71"/>
    </row>
    <row r="355" spans="1:56" x14ac:dyDescent="0.25">
      <c r="A355" s="24">
        <f>IF(B355="","",SUBTOTAL(3,$B$4:B355))</f>
        <v>338</v>
      </c>
      <c r="B355" s="25" t="s">
        <v>77</v>
      </c>
      <c r="C355" s="25" t="str">
        <f t="shared" si="100"/>
        <v>Shipment 2 400</v>
      </c>
      <c r="D355" s="25" t="s">
        <v>1252</v>
      </c>
      <c r="E355" s="25">
        <v>400</v>
      </c>
      <c r="F355" s="25"/>
      <c r="G355" s="65">
        <v>45990</v>
      </c>
      <c r="H355" s="25" t="s">
        <v>1257</v>
      </c>
      <c r="I355" s="25" t="s">
        <v>1254</v>
      </c>
      <c r="J355" s="26" t="s">
        <v>1301</v>
      </c>
      <c r="K355" s="27" t="s">
        <v>750</v>
      </c>
      <c r="L355" s="28" t="s">
        <v>751</v>
      </c>
      <c r="M355" s="28" t="s">
        <v>587</v>
      </c>
      <c r="N355" s="25">
        <v>1</v>
      </c>
      <c r="O355" s="29">
        <v>14.81</v>
      </c>
      <c r="P355" s="29">
        <v>14.81</v>
      </c>
      <c r="Q355" s="25" t="s">
        <v>1167</v>
      </c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101"/>
        <v>14.81</v>
      </c>
      <c r="AF355" s="32">
        <f t="shared" si="102"/>
        <v>0</v>
      </c>
      <c r="AG355" s="30"/>
      <c r="AH355" s="33">
        <v>1</v>
      </c>
      <c r="AI355" s="34">
        <f t="shared" si="103"/>
        <v>14.81</v>
      </c>
      <c r="AJ355" s="35">
        <v>46064</v>
      </c>
      <c r="AK355" s="30">
        <v>1</v>
      </c>
      <c r="AL355" s="36">
        <f t="shared" si="104"/>
        <v>14.81</v>
      </c>
      <c r="AM355" s="35">
        <v>46074</v>
      </c>
      <c r="AN355" s="30">
        <v>1</v>
      </c>
      <c r="AO355" s="36">
        <f t="shared" si="105"/>
        <v>14.81</v>
      </c>
      <c r="AP355" s="35">
        <v>46155</v>
      </c>
      <c r="AQ355" s="30">
        <v>1</v>
      </c>
      <c r="AR355" s="36">
        <f t="shared" si="106"/>
        <v>14.81</v>
      </c>
      <c r="AS355" s="27" t="s">
        <v>1277</v>
      </c>
      <c r="AT355" s="37">
        <v>46155</v>
      </c>
      <c r="AU355" s="30">
        <v>1</v>
      </c>
      <c r="AV355" s="36">
        <f t="shared" si="107"/>
        <v>14.81</v>
      </c>
      <c r="AW355" s="35">
        <v>46157</v>
      </c>
      <c r="AX355" s="30">
        <v>1</v>
      </c>
      <c r="AY355" s="32">
        <f t="shared" si="109"/>
        <v>14.81</v>
      </c>
      <c r="AZ355" s="30" t="s">
        <v>85</v>
      </c>
      <c r="BA355" s="63" t="s">
        <v>1278</v>
      </c>
      <c r="BB355" s="72"/>
      <c r="BC355" s="71" t="s">
        <v>751</v>
      </c>
      <c r="BD355" s="71"/>
    </row>
    <row r="356" spans="1:56" x14ac:dyDescent="0.25">
      <c r="A356" s="24">
        <f>IF(B356="","",SUBTOTAL(3,$B$4:B356))</f>
        <v>339</v>
      </c>
      <c r="B356" s="25" t="s">
        <v>77</v>
      </c>
      <c r="C356" s="25" t="str">
        <f t="shared" si="100"/>
        <v>Shipment 2 400</v>
      </c>
      <c r="D356" s="25" t="s">
        <v>1252</v>
      </c>
      <c r="E356" s="25">
        <v>400</v>
      </c>
      <c r="F356" s="25"/>
      <c r="G356" s="65">
        <v>45990</v>
      </c>
      <c r="H356" s="25" t="s">
        <v>1257</v>
      </c>
      <c r="I356" s="25" t="s">
        <v>1254</v>
      </c>
      <c r="J356" s="26" t="s">
        <v>1301</v>
      </c>
      <c r="K356" s="27" t="s">
        <v>752</v>
      </c>
      <c r="L356" s="28" t="s">
        <v>753</v>
      </c>
      <c r="M356" s="28" t="s">
        <v>587</v>
      </c>
      <c r="N356" s="25">
        <v>1</v>
      </c>
      <c r="O356" s="29">
        <v>14.81</v>
      </c>
      <c r="P356" s="29">
        <v>14.81</v>
      </c>
      <c r="Q356" s="25" t="s">
        <v>1167</v>
      </c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101"/>
        <v>14.81</v>
      </c>
      <c r="AF356" s="32">
        <f t="shared" si="102"/>
        <v>0</v>
      </c>
      <c r="AG356" s="30"/>
      <c r="AH356" s="33">
        <v>1</v>
      </c>
      <c r="AI356" s="34">
        <f t="shared" si="103"/>
        <v>14.81</v>
      </c>
      <c r="AJ356" s="35">
        <v>46064</v>
      </c>
      <c r="AK356" s="30">
        <v>1</v>
      </c>
      <c r="AL356" s="36">
        <f t="shared" si="104"/>
        <v>14.81</v>
      </c>
      <c r="AM356" s="35">
        <v>46074</v>
      </c>
      <c r="AN356" s="30">
        <v>1</v>
      </c>
      <c r="AO356" s="36">
        <f t="shared" si="105"/>
        <v>14.81</v>
      </c>
      <c r="AP356" s="35">
        <v>46147</v>
      </c>
      <c r="AQ356" s="30">
        <v>1</v>
      </c>
      <c r="AR356" s="36">
        <f t="shared" si="106"/>
        <v>14.81</v>
      </c>
      <c r="AS356" s="27" t="s">
        <v>1276</v>
      </c>
      <c r="AT356" s="37">
        <v>46147</v>
      </c>
      <c r="AU356" s="30">
        <v>1</v>
      </c>
      <c r="AV356" s="36">
        <f t="shared" si="107"/>
        <v>14.81</v>
      </c>
      <c r="AW356" s="35">
        <v>46150</v>
      </c>
      <c r="AX356" s="30">
        <v>1</v>
      </c>
      <c r="AY356" s="32">
        <f t="shared" si="109"/>
        <v>14.81</v>
      </c>
      <c r="AZ356" s="30" t="s">
        <v>85</v>
      </c>
      <c r="BA356" s="63" t="s">
        <v>1277</v>
      </c>
      <c r="BB356" s="72"/>
      <c r="BC356" s="71" t="s">
        <v>753</v>
      </c>
      <c r="BD356" s="71"/>
    </row>
    <row r="357" spans="1:56" x14ac:dyDescent="0.25">
      <c r="A357" s="24">
        <f>IF(B357="","",SUBTOTAL(3,$B$4:B357))</f>
        <v>340</v>
      </c>
      <c r="B357" s="25" t="s">
        <v>77</v>
      </c>
      <c r="C357" s="25" t="str">
        <f t="shared" si="100"/>
        <v>Shipment 2 400</v>
      </c>
      <c r="D357" s="25" t="s">
        <v>1252</v>
      </c>
      <c r="E357" s="25">
        <v>400</v>
      </c>
      <c r="F357" s="25"/>
      <c r="G357" s="65">
        <v>45990</v>
      </c>
      <c r="H357" s="25" t="s">
        <v>1257</v>
      </c>
      <c r="I357" s="25" t="s">
        <v>1254</v>
      </c>
      <c r="J357" s="26" t="s">
        <v>1301</v>
      </c>
      <c r="K357" s="27" t="s">
        <v>754</v>
      </c>
      <c r="L357" s="28" t="s">
        <v>755</v>
      </c>
      <c r="M357" s="28" t="s">
        <v>587</v>
      </c>
      <c r="N357" s="25">
        <v>1</v>
      </c>
      <c r="O357" s="29">
        <v>8.26</v>
      </c>
      <c r="P357" s="29">
        <v>8.26</v>
      </c>
      <c r="Q357" s="25" t="s">
        <v>1168</v>
      </c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101"/>
        <v>8.26</v>
      </c>
      <c r="AF357" s="32">
        <f t="shared" si="102"/>
        <v>0</v>
      </c>
      <c r="AG357" s="30"/>
      <c r="AH357" s="33">
        <v>1</v>
      </c>
      <c r="AI357" s="34">
        <f t="shared" si="103"/>
        <v>8.26</v>
      </c>
      <c r="AJ357" s="35">
        <v>46064</v>
      </c>
      <c r="AK357" s="30">
        <v>1</v>
      </c>
      <c r="AL357" s="36">
        <f t="shared" si="104"/>
        <v>8.26</v>
      </c>
      <c r="AM357" s="35">
        <v>46074</v>
      </c>
      <c r="AN357" s="30">
        <v>1</v>
      </c>
      <c r="AO357" s="36">
        <f t="shared" si="105"/>
        <v>8.26</v>
      </c>
      <c r="AP357" s="35">
        <v>46147</v>
      </c>
      <c r="AQ357" s="30">
        <v>1</v>
      </c>
      <c r="AR357" s="36">
        <f t="shared" si="106"/>
        <v>8.26</v>
      </c>
      <c r="AS357" s="27" t="s">
        <v>1276</v>
      </c>
      <c r="AT357" s="37">
        <v>46147</v>
      </c>
      <c r="AU357" s="30">
        <v>1</v>
      </c>
      <c r="AV357" s="36">
        <f t="shared" si="107"/>
        <v>8.26</v>
      </c>
      <c r="AW357" s="35">
        <v>46150</v>
      </c>
      <c r="AX357" s="30">
        <v>1</v>
      </c>
      <c r="AY357" s="32">
        <f t="shared" si="109"/>
        <v>8.26</v>
      </c>
      <c r="AZ357" s="30" t="s">
        <v>85</v>
      </c>
      <c r="BA357" s="63" t="s">
        <v>1277</v>
      </c>
      <c r="BB357" s="72"/>
      <c r="BC357" s="71" t="s">
        <v>755</v>
      </c>
      <c r="BD357" s="71"/>
    </row>
    <row r="358" spans="1:56" x14ac:dyDescent="0.25">
      <c r="A358" s="24">
        <f>IF(B358="","",SUBTOTAL(3,$B$4:B358))</f>
        <v>341</v>
      </c>
      <c r="B358" s="25" t="s">
        <v>77</v>
      </c>
      <c r="C358" s="25" t="str">
        <f t="shared" si="100"/>
        <v>Shipment 2 400</v>
      </c>
      <c r="D358" s="25" t="s">
        <v>1252</v>
      </c>
      <c r="E358" s="25">
        <v>400</v>
      </c>
      <c r="F358" s="25"/>
      <c r="G358" s="65">
        <v>45990</v>
      </c>
      <c r="H358" s="25" t="s">
        <v>1257</v>
      </c>
      <c r="I358" s="25" t="s">
        <v>1254</v>
      </c>
      <c r="J358" s="26" t="s">
        <v>1301</v>
      </c>
      <c r="K358" s="27" t="s">
        <v>756</v>
      </c>
      <c r="L358" s="28" t="s">
        <v>757</v>
      </c>
      <c r="M358" s="28" t="s">
        <v>587</v>
      </c>
      <c r="N358" s="25">
        <v>1</v>
      </c>
      <c r="O358" s="29">
        <v>8.26</v>
      </c>
      <c r="P358" s="29">
        <v>8.26</v>
      </c>
      <c r="Q358" s="25" t="s">
        <v>1168</v>
      </c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101"/>
        <v>8.26</v>
      </c>
      <c r="AF358" s="32">
        <f t="shared" si="102"/>
        <v>0</v>
      </c>
      <c r="AG358" s="30"/>
      <c r="AH358" s="33">
        <v>1</v>
      </c>
      <c r="AI358" s="34">
        <f t="shared" si="103"/>
        <v>8.26</v>
      </c>
      <c r="AJ358" s="35">
        <v>46064</v>
      </c>
      <c r="AK358" s="30">
        <v>1</v>
      </c>
      <c r="AL358" s="36">
        <f t="shared" si="104"/>
        <v>8.26</v>
      </c>
      <c r="AM358" s="35">
        <v>46074</v>
      </c>
      <c r="AN358" s="30">
        <v>1</v>
      </c>
      <c r="AO358" s="36">
        <f t="shared" si="105"/>
        <v>8.26</v>
      </c>
      <c r="AP358" s="35">
        <v>46164</v>
      </c>
      <c r="AQ358" s="30">
        <v>1</v>
      </c>
      <c r="AR358" s="36">
        <f t="shared" si="106"/>
        <v>8.26</v>
      </c>
      <c r="AS358" s="27" t="s">
        <v>1278</v>
      </c>
      <c r="AT358" s="37">
        <v>46181</v>
      </c>
      <c r="AU358" s="30">
        <v>1</v>
      </c>
      <c r="AV358" s="36">
        <f t="shared" si="107"/>
        <v>8.26</v>
      </c>
      <c r="AW358" s="35">
        <v>46184</v>
      </c>
      <c r="AX358" s="30">
        <v>1</v>
      </c>
      <c r="AY358" s="32">
        <f t="shared" si="109"/>
        <v>8.26</v>
      </c>
      <c r="AZ358" s="30" t="s">
        <v>85</v>
      </c>
      <c r="BA358" s="63" t="s">
        <v>1285</v>
      </c>
      <c r="BB358" s="72"/>
      <c r="BC358" s="71" t="s">
        <v>757</v>
      </c>
      <c r="BD358" s="71"/>
    </row>
    <row r="359" spans="1:56" x14ac:dyDescent="0.25">
      <c r="A359" s="24">
        <f>IF(B359="","",SUBTOTAL(3,$B$4:B359))</f>
        <v>342</v>
      </c>
      <c r="B359" s="25" t="s">
        <v>77</v>
      </c>
      <c r="C359" s="25" t="str">
        <f t="shared" si="100"/>
        <v>Shipment 2 400</v>
      </c>
      <c r="D359" s="25" t="s">
        <v>1252</v>
      </c>
      <c r="E359" s="25">
        <v>400</v>
      </c>
      <c r="F359" s="25"/>
      <c r="G359" s="65">
        <v>45990</v>
      </c>
      <c r="H359" s="25" t="s">
        <v>1257</v>
      </c>
      <c r="I359" s="25" t="s">
        <v>1254</v>
      </c>
      <c r="J359" s="26" t="s">
        <v>1301</v>
      </c>
      <c r="K359" s="27" t="s">
        <v>758</v>
      </c>
      <c r="L359" s="28" t="s">
        <v>759</v>
      </c>
      <c r="M359" s="28" t="s">
        <v>587</v>
      </c>
      <c r="N359" s="25">
        <v>1</v>
      </c>
      <c r="O359" s="29">
        <v>58.11</v>
      </c>
      <c r="P359" s="29">
        <v>58.11</v>
      </c>
      <c r="Q359" s="25" t="s">
        <v>1169</v>
      </c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101"/>
        <v>58.11</v>
      </c>
      <c r="AF359" s="32">
        <f t="shared" si="102"/>
        <v>0</v>
      </c>
      <c r="AG359" s="30"/>
      <c r="AH359" s="33">
        <v>1</v>
      </c>
      <c r="AI359" s="34">
        <f t="shared" si="103"/>
        <v>58.11</v>
      </c>
      <c r="AJ359" s="35">
        <v>46064</v>
      </c>
      <c r="AK359" s="30">
        <v>1</v>
      </c>
      <c r="AL359" s="36">
        <f t="shared" si="104"/>
        <v>58.11</v>
      </c>
      <c r="AM359" s="35">
        <v>46074</v>
      </c>
      <c r="AN359" s="30">
        <v>1</v>
      </c>
      <c r="AO359" s="36">
        <f t="shared" si="105"/>
        <v>58.11</v>
      </c>
      <c r="AP359" s="35">
        <v>46164</v>
      </c>
      <c r="AQ359" s="30">
        <v>1</v>
      </c>
      <c r="AR359" s="36">
        <f t="shared" si="106"/>
        <v>58.11</v>
      </c>
      <c r="AS359" s="27" t="s">
        <v>1278</v>
      </c>
      <c r="AT359" s="37">
        <v>46181</v>
      </c>
      <c r="AU359" s="30">
        <v>1</v>
      </c>
      <c r="AV359" s="36">
        <f t="shared" si="107"/>
        <v>58.11</v>
      </c>
      <c r="AW359" s="35">
        <v>46184</v>
      </c>
      <c r="AX359" s="30">
        <v>1</v>
      </c>
      <c r="AY359" s="32">
        <f t="shared" si="109"/>
        <v>58.11</v>
      </c>
      <c r="AZ359" s="30" t="s">
        <v>85</v>
      </c>
      <c r="BA359" s="63" t="s">
        <v>1285</v>
      </c>
      <c r="BB359" s="72"/>
      <c r="BC359" s="71" t="s">
        <v>759</v>
      </c>
      <c r="BD359" s="71"/>
    </row>
    <row r="360" spans="1:56" x14ac:dyDescent="0.25">
      <c r="A360" s="24">
        <f>IF(B360="","",SUBTOTAL(3,$B$4:B360))</f>
        <v>343</v>
      </c>
      <c r="B360" s="25" t="s">
        <v>77</v>
      </c>
      <c r="C360" s="25" t="str">
        <f t="shared" si="100"/>
        <v>Shipment 2 400</v>
      </c>
      <c r="D360" s="25" t="s">
        <v>1252</v>
      </c>
      <c r="E360" s="25">
        <v>400</v>
      </c>
      <c r="F360" s="25"/>
      <c r="G360" s="65">
        <v>45990</v>
      </c>
      <c r="H360" s="25" t="s">
        <v>1257</v>
      </c>
      <c r="I360" s="25" t="s">
        <v>1254</v>
      </c>
      <c r="J360" s="26" t="s">
        <v>1301</v>
      </c>
      <c r="K360" s="27" t="s">
        <v>760</v>
      </c>
      <c r="L360" s="28" t="s">
        <v>761</v>
      </c>
      <c r="M360" s="28" t="s">
        <v>587</v>
      </c>
      <c r="N360" s="25">
        <v>1</v>
      </c>
      <c r="O360" s="29">
        <v>20.07</v>
      </c>
      <c r="P360" s="29">
        <v>20.07</v>
      </c>
      <c r="Q360" s="25" t="s">
        <v>1137</v>
      </c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101"/>
        <v>20.070000000000004</v>
      </c>
      <c r="AF360" s="32">
        <f t="shared" si="102"/>
        <v>0</v>
      </c>
      <c r="AG360" s="30"/>
      <c r="AH360" s="33">
        <v>1</v>
      </c>
      <c r="AI360" s="34">
        <f t="shared" si="103"/>
        <v>20.07</v>
      </c>
      <c r="AJ360" s="35">
        <v>46064</v>
      </c>
      <c r="AK360" s="30">
        <v>1</v>
      </c>
      <c r="AL360" s="36">
        <f t="shared" si="104"/>
        <v>20.07</v>
      </c>
      <c r="AM360" s="35">
        <v>46074</v>
      </c>
      <c r="AN360" s="30">
        <v>1</v>
      </c>
      <c r="AO360" s="36">
        <f t="shared" si="105"/>
        <v>20.07</v>
      </c>
      <c r="AP360" s="35">
        <v>46147</v>
      </c>
      <c r="AQ360" s="30">
        <v>1</v>
      </c>
      <c r="AR360" s="36">
        <f t="shared" si="106"/>
        <v>20.07</v>
      </c>
      <c r="AS360" s="27" t="s">
        <v>1276</v>
      </c>
      <c r="AT360" s="37">
        <v>46147</v>
      </c>
      <c r="AU360" s="30">
        <v>1</v>
      </c>
      <c r="AV360" s="36">
        <f t="shared" si="107"/>
        <v>20.07</v>
      </c>
      <c r="AW360" s="35">
        <v>46150</v>
      </c>
      <c r="AX360" s="30">
        <v>1</v>
      </c>
      <c r="AY360" s="32">
        <f t="shared" si="109"/>
        <v>20.07</v>
      </c>
      <c r="AZ360" s="30" t="s">
        <v>85</v>
      </c>
      <c r="BA360" s="63" t="s">
        <v>1277</v>
      </c>
      <c r="BB360" s="72"/>
      <c r="BC360" s="71" t="s">
        <v>761</v>
      </c>
      <c r="BD360" s="71"/>
    </row>
    <row r="361" spans="1:56" x14ac:dyDescent="0.25">
      <c r="A361" s="24">
        <f>IF(B361="","",SUBTOTAL(3,$B$4:B361))</f>
        <v>344</v>
      </c>
      <c r="B361" s="25" t="s">
        <v>77</v>
      </c>
      <c r="C361" s="25" t="str">
        <f t="shared" si="100"/>
        <v>Shipment 2 400</v>
      </c>
      <c r="D361" s="25" t="s">
        <v>1252</v>
      </c>
      <c r="E361" s="25">
        <v>400</v>
      </c>
      <c r="F361" s="25"/>
      <c r="G361" s="65">
        <v>45990</v>
      </c>
      <c r="H361" s="25" t="s">
        <v>1257</v>
      </c>
      <c r="I361" s="25" t="s">
        <v>1254</v>
      </c>
      <c r="J361" s="26" t="s">
        <v>1301</v>
      </c>
      <c r="K361" s="27" t="s">
        <v>762</v>
      </c>
      <c r="L361" s="28" t="s">
        <v>763</v>
      </c>
      <c r="M361" s="28" t="s">
        <v>587</v>
      </c>
      <c r="N361" s="25">
        <v>1</v>
      </c>
      <c r="O361" s="29">
        <v>20.07</v>
      </c>
      <c r="P361" s="29">
        <v>20.07</v>
      </c>
      <c r="Q361" s="25" t="s">
        <v>1137</v>
      </c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101"/>
        <v>20.070000000000004</v>
      </c>
      <c r="AF361" s="32">
        <f t="shared" si="102"/>
        <v>0</v>
      </c>
      <c r="AG361" s="30"/>
      <c r="AH361" s="33">
        <v>1</v>
      </c>
      <c r="AI361" s="34">
        <f t="shared" si="103"/>
        <v>20.07</v>
      </c>
      <c r="AJ361" s="35">
        <v>46064</v>
      </c>
      <c r="AK361" s="30">
        <v>1</v>
      </c>
      <c r="AL361" s="36">
        <f t="shared" si="104"/>
        <v>20.07</v>
      </c>
      <c r="AM361" s="35">
        <v>46074</v>
      </c>
      <c r="AN361" s="30">
        <v>1</v>
      </c>
      <c r="AO361" s="36">
        <f t="shared" si="105"/>
        <v>20.07</v>
      </c>
      <c r="AP361" s="35">
        <v>46147</v>
      </c>
      <c r="AQ361" s="30">
        <v>1</v>
      </c>
      <c r="AR361" s="36">
        <f t="shared" si="106"/>
        <v>20.07</v>
      </c>
      <c r="AS361" s="27" t="s">
        <v>1276</v>
      </c>
      <c r="AT361" s="37">
        <v>46147</v>
      </c>
      <c r="AU361" s="30">
        <v>1</v>
      </c>
      <c r="AV361" s="36">
        <f t="shared" si="107"/>
        <v>20.07</v>
      </c>
      <c r="AW361" s="35">
        <v>46150</v>
      </c>
      <c r="AX361" s="30">
        <v>1</v>
      </c>
      <c r="AY361" s="32">
        <f t="shared" si="109"/>
        <v>20.07</v>
      </c>
      <c r="AZ361" s="30" t="s">
        <v>85</v>
      </c>
      <c r="BA361" s="63" t="s">
        <v>1277</v>
      </c>
      <c r="BB361" s="72"/>
      <c r="BC361" s="71" t="s">
        <v>763</v>
      </c>
      <c r="BD361" s="71"/>
    </row>
    <row r="362" spans="1:56" x14ac:dyDescent="0.25">
      <c r="A362" s="24">
        <f>IF(B362="","",SUBTOTAL(3,$B$4:B362))</f>
        <v>345</v>
      </c>
      <c r="B362" s="25" t="s">
        <v>77</v>
      </c>
      <c r="C362" s="25" t="str">
        <f t="shared" si="100"/>
        <v>Shipment 2 400</v>
      </c>
      <c r="D362" s="25" t="s">
        <v>1252</v>
      </c>
      <c r="E362" s="25">
        <v>400</v>
      </c>
      <c r="F362" s="25"/>
      <c r="G362" s="65">
        <v>45990</v>
      </c>
      <c r="H362" s="25" t="s">
        <v>1257</v>
      </c>
      <c r="I362" s="25" t="s">
        <v>1255</v>
      </c>
      <c r="J362" s="26" t="s">
        <v>1301</v>
      </c>
      <c r="K362" s="27" t="s">
        <v>764</v>
      </c>
      <c r="L362" s="28" t="s">
        <v>765</v>
      </c>
      <c r="M362" s="28" t="s">
        <v>766</v>
      </c>
      <c r="N362" s="25">
        <v>1</v>
      </c>
      <c r="O362" s="29">
        <v>3713.44</v>
      </c>
      <c r="P362" s="29">
        <v>3713.44</v>
      </c>
      <c r="Q362" s="25" t="s">
        <v>1170</v>
      </c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101"/>
        <v>3713.4400000000005</v>
      </c>
      <c r="AF362" s="32">
        <f t="shared" si="102"/>
        <v>0</v>
      </c>
      <c r="AG362" s="30"/>
      <c r="AH362" s="33">
        <v>1</v>
      </c>
      <c r="AI362" s="34">
        <f t="shared" si="103"/>
        <v>3713.44</v>
      </c>
      <c r="AJ362" s="35">
        <v>46032</v>
      </c>
      <c r="AK362" s="30">
        <v>1</v>
      </c>
      <c r="AL362" s="36">
        <f t="shared" si="104"/>
        <v>3713.44</v>
      </c>
      <c r="AM362" s="35">
        <v>46039</v>
      </c>
      <c r="AN362" s="30">
        <v>1</v>
      </c>
      <c r="AO362" s="36">
        <f t="shared" si="105"/>
        <v>3713.44</v>
      </c>
      <c r="AP362" s="35">
        <v>46115</v>
      </c>
      <c r="AQ362" s="30">
        <v>1</v>
      </c>
      <c r="AR362" s="36">
        <f t="shared" si="106"/>
        <v>3713.44</v>
      </c>
      <c r="AS362" s="27" t="s">
        <v>1273</v>
      </c>
      <c r="AT362" s="37">
        <v>46115</v>
      </c>
      <c r="AU362" s="30">
        <v>1</v>
      </c>
      <c r="AV362" s="36">
        <f t="shared" si="107"/>
        <v>3713.44</v>
      </c>
      <c r="AW362" s="35">
        <v>46119</v>
      </c>
      <c r="AX362" s="30">
        <v>1</v>
      </c>
      <c r="AY362" s="32">
        <f t="shared" si="109"/>
        <v>3713.44</v>
      </c>
      <c r="AZ362" s="30" t="s">
        <v>85</v>
      </c>
      <c r="BA362" s="63" t="s">
        <v>1274</v>
      </c>
      <c r="BB362" s="72"/>
      <c r="BC362" s="71" t="s">
        <v>765</v>
      </c>
      <c r="BD362" s="71"/>
    </row>
    <row r="363" spans="1:56" x14ac:dyDescent="0.25">
      <c r="A363" s="24">
        <f>IF(B363="","",SUBTOTAL(3,$B$4:B363))</f>
        <v>346</v>
      </c>
      <c r="B363" s="25" t="s">
        <v>77</v>
      </c>
      <c r="C363" s="25" t="str">
        <f t="shared" si="100"/>
        <v>Shipment 2 400</v>
      </c>
      <c r="D363" s="25" t="s">
        <v>1252</v>
      </c>
      <c r="E363" s="25">
        <v>400</v>
      </c>
      <c r="F363" s="25"/>
      <c r="G363" s="65">
        <v>45990</v>
      </c>
      <c r="H363" s="25" t="s">
        <v>1257</v>
      </c>
      <c r="I363" s="25" t="s">
        <v>1255</v>
      </c>
      <c r="J363" s="26" t="s">
        <v>1301</v>
      </c>
      <c r="K363" s="27" t="s">
        <v>767</v>
      </c>
      <c r="L363" s="28" t="s">
        <v>768</v>
      </c>
      <c r="M363" s="28" t="s">
        <v>769</v>
      </c>
      <c r="N363" s="25">
        <v>1</v>
      </c>
      <c r="O363" s="29">
        <v>6.56</v>
      </c>
      <c r="P363" s="29">
        <v>6.56</v>
      </c>
      <c r="Q363" s="25" t="s">
        <v>1171</v>
      </c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101"/>
        <v>6.56</v>
      </c>
      <c r="AF363" s="32">
        <f t="shared" si="102"/>
        <v>0</v>
      </c>
      <c r="AG363" s="30"/>
      <c r="AH363" s="33">
        <v>1</v>
      </c>
      <c r="AI363" s="34">
        <f t="shared" si="103"/>
        <v>6.56</v>
      </c>
      <c r="AJ363" s="35">
        <v>46147</v>
      </c>
      <c r="AK363" s="30">
        <v>1</v>
      </c>
      <c r="AL363" s="36">
        <f t="shared" si="104"/>
        <v>6.56</v>
      </c>
      <c r="AM363" s="35">
        <v>46147</v>
      </c>
      <c r="AN363" s="30">
        <v>1</v>
      </c>
      <c r="AO363" s="36">
        <f t="shared" si="105"/>
        <v>6.56</v>
      </c>
      <c r="AP363" s="35">
        <v>46147</v>
      </c>
      <c r="AQ363" s="30">
        <v>1</v>
      </c>
      <c r="AR363" s="36">
        <f t="shared" si="106"/>
        <v>6.56</v>
      </c>
      <c r="AS363" s="27" t="s">
        <v>1276</v>
      </c>
      <c r="AT363" s="37">
        <v>46147</v>
      </c>
      <c r="AU363" s="30">
        <v>1</v>
      </c>
      <c r="AV363" s="36">
        <f t="shared" si="107"/>
        <v>6.56</v>
      </c>
      <c r="AW363" s="35">
        <v>46150</v>
      </c>
      <c r="AX363" s="30">
        <v>1</v>
      </c>
      <c r="AY363" s="32">
        <f t="shared" si="109"/>
        <v>6.56</v>
      </c>
      <c r="AZ363" s="30" t="s">
        <v>85</v>
      </c>
      <c r="BA363" s="63" t="s">
        <v>1277</v>
      </c>
      <c r="BB363" s="72"/>
      <c r="BC363" s="71" t="s">
        <v>1355</v>
      </c>
      <c r="BD363" s="71"/>
    </row>
    <row r="364" spans="1:56" x14ac:dyDescent="0.25">
      <c r="A364" s="24">
        <f>IF(B364="","",SUBTOTAL(3,$B$4:B364))</f>
        <v>347</v>
      </c>
      <c r="B364" s="25" t="s">
        <v>77</v>
      </c>
      <c r="C364" s="25" t="str">
        <f t="shared" si="100"/>
        <v>Shipment 2 400</v>
      </c>
      <c r="D364" s="25" t="s">
        <v>1252</v>
      </c>
      <c r="E364" s="25">
        <v>400</v>
      </c>
      <c r="F364" s="25"/>
      <c r="G364" s="65">
        <v>45990</v>
      </c>
      <c r="H364" s="25" t="s">
        <v>1257</v>
      </c>
      <c r="I364" s="25" t="s">
        <v>1255</v>
      </c>
      <c r="J364" s="26" t="s">
        <v>1301</v>
      </c>
      <c r="K364" s="27" t="s">
        <v>767</v>
      </c>
      <c r="L364" s="28" t="s">
        <v>770</v>
      </c>
      <c r="M364" s="28" t="s">
        <v>769</v>
      </c>
      <c r="N364" s="25">
        <v>1</v>
      </c>
      <c r="O364" s="29">
        <v>6.56</v>
      </c>
      <c r="P364" s="29">
        <v>6.56</v>
      </c>
      <c r="Q364" s="25" t="s">
        <v>1171</v>
      </c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101"/>
        <v>6.56</v>
      </c>
      <c r="AF364" s="32">
        <f t="shared" si="102"/>
        <v>0</v>
      </c>
      <c r="AG364" s="30"/>
      <c r="AH364" s="33">
        <v>1</v>
      </c>
      <c r="AI364" s="34">
        <f t="shared" si="103"/>
        <v>6.56</v>
      </c>
      <c r="AJ364" s="35">
        <v>46147</v>
      </c>
      <c r="AK364" s="30">
        <v>1</v>
      </c>
      <c r="AL364" s="36">
        <f t="shared" ref="AL364:AL366" si="110">IFERROR(AK364*$P364/$N364,0)</f>
        <v>6.56</v>
      </c>
      <c r="AM364" s="35">
        <v>46147</v>
      </c>
      <c r="AN364" s="30">
        <v>1</v>
      </c>
      <c r="AO364" s="36">
        <f t="shared" si="105"/>
        <v>6.56</v>
      </c>
      <c r="AP364" s="35">
        <v>46147</v>
      </c>
      <c r="AQ364" s="30">
        <v>1</v>
      </c>
      <c r="AR364" s="36">
        <f t="shared" si="106"/>
        <v>6.56</v>
      </c>
      <c r="AS364" s="27" t="s">
        <v>1276</v>
      </c>
      <c r="AT364" s="37">
        <v>46147</v>
      </c>
      <c r="AU364" s="30">
        <v>1</v>
      </c>
      <c r="AV364" s="36">
        <f t="shared" si="107"/>
        <v>6.56</v>
      </c>
      <c r="AW364" s="35">
        <v>46150</v>
      </c>
      <c r="AX364" s="30">
        <v>1</v>
      </c>
      <c r="AY364" s="32">
        <f t="shared" si="109"/>
        <v>6.56</v>
      </c>
      <c r="AZ364" s="30" t="s">
        <v>85</v>
      </c>
      <c r="BA364" s="63" t="s">
        <v>1277</v>
      </c>
      <c r="BB364" s="72"/>
      <c r="BC364" s="71" t="s">
        <v>1355</v>
      </c>
      <c r="BD364" s="71"/>
    </row>
    <row r="365" spans="1:56" x14ac:dyDescent="0.25">
      <c r="A365" s="24">
        <f>IF(B365="","",SUBTOTAL(3,$B$4:B365))</f>
        <v>348</v>
      </c>
      <c r="B365" s="25" t="s">
        <v>77</v>
      </c>
      <c r="C365" s="25" t="str">
        <f t="shared" si="100"/>
        <v>Shipment 2 400</v>
      </c>
      <c r="D365" s="25" t="s">
        <v>1252</v>
      </c>
      <c r="E365" s="25">
        <v>400</v>
      </c>
      <c r="F365" s="25"/>
      <c r="G365" s="65">
        <v>45990</v>
      </c>
      <c r="H365" s="25" t="s">
        <v>1257</v>
      </c>
      <c r="I365" s="25" t="s">
        <v>1255</v>
      </c>
      <c r="J365" s="26" t="s">
        <v>1301</v>
      </c>
      <c r="K365" s="27" t="s">
        <v>767</v>
      </c>
      <c r="L365" s="28" t="s">
        <v>771</v>
      </c>
      <c r="M365" s="28" t="s">
        <v>769</v>
      </c>
      <c r="N365" s="25">
        <v>1</v>
      </c>
      <c r="O365" s="29">
        <v>6.56</v>
      </c>
      <c r="P365" s="29">
        <v>6.56</v>
      </c>
      <c r="Q365" s="25" t="s">
        <v>1171</v>
      </c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101"/>
        <v>6.56</v>
      </c>
      <c r="AF365" s="32">
        <f t="shared" si="102"/>
        <v>0</v>
      </c>
      <c r="AG365" s="30"/>
      <c r="AH365" s="33">
        <v>1</v>
      </c>
      <c r="AI365" s="34">
        <f t="shared" si="103"/>
        <v>6.56</v>
      </c>
      <c r="AJ365" s="35">
        <v>46147</v>
      </c>
      <c r="AK365" s="30">
        <v>1</v>
      </c>
      <c r="AL365" s="36">
        <f t="shared" si="110"/>
        <v>6.56</v>
      </c>
      <c r="AM365" s="35">
        <v>46147</v>
      </c>
      <c r="AN365" s="30">
        <v>1</v>
      </c>
      <c r="AO365" s="36">
        <f t="shared" si="105"/>
        <v>6.56</v>
      </c>
      <c r="AP365" s="35">
        <v>46147</v>
      </c>
      <c r="AQ365" s="30">
        <v>1</v>
      </c>
      <c r="AR365" s="36">
        <f t="shared" si="106"/>
        <v>6.56</v>
      </c>
      <c r="AS365" s="27" t="s">
        <v>1276</v>
      </c>
      <c r="AT365" s="37">
        <v>46147</v>
      </c>
      <c r="AU365" s="30">
        <v>1</v>
      </c>
      <c r="AV365" s="36">
        <f t="shared" si="107"/>
        <v>6.56</v>
      </c>
      <c r="AW365" s="35">
        <v>46150</v>
      </c>
      <c r="AX365" s="30">
        <v>1</v>
      </c>
      <c r="AY365" s="32">
        <f t="shared" si="109"/>
        <v>6.56</v>
      </c>
      <c r="AZ365" s="30" t="s">
        <v>85</v>
      </c>
      <c r="BA365" s="63" t="s">
        <v>1277</v>
      </c>
      <c r="BB365" s="72"/>
      <c r="BC365" s="71" t="s">
        <v>1355</v>
      </c>
      <c r="BD365" s="71"/>
    </row>
    <row r="366" spans="1:56" x14ac:dyDescent="0.25">
      <c r="A366" s="24">
        <f>IF(B366="","",SUBTOTAL(3,$B$4:B366))</f>
        <v>349</v>
      </c>
      <c r="B366" s="25" t="s">
        <v>77</v>
      </c>
      <c r="C366" s="25" t="str">
        <f t="shared" si="100"/>
        <v>Shipment 2 400</v>
      </c>
      <c r="D366" s="25" t="s">
        <v>1252</v>
      </c>
      <c r="E366" s="25">
        <v>400</v>
      </c>
      <c r="F366" s="25"/>
      <c r="G366" s="65">
        <v>45990</v>
      </c>
      <c r="H366" s="25" t="s">
        <v>1257</v>
      </c>
      <c r="I366" s="25" t="s">
        <v>1255</v>
      </c>
      <c r="J366" s="26" t="s">
        <v>1301</v>
      </c>
      <c r="K366" s="27" t="s">
        <v>767</v>
      </c>
      <c r="L366" s="28" t="s">
        <v>772</v>
      </c>
      <c r="M366" s="28" t="s">
        <v>769</v>
      </c>
      <c r="N366" s="25">
        <v>1</v>
      </c>
      <c r="O366" s="29">
        <v>6.56</v>
      </c>
      <c r="P366" s="29">
        <v>6.56</v>
      </c>
      <c r="Q366" s="25" t="s">
        <v>1171</v>
      </c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101"/>
        <v>6.56</v>
      </c>
      <c r="AF366" s="32">
        <f t="shared" si="102"/>
        <v>0</v>
      </c>
      <c r="AG366" s="30"/>
      <c r="AH366" s="33">
        <v>1</v>
      </c>
      <c r="AI366" s="34">
        <f t="shared" si="103"/>
        <v>6.56</v>
      </c>
      <c r="AJ366" s="35">
        <v>46147</v>
      </c>
      <c r="AK366" s="30">
        <v>1</v>
      </c>
      <c r="AL366" s="36">
        <f t="shared" si="110"/>
        <v>6.56</v>
      </c>
      <c r="AM366" s="35">
        <v>46147</v>
      </c>
      <c r="AN366" s="30">
        <v>1</v>
      </c>
      <c r="AO366" s="36">
        <f t="shared" si="105"/>
        <v>6.56</v>
      </c>
      <c r="AP366" s="35">
        <v>46147</v>
      </c>
      <c r="AQ366" s="30">
        <v>1</v>
      </c>
      <c r="AR366" s="36">
        <f t="shared" si="106"/>
        <v>6.56</v>
      </c>
      <c r="AS366" s="27" t="s">
        <v>1276</v>
      </c>
      <c r="AT366" s="37">
        <v>46147</v>
      </c>
      <c r="AU366" s="30">
        <v>1</v>
      </c>
      <c r="AV366" s="36">
        <f t="shared" si="107"/>
        <v>6.56</v>
      </c>
      <c r="AW366" s="35">
        <v>46150</v>
      </c>
      <c r="AX366" s="30">
        <v>1</v>
      </c>
      <c r="AY366" s="32">
        <f t="shared" si="109"/>
        <v>6.56</v>
      </c>
      <c r="AZ366" s="30" t="s">
        <v>85</v>
      </c>
      <c r="BA366" s="63" t="s">
        <v>1277</v>
      </c>
      <c r="BB366" s="72"/>
      <c r="BC366" s="71" t="s">
        <v>1355</v>
      </c>
      <c r="BD366" s="71"/>
    </row>
    <row r="367" spans="1:56" x14ac:dyDescent="0.25">
      <c r="A367" s="24">
        <f>IF(B367="","",SUBTOTAL(3,$B$4:B367))</f>
        <v>350</v>
      </c>
      <c r="B367" s="25" t="s">
        <v>77</v>
      </c>
      <c r="C367" s="25" t="str">
        <f t="shared" si="100"/>
        <v>Shipment 2 400</v>
      </c>
      <c r="D367" s="25" t="s">
        <v>1252</v>
      </c>
      <c r="E367" s="25">
        <v>400</v>
      </c>
      <c r="F367" s="25"/>
      <c r="G367" s="65">
        <v>45990</v>
      </c>
      <c r="H367" s="25" t="s">
        <v>1257</v>
      </c>
      <c r="I367" s="25" t="s">
        <v>1255</v>
      </c>
      <c r="J367" s="26" t="s">
        <v>1301</v>
      </c>
      <c r="K367" s="27" t="s">
        <v>773</v>
      </c>
      <c r="L367" s="28" t="s">
        <v>774</v>
      </c>
      <c r="M367" s="28" t="s">
        <v>775</v>
      </c>
      <c r="N367" s="25">
        <v>1</v>
      </c>
      <c r="O367" s="29">
        <v>1954.45</v>
      </c>
      <c r="P367" s="29">
        <v>1954.45</v>
      </c>
      <c r="Q367" s="25" t="s">
        <v>1172</v>
      </c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101"/>
        <v>1954.45</v>
      </c>
      <c r="AF367" s="32">
        <f t="shared" si="102"/>
        <v>0</v>
      </c>
      <c r="AG367" s="30"/>
      <c r="AH367" s="33">
        <v>1</v>
      </c>
      <c r="AI367" s="34">
        <f t="shared" si="103"/>
        <v>1954.45</v>
      </c>
      <c r="AJ367" s="35">
        <v>46045</v>
      </c>
      <c r="AK367" s="30">
        <v>1</v>
      </c>
      <c r="AL367" s="36">
        <f t="shared" si="104"/>
        <v>1954.45</v>
      </c>
      <c r="AM367" s="35">
        <v>46058</v>
      </c>
      <c r="AN367" s="30">
        <v>1</v>
      </c>
      <c r="AO367" s="36">
        <f t="shared" si="105"/>
        <v>1954.45</v>
      </c>
      <c r="AP367" s="35">
        <v>46126</v>
      </c>
      <c r="AQ367" s="30">
        <v>1</v>
      </c>
      <c r="AR367" s="36">
        <f t="shared" si="106"/>
        <v>1954.45</v>
      </c>
      <c r="AS367" s="27" t="s">
        <v>1275</v>
      </c>
      <c r="AT367" s="37">
        <v>46126</v>
      </c>
      <c r="AU367" s="30">
        <v>1</v>
      </c>
      <c r="AV367" s="36">
        <f t="shared" si="107"/>
        <v>1954.45</v>
      </c>
      <c r="AW367" s="35">
        <v>46128</v>
      </c>
      <c r="AX367" s="30">
        <v>1</v>
      </c>
      <c r="AY367" s="32">
        <f t="shared" si="109"/>
        <v>1954.45</v>
      </c>
      <c r="AZ367" s="30" t="s">
        <v>85</v>
      </c>
      <c r="BA367" s="63" t="s">
        <v>1276</v>
      </c>
      <c r="BB367" s="72"/>
      <c r="BC367" s="71" t="s">
        <v>774</v>
      </c>
      <c r="BD367" s="71"/>
    </row>
    <row r="368" spans="1:56" x14ac:dyDescent="0.25">
      <c r="A368" s="24">
        <f>IF(B368="","",SUBTOTAL(3,$B$4:B368))</f>
        <v>351</v>
      </c>
      <c r="B368" s="25" t="s">
        <v>77</v>
      </c>
      <c r="C368" s="25" t="str">
        <f t="shared" si="100"/>
        <v>Shipment 2 400</v>
      </c>
      <c r="D368" s="25" t="s">
        <v>1252</v>
      </c>
      <c r="E368" s="25">
        <v>400</v>
      </c>
      <c r="F368" s="25"/>
      <c r="G368" s="65">
        <v>45990</v>
      </c>
      <c r="H368" s="25" t="s">
        <v>1257</v>
      </c>
      <c r="I368" s="25" t="s">
        <v>1255</v>
      </c>
      <c r="J368" s="26" t="s">
        <v>1301</v>
      </c>
      <c r="K368" s="27" t="s">
        <v>776</v>
      </c>
      <c r="L368" s="28" t="s">
        <v>777</v>
      </c>
      <c r="M368" s="28" t="s">
        <v>769</v>
      </c>
      <c r="N368" s="25">
        <v>1</v>
      </c>
      <c r="O368" s="29">
        <v>851.33</v>
      </c>
      <c r="P368" s="29">
        <v>851.33</v>
      </c>
      <c r="Q368" s="25" t="s">
        <v>1173</v>
      </c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101"/>
        <v>851.33000000000015</v>
      </c>
      <c r="AF368" s="32">
        <f t="shared" si="102"/>
        <v>0</v>
      </c>
      <c r="AG368" s="30"/>
      <c r="AH368" s="33">
        <v>1</v>
      </c>
      <c r="AI368" s="34">
        <f t="shared" si="103"/>
        <v>851.33</v>
      </c>
      <c r="AJ368" s="35">
        <v>46060</v>
      </c>
      <c r="AK368" s="30">
        <v>1</v>
      </c>
      <c r="AL368" s="36">
        <f t="shared" si="104"/>
        <v>851.33</v>
      </c>
      <c r="AM368" s="35">
        <v>46061</v>
      </c>
      <c r="AN368" s="30">
        <v>1</v>
      </c>
      <c r="AO368" s="36">
        <f t="shared" si="105"/>
        <v>851.33</v>
      </c>
      <c r="AP368" s="35">
        <v>46126</v>
      </c>
      <c r="AQ368" s="30">
        <v>1</v>
      </c>
      <c r="AR368" s="36">
        <f t="shared" si="106"/>
        <v>851.33</v>
      </c>
      <c r="AS368" s="27" t="s">
        <v>1275</v>
      </c>
      <c r="AT368" s="37">
        <v>46126</v>
      </c>
      <c r="AU368" s="30">
        <v>1</v>
      </c>
      <c r="AV368" s="36">
        <f t="shared" si="107"/>
        <v>851.33</v>
      </c>
      <c r="AW368" s="35">
        <v>46128</v>
      </c>
      <c r="AX368" s="30">
        <v>1</v>
      </c>
      <c r="AY368" s="32">
        <f t="shared" ref="AY368:AY371" si="111">IFERROR(AX368*$P368/$N368,0)</f>
        <v>851.33</v>
      </c>
      <c r="AZ368" s="30" t="s">
        <v>85</v>
      </c>
      <c r="BA368" s="63" t="s">
        <v>1276</v>
      </c>
      <c r="BB368" s="72"/>
      <c r="BC368" s="71" t="s">
        <v>777</v>
      </c>
      <c r="BD368" s="71"/>
    </row>
    <row r="369" spans="1:56" x14ac:dyDescent="0.25">
      <c r="A369" s="24">
        <f>IF(B369="","",SUBTOTAL(3,$B$4:B369))</f>
        <v>352</v>
      </c>
      <c r="B369" s="25" t="s">
        <v>77</v>
      </c>
      <c r="C369" s="25" t="str">
        <f t="shared" si="100"/>
        <v>Shipment 2 400</v>
      </c>
      <c r="D369" s="25" t="s">
        <v>1252</v>
      </c>
      <c r="E369" s="25">
        <v>400</v>
      </c>
      <c r="F369" s="25"/>
      <c r="G369" s="65">
        <v>45990</v>
      </c>
      <c r="H369" s="25" t="s">
        <v>1257</v>
      </c>
      <c r="I369" s="25" t="s">
        <v>1255</v>
      </c>
      <c r="J369" s="26" t="s">
        <v>1301</v>
      </c>
      <c r="K369" s="27" t="s">
        <v>778</v>
      </c>
      <c r="L369" s="28" t="s">
        <v>779</v>
      </c>
      <c r="M369" s="28" t="s">
        <v>769</v>
      </c>
      <c r="N369" s="25">
        <v>1</v>
      </c>
      <c r="O369" s="29">
        <v>851.33</v>
      </c>
      <c r="P369" s="29">
        <v>851.33</v>
      </c>
      <c r="Q369" s="25" t="s">
        <v>1173</v>
      </c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101"/>
        <v>851.33000000000015</v>
      </c>
      <c r="AF369" s="32">
        <f t="shared" si="102"/>
        <v>0</v>
      </c>
      <c r="AG369" s="30"/>
      <c r="AH369" s="33">
        <v>1</v>
      </c>
      <c r="AI369" s="34">
        <f t="shared" si="103"/>
        <v>851.33</v>
      </c>
      <c r="AJ369" s="35">
        <v>46060</v>
      </c>
      <c r="AK369" s="30">
        <v>1</v>
      </c>
      <c r="AL369" s="36">
        <f t="shared" ref="AL369:AL371" si="112">IFERROR(AK369*$P369/$N369,0)</f>
        <v>851.33</v>
      </c>
      <c r="AM369" s="35">
        <v>46061</v>
      </c>
      <c r="AN369" s="30">
        <v>1</v>
      </c>
      <c r="AO369" s="36">
        <f t="shared" si="105"/>
        <v>851.33</v>
      </c>
      <c r="AP369" s="35">
        <v>46126</v>
      </c>
      <c r="AQ369" s="30">
        <v>1</v>
      </c>
      <c r="AR369" s="36">
        <f t="shared" si="106"/>
        <v>851.33</v>
      </c>
      <c r="AS369" s="27" t="s">
        <v>1275</v>
      </c>
      <c r="AT369" s="37">
        <v>46126</v>
      </c>
      <c r="AU369" s="30">
        <v>1</v>
      </c>
      <c r="AV369" s="36">
        <f t="shared" si="107"/>
        <v>851.33</v>
      </c>
      <c r="AW369" s="35">
        <v>46128</v>
      </c>
      <c r="AX369" s="30">
        <v>1</v>
      </c>
      <c r="AY369" s="32">
        <f t="shared" si="111"/>
        <v>851.33</v>
      </c>
      <c r="AZ369" s="30" t="s">
        <v>85</v>
      </c>
      <c r="BA369" s="63" t="s">
        <v>1276</v>
      </c>
      <c r="BB369" s="72"/>
      <c r="BC369" s="71" t="s">
        <v>779</v>
      </c>
      <c r="BD369" s="71"/>
    </row>
    <row r="370" spans="1:56" x14ac:dyDescent="0.25">
      <c r="A370" s="24">
        <f>IF(B370="","",SUBTOTAL(3,$B$4:B370))</f>
        <v>353</v>
      </c>
      <c r="B370" s="25" t="s">
        <v>77</v>
      </c>
      <c r="C370" s="25" t="str">
        <f t="shared" si="100"/>
        <v>Shipment 2 400</v>
      </c>
      <c r="D370" s="25" t="s">
        <v>1252</v>
      </c>
      <c r="E370" s="25">
        <v>400</v>
      </c>
      <c r="F370" s="25"/>
      <c r="G370" s="65">
        <v>45990</v>
      </c>
      <c r="H370" s="25" t="s">
        <v>1257</v>
      </c>
      <c r="I370" s="25" t="s">
        <v>1255</v>
      </c>
      <c r="J370" s="26" t="s">
        <v>1301</v>
      </c>
      <c r="K370" s="27" t="s">
        <v>780</v>
      </c>
      <c r="L370" s="28" t="s">
        <v>781</v>
      </c>
      <c r="M370" s="28" t="s">
        <v>769</v>
      </c>
      <c r="N370" s="25">
        <v>1</v>
      </c>
      <c r="O370" s="29">
        <v>371.16</v>
      </c>
      <c r="P370" s="29">
        <v>371.16</v>
      </c>
      <c r="Q370" s="25" t="s">
        <v>1174</v>
      </c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101"/>
        <v>371.16</v>
      </c>
      <c r="AF370" s="32">
        <f t="shared" si="102"/>
        <v>0</v>
      </c>
      <c r="AG370" s="30"/>
      <c r="AH370" s="33">
        <v>1</v>
      </c>
      <c r="AI370" s="34">
        <f t="shared" si="103"/>
        <v>371.16</v>
      </c>
      <c r="AJ370" s="35">
        <v>46060</v>
      </c>
      <c r="AK370" s="30">
        <v>1</v>
      </c>
      <c r="AL370" s="36">
        <f t="shared" si="112"/>
        <v>371.16</v>
      </c>
      <c r="AM370" s="35">
        <v>46061</v>
      </c>
      <c r="AN370" s="30">
        <v>1</v>
      </c>
      <c r="AO370" s="36">
        <f t="shared" si="105"/>
        <v>371.16</v>
      </c>
      <c r="AP370" s="35">
        <v>46126</v>
      </c>
      <c r="AQ370" s="30">
        <v>1</v>
      </c>
      <c r="AR370" s="36">
        <f t="shared" si="106"/>
        <v>371.16</v>
      </c>
      <c r="AS370" s="27" t="s">
        <v>1275</v>
      </c>
      <c r="AT370" s="37">
        <v>46126</v>
      </c>
      <c r="AU370" s="30">
        <v>1</v>
      </c>
      <c r="AV370" s="36">
        <f t="shared" si="107"/>
        <v>371.16</v>
      </c>
      <c r="AW370" s="35">
        <v>46128</v>
      </c>
      <c r="AX370" s="30">
        <v>1</v>
      </c>
      <c r="AY370" s="32">
        <f t="shared" si="111"/>
        <v>371.16</v>
      </c>
      <c r="AZ370" s="30" t="s">
        <v>85</v>
      </c>
      <c r="BA370" s="63" t="s">
        <v>1276</v>
      </c>
      <c r="BB370" s="72"/>
      <c r="BC370" s="71" t="s">
        <v>781</v>
      </c>
      <c r="BD370" s="71"/>
    </row>
    <row r="371" spans="1:56" x14ac:dyDescent="0.25">
      <c r="A371" s="24">
        <f>IF(B371="","",SUBTOTAL(3,$B$4:B371))</f>
        <v>354</v>
      </c>
      <c r="B371" s="25" t="s">
        <v>77</v>
      </c>
      <c r="C371" s="25" t="str">
        <f t="shared" si="100"/>
        <v>Shipment 2 400</v>
      </c>
      <c r="D371" s="25" t="s">
        <v>1252</v>
      </c>
      <c r="E371" s="25">
        <v>400</v>
      </c>
      <c r="F371" s="25"/>
      <c r="G371" s="65">
        <v>45990</v>
      </c>
      <c r="H371" s="25" t="s">
        <v>1257</v>
      </c>
      <c r="I371" s="25" t="s">
        <v>1255</v>
      </c>
      <c r="J371" s="26" t="s">
        <v>1301</v>
      </c>
      <c r="K371" s="27" t="s">
        <v>782</v>
      </c>
      <c r="L371" s="28" t="s">
        <v>783</v>
      </c>
      <c r="M371" s="28" t="s">
        <v>769</v>
      </c>
      <c r="N371" s="25">
        <v>1</v>
      </c>
      <c r="O371" s="29">
        <v>323.36</v>
      </c>
      <c r="P371" s="29">
        <v>323.36</v>
      </c>
      <c r="Q371" s="25" t="s">
        <v>1174</v>
      </c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101"/>
        <v>323.36</v>
      </c>
      <c r="AF371" s="32">
        <f t="shared" si="102"/>
        <v>0</v>
      </c>
      <c r="AG371" s="30"/>
      <c r="AH371" s="33">
        <v>1</v>
      </c>
      <c r="AI371" s="34">
        <f t="shared" si="103"/>
        <v>323.36</v>
      </c>
      <c r="AJ371" s="35">
        <v>46060</v>
      </c>
      <c r="AK371" s="30">
        <v>1</v>
      </c>
      <c r="AL371" s="36">
        <f t="shared" si="112"/>
        <v>323.36</v>
      </c>
      <c r="AM371" s="35">
        <v>46061</v>
      </c>
      <c r="AN371" s="30">
        <v>1</v>
      </c>
      <c r="AO371" s="36">
        <f t="shared" si="105"/>
        <v>323.36</v>
      </c>
      <c r="AP371" s="35">
        <v>46126</v>
      </c>
      <c r="AQ371" s="30">
        <v>1</v>
      </c>
      <c r="AR371" s="36">
        <f t="shared" si="106"/>
        <v>323.36</v>
      </c>
      <c r="AS371" s="27" t="s">
        <v>1275</v>
      </c>
      <c r="AT371" s="37">
        <v>46126</v>
      </c>
      <c r="AU371" s="30">
        <v>1</v>
      </c>
      <c r="AV371" s="36">
        <f t="shared" si="107"/>
        <v>323.36</v>
      </c>
      <c r="AW371" s="35">
        <v>46128</v>
      </c>
      <c r="AX371" s="30">
        <v>1</v>
      </c>
      <c r="AY371" s="32">
        <f t="shared" si="111"/>
        <v>323.36</v>
      </c>
      <c r="AZ371" s="30" t="s">
        <v>85</v>
      </c>
      <c r="BA371" s="63" t="s">
        <v>1276</v>
      </c>
      <c r="BB371" s="72"/>
      <c r="BC371" s="71" t="s">
        <v>783</v>
      </c>
      <c r="BD371" s="71"/>
    </row>
    <row r="372" spans="1:56" x14ac:dyDescent="0.25">
      <c r="A372" s="24">
        <f>IF(B372="","",SUBTOTAL(3,$B$4:B372))</f>
        <v>355</v>
      </c>
      <c r="B372" s="25" t="s">
        <v>77</v>
      </c>
      <c r="C372" s="25" t="str">
        <f t="shared" ref="C372" si="113">D372&amp;" "&amp;E372</f>
        <v>Shipment 2 400</v>
      </c>
      <c r="D372" s="25" t="s">
        <v>1252</v>
      </c>
      <c r="E372" s="25">
        <v>400</v>
      </c>
      <c r="F372" s="25"/>
      <c r="G372" s="65">
        <v>45990</v>
      </c>
      <c r="H372" s="25" t="s">
        <v>1257</v>
      </c>
      <c r="I372" s="25" t="s">
        <v>1256</v>
      </c>
      <c r="J372" s="26" t="s">
        <v>1300</v>
      </c>
      <c r="K372" s="27" t="s">
        <v>784</v>
      </c>
      <c r="L372" s="28" t="s">
        <v>785</v>
      </c>
      <c r="M372" s="28" t="s">
        <v>786</v>
      </c>
      <c r="N372" s="25">
        <v>1</v>
      </c>
      <c r="O372" s="29">
        <v>5670.46</v>
      </c>
      <c r="P372" s="29">
        <v>5670.46</v>
      </c>
      <c r="Q372" s="25" t="s">
        <v>1175</v>
      </c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101"/>
        <v>5670.4600000000009</v>
      </c>
      <c r="AF372" s="32">
        <f t="shared" si="102"/>
        <v>0</v>
      </c>
      <c r="AG372" s="30"/>
      <c r="AH372" s="33">
        <v>1</v>
      </c>
      <c r="AI372" s="34">
        <f t="shared" si="103"/>
        <v>5670.46</v>
      </c>
      <c r="AJ372" s="35">
        <v>45986</v>
      </c>
      <c r="AK372" s="30">
        <v>1</v>
      </c>
      <c r="AL372" s="36">
        <f t="shared" si="104"/>
        <v>5670.46</v>
      </c>
      <c r="AM372" s="35">
        <v>46007</v>
      </c>
      <c r="AN372" s="30">
        <v>1</v>
      </c>
      <c r="AO372" s="36">
        <f t="shared" si="105"/>
        <v>5670.46</v>
      </c>
      <c r="AP372" s="35">
        <v>46112</v>
      </c>
      <c r="AQ372" s="30">
        <v>1</v>
      </c>
      <c r="AR372" s="36">
        <f t="shared" si="106"/>
        <v>5670.46</v>
      </c>
      <c r="AS372" s="27" t="s">
        <v>1272</v>
      </c>
      <c r="AT372" s="37">
        <v>46112</v>
      </c>
      <c r="AU372" s="30">
        <v>1</v>
      </c>
      <c r="AV372" s="36">
        <f t="shared" si="107"/>
        <v>5670.46</v>
      </c>
      <c r="AW372" s="35">
        <v>46119</v>
      </c>
      <c r="AX372" s="30">
        <v>1</v>
      </c>
      <c r="AY372" s="32">
        <f t="shared" si="109"/>
        <v>5670.46</v>
      </c>
      <c r="AZ372" s="30" t="s">
        <v>85</v>
      </c>
      <c r="BA372" s="63" t="s">
        <v>1273</v>
      </c>
      <c r="BB372" s="72">
        <f>INDEX([2]Rev8A!$E:$E,MATCH(K372,[2]Rev8A!$B:$B,0))</f>
        <v>0</v>
      </c>
      <c r="BC372" s="71" t="s">
        <v>785</v>
      </c>
      <c r="BD372" s="71"/>
    </row>
    <row r="373" spans="1:56" x14ac:dyDescent="0.25">
      <c r="A373" s="24">
        <f>IF(B373="","",SUBTOTAL(3,$B$4:B373))</f>
        <v>356</v>
      </c>
      <c r="B373" s="25" t="s">
        <v>77</v>
      </c>
      <c r="C373" s="25" t="str">
        <f t="shared" ref="C373:C378" si="114">D373&amp;" "&amp;E373</f>
        <v>Shipment 2 400</v>
      </c>
      <c r="D373" s="25" t="s">
        <v>1252</v>
      </c>
      <c r="E373" s="25">
        <v>400</v>
      </c>
      <c r="F373" s="25"/>
      <c r="G373" s="65">
        <v>45990</v>
      </c>
      <c r="H373" s="25" t="s">
        <v>1257</v>
      </c>
      <c r="I373" s="25" t="s">
        <v>1256</v>
      </c>
      <c r="J373" s="26" t="s">
        <v>1300</v>
      </c>
      <c r="K373" s="27" t="s">
        <v>787</v>
      </c>
      <c r="L373" s="28" t="s">
        <v>788</v>
      </c>
      <c r="M373" s="28" t="s">
        <v>786</v>
      </c>
      <c r="N373" s="25">
        <v>1</v>
      </c>
      <c r="O373" s="29">
        <v>4392.13</v>
      </c>
      <c r="P373" s="29">
        <v>4392.13</v>
      </c>
      <c r="Q373" s="25" t="s">
        <v>1176</v>
      </c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101"/>
        <v>4392.13</v>
      </c>
      <c r="AF373" s="32">
        <f t="shared" si="102"/>
        <v>0</v>
      </c>
      <c r="AG373" s="30"/>
      <c r="AH373" s="33">
        <v>1</v>
      </c>
      <c r="AI373" s="34">
        <f t="shared" si="103"/>
        <v>4392.13</v>
      </c>
      <c r="AJ373" s="35">
        <v>45993</v>
      </c>
      <c r="AK373" s="30">
        <v>1</v>
      </c>
      <c r="AL373" s="36">
        <f t="shared" si="104"/>
        <v>4392.13</v>
      </c>
      <c r="AM373" s="35">
        <v>46011</v>
      </c>
      <c r="AN373" s="30">
        <v>1</v>
      </c>
      <c r="AO373" s="36">
        <f t="shared" si="105"/>
        <v>4392.13</v>
      </c>
      <c r="AP373" s="35">
        <v>46112</v>
      </c>
      <c r="AQ373" s="30">
        <v>1</v>
      </c>
      <c r="AR373" s="36">
        <f t="shared" si="106"/>
        <v>4392.13</v>
      </c>
      <c r="AS373" s="27" t="s">
        <v>1272</v>
      </c>
      <c r="AT373" s="37">
        <v>46112</v>
      </c>
      <c r="AU373" s="30">
        <v>1</v>
      </c>
      <c r="AV373" s="36">
        <f t="shared" si="107"/>
        <v>4392.13</v>
      </c>
      <c r="AW373" s="35">
        <v>46119</v>
      </c>
      <c r="AX373" s="30">
        <v>1</v>
      </c>
      <c r="AY373" s="32">
        <f t="shared" ref="AY373:AY374" si="115">IFERROR(AX373*$P373/$N373,0)</f>
        <v>4392.13</v>
      </c>
      <c r="AZ373" s="30" t="s">
        <v>85</v>
      </c>
      <c r="BA373" s="63" t="s">
        <v>1273</v>
      </c>
      <c r="BB373" s="72">
        <f>INDEX([2]Rev8A!$E:$E,MATCH(K373,[2]Rev8A!$B:$B,0))</f>
        <v>0</v>
      </c>
      <c r="BC373" s="71" t="s">
        <v>788</v>
      </c>
      <c r="BD373" s="71"/>
    </row>
    <row r="374" spans="1:56" x14ac:dyDescent="0.25">
      <c r="A374" s="24">
        <f>IF(B374="","",SUBTOTAL(3,$B$4:B374))</f>
        <v>357</v>
      </c>
      <c r="B374" s="25" t="s">
        <v>77</v>
      </c>
      <c r="C374" s="25" t="str">
        <f t="shared" si="114"/>
        <v>Shipment 2 400</v>
      </c>
      <c r="D374" s="25" t="s">
        <v>1252</v>
      </c>
      <c r="E374" s="25">
        <v>400</v>
      </c>
      <c r="F374" s="25"/>
      <c r="G374" s="65">
        <v>45990</v>
      </c>
      <c r="H374" s="25" t="s">
        <v>1257</v>
      </c>
      <c r="I374" s="25" t="s">
        <v>1256</v>
      </c>
      <c r="J374" s="26" t="s">
        <v>1300</v>
      </c>
      <c r="K374" s="27" t="s">
        <v>789</v>
      </c>
      <c r="L374" s="28" t="s">
        <v>790</v>
      </c>
      <c r="M374" s="28" t="s">
        <v>791</v>
      </c>
      <c r="N374" s="25">
        <v>1</v>
      </c>
      <c r="O374" s="29">
        <v>3501.03</v>
      </c>
      <c r="P374" s="29">
        <v>3501.03</v>
      </c>
      <c r="Q374" s="25" t="s">
        <v>1177</v>
      </c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101"/>
        <v>3501.0300000000007</v>
      </c>
      <c r="AF374" s="32">
        <f t="shared" si="102"/>
        <v>0</v>
      </c>
      <c r="AG374" s="30"/>
      <c r="AH374" s="33">
        <v>1</v>
      </c>
      <c r="AI374" s="34">
        <f t="shared" si="103"/>
        <v>3501.03</v>
      </c>
      <c r="AJ374" s="35">
        <v>45999</v>
      </c>
      <c r="AK374" s="30">
        <v>1</v>
      </c>
      <c r="AL374" s="36">
        <f t="shared" si="104"/>
        <v>3501.03</v>
      </c>
      <c r="AM374" s="35">
        <v>46029</v>
      </c>
      <c r="AN374" s="30">
        <v>1</v>
      </c>
      <c r="AO374" s="36">
        <f t="shared" si="105"/>
        <v>3501.03</v>
      </c>
      <c r="AP374" s="35">
        <v>46116</v>
      </c>
      <c r="AQ374" s="30">
        <v>1</v>
      </c>
      <c r="AR374" s="36">
        <f t="shared" si="106"/>
        <v>3501.03</v>
      </c>
      <c r="AS374" s="27" t="s">
        <v>1274</v>
      </c>
      <c r="AT374" s="37">
        <v>46116</v>
      </c>
      <c r="AU374" s="30">
        <v>1</v>
      </c>
      <c r="AV374" s="36">
        <f t="shared" si="107"/>
        <v>3501.03</v>
      </c>
      <c r="AW374" s="35">
        <v>46119</v>
      </c>
      <c r="AX374" s="30">
        <v>1</v>
      </c>
      <c r="AY374" s="32">
        <f t="shared" si="115"/>
        <v>3501.03</v>
      </c>
      <c r="AZ374" s="30" t="s">
        <v>85</v>
      </c>
      <c r="BA374" s="63" t="s">
        <v>1275</v>
      </c>
      <c r="BB374" s="72">
        <f>INDEX([2]Rev8A!$E:$E,MATCH(K374,[2]Rev8A!$B:$B,0))</f>
        <v>0</v>
      </c>
      <c r="BC374" s="71" t="s">
        <v>790</v>
      </c>
      <c r="BD374" s="71"/>
    </row>
    <row r="375" spans="1:56" x14ac:dyDescent="0.25">
      <c r="A375" s="24">
        <f>IF(B375="","",SUBTOTAL(3,$B$4:B375))</f>
        <v>358</v>
      </c>
      <c r="B375" s="25" t="s">
        <v>77</v>
      </c>
      <c r="C375" s="25" t="str">
        <f t="shared" si="114"/>
        <v>Shipment 2 400</v>
      </c>
      <c r="D375" s="25" t="s">
        <v>1252</v>
      </c>
      <c r="E375" s="25">
        <v>400</v>
      </c>
      <c r="F375" s="25"/>
      <c r="G375" s="65">
        <v>45990</v>
      </c>
      <c r="H375" s="25" t="s">
        <v>1257</v>
      </c>
      <c r="I375" s="25" t="s">
        <v>1256</v>
      </c>
      <c r="J375" s="26" t="s">
        <v>1300</v>
      </c>
      <c r="K375" s="27" t="s">
        <v>792</v>
      </c>
      <c r="L375" s="28" t="s">
        <v>793</v>
      </c>
      <c r="M375" s="28" t="s">
        <v>794</v>
      </c>
      <c r="N375" s="25">
        <v>1</v>
      </c>
      <c r="O375" s="29">
        <v>3088.88</v>
      </c>
      <c r="P375" s="29">
        <v>3088.88</v>
      </c>
      <c r="Q375" s="25" t="s">
        <v>1178</v>
      </c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101"/>
        <v>3088.88</v>
      </c>
      <c r="AF375" s="32">
        <f t="shared" si="102"/>
        <v>0</v>
      </c>
      <c r="AG375" s="30"/>
      <c r="AH375" s="33">
        <v>1</v>
      </c>
      <c r="AI375" s="34">
        <f t="shared" si="103"/>
        <v>3088.88</v>
      </c>
      <c r="AJ375" s="35">
        <v>46014</v>
      </c>
      <c r="AK375" s="30">
        <v>1</v>
      </c>
      <c r="AL375" s="36">
        <f t="shared" si="104"/>
        <v>3088.88</v>
      </c>
      <c r="AM375" s="35">
        <v>46043</v>
      </c>
      <c r="AN375" s="30">
        <v>1</v>
      </c>
      <c r="AO375" s="36">
        <f t="shared" si="105"/>
        <v>3088.88</v>
      </c>
      <c r="AP375" s="35">
        <v>46106</v>
      </c>
      <c r="AQ375" s="30">
        <v>1</v>
      </c>
      <c r="AR375" s="36">
        <f t="shared" si="106"/>
        <v>3088.88</v>
      </c>
      <c r="AS375" s="27" t="s">
        <v>1269</v>
      </c>
      <c r="AT375" s="37">
        <v>46106</v>
      </c>
      <c r="AU375" s="30">
        <v>1</v>
      </c>
      <c r="AV375" s="36">
        <f t="shared" si="107"/>
        <v>3088.88</v>
      </c>
      <c r="AW375" s="35">
        <v>46109</v>
      </c>
      <c r="AX375" s="30">
        <v>1</v>
      </c>
      <c r="AY375" s="32">
        <f t="shared" si="109"/>
        <v>3088.88</v>
      </c>
      <c r="AZ375" s="30" t="s">
        <v>85</v>
      </c>
      <c r="BA375" s="63" t="s">
        <v>1269</v>
      </c>
      <c r="BB375" s="72">
        <f>INDEX([2]Rev8A!$E:$E,MATCH(K375,[2]Rev8A!$B:$B,0))</f>
        <v>0</v>
      </c>
      <c r="BC375" s="71" t="s">
        <v>793</v>
      </c>
      <c r="BD375" s="71"/>
    </row>
    <row r="376" spans="1:56" x14ac:dyDescent="0.25">
      <c r="A376" s="24">
        <f>IF(B376="","",SUBTOTAL(3,$B$4:B376))</f>
        <v>359</v>
      </c>
      <c r="B376" s="25" t="s">
        <v>77</v>
      </c>
      <c r="C376" s="25" t="str">
        <f t="shared" si="114"/>
        <v>Shipment 2 400</v>
      </c>
      <c r="D376" s="25" t="s">
        <v>1252</v>
      </c>
      <c r="E376" s="25">
        <v>400</v>
      </c>
      <c r="F376" s="25"/>
      <c r="G376" s="65">
        <v>45990</v>
      </c>
      <c r="H376" s="25" t="s">
        <v>1257</v>
      </c>
      <c r="I376" s="25" t="s">
        <v>1256</v>
      </c>
      <c r="J376" s="26" t="s">
        <v>1300</v>
      </c>
      <c r="K376" s="27" t="s">
        <v>795</v>
      </c>
      <c r="L376" s="28" t="s">
        <v>796</v>
      </c>
      <c r="M376" s="28" t="s">
        <v>794</v>
      </c>
      <c r="N376" s="25">
        <v>1</v>
      </c>
      <c r="O376" s="29">
        <v>2515.66</v>
      </c>
      <c r="P376" s="29">
        <v>2515.66</v>
      </c>
      <c r="Q376" s="25" t="s">
        <v>1179</v>
      </c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101"/>
        <v>2515.66</v>
      </c>
      <c r="AF376" s="32">
        <f t="shared" si="102"/>
        <v>0</v>
      </c>
      <c r="AG376" s="30"/>
      <c r="AH376" s="33">
        <v>1</v>
      </c>
      <c r="AI376" s="34">
        <f t="shared" si="103"/>
        <v>2515.66</v>
      </c>
      <c r="AJ376" s="35">
        <v>46028</v>
      </c>
      <c r="AK376" s="30">
        <v>1</v>
      </c>
      <c r="AL376" s="36">
        <f t="shared" si="104"/>
        <v>2515.66</v>
      </c>
      <c r="AM376" s="35">
        <v>46057</v>
      </c>
      <c r="AN376" s="30">
        <v>1</v>
      </c>
      <c r="AO376" s="36">
        <f t="shared" si="105"/>
        <v>2515.66</v>
      </c>
      <c r="AP376" s="35">
        <v>46101</v>
      </c>
      <c r="AQ376" s="30">
        <v>1</v>
      </c>
      <c r="AR376" s="36">
        <f t="shared" si="106"/>
        <v>2515.66</v>
      </c>
      <c r="AS376" s="27" t="s">
        <v>86</v>
      </c>
      <c r="AT376" s="37">
        <v>46101</v>
      </c>
      <c r="AU376" s="30">
        <v>1</v>
      </c>
      <c r="AV376" s="36">
        <f t="shared" si="107"/>
        <v>2515.66</v>
      </c>
      <c r="AW376" s="35">
        <v>46106</v>
      </c>
      <c r="AX376" s="30">
        <v>1</v>
      </c>
      <c r="AY376" s="32">
        <f t="shared" si="109"/>
        <v>2515.66</v>
      </c>
      <c r="AZ376" s="30" t="s">
        <v>85</v>
      </c>
      <c r="BA376" s="63" t="s">
        <v>1270</v>
      </c>
      <c r="BB376" s="72">
        <f>INDEX([2]Rev8A!$E:$E,MATCH(K376,[2]Rev8A!$B:$B,0))</f>
        <v>0</v>
      </c>
      <c r="BC376" s="71" t="s">
        <v>796</v>
      </c>
      <c r="BD376" s="71"/>
    </row>
    <row r="377" spans="1:56" x14ac:dyDescent="0.25">
      <c r="A377" s="24">
        <f>IF(B377="","",SUBTOTAL(3,$B$4:B377))</f>
        <v>360</v>
      </c>
      <c r="B377" s="25" t="s">
        <v>77</v>
      </c>
      <c r="C377" s="25" t="str">
        <f t="shared" si="114"/>
        <v>Shipment 2 400</v>
      </c>
      <c r="D377" s="25" t="s">
        <v>1252</v>
      </c>
      <c r="E377" s="25">
        <v>400</v>
      </c>
      <c r="F377" s="25"/>
      <c r="G377" s="65">
        <v>45990</v>
      </c>
      <c r="H377" s="25" t="s">
        <v>1257</v>
      </c>
      <c r="I377" s="25" t="s">
        <v>1256</v>
      </c>
      <c r="J377" s="26" t="s">
        <v>1300</v>
      </c>
      <c r="K377" s="27" t="s">
        <v>797</v>
      </c>
      <c r="L377" s="28" t="s">
        <v>798</v>
      </c>
      <c r="M377" s="28" t="s">
        <v>794</v>
      </c>
      <c r="N377" s="25">
        <v>1</v>
      </c>
      <c r="O377" s="29">
        <v>2652.72</v>
      </c>
      <c r="P377" s="29">
        <v>2652.72</v>
      </c>
      <c r="Q377" s="25" t="s">
        <v>1180</v>
      </c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101"/>
        <v>2652.72</v>
      </c>
      <c r="AF377" s="32">
        <f t="shared" si="102"/>
        <v>0</v>
      </c>
      <c r="AG377" s="30"/>
      <c r="AH377" s="33">
        <v>1</v>
      </c>
      <c r="AI377" s="34">
        <f t="shared" si="103"/>
        <v>2652.72</v>
      </c>
      <c r="AJ377" s="35">
        <v>46057</v>
      </c>
      <c r="AK377" s="30">
        <v>1</v>
      </c>
      <c r="AL377" s="36">
        <f t="shared" si="104"/>
        <v>2652.72</v>
      </c>
      <c r="AM377" s="35">
        <v>46058</v>
      </c>
      <c r="AN377" s="30">
        <v>1</v>
      </c>
      <c r="AO377" s="36">
        <f t="shared" si="105"/>
        <v>2652.72</v>
      </c>
      <c r="AP377" s="35">
        <v>46101</v>
      </c>
      <c r="AQ377" s="30">
        <v>1</v>
      </c>
      <c r="AR377" s="36">
        <f t="shared" si="106"/>
        <v>2652.72</v>
      </c>
      <c r="AS377" s="27" t="s">
        <v>86</v>
      </c>
      <c r="AT377" s="37">
        <v>46101</v>
      </c>
      <c r="AU377" s="30">
        <v>1</v>
      </c>
      <c r="AV377" s="36">
        <f t="shared" si="107"/>
        <v>2652.72</v>
      </c>
      <c r="AW377" s="35">
        <v>46106</v>
      </c>
      <c r="AX377" s="30">
        <v>1</v>
      </c>
      <c r="AY377" s="32">
        <f t="shared" ref="AY377" si="116">IFERROR(AX377*$P377/$N377,0)</f>
        <v>2652.72</v>
      </c>
      <c r="AZ377" s="30" t="s">
        <v>85</v>
      </c>
      <c r="BA377" s="63" t="s">
        <v>1270</v>
      </c>
      <c r="BB377" s="72">
        <f>INDEX([2]Rev8A!$E:$E,MATCH(K377,[2]Rev8A!$B:$B,0))</f>
        <v>0</v>
      </c>
      <c r="BC377" s="71" t="s">
        <v>798</v>
      </c>
      <c r="BD377" s="71"/>
    </row>
    <row r="378" spans="1:56" hidden="1" x14ac:dyDescent="0.25">
      <c r="A378" s="24">
        <f>IF(B378="","",SUBTOTAL(3,$B$4:B378))</f>
        <v>360</v>
      </c>
      <c r="B378" s="25" t="s">
        <v>77</v>
      </c>
      <c r="C378" s="25" t="str">
        <f t="shared" si="114"/>
        <v>Shipment 2 400</v>
      </c>
      <c r="D378" s="25" t="s">
        <v>1252</v>
      </c>
      <c r="E378" s="25">
        <v>400</v>
      </c>
      <c r="F378" s="25"/>
      <c r="G378" s="65">
        <v>45990</v>
      </c>
      <c r="H378" s="25" t="s">
        <v>1257</v>
      </c>
      <c r="I378" s="25" t="s">
        <v>1254</v>
      </c>
      <c r="J378" s="26" t="s">
        <v>1300</v>
      </c>
      <c r="K378" s="27" t="s">
        <v>799</v>
      </c>
      <c r="L378" s="28" t="s">
        <v>800</v>
      </c>
      <c r="M378" s="28" t="s">
        <v>801</v>
      </c>
      <c r="N378" s="25">
        <v>60</v>
      </c>
      <c r="O378" s="29">
        <v>2.81</v>
      </c>
      <c r="P378" s="29">
        <v>168.6</v>
      </c>
      <c r="Q378" s="25" t="s">
        <v>1181</v>
      </c>
      <c r="R378" s="25"/>
      <c r="S378" s="26" t="s">
        <v>1304</v>
      </c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101"/>
        <v>0</v>
      </c>
      <c r="AF378" s="32">
        <f t="shared" si="102"/>
        <v>168.6</v>
      </c>
      <c r="AG378" s="30"/>
      <c r="AH378" s="33">
        <v>1</v>
      </c>
      <c r="AI378" s="34">
        <f t="shared" si="103"/>
        <v>168.6</v>
      </c>
      <c r="AJ378" s="35"/>
      <c r="AK378" s="30"/>
      <c r="AL378" s="36">
        <f t="shared" si="104"/>
        <v>0</v>
      </c>
      <c r="AM378" s="35"/>
      <c r="AN378" s="30"/>
      <c r="AO378" s="36">
        <f t="shared" si="105"/>
        <v>0</v>
      </c>
      <c r="AP378" s="35"/>
      <c r="AQ378" s="30"/>
      <c r="AR378" s="36">
        <f t="shared" si="106"/>
        <v>0</v>
      </c>
      <c r="AS378" s="27"/>
      <c r="AT378" s="37"/>
      <c r="AU378" s="30"/>
      <c r="AV378" s="36">
        <f t="shared" si="107"/>
        <v>0</v>
      </c>
      <c r="AW378" s="35"/>
      <c r="AX378" s="30"/>
      <c r="AY378" s="32">
        <f t="shared" si="109"/>
        <v>0</v>
      </c>
      <c r="AZ378" s="30" t="s">
        <v>85</v>
      </c>
      <c r="BA378" s="63"/>
      <c r="BB378" s="71" t="e">
        <f>SUMIFS([1]Form!$F$9:$F$67,[1]Form!$K$9:$K$67,L378)</f>
        <v>#VALUE!</v>
      </c>
      <c r="BC378" s="71" t="s">
        <v>800</v>
      </c>
      <c r="BD378" s="71"/>
    </row>
    <row r="379" spans="1:56" x14ac:dyDescent="0.25">
      <c r="A379" s="24">
        <f>IF(B379="","",SUBTOTAL(3,$B$4:B379))</f>
        <v>361</v>
      </c>
      <c r="B379" s="25" t="s">
        <v>77</v>
      </c>
      <c r="C379" s="25" t="str">
        <f t="shared" ref="C379" si="117">D379&amp;" "&amp;E379</f>
        <v>Shipment 2 400</v>
      </c>
      <c r="D379" s="25" t="s">
        <v>1252</v>
      </c>
      <c r="E379" s="25">
        <v>400</v>
      </c>
      <c r="F379" s="25"/>
      <c r="G379" s="65">
        <v>45990</v>
      </c>
      <c r="H379" s="25" t="s">
        <v>1257</v>
      </c>
      <c r="I379" s="25" t="s">
        <v>1254</v>
      </c>
      <c r="J379" s="26" t="s">
        <v>1300</v>
      </c>
      <c r="K379" s="27" t="s">
        <v>802</v>
      </c>
      <c r="L379" s="28" t="s">
        <v>803</v>
      </c>
      <c r="M379" s="28" t="s">
        <v>804</v>
      </c>
      <c r="N379" s="25">
        <v>1</v>
      </c>
      <c r="O379" s="29">
        <v>632.35</v>
      </c>
      <c r="P379" s="29">
        <v>632.35</v>
      </c>
      <c r="Q379" s="25" t="s">
        <v>1182</v>
      </c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101"/>
        <v>632.35</v>
      </c>
      <c r="AF379" s="32">
        <f t="shared" si="102"/>
        <v>0</v>
      </c>
      <c r="AG379" s="30"/>
      <c r="AH379" s="33">
        <v>1</v>
      </c>
      <c r="AI379" s="34">
        <f t="shared" si="103"/>
        <v>632.35</v>
      </c>
      <c r="AJ379" s="35">
        <v>46013</v>
      </c>
      <c r="AK379" s="30">
        <v>1</v>
      </c>
      <c r="AL379" s="36">
        <f t="shared" si="104"/>
        <v>632.35</v>
      </c>
      <c r="AM379" s="35">
        <v>46014</v>
      </c>
      <c r="AN379" s="30">
        <v>1</v>
      </c>
      <c r="AO379" s="36">
        <f t="shared" si="105"/>
        <v>632.35</v>
      </c>
      <c r="AP379" s="35"/>
      <c r="AQ379" s="30"/>
      <c r="AR379" s="36">
        <f t="shared" si="106"/>
        <v>0</v>
      </c>
      <c r="AS379" s="27" t="s">
        <v>1370</v>
      </c>
      <c r="AT379" s="37">
        <v>46240</v>
      </c>
      <c r="AU379" s="30">
        <v>1</v>
      </c>
      <c r="AV379" s="36">
        <f t="shared" si="107"/>
        <v>632.35</v>
      </c>
      <c r="AW379" s="35">
        <v>46245</v>
      </c>
      <c r="AX379" s="30">
        <v>1</v>
      </c>
      <c r="AY379" s="32">
        <f t="shared" si="109"/>
        <v>632.35</v>
      </c>
      <c r="AZ379" s="30" t="s">
        <v>85</v>
      </c>
      <c r="BA379" s="63" t="s">
        <v>1298</v>
      </c>
      <c r="BB379" s="71"/>
      <c r="BC379" s="71" t="s">
        <v>803</v>
      </c>
      <c r="BD379" s="71"/>
    </row>
    <row r="380" spans="1:56" x14ac:dyDescent="0.25">
      <c r="A380" s="24">
        <f>IF(B380="","",SUBTOTAL(3,$B$4:B380))</f>
        <v>362</v>
      </c>
      <c r="B380" s="25" t="s">
        <v>77</v>
      </c>
      <c r="C380" s="25" t="str">
        <f t="shared" ref="C380:C443" si="118">D380&amp;" "&amp;E380</f>
        <v>Shipment 2 400</v>
      </c>
      <c r="D380" s="25" t="s">
        <v>1252</v>
      </c>
      <c r="E380" s="25">
        <v>400</v>
      </c>
      <c r="F380" s="25"/>
      <c r="G380" s="65">
        <v>45990</v>
      </c>
      <c r="H380" s="25" t="s">
        <v>1257</v>
      </c>
      <c r="I380" s="25" t="s">
        <v>1254</v>
      </c>
      <c r="J380" s="26" t="s">
        <v>1300</v>
      </c>
      <c r="K380" s="27" t="s">
        <v>805</v>
      </c>
      <c r="L380" s="28" t="s">
        <v>806</v>
      </c>
      <c r="M380" s="28" t="s">
        <v>804</v>
      </c>
      <c r="N380" s="25">
        <v>1</v>
      </c>
      <c r="O380" s="29">
        <v>632.33000000000004</v>
      </c>
      <c r="P380" s="29">
        <v>632.33000000000004</v>
      </c>
      <c r="Q380" s="25" t="s">
        <v>1182</v>
      </c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101"/>
        <v>632.32999999999993</v>
      </c>
      <c r="AF380" s="32">
        <f t="shared" si="102"/>
        <v>0</v>
      </c>
      <c r="AG380" s="30"/>
      <c r="AH380" s="33">
        <v>1</v>
      </c>
      <c r="AI380" s="34">
        <f t="shared" si="103"/>
        <v>632.33000000000004</v>
      </c>
      <c r="AJ380" s="35">
        <v>46013</v>
      </c>
      <c r="AK380" s="30">
        <v>1</v>
      </c>
      <c r="AL380" s="36">
        <f t="shared" si="104"/>
        <v>632.33000000000004</v>
      </c>
      <c r="AM380" s="35">
        <v>46014</v>
      </c>
      <c r="AN380" s="30">
        <v>1</v>
      </c>
      <c r="AO380" s="36">
        <f t="shared" si="105"/>
        <v>632.33000000000004</v>
      </c>
      <c r="AP380" s="35"/>
      <c r="AQ380" s="30"/>
      <c r="AR380" s="36">
        <f t="shared" si="106"/>
        <v>0</v>
      </c>
      <c r="AS380" s="27" t="s">
        <v>1370</v>
      </c>
      <c r="AT380" s="37">
        <v>46240</v>
      </c>
      <c r="AU380" s="30">
        <v>1</v>
      </c>
      <c r="AV380" s="36">
        <f t="shared" si="107"/>
        <v>632.33000000000004</v>
      </c>
      <c r="AW380" s="35">
        <v>46245</v>
      </c>
      <c r="AX380" s="30">
        <v>1</v>
      </c>
      <c r="AY380" s="32">
        <f t="shared" ref="AY380:AY383" si="119">IFERROR(AX380*$P380/$N380,0)</f>
        <v>632.33000000000004</v>
      </c>
      <c r="AZ380" s="30" t="s">
        <v>85</v>
      </c>
      <c r="BA380" s="63" t="s">
        <v>1298</v>
      </c>
      <c r="BB380" s="71"/>
      <c r="BC380" s="71" t="s">
        <v>1356</v>
      </c>
      <c r="BD380" s="71"/>
    </row>
    <row r="381" spans="1:56" x14ac:dyDescent="0.25">
      <c r="A381" s="24">
        <f>IF(B381="","",SUBTOTAL(3,$B$4:B381))</f>
        <v>363</v>
      </c>
      <c r="B381" s="25" t="s">
        <v>77</v>
      </c>
      <c r="C381" s="25" t="str">
        <f t="shared" si="118"/>
        <v>Shipment 2 400</v>
      </c>
      <c r="D381" s="25" t="s">
        <v>1252</v>
      </c>
      <c r="E381" s="25">
        <v>400</v>
      </c>
      <c r="F381" s="25"/>
      <c r="G381" s="65">
        <v>45990</v>
      </c>
      <c r="H381" s="25" t="s">
        <v>1257</v>
      </c>
      <c r="I381" s="25" t="s">
        <v>1254</v>
      </c>
      <c r="J381" s="26" t="s">
        <v>1300</v>
      </c>
      <c r="K381" s="27" t="s">
        <v>805</v>
      </c>
      <c r="L381" s="28" t="s">
        <v>807</v>
      </c>
      <c r="M381" s="28" t="s">
        <v>804</v>
      </c>
      <c r="N381" s="25">
        <v>1</v>
      </c>
      <c r="O381" s="29">
        <v>632.33000000000004</v>
      </c>
      <c r="P381" s="29">
        <v>632.33000000000004</v>
      </c>
      <c r="Q381" s="25" t="s">
        <v>1182</v>
      </c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101"/>
        <v>632.32999999999993</v>
      </c>
      <c r="AF381" s="32">
        <f t="shared" si="102"/>
        <v>0</v>
      </c>
      <c r="AG381" s="30"/>
      <c r="AH381" s="33">
        <v>1</v>
      </c>
      <c r="AI381" s="34">
        <f t="shared" si="103"/>
        <v>632.33000000000004</v>
      </c>
      <c r="AJ381" s="35">
        <v>46013</v>
      </c>
      <c r="AK381" s="30">
        <v>1</v>
      </c>
      <c r="AL381" s="36">
        <f t="shared" si="104"/>
        <v>632.33000000000004</v>
      </c>
      <c r="AM381" s="35">
        <v>46014</v>
      </c>
      <c r="AN381" s="30">
        <v>1</v>
      </c>
      <c r="AO381" s="36">
        <f t="shared" si="105"/>
        <v>632.33000000000004</v>
      </c>
      <c r="AP381" s="35"/>
      <c r="AQ381" s="30"/>
      <c r="AR381" s="36">
        <f t="shared" si="106"/>
        <v>0</v>
      </c>
      <c r="AS381" s="27" t="s">
        <v>1370</v>
      </c>
      <c r="AT381" s="37">
        <v>46240</v>
      </c>
      <c r="AU381" s="30">
        <v>1</v>
      </c>
      <c r="AV381" s="36">
        <f t="shared" si="107"/>
        <v>632.33000000000004</v>
      </c>
      <c r="AW381" s="35">
        <v>46245</v>
      </c>
      <c r="AX381" s="30">
        <v>1</v>
      </c>
      <c r="AY381" s="32">
        <f t="shared" si="119"/>
        <v>632.33000000000004</v>
      </c>
      <c r="AZ381" s="30" t="s">
        <v>85</v>
      </c>
      <c r="BA381" s="63" t="s">
        <v>1298</v>
      </c>
      <c r="BB381" s="71"/>
      <c r="BC381" s="71" t="s">
        <v>1356</v>
      </c>
      <c r="BD381" s="71"/>
    </row>
    <row r="382" spans="1:56" x14ac:dyDescent="0.25">
      <c r="A382" s="24">
        <f>IF(B382="","",SUBTOTAL(3,$B$4:B382))</f>
        <v>364</v>
      </c>
      <c r="B382" s="25" t="s">
        <v>77</v>
      </c>
      <c r="C382" s="25" t="str">
        <f t="shared" si="118"/>
        <v>Shipment 2 400</v>
      </c>
      <c r="D382" s="25" t="s">
        <v>1252</v>
      </c>
      <c r="E382" s="25">
        <v>400</v>
      </c>
      <c r="F382" s="25"/>
      <c r="G382" s="65">
        <v>45990</v>
      </c>
      <c r="H382" s="25" t="s">
        <v>1257</v>
      </c>
      <c r="I382" s="25" t="s">
        <v>1254</v>
      </c>
      <c r="J382" s="26" t="s">
        <v>1300</v>
      </c>
      <c r="K382" s="27" t="s">
        <v>805</v>
      </c>
      <c r="L382" s="28" t="s">
        <v>808</v>
      </c>
      <c r="M382" s="28" t="s">
        <v>804</v>
      </c>
      <c r="N382" s="25">
        <v>1</v>
      </c>
      <c r="O382" s="29">
        <v>632.33000000000004</v>
      </c>
      <c r="P382" s="29">
        <v>632.33000000000004</v>
      </c>
      <c r="Q382" s="25" t="s">
        <v>1182</v>
      </c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101"/>
        <v>632.32999999999993</v>
      </c>
      <c r="AF382" s="32">
        <f t="shared" si="102"/>
        <v>0</v>
      </c>
      <c r="AG382" s="30"/>
      <c r="AH382" s="33">
        <v>1</v>
      </c>
      <c r="AI382" s="34">
        <f t="shared" si="103"/>
        <v>632.33000000000004</v>
      </c>
      <c r="AJ382" s="35">
        <v>46013</v>
      </c>
      <c r="AK382" s="30">
        <v>1</v>
      </c>
      <c r="AL382" s="36">
        <f t="shared" si="104"/>
        <v>632.33000000000004</v>
      </c>
      <c r="AM382" s="35">
        <v>46014</v>
      </c>
      <c r="AN382" s="30">
        <v>1</v>
      </c>
      <c r="AO382" s="36">
        <f t="shared" si="105"/>
        <v>632.33000000000004</v>
      </c>
      <c r="AP382" s="35"/>
      <c r="AQ382" s="30"/>
      <c r="AR382" s="36">
        <f t="shared" si="106"/>
        <v>0</v>
      </c>
      <c r="AS382" s="27" t="s">
        <v>1370</v>
      </c>
      <c r="AT382" s="37">
        <v>46240</v>
      </c>
      <c r="AU382" s="30">
        <v>1</v>
      </c>
      <c r="AV382" s="36">
        <f t="shared" si="107"/>
        <v>632.33000000000004</v>
      </c>
      <c r="AW382" s="35">
        <v>46245</v>
      </c>
      <c r="AX382" s="30">
        <v>1</v>
      </c>
      <c r="AY382" s="32">
        <f t="shared" si="119"/>
        <v>632.33000000000004</v>
      </c>
      <c r="AZ382" s="30" t="s">
        <v>85</v>
      </c>
      <c r="BA382" s="63" t="s">
        <v>1298</v>
      </c>
      <c r="BB382" s="71"/>
      <c r="BC382" s="71" t="s">
        <v>1356</v>
      </c>
      <c r="BD382" s="71"/>
    </row>
    <row r="383" spans="1:56" x14ac:dyDescent="0.25">
      <c r="A383" s="24">
        <f>IF(B383="","",SUBTOTAL(3,$B$4:B383))</f>
        <v>365</v>
      </c>
      <c r="B383" s="25" t="s">
        <v>77</v>
      </c>
      <c r="C383" s="25" t="str">
        <f t="shared" si="118"/>
        <v>Shipment 2 400</v>
      </c>
      <c r="D383" s="25" t="s">
        <v>1252</v>
      </c>
      <c r="E383" s="25">
        <v>400</v>
      </c>
      <c r="F383" s="25"/>
      <c r="G383" s="65">
        <v>45990</v>
      </c>
      <c r="H383" s="25" t="s">
        <v>1257</v>
      </c>
      <c r="I383" s="25" t="s">
        <v>1254</v>
      </c>
      <c r="J383" s="26" t="s">
        <v>1300</v>
      </c>
      <c r="K383" s="27" t="s">
        <v>809</v>
      </c>
      <c r="L383" s="28" t="s">
        <v>810</v>
      </c>
      <c r="M383" s="28" t="s">
        <v>804</v>
      </c>
      <c r="N383" s="25">
        <v>1</v>
      </c>
      <c r="O383" s="29">
        <v>11.94</v>
      </c>
      <c r="P383" s="29">
        <v>11.94</v>
      </c>
      <c r="Q383" s="25" t="s">
        <v>1183</v>
      </c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101"/>
        <v>11.939999999999998</v>
      </c>
      <c r="AF383" s="32">
        <f t="shared" si="102"/>
        <v>0</v>
      </c>
      <c r="AG383" s="30"/>
      <c r="AH383" s="33">
        <v>1</v>
      </c>
      <c r="AI383" s="34">
        <f t="shared" si="103"/>
        <v>11.94</v>
      </c>
      <c r="AJ383" s="35">
        <v>46013</v>
      </c>
      <c r="AK383" s="30">
        <v>1</v>
      </c>
      <c r="AL383" s="36">
        <f t="shared" si="104"/>
        <v>11.94</v>
      </c>
      <c r="AM383" s="35">
        <v>46014</v>
      </c>
      <c r="AN383" s="30">
        <v>1</v>
      </c>
      <c r="AO383" s="36">
        <f t="shared" si="105"/>
        <v>11.94</v>
      </c>
      <c r="AP383" s="35"/>
      <c r="AQ383" s="30"/>
      <c r="AR383" s="36">
        <f t="shared" si="106"/>
        <v>0</v>
      </c>
      <c r="AS383" s="27" t="s">
        <v>1370</v>
      </c>
      <c r="AT383" s="37">
        <v>46240</v>
      </c>
      <c r="AU383" s="30">
        <v>1</v>
      </c>
      <c r="AV383" s="36">
        <f t="shared" si="107"/>
        <v>11.94</v>
      </c>
      <c r="AW383" s="35">
        <v>46245</v>
      </c>
      <c r="AX383" s="30">
        <v>1</v>
      </c>
      <c r="AY383" s="32">
        <f t="shared" si="119"/>
        <v>11.94</v>
      </c>
      <c r="AZ383" s="30" t="s">
        <v>85</v>
      </c>
      <c r="BA383" s="63" t="s">
        <v>1298</v>
      </c>
      <c r="BB383" s="71"/>
      <c r="BC383" s="71" t="s">
        <v>810</v>
      </c>
      <c r="BD383" s="71"/>
    </row>
    <row r="384" spans="1:56" x14ac:dyDescent="0.25">
      <c r="A384" s="24">
        <f>IF(B384="","",SUBTOTAL(3,$B$4:B384))</f>
        <v>366</v>
      </c>
      <c r="B384" s="25" t="s">
        <v>77</v>
      </c>
      <c r="C384" s="25" t="str">
        <f t="shared" si="118"/>
        <v>Shipment 2 400</v>
      </c>
      <c r="D384" s="25" t="s">
        <v>1252</v>
      </c>
      <c r="E384" s="25">
        <v>400</v>
      </c>
      <c r="F384" s="25"/>
      <c r="G384" s="65">
        <v>45990</v>
      </c>
      <c r="H384" s="25" t="s">
        <v>1257</v>
      </c>
      <c r="I384" s="25" t="s">
        <v>1254</v>
      </c>
      <c r="J384" s="26" t="s">
        <v>1300</v>
      </c>
      <c r="K384" s="27" t="s">
        <v>811</v>
      </c>
      <c r="L384" s="28" t="s">
        <v>812</v>
      </c>
      <c r="M384" s="28" t="s">
        <v>804</v>
      </c>
      <c r="N384" s="25">
        <v>1</v>
      </c>
      <c r="O384" s="29">
        <v>160.13</v>
      </c>
      <c r="P384" s="29">
        <v>160.13</v>
      </c>
      <c r="Q384" s="25" t="s">
        <v>1184</v>
      </c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101"/>
        <v>160.13000000000002</v>
      </c>
      <c r="AF384" s="32">
        <f t="shared" si="102"/>
        <v>0</v>
      </c>
      <c r="AG384" s="30"/>
      <c r="AH384" s="33">
        <v>1</v>
      </c>
      <c r="AI384" s="34">
        <f t="shared" si="103"/>
        <v>160.13</v>
      </c>
      <c r="AJ384" s="35">
        <v>46013</v>
      </c>
      <c r="AK384" s="30">
        <v>1</v>
      </c>
      <c r="AL384" s="36">
        <f t="shared" si="104"/>
        <v>160.13</v>
      </c>
      <c r="AM384" s="35">
        <v>46014</v>
      </c>
      <c r="AN384" s="30">
        <v>1</v>
      </c>
      <c r="AO384" s="36">
        <f t="shared" si="105"/>
        <v>160.13</v>
      </c>
      <c r="AP384" s="35"/>
      <c r="AQ384" s="30"/>
      <c r="AR384" s="36">
        <f t="shared" si="106"/>
        <v>0</v>
      </c>
      <c r="AS384" s="27" t="s">
        <v>1398</v>
      </c>
      <c r="AT384" s="37">
        <v>46249</v>
      </c>
      <c r="AU384" s="30">
        <v>1</v>
      </c>
      <c r="AV384" s="36">
        <f t="shared" si="107"/>
        <v>160.13</v>
      </c>
      <c r="AW384" s="35">
        <v>46252</v>
      </c>
      <c r="AX384" s="30">
        <v>1</v>
      </c>
      <c r="AY384" s="32">
        <f t="shared" si="109"/>
        <v>160.13</v>
      </c>
      <c r="AZ384" s="30" t="s">
        <v>85</v>
      </c>
      <c r="BA384" s="63" t="s">
        <v>1308</v>
      </c>
      <c r="BB384" s="71"/>
      <c r="BC384" s="71" t="s">
        <v>812</v>
      </c>
      <c r="BD384" s="71"/>
    </row>
    <row r="385" spans="1:56" x14ac:dyDescent="0.25">
      <c r="A385" s="24">
        <f>IF(B385="","",SUBTOTAL(3,$B$4:B385))</f>
        <v>367</v>
      </c>
      <c r="B385" s="25" t="s">
        <v>77</v>
      </c>
      <c r="C385" s="25" t="str">
        <f t="shared" si="118"/>
        <v>Shipment 2 400</v>
      </c>
      <c r="D385" s="25" t="s">
        <v>1252</v>
      </c>
      <c r="E385" s="25">
        <v>400</v>
      </c>
      <c r="F385" s="25"/>
      <c r="G385" s="65">
        <v>45990</v>
      </c>
      <c r="H385" s="25" t="s">
        <v>1257</v>
      </c>
      <c r="I385" s="25" t="s">
        <v>1254</v>
      </c>
      <c r="J385" s="26" t="s">
        <v>1300</v>
      </c>
      <c r="K385" s="27" t="s">
        <v>813</v>
      </c>
      <c r="L385" s="28" t="s">
        <v>814</v>
      </c>
      <c r="M385" s="28" t="s">
        <v>804</v>
      </c>
      <c r="N385" s="25">
        <v>1</v>
      </c>
      <c r="O385" s="29">
        <v>46.11</v>
      </c>
      <c r="P385" s="29">
        <v>46.11</v>
      </c>
      <c r="Q385" s="25" t="s">
        <v>1185</v>
      </c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101"/>
        <v>46.109999999999992</v>
      </c>
      <c r="AF385" s="32">
        <f t="shared" si="102"/>
        <v>0</v>
      </c>
      <c r="AG385" s="30"/>
      <c r="AH385" s="33">
        <v>1</v>
      </c>
      <c r="AI385" s="34">
        <f t="shared" si="103"/>
        <v>46.11</v>
      </c>
      <c r="AJ385" s="35">
        <v>46013</v>
      </c>
      <c r="AK385" s="30">
        <v>1</v>
      </c>
      <c r="AL385" s="36">
        <f t="shared" si="104"/>
        <v>46.11</v>
      </c>
      <c r="AM385" s="35">
        <v>46058</v>
      </c>
      <c r="AN385" s="30">
        <v>1</v>
      </c>
      <c r="AO385" s="36">
        <f t="shared" si="105"/>
        <v>46.11</v>
      </c>
      <c r="AP385" s="35"/>
      <c r="AQ385" s="30"/>
      <c r="AR385" s="36">
        <f t="shared" si="106"/>
        <v>0</v>
      </c>
      <c r="AS385" s="27" t="s">
        <v>1398</v>
      </c>
      <c r="AT385" s="37">
        <v>46249</v>
      </c>
      <c r="AU385" s="30">
        <v>1</v>
      </c>
      <c r="AV385" s="36">
        <f t="shared" si="107"/>
        <v>46.11</v>
      </c>
      <c r="AW385" s="35">
        <v>46252</v>
      </c>
      <c r="AX385" s="30">
        <v>1</v>
      </c>
      <c r="AY385" s="32">
        <f t="shared" ref="AY385" si="120">IFERROR(AX385*$P385/$N385,0)</f>
        <v>46.11</v>
      </c>
      <c r="AZ385" s="30" t="s">
        <v>85</v>
      </c>
      <c r="BA385" s="63" t="s">
        <v>1308</v>
      </c>
      <c r="BB385" s="71"/>
      <c r="BC385" s="71" t="s">
        <v>814</v>
      </c>
      <c r="BD385" s="71"/>
    </row>
    <row r="386" spans="1:56" hidden="1" x14ac:dyDescent="0.25">
      <c r="A386" s="24">
        <f>IF(B386="","",SUBTOTAL(3,$B$4:B386))</f>
        <v>367</v>
      </c>
      <c r="B386" s="25" t="s">
        <v>77</v>
      </c>
      <c r="C386" s="25" t="str">
        <f t="shared" si="118"/>
        <v>Shipment 2 400</v>
      </c>
      <c r="D386" s="25" t="s">
        <v>1252</v>
      </c>
      <c r="E386" s="25">
        <v>400</v>
      </c>
      <c r="F386" s="25"/>
      <c r="G386" s="65">
        <v>45990</v>
      </c>
      <c r="H386" s="25" t="s">
        <v>1257</v>
      </c>
      <c r="I386" s="25" t="s">
        <v>1254</v>
      </c>
      <c r="J386" s="26" t="s">
        <v>1300</v>
      </c>
      <c r="K386" s="27" t="s">
        <v>815</v>
      </c>
      <c r="L386" s="28" t="s">
        <v>816</v>
      </c>
      <c r="M386" s="28" t="s">
        <v>804</v>
      </c>
      <c r="N386" s="25">
        <v>1</v>
      </c>
      <c r="O386" s="29">
        <v>56.75</v>
      </c>
      <c r="P386" s="29">
        <v>56.75</v>
      </c>
      <c r="Q386" s="25" t="s">
        <v>1186</v>
      </c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101"/>
        <v>51.075000000000003</v>
      </c>
      <c r="AF386" s="32">
        <f t="shared" si="102"/>
        <v>5.6749999999999972</v>
      </c>
      <c r="AG386" s="30"/>
      <c r="AH386" s="33">
        <v>1</v>
      </c>
      <c r="AI386" s="34">
        <f t="shared" si="103"/>
        <v>56.75</v>
      </c>
      <c r="AJ386" s="35">
        <v>46013</v>
      </c>
      <c r="AK386" s="30">
        <v>1</v>
      </c>
      <c r="AL386" s="36">
        <f t="shared" si="104"/>
        <v>56.75</v>
      </c>
      <c r="AM386" s="35">
        <v>46058</v>
      </c>
      <c r="AN386" s="30">
        <v>1</v>
      </c>
      <c r="AO386" s="36">
        <f t="shared" si="105"/>
        <v>56.75</v>
      </c>
      <c r="AP386" s="35"/>
      <c r="AQ386" s="30"/>
      <c r="AR386" s="36">
        <f t="shared" si="106"/>
        <v>0</v>
      </c>
      <c r="AS386" s="27"/>
      <c r="AT386" s="37"/>
      <c r="AU386" s="30"/>
      <c r="AV386" s="36">
        <f t="shared" si="107"/>
        <v>0</v>
      </c>
      <c r="AW386" s="35"/>
      <c r="AX386" s="30"/>
      <c r="AY386" s="32">
        <f t="shared" si="109"/>
        <v>0</v>
      </c>
      <c r="AZ386" s="30" t="s">
        <v>85</v>
      </c>
      <c r="BA386" s="63"/>
      <c r="BB386" s="71" t="e">
        <f>SUMIFS([1]Form!$F$9:$F$67,[1]Form!$K$9:$K$67,L386)</f>
        <v>#VALUE!</v>
      </c>
      <c r="BC386" s="71" t="s">
        <v>816</v>
      </c>
      <c r="BD386" s="71"/>
    </row>
    <row r="387" spans="1:56" x14ac:dyDescent="0.25">
      <c r="A387" s="24">
        <f>IF(B387="","",SUBTOTAL(3,$B$4:B387))</f>
        <v>368</v>
      </c>
      <c r="B387" s="25" t="s">
        <v>77</v>
      </c>
      <c r="C387" s="25" t="str">
        <f t="shared" si="118"/>
        <v>Shipment 2 400</v>
      </c>
      <c r="D387" s="25" t="s">
        <v>1252</v>
      </c>
      <c r="E387" s="25">
        <v>400</v>
      </c>
      <c r="F387" s="25"/>
      <c r="G387" s="65">
        <v>45990</v>
      </c>
      <c r="H387" s="25" t="s">
        <v>1257</v>
      </c>
      <c r="I387" s="25" t="s">
        <v>1254</v>
      </c>
      <c r="J387" s="26" t="s">
        <v>1300</v>
      </c>
      <c r="K387" s="27" t="s">
        <v>817</v>
      </c>
      <c r="L387" s="28" t="s">
        <v>818</v>
      </c>
      <c r="M387" s="28" t="s">
        <v>804</v>
      </c>
      <c r="N387" s="25">
        <v>1</v>
      </c>
      <c r="O387" s="29">
        <v>11.17</v>
      </c>
      <c r="P387" s="29">
        <v>11.17</v>
      </c>
      <c r="Q387" s="25" t="s">
        <v>1187</v>
      </c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101"/>
        <v>11.170000000000002</v>
      </c>
      <c r="AF387" s="32">
        <f t="shared" si="102"/>
        <v>0</v>
      </c>
      <c r="AG387" s="30"/>
      <c r="AH387" s="33">
        <v>1</v>
      </c>
      <c r="AI387" s="34">
        <f t="shared" si="103"/>
        <v>11.17</v>
      </c>
      <c r="AJ387" s="35">
        <v>46016</v>
      </c>
      <c r="AK387" s="30">
        <v>1</v>
      </c>
      <c r="AL387" s="36">
        <f t="shared" si="104"/>
        <v>11.17</v>
      </c>
      <c r="AM387" s="35">
        <v>46058</v>
      </c>
      <c r="AN387" s="30">
        <v>1</v>
      </c>
      <c r="AO387" s="36">
        <f t="shared" si="105"/>
        <v>11.17</v>
      </c>
      <c r="AP387" s="35"/>
      <c r="AQ387" s="30"/>
      <c r="AR387" s="36">
        <f t="shared" si="106"/>
        <v>0</v>
      </c>
      <c r="AS387" s="27" t="s">
        <v>1370</v>
      </c>
      <c r="AT387" s="37">
        <v>46240</v>
      </c>
      <c r="AU387" s="30">
        <v>1</v>
      </c>
      <c r="AV387" s="36">
        <f t="shared" si="107"/>
        <v>11.17</v>
      </c>
      <c r="AW387" s="35">
        <v>46245</v>
      </c>
      <c r="AX387" s="30">
        <v>1</v>
      </c>
      <c r="AY387" s="32">
        <f t="shared" ref="AY387:AY393" si="121">IFERROR(AX387*$P387/$N387,0)</f>
        <v>11.17</v>
      </c>
      <c r="AZ387" s="30" t="s">
        <v>85</v>
      </c>
      <c r="BA387" s="63" t="s">
        <v>1298</v>
      </c>
      <c r="BB387" s="71"/>
      <c r="BC387" s="71" t="s">
        <v>818</v>
      </c>
      <c r="BD387" s="71"/>
    </row>
    <row r="388" spans="1:56" x14ac:dyDescent="0.25">
      <c r="A388" s="24">
        <f>IF(B388="","",SUBTOTAL(3,$B$4:B388))</f>
        <v>369</v>
      </c>
      <c r="B388" s="25" t="s">
        <v>77</v>
      </c>
      <c r="C388" s="25" t="str">
        <f t="shared" si="118"/>
        <v>Shipment 2 400</v>
      </c>
      <c r="D388" s="25" t="s">
        <v>1252</v>
      </c>
      <c r="E388" s="25">
        <v>400</v>
      </c>
      <c r="F388" s="25"/>
      <c r="G388" s="65">
        <v>45990</v>
      </c>
      <c r="H388" s="25" t="s">
        <v>1257</v>
      </c>
      <c r="I388" s="25" t="s">
        <v>1254</v>
      </c>
      <c r="J388" s="26" t="s">
        <v>1300</v>
      </c>
      <c r="K388" s="27" t="s">
        <v>819</v>
      </c>
      <c r="L388" s="28" t="s">
        <v>820</v>
      </c>
      <c r="M388" s="28" t="s">
        <v>804</v>
      </c>
      <c r="N388" s="25">
        <v>1</v>
      </c>
      <c r="O388" s="29">
        <v>8.99</v>
      </c>
      <c r="P388" s="29">
        <v>8.99</v>
      </c>
      <c r="Q388" s="25" t="s">
        <v>1188</v>
      </c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101"/>
        <v>8.990000000000002</v>
      </c>
      <c r="AF388" s="32">
        <f t="shared" si="102"/>
        <v>0</v>
      </c>
      <c r="AG388" s="30"/>
      <c r="AH388" s="33">
        <v>1</v>
      </c>
      <c r="AI388" s="34">
        <f t="shared" si="103"/>
        <v>8.99</v>
      </c>
      <c r="AJ388" s="35">
        <v>46016</v>
      </c>
      <c r="AK388" s="30">
        <v>1</v>
      </c>
      <c r="AL388" s="36">
        <f t="shared" si="104"/>
        <v>8.99</v>
      </c>
      <c r="AM388" s="35">
        <v>46058</v>
      </c>
      <c r="AN388" s="30">
        <v>1</v>
      </c>
      <c r="AO388" s="36">
        <f t="shared" si="105"/>
        <v>8.99</v>
      </c>
      <c r="AP388" s="35"/>
      <c r="AQ388" s="30"/>
      <c r="AR388" s="36">
        <f t="shared" si="106"/>
        <v>0</v>
      </c>
      <c r="AS388" s="27" t="s">
        <v>1370</v>
      </c>
      <c r="AT388" s="37">
        <v>46240</v>
      </c>
      <c r="AU388" s="30">
        <v>1</v>
      </c>
      <c r="AV388" s="36">
        <f t="shared" si="107"/>
        <v>8.99</v>
      </c>
      <c r="AW388" s="35">
        <v>46245</v>
      </c>
      <c r="AX388" s="30">
        <v>1</v>
      </c>
      <c r="AY388" s="32">
        <f t="shared" si="121"/>
        <v>8.99</v>
      </c>
      <c r="AZ388" s="30" t="s">
        <v>85</v>
      </c>
      <c r="BA388" s="63" t="s">
        <v>1298</v>
      </c>
      <c r="BB388" s="71"/>
      <c r="BC388" s="71" t="s">
        <v>820</v>
      </c>
      <c r="BD388" s="71"/>
    </row>
    <row r="389" spans="1:56" x14ac:dyDescent="0.25">
      <c r="A389" s="24">
        <f>IF(B389="","",SUBTOTAL(3,$B$4:B389))</f>
        <v>370</v>
      </c>
      <c r="B389" s="25" t="s">
        <v>77</v>
      </c>
      <c r="C389" s="25" t="str">
        <f t="shared" si="118"/>
        <v>Shipment 2 400</v>
      </c>
      <c r="D389" s="25" t="s">
        <v>1252</v>
      </c>
      <c r="E389" s="25">
        <v>400</v>
      </c>
      <c r="F389" s="25"/>
      <c r="G389" s="65">
        <v>45990</v>
      </c>
      <c r="H389" s="25" t="s">
        <v>1257</v>
      </c>
      <c r="I389" s="25" t="s">
        <v>1254</v>
      </c>
      <c r="J389" s="26" t="s">
        <v>1300</v>
      </c>
      <c r="K389" s="27" t="s">
        <v>821</v>
      </c>
      <c r="L389" s="28" t="s">
        <v>822</v>
      </c>
      <c r="M389" s="28" t="s">
        <v>804</v>
      </c>
      <c r="N389" s="25">
        <v>1</v>
      </c>
      <c r="O389" s="29">
        <v>25.87</v>
      </c>
      <c r="P389" s="29">
        <v>25.87</v>
      </c>
      <c r="Q389" s="25" t="s">
        <v>1189</v>
      </c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101"/>
        <v>25.87</v>
      </c>
      <c r="AF389" s="32">
        <f t="shared" si="102"/>
        <v>0</v>
      </c>
      <c r="AG389" s="30"/>
      <c r="AH389" s="33">
        <v>1</v>
      </c>
      <c r="AI389" s="34">
        <f t="shared" si="103"/>
        <v>25.87</v>
      </c>
      <c r="AJ389" s="35">
        <v>46016</v>
      </c>
      <c r="AK389" s="30">
        <v>1</v>
      </c>
      <c r="AL389" s="36">
        <f t="shared" si="104"/>
        <v>25.87</v>
      </c>
      <c r="AM389" s="35">
        <v>46058</v>
      </c>
      <c r="AN389" s="30">
        <v>1</v>
      </c>
      <c r="AO389" s="36">
        <f t="shared" si="105"/>
        <v>25.87</v>
      </c>
      <c r="AP389" s="35"/>
      <c r="AQ389" s="30"/>
      <c r="AR389" s="36">
        <f t="shared" si="106"/>
        <v>0</v>
      </c>
      <c r="AS389" s="27" t="s">
        <v>1370</v>
      </c>
      <c r="AT389" s="37">
        <v>46240</v>
      </c>
      <c r="AU389" s="30">
        <v>1</v>
      </c>
      <c r="AV389" s="36">
        <f t="shared" si="107"/>
        <v>25.87</v>
      </c>
      <c r="AW389" s="35">
        <v>46245</v>
      </c>
      <c r="AX389" s="30">
        <v>1</v>
      </c>
      <c r="AY389" s="32">
        <f t="shared" si="121"/>
        <v>25.87</v>
      </c>
      <c r="AZ389" s="30" t="s">
        <v>85</v>
      </c>
      <c r="BA389" s="63" t="s">
        <v>1298</v>
      </c>
      <c r="BB389" s="71"/>
      <c r="BC389" s="71" t="s">
        <v>822</v>
      </c>
      <c r="BD389" s="71"/>
    </row>
    <row r="390" spans="1:56" x14ac:dyDescent="0.25">
      <c r="A390" s="24">
        <f>IF(B390="","",SUBTOTAL(3,$B$4:B390))</f>
        <v>371</v>
      </c>
      <c r="B390" s="25" t="s">
        <v>77</v>
      </c>
      <c r="C390" s="25" t="str">
        <f t="shared" si="118"/>
        <v>Shipment 2 400</v>
      </c>
      <c r="D390" s="25" t="s">
        <v>1252</v>
      </c>
      <c r="E390" s="25">
        <v>400</v>
      </c>
      <c r="F390" s="25"/>
      <c r="G390" s="65">
        <v>45990</v>
      </c>
      <c r="H390" s="25" t="s">
        <v>1257</v>
      </c>
      <c r="I390" s="25" t="s">
        <v>1254</v>
      </c>
      <c r="J390" s="26" t="s">
        <v>1300</v>
      </c>
      <c r="K390" s="27" t="s">
        <v>823</v>
      </c>
      <c r="L390" s="28" t="s">
        <v>824</v>
      </c>
      <c r="M390" s="28" t="s">
        <v>804</v>
      </c>
      <c r="N390" s="25">
        <v>1</v>
      </c>
      <c r="O390" s="29">
        <v>8.0299999999999994</v>
      </c>
      <c r="P390" s="29">
        <v>8.0299999999999994</v>
      </c>
      <c r="Q390" s="25" t="s">
        <v>1190</v>
      </c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101"/>
        <v>8.0299999999999994</v>
      </c>
      <c r="AF390" s="32">
        <f t="shared" si="102"/>
        <v>0</v>
      </c>
      <c r="AG390" s="30"/>
      <c r="AH390" s="33">
        <v>1</v>
      </c>
      <c r="AI390" s="34">
        <f t="shared" si="103"/>
        <v>8.0299999999999994</v>
      </c>
      <c r="AJ390" s="35">
        <v>46016</v>
      </c>
      <c r="AK390" s="30">
        <v>1</v>
      </c>
      <c r="AL390" s="36">
        <f t="shared" si="104"/>
        <v>8.0299999999999994</v>
      </c>
      <c r="AM390" s="35">
        <v>46058</v>
      </c>
      <c r="AN390" s="30">
        <v>1</v>
      </c>
      <c r="AO390" s="36">
        <f t="shared" si="105"/>
        <v>8.0299999999999994</v>
      </c>
      <c r="AP390" s="35"/>
      <c r="AQ390" s="30"/>
      <c r="AR390" s="36">
        <f t="shared" si="106"/>
        <v>0</v>
      </c>
      <c r="AS390" s="27" t="s">
        <v>1370</v>
      </c>
      <c r="AT390" s="37">
        <v>46240</v>
      </c>
      <c r="AU390" s="30">
        <v>1</v>
      </c>
      <c r="AV390" s="36">
        <f t="shared" si="107"/>
        <v>8.0299999999999994</v>
      </c>
      <c r="AW390" s="35">
        <v>46245</v>
      </c>
      <c r="AX390" s="30">
        <v>1</v>
      </c>
      <c r="AY390" s="32">
        <f t="shared" si="121"/>
        <v>8.0299999999999994</v>
      </c>
      <c r="AZ390" s="30" t="s">
        <v>85</v>
      </c>
      <c r="BA390" s="63" t="s">
        <v>1298</v>
      </c>
      <c r="BB390" s="71"/>
      <c r="BC390" s="71" t="s">
        <v>824</v>
      </c>
      <c r="BD390" s="71"/>
    </row>
    <row r="391" spans="1:56" x14ac:dyDescent="0.25">
      <c r="A391" s="24">
        <f>IF(B391="","",SUBTOTAL(3,$B$4:B391))</f>
        <v>372</v>
      </c>
      <c r="B391" s="25" t="s">
        <v>77</v>
      </c>
      <c r="C391" s="25" t="str">
        <f t="shared" si="118"/>
        <v>Shipment 2 400</v>
      </c>
      <c r="D391" s="25" t="s">
        <v>1252</v>
      </c>
      <c r="E391" s="25">
        <v>400</v>
      </c>
      <c r="F391" s="25"/>
      <c r="G391" s="65">
        <v>45990</v>
      </c>
      <c r="H391" s="25" t="s">
        <v>1257</v>
      </c>
      <c r="I391" s="25" t="s">
        <v>1254</v>
      </c>
      <c r="J391" s="26" t="s">
        <v>1300</v>
      </c>
      <c r="K391" s="27" t="s">
        <v>825</v>
      </c>
      <c r="L391" s="28" t="s">
        <v>826</v>
      </c>
      <c r="M391" s="28" t="s">
        <v>804</v>
      </c>
      <c r="N391" s="25">
        <v>1</v>
      </c>
      <c r="O391" s="29">
        <v>16.559999999999999</v>
      </c>
      <c r="P391" s="29">
        <v>16.559999999999999</v>
      </c>
      <c r="Q391" s="25" t="s">
        <v>1191</v>
      </c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101"/>
        <v>16.559999999999999</v>
      </c>
      <c r="AF391" s="32">
        <f t="shared" si="102"/>
        <v>0</v>
      </c>
      <c r="AG391" s="30"/>
      <c r="AH391" s="33">
        <v>1</v>
      </c>
      <c r="AI391" s="34">
        <f t="shared" si="103"/>
        <v>16.559999999999999</v>
      </c>
      <c r="AJ391" s="35">
        <v>46016</v>
      </c>
      <c r="AK391" s="30">
        <v>1</v>
      </c>
      <c r="AL391" s="36">
        <f t="shared" si="104"/>
        <v>16.559999999999999</v>
      </c>
      <c r="AM391" s="35">
        <v>46058</v>
      </c>
      <c r="AN391" s="30">
        <v>1</v>
      </c>
      <c r="AO391" s="36">
        <f t="shared" si="105"/>
        <v>16.559999999999999</v>
      </c>
      <c r="AP391" s="35"/>
      <c r="AQ391" s="30"/>
      <c r="AR391" s="36">
        <f t="shared" si="106"/>
        <v>0</v>
      </c>
      <c r="AS391" s="27" t="s">
        <v>1370</v>
      </c>
      <c r="AT391" s="37">
        <v>46240</v>
      </c>
      <c r="AU391" s="30">
        <v>1</v>
      </c>
      <c r="AV391" s="36">
        <f t="shared" si="107"/>
        <v>16.559999999999999</v>
      </c>
      <c r="AW391" s="35">
        <v>46245</v>
      </c>
      <c r="AX391" s="30">
        <v>1</v>
      </c>
      <c r="AY391" s="32">
        <f t="shared" si="121"/>
        <v>16.559999999999999</v>
      </c>
      <c r="AZ391" s="30" t="s">
        <v>85</v>
      </c>
      <c r="BA391" s="63" t="s">
        <v>1298</v>
      </c>
      <c r="BB391" s="71"/>
      <c r="BC391" s="71" t="s">
        <v>826</v>
      </c>
      <c r="BD391" s="71"/>
    </row>
    <row r="392" spans="1:56" x14ac:dyDescent="0.25">
      <c r="A392" s="24">
        <f>IF(B392="","",SUBTOTAL(3,$B$4:B392))</f>
        <v>373</v>
      </c>
      <c r="B392" s="25" t="s">
        <v>77</v>
      </c>
      <c r="C392" s="25" t="str">
        <f t="shared" si="118"/>
        <v>Shipment 2 400</v>
      </c>
      <c r="D392" s="25" t="s">
        <v>1252</v>
      </c>
      <c r="E392" s="25">
        <v>400</v>
      </c>
      <c r="F392" s="25"/>
      <c r="G392" s="65">
        <v>45990</v>
      </c>
      <c r="H392" s="25" t="s">
        <v>1257</v>
      </c>
      <c r="I392" s="25" t="s">
        <v>1254</v>
      </c>
      <c r="J392" s="26" t="s">
        <v>1300</v>
      </c>
      <c r="K392" s="27" t="s">
        <v>827</v>
      </c>
      <c r="L392" s="28" t="s">
        <v>828</v>
      </c>
      <c r="M392" s="28" t="s">
        <v>804</v>
      </c>
      <c r="N392" s="25">
        <v>1</v>
      </c>
      <c r="O392" s="29">
        <v>11.27</v>
      </c>
      <c r="P392" s="29">
        <v>11.27</v>
      </c>
      <c r="Q392" s="25" t="s">
        <v>1192</v>
      </c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101"/>
        <v>11.270000000000001</v>
      </c>
      <c r="AF392" s="32">
        <f t="shared" si="102"/>
        <v>0</v>
      </c>
      <c r="AG392" s="30"/>
      <c r="AH392" s="33">
        <v>1</v>
      </c>
      <c r="AI392" s="34">
        <f t="shared" si="103"/>
        <v>11.27</v>
      </c>
      <c r="AJ392" s="35">
        <v>46016</v>
      </c>
      <c r="AK392" s="30">
        <v>1</v>
      </c>
      <c r="AL392" s="36">
        <f t="shared" si="104"/>
        <v>11.27</v>
      </c>
      <c r="AM392" s="35">
        <v>46058</v>
      </c>
      <c r="AN392" s="30">
        <v>1</v>
      </c>
      <c r="AO392" s="36">
        <f t="shared" si="105"/>
        <v>11.27</v>
      </c>
      <c r="AP392" s="35"/>
      <c r="AQ392" s="30"/>
      <c r="AR392" s="36">
        <f t="shared" si="106"/>
        <v>0</v>
      </c>
      <c r="AS392" s="27" t="s">
        <v>1370</v>
      </c>
      <c r="AT392" s="37">
        <v>46240</v>
      </c>
      <c r="AU392" s="30">
        <v>1</v>
      </c>
      <c r="AV392" s="36">
        <f t="shared" si="107"/>
        <v>11.27</v>
      </c>
      <c r="AW392" s="35">
        <v>46245</v>
      </c>
      <c r="AX392" s="30">
        <v>1</v>
      </c>
      <c r="AY392" s="32">
        <f t="shared" si="121"/>
        <v>11.27</v>
      </c>
      <c r="AZ392" s="30" t="s">
        <v>85</v>
      </c>
      <c r="BA392" s="63" t="s">
        <v>1298</v>
      </c>
      <c r="BB392" s="71"/>
      <c r="BC392" s="71" t="s">
        <v>828</v>
      </c>
      <c r="BD392" s="71"/>
    </row>
    <row r="393" spans="1:56" x14ac:dyDescent="0.25">
      <c r="A393" s="24">
        <f>IF(B393="","",SUBTOTAL(3,$B$4:B393))</f>
        <v>374</v>
      </c>
      <c r="B393" s="25" t="s">
        <v>77</v>
      </c>
      <c r="C393" s="25" t="str">
        <f t="shared" si="118"/>
        <v>Shipment 2 400</v>
      </c>
      <c r="D393" s="25" t="s">
        <v>1252</v>
      </c>
      <c r="E393" s="25">
        <v>400</v>
      </c>
      <c r="F393" s="25"/>
      <c r="G393" s="65">
        <v>45990</v>
      </c>
      <c r="H393" s="25" t="s">
        <v>1257</v>
      </c>
      <c r="I393" s="25" t="s">
        <v>1254</v>
      </c>
      <c r="J393" s="26" t="s">
        <v>1300</v>
      </c>
      <c r="K393" s="27" t="s">
        <v>829</v>
      </c>
      <c r="L393" s="28" t="s">
        <v>830</v>
      </c>
      <c r="M393" s="28" t="s">
        <v>804</v>
      </c>
      <c r="N393" s="25">
        <v>1</v>
      </c>
      <c r="O393" s="29">
        <v>48.57</v>
      </c>
      <c r="P393" s="29">
        <v>48.57</v>
      </c>
      <c r="Q393" s="25" t="s">
        <v>1193</v>
      </c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101"/>
        <v>48.57</v>
      </c>
      <c r="AF393" s="32">
        <f t="shared" si="102"/>
        <v>0</v>
      </c>
      <c r="AG393" s="30"/>
      <c r="AH393" s="33">
        <v>1</v>
      </c>
      <c r="AI393" s="34">
        <f t="shared" si="103"/>
        <v>48.57</v>
      </c>
      <c r="AJ393" s="35">
        <v>46016</v>
      </c>
      <c r="AK393" s="30">
        <v>1</v>
      </c>
      <c r="AL393" s="36">
        <f t="shared" si="104"/>
        <v>48.57</v>
      </c>
      <c r="AM393" s="35">
        <v>46058</v>
      </c>
      <c r="AN393" s="30">
        <v>1</v>
      </c>
      <c r="AO393" s="36">
        <f t="shared" si="105"/>
        <v>48.57</v>
      </c>
      <c r="AP393" s="35"/>
      <c r="AQ393" s="30"/>
      <c r="AR393" s="36">
        <f t="shared" si="106"/>
        <v>0</v>
      </c>
      <c r="AS393" s="27" t="s">
        <v>1398</v>
      </c>
      <c r="AT393" s="37">
        <v>46249</v>
      </c>
      <c r="AU393" s="30">
        <v>1</v>
      </c>
      <c r="AV393" s="36">
        <f t="shared" si="107"/>
        <v>48.57</v>
      </c>
      <c r="AW393" s="35">
        <v>46252</v>
      </c>
      <c r="AX393" s="30">
        <v>1</v>
      </c>
      <c r="AY393" s="32">
        <f t="shared" si="121"/>
        <v>48.57</v>
      </c>
      <c r="AZ393" s="30" t="s">
        <v>85</v>
      </c>
      <c r="BA393" s="63" t="s">
        <v>1308</v>
      </c>
      <c r="BB393" s="71"/>
      <c r="BC393" s="71" t="s">
        <v>830</v>
      </c>
      <c r="BD393" s="71"/>
    </row>
    <row r="394" spans="1:56" x14ac:dyDescent="0.25">
      <c r="A394" s="24">
        <f>IF(B394="","",SUBTOTAL(3,$B$4:B394))</f>
        <v>375</v>
      </c>
      <c r="B394" s="25" t="s">
        <v>77</v>
      </c>
      <c r="C394" s="25" t="str">
        <f t="shared" si="118"/>
        <v>Shipment 2 400</v>
      </c>
      <c r="D394" s="25" t="s">
        <v>1252</v>
      </c>
      <c r="E394" s="25">
        <v>400</v>
      </c>
      <c r="F394" s="25"/>
      <c r="G394" s="65">
        <v>45990</v>
      </c>
      <c r="H394" s="25" t="s">
        <v>1257</v>
      </c>
      <c r="I394" s="25" t="s">
        <v>1254</v>
      </c>
      <c r="J394" s="26" t="s">
        <v>1300</v>
      </c>
      <c r="K394" s="27" t="s">
        <v>831</v>
      </c>
      <c r="L394" s="28" t="s">
        <v>832</v>
      </c>
      <c r="M394" s="28" t="s">
        <v>833</v>
      </c>
      <c r="N394" s="25">
        <v>1</v>
      </c>
      <c r="O394" s="29">
        <v>6.91</v>
      </c>
      <c r="P394" s="29">
        <v>6.91</v>
      </c>
      <c r="Q394" s="25" t="s">
        <v>1194</v>
      </c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101"/>
        <v>6.91</v>
      </c>
      <c r="AF394" s="32">
        <f t="shared" si="102"/>
        <v>0</v>
      </c>
      <c r="AG394" s="30"/>
      <c r="AH394" s="33">
        <v>1</v>
      </c>
      <c r="AI394" s="34">
        <f t="shared" si="103"/>
        <v>6.91</v>
      </c>
      <c r="AJ394" s="35">
        <v>46281</v>
      </c>
      <c r="AK394" s="30">
        <v>1</v>
      </c>
      <c r="AL394" s="36">
        <f t="shared" si="104"/>
        <v>6.91</v>
      </c>
      <c r="AM394" s="35">
        <v>46281</v>
      </c>
      <c r="AN394" s="30">
        <v>1</v>
      </c>
      <c r="AO394" s="36">
        <f t="shared" si="105"/>
        <v>6.91</v>
      </c>
      <c r="AP394" s="35"/>
      <c r="AQ394" s="30"/>
      <c r="AR394" s="36">
        <f t="shared" si="106"/>
        <v>0</v>
      </c>
      <c r="AS394" s="27" t="s">
        <v>1399</v>
      </c>
      <c r="AT394" s="37">
        <v>46294</v>
      </c>
      <c r="AU394" s="30">
        <v>1</v>
      </c>
      <c r="AV394" s="36">
        <f t="shared" si="107"/>
        <v>6.91</v>
      </c>
      <c r="AW394" s="35">
        <v>46297</v>
      </c>
      <c r="AX394" s="30">
        <v>1</v>
      </c>
      <c r="AY394" s="32">
        <f t="shared" si="109"/>
        <v>6.91</v>
      </c>
      <c r="AZ394" s="30" t="s">
        <v>85</v>
      </c>
      <c r="BA394" s="63" t="s">
        <v>1400</v>
      </c>
      <c r="BB394" s="71" t="e">
        <f>SUMIFS([1]Form!$F$9:$F$67,[1]Form!$K$9:$K$67,L394)</f>
        <v>#VALUE!</v>
      </c>
      <c r="BC394" s="71" t="s">
        <v>1357</v>
      </c>
      <c r="BD394" s="71"/>
    </row>
    <row r="395" spans="1:56" x14ac:dyDescent="0.25">
      <c r="A395" s="24">
        <f>IF(B395="","",SUBTOTAL(3,$B$4:B395))</f>
        <v>376</v>
      </c>
      <c r="B395" s="25" t="s">
        <v>77</v>
      </c>
      <c r="C395" s="25" t="str">
        <f t="shared" si="118"/>
        <v>Shipment 2 400</v>
      </c>
      <c r="D395" s="25" t="s">
        <v>1252</v>
      </c>
      <c r="E395" s="25">
        <v>400</v>
      </c>
      <c r="F395" s="25"/>
      <c r="G395" s="65">
        <v>45990</v>
      </c>
      <c r="H395" s="25" t="s">
        <v>1257</v>
      </c>
      <c r="I395" s="25" t="s">
        <v>1254</v>
      </c>
      <c r="J395" s="26" t="s">
        <v>1300</v>
      </c>
      <c r="K395" s="27" t="s">
        <v>831</v>
      </c>
      <c r="L395" s="28" t="s">
        <v>834</v>
      </c>
      <c r="M395" s="28" t="s">
        <v>833</v>
      </c>
      <c r="N395" s="25">
        <v>1</v>
      </c>
      <c r="O395" s="29">
        <v>6.91</v>
      </c>
      <c r="P395" s="29">
        <v>6.91</v>
      </c>
      <c r="Q395" s="25" t="s">
        <v>1194</v>
      </c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101"/>
        <v>6.91</v>
      </c>
      <c r="AF395" s="32">
        <f t="shared" si="102"/>
        <v>0</v>
      </c>
      <c r="AG395" s="30"/>
      <c r="AH395" s="33">
        <v>1</v>
      </c>
      <c r="AI395" s="34">
        <f t="shared" si="103"/>
        <v>6.91</v>
      </c>
      <c r="AJ395" s="35">
        <v>46281</v>
      </c>
      <c r="AK395" s="30">
        <v>1</v>
      </c>
      <c r="AL395" s="36">
        <f t="shared" si="104"/>
        <v>6.91</v>
      </c>
      <c r="AM395" s="35">
        <v>46281</v>
      </c>
      <c r="AN395" s="30">
        <v>1</v>
      </c>
      <c r="AO395" s="36">
        <f t="shared" si="105"/>
        <v>6.91</v>
      </c>
      <c r="AP395" s="35"/>
      <c r="AQ395" s="30"/>
      <c r="AR395" s="36">
        <f t="shared" si="106"/>
        <v>0</v>
      </c>
      <c r="AS395" s="27" t="s">
        <v>1399</v>
      </c>
      <c r="AT395" s="37">
        <v>46294</v>
      </c>
      <c r="AU395" s="30">
        <v>1</v>
      </c>
      <c r="AV395" s="36">
        <f t="shared" si="107"/>
        <v>6.91</v>
      </c>
      <c r="AW395" s="35">
        <v>46297</v>
      </c>
      <c r="AX395" s="30">
        <v>1</v>
      </c>
      <c r="AY395" s="32">
        <f t="shared" si="109"/>
        <v>6.91</v>
      </c>
      <c r="AZ395" s="30" t="s">
        <v>85</v>
      </c>
      <c r="BA395" s="63" t="s">
        <v>1400</v>
      </c>
      <c r="BB395" s="71" t="e">
        <f>SUMIFS([1]Form!$F$9:$F$67,[1]Form!$K$9:$K$67,L395)</f>
        <v>#VALUE!</v>
      </c>
      <c r="BC395" s="71" t="s">
        <v>1357</v>
      </c>
      <c r="BD395" s="71"/>
    </row>
    <row r="396" spans="1:56" x14ac:dyDescent="0.25">
      <c r="A396" s="24">
        <f>IF(B396="","",SUBTOTAL(3,$B$4:B396))</f>
        <v>377</v>
      </c>
      <c r="B396" s="25" t="s">
        <v>77</v>
      </c>
      <c r="C396" s="25" t="str">
        <f t="shared" si="118"/>
        <v>Shipment 2 400</v>
      </c>
      <c r="D396" s="25" t="s">
        <v>1252</v>
      </c>
      <c r="E396" s="25">
        <v>400</v>
      </c>
      <c r="F396" s="25"/>
      <c r="G396" s="65">
        <v>45990</v>
      </c>
      <c r="H396" s="25" t="s">
        <v>1257</v>
      </c>
      <c r="I396" s="25" t="s">
        <v>1254</v>
      </c>
      <c r="J396" s="26" t="s">
        <v>1300</v>
      </c>
      <c r="K396" s="27" t="s">
        <v>831</v>
      </c>
      <c r="L396" s="28" t="s">
        <v>835</v>
      </c>
      <c r="M396" s="28" t="s">
        <v>833</v>
      </c>
      <c r="N396" s="25">
        <v>1</v>
      </c>
      <c r="O396" s="29">
        <v>6.91</v>
      </c>
      <c r="P396" s="29">
        <v>6.91</v>
      </c>
      <c r="Q396" s="25" t="s">
        <v>1194</v>
      </c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101"/>
        <v>6.91</v>
      </c>
      <c r="AF396" s="32">
        <f t="shared" si="102"/>
        <v>0</v>
      </c>
      <c r="AG396" s="30"/>
      <c r="AH396" s="33">
        <v>1</v>
      </c>
      <c r="AI396" s="34">
        <f t="shared" si="103"/>
        <v>6.91</v>
      </c>
      <c r="AJ396" s="35">
        <v>46281</v>
      </c>
      <c r="AK396" s="30">
        <v>1</v>
      </c>
      <c r="AL396" s="36">
        <f t="shared" si="104"/>
        <v>6.91</v>
      </c>
      <c r="AM396" s="35">
        <v>46281</v>
      </c>
      <c r="AN396" s="30">
        <v>1</v>
      </c>
      <c r="AO396" s="36">
        <f t="shared" si="105"/>
        <v>6.91</v>
      </c>
      <c r="AP396" s="35"/>
      <c r="AQ396" s="30"/>
      <c r="AR396" s="36">
        <f t="shared" si="106"/>
        <v>0</v>
      </c>
      <c r="AS396" s="27" t="s">
        <v>1399</v>
      </c>
      <c r="AT396" s="37">
        <v>46294</v>
      </c>
      <c r="AU396" s="30">
        <v>1</v>
      </c>
      <c r="AV396" s="36">
        <f t="shared" si="107"/>
        <v>6.91</v>
      </c>
      <c r="AW396" s="35">
        <v>46297</v>
      </c>
      <c r="AX396" s="30">
        <v>1</v>
      </c>
      <c r="AY396" s="32">
        <f t="shared" si="109"/>
        <v>6.91</v>
      </c>
      <c r="AZ396" s="30" t="s">
        <v>85</v>
      </c>
      <c r="BA396" s="63" t="s">
        <v>1400</v>
      </c>
      <c r="BB396" s="71" t="e">
        <f>SUMIFS([1]Form!$F$9:$F$67,[1]Form!$K$9:$K$67,L396)</f>
        <v>#VALUE!</v>
      </c>
      <c r="BC396" s="71" t="s">
        <v>1357</v>
      </c>
      <c r="BD396" s="71"/>
    </row>
    <row r="397" spans="1:56" x14ac:dyDescent="0.25">
      <c r="A397" s="24">
        <f>IF(B397="","",SUBTOTAL(3,$B$4:B397))</f>
        <v>378</v>
      </c>
      <c r="B397" s="25" t="s">
        <v>77</v>
      </c>
      <c r="C397" s="25" t="str">
        <f t="shared" si="118"/>
        <v>Shipment 2 400</v>
      </c>
      <c r="D397" s="25" t="s">
        <v>1252</v>
      </c>
      <c r="E397" s="25">
        <v>400</v>
      </c>
      <c r="F397" s="25"/>
      <c r="G397" s="65">
        <v>45990</v>
      </c>
      <c r="H397" s="25" t="s">
        <v>1257</v>
      </c>
      <c r="I397" s="25" t="s">
        <v>1254</v>
      </c>
      <c r="J397" s="26" t="s">
        <v>1300</v>
      </c>
      <c r="K397" s="27" t="s">
        <v>1259</v>
      </c>
      <c r="L397" s="28" t="s">
        <v>1258</v>
      </c>
      <c r="M397" s="28" t="s">
        <v>833</v>
      </c>
      <c r="N397" s="25">
        <v>1</v>
      </c>
      <c r="O397" s="29">
        <v>5.58</v>
      </c>
      <c r="P397" s="29">
        <v>5.58</v>
      </c>
      <c r="Q397" s="25" t="s">
        <v>1194</v>
      </c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101"/>
        <v>5.58</v>
      </c>
      <c r="AF397" s="32">
        <f t="shared" si="102"/>
        <v>0</v>
      </c>
      <c r="AG397" s="30"/>
      <c r="AH397" s="33">
        <v>1</v>
      </c>
      <c r="AI397" s="34">
        <f t="shared" si="103"/>
        <v>5.58</v>
      </c>
      <c r="AJ397" s="35">
        <v>46281</v>
      </c>
      <c r="AK397" s="30">
        <v>1</v>
      </c>
      <c r="AL397" s="36">
        <f t="shared" si="104"/>
        <v>5.58</v>
      </c>
      <c r="AM397" s="35">
        <v>46281</v>
      </c>
      <c r="AN397" s="30">
        <v>1</v>
      </c>
      <c r="AO397" s="36">
        <f t="shared" si="105"/>
        <v>5.58</v>
      </c>
      <c r="AP397" s="35"/>
      <c r="AQ397" s="30"/>
      <c r="AR397" s="36">
        <f t="shared" si="106"/>
        <v>0</v>
      </c>
      <c r="AS397" s="27" t="s">
        <v>1399</v>
      </c>
      <c r="AT397" s="37">
        <v>46294</v>
      </c>
      <c r="AU397" s="30">
        <v>1</v>
      </c>
      <c r="AV397" s="36">
        <f t="shared" si="107"/>
        <v>5.58</v>
      </c>
      <c r="AW397" s="35">
        <v>46297</v>
      </c>
      <c r="AX397" s="30">
        <v>1</v>
      </c>
      <c r="AY397" s="32">
        <f t="shared" si="109"/>
        <v>5.58</v>
      </c>
      <c r="AZ397" s="30" t="s">
        <v>85</v>
      </c>
      <c r="BA397" s="63" t="s">
        <v>1400</v>
      </c>
      <c r="BB397" s="71" t="e">
        <f>SUMIFS([1]Form!$F$9:$F$67,[1]Form!$K$9:$K$67,L397)</f>
        <v>#VALUE!</v>
      </c>
      <c r="BC397" s="71" t="s">
        <v>1258</v>
      </c>
      <c r="BD397" s="71"/>
    </row>
    <row r="398" spans="1:56" x14ac:dyDescent="0.25">
      <c r="A398" s="24">
        <f>IF(B398="","",SUBTOTAL(3,$B$4:B398))</f>
        <v>379</v>
      </c>
      <c r="B398" s="25" t="s">
        <v>77</v>
      </c>
      <c r="C398" s="25" t="str">
        <f t="shared" si="118"/>
        <v>Shipment 2 400</v>
      </c>
      <c r="D398" s="25" t="s">
        <v>1252</v>
      </c>
      <c r="E398" s="25">
        <v>400</v>
      </c>
      <c r="F398" s="25"/>
      <c r="G398" s="65">
        <v>45990</v>
      </c>
      <c r="H398" s="25" t="s">
        <v>1257</v>
      </c>
      <c r="I398" s="25" t="s">
        <v>1254</v>
      </c>
      <c r="J398" s="26" t="s">
        <v>1300</v>
      </c>
      <c r="K398" s="27" t="s">
        <v>836</v>
      </c>
      <c r="L398" s="28" t="s">
        <v>837</v>
      </c>
      <c r="M398" s="28" t="s">
        <v>833</v>
      </c>
      <c r="N398" s="25">
        <v>1</v>
      </c>
      <c r="O398" s="29">
        <v>7.39</v>
      </c>
      <c r="P398" s="29">
        <v>7.39</v>
      </c>
      <c r="Q398" s="25" t="s">
        <v>1194</v>
      </c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101"/>
        <v>7.39</v>
      </c>
      <c r="AF398" s="32">
        <f t="shared" si="102"/>
        <v>0</v>
      </c>
      <c r="AG398" s="30"/>
      <c r="AH398" s="33">
        <v>1</v>
      </c>
      <c r="AI398" s="34">
        <f t="shared" si="103"/>
        <v>7.39</v>
      </c>
      <c r="AJ398" s="35">
        <v>46281</v>
      </c>
      <c r="AK398" s="30">
        <v>1</v>
      </c>
      <c r="AL398" s="36">
        <f t="shared" si="104"/>
        <v>7.39</v>
      </c>
      <c r="AM398" s="35">
        <v>46281</v>
      </c>
      <c r="AN398" s="30">
        <v>1</v>
      </c>
      <c r="AO398" s="36">
        <f t="shared" si="105"/>
        <v>7.39</v>
      </c>
      <c r="AP398" s="35"/>
      <c r="AQ398" s="30"/>
      <c r="AR398" s="36">
        <f t="shared" si="106"/>
        <v>0</v>
      </c>
      <c r="AS398" s="27" t="s">
        <v>1399</v>
      </c>
      <c r="AT398" s="37">
        <v>46294</v>
      </c>
      <c r="AU398" s="30">
        <v>1</v>
      </c>
      <c r="AV398" s="36">
        <f t="shared" si="107"/>
        <v>7.39</v>
      </c>
      <c r="AW398" s="35">
        <v>46297</v>
      </c>
      <c r="AX398" s="30">
        <v>1</v>
      </c>
      <c r="AY398" s="32">
        <f t="shared" si="109"/>
        <v>7.39</v>
      </c>
      <c r="AZ398" s="30" t="s">
        <v>85</v>
      </c>
      <c r="BA398" s="63" t="s">
        <v>1400</v>
      </c>
      <c r="BB398" s="71" t="e">
        <f>SUMIFS([1]Form!$F$9:$F$67,[1]Form!$K$9:$K$67,L398)</f>
        <v>#VALUE!</v>
      </c>
      <c r="BC398" s="71" t="s">
        <v>837</v>
      </c>
      <c r="BD398" s="71"/>
    </row>
    <row r="399" spans="1:56" x14ac:dyDescent="0.25">
      <c r="A399" s="24">
        <f>IF(B399="","",SUBTOTAL(3,$B$4:B399))</f>
        <v>380</v>
      </c>
      <c r="B399" s="25" t="s">
        <v>77</v>
      </c>
      <c r="C399" s="25" t="str">
        <f t="shared" si="118"/>
        <v>Shipment 2 400</v>
      </c>
      <c r="D399" s="25" t="s">
        <v>1252</v>
      </c>
      <c r="E399" s="25">
        <v>400</v>
      </c>
      <c r="F399" s="25"/>
      <c r="G399" s="65">
        <v>45990</v>
      </c>
      <c r="H399" s="25" t="s">
        <v>1257</v>
      </c>
      <c r="I399" s="25" t="s">
        <v>1254</v>
      </c>
      <c r="J399" s="26" t="s">
        <v>1300</v>
      </c>
      <c r="K399" s="27" t="s">
        <v>838</v>
      </c>
      <c r="L399" s="28" t="s">
        <v>839</v>
      </c>
      <c r="M399" s="28" t="s">
        <v>833</v>
      </c>
      <c r="N399" s="25">
        <v>1</v>
      </c>
      <c r="O399" s="29">
        <v>5.59</v>
      </c>
      <c r="P399" s="29">
        <v>5.59</v>
      </c>
      <c r="Q399" s="25" t="s">
        <v>1194</v>
      </c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01"/>
        <v>5.5900000000000007</v>
      </c>
      <c r="AF399" s="32">
        <f t="shared" si="102"/>
        <v>0</v>
      </c>
      <c r="AG399" s="30"/>
      <c r="AH399" s="33">
        <v>1</v>
      </c>
      <c r="AI399" s="34">
        <f t="shared" si="103"/>
        <v>5.59</v>
      </c>
      <c r="AJ399" s="35">
        <v>46281</v>
      </c>
      <c r="AK399" s="30">
        <v>1</v>
      </c>
      <c r="AL399" s="36">
        <f t="shared" si="104"/>
        <v>5.59</v>
      </c>
      <c r="AM399" s="35">
        <v>46281</v>
      </c>
      <c r="AN399" s="30">
        <v>1</v>
      </c>
      <c r="AO399" s="36">
        <f t="shared" si="105"/>
        <v>5.59</v>
      </c>
      <c r="AP399" s="35"/>
      <c r="AQ399" s="30"/>
      <c r="AR399" s="36">
        <f t="shared" si="106"/>
        <v>0</v>
      </c>
      <c r="AS399" s="27" t="s">
        <v>1399</v>
      </c>
      <c r="AT399" s="37">
        <v>46294</v>
      </c>
      <c r="AU399" s="30">
        <v>1</v>
      </c>
      <c r="AV399" s="36">
        <f t="shared" si="107"/>
        <v>5.59</v>
      </c>
      <c r="AW399" s="35">
        <v>46297</v>
      </c>
      <c r="AX399" s="30">
        <v>1</v>
      </c>
      <c r="AY399" s="32">
        <f t="shared" si="109"/>
        <v>5.59</v>
      </c>
      <c r="AZ399" s="30" t="s">
        <v>85</v>
      </c>
      <c r="BA399" s="63" t="s">
        <v>1400</v>
      </c>
      <c r="BB399" s="71" t="e">
        <f>SUMIFS([1]Form!$F$9:$F$67,[1]Form!$K$9:$K$67,L399)</f>
        <v>#VALUE!</v>
      </c>
      <c r="BC399" s="71" t="s">
        <v>839</v>
      </c>
      <c r="BD399" s="71"/>
    </row>
    <row r="400" spans="1:56" x14ac:dyDescent="0.25">
      <c r="A400" s="24">
        <f>IF(B400="","",SUBTOTAL(3,$B$4:B400))</f>
        <v>381</v>
      </c>
      <c r="B400" s="25" t="s">
        <v>77</v>
      </c>
      <c r="C400" s="25" t="str">
        <f t="shared" si="118"/>
        <v>Shipment 2 400</v>
      </c>
      <c r="D400" s="25" t="s">
        <v>1252</v>
      </c>
      <c r="E400" s="25">
        <v>400</v>
      </c>
      <c r="F400" s="25"/>
      <c r="G400" s="65">
        <v>45990</v>
      </c>
      <c r="H400" s="25" t="s">
        <v>1257</v>
      </c>
      <c r="I400" s="25" t="s">
        <v>1254</v>
      </c>
      <c r="J400" s="26" t="s">
        <v>1302</v>
      </c>
      <c r="K400" s="27" t="s">
        <v>840</v>
      </c>
      <c r="L400" s="28" t="s">
        <v>841</v>
      </c>
      <c r="M400" s="28" t="s">
        <v>833</v>
      </c>
      <c r="N400" s="25">
        <v>1</v>
      </c>
      <c r="O400" s="29">
        <v>13.61</v>
      </c>
      <c r="P400" s="29">
        <v>13.61</v>
      </c>
      <c r="Q400" s="25" t="s">
        <v>1195</v>
      </c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01"/>
        <v>13.61</v>
      </c>
      <c r="AF400" s="32">
        <f t="shared" si="102"/>
        <v>0</v>
      </c>
      <c r="AG400" s="30"/>
      <c r="AH400" s="33">
        <v>1</v>
      </c>
      <c r="AI400" s="34">
        <f t="shared" si="103"/>
        <v>13.61</v>
      </c>
      <c r="AJ400" s="35">
        <v>46281</v>
      </c>
      <c r="AK400" s="30">
        <v>1</v>
      </c>
      <c r="AL400" s="36">
        <f t="shared" si="104"/>
        <v>13.61</v>
      </c>
      <c r="AM400" s="35">
        <v>46281</v>
      </c>
      <c r="AN400" s="30">
        <v>1</v>
      </c>
      <c r="AO400" s="36">
        <f t="shared" si="105"/>
        <v>13.61</v>
      </c>
      <c r="AP400" s="35"/>
      <c r="AQ400" s="30"/>
      <c r="AR400" s="36">
        <f t="shared" si="106"/>
        <v>0</v>
      </c>
      <c r="AS400" s="27" t="s">
        <v>1370</v>
      </c>
      <c r="AT400" s="37">
        <v>46281</v>
      </c>
      <c r="AU400" s="30">
        <v>1</v>
      </c>
      <c r="AV400" s="36">
        <f t="shared" si="107"/>
        <v>13.61</v>
      </c>
      <c r="AW400" s="35">
        <v>46297</v>
      </c>
      <c r="AX400" s="30">
        <v>1</v>
      </c>
      <c r="AY400" s="32">
        <f t="shared" si="109"/>
        <v>13.61</v>
      </c>
      <c r="AZ400" s="30" t="s">
        <v>85</v>
      </c>
      <c r="BA400" s="63" t="s">
        <v>1399</v>
      </c>
      <c r="BB400" s="71"/>
      <c r="BC400" s="71" t="s">
        <v>841</v>
      </c>
      <c r="BD400" s="71"/>
    </row>
    <row r="401" spans="1:56" x14ac:dyDescent="0.25">
      <c r="A401" s="24">
        <f>IF(B401="","",SUBTOTAL(3,$B$4:B401))</f>
        <v>382</v>
      </c>
      <c r="B401" s="25" t="s">
        <v>77</v>
      </c>
      <c r="C401" s="25" t="str">
        <f t="shared" si="118"/>
        <v>Shipment 2 400</v>
      </c>
      <c r="D401" s="25" t="s">
        <v>1252</v>
      </c>
      <c r="E401" s="25">
        <v>400</v>
      </c>
      <c r="F401" s="25"/>
      <c r="G401" s="65">
        <v>45990</v>
      </c>
      <c r="H401" s="25" t="s">
        <v>1257</v>
      </c>
      <c r="I401" s="25" t="s">
        <v>1254</v>
      </c>
      <c r="J401" s="26" t="s">
        <v>1302</v>
      </c>
      <c r="K401" s="27" t="s">
        <v>842</v>
      </c>
      <c r="L401" s="28" t="s">
        <v>843</v>
      </c>
      <c r="M401" s="28" t="s">
        <v>833</v>
      </c>
      <c r="N401" s="25">
        <v>1</v>
      </c>
      <c r="O401" s="29">
        <v>15.41</v>
      </c>
      <c r="P401" s="29">
        <v>15.41</v>
      </c>
      <c r="Q401" s="25" t="s">
        <v>1196</v>
      </c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101"/>
        <v>15.41</v>
      </c>
      <c r="AF401" s="32">
        <f t="shared" si="102"/>
        <v>0</v>
      </c>
      <c r="AG401" s="30"/>
      <c r="AH401" s="33">
        <v>1</v>
      </c>
      <c r="AI401" s="34">
        <f t="shared" si="103"/>
        <v>15.41</v>
      </c>
      <c r="AJ401" s="35">
        <v>46281</v>
      </c>
      <c r="AK401" s="30">
        <v>1</v>
      </c>
      <c r="AL401" s="36">
        <f t="shared" ref="AL401:AL402" si="122">IFERROR(AK401*$P401/$N401,0)</f>
        <v>15.41</v>
      </c>
      <c r="AM401" s="35">
        <v>46281</v>
      </c>
      <c r="AN401" s="30">
        <v>1</v>
      </c>
      <c r="AO401" s="36">
        <f t="shared" ref="AO401:AO402" si="123">IFERROR(AN401*$P401/$N401,0)</f>
        <v>15.41</v>
      </c>
      <c r="AP401" s="35"/>
      <c r="AQ401" s="30"/>
      <c r="AR401" s="36">
        <f t="shared" si="106"/>
        <v>0</v>
      </c>
      <c r="AS401" s="27" t="s">
        <v>1370</v>
      </c>
      <c r="AT401" s="37">
        <v>46281</v>
      </c>
      <c r="AU401" s="30">
        <v>1</v>
      </c>
      <c r="AV401" s="36">
        <f t="shared" si="107"/>
        <v>15.41</v>
      </c>
      <c r="AW401" s="35">
        <v>46297</v>
      </c>
      <c r="AX401" s="30">
        <v>1</v>
      </c>
      <c r="AY401" s="32">
        <f t="shared" si="109"/>
        <v>15.41</v>
      </c>
      <c r="AZ401" s="30" t="s">
        <v>85</v>
      </c>
      <c r="BA401" s="63" t="s">
        <v>1399</v>
      </c>
      <c r="BB401" s="71"/>
      <c r="BC401" s="71" t="s">
        <v>843</v>
      </c>
      <c r="BD401" s="71"/>
    </row>
    <row r="402" spans="1:56" x14ac:dyDescent="0.25">
      <c r="A402" s="24">
        <f>IF(B402="","",SUBTOTAL(3,$B$4:B402))</f>
        <v>383</v>
      </c>
      <c r="B402" s="25" t="s">
        <v>77</v>
      </c>
      <c r="C402" s="25" t="str">
        <f t="shared" si="118"/>
        <v>Shipment 2 400</v>
      </c>
      <c r="D402" s="25" t="s">
        <v>1252</v>
      </c>
      <c r="E402" s="25">
        <v>400</v>
      </c>
      <c r="F402" s="25"/>
      <c r="G402" s="65">
        <v>45990</v>
      </c>
      <c r="H402" s="25" t="s">
        <v>1257</v>
      </c>
      <c r="I402" s="25" t="s">
        <v>1254</v>
      </c>
      <c r="J402" s="26" t="s">
        <v>1302</v>
      </c>
      <c r="K402" s="27" t="s">
        <v>844</v>
      </c>
      <c r="L402" s="28" t="s">
        <v>845</v>
      </c>
      <c r="M402" s="28" t="s">
        <v>833</v>
      </c>
      <c r="N402" s="25">
        <v>1</v>
      </c>
      <c r="O402" s="29">
        <v>15.56</v>
      </c>
      <c r="P402" s="29">
        <v>15.56</v>
      </c>
      <c r="Q402" s="25" t="s">
        <v>1196</v>
      </c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01"/>
        <v>15.560000000000002</v>
      </c>
      <c r="AF402" s="32">
        <f t="shared" si="102"/>
        <v>0</v>
      </c>
      <c r="AG402" s="30"/>
      <c r="AH402" s="33">
        <v>1</v>
      </c>
      <c r="AI402" s="34">
        <f t="shared" si="103"/>
        <v>15.56</v>
      </c>
      <c r="AJ402" s="35">
        <v>46281</v>
      </c>
      <c r="AK402" s="30">
        <v>1</v>
      </c>
      <c r="AL402" s="36">
        <f t="shared" si="122"/>
        <v>15.56</v>
      </c>
      <c r="AM402" s="35">
        <v>46281</v>
      </c>
      <c r="AN402" s="30">
        <v>1</v>
      </c>
      <c r="AO402" s="36">
        <f t="shared" si="123"/>
        <v>15.56</v>
      </c>
      <c r="AP402" s="35"/>
      <c r="AQ402" s="30"/>
      <c r="AR402" s="36">
        <f t="shared" si="106"/>
        <v>0</v>
      </c>
      <c r="AS402" s="27" t="s">
        <v>1370</v>
      </c>
      <c r="AT402" s="37">
        <v>46281</v>
      </c>
      <c r="AU402" s="30">
        <v>1</v>
      </c>
      <c r="AV402" s="36">
        <f t="shared" si="107"/>
        <v>15.56</v>
      </c>
      <c r="AW402" s="35">
        <v>46297</v>
      </c>
      <c r="AX402" s="30">
        <v>1</v>
      </c>
      <c r="AY402" s="32">
        <f t="shared" si="109"/>
        <v>15.56</v>
      </c>
      <c r="AZ402" s="30" t="s">
        <v>85</v>
      </c>
      <c r="BA402" s="63" t="s">
        <v>1399</v>
      </c>
      <c r="BB402" s="71"/>
      <c r="BC402" s="71" t="s">
        <v>845</v>
      </c>
      <c r="BD402" s="71"/>
    </row>
    <row r="403" spans="1:56" x14ac:dyDescent="0.25">
      <c r="A403" s="24">
        <f>IF(B403="","",SUBTOTAL(3,$B$4:B403))</f>
        <v>384</v>
      </c>
      <c r="B403" s="25" t="s">
        <v>77</v>
      </c>
      <c r="C403" s="25" t="str">
        <f t="shared" si="118"/>
        <v>Shipment 2 400</v>
      </c>
      <c r="D403" s="25" t="s">
        <v>1252</v>
      </c>
      <c r="E403" s="25">
        <v>400</v>
      </c>
      <c r="F403" s="25"/>
      <c r="G403" s="65">
        <v>45990</v>
      </c>
      <c r="H403" s="25" t="s">
        <v>1257</v>
      </c>
      <c r="I403" s="25" t="s">
        <v>1254</v>
      </c>
      <c r="J403" s="26" t="s">
        <v>1301</v>
      </c>
      <c r="K403" s="27" t="s">
        <v>846</v>
      </c>
      <c r="L403" s="28" t="s">
        <v>847</v>
      </c>
      <c r="M403" s="28" t="s">
        <v>833</v>
      </c>
      <c r="N403" s="25">
        <v>1</v>
      </c>
      <c r="O403" s="29">
        <v>13.98</v>
      </c>
      <c r="P403" s="29">
        <v>13.98</v>
      </c>
      <c r="Q403" s="25" t="s">
        <v>1197</v>
      </c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01"/>
        <v>13.98</v>
      </c>
      <c r="AF403" s="32">
        <f t="shared" si="102"/>
        <v>0</v>
      </c>
      <c r="AG403" s="30"/>
      <c r="AH403" s="33">
        <v>1</v>
      </c>
      <c r="AI403" s="34">
        <f t="shared" si="103"/>
        <v>13.98</v>
      </c>
      <c r="AJ403" s="35">
        <v>46281</v>
      </c>
      <c r="AK403" s="30">
        <v>1</v>
      </c>
      <c r="AL403" s="36">
        <f t="shared" si="104"/>
        <v>13.98</v>
      </c>
      <c r="AM403" s="35">
        <v>46281</v>
      </c>
      <c r="AN403" s="30">
        <v>1</v>
      </c>
      <c r="AO403" s="36">
        <f t="shared" si="105"/>
        <v>13.98</v>
      </c>
      <c r="AP403" s="35"/>
      <c r="AQ403" s="30"/>
      <c r="AR403" s="36">
        <f t="shared" si="106"/>
        <v>0</v>
      </c>
      <c r="AS403" s="27" t="s">
        <v>1399</v>
      </c>
      <c r="AT403" s="37">
        <v>46294</v>
      </c>
      <c r="AU403" s="30">
        <v>1</v>
      </c>
      <c r="AV403" s="36">
        <f t="shared" si="107"/>
        <v>13.98</v>
      </c>
      <c r="AW403" s="35">
        <v>46297</v>
      </c>
      <c r="AX403" s="30">
        <v>1</v>
      </c>
      <c r="AY403" s="32">
        <f t="shared" si="109"/>
        <v>13.98</v>
      </c>
      <c r="AZ403" s="30" t="s">
        <v>85</v>
      </c>
      <c r="BA403" s="63" t="s">
        <v>1400</v>
      </c>
      <c r="BB403" s="71" t="e">
        <f>SUMIFS([1]Form!$F$9:$F$67,[1]Form!$K$9:$K$67,L403)</f>
        <v>#VALUE!</v>
      </c>
      <c r="BC403" s="71" t="s">
        <v>847</v>
      </c>
      <c r="BD403" s="71"/>
    </row>
    <row r="404" spans="1:56" x14ac:dyDescent="0.25">
      <c r="A404" s="24">
        <f>IF(B404="","",SUBTOTAL(3,$B$4:B404))</f>
        <v>385</v>
      </c>
      <c r="B404" s="25" t="s">
        <v>77</v>
      </c>
      <c r="C404" s="25" t="str">
        <f t="shared" si="118"/>
        <v>Shipment 2 400</v>
      </c>
      <c r="D404" s="25" t="s">
        <v>1252</v>
      </c>
      <c r="E404" s="25">
        <v>400</v>
      </c>
      <c r="F404" s="25"/>
      <c r="G404" s="65">
        <v>45990</v>
      </c>
      <c r="H404" s="25" t="s">
        <v>1257</v>
      </c>
      <c r="I404" s="25" t="s">
        <v>1254</v>
      </c>
      <c r="J404" s="26" t="s">
        <v>1301</v>
      </c>
      <c r="K404" s="27" t="s">
        <v>848</v>
      </c>
      <c r="L404" s="28" t="s">
        <v>849</v>
      </c>
      <c r="M404" s="28" t="s">
        <v>833</v>
      </c>
      <c r="N404" s="25">
        <v>1</v>
      </c>
      <c r="O404" s="29">
        <v>13.98</v>
      </c>
      <c r="P404" s="29">
        <v>13.98</v>
      </c>
      <c r="Q404" s="25" t="s">
        <v>1197</v>
      </c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01"/>
        <v>13.98</v>
      </c>
      <c r="AF404" s="32">
        <f t="shared" si="102"/>
        <v>0</v>
      </c>
      <c r="AG404" s="30"/>
      <c r="AH404" s="33">
        <v>1</v>
      </c>
      <c r="AI404" s="34">
        <f t="shared" si="103"/>
        <v>13.98</v>
      </c>
      <c r="AJ404" s="35">
        <v>46281</v>
      </c>
      <c r="AK404" s="30">
        <v>1</v>
      </c>
      <c r="AL404" s="36">
        <f t="shared" si="104"/>
        <v>13.98</v>
      </c>
      <c r="AM404" s="35">
        <v>46281</v>
      </c>
      <c r="AN404" s="30">
        <v>1</v>
      </c>
      <c r="AO404" s="36">
        <f t="shared" si="105"/>
        <v>13.98</v>
      </c>
      <c r="AP404" s="35"/>
      <c r="AQ404" s="30"/>
      <c r="AR404" s="36">
        <f t="shared" si="106"/>
        <v>0</v>
      </c>
      <c r="AS404" s="27" t="s">
        <v>1399</v>
      </c>
      <c r="AT404" s="37">
        <v>46294</v>
      </c>
      <c r="AU404" s="30">
        <v>1</v>
      </c>
      <c r="AV404" s="36">
        <f t="shared" si="107"/>
        <v>13.98</v>
      </c>
      <c r="AW404" s="35">
        <v>46297</v>
      </c>
      <c r="AX404" s="30">
        <v>1</v>
      </c>
      <c r="AY404" s="32">
        <f t="shared" si="109"/>
        <v>13.98</v>
      </c>
      <c r="AZ404" s="30" t="s">
        <v>85</v>
      </c>
      <c r="BA404" s="63" t="s">
        <v>1400</v>
      </c>
      <c r="BB404" s="71" t="e">
        <f>SUMIFS([1]Form!$F$9:$F$67,[1]Form!$K$9:$K$67,L404)</f>
        <v>#VALUE!</v>
      </c>
      <c r="BC404" s="71" t="s">
        <v>849</v>
      </c>
      <c r="BD404" s="71"/>
    </row>
    <row r="405" spans="1:56" x14ac:dyDescent="0.25">
      <c r="A405" s="24">
        <f>IF(B405="","",SUBTOTAL(3,$B$4:B405))</f>
        <v>386</v>
      </c>
      <c r="B405" s="25" t="s">
        <v>77</v>
      </c>
      <c r="C405" s="25" t="str">
        <f t="shared" si="118"/>
        <v>Shipment 2 400</v>
      </c>
      <c r="D405" s="25" t="s">
        <v>1252</v>
      </c>
      <c r="E405" s="25">
        <v>400</v>
      </c>
      <c r="F405" s="25"/>
      <c r="G405" s="65">
        <v>45990</v>
      </c>
      <c r="H405" s="25" t="s">
        <v>1257</v>
      </c>
      <c r="I405" s="25" t="s">
        <v>1254</v>
      </c>
      <c r="J405" s="26" t="s">
        <v>1301</v>
      </c>
      <c r="K405" s="27" t="s">
        <v>850</v>
      </c>
      <c r="L405" s="28" t="s">
        <v>851</v>
      </c>
      <c r="M405" s="28" t="s">
        <v>833</v>
      </c>
      <c r="N405" s="25">
        <v>1</v>
      </c>
      <c r="O405" s="29">
        <v>18.440000000000001</v>
      </c>
      <c r="P405" s="29">
        <v>18.440000000000001</v>
      </c>
      <c r="Q405" s="25" t="s">
        <v>1198</v>
      </c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01"/>
        <v>18.440000000000005</v>
      </c>
      <c r="AF405" s="32">
        <f t="shared" si="102"/>
        <v>0</v>
      </c>
      <c r="AG405" s="30"/>
      <c r="AH405" s="33">
        <v>1</v>
      </c>
      <c r="AI405" s="34">
        <f t="shared" si="103"/>
        <v>18.440000000000001</v>
      </c>
      <c r="AJ405" s="35">
        <v>46281</v>
      </c>
      <c r="AK405" s="30">
        <v>1</v>
      </c>
      <c r="AL405" s="36">
        <f t="shared" si="104"/>
        <v>18.440000000000001</v>
      </c>
      <c r="AM405" s="35">
        <v>46281</v>
      </c>
      <c r="AN405" s="30">
        <v>1</v>
      </c>
      <c r="AO405" s="36">
        <f t="shared" si="105"/>
        <v>18.440000000000001</v>
      </c>
      <c r="AP405" s="35"/>
      <c r="AQ405" s="30"/>
      <c r="AR405" s="36">
        <f t="shared" si="106"/>
        <v>0</v>
      </c>
      <c r="AS405" s="27" t="s">
        <v>1399</v>
      </c>
      <c r="AT405" s="37">
        <v>46294</v>
      </c>
      <c r="AU405" s="30">
        <v>1</v>
      </c>
      <c r="AV405" s="36">
        <f t="shared" si="107"/>
        <v>18.440000000000001</v>
      </c>
      <c r="AW405" s="35">
        <v>46297</v>
      </c>
      <c r="AX405" s="30">
        <v>1</v>
      </c>
      <c r="AY405" s="32">
        <f t="shared" si="109"/>
        <v>18.440000000000001</v>
      </c>
      <c r="AZ405" s="30" t="s">
        <v>85</v>
      </c>
      <c r="BA405" s="63" t="s">
        <v>1400</v>
      </c>
      <c r="BB405" s="71" t="e">
        <f>SUMIFS([1]Form!$F$9:$F$67,[1]Form!$K$9:$K$67,L405)</f>
        <v>#VALUE!</v>
      </c>
      <c r="BC405" s="71" t="s">
        <v>851</v>
      </c>
      <c r="BD405" s="71"/>
    </row>
    <row r="406" spans="1:56" x14ac:dyDescent="0.25">
      <c r="A406" s="24">
        <f>IF(B406="","",SUBTOTAL(3,$B$4:B406))</f>
        <v>387</v>
      </c>
      <c r="B406" s="25" t="s">
        <v>77</v>
      </c>
      <c r="C406" s="25" t="str">
        <f t="shared" si="118"/>
        <v>Shipment 2 400</v>
      </c>
      <c r="D406" s="25" t="s">
        <v>1252</v>
      </c>
      <c r="E406" s="25">
        <v>400</v>
      </c>
      <c r="F406" s="25"/>
      <c r="G406" s="65">
        <v>45990</v>
      </c>
      <c r="H406" s="25" t="s">
        <v>1257</v>
      </c>
      <c r="I406" s="25" t="s">
        <v>1254</v>
      </c>
      <c r="J406" s="26" t="s">
        <v>1302</v>
      </c>
      <c r="K406" s="27" t="s">
        <v>852</v>
      </c>
      <c r="L406" s="28" t="s">
        <v>853</v>
      </c>
      <c r="M406" s="28" t="s">
        <v>833</v>
      </c>
      <c r="N406" s="25">
        <v>1</v>
      </c>
      <c r="O406" s="29">
        <v>16.329999999999998</v>
      </c>
      <c r="P406" s="29">
        <v>16.329999999999998</v>
      </c>
      <c r="Q406" s="25" t="s">
        <v>1196</v>
      </c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01"/>
        <v>16.329999999999998</v>
      </c>
      <c r="AF406" s="32">
        <f t="shared" si="102"/>
        <v>0</v>
      </c>
      <c r="AG406" s="30"/>
      <c r="AH406" s="33">
        <v>1</v>
      </c>
      <c r="AI406" s="34">
        <f t="shared" si="103"/>
        <v>16.329999999999998</v>
      </c>
      <c r="AJ406" s="35">
        <v>46281</v>
      </c>
      <c r="AK406" s="30">
        <v>1</v>
      </c>
      <c r="AL406" s="36">
        <f t="shared" ref="AL406:AL419" si="124">IFERROR(AK406*$P406/$N406,0)</f>
        <v>16.329999999999998</v>
      </c>
      <c r="AM406" s="35">
        <v>46281</v>
      </c>
      <c r="AN406" s="30">
        <v>1</v>
      </c>
      <c r="AO406" s="36">
        <f t="shared" ref="AO406:AO419" si="125">IFERROR(AN406*$P406/$N406,0)</f>
        <v>16.329999999999998</v>
      </c>
      <c r="AP406" s="35"/>
      <c r="AQ406" s="30"/>
      <c r="AR406" s="36">
        <f t="shared" si="106"/>
        <v>0</v>
      </c>
      <c r="AS406" s="27" t="s">
        <v>1370</v>
      </c>
      <c r="AT406" s="37">
        <v>46281</v>
      </c>
      <c r="AU406" s="30">
        <v>1</v>
      </c>
      <c r="AV406" s="36">
        <f t="shared" si="107"/>
        <v>16.329999999999998</v>
      </c>
      <c r="AW406" s="35">
        <v>46297</v>
      </c>
      <c r="AX406" s="30">
        <v>1</v>
      </c>
      <c r="AY406" s="32">
        <f t="shared" si="109"/>
        <v>16.329999999999998</v>
      </c>
      <c r="AZ406" s="30" t="s">
        <v>85</v>
      </c>
      <c r="BA406" s="63" t="s">
        <v>1399</v>
      </c>
      <c r="BB406" s="71"/>
      <c r="BC406" s="71" t="s">
        <v>853</v>
      </c>
      <c r="BD406" s="71"/>
    </row>
    <row r="407" spans="1:56" x14ac:dyDescent="0.25">
      <c r="A407" s="24">
        <f>IF(B407="","",SUBTOTAL(3,$B$4:B407))</f>
        <v>388</v>
      </c>
      <c r="B407" s="25" t="s">
        <v>77</v>
      </c>
      <c r="C407" s="25" t="str">
        <f t="shared" si="118"/>
        <v>Shipment 2 400</v>
      </c>
      <c r="D407" s="25" t="s">
        <v>1252</v>
      </c>
      <c r="E407" s="25">
        <v>400</v>
      </c>
      <c r="F407" s="25"/>
      <c r="G407" s="65">
        <v>45990</v>
      </c>
      <c r="H407" s="25" t="s">
        <v>1257</v>
      </c>
      <c r="I407" s="25" t="s">
        <v>1254</v>
      </c>
      <c r="J407" s="26" t="s">
        <v>1302</v>
      </c>
      <c r="K407" s="27" t="s">
        <v>854</v>
      </c>
      <c r="L407" s="28" t="s">
        <v>855</v>
      </c>
      <c r="M407" s="28" t="s">
        <v>833</v>
      </c>
      <c r="N407" s="25">
        <v>1</v>
      </c>
      <c r="O407" s="29">
        <v>14.94</v>
      </c>
      <c r="P407" s="29">
        <v>14.94</v>
      </c>
      <c r="Q407" s="25" t="s">
        <v>1196</v>
      </c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01"/>
        <v>14.94</v>
      </c>
      <c r="AF407" s="32">
        <f t="shared" si="102"/>
        <v>0</v>
      </c>
      <c r="AG407" s="30"/>
      <c r="AH407" s="33">
        <v>1</v>
      </c>
      <c r="AI407" s="34">
        <f t="shared" si="103"/>
        <v>14.94</v>
      </c>
      <c r="AJ407" s="35">
        <v>46281</v>
      </c>
      <c r="AK407" s="30">
        <v>1</v>
      </c>
      <c r="AL407" s="36">
        <f t="shared" si="124"/>
        <v>14.94</v>
      </c>
      <c r="AM407" s="35">
        <v>46281</v>
      </c>
      <c r="AN407" s="30">
        <v>1</v>
      </c>
      <c r="AO407" s="36">
        <f t="shared" si="125"/>
        <v>14.94</v>
      </c>
      <c r="AP407" s="35"/>
      <c r="AQ407" s="30"/>
      <c r="AR407" s="36">
        <f t="shared" si="106"/>
        <v>0</v>
      </c>
      <c r="AS407" s="27" t="s">
        <v>1370</v>
      </c>
      <c r="AT407" s="37">
        <v>46281</v>
      </c>
      <c r="AU407" s="30">
        <v>1</v>
      </c>
      <c r="AV407" s="36">
        <f t="shared" si="107"/>
        <v>14.94</v>
      </c>
      <c r="AW407" s="35">
        <v>46297</v>
      </c>
      <c r="AX407" s="30">
        <v>1</v>
      </c>
      <c r="AY407" s="32">
        <f t="shared" si="109"/>
        <v>14.94</v>
      </c>
      <c r="AZ407" s="30" t="s">
        <v>85</v>
      </c>
      <c r="BA407" s="63" t="s">
        <v>1399</v>
      </c>
      <c r="BB407" s="71"/>
      <c r="BC407" s="71" t="s">
        <v>855</v>
      </c>
      <c r="BD407" s="71"/>
    </row>
    <row r="408" spans="1:56" x14ac:dyDescent="0.25">
      <c r="A408" s="24">
        <f>IF(B408="","",SUBTOTAL(3,$B$4:B408))</f>
        <v>389</v>
      </c>
      <c r="B408" s="25" t="s">
        <v>77</v>
      </c>
      <c r="C408" s="25" t="str">
        <f t="shared" si="118"/>
        <v>Shipment 2 400</v>
      </c>
      <c r="D408" s="25" t="s">
        <v>1252</v>
      </c>
      <c r="E408" s="25">
        <v>400</v>
      </c>
      <c r="F408" s="25"/>
      <c r="G408" s="65">
        <v>45990</v>
      </c>
      <c r="H408" s="25" t="s">
        <v>1257</v>
      </c>
      <c r="I408" s="25" t="s">
        <v>1254</v>
      </c>
      <c r="J408" s="26" t="s">
        <v>1302</v>
      </c>
      <c r="K408" s="27" t="s">
        <v>856</v>
      </c>
      <c r="L408" s="28" t="s">
        <v>857</v>
      </c>
      <c r="M408" s="28" t="s">
        <v>833</v>
      </c>
      <c r="N408" s="25">
        <v>1</v>
      </c>
      <c r="O408" s="29">
        <v>14.94</v>
      </c>
      <c r="P408" s="29">
        <v>14.94</v>
      </c>
      <c r="Q408" s="25" t="s">
        <v>1196</v>
      </c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01"/>
        <v>14.94</v>
      </c>
      <c r="AF408" s="32">
        <f t="shared" si="102"/>
        <v>0</v>
      </c>
      <c r="AG408" s="30"/>
      <c r="AH408" s="33">
        <v>1</v>
      </c>
      <c r="AI408" s="34">
        <f t="shared" si="103"/>
        <v>14.94</v>
      </c>
      <c r="AJ408" s="35">
        <v>46281</v>
      </c>
      <c r="AK408" s="30">
        <v>1</v>
      </c>
      <c r="AL408" s="36">
        <f t="shared" si="124"/>
        <v>14.94</v>
      </c>
      <c r="AM408" s="35">
        <v>46281</v>
      </c>
      <c r="AN408" s="30">
        <v>1</v>
      </c>
      <c r="AO408" s="36">
        <f t="shared" si="125"/>
        <v>14.94</v>
      </c>
      <c r="AP408" s="35"/>
      <c r="AQ408" s="30"/>
      <c r="AR408" s="36">
        <f t="shared" si="106"/>
        <v>0</v>
      </c>
      <c r="AS408" s="27" t="s">
        <v>1370</v>
      </c>
      <c r="AT408" s="37">
        <v>46281</v>
      </c>
      <c r="AU408" s="30">
        <v>1</v>
      </c>
      <c r="AV408" s="36">
        <f t="shared" si="107"/>
        <v>14.94</v>
      </c>
      <c r="AW408" s="35">
        <v>46297</v>
      </c>
      <c r="AX408" s="30">
        <v>1</v>
      </c>
      <c r="AY408" s="32">
        <f t="shared" si="109"/>
        <v>14.94</v>
      </c>
      <c r="AZ408" s="30" t="s">
        <v>85</v>
      </c>
      <c r="BA408" s="63" t="s">
        <v>1399</v>
      </c>
      <c r="BB408" s="71"/>
      <c r="BC408" s="71" t="s">
        <v>857</v>
      </c>
      <c r="BD408" s="71"/>
    </row>
    <row r="409" spans="1:56" x14ac:dyDescent="0.25">
      <c r="A409" s="24">
        <f>IF(B409="","",SUBTOTAL(3,$B$4:B409))</f>
        <v>390</v>
      </c>
      <c r="B409" s="25" t="s">
        <v>77</v>
      </c>
      <c r="C409" s="25" t="str">
        <f t="shared" si="118"/>
        <v>Shipment 2 400</v>
      </c>
      <c r="D409" s="25" t="s">
        <v>1252</v>
      </c>
      <c r="E409" s="25">
        <v>400</v>
      </c>
      <c r="F409" s="25"/>
      <c r="G409" s="65">
        <v>45990</v>
      </c>
      <c r="H409" s="25" t="s">
        <v>1257</v>
      </c>
      <c r="I409" s="25" t="s">
        <v>1254</v>
      </c>
      <c r="J409" s="26" t="s">
        <v>1302</v>
      </c>
      <c r="K409" s="27" t="s">
        <v>858</v>
      </c>
      <c r="L409" s="28" t="s">
        <v>859</v>
      </c>
      <c r="M409" s="28" t="s">
        <v>833</v>
      </c>
      <c r="N409" s="25">
        <v>1</v>
      </c>
      <c r="O409" s="29">
        <v>16.48</v>
      </c>
      <c r="P409" s="29">
        <v>16.48</v>
      </c>
      <c r="Q409" s="25" t="s">
        <v>1196</v>
      </c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01"/>
        <v>16.48</v>
      </c>
      <c r="AF409" s="32">
        <f t="shared" si="102"/>
        <v>0</v>
      </c>
      <c r="AG409" s="30"/>
      <c r="AH409" s="33">
        <v>1</v>
      </c>
      <c r="AI409" s="34">
        <f t="shared" si="103"/>
        <v>16.48</v>
      </c>
      <c r="AJ409" s="35">
        <v>46281</v>
      </c>
      <c r="AK409" s="30">
        <v>1</v>
      </c>
      <c r="AL409" s="36">
        <f t="shared" si="124"/>
        <v>16.48</v>
      </c>
      <c r="AM409" s="35">
        <v>46281</v>
      </c>
      <c r="AN409" s="30">
        <v>1</v>
      </c>
      <c r="AO409" s="36">
        <f t="shared" si="125"/>
        <v>16.48</v>
      </c>
      <c r="AP409" s="35"/>
      <c r="AQ409" s="30"/>
      <c r="AR409" s="36">
        <f t="shared" si="106"/>
        <v>0</v>
      </c>
      <c r="AS409" s="27" t="s">
        <v>1370</v>
      </c>
      <c r="AT409" s="37">
        <v>46281</v>
      </c>
      <c r="AU409" s="30">
        <v>1</v>
      </c>
      <c r="AV409" s="36">
        <f t="shared" si="107"/>
        <v>16.48</v>
      </c>
      <c r="AW409" s="35">
        <v>46297</v>
      </c>
      <c r="AX409" s="30">
        <v>1</v>
      </c>
      <c r="AY409" s="32">
        <f t="shared" si="109"/>
        <v>16.48</v>
      </c>
      <c r="AZ409" s="30" t="s">
        <v>85</v>
      </c>
      <c r="BA409" s="63" t="s">
        <v>1399</v>
      </c>
      <c r="BB409" s="71"/>
      <c r="BC409" s="71" t="s">
        <v>859</v>
      </c>
      <c r="BD409" s="71"/>
    </row>
    <row r="410" spans="1:56" x14ac:dyDescent="0.25">
      <c r="A410" s="24">
        <f>IF(B410="","",SUBTOTAL(3,$B$4:B410))</f>
        <v>391</v>
      </c>
      <c r="B410" s="25" t="s">
        <v>77</v>
      </c>
      <c r="C410" s="25" t="str">
        <f t="shared" si="118"/>
        <v>Shipment 2 400</v>
      </c>
      <c r="D410" s="25" t="s">
        <v>1252</v>
      </c>
      <c r="E410" s="25">
        <v>400</v>
      </c>
      <c r="F410" s="25"/>
      <c r="G410" s="65">
        <v>45990</v>
      </c>
      <c r="H410" s="25" t="s">
        <v>1257</v>
      </c>
      <c r="I410" s="25" t="s">
        <v>1254</v>
      </c>
      <c r="J410" s="26" t="s">
        <v>1302</v>
      </c>
      <c r="K410" s="27" t="s">
        <v>860</v>
      </c>
      <c r="L410" s="28" t="s">
        <v>861</v>
      </c>
      <c r="M410" s="28" t="s">
        <v>833</v>
      </c>
      <c r="N410" s="25">
        <v>1</v>
      </c>
      <c r="O410" s="29">
        <v>15.33</v>
      </c>
      <c r="P410" s="29">
        <v>15.33</v>
      </c>
      <c r="Q410" s="25" t="s">
        <v>1196</v>
      </c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01"/>
        <v>15.33</v>
      </c>
      <c r="AF410" s="32">
        <f t="shared" si="102"/>
        <v>0</v>
      </c>
      <c r="AG410" s="30"/>
      <c r="AH410" s="33">
        <v>1</v>
      </c>
      <c r="AI410" s="34">
        <f t="shared" si="103"/>
        <v>15.33</v>
      </c>
      <c r="AJ410" s="35">
        <v>46281</v>
      </c>
      <c r="AK410" s="30">
        <v>1</v>
      </c>
      <c r="AL410" s="36">
        <f t="shared" si="124"/>
        <v>15.33</v>
      </c>
      <c r="AM410" s="35">
        <v>46281</v>
      </c>
      <c r="AN410" s="30">
        <v>1</v>
      </c>
      <c r="AO410" s="36">
        <f t="shared" si="125"/>
        <v>15.33</v>
      </c>
      <c r="AP410" s="35"/>
      <c r="AQ410" s="30"/>
      <c r="AR410" s="36">
        <f t="shared" si="106"/>
        <v>0</v>
      </c>
      <c r="AS410" s="27" t="s">
        <v>1370</v>
      </c>
      <c r="AT410" s="37">
        <v>46281</v>
      </c>
      <c r="AU410" s="30">
        <v>1</v>
      </c>
      <c r="AV410" s="36">
        <f t="shared" si="107"/>
        <v>15.33</v>
      </c>
      <c r="AW410" s="35">
        <v>46297</v>
      </c>
      <c r="AX410" s="30">
        <v>1</v>
      </c>
      <c r="AY410" s="32">
        <f t="shared" si="109"/>
        <v>15.33</v>
      </c>
      <c r="AZ410" s="30" t="s">
        <v>85</v>
      </c>
      <c r="BA410" s="63" t="s">
        <v>1399</v>
      </c>
      <c r="BB410" s="71"/>
      <c r="BC410" s="71" t="s">
        <v>1358</v>
      </c>
      <c r="BD410" s="71"/>
    </row>
    <row r="411" spans="1:56" x14ac:dyDescent="0.25">
      <c r="A411" s="24">
        <f>IF(B411="","",SUBTOTAL(3,$B$4:B411))</f>
        <v>392</v>
      </c>
      <c r="B411" s="25" t="s">
        <v>77</v>
      </c>
      <c r="C411" s="25" t="str">
        <f t="shared" si="118"/>
        <v>Shipment 2 400</v>
      </c>
      <c r="D411" s="25" t="s">
        <v>1252</v>
      </c>
      <c r="E411" s="25">
        <v>400</v>
      </c>
      <c r="F411" s="25"/>
      <c r="G411" s="65">
        <v>45990</v>
      </c>
      <c r="H411" s="25" t="s">
        <v>1257</v>
      </c>
      <c r="I411" s="25" t="s">
        <v>1254</v>
      </c>
      <c r="J411" s="26" t="s">
        <v>1302</v>
      </c>
      <c r="K411" s="27" t="s">
        <v>860</v>
      </c>
      <c r="L411" s="28" t="s">
        <v>862</v>
      </c>
      <c r="M411" s="28" t="s">
        <v>833</v>
      </c>
      <c r="N411" s="25">
        <v>1</v>
      </c>
      <c r="O411" s="29">
        <v>15.33</v>
      </c>
      <c r="P411" s="29">
        <v>15.33</v>
      </c>
      <c r="Q411" s="25" t="s">
        <v>1196</v>
      </c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ref="AE411:AE474" si="126">+AL411*0.5+AO411*0.4+AV411*0.1</f>
        <v>15.33</v>
      </c>
      <c r="AF411" s="32">
        <f t="shared" ref="AF411:AF474" si="127">+P411-AE411</f>
        <v>0</v>
      </c>
      <c r="AG411" s="30"/>
      <c r="AH411" s="33">
        <v>1</v>
      </c>
      <c r="AI411" s="34">
        <f t="shared" ref="AI411:AI474" si="128">+AH411*P411</f>
        <v>15.33</v>
      </c>
      <c r="AJ411" s="35">
        <v>46281</v>
      </c>
      <c r="AK411" s="30">
        <v>1</v>
      </c>
      <c r="AL411" s="36">
        <f t="shared" si="124"/>
        <v>15.33</v>
      </c>
      <c r="AM411" s="35">
        <v>46281</v>
      </c>
      <c r="AN411" s="30">
        <v>1</v>
      </c>
      <c r="AO411" s="36">
        <f t="shared" si="125"/>
        <v>15.33</v>
      </c>
      <c r="AP411" s="35"/>
      <c r="AQ411" s="30"/>
      <c r="AR411" s="36">
        <f t="shared" ref="AR411:AR474" si="129">IFERROR(AQ411*$P411/$N411,0)</f>
        <v>0</v>
      </c>
      <c r="AS411" s="27" t="s">
        <v>1370</v>
      </c>
      <c r="AT411" s="37">
        <v>46281</v>
      </c>
      <c r="AU411" s="30">
        <v>1</v>
      </c>
      <c r="AV411" s="36">
        <f t="shared" ref="AV411:AV474" si="130">IFERROR(AU411*$P411/$N411,0)</f>
        <v>15.33</v>
      </c>
      <c r="AW411" s="35">
        <v>46297</v>
      </c>
      <c r="AX411" s="30">
        <v>1</v>
      </c>
      <c r="AY411" s="32">
        <f t="shared" ref="AY411:AY474" si="131">IFERROR(AX411*$P411/$N411,0)</f>
        <v>15.33</v>
      </c>
      <c r="AZ411" s="30" t="s">
        <v>85</v>
      </c>
      <c r="BA411" s="63" t="s">
        <v>1399</v>
      </c>
      <c r="BB411" s="71"/>
      <c r="BC411" s="71" t="s">
        <v>1358</v>
      </c>
      <c r="BD411" s="71"/>
    </row>
    <row r="412" spans="1:56" x14ac:dyDescent="0.25">
      <c r="A412" s="24">
        <f>IF(B412="","",SUBTOTAL(3,$B$4:B412))</f>
        <v>393</v>
      </c>
      <c r="B412" s="25" t="s">
        <v>77</v>
      </c>
      <c r="C412" s="25" t="str">
        <f t="shared" si="118"/>
        <v>Shipment 2 400</v>
      </c>
      <c r="D412" s="25" t="s">
        <v>1252</v>
      </c>
      <c r="E412" s="25">
        <v>400</v>
      </c>
      <c r="F412" s="25"/>
      <c r="G412" s="65">
        <v>45990</v>
      </c>
      <c r="H412" s="25" t="s">
        <v>1257</v>
      </c>
      <c r="I412" s="25" t="s">
        <v>1254</v>
      </c>
      <c r="J412" s="26" t="s">
        <v>1302</v>
      </c>
      <c r="K412" s="27" t="s">
        <v>863</v>
      </c>
      <c r="L412" s="28" t="s">
        <v>864</v>
      </c>
      <c r="M412" s="28" t="s">
        <v>833</v>
      </c>
      <c r="N412" s="25">
        <v>1</v>
      </c>
      <c r="O412" s="29">
        <v>15.33</v>
      </c>
      <c r="P412" s="29">
        <v>15.33</v>
      </c>
      <c r="Q412" s="25" t="s">
        <v>1196</v>
      </c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26"/>
        <v>15.33</v>
      </c>
      <c r="AF412" s="32">
        <f t="shared" si="127"/>
        <v>0</v>
      </c>
      <c r="AG412" s="30"/>
      <c r="AH412" s="33">
        <v>1</v>
      </c>
      <c r="AI412" s="34">
        <f t="shared" si="128"/>
        <v>15.33</v>
      </c>
      <c r="AJ412" s="35">
        <v>46281</v>
      </c>
      <c r="AK412" s="30">
        <v>1</v>
      </c>
      <c r="AL412" s="36">
        <f t="shared" si="124"/>
        <v>15.33</v>
      </c>
      <c r="AM412" s="35">
        <v>46281</v>
      </c>
      <c r="AN412" s="30">
        <v>1</v>
      </c>
      <c r="AO412" s="36">
        <f t="shared" si="125"/>
        <v>15.33</v>
      </c>
      <c r="AP412" s="35"/>
      <c r="AQ412" s="30"/>
      <c r="AR412" s="36">
        <f t="shared" si="129"/>
        <v>0</v>
      </c>
      <c r="AS412" s="27" t="s">
        <v>1370</v>
      </c>
      <c r="AT412" s="37">
        <v>46281</v>
      </c>
      <c r="AU412" s="30">
        <v>1</v>
      </c>
      <c r="AV412" s="36">
        <f t="shared" si="130"/>
        <v>15.33</v>
      </c>
      <c r="AW412" s="35">
        <v>46297</v>
      </c>
      <c r="AX412" s="30">
        <v>1</v>
      </c>
      <c r="AY412" s="32">
        <f t="shared" si="131"/>
        <v>15.33</v>
      </c>
      <c r="AZ412" s="30" t="s">
        <v>85</v>
      </c>
      <c r="BA412" s="63" t="s">
        <v>1399</v>
      </c>
      <c r="BB412" s="71"/>
      <c r="BC412" s="71" t="s">
        <v>864</v>
      </c>
      <c r="BD412" s="71"/>
    </row>
    <row r="413" spans="1:56" x14ac:dyDescent="0.25">
      <c r="A413" s="24">
        <f>IF(B413="","",SUBTOTAL(3,$B$4:B413))</f>
        <v>394</v>
      </c>
      <c r="B413" s="25" t="s">
        <v>77</v>
      </c>
      <c r="C413" s="25" t="str">
        <f t="shared" si="118"/>
        <v>Shipment 2 400</v>
      </c>
      <c r="D413" s="25" t="s">
        <v>1252</v>
      </c>
      <c r="E413" s="25">
        <v>400</v>
      </c>
      <c r="F413" s="25"/>
      <c r="G413" s="65">
        <v>45990</v>
      </c>
      <c r="H413" s="25" t="s">
        <v>1257</v>
      </c>
      <c r="I413" s="25" t="s">
        <v>1254</v>
      </c>
      <c r="J413" s="26" t="s">
        <v>1302</v>
      </c>
      <c r="K413" s="27" t="s">
        <v>865</v>
      </c>
      <c r="L413" s="28" t="s">
        <v>866</v>
      </c>
      <c r="M413" s="28" t="s">
        <v>833</v>
      </c>
      <c r="N413" s="25">
        <v>1</v>
      </c>
      <c r="O413" s="29">
        <v>15.33</v>
      </c>
      <c r="P413" s="29">
        <v>15.33</v>
      </c>
      <c r="Q413" s="25" t="s">
        <v>1196</v>
      </c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26"/>
        <v>15.33</v>
      </c>
      <c r="AF413" s="32">
        <f t="shared" si="127"/>
        <v>0</v>
      </c>
      <c r="AG413" s="30"/>
      <c r="AH413" s="33">
        <v>1</v>
      </c>
      <c r="AI413" s="34">
        <f t="shared" si="128"/>
        <v>15.33</v>
      </c>
      <c r="AJ413" s="35">
        <v>46281</v>
      </c>
      <c r="AK413" s="30">
        <v>1</v>
      </c>
      <c r="AL413" s="36">
        <f t="shared" si="124"/>
        <v>15.33</v>
      </c>
      <c r="AM413" s="35">
        <v>46281</v>
      </c>
      <c r="AN413" s="30">
        <v>1</v>
      </c>
      <c r="AO413" s="36">
        <f t="shared" si="125"/>
        <v>15.33</v>
      </c>
      <c r="AP413" s="35"/>
      <c r="AQ413" s="30"/>
      <c r="AR413" s="36">
        <f t="shared" si="129"/>
        <v>0</v>
      </c>
      <c r="AS413" s="27" t="s">
        <v>1370</v>
      </c>
      <c r="AT413" s="37">
        <v>46281</v>
      </c>
      <c r="AU413" s="30">
        <v>1</v>
      </c>
      <c r="AV413" s="36">
        <f t="shared" si="130"/>
        <v>15.33</v>
      </c>
      <c r="AW413" s="35">
        <v>46297</v>
      </c>
      <c r="AX413" s="30">
        <v>1</v>
      </c>
      <c r="AY413" s="32">
        <f t="shared" si="131"/>
        <v>15.33</v>
      </c>
      <c r="AZ413" s="30" t="s">
        <v>85</v>
      </c>
      <c r="BA413" s="63" t="s">
        <v>1399</v>
      </c>
      <c r="BB413" s="71"/>
      <c r="BC413" s="71" t="s">
        <v>866</v>
      </c>
      <c r="BD413" s="71"/>
    </row>
    <row r="414" spans="1:56" x14ac:dyDescent="0.25">
      <c r="A414" s="24">
        <f>IF(B414="","",SUBTOTAL(3,$B$4:B414))</f>
        <v>395</v>
      </c>
      <c r="B414" s="25" t="s">
        <v>77</v>
      </c>
      <c r="C414" s="25" t="str">
        <f t="shared" si="118"/>
        <v>Shipment 2 400</v>
      </c>
      <c r="D414" s="25" t="s">
        <v>1252</v>
      </c>
      <c r="E414" s="25">
        <v>400</v>
      </c>
      <c r="F414" s="25"/>
      <c r="G414" s="65">
        <v>45990</v>
      </c>
      <c r="H414" s="25" t="s">
        <v>1257</v>
      </c>
      <c r="I414" s="25" t="s">
        <v>1254</v>
      </c>
      <c r="J414" s="26" t="s">
        <v>1302</v>
      </c>
      <c r="K414" s="27" t="s">
        <v>867</v>
      </c>
      <c r="L414" s="28" t="s">
        <v>868</v>
      </c>
      <c r="M414" s="28" t="s">
        <v>833</v>
      </c>
      <c r="N414" s="25">
        <v>1</v>
      </c>
      <c r="O414" s="29">
        <v>15.09</v>
      </c>
      <c r="P414" s="29">
        <v>15.09</v>
      </c>
      <c r="Q414" s="25" t="s">
        <v>1196</v>
      </c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26"/>
        <v>15.09</v>
      </c>
      <c r="AF414" s="32">
        <f t="shared" si="127"/>
        <v>0</v>
      </c>
      <c r="AG414" s="30"/>
      <c r="AH414" s="33">
        <v>1</v>
      </c>
      <c r="AI414" s="34">
        <f t="shared" si="128"/>
        <v>15.09</v>
      </c>
      <c r="AJ414" s="35">
        <v>46281</v>
      </c>
      <c r="AK414" s="30">
        <v>1</v>
      </c>
      <c r="AL414" s="36">
        <f t="shared" si="124"/>
        <v>15.09</v>
      </c>
      <c r="AM414" s="35">
        <v>46281</v>
      </c>
      <c r="AN414" s="30">
        <v>1</v>
      </c>
      <c r="AO414" s="36">
        <f t="shared" si="125"/>
        <v>15.09</v>
      </c>
      <c r="AP414" s="35"/>
      <c r="AQ414" s="30"/>
      <c r="AR414" s="36">
        <f t="shared" si="129"/>
        <v>0</v>
      </c>
      <c r="AS414" s="27" t="s">
        <v>1370</v>
      </c>
      <c r="AT414" s="37">
        <v>46281</v>
      </c>
      <c r="AU414" s="30">
        <v>1</v>
      </c>
      <c r="AV414" s="36">
        <f t="shared" si="130"/>
        <v>15.09</v>
      </c>
      <c r="AW414" s="35">
        <v>46297</v>
      </c>
      <c r="AX414" s="30">
        <v>1</v>
      </c>
      <c r="AY414" s="32">
        <f t="shared" si="131"/>
        <v>15.09</v>
      </c>
      <c r="AZ414" s="30" t="s">
        <v>85</v>
      </c>
      <c r="BA414" s="63" t="s">
        <v>1399</v>
      </c>
      <c r="BB414" s="71"/>
      <c r="BC414" s="71" t="s">
        <v>868</v>
      </c>
      <c r="BD414" s="71"/>
    </row>
    <row r="415" spans="1:56" x14ac:dyDescent="0.25">
      <c r="A415" s="24">
        <f>IF(B415="","",SUBTOTAL(3,$B$4:B415))</f>
        <v>396</v>
      </c>
      <c r="B415" s="25" t="s">
        <v>77</v>
      </c>
      <c r="C415" s="25" t="str">
        <f t="shared" si="118"/>
        <v>Shipment 2 400</v>
      </c>
      <c r="D415" s="25" t="s">
        <v>1252</v>
      </c>
      <c r="E415" s="25">
        <v>400</v>
      </c>
      <c r="F415" s="25"/>
      <c r="G415" s="65">
        <v>45990</v>
      </c>
      <c r="H415" s="25" t="s">
        <v>1257</v>
      </c>
      <c r="I415" s="25" t="s">
        <v>1254</v>
      </c>
      <c r="J415" s="26" t="s">
        <v>1302</v>
      </c>
      <c r="K415" s="27" t="s">
        <v>869</v>
      </c>
      <c r="L415" s="28" t="s">
        <v>870</v>
      </c>
      <c r="M415" s="28" t="s">
        <v>833</v>
      </c>
      <c r="N415" s="25">
        <v>1</v>
      </c>
      <c r="O415" s="29">
        <v>15.09</v>
      </c>
      <c r="P415" s="29">
        <v>15.09</v>
      </c>
      <c r="Q415" s="25" t="s">
        <v>1196</v>
      </c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26"/>
        <v>15.09</v>
      </c>
      <c r="AF415" s="32">
        <f t="shared" si="127"/>
        <v>0</v>
      </c>
      <c r="AG415" s="30"/>
      <c r="AH415" s="33">
        <v>1</v>
      </c>
      <c r="AI415" s="34">
        <f t="shared" si="128"/>
        <v>15.09</v>
      </c>
      <c r="AJ415" s="35">
        <v>46281</v>
      </c>
      <c r="AK415" s="30">
        <v>1</v>
      </c>
      <c r="AL415" s="36">
        <f t="shared" si="124"/>
        <v>15.09</v>
      </c>
      <c r="AM415" s="35">
        <v>46281</v>
      </c>
      <c r="AN415" s="30">
        <v>1</v>
      </c>
      <c r="AO415" s="36">
        <f t="shared" si="125"/>
        <v>15.09</v>
      </c>
      <c r="AP415" s="35"/>
      <c r="AQ415" s="30"/>
      <c r="AR415" s="36">
        <f t="shared" si="129"/>
        <v>0</v>
      </c>
      <c r="AS415" s="27" t="s">
        <v>1370</v>
      </c>
      <c r="AT415" s="37">
        <v>46281</v>
      </c>
      <c r="AU415" s="30">
        <v>1</v>
      </c>
      <c r="AV415" s="36">
        <f t="shared" si="130"/>
        <v>15.09</v>
      </c>
      <c r="AW415" s="35">
        <v>46297</v>
      </c>
      <c r="AX415" s="30">
        <v>1</v>
      </c>
      <c r="AY415" s="32">
        <f t="shared" si="131"/>
        <v>15.09</v>
      </c>
      <c r="AZ415" s="30" t="s">
        <v>85</v>
      </c>
      <c r="BA415" s="63" t="s">
        <v>1399</v>
      </c>
      <c r="BB415" s="71"/>
      <c r="BC415" s="71" t="s">
        <v>870</v>
      </c>
      <c r="BD415" s="71"/>
    </row>
    <row r="416" spans="1:56" x14ac:dyDescent="0.25">
      <c r="A416" s="24">
        <f>IF(B416="","",SUBTOTAL(3,$B$4:B416))</f>
        <v>397</v>
      </c>
      <c r="B416" s="25" t="s">
        <v>77</v>
      </c>
      <c r="C416" s="25" t="str">
        <f t="shared" si="118"/>
        <v>Shipment 2 400</v>
      </c>
      <c r="D416" s="25" t="s">
        <v>1252</v>
      </c>
      <c r="E416" s="25">
        <v>400</v>
      </c>
      <c r="F416" s="25"/>
      <c r="G416" s="65">
        <v>45990</v>
      </c>
      <c r="H416" s="25" t="s">
        <v>1257</v>
      </c>
      <c r="I416" s="25" t="s">
        <v>1254</v>
      </c>
      <c r="J416" s="26" t="s">
        <v>1302</v>
      </c>
      <c r="K416" s="27" t="s">
        <v>871</v>
      </c>
      <c r="L416" s="28" t="s">
        <v>872</v>
      </c>
      <c r="M416" s="28" t="s">
        <v>833</v>
      </c>
      <c r="N416" s="25">
        <v>1</v>
      </c>
      <c r="O416" s="29">
        <v>15.16</v>
      </c>
      <c r="P416" s="29">
        <v>15.16</v>
      </c>
      <c r="Q416" s="25" t="s">
        <v>1196</v>
      </c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26"/>
        <v>15.16</v>
      </c>
      <c r="AF416" s="32">
        <f t="shared" si="127"/>
        <v>0</v>
      </c>
      <c r="AG416" s="30"/>
      <c r="AH416" s="33">
        <v>1</v>
      </c>
      <c r="AI416" s="34">
        <f t="shared" si="128"/>
        <v>15.16</v>
      </c>
      <c r="AJ416" s="35">
        <v>46281</v>
      </c>
      <c r="AK416" s="30">
        <v>1</v>
      </c>
      <c r="AL416" s="36">
        <f t="shared" si="124"/>
        <v>15.16</v>
      </c>
      <c r="AM416" s="35">
        <v>46281</v>
      </c>
      <c r="AN416" s="30">
        <v>1</v>
      </c>
      <c r="AO416" s="36">
        <f t="shared" si="125"/>
        <v>15.16</v>
      </c>
      <c r="AP416" s="35"/>
      <c r="AQ416" s="30"/>
      <c r="AR416" s="36">
        <f t="shared" si="129"/>
        <v>0</v>
      </c>
      <c r="AS416" s="27" t="s">
        <v>1370</v>
      </c>
      <c r="AT416" s="37">
        <v>46281</v>
      </c>
      <c r="AU416" s="30">
        <v>1</v>
      </c>
      <c r="AV416" s="36">
        <f t="shared" si="130"/>
        <v>15.16</v>
      </c>
      <c r="AW416" s="35">
        <v>46297</v>
      </c>
      <c r="AX416" s="30">
        <v>1</v>
      </c>
      <c r="AY416" s="32">
        <f t="shared" si="131"/>
        <v>15.16</v>
      </c>
      <c r="AZ416" s="30" t="s">
        <v>85</v>
      </c>
      <c r="BA416" s="63" t="s">
        <v>1399</v>
      </c>
      <c r="BB416" s="71"/>
      <c r="BC416" s="71" t="s">
        <v>872</v>
      </c>
      <c r="BD416" s="71"/>
    </row>
    <row r="417" spans="1:56" x14ac:dyDescent="0.25">
      <c r="A417" s="24">
        <f>IF(B417="","",SUBTOTAL(3,$B$4:B417))</f>
        <v>398</v>
      </c>
      <c r="B417" s="25" t="s">
        <v>77</v>
      </c>
      <c r="C417" s="25" t="str">
        <f t="shared" si="118"/>
        <v>Shipment 2 400</v>
      </c>
      <c r="D417" s="25" t="s">
        <v>1252</v>
      </c>
      <c r="E417" s="25">
        <v>400</v>
      </c>
      <c r="F417" s="25"/>
      <c r="G417" s="65">
        <v>45990</v>
      </c>
      <c r="H417" s="25" t="s">
        <v>1257</v>
      </c>
      <c r="I417" s="25" t="s">
        <v>1254</v>
      </c>
      <c r="J417" s="26" t="s">
        <v>1302</v>
      </c>
      <c r="K417" s="27" t="s">
        <v>873</v>
      </c>
      <c r="L417" s="28" t="s">
        <v>874</v>
      </c>
      <c r="M417" s="28" t="s">
        <v>833</v>
      </c>
      <c r="N417" s="25">
        <v>1</v>
      </c>
      <c r="O417" s="29">
        <v>15.16</v>
      </c>
      <c r="P417" s="29">
        <v>15.16</v>
      </c>
      <c r="Q417" s="25" t="s">
        <v>1196</v>
      </c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26"/>
        <v>15.16</v>
      </c>
      <c r="AF417" s="32">
        <f t="shared" si="127"/>
        <v>0</v>
      </c>
      <c r="AG417" s="30"/>
      <c r="AH417" s="33">
        <v>1</v>
      </c>
      <c r="AI417" s="34">
        <f t="shared" si="128"/>
        <v>15.16</v>
      </c>
      <c r="AJ417" s="35">
        <v>46281</v>
      </c>
      <c r="AK417" s="30">
        <v>1</v>
      </c>
      <c r="AL417" s="36">
        <f t="shared" si="124"/>
        <v>15.16</v>
      </c>
      <c r="AM417" s="35">
        <v>46281</v>
      </c>
      <c r="AN417" s="30">
        <v>1</v>
      </c>
      <c r="AO417" s="36">
        <f t="shared" si="125"/>
        <v>15.16</v>
      </c>
      <c r="AP417" s="35"/>
      <c r="AQ417" s="30"/>
      <c r="AR417" s="36">
        <f t="shared" si="129"/>
        <v>0</v>
      </c>
      <c r="AS417" s="27" t="s">
        <v>1370</v>
      </c>
      <c r="AT417" s="37">
        <v>46281</v>
      </c>
      <c r="AU417" s="30">
        <v>1</v>
      </c>
      <c r="AV417" s="36">
        <f t="shared" si="130"/>
        <v>15.16</v>
      </c>
      <c r="AW417" s="35">
        <v>46297</v>
      </c>
      <c r="AX417" s="30">
        <v>1</v>
      </c>
      <c r="AY417" s="32">
        <f t="shared" si="131"/>
        <v>15.16</v>
      </c>
      <c r="AZ417" s="30" t="s">
        <v>85</v>
      </c>
      <c r="BA417" s="63" t="s">
        <v>1399</v>
      </c>
      <c r="BB417" s="71"/>
      <c r="BC417" s="71" t="s">
        <v>874</v>
      </c>
      <c r="BD417" s="71"/>
    </row>
    <row r="418" spans="1:56" x14ac:dyDescent="0.25">
      <c r="A418" s="24">
        <f>IF(B418="","",SUBTOTAL(3,$B$4:B418))</f>
        <v>399</v>
      </c>
      <c r="B418" s="25" t="s">
        <v>77</v>
      </c>
      <c r="C418" s="25" t="str">
        <f t="shared" si="118"/>
        <v>Shipment 2 400</v>
      </c>
      <c r="D418" s="25" t="s">
        <v>1252</v>
      </c>
      <c r="E418" s="25">
        <v>400</v>
      </c>
      <c r="F418" s="25"/>
      <c r="G418" s="65">
        <v>45990</v>
      </c>
      <c r="H418" s="25" t="s">
        <v>1257</v>
      </c>
      <c r="I418" s="25" t="s">
        <v>1254</v>
      </c>
      <c r="J418" s="26" t="s">
        <v>1302</v>
      </c>
      <c r="K418" s="27" t="s">
        <v>875</v>
      </c>
      <c r="L418" s="28" t="s">
        <v>876</v>
      </c>
      <c r="M418" s="28" t="s">
        <v>833</v>
      </c>
      <c r="N418" s="25">
        <v>1</v>
      </c>
      <c r="O418" s="29">
        <v>15.16</v>
      </c>
      <c r="P418" s="29">
        <v>15.16</v>
      </c>
      <c r="Q418" s="25" t="s">
        <v>1196</v>
      </c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26"/>
        <v>15.16</v>
      </c>
      <c r="AF418" s="32">
        <f t="shared" si="127"/>
        <v>0</v>
      </c>
      <c r="AG418" s="30"/>
      <c r="AH418" s="33">
        <v>1</v>
      </c>
      <c r="AI418" s="34">
        <f t="shared" si="128"/>
        <v>15.16</v>
      </c>
      <c r="AJ418" s="35">
        <v>46281</v>
      </c>
      <c r="AK418" s="30">
        <v>1</v>
      </c>
      <c r="AL418" s="36">
        <f t="shared" si="124"/>
        <v>15.16</v>
      </c>
      <c r="AM418" s="35">
        <v>46281</v>
      </c>
      <c r="AN418" s="30">
        <v>1</v>
      </c>
      <c r="AO418" s="36">
        <f t="shared" si="125"/>
        <v>15.16</v>
      </c>
      <c r="AP418" s="35"/>
      <c r="AQ418" s="30"/>
      <c r="AR418" s="36">
        <f t="shared" si="129"/>
        <v>0</v>
      </c>
      <c r="AS418" s="27" t="s">
        <v>1370</v>
      </c>
      <c r="AT418" s="37">
        <v>46281</v>
      </c>
      <c r="AU418" s="30">
        <v>1</v>
      </c>
      <c r="AV418" s="36">
        <f t="shared" si="130"/>
        <v>15.16</v>
      </c>
      <c r="AW418" s="35">
        <v>46297</v>
      </c>
      <c r="AX418" s="30">
        <v>1</v>
      </c>
      <c r="AY418" s="32">
        <f t="shared" si="131"/>
        <v>15.16</v>
      </c>
      <c r="AZ418" s="30" t="s">
        <v>85</v>
      </c>
      <c r="BA418" s="63" t="s">
        <v>1399</v>
      </c>
      <c r="BB418" s="71"/>
      <c r="BC418" s="71" t="s">
        <v>876</v>
      </c>
      <c r="BD418" s="71"/>
    </row>
    <row r="419" spans="1:56" x14ac:dyDescent="0.25">
      <c r="A419" s="24">
        <f>IF(B419="","",SUBTOTAL(3,$B$4:B419))</f>
        <v>400</v>
      </c>
      <c r="B419" s="25" t="s">
        <v>77</v>
      </c>
      <c r="C419" s="25" t="str">
        <f t="shared" si="118"/>
        <v>Shipment 2 400</v>
      </c>
      <c r="D419" s="25" t="s">
        <v>1252</v>
      </c>
      <c r="E419" s="25">
        <v>400</v>
      </c>
      <c r="F419" s="25"/>
      <c r="G419" s="65">
        <v>45990</v>
      </c>
      <c r="H419" s="25" t="s">
        <v>1257</v>
      </c>
      <c r="I419" s="25" t="s">
        <v>1254</v>
      </c>
      <c r="J419" s="26" t="s">
        <v>1302</v>
      </c>
      <c r="K419" s="27" t="s">
        <v>877</v>
      </c>
      <c r="L419" s="28" t="s">
        <v>878</v>
      </c>
      <c r="M419" s="28" t="s">
        <v>833</v>
      </c>
      <c r="N419" s="25">
        <v>1</v>
      </c>
      <c r="O419" s="29">
        <v>15.16</v>
      </c>
      <c r="P419" s="29">
        <v>15.16</v>
      </c>
      <c r="Q419" s="25" t="s">
        <v>1196</v>
      </c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26"/>
        <v>15.16</v>
      </c>
      <c r="AF419" s="32">
        <f t="shared" si="127"/>
        <v>0</v>
      </c>
      <c r="AG419" s="30"/>
      <c r="AH419" s="33">
        <v>1</v>
      </c>
      <c r="AI419" s="34">
        <f t="shared" si="128"/>
        <v>15.16</v>
      </c>
      <c r="AJ419" s="35">
        <v>46281</v>
      </c>
      <c r="AK419" s="30">
        <v>1</v>
      </c>
      <c r="AL419" s="36">
        <f t="shared" si="124"/>
        <v>15.16</v>
      </c>
      <c r="AM419" s="35">
        <v>46281</v>
      </c>
      <c r="AN419" s="30">
        <v>1</v>
      </c>
      <c r="AO419" s="36">
        <f t="shared" si="125"/>
        <v>15.16</v>
      </c>
      <c r="AP419" s="35"/>
      <c r="AQ419" s="30"/>
      <c r="AR419" s="36">
        <f t="shared" si="129"/>
        <v>0</v>
      </c>
      <c r="AS419" s="27" t="s">
        <v>1370</v>
      </c>
      <c r="AT419" s="37">
        <v>46281</v>
      </c>
      <c r="AU419" s="30">
        <v>1</v>
      </c>
      <c r="AV419" s="36">
        <f t="shared" si="130"/>
        <v>15.16</v>
      </c>
      <c r="AW419" s="35">
        <v>46297</v>
      </c>
      <c r="AX419" s="30">
        <v>1</v>
      </c>
      <c r="AY419" s="32">
        <f t="shared" si="131"/>
        <v>15.16</v>
      </c>
      <c r="AZ419" s="30" t="s">
        <v>85</v>
      </c>
      <c r="BA419" s="63" t="s">
        <v>1399</v>
      </c>
      <c r="BB419" s="71"/>
      <c r="BC419" s="71" t="s">
        <v>878</v>
      </c>
      <c r="BD419" s="71"/>
    </row>
    <row r="420" spans="1:56" x14ac:dyDescent="0.25">
      <c r="A420" s="24">
        <f>IF(B420="","",SUBTOTAL(3,$B$4:B420))</f>
        <v>401</v>
      </c>
      <c r="B420" s="25" t="s">
        <v>77</v>
      </c>
      <c r="C420" s="25" t="str">
        <f t="shared" si="118"/>
        <v>Shipment 2 400</v>
      </c>
      <c r="D420" s="25" t="s">
        <v>1252</v>
      </c>
      <c r="E420" s="25">
        <v>400</v>
      </c>
      <c r="F420" s="25"/>
      <c r="G420" s="65">
        <v>45990</v>
      </c>
      <c r="H420" s="25" t="s">
        <v>1257</v>
      </c>
      <c r="I420" s="25" t="s">
        <v>1254</v>
      </c>
      <c r="J420" s="26" t="s">
        <v>1301</v>
      </c>
      <c r="K420" s="27" t="s">
        <v>879</v>
      </c>
      <c r="L420" s="28" t="s">
        <v>880</v>
      </c>
      <c r="M420" s="28" t="s">
        <v>833</v>
      </c>
      <c r="N420" s="25">
        <v>1</v>
      </c>
      <c r="O420" s="29">
        <v>13.8</v>
      </c>
      <c r="P420" s="29">
        <v>13.8</v>
      </c>
      <c r="Q420" s="25" t="s">
        <v>1199</v>
      </c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26"/>
        <v>13.800000000000002</v>
      </c>
      <c r="AF420" s="32">
        <f t="shared" si="127"/>
        <v>0</v>
      </c>
      <c r="AG420" s="30"/>
      <c r="AH420" s="33">
        <v>1</v>
      </c>
      <c r="AI420" s="34">
        <f t="shared" si="128"/>
        <v>13.8</v>
      </c>
      <c r="AJ420" s="35">
        <v>46281</v>
      </c>
      <c r="AK420" s="30">
        <v>1</v>
      </c>
      <c r="AL420" s="36">
        <f t="shared" ref="AL420:AL474" si="132">IFERROR(AK420*$P420/$N420,0)</f>
        <v>13.8</v>
      </c>
      <c r="AM420" s="35">
        <v>46281</v>
      </c>
      <c r="AN420" s="30">
        <v>1</v>
      </c>
      <c r="AO420" s="36">
        <f t="shared" ref="AO420:AO474" si="133">IFERROR(AN420*$P420/$N420,0)</f>
        <v>13.8</v>
      </c>
      <c r="AP420" s="35"/>
      <c r="AQ420" s="30"/>
      <c r="AR420" s="36">
        <f t="shared" si="129"/>
        <v>0</v>
      </c>
      <c r="AS420" s="27" t="s">
        <v>1399</v>
      </c>
      <c r="AT420" s="37">
        <v>46294</v>
      </c>
      <c r="AU420" s="30">
        <v>1</v>
      </c>
      <c r="AV420" s="36">
        <f t="shared" si="130"/>
        <v>13.8</v>
      </c>
      <c r="AW420" s="35">
        <v>46297</v>
      </c>
      <c r="AX420" s="30">
        <v>1</v>
      </c>
      <c r="AY420" s="32">
        <f t="shared" si="131"/>
        <v>13.8</v>
      </c>
      <c r="AZ420" s="30" t="s">
        <v>85</v>
      </c>
      <c r="BA420" s="63" t="s">
        <v>1400</v>
      </c>
      <c r="BB420" s="71" t="e">
        <f>SUMIFS([1]Form!$F$9:$F$67,[1]Form!$K$9:$K$67,L420)</f>
        <v>#VALUE!</v>
      </c>
      <c r="BC420" s="71" t="s">
        <v>880</v>
      </c>
      <c r="BD420" s="71"/>
    </row>
    <row r="421" spans="1:56" x14ac:dyDescent="0.25">
      <c r="A421" s="24">
        <f>IF(B421="","",SUBTOTAL(3,$B$4:B421))</f>
        <v>402</v>
      </c>
      <c r="B421" s="25" t="s">
        <v>77</v>
      </c>
      <c r="C421" s="25" t="str">
        <f t="shared" si="118"/>
        <v>Shipment 2 400</v>
      </c>
      <c r="D421" s="25" t="s">
        <v>1252</v>
      </c>
      <c r="E421" s="25">
        <v>400</v>
      </c>
      <c r="F421" s="25"/>
      <c r="G421" s="65">
        <v>45990</v>
      </c>
      <c r="H421" s="25" t="s">
        <v>1257</v>
      </c>
      <c r="I421" s="25" t="s">
        <v>1254</v>
      </c>
      <c r="J421" s="26" t="s">
        <v>1301</v>
      </c>
      <c r="K421" s="27" t="s">
        <v>881</v>
      </c>
      <c r="L421" s="28" t="s">
        <v>882</v>
      </c>
      <c r="M421" s="28" t="s">
        <v>833</v>
      </c>
      <c r="N421" s="25">
        <v>1</v>
      </c>
      <c r="O421" s="29">
        <v>13.8</v>
      </c>
      <c r="P421" s="29">
        <v>13.8</v>
      </c>
      <c r="Q421" s="25" t="s">
        <v>1200</v>
      </c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26"/>
        <v>13.800000000000002</v>
      </c>
      <c r="AF421" s="32">
        <f t="shared" si="127"/>
        <v>0</v>
      </c>
      <c r="AG421" s="30"/>
      <c r="AH421" s="33">
        <v>1</v>
      </c>
      <c r="AI421" s="34">
        <f t="shared" si="128"/>
        <v>13.8</v>
      </c>
      <c r="AJ421" s="35">
        <v>46281</v>
      </c>
      <c r="AK421" s="30">
        <v>1</v>
      </c>
      <c r="AL421" s="36">
        <f t="shared" si="132"/>
        <v>13.8</v>
      </c>
      <c r="AM421" s="35">
        <v>46281</v>
      </c>
      <c r="AN421" s="30">
        <v>1</v>
      </c>
      <c r="AO421" s="36">
        <f t="shared" si="133"/>
        <v>13.8</v>
      </c>
      <c r="AP421" s="35"/>
      <c r="AQ421" s="30"/>
      <c r="AR421" s="36">
        <f t="shared" si="129"/>
        <v>0</v>
      </c>
      <c r="AS421" s="27" t="s">
        <v>1399</v>
      </c>
      <c r="AT421" s="37">
        <v>46294</v>
      </c>
      <c r="AU421" s="30">
        <v>1</v>
      </c>
      <c r="AV421" s="36">
        <f t="shared" si="130"/>
        <v>13.8</v>
      </c>
      <c r="AW421" s="35">
        <v>46297</v>
      </c>
      <c r="AX421" s="30">
        <v>1</v>
      </c>
      <c r="AY421" s="32">
        <f t="shared" si="131"/>
        <v>13.8</v>
      </c>
      <c r="AZ421" s="30" t="s">
        <v>85</v>
      </c>
      <c r="BA421" s="63" t="s">
        <v>1400</v>
      </c>
      <c r="BB421" s="71" t="e">
        <f>SUMIFS([1]Form!$F$9:$F$67,[1]Form!$K$9:$K$67,L421)</f>
        <v>#VALUE!</v>
      </c>
      <c r="BC421" s="71" t="s">
        <v>882</v>
      </c>
      <c r="BD421" s="71"/>
    </row>
    <row r="422" spans="1:56" x14ac:dyDescent="0.25">
      <c r="A422" s="24">
        <f>IF(B422="","",SUBTOTAL(3,$B$4:B422))</f>
        <v>403</v>
      </c>
      <c r="B422" s="25" t="s">
        <v>77</v>
      </c>
      <c r="C422" s="25" t="str">
        <f t="shared" si="118"/>
        <v>Shipment 2 400</v>
      </c>
      <c r="D422" s="25" t="s">
        <v>1252</v>
      </c>
      <c r="E422" s="25">
        <v>400</v>
      </c>
      <c r="F422" s="25"/>
      <c r="G422" s="65">
        <v>45990</v>
      </c>
      <c r="H422" s="25" t="s">
        <v>1257</v>
      </c>
      <c r="I422" s="25" t="s">
        <v>1254</v>
      </c>
      <c r="J422" s="26" t="s">
        <v>1301</v>
      </c>
      <c r="K422" s="27" t="s">
        <v>883</v>
      </c>
      <c r="L422" s="28" t="s">
        <v>884</v>
      </c>
      <c r="M422" s="28" t="s">
        <v>833</v>
      </c>
      <c r="N422" s="25">
        <v>1</v>
      </c>
      <c r="O422" s="29">
        <v>16.440000000000001</v>
      </c>
      <c r="P422" s="29">
        <v>16.440000000000001</v>
      </c>
      <c r="Q422" s="25" t="s">
        <v>1201</v>
      </c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26"/>
        <v>16.440000000000001</v>
      </c>
      <c r="AF422" s="32">
        <f t="shared" si="127"/>
        <v>0</v>
      </c>
      <c r="AG422" s="30"/>
      <c r="AH422" s="33">
        <v>1</v>
      </c>
      <c r="AI422" s="34">
        <f t="shared" si="128"/>
        <v>16.440000000000001</v>
      </c>
      <c r="AJ422" s="35">
        <v>46281</v>
      </c>
      <c r="AK422" s="30">
        <v>1</v>
      </c>
      <c r="AL422" s="36">
        <f t="shared" si="132"/>
        <v>16.440000000000001</v>
      </c>
      <c r="AM422" s="35">
        <v>46281</v>
      </c>
      <c r="AN422" s="30">
        <v>1</v>
      </c>
      <c r="AO422" s="36">
        <f t="shared" si="133"/>
        <v>16.440000000000001</v>
      </c>
      <c r="AP422" s="35"/>
      <c r="AQ422" s="30"/>
      <c r="AR422" s="36">
        <f t="shared" si="129"/>
        <v>0</v>
      </c>
      <c r="AS422" s="27" t="s">
        <v>1399</v>
      </c>
      <c r="AT422" s="37">
        <v>46294</v>
      </c>
      <c r="AU422" s="30">
        <v>1</v>
      </c>
      <c r="AV422" s="36">
        <f t="shared" si="130"/>
        <v>16.440000000000001</v>
      </c>
      <c r="AW422" s="35">
        <v>46297</v>
      </c>
      <c r="AX422" s="30">
        <v>1</v>
      </c>
      <c r="AY422" s="32">
        <f t="shared" si="131"/>
        <v>16.440000000000001</v>
      </c>
      <c r="AZ422" s="30" t="s">
        <v>85</v>
      </c>
      <c r="BA422" s="63" t="s">
        <v>1400</v>
      </c>
      <c r="BB422" s="71" t="e">
        <f>SUMIFS([1]Form!$F$9:$F$67,[1]Form!$K$9:$K$67,L422)</f>
        <v>#VALUE!</v>
      </c>
      <c r="BC422" s="71" t="s">
        <v>884</v>
      </c>
      <c r="BD422" s="71"/>
    </row>
    <row r="423" spans="1:56" x14ac:dyDescent="0.25">
      <c r="A423" s="24">
        <f>IF(B423="","",SUBTOTAL(3,$B$4:B423))</f>
        <v>404</v>
      </c>
      <c r="B423" s="25" t="s">
        <v>77</v>
      </c>
      <c r="C423" s="25" t="str">
        <f t="shared" si="118"/>
        <v>Shipment 2 400</v>
      </c>
      <c r="D423" s="25" t="s">
        <v>1252</v>
      </c>
      <c r="E423" s="25">
        <v>400</v>
      </c>
      <c r="F423" s="25"/>
      <c r="G423" s="65">
        <v>45990</v>
      </c>
      <c r="H423" s="25" t="s">
        <v>1257</v>
      </c>
      <c r="I423" s="25" t="s">
        <v>1254</v>
      </c>
      <c r="J423" s="26" t="s">
        <v>1302</v>
      </c>
      <c r="K423" s="27" t="s">
        <v>885</v>
      </c>
      <c r="L423" s="28" t="s">
        <v>886</v>
      </c>
      <c r="M423" s="28" t="s">
        <v>833</v>
      </c>
      <c r="N423" s="25">
        <v>1</v>
      </c>
      <c r="O423" s="29">
        <v>14.69</v>
      </c>
      <c r="P423" s="29">
        <v>14.69</v>
      </c>
      <c r="Q423" s="25" t="s">
        <v>1196</v>
      </c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26"/>
        <v>14.69</v>
      </c>
      <c r="AF423" s="32">
        <f t="shared" si="127"/>
        <v>0</v>
      </c>
      <c r="AG423" s="30"/>
      <c r="AH423" s="33">
        <v>1</v>
      </c>
      <c r="AI423" s="34">
        <f t="shared" si="128"/>
        <v>14.69</v>
      </c>
      <c r="AJ423" s="35">
        <v>46281</v>
      </c>
      <c r="AK423" s="30">
        <v>1</v>
      </c>
      <c r="AL423" s="36">
        <f t="shared" si="132"/>
        <v>14.69</v>
      </c>
      <c r="AM423" s="35">
        <v>46281</v>
      </c>
      <c r="AN423" s="30">
        <v>1</v>
      </c>
      <c r="AO423" s="36">
        <f t="shared" si="133"/>
        <v>14.69</v>
      </c>
      <c r="AP423" s="35"/>
      <c r="AQ423" s="30"/>
      <c r="AR423" s="36">
        <f t="shared" si="129"/>
        <v>0</v>
      </c>
      <c r="AS423" s="27" t="s">
        <v>1370</v>
      </c>
      <c r="AT423" s="37">
        <v>46281</v>
      </c>
      <c r="AU423" s="30">
        <v>1</v>
      </c>
      <c r="AV423" s="36">
        <f t="shared" si="130"/>
        <v>14.69</v>
      </c>
      <c r="AW423" s="35">
        <v>46297</v>
      </c>
      <c r="AX423" s="30">
        <v>1</v>
      </c>
      <c r="AY423" s="32">
        <f t="shared" si="131"/>
        <v>14.69</v>
      </c>
      <c r="AZ423" s="30" t="s">
        <v>85</v>
      </c>
      <c r="BA423" s="63" t="s">
        <v>1399</v>
      </c>
      <c r="BB423" s="71"/>
      <c r="BC423" s="71" t="s">
        <v>886</v>
      </c>
      <c r="BD423" s="71"/>
    </row>
    <row r="424" spans="1:56" x14ac:dyDescent="0.25">
      <c r="A424" s="24">
        <f>IF(B424="","",SUBTOTAL(3,$B$4:B424))</f>
        <v>405</v>
      </c>
      <c r="B424" s="25" t="s">
        <v>77</v>
      </c>
      <c r="C424" s="25" t="str">
        <f t="shared" si="118"/>
        <v>Shipment 2 400</v>
      </c>
      <c r="D424" s="25" t="s">
        <v>1252</v>
      </c>
      <c r="E424" s="25">
        <v>400</v>
      </c>
      <c r="F424" s="25"/>
      <c r="G424" s="65">
        <v>45990</v>
      </c>
      <c r="H424" s="25" t="s">
        <v>1257</v>
      </c>
      <c r="I424" s="25" t="s">
        <v>1254</v>
      </c>
      <c r="J424" s="26" t="s">
        <v>1302</v>
      </c>
      <c r="K424" s="27" t="s">
        <v>887</v>
      </c>
      <c r="L424" s="28" t="s">
        <v>888</v>
      </c>
      <c r="M424" s="28" t="s">
        <v>833</v>
      </c>
      <c r="N424" s="25">
        <v>1</v>
      </c>
      <c r="O424" s="29">
        <v>14.69</v>
      </c>
      <c r="P424" s="29">
        <v>14.69</v>
      </c>
      <c r="Q424" s="25" t="s">
        <v>1196</v>
      </c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26"/>
        <v>14.69</v>
      </c>
      <c r="AF424" s="32">
        <f t="shared" si="127"/>
        <v>0</v>
      </c>
      <c r="AG424" s="30"/>
      <c r="AH424" s="33">
        <v>1</v>
      </c>
      <c r="AI424" s="34">
        <f t="shared" si="128"/>
        <v>14.69</v>
      </c>
      <c r="AJ424" s="35">
        <v>46281</v>
      </c>
      <c r="AK424" s="30">
        <v>1</v>
      </c>
      <c r="AL424" s="36">
        <f t="shared" si="132"/>
        <v>14.69</v>
      </c>
      <c r="AM424" s="35">
        <v>46281</v>
      </c>
      <c r="AN424" s="30">
        <v>1</v>
      </c>
      <c r="AO424" s="36">
        <f t="shared" si="133"/>
        <v>14.69</v>
      </c>
      <c r="AP424" s="35"/>
      <c r="AQ424" s="30"/>
      <c r="AR424" s="36">
        <f t="shared" si="129"/>
        <v>0</v>
      </c>
      <c r="AS424" s="27" t="s">
        <v>1370</v>
      </c>
      <c r="AT424" s="37">
        <v>46281</v>
      </c>
      <c r="AU424" s="30">
        <v>1</v>
      </c>
      <c r="AV424" s="36">
        <f t="shared" si="130"/>
        <v>14.69</v>
      </c>
      <c r="AW424" s="35">
        <v>46297</v>
      </c>
      <c r="AX424" s="30">
        <v>1</v>
      </c>
      <c r="AY424" s="32">
        <f t="shared" si="131"/>
        <v>14.69</v>
      </c>
      <c r="AZ424" s="30" t="s">
        <v>85</v>
      </c>
      <c r="BA424" s="63" t="s">
        <v>1399</v>
      </c>
      <c r="BB424" s="71"/>
      <c r="BC424" s="71" t="s">
        <v>888</v>
      </c>
      <c r="BD424" s="71"/>
    </row>
    <row r="425" spans="1:56" x14ac:dyDescent="0.25">
      <c r="A425" s="24">
        <f>IF(B425="","",SUBTOTAL(3,$B$4:B425))</f>
        <v>406</v>
      </c>
      <c r="B425" s="25" t="s">
        <v>77</v>
      </c>
      <c r="C425" s="25" t="str">
        <f t="shared" si="118"/>
        <v>Shipment 2 400</v>
      </c>
      <c r="D425" s="25" t="s">
        <v>1252</v>
      </c>
      <c r="E425" s="25">
        <v>400</v>
      </c>
      <c r="F425" s="25"/>
      <c r="G425" s="65">
        <v>45990</v>
      </c>
      <c r="H425" s="25" t="s">
        <v>1257</v>
      </c>
      <c r="I425" s="25" t="s">
        <v>1254</v>
      </c>
      <c r="J425" s="26" t="s">
        <v>1302</v>
      </c>
      <c r="K425" s="27" t="s">
        <v>889</v>
      </c>
      <c r="L425" s="28" t="s">
        <v>890</v>
      </c>
      <c r="M425" s="28" t="s">
        <v>833</v>
      </c>
      <c r="N425" s="25">
        <v>1</v>
      </c>
      <c r="O425" s="29">
        <v>15.1</v>
      </c>
      <c r="P425" s="29">
        <v>15.1</v>
      </c>
      <c r="Q425" s="25" t="s">
        <v>1202</v>
      </c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26"/>
        <v>15.1</v>
      </c>
      <c r="AF425" s="32">
        <f t="shared" si="127"/>
        <v>0</v>
      </c>
      <c r="AG425" s="30"/>
      <c r="AH425" s="33">
        <v>1</v>
      </c>
      <c r="AI425" s="34">
        <f t="shared" si="128"/>
        <v>15.1</v>
      </c>
      <c r="AJ425" s="35">
        <v>46281</v>
      </c>
      <c r="AK425" s="30">
        <v>1</v>
      </c>
      <c r="AL425" s="36">
        <f t="shared" si="132"/>
        <v>15.1</v>
      </c>
      <c r="AM425" s="35">
        <v>46281</v>
      </c>
      <c r="AN425" s="30">
        <v>1</v>
      </c>
      <c r="AO425" s="36">
        <f t="shared" si="133"/>
        <v>15.1</v>
      </c>
      <c r="AP425" s="35"/>
      <c r="AQ425" s="30"/>
      <c r="AR425" s="36">
        <f t="shared" si="129"/>
        <v>0</v>
      </c>
      <c r="AS425" s="27" t="s">
        <v>1370</v>
      </c>
      <c r="AT425" s="37">
        <v>46281</v>
      </c>
      <c r="AU425" s="30">
        <v>1</v>
      </c>
      <c r="AV425" s="36">
        <f t="shared" si="130"/>
        <v>15.1</v>
      </c>
      <c r="AW425" s="35">
        <v>46297</v>
      </c>
      <c r="AX425" s="30">
        <v>1</v>
      </c>
      <c r="AY425" s="32">
        <f t="shared" si="131"/>
        <v>15.1</v>
      </c>
      <c r="AZ425" s="30" t="s">
        <v>85</v>
      </c>
      <c r="BA425" s="63" t="s">
        <v>1399</v>
      </c>
      <c r="BB425" s="71"/>
      <c r="BC425" s="71" t="s">
        <v>890</v>
      </c>
      <c r="BD425" s="71"/>
    </row>
    <row r="426" spans="1:56" x14ac:dyDescent="0.25">
      <c r="A426" s="24">
        <f>IF(B426="","",SUBTOTAL(3,$B$4:B426))</f>
        <v>407</v>
      </c>
      <c r="B426" s="25" t="s">
        <v>77</v>
      </c>
      <c r="C426" s="25" t="str">
        <f t="shared" si="118"/>
        <v>Shipment 2 400</v>
      </c>
      <c r="D426" s="25" t="s">
        <v>1252</v>
      </c>
      <c r="E426" s="25">
        <v>400</v>
      </c>
      <c r="F426" s="25"/>
      <c r="G426" s="65">
        <v>45990</v>
      </c>
      <c r="H426" s="25" t="s">
        <v>1257</v>
      </c>
      <c r="I426" s="25" t="s">
        <v>1254</v>
      </c>
      <c r="J426" s="26" t="s">
        <v>1302</v>
      </c>
      <c r="K426" s="27" t="s">
        <v>891</v>
      </c>
      <c r="L426" s="28" t="s">
        <v>892</v>
      </c>
      <c r="M426" s="28" t="s">
        <v>833</v>
      </c>
      <c r="N426" s="25">
        <v>1</v>
      </c>
      <c r="O426" s="29">
        <v>15.1</v>
      </c>
      <c r="P426" s="29">
        <v>15.1</v>
      </c>
      <c r="Q426" s="25" t="s">
        <v>1202</v>
      </c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26"/>
        <v>15.1</v>
      </c>
      <c r="AF426" s="32">
        <f t="shared" si="127"/>
        <v>0</v>
      </c>
      <c r="AG426" s="30"/>
      <c r="AH426" s="33">
        <v>1</v>
      </c>
      <c r="AI426" s="34">
        <f t="shared" si="128"/>
        <v>15.1</v>
      </c>
      <c r="AJ426" s="35">
        <v>46281</v>
      </c>
      <c r="AK426" s="30">
        <v>1</v>
      </c>
      <c r="AL426" s="36">
        <f t="shared" si="132"/>
        <v>15.1</v>
      </c>
      <c r="AM426" s="35">
        <v>46281</v>
      </c>
      <c r="AN426" s="30">
        <v>1</v>
      </c>
      <c r="AO426" s="36">
        <f t="shared" si="133"/>
        <v>15.1</v>
      </c>
      <c r="AP426" s="35"/>
      <c r="AQ426" s="30"/>
      <c r="AR426" s="36">
        <f t="shared" si="129"/>
        <v>0</v>
      </c>
      <c r="AS426" s="27" t="s">
        <v>1370</v>
      </c>
      <c r="AT426" s="37">
        <v>46281</v>
      </c>
      <c r="AU426" s="30">
        <v>1</v>
      </c>
      <c r="AV426" s="36">
        <f t="shared" si="130"/>
        <v>15.1</v>
      </c>
      <c r="AW426" s="35">
        <v>46297</v>
      </c>
      <c r="AX426" s="30">
        <v>1</v>
      </c>
      <c r="AY426" s="32">
        <f t="shared" si="131"/>
        <v>15.1</v>
      </c>
      <c r="AZ426" s="30" t="s">
        <v>85</v>
      </c>
      <c r="BA426" s="63" t="s">
        <v>1399</v>
      </c>
      <c r="BB426" s="71"/>
      <c r="BC426" s="71" t="s">
        <v>892</v>
      </c>
      <c r="BD426" s="71"/>
    </row>
    <row r="427" spans="1:56" x14ac:dyDescent="0.25">
      <c r="A427" s="24">
        <f>IF(B427="","",SUBTOTAL(3,$B$4:B427))</f>
        <v>408</v>
      </c>
      <c r="B427" s="25" t="s">
        <v>77</v>
      </c>
      <c r="C427" s="25" t="str">
        <f t="shared" si="118"/>
        <v>Shipment 2 400</v>
      </c>
      <c r="D427" s="25" t="s">
        <v>1252</v>
      </c>
      <c r="E427" s="25">
        <v>400</v>
      </c>
      <c r="F427" s="25"/>
      <c r="G427" s="65">
        <v>45990</v>
      </c>
      <c r="H427" s="25" t="s">
        <v>1257</v>
      </c>
      <c r="I427" s="25" t="s">
        <v>1254</v>
      </c>
      <c r="J427" s="26" t="s">
        <v>1300</v>
      </c>
      <c r="K427" s="27" t="s">
        <v>893</v>
      </c>
      <c r="L427" s="28" t="s">
        <v>894</v>
      </c>
      <c r="M427" s="28" t="s">
        <v>833</v>
      </c>
      <c r="N427" s="25">
        <v>1</v>
      </c>
      <c r="O427" s="29">
        <v>13.79</v>
      </c>
      <c r="P427" s="29">
        <v>13.79</v>
      </c>
      <c r="Q427" s="25" t="s">
        <v>1203</v>
      </c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26"/>
        <v>13.79</v>
      </c>
      <c r="AF427" s="32">
        <f t="shared" si="127"/>
        <v>0</v>
      </c>
      <c r="AG427" s="30"/>
      <c r="AH427" s="33">
        <v>1</v>
      </c>
      <c r="AI427" s="34">
        <f t="shared" si="128"/>
        <v>13.79</v>
      </c>
      <c r="AJ427" s="35">
        <v>46281</v>
      </c>
      <c r="AK427" s="30">
        <v>1</v>
      </c>
      <c r="AL427" s="36">
        <f t="shared" si="132"/>
        <v>13.79</v>
      </c>
      <c r="AM427" s="35">
        <v>46281</v>
      </c>
      <c r="AN427" s="30">
        <v>1</v>
      </c>
      <c r="AO427" s="36">
        <f t="shared" si="133"/>
        <v>13.79</v>
      </c>
      <c r="AP427" s="35"/>
      <c r="AQ427" s="30"/>
      <c r="AR427" s="36">
        <f t="shared" si="129"/>
        <v>0</v>
      </c>
      <c r="AS427" s="27" t="s">
        <v>1399</v>
      </c>
      <c r="AT427" s="37">
        <v>46294</v>
      </c>
      <c r="AU427" s="30">
        <v>1</v>
      </c>
      <c r="AV427" s="36">
        <f t="shared" si="130"/>
        <v>13.79</v>
      </c>
      <c r="AW427" s="35">
        <v>46297</v>
      </c>
      <c r="AX427" s="30">
        <v>1</v>
      </c>
      <c r="AY427" s="32">
        <f t="shared" si="131"/>
        <v>13.79</v>
      </c>
      <c r="AZ427" s="30" t="s">
        <v>85</v>
      </c>
      <c r="BA427" s="63" t="s">
        <v>1400</v>
      </c>
      <c r="BB427" s="71" t="e">
        <f>SUMIFS([1]Form!$F$9:$F$67,[1]Form!$K$9:$K$67,L427)</f>
        <v>#VALUE!</v>
      </c>
      <c r="BC427" s="71" t="s">
        <v>894</v>
      </c>
      <c r="BD427" s="71"/>
    </row>
    <row r="428" spans="1:56" x14ac:dyDescent="0.25">
      <c r="A428" s="24">
        <f>IF(B428="","",SUBTOTAL(3,$B$4:B428))</f>
        <v>409</v>
      </c>
      <c r="B428" s="25" t="s">
        <v>77</v>
      </c>
      <c r="C428" s="25" t="str">
        <f t="shared" si="118"/>
        <v>Shipment 2 400</v>
      </c>
      <c r="D428" s="25" t="s">
        <v>1252</v>
      </c>
      <c r="E428" s="25">
        <v>400</v>
      </c>
      <c r="F428" s="25"/>
      <c r="G428" s="65">
        <v>45990</v>
      </c>
      <c r="H428" s="25" t="s">
        <v>1257</v>
      </c>
      <c r="I428" s="25" t="s">
        <v>1254</v>
      </c>
      <c r="J428" s="26" t="s">
        <v>1300</v>
      </c>
      <c r="K428" s="27" t="s">
        <v>895</v>
      </c>
      <c r="L428" s="28" t="s">
        <v>896</v>
      </c>
      <c r="M428" s="28" t="s">
        <v>833</v>
      </c>
      <c r="N428" s="25">
        <v>1</v>
      </c>
      <c r="O428" s="29">
        <v>17.149999999999999</v>
      </c>
      <c r="P428" s="29">
        <v>17.149999999999999</v>
      </c>
      <c r="Q428" s="25" t="s">
        <v>1204</v>
      </c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26"/>
        <v>17.149999999999999</v>
      </c>
      <c r="AF428" s="32">
        <f t="shared" si="127"/>
        <v>0</v>
      </c>
      <c r="AG428" s="30"/>
      <c r="AH428" s="33">
        <v>1</v>
      </c>
      <c r="AI428" s="34">
        <f t="shared" si="128"/>
        <v>17.149999999999999</v>
      </c>
      <c r="AJ428" s="35">
        <v>46281</v>
      </c>
      <c r="AK428" s="30">
        <v>1</v>
      </c>
      <c r="AL428" s="36">
        <f t="shared" si="132"/>
        <v>17.149999999999999</v>
      </c>
      <c r="AM428" s="35">
        <v>46281</v>
      </c>
      <c r="AN428" s="30">
        <v>1</v>
      </c>
      <c r="AO428" s="36">
        <f t="shared" si="133"/>
        <v>17.149999999999999</v>
      </c>
      <c r="AP428" s="35"/>
      <c r="AQ428" s="30"/>
      <c r="AR428" s="36">
        <f t="shared" si="129"/>
        <v>0</v>
      </c>
      <c r="AS428" s="27" t="s">
        <v>1399</v>
      </c>
      <c r="AT428" s="37">
        <v>46294</v>
      </c>
      <c r="AU428" s="30">
        <v>1</v>
      </c>
      <c r="AV428" s="36">
        <f t="shared" si="130"/>
        <v>17.149999999999999</v>
      </c>
      <c r="AW428" s="35">
        <v>46297</v>
      </c>
      <c r="AX428" s="30">
        <v>1</v>
      </c>
      <c r="AY428" s="32">
        <f t="shared" si="131"/>
        <v>17.149999999999999</v>
      </c>
      <c r="AZ428" s="30" t="s">
        <v>85</v>
      </c>
      <c r="BA428" s="63" t="s">
        <v>1400</v>
      </c>
      <c r="BB428" s="71" t="e">
        <f>SUMIFS([1]Form!$F$9:$F$67,[1]Form!$K$9:$K$67,L428)</f>
        <v>#VALUE!</v>
      </c>
      <c r="BC428" s="71" t="s">
        <v>896</v>
      </c>
      <c r="BD428" s="71"/>
    </row>
    <row r="429" spans="1:56" x14ac:dyDescent="0.25">
      <c r="A429" s="24">
        <f>IF(B429="","",SUBTOTAL(3,$B$4:B429))</f>
        <v>410</v>
      </c>
      <c r="B429" s="25" t="s">
        <v>77</v>
      </c>
      <c r="C429" s="25" t="str">
        <f t="shared" si="118"/>
        <v>Shipment 2 400</v>
      </c>
      <c r="D429" s="25" t="s">
        <v>1252</v>
      </c>
      <c r="E429" s="25">
        <v>400</v>
      </c>
      <c r="F429" s="25"/>
      <c r="G429" s="65">
        <v>45990</v>
      </c>
      <c r="H429" s="25" t="s">
        <v>1257</v>
      </c>
      <c r="I429" s="25" t="s">
        <v>1254</v>
      </c>
      <c r="J429" s="26" t="s">
        <v>1300</v>
      </c>
      <c r="K429" s="27" t="s">
        <v>897</v>
      </c>
      <c r="L429" s="28" t="s">
        <v>898</v>
      </c>
      <c r="M429" s="28" t="s">
        <v>833</v>
      </c>
      <c r="N429" s="25">
        <v>1</v>
      </c>
      <c r="O429" s="29">
        <v>17.739999999999998</v>
      </c>
      <c r="P429" s="29">
        <v>17.739999999999998</v>
      </c>
      <c r="Q429" s="25" t="s">
        <v>1204</v>
      </c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26"/>
        <v>17.739999999999998</v>
      </c>
      <c r="AF429" s="32">
        <f t="shared" si="127"/>
        <v>0</v>
      </c>
      <c r="AG429" s="30"/>
      <c r="AH429" s="33">
        <v>1</v>
      </c>
      <c r="AI429" s="34">
        <f t="shared" si="128"/>
        <v>17.739999999999998</v>
      </c>
      <c r="AJ429" s="35">
        <v>46281</v>
      </c>
      <c r="AK429" s="30">
        <v>1</v>
      </c>
      <c r="AL429" s="36">
        <f t="shared" si="132"/>
        <v>17.739999999999998</v>
      </c>
      <c r="AM429" s="35">
        <v>46281</v>
      </c>
      <c r="AN429" s="30">
        <v>1</v>
      </c>
      <c r="AO429" s="36">
        <f t="shared" si="133"/>
        <v>17.739999999999998</v>
      </c>
      <c r="AP429" s="35"/>
      <c r="AQ429" s="30"/>
      <c r="AR429" s="36">
        <f t="shared" si="129"/>
        <v>0</v>
      </c>
      <c r="AS429" s="27" t="s">
        <v>1399</v>
      </c>
      <c r="AT429" s="37">
        <v>46294</v>
      </c>
      <c r="AU429" s="30">
        <v>1</v>
      </c>
      <c r="AV429" s="36">
        <f t="shared" si="130"/>
        <v>17.739999999999998</v>
      </c>
      <c r="AW429" s="35">
        <v>46297</v>
      </c>
      <c r="AX429" s="30">
        <v>1</v>
      </c>
      <c r="AY429" s="32">
        <f t="shared" si="131"/>
        <v>17.739999999999998</v>
      </c>
      <c r="AZ429" s="30" t="s">
        <v>85</v>
      </c>
      <c r="BA429" s="63" t="s">
        <v>1400</v>
      </c>
      <c r="BB429" s="71" t="e">
        <f>SUMIFS([1]Form!$F$9:$F$67,[1]Form!$K$9:$K$67,L429)</f>
        <v>#VALUE!</v>
      </c>
      <c r="BC429" s="71" t="s">
        <v>898</v>
      </c>
      <c r="BD429" s="71"/>
    </row>
    <row r="430" spans="1:56" x14ac:dyDescent="0.25">
      <c r="A430" s="24">
        <f>IF(B430="","",SUBTOTAL(3,$B$4:B430))</f>
        <v>411</v>
      </c>
      <c r="B430" s="25" t="s">
        <v>77</v>
      </c>
      <c r="C430" s="25" t="str">
        <f t="shared" si="118"/>
        <v>Shipment 2 400</v>
      </c>
      <c r="D430" s="25" t="s">
        <v>1252</v>
      </c>
      <c r="E430" s="25">
        <v>400</v>
      </c>
      <c r="F430" s="25"/>
      <c r="G430" s="65">
        <v>45990</v>
      </c>
      <c r="H430" s="25" t="s">
        <v>1257</v>
      </c>
      <c r="I430" s="25" t="s">
        <v>1254</v>
      </c>
      <c r="J430" s="26" t="s">
        <v>1300</v>
      </c>
      <c r="K430" s="27" t="s">
        <v>899</v>
      </c>
      <c r="L430" s="28" t="s">
        <v>900</v>
      </c>
      <c r="M430" s="28" t="s">
        <v>833</v>
      </c>
      <c r="N430" s="25">
        <v>1</v>
      </c>
      <c r="O430" s="29">
        <v>17.09</v>
      </c>
      <c r="P430" s="29">
        <v>17.09</v>
      </c>
      <c r="Q430" s="25" t="s">
        <v>1205</v>
      </c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26"/>
        <v>17.09</v>
      </c>
      <c r="AF430" s="32">
        <f t="shared" si="127"/>
        <v>0</v>
      </c>
      <c r="AG430" s="30"/>
      <c r="AH430" s="33">
        <v>1</v>
      </c>
      <c r="AI430" s="34">
        <f t="shared" si="128"/>
        <v>17.09</v>
      </c>
      <c r="AJ430" s="35">
        <v>46281</v>
      </c>
      <c r="AK430" s="30">
        <v>1</v>
      </c>
      <c r="AL430" s="36">
        <f t="shared" si="132"/>
        <v>17.09</v>
      </c>
      <c r="AM430" s="35">
        <v>46281</v>
      </c>
      <c r="AN430" s="30">
        <v>1</v>
      </c>
      <c r="AO430" s="36">
        <f t="shared" si="133"/>
        <v>17.09</v>
      </c>
      <c r="AP430" s="35"/>
      <c r="AQ430" s="30"/>
      <c r="AR430" s="36">
        <f t="shared" si="129"/>
        <v>0</v>
      </c>
      <c r="AS430" s="27" t="s">
        <v>1399</v>
      </c>
      <c r="AT430" s="37">
        <v>46294</v>
      </c>
      <c r="AU430" s="30">
        <v>1</v>
      </c>
      <c r="AV430" s="36">
        <f t="shared" si="130"/>
        <v>17.09</v>
      </c>
      <c r="AW430" s="35">
        <v>46297</v>
      </c>
      <c r="AX430" s="30">
        <v>1</v>
      </c>
      <c r="AY430" s="32">
        <f t="shared" si="131"/>
        <v>17.09</v>
      </c>
      <c r="AZ430" s="30" t="s">
        <v>85</v>
      </c>
      <c r="BA430" s="63" t="s">
        <v>1400</v>
      </c>
      <c r="BB430" s="71" t="e">
        <f>SUMIFS([1]Form!$F$9:$F$67,[1]Form!$K$9:$K$67,L430)</f>
        <v>#VALUE!</v>
      </c>
      <c r="BC430" s="71" t="s">
        <v>900</v>
      </c>
      <c r="BD430" s="71"/>
    </row>
    <row r="431" spans="1:56" x14ac:dyDescent="0.25">
      <c r="A431" s="24">
        <f>IF(B431="","",SUBTOTAL(3,$B$4:B431))</f>
        <v>412</v>
      </c>
      <c r="B431" s="25" t="s">
        <v>77</v>
      </c>
      <c r="C431" s="25" t="str">
        <f t="shared" si="118"/>
        <v>Shipment 2 400</v>
      </c>
      <c r="D431" s="25" t="s">
        <v>1252</v>
      </c>
      <c r="E431" s="25">
        <v>400</v>
      </c>
      <c r="F431" s="25"/>
      <c r="G431" s="65">
        <v>45990</v>
      </c>
      <c r="H431" s="25" t="s">
        <v>1257</v>
      </c>
      <c r="I431" s="25" t="s">
        <v>1254</v>
      </c>
      <c r="J431" s="26" t="s">
        <v>1300</v>
      </c>
      <c r="K431" s="27" t="s">
        <v>901</v>
      </c>
      <c r="L431" s="28" t="s">
        <v>902</v>
      </c>
      <c r="M431" s="28" t="s">
        <v>833</v>
      </c>
      <c r="N431" s="25">
        <v>1</v>
      </c>
      <c r="O431" s="29">
        <v>13.33</v>
      </c>
      <c r="P431" s="29">
        <v>13.33</v>
      </c>
      <c r="Q431" s="25" t="s">
        <v>1206</v>
      </c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26"/>
        <v>13.33</v>
      </c>
      <c r="AF431" s="32">
        <f t="shared" si="127"/>
        <v>0</v>
      </c>
      <c r="AG431" s="30"/>
      <c r="AH431" s="33">
        <v>1</v>
      </c>
      <c r="AI431" s="34">
        <f t="shared" si="128"/>
        <v>13.33</v>
      </c>
      <c r="AJ431" s="35">
        <v>46281</v>
      </c>
      <c r="AK431" s="30">
        <v>1</v>
      </c>
      <c r="AL431" s="36">
        <f t="shared" si="132"/>
        <v>13.33</v>
      </c>
      <c r="AM431" s="35">
        <v>46281</v>
      </c>
      <c r="AN431" s="30">
        <v>1</v>
      </c>
      <c r="AO431" s="36">
        <f t="shared" si="133"/>
        <v>13.33</v>
      </c>
      <c r="AP431" s="35"/>
      <c r="AQ431" s="30"/>
      <c r="AR431" s="36">
        <f t="shared" si="129"/>
        <v>0</v>
      </c>
      <c r="AS431" s="27" t="s">
        <v>1399</v>
      </c>
      <c r="AT431" s="37">
        <v>46294</v>
      </c>
      <c r="AU431" s="30">
        <v>1</v>
      </c>
      <c r="AV431" s="36">
        <f t="shared" si="130"/>
        <v>13.33</v>
      </c>
      <c r="AW431" s="35">
        <v>46297</v>
      </c>
      <c r="AX431" s="30">
        <v>1</v>
      </c>
      <c r="AY431" s="32">
        <f t="shared" si="131"/>
        <v>13.33</v>
      </c>
      <c r="AZ431" s="30" t="s">
        <v>85</v>
      </c>
      <c r="BA431" s="63" t="s">
        <v>1400</v>
      </c>
      <c r="BB431" s="71" t="e">
        <f>SUMIFS([1]Form!$F$9:$F$67,[1]Form!$K$9:$K$67,L431)</f>
        <v>#VALUE!</v>
      </c>
      <c r="BC431" s="71" t="s">
        <v>902</v>
      </c>
      <c r="BD431" s="71"/>
    </row>
    <row r="432" spans="1:56" x14ac:dyDescent="0.25">
      <c r="A432" s="24">
        <f>IF(B432="","",SUBTOTAL(3,$B$4:B432))</f>
        <v>413</v>
      </c>
      <c r="B432" s="25" t="s">
        <v>77</v>
      </c>
      <c r="C432" s="25" t="str">
        <f t="shared" si="118"/>
        <v>Shipment 2 400</v>
      </c>
      <c r="D432" s="25" t="s">
        <v>1252</v>
      </c>
      <c r="E432" s="25">
        <v>400</v>
      </c>
      <c r="F432" s="25"/>
      <c r="G432" s="65">
        <v>45990</v>
      </c>
      <c r="H432" s="25" t="s">
        <v>1257</v>
      </c>
      <c r="I432" s="25" t="s">
        <v>1254</v>
      </c>
      <c r="J432" s="26" t="s">
        <v>1300</v>
      </c>
      <c r="K432" s="27" t="s">
        <v>903</v>
      </c>
      <c r="L432" s="28" t="s">
        <v>904</v>
      </c>
      <c r="M432" s="28" t="s">
        <v>833</v>
      </c>
      <c r="N432" s="25">
        <v>1</v>
      </c>
      <c r="O432" s="29">
        <v>12.66</v>
      </c>
      <c r="P432" s="29">
        <v>12.66</v>
      </c>
      <c r="Q432" s="25" t="s">
        <v>1207</v>
      </c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26"/>
        <v>12.66</v>
      </c>
      <c r="AF432" s="32">
        <f t="shared" si="127"/>
        <v>0</v>
      </c>
      <c r="AG432" s="30"/>
      <c r="AH432" s="33">
        <v>1</v>
      </c>
      <c r="AI432" s="34">
        <f t="shared" si="128"/>
        <v>12.66</v>
      </c>
      <c r="AJ432" s="35">
        <v>46281</v>
      </c>
      <c r="AK432" s="30">
        <v>1</v>
      </c>
      <c r="AL432" s="36">
        <f t="shared" si="132"/>
        <v>12.66</v>
      </c>
      <c r="AM432" s="35">
        <v>46281</v>
      </c>
      <c r="AN432" s="30">
        <v>1</v>
      </c>
      <c r="AO432" s="36">
        <f t="shared" si="133"/>
        <v>12.66</v>
      </c>
      <c r="AP432" s="35"/>
      <c r="AQ432" s="30"/>
      <c r="AR432" s="36">
        <f t="shared" si="129"/>
        <v>0</v>
      </c>
      <c r="AS432" s="27" t="s">
        <v>1399</v>
      </c>
      <c r="AT432" s="37">
        <v>46294</v>
      </c>
      <c r="AU432" s="30">
        <v>1</v>
      </c>
      <c r="AV432" s="36">
        <f t="shared" si="130"/>
        <v>12.66</v>
      </c>
      <c r="AW432" s="35">
        <v>46297</v>
      </c>
      <c r="AX432" s="30">
        <v>1</v>
      </c>
      <c r="AY432" s="32">
        <f t="shared" si="131"/>
        <v>12.66</v>
      </c>
      <c r="AZ432" s="30" t="s">
        <v>85</v>
      </c>
      <c r="BA432" s="63" t="s">
        <v>1400</v>
      </c>
      <c r="BB432" s="71" t="e">
        <f>SUMIFS([1]Form!$F$9:$F$67,[1]Form!$K$9:$K$67,L432)</f>
        <v>#VALUE!</v>
      </c>
      <c r="BC432" s="71" t="s">
        <v>904</v>
      </c>
      <c r="BD432" s="71"/>
    </row>
    <row r="433" spans="1:56" x14ac:dyDescent="0.25">
      <c r="A433" s="24">
        <f>IF(B433="","",SUBTOTAL(3,$B$4:B433))</f>
        <v>414</v>
      </c>
      <c r="B433" s="25" t="s">
        <v>77</v>
      </c>
      <c r="C433" s="25" t="str">
        <f t="shared" si="118"/>
        <v>Shipment 2 400</v>
      </c>
      <c r="D433" s="25" t="s">
        <v>1252</v>
      </c>
      <c r="E433" s="25">
        <v>400</v>
      </c>
      <c r="F433" s="25"/>
      <c r="G433" s="65">
        <v>45990</v>
      </c>
      <c r="H433" s="25" t="s">
        <v>1257</v>
      </c>
      <c r="I433" s="25" t="s">
        <v>1254</v>
      </c>
      <c r="J433" s="26" t="s">
        <v>1300</v>
      </c>
      <c r="K433" s="27" t="s">
        <v>905</v>
      </c>
      <c r="L433" s="28" t="s">
        <v>906</v>
      </c>
      <c r="M433" s="28" t="s">
        <v>833</v>
      </c>
      <c r="N433" s="25">
        <v>1</v>
      </c>
      <c r="O433" s="29">
        <v>11.79</v>
      </c>
      <c r="P433" s="29">
        <v>11.79</v>
      </c>
      <c r="Q433" s="25" t="s">
        <v>1208</v>
      </c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26"/>
        <v>11.790000000000001</v>
      </c>
      <c r="AF433" s="32">
        <f t="shared" si="127"/>
        <v>0</v>
      </c>
      <c r="AG433" s="30"/>
      <c r="AH433" s="33">
        <v>1</v>
      </c>
      <c r="AI433" s="34">
        <f t="shared" si="128"/>
        <v>11.79</v>
      </c>
      <c r="AJ433" s="35">
        <v>46281</v>
      </c>
      <c r="AK433" s="30">
        <v>1</v>
      </c>
      <c r="AL433" s="36">
        <f t="shared" si="132"/>
        <v>11.79</v>
      </c>
      <c r="AM433" s="35">
        <v>46281</v>
      </c>
      <c r="AN433" s="30">
        <v>1</v>
      </c>
      <c r="AO433" s="36">
        <f t="shared" si="133"/>
        <v>11.79</v>
      </c>
      <c r="AP433" s="35"/>
      <c r="AQ433" s="30"/>
      <c r="AR433" s="36">
        <f t="shared" si="129"/>
        <v>0</v>
      </c>
      <c r="AS433" s="27" t="s">
        <v>1399</v>
      </c>
      <c r="AT433" s="37">
        <v>46294</v>
      </c>
      <c r="AU433" s="30">
        <v>1</v>
      </c>
      <c r="AV433" s="36">
        <f t="shared" si="130"/>
        <v>11.79</v>
      </c>
      <c r="AW433" s="35">
        <v>46297</v>
      </c>
      <c r="AX433" s="30">
        <v>1</v>
      </c>
      <c r="AY433" s="32">
        <f t="shared" si="131"/>
        <v>11.79</v>
      </c>
      <c r="AZ433" s="30" t="s">
        <v>85</v>
      </c>
      <c r="BA433" s="63" t="s">
        <v>1400</v>
      </c>
      <c r="BB433" s="71" t="e">
        <f>SUMIFS([1]Form!$F$9:$F$67,[1]Form!$K$9:$K$67,L433)</f>
        <v>#VALUE!</v>
      </c>
      <c r="BC433" s="71" t="s">
        <v>906</v>
      </c>
      <c r="BD433" s="71"/>
    </row>
    <row r="434" spans="1:56" x14ac:dyDescent="0.25">
      <c r="A434" s="24">
        <f>IF(B434="","",SUBTOTAL(3,$B$4:B434))</f>
        <v>415</v>
      </c>
      <c r="B434" s="25" t="s">
        <v>77</v>
      </c>
      <c r="C434" s="25" t="str">
        <f t="shared" si="118"/>
        <v>Shipment 2 400</v>
      </c>
      <c r="D434" s="25" t="s">
        <v>1252</v>
      </c>
      <c r="E434" s="25">
        <v>400</v>
      </c>
      <c r="F434" s="25"/>
      <c r="G434" s="65">
        <v>45990</v>
      </c>
      <c r="H434" s="25" t="s">
        <v>1257</v>
      </c>
      <c r="I434" s="25" t="s">
        <v>1254</v>
      </c>
      <c r="J434" s="26" t="s">
        <v>1300</v>
      </c>
      <c r="K434" s="27" t="s">
        <v>907</v>
      </c>
      <c r="L434" s="28" t="s">
        <v>908</v>
      </c>
      <c r="M434" s="28" t="s">
        <v>833</v>
      </c>
      <c r="N434" s="25">
        <v>1</v>
      </c>
      <c r="O434" s="29">
        <v>14.89</v>
      </c>
      <c r="P434" s="29">
        <v>14.89</v>
      </c>
      <c r="Q434" s="25" t="s">
        <v>1204</v>
      </c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26"/>
        <v>14.89</v>
      </c>
      <c r="AF434" s="32">
        <f t="shared" si="127"/>
        <v>0</v>
      </c>
      <c r="AG434" s="30"/>
      <c r="AH434" s="33">
        <v>1</v>
      </c>
      <c r="AI434" s="34">
        <f t="shared" si="128"/>
        <v>14.89</v>
      </c>
      <c r="AJ434" s="35">
        <v>46281</v>
      </c>
      <c r="AK434" s="30">
        <v>1</v>
      </c>
      <c r="AL434" s="36">
        <f t="shared" si="132"/>
        <v>14.89</v>
      </c>
      <c r="AM434" s="35">
        <v>46281</v>
      </c>
      <c r="AN434" s="30">
        <v>1</v>
      </c>
      <c r="AO434" s="36">
        <f t="shared" si="133"/>
        <v>14.89</v>
      </c>
      <c r="AP434" s="35"/>
      <c r="AQ434" s="30"/>
      <c r="AR434" s="36">
        <f t="shared" si="129"/>
        <v>0</v>
      </c>
      <c r="AS434" s="27" t="s">
        <v>1399</v>
      </c>
      <c r="AT434" s="37">
        <v>46294</v>
      </c>
      <c r="AU434" s="30">
        <v>1</v>
      </c>
      <c r="AV434" s="36">
        <f t="shared" si="130"/>
        <v>14.89</v>
      </c>
      <c r="AW434" s="35">
        <v>46297</v>
      </c>
      <c r="AX434" s="30">
        <v>1</v>
      </c>
      <c r="AY434" s="32">
        <f t="shared" si="131"/>
        <v>14.89</v>
      </c>
      <c r="AZ434" s="30" t="s">
        <v>85</v>
      </c>
      <c r="BA434" s="63" t="s">
        <v>1400</v>
      </c>
      <c r="BB434" s="71" t="e">
        <f>SUMIFS([1]Form!$F$9:$F$67,[1]Form!$K$9:$K$67,L434)</f>
        <v>#VALUE!</v>
      </c>
      <c r="BC434" s="71" t="s">
        <v>908</v>
      </c>
      <c r="BD434" s="71"/>
    </row>
    <row r="435" spans="1:56" x14ac:dyDescent="0.25">
      <c r="A435" s="24">
        <f>IF(B435="","",SUBTOTAL(3,$B$4:B435))</f>
        <v>416</v>
      </c>
      <c r="B435" s="25" t="s">
        <v>77</v>
      </c>
      <c r="C435" s="25" t="str">
        <f t="shared" si="118"/>
        <v>Shipment 2 400</v>
      </c>
      <c r="D435" s="25" t="s">
        <v>1252</v>
      </c>
      <c r="E435" s="25">
        <v>400</v>
      </c>
      <c r="F435" s="25"/>
      <c r="G435" s="65">
        <v>45990</v>
      </c>
      <c r="H435" s="25" t="s">
        <v>1257</v>
      </c>
      <c r="I435" s="25" t="s">
        <v>1254</v>
      </c>
      <c r="J435" s="26" t="s">
        <v>1300</v>
      </c>
      <c r="K435" s="27" t="s">
        <v>909</v>
      </c>
      <c r="L435" s="28" t="s">
        <v>910</v>
      </c>
      <c r="M435" s="28" t="s">
        <v>833</v>
      </c>
      <c r="N435" s="25">
        <v>1</v>
      </c>
      <c r="O435" s="29">
        <v>14.31</v>
      </c>
      <c r="P435" s="29">
        <v>14.31</v>
      </c>
      <c r="Q435" s="25" t="s">
        <v>1209</v>
      </c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26"/>
        <v>14.310000000000002</v>
      </c>
      <c r="AF435" s="32">
        <f t="shared" si="127"/>
        <v>0</v>
      </c>
      <c r="AG435" s="30"/>
      <c r="AH435" s="33">
        <v>1</v>
      </c>
      <c r="AI435" s="34">
        <f t="shared" si="128"/>
        <v>14.31</v>
      </c>
      <c r="AJ435" s="35">
        <v>46281</v>
      </c>
      <c r="AK435" s="30">
        <v>1</v>
      </c>
      <c r="AL435" s="36">
        <f t="shared" si="132"/>
        <v>14.31</v>
      </c>
      <c r="AM435" s="35">
        <v>46281</v>
      </c>
      <c r="AN435" s="30">
        <v>1</v>
      </c>
      <c r="AO435" s="36">
        <f t="shared" si="133"/>
        <v>14.31</v>
      </c>
      <c r="AP435" s="35"/>
      <c r="AQ435" s="30"/>
      <c r="AR435" s="36">
        <f t="shared" si="129"/>
        <v>0</v>
      </c>
      <c r="AS435" s="27" t="s">
        <v>1399</v>
      </c>
      <c r="AT435" s="37">
        <v>46294</v>
      </c>
      <c r="AU435" s="30">
        <v>1</v>
      </c>
      <c r="AV435" s="36">
        <f t="shared" si="130"/>
        <v>14.31</v>
      </c>
      <c r="AW435" s="35">
        <v>46297</v>
      </c>
      <c r="AX435" s="30">
        <v>1</v>
      </c>
      <c r="AY435" s="32">
        <f t="shared" si="131"/>
        <v>14.31</v>
      </c>
      <c r="AZ435" s="30" t="s">
        <v>85</v>
      </c>
      <c r="BA435" s="63" t="s">
        <v>1400</v>
      </c>
      <c r="BB435" s="71" t="e">
        <f>SUMIFS([1]Form!$F$9:$F$67,[1]Form!$K$9:$K$67,L435)</f>
        <v>#VALUE!</v>
      </c>
      <c r="BC435" s="71" t="s">
        <v>1359</v>
      </c>
      <c r="BD435" s="71"/>
    </row>
    <row r="436" spans="1:56" x14ac:dyDescent="0.25">
      <c r="A436" s="24">
        <f>IF(B436="","",SUBTOTAL(3,$B$4:B436))</f>
        <v>417</v>
      </c>
      <c r="B436" s="25" t="s">
        <v>77</v>
      </c>
      <c r="C436" s="25" t="str">
        <f t="shared" si="118"/>
        <v>Shipment 2 400</v>
      </c>
      <c r="D436" s="25" t="s">
        <v>1252</v>
      </c>
      <c r="E436" s="25">
        <v>400</v>
      </c>
      <c r="F436" s="25"/>
      <c r="G436" s="65">
        <v>45990</v>
      </c>
      <c r="H436" s="25" t="s">
        <v>1257</v>
      </c>
      <c r="I436" s="25" t="s">
        <v>1254</v>
      </c>
      <c r="J436" s="26" t="s">
        <v>1300</v>
      </c>
      <c r="K436" s="27" t="s">
        <v>909</v>
      </c>
      <c r="L436" s="28" t="s">
        <v>911</v>
      </c>
      <c r="M436" s="28" t="s">
        <v>833</v>
      </c>
      <c r="N436" s="25">
        <v>1</v>
      </c>
      <c r="O436" s="29">
        <v>14.31</v>
      </c>
      <c r="P436" s="29">
        <v>14.31</v>
      </c>
      <c r="Q436" s="25" t="s">
        <v>1209</v>
      </c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26"/>
        <v>14.310000000000002</v>
      </c>
      <c r="AF436" s="32">
        <f t="shared" si="127"/>
        <v>0</v>
      </c>
      <c r="AG436" s="30"/>
      <c r="AH436" s="33">
        <v>1</v>
      </c>
      <c r="AI436" s="34">
        <f t="shared" si="128"/>
        <v>14.31</v>
      </c>
      <c r="AJ436" s="35">
        <v>46281</v>
      </c>
      <c r="AK436" s="30">
        <v>1</v>
      </c>
      <c r="AL436" s="36">
        <f t="shared" si="132"/>
        <v>14.31</v>
      </c>
      <c r="AM436" s="35">
        <v>46281</v>
      </c>
      <c r="AN436" s="30">
        <v>1</v>
      </c>
      <c r="AO436" s="36">
        <f t="shared" si="133"/>
        <v>14.31</v>
      </c>
      <c r="AP436" s="35"/>
      <c r="AQ436" s="30"/>
      <c r="AR436" s="36">
        <f t="shared" si="129"/>
        <v>0</v>
      </c>
      <c r="AS436" s="27" t="s">
        <v>1399</v>
      </c>
      <c r="AT436" s="37">
        <v>46294</v>
      </c>
      <c r="AU436" s="30">
        <v>1</v>
      </c>
      <c r="AV436" s="36">
        <f t="shared" si="130"/>
        <v>14.31</v>
      </c>
      <c r="AW436" s="35">
        <v>46297</v>
      </c>
      <c r="AX436" s="30">
        <v>1</v>
      </c>
      <c r="AY436" s="32">
        <f t="shared" si="131"/>
        <v>14.31</v>
      </c>
      <c r="AZ436" s="30" t="s">
        <v>85</v>
      </c>
      <c r="BA436" s="63" t="s">
        <v>1400</v>
      </c>
      <c r="BB436" s="71" t="e">
        <f>SUMIFS([1]Form!$F$9:$F$67,[1]Form!$K$9:$K$67,L436)</f>
        <v>#VALUE!</v>
      </c>
      <c r="BC436" s="71" t="s">
        <v>1359</v>
      </c>
      <c r="BD436" s="71"/>
    </row>
    <row r="437" spans="1:56" x14ac:dyDescent="0.25">
      <c r="A437" s="24">
        <f>IF(B437="","",SUBTOTAL(3,$B$4:B437))</f>
        <v>418</v>
      </c>
      <c r="B437" s="25" t="s">
        <v>77</v>
      </c>
      <c r="C437" s="25" t="str">
        <f t="shared" si="118"/>
        <v>Shipment 2 400</v>
      </c>
      <c r="D437" s="25" t="s">
        <v>1252</v>
      </c>
      <c r="E437" s="25">
        <v>400</v>
      </c>
      <c r="F437" s="25"/>
      <c r="G437" s="65">
        <v>45990</v>
      </c>
      <c r="H437" s="25" t="s">
        <v>1257</v>
      </c>
      <c r="I437" s="25" t="s">
        <v>1254</v>
      </c>
      <c r="J437" s="26" t="s">
        <v>1300</v>
      </c>
      <c r="K437" s="27" t="s">
        <v>909</v>
      </c>
      <c r="L437" s="28" t="s">
        <v>912</v>
      </c>
      <c r="M437" s="28" t="s">
        <v>833</v>
      </c>
      <c r="N437" s="25">
        <v>1</v>
      </c>
      <c r="O437" s="29">
        <v>14.31</v>
      </c>
      <c r="P437" s="29">
        <v>14.31</v>
      </c>
      <c r="Q437" s="25" t="s">
        <v>1209</v>
      </c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26"/>
        <v>14.310000000000002</v>
      </c>
      <c r="AF437" s="32">
        <f t="shared" si="127"/>
        <v>0</v>
      </c>
      <c r="AG437" s="30"/>
      <c r="AH437" s="33">
        <v>1</v>
      </c>
      <c r="AI437" s="34">
        <f t="shared" si="128"/>
        <v>14.31</v>
      </c>
      <c r="AJ437" s="35">
        <v>46281</v>
      </c>
      <c r="AK437" s="30">
        <v>1</v>
      </c>
      <c r="AL437" s="36">
        <f t="shared" si="132"/>
        <v>14.31</v>
      </c>
      <c r="AM437" s="35">
        <v>46281</v>
      </c>
      <c r="AN437" s="30">
        <v>1</v>
      </c>
      <c r="AO437" s="36">
        <f t="shared" si="133"/>
        <v>14.31</v>
      </c>
      <c r="AP437" s="35"/>
      <c r="AQ437" s="30"/>
      <c r="AR437" s="36">
        <f t="shared" si="129"/>
        <v>0</v>
      </c>
      <c r="AS437" s="27" t="s">
        <v>1399</v>
      </c>
      <c r="AT437" s="37">
        <v>46294</v>
      </c>
      <c r="AU437" s="30">
        <v>1</v>
      </c>
      <c r="AV437" s="36">
        <f t="shared" si="130"/>
        <v>14.31</v>
      </c>
      <c r="AW437" s="35">
        <v>46297</v>
      </c>
      <c r="AX437" s="30">
        <v>1</v>
      </c>
      <c r="AY437" s="32">
        <f t="shared" si="131"/>
        <v>14.31</v>
      </c>
      <c r="AZ437" s="30" t="s">
        <v>85</v>
      </c>
      <c r="BA437" s="63" t="s">
        <v>1400</v>
      </c>
      <c r="BB437" s="71" t="e">
        <f>SUMIFS([1]Form!$F$9:$F$67,[1]Form!$K$9:$K$67,L437)</f>
        <v>#VALUE!</v>
      </c>
      <c r="BC437" s="71" t="s">
        <v>1359</v>
      </c>
      <c r="BD437" s="71"/>
    </row>
    <row r="438" spans="1:56" x14ac:dyDescent="0.25">
      <c r="A438" s="24">
        <f>IF(B438="","",SUBTOTAL(3,$B$4:B438))</f>
        <v>419</v>
      </c>
      <c r="B438" s="25" t="s">
        <v>77</v>
      </c>
      <c r="C438" s="25" t="str">
        <f t="shared" si="118"/>
        <v>Shipment 2 400</v>
      </c>
      <c r="D438" s="25" t="s">
        <v>1252</v>
      </c>
      <c r="E438" s="25">
        <v>400</v>
      </c>
      <c r="F438" s="25"/>
      <c r="G438" s="65">
        <v>45990</v>
      </c>
      <c r="H438" s="25" t="s">
        <v>1257</v>
      </c>
      <c r="I438" s="25" t="s">
        <v>1254</v>
      </c>
      <c r="J438" s="26" t="s">
        <v>1300</v>
      </c>
      <c r="K438" s="27" t="s">
        <v>909</v>
      </c>
      <c r="L438" s="28" t="s">
        <v>913</v>
      </c>
      <c r="M438" s="28" t="s">
        <v>833</v>
      </c>
      <c r="N438" s="25">
        <v>1</v>
      </c>
      <c r="O438" s="29">
        <v>14.31</v>
      </c>
      <c r="P438" s="29">
        <v>14.31</v>
      </c>
      <c r="Q438" s="25" t="s">
        <v>1209</v>
      </c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26"/>
        <v>14.310000000000002</v>
      </c>
      <c r="AF438" s="32">
        <f t="shared" si="127"/>
        <v>0</v>
      </c>
      <c r="AG438" s="30"/>
      <c r="AH438" s="33">
        <v>1</v>
      </c>
      <c r="AI438" s="34">
        <f t="shared" si="128"/>
        <v>14.31</v>
      </c>
      <c r="AJ438" s="35">
        <v>46281</v>
      </c>
      <c r="AK438" s="30">
        <v>1</v>
      </c>
      <c r="AL438" s="36">
        <f t="shared" si="132"/>
        <v>14.31</v>
      </c>
      <c r="AM438" s="35">
        <v>46281</v>
      </c>
      <c r="AN438" s="30">
        <v>1</v>
      </c>
      <c r="AO438" s="36">
        <f t="shared" si="133"/>
        <v>14.31</v>
      </c>
      <c r="AP438" s="35"/>
      <c r="AQ438" s="30"/>
      <c r="AR438" s="36">
        <f t="shared" si="129"/>
        <v>0</v>
      </c>
      <c r="AS438" s="27" t="s">
        <v>1399</v>
      </c>
      <c r="AT438" s="37">
        <v>46294</v>
      </c>
      <c r="AU438" s="30">
        <v>1</v>
      </c>
      <c r="AV438" s="36">
        <f t="shared" si="130"/>
        <v>14.31</v>
      </c>
      <c r="AW438" s="35">
        <v>46297</v>
      </c>
      <c r="AX438" s="30">
        <v>1</v>
      </c>
      <c r="AY438" s="32">
        <f t="shared" si="131"/>
        <v>14.31</v>
      </c>
      <c r="AZ438" s="30" t="s">
        <v>85</v>
      </c>
      <c r="BA438" s="63" t="s">
        <v>1400</v>
      </c>
      <c r="BB438" s="71" t="e">
        <f>SUMIFS([1]Form!$F$9:$F$67,[1]Form!$K$9:$K$67,L438)</f>
        <v>#VALUE!</v>
      </c>
      <c r="BC438" s="71" t="s">
        <v>1359</v>
      </c>
      <c r="BD438" s="71"/>
    </row>
    <row r="439" spans="1:56" x14ac:dyDescent="0.25">
      <c r="A439" s="24">
        <f>IF(B439="","",SUBTOTAL(3,$B$4:B439))</f>
        <v>420</v>
      </c>
      <c r="B439" s="25" t="s">
        <v>77</v>
      </c>
      <c r="C439" s="25" t="str">
        <f t="shared" si="118"/>
        <v>Shipment 2 400</v>
      </c>
      <c r="D439" s="25" t="s">
        <v>1252</v>
      </c>
      <c r="E439" s="25">
        <v>400</v>
      </c>
      <c r="F439" s="25"/>
      <c r="G439" s="65">
        <v>45990</v>
      </c>
      <c r="H439" s="25" t="s">
        <v>1257</v>
      </c>
      <c r="I439" s="25" t="s">
        <v>1254</v>
      </c>
      <c r="J439" s="26" t="s">
        <v>1301</v>
      </c>
      <c r="K439" s="27" t="s">
        <v>914</v>
      </c>
      <c r="L439" s="28" t="s">
        <v>915</v>
      </c>
      <c r="M439" s="28" t="s">
        <v>833</v>
      </c>
      <c r="N439" s="25">
        <v>1</v>
      </c>
      <c r="O439" s="29">
        <v>15.45</v>
      </c>
      <c r="P439" s="29">
        <v>15.45</v>
      </c>
      <c r="Q439" s="25" t="s">
        <v>1210</v>
      </c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26"/>
        <v>15.45</v>
      </c>
      <c r="AF439" s="32">
        <f t="shared" si="127"/>
        <v>0</v>
      </c>
      <c r="AG439" s="30"/>
      <c r="AH439" s="33">
        <v>1</v>
      </c>
      <c r="AI439" s="34">
        <f t="shared" si="128"/>
        <v>15.45</v>
      </c>
      <c r="AJ439" s="35">
        <v>46281</v>
      </c>
      <c r="AK439" s="30">
        <v>1</v>
      </c>
      <c r="AL439" s="36">
        <f t="shared" si="132"/>
        <v>15.45</v>
      </c>
      <c r="AM439" s="35">
        <v>46281</v>
      </c>
      <c r="AN439" s="30">
        <v>1</v>
      </c>
      <c r="AO439" s="36">
        <f t="shared" si="133"/>
        <v>15.45</v>
      </c>
      <c r="AP439" s="35"/>
      <c r="AQ439" s="30"/>
      <c r="AR439" s="36">
        <f t="shared" si="129"/>
        <v>0</v>
      </c>
      <c r="AS439" s="27" t="s">
        <v>1399</v>
      </c>
      <c r="AT439" s="37">
        <v>46294</v>
      </c>
      <c r="AU439" s="30">
        <v>1</v>
      </c>
      <c r="AV439" s="36">
        <f t="shared" si="130"/>
        <v>15.45</v>
      </c>
      <c r="AW439" s="35">
        <v>46297</v>
      </c>
      <c r="AX439" s="30">
        <v>1</v>
      </c>
      <c r="AY439" s="32">
        <f t="shared" si="131"/>
        <v>15.45</v>
      </c>
      <c r="AZ439" s="30" t="s">
        <v>85</v>
      </c>
      <c r="BA439" s="63" t="s">
        <v>1400</v>
      </c>
      <c r="BB439" s="71" t="e">
        <f>SUMIFS([1]Form!$F$9:$F$67,[1]Form!$K$9:$K$67,L439)</f>
        <v>#VALUE!</v>
      </c>
      <c r="BC439" s="71" t="s">
        <v>915</v>
      </c>
      <c r="BD439" s="71"/>
    </row>
    <row r="440" spans="1:56" x14ac:dyDescent="0.25">
      <c r="A440" s="24">
        <f>IF(B440="","",SUBTOTAL(3,$B$4:B440))</f>
        <v>421</v>
      </c>
      <c r="B440" s="25" t="s">
        <v>77</v>
      </c>
      <c r="C440" s="25" t="str">
        <f t="shared" si="118"/>
        <v>Shipment 2 400</v>
      </c>
      <c r="D440" s="25" t="s">
        <v>1252</v>
      </c>
      <c r="E440" s="25">
        <v>400</v>
      </c>
      <c r="F440" s="25"/>
      <c r="G440" s="65">
        <v>45990</v>
      </c>
      <c r="H440" s="25" t="s">
        <v>1257</v>
      </c>
      <c r="I440" s="25" t="s">
        <v>1254</v>
      </c>
      <c r="J440" s="26" t="s">
        <v>1300</v>
      </c>
      <c r="K440" s="27" t="s">
        <v>916</v>
      </c>
      <c r="L440" s="28" t="s">
        <v>917</v>
      </c>
      <c r="M440" s="28" t="s">
        <v>833</v>
      </c>
      <c r="N440" s="25">
        <v>1</v>
      </c>
      <c r="O440" s="29">
        <v>10.5</v>
      </c>
      <c r="P440" s="29">
        <v>10.5</v>
      </c>
      <c r="Q440" s="25" t="s">
        <v>1211</v>
      </c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26"/>
        <v>10.5</v>
      </c>
      <c r="AF440" s="32">
        <f t="shared" si="127"/>
        <v>0</v>
      </c>
      <c r="AG440" s="30"/>
      <c r="AH440" s="33">
        <v>1</v>
      </c>
      <c r="AI440" s="34">
        <f t="shared" si="128"/>
        <v>10.5</v>
      </c>
      <c r="AJ440" s="35">
        <v>46281</v>
      </c>
      <c r="AK440" s="30">
        <v>1</v>
      </c>
      <c r="AL440" s="36">
        <f t="shared" si="132"/>
        <v>10.5</v>
      </c>
      <c r="AM440" s="35">
        <v>46281</v>
      </c>
      <c r="AN440" s="30">
        <v>1</v>
      </c>
      <c r="AO440" s="36">
        <f t="shared" si="133"/>
        <v>10.5</v>
      </c>
      <c r="AP440" s="35"/>
      <c r="AQ440" s="30"/>
      <c r="AR440" s="36">
        <f t="shared" si="129"/>
        <v>0</v>
      </c>
      <c r="AS440" s="27" t="s">
        <v>1399</v>
      </c>
      <c r="AT440" s="37">
        <v>46294</v>
      </c>
      <c r="AU440" s="30">
        <v>1</v>
      </c>
      <c r="AV440" s="36">
        <f t="shared" si="130"/>
        <v>10.5</v>
      </c>
      <c r="AW440" s="35">
        <v>46297</v>
      </c>
      <c r="AX440" s="30">
        <v>1</v>
      </c>
      <c r="AY440" s="32">
        <f t="shared" si="131"/>
        <v>10.5</v>
      </c>
      <c r="AZ440" s="30" t="s">
        <v>85</v>
      </c>
      <c r="BA440" s="63" t="s">
        <v>1400</v>
      </c>
      <c r="BB440" s="71" t="e">
        <f>SUMIFS([1]Form!$F$9:$F$67,[1]Form!$K$9:$K$67,L440)</f>
        <v>#VALUE!</v>
      </c>
      <c r="BC440" s="71" t="s">
        <v>917</v>
      </c>
      <c r="BD440" s="71"/>
    </row>
    <row r="441" spans="1:56" x14ac:dyDescent="0.25">
      <c r="A441" s="24">
        <f>IF(B441="","",SUBTOTAL(3,$B$4:B441))</f>
        <v>422</v>
      </c>
      <c r="B441" s="25" t="s">
        <v>77</v>
      </c>
      <c r="C441" s="25" t="str">
        <f t="shared" si="118"/>
        <v>Shipment 2 400</v>
      </c>
      <c r="D441" s="25" t="s">
        <v>1252</v>
      </c>
      <c r="E441" s="25">
        <v>400</v>
      </c>
      <c r="F441" s="25"/>
      <c r="G441" s="65">
        <v>45990</v>
      </c>
      <c r="H441" s="25" t="s">
        <v>1257</v>
      </c>
      <c r="I441" s="25" t="s">
        <v>1254</v>
      </c>
      <c r="J441" s="26" t="s">
        <v>1300</v>
      </c>
      <c r="K441" s="27" t="s">
        <v>918</v>
      </c>
      <c r="L441" s="28" t="s">
        <v>919</v>
      </c>
      <c r="M441" s="28" t="s">
        <v>833</v>
      </c>
      <c r="N441" s="25">
        <v>1</v>
      </c>
      <c r="O441" s="29">
        <v>10.5</v>
      </c>
      <c r="P441" s="29">
        <v>10.5</v>
      </c>
      <c r="Q441" s="25" t="s">
        <v>1211</v>
      </c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26"/>
        <v>10.5</v>
      </c>
      <c r="AF441" s="32">
        <f t="shared" si="127"/>
        <v>0</v>
      </c>
      <c r="AG441" s="30"/>
      <c r="AH441" s="33">
        <v>1</v>
      </c>
      <c r="AI441" s="34">
        <f t="shared" si="128"/>
        <v>10.5</v>
      </c>
      <c r="AJ441" s="35">
        <v>46281</v>
      </c>
      <c r="AK441" s="30">
        <v>1</v>
      </c>
      <c r="AL441" s="36">
        <f t="shared" si="132"/>
        <v>10.5</v>
      </c>
      <c r="AM441" s="35">
        <v>46281</v>
      </c>
      <c r="AN441" s="30">
        <v>1</v>
      </c>
      <c r="AO441" s="36">
        <f t="shared" si="133"/>
        <v>10.5</v>
      </c>
      <c r="AP441" s="35"/>
      <c r="AQ441" s="30"/>
      <c r="AR441" s="36">
        <f t="shared" si="129"/>
        <v>0</v>
      </c>
      <c r="AS441" s="27" t="s">
        <v>1399</v>
      </c>
      <c r="AT441" s="37">
        <v>46294</v>
      </c>
      <c r="AU441" s="30">
        <v>1</v>
      </c>
      <c r="AV441" s="36">
        <f t="shared" si="130"/>
        <v>10.5</v>
      </c>
      <c r="AW441" s="35">
        <v>46297</v>
      </c>
      <c r="AX441" s="30">
        <v>1</v>
      </c>
      <c r="AY441" s="32">
        <f t="shared" si="131"/>
        <v>10.5</v>
      </c>
      <c r="AZ441" s="30" t="s">
        <v>85</v>
      </c>
      <c r="BA441" s="63" t="s">
        <v>1400</v>
      </c>
      <c r="BB441" s="71" t="e">
        <f>SUMIFS([1]Form!$F$9:$F$67,[1]Form!$K$9:$K$67,L441)</f>
        <v>#VALUE!</v>
      </c>
      <c r="BC441" s="71" t="s">
        <v>919</v>
      </c>
      <c r="BD441" s="71"/>
    </row>
    <row r="442" spans="1:56" x14ac:dyDescent="0.25">
      <c r="A442" s="24">
        <f>IF(B442="","",SUBTOTAL(3,$B$4:B442))</f>
        <v>423</v>
      </c>
      <c r="B442" s="25" t="s">
        <v>77</v>
      </c>
      <c r="C442" s="25" t="str">
        <f t="shared" si="118"/>
        <v>Shipment 2 400</v>
      </c>
      <c r="D442" s="25" t="s">
        <v>1252</v>
      </c>
      <c r="E442" s="25">
        <v>400</v>
      </c>
      <c r="F442" s="25"/>
      <c r="G442" s="65">
        <v>45990</v>
      </c>
      <c r="H442" s="25" t="s">
        <v>1257</v>
      </c>
      <c r="I442" s="25" t="s">
        <v>1254</v>
      </c>
      <c r="J442" s="26" t="s">
        <v>1300</v>
      </c>
      <c r="K442" s="27" t="s">
        <v>920</v>
      </c>
      <c r="L442" s="28" t="s">
        <v>921</v>
      </c>
      <c r="M442" s="28" t="s">
        <v>833</v>
      </c>
      <c r="N442" s="25">
        <v>1</v>
      </c>
      <c r="O442" s="29">
        <v>8.14</v>
      </c>
      <c r="P442" s="29">
        <v>8.14</v>
      </c>
      <c r="Q442" s="25" t="s">
        <v>1212</v>
      </c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26"/>
        <v>8.14</v>
      </c>
      <c r="AF442" s="32">
        <f t="shared" si="127"/>
        <v>0</v>
      </c>
      <c r="AG442" s="30"/>
      <c r="AH442" s="33">
        <v>1</v>
      </c>
      <c r="AI442" s="34">
        <f t="shared" si="128"/>
        <v>8.14</v>
      </c>
      <c r="AJ442" s="35">
        <v>46281</v>
      </c>
      <c r="AK442" s="30">
        <v>1</v>
      </c>
      <c r="AL442" s="36">
        <f t="shared" si="132"/>
        <v>8.14</v>
      </c>
      <c r="AM442" s="35">
        <v>46281</v>
      </c>
      <c r="AN442" s="30">
        <v>1</v>
      </c>
      <c r="AO442" s="36">
        <f t="shared" si="133"/>
        <v>8.14</v>
      </c>
      <c r="AP442" s="35"/>
      <c r="AQ442" s="30"/>
      <c r="AR442" s="36">
        <f t="shared" si="129"/>
        <v>0</v>
      </c>
      <c r="AS442" s="27" t="s">
        <v>1399</v>
      </c>
      <c r="AT442" s="37">
        <v>46294</v>
      </c>
      <c r="AU442" s="30">
        <v>1</v>
      </c>
      <c r="AV442" s="36">
        <f t="shared" si="130"/>
        <v>8.14</v>
      </c>
      <c r="AW442" s="35">
        <v>46297</v>
      </c>
      <c r="AX442" s="30">
        <v>1</v>
      </c>
      <c r="AY442" s="32">
        <f t="shared" si="131"/>
        <v>8.14</v>
      </c>
      <c r="AZ442" s="30" t="s">
        <v>85</v>
      </c>
      <c r="BA442" s="63" t="s">
        <v>1400</v>
      </c>
      <c r="BB442" s="71" t="e">
        <f>SUMIFS([1]Form!$F$9:$F$67,[1]Form!$K$9:$K$67,L442)</f>
        <v>#VALUE!</v>
      </c>
      <c r="BC442" s="71" t="s">
        <v>921</v>
      </c>
      <c r="BD442" s="71"/>
    </row>
    <row r="443" spans="1:56" x14ac:dyDescent="0.25">
      <c r="A443" s="24">
        <f>IF(B443="","",SUBTOTAL(3,$B$4:B443))</f>
        <v>424</v>
      </c>
      <c r="B443" s="25" t="s">
        <v>77</v>
      </c>
      <c r="C443" s="25" t="str">
        <f t="shared" si="118"/>
        <v>Shipment 2 400</v>
      </c>
      <c r="D443" s="25" t="s">
        <v>1252</v>
      </c>
      <c r="E443" s="25">
        <v>400</v>
      </c>
      <c r="F443" s="25"/>
      <c r="G443" s="65">
        <v>45990</v>
      </c>
      <c r="H443" s="25" t="s">
        <v>1257</v>
      </c>
      <c r="I443" s="25" t="s">
        <v>1254</v>
      </c>
      <c r="J443" s="26" t="s">
        <v>1300</v>
      </c>
      <c r="K443" s="27" t="s">
        <v>922</v>
      </c>
      <c r="L443" s="28" t="s">
        <v>923</v>
      </c>
      <c r="M443" s="28" t="s">
        <v>833</v>
      </c>
      <c r="N443" s="25">
        <v>1</v>
      </c>
      <c r="O443" s="29">
        <v>8.14</v>
      </c>
      <c r="P443" s="29">
        <v>8.14</v>
      </c>
      <c r="Q443" s="25" t="s">
        <v>1212</v>
      </c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26"/>
        <v>8.14</v>
      </c>
      <c r="AF443" s="32">
        <f t="shared" si="127"/>
        <v>0</v>
      </c>
      <c r="AG443" s="30"/>
      <c r="AH443" s="33">
        <v>1</v>
      </c>
      <c r="AI443" s="34">
        <f t="shared" si="128"/>
        <v>8.14</v>
      </c>
      <c r="AJ443" s="35">
        <v>46281</v>
      </c>
      <c r="AK443" s="30">
        <v>1</v>
      </c>
      <c r="AL443" s="36">
        <f t="shared" si="132"/>
        <v>8.14</v>
      </c>
      <c r="AM443" s="35">
        <v>46281</v>
      </c>
      <c r="AN443" s="30">
        <v>1</v>
      </c>
      <c r="AO443" s="36">
        <f t="shared" si="133"/>
        <v>8.14</v>
      </c>
      <c r="AP443" s="35"/>
      <c r="AQ443" s="30"/>
      <c r="AR443" s="36">
        <f t="shared" si="129"/>
        <v>0</v>
      </c>
      <c r="AS443" s="27" t="s">
        <v>1399</v>
      </c>
      <c r="AT443" s="37">
        <v>46294</v>
      </c>
      <c r="AU443" s="30">
        <v>1</v>
      </c>
      <c r="AV443" s="36">
        <f t="shared" si="130"/>
        <v>8.14</v>
      </c>
      <c r="AW443" s="35">
        <v>46297</v>
      </c>
      <c r="AX443" s="30">
        <v>1</v>
      </c>
      <c r="AY443" s="32">
        <f t="shared" si="131"/>
        <v>8.14</v>
      </c>
      <c r="AZ443" s="30" t="s">
        <v>85</v>
      </c>
      <c r="BA443" s="63" t="s">
        <v>1400</v>
      </c>
      <c r="BB443" s="71" t="e">
        <f>SUMIFS([1]Form!$F$9:$F$67,[1]Form!$K$9:$K$67,L443)</f>
        <v>#VALUE!</v>
      </c>
      <c r="BC443" s="71" t="s">
        <v>923</v>
      </c>
      <c r="BD443" s="71"/>
    </row>
    <row r="444" spans="1:56" x14ac:dyDescent="0.25">
      <c r="A444" s="24">
        <f>IF(B444="","",SUBTOTAL(3,$B$4:B444))</f>
        <v>425</v>
      </c>
      <c r="B444" s="25" t="s">
        <v>77</v>
      </c>
      <c r="C444" s="25" t="str">
        <f t="shared" ref="C444:C507" si="134">D444&amp;" "&amp;E444</f>
        <v>Shipment 2 400</v>
      </c>
      <c r="D444" s="25" t="s">
        <v>1252</v>
      </c>
      <c r="E444" s="25">
        <v>400</v>
      </c>
      <c r="F444" s="25"/>
      <c r="G444" s="65">
        <v>45990</v>
      </c>
      <c r="H444" s="25" t="s">
        <v>1257</v>
      </c>
      <c r="I444" s="25" t="s">
        <v>1254</v>
      </c>
      <c r="J444" s="26" t="s">
        <v>1301</v>
      </c>
      <c r="K444" s="27" t="s">
        <v>924</v>
      </c>
      <c r="L444" s="28" t="s">
        <v>925</v>
      </c>
      <c r="M444" s="28" t="s">
        <v>833</v>
      </c>
      <c r="N444" s="25">
        <v>1</v>
      </c>
      <c r="O444" s="29">
        <v>13.2</v>
      </c>
      <c r="P444" s="29">
        <v>13.2</v>
      </c>
      <c r="Q444" s="25" t="s">
        <v>1197</v>
      </c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26"/>
        <v>13.2</v>
      </c>
      <c r="AF444" s="32">
        <f t="shared" si="127"/>
        <v>0</v>
      </c>
      <c r="AG444" s="30"/>
      <c r="AH444" s="33">
        <v>1</v>
      </c>
      <c r="AI444" s="34">
        <f t="shared" si="128"/>
        <v>13.2</v>
      </c>
      <c r="AJ444" s="35">
        <v>46281</v>
      </c>
      <c r="AK444" s="30">
        <v>1</v>
      </c>
      <c r="AL444" s="36">
        <f t="shared" si="132"/>
        <v>13.2</v>
      </c>
      <c r="AM444" s="35">
        <v>46281</v>
      </c>
      <c r="AN444" s="30">
        <v>1</v>
      </c>
      <c r="AO444" s="36">
        <f t="shared" si="133"/>
        <v>13.2</v>
      </c>
      <c r="AP444" s="35"/>
      <c r="AQ444" s="30"/>
      <c r="AR444" s="36">
        <f t="shared" si="129"/>
        <v>0</v>
      </c>
      <c r="AS444" s="27" t="s">
        <v>1399</v>
      </c>
      <c r="AT444" s="37">
        <v>46294</v>
      </c>
      <c r="AU444" s="30">
        <v>1</v>
      </c>
      <c r="AV444" s="36">
        <f t="shared" si="130"/>
        <v>13.2</v>
      </c>
      <c r="AW444" s="35">
        <v>46297</v>
      </c>
      <c r="AX444" s="30">
        <v>1</v>
      </c>
      <c r="AY444" s="32">
        <f t="shared" si="131"/>
        <v>13.2</v>
      </c>
      <c r="AZ444" s="30" t="s">
        <v>85</v>
      </c>
      <c r="BA444" s="63" t="s">
        <v>1400</v>
      </c>
      <c r="BB444" s="71" t="e">
        <f>SUMIFS([1]Form!$F$9:$F$67,[1]Form!$K$9:$K$67,L444)</f>
        <v>#VALUE!</v>
      </c>
      <c r="BC444" s="71" t="s">
        <v>925</v>
      </c>
      <c r="BD444" s="71"/>
    </row>
    <row r="445" spans="1:56" x14ac:dyDescent="0.25">
      <c r="A445" s="24">
        <f>IF(B445="","",SUBTOTAL(3,$B$4:B445))</f>
        <v>426</v>
      </c>
      <c r="B445" s="25" t="s">
        <v>77</v>
      </c>
      <c r="C445" s="25" t="str">
        <f t="shared" si="134"/>
        <v>Shipment 2 400</v>
      </c>
      <c r="D445" s="25" t="s">
        <v>1252</v>
      </c>
      <c r="E445" s="25">
        <v>400</v>
      </c>
      <c r="F445" s="25"/>
      <c r="G445" s="65">
        <v>45990</v>
      </c>
      <c r="H445" s="25" t="s">
        <v>1257</v>
      </c>
      <c r="I445" s="25" t="s">
        <v>1254</v>
      </c>
      <c r="J445" s="26" t="s">
        <v>1301</v>
      </c>
      <c r="K445" s="27" t="s">
        <v>926</v>
      </c>
      <c r="L445" s="28" t="s">
        <v>927</v>
      </c>
      <c r="M445" s="28" t="s">
        <v>833</v>
      </c>
      <c r="N445" s="25">
        <v>1</v>
      </c>
      <c r="O445" s="29">
        <v>13.2</v>
      </c>
      <c r="P445" s="29">
        <v>13.2</v>
      </c>
      <c r="Q445" s="25" t="s">
        <v>1197</v>
      </c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26"/>
        <v>13.2</v>
      </c>
      <c r="AF445" s="32">
        <f t="shared" si="127"/>
        <v>0</v>
      </c>
      <c r="AG445" s="30"/>
      <c r="AH445" s="33">
        <v>1</v>
      </c>
      <c r="AI445" s="34">
        <f t="shared" si="128"/>
        <v>13.2</v>
      </c>
      <c r="AJ445" s="35">
        <v>46281</v>
      </c>
      <c r="AK445" s="30">
        <v>1</v>
      </c>
      <c r="AL445" s="36">
        <f t="shared" si="132"/>
        <v>13.2</v>
      </c>
      <c r="AM445" s="35">
        <v>46281</v>
      </c>
      <c r="AN445" s="30">
        <v>1</v>
      </c>
      <c r="AO445" s="36">
        <f t="shared" si="133"/>
        <v>13.2</v>
      </c>
      <c r="AP445" s="35"/>
      <c r="AQ445" s="30"/>
      <c r="AR445" s="36">
        <f t="shared" si="129"/>
        <v>0</v>
      </c>
      <c r="AS445" s="27" t="s">
        <v>1399</v>
      </c>
      <c r="AT445" s="37">
        <v>46294</v>
      </c>
      <c r="AU445" s="30">
        <v>1</v>
      </c>
      <c r="AV445" s="36">
        <f t="shared" si="130"/>
        <v>13.2</v>
      </c>
      <c r="AW445" s="35">
        <v>46297</v>
      </c>
      <c r="AX445" s="30">
        <v>1</v>
      </c>
      <c r="AY445" s="32">
        <f t="shared" si="131"/>
        <v>13.2</v>
      </c>
      <c r="AZ445" s="30" t="s">
        <v>85</v>
      </c>
      <c r="BA445" s="63" t="s">
        <v>1400</v>
      </c>
      <c r="BB445" s="71" t="e">
        <f>SUMIFS([1]Form!$F$9:$F$67,[1]Form!$K$9:$K$67,L445)</f>
        <v>#VALUE!</v>
      </c>
      <c r="BC445" s="71" t="s">
        <v>927</v>
      </c>
      <c r="BD445" s="71"/>
    </row>
    <row r="446" spans="1:56" x14ac:dyDescent="0.25">
      <c r="A446" s="24">
        <f>IF(B446="","",SUBTOTAL(3,$B$4:B446))</f>
        <v>427</v>
      </c>
      <c r="B446" s="25" t="s">
        <v>77</v>
      </c>
      <c r="C446" s="25" t="str">
        <f t="shared" si="134"/>
        <v>Shipment 2 400</v>
      </c>
      <c r="D446" s="25" t="s">
        <v>1252</v>
      </c>
      <c r="E446" s="25">
        <v>400</v>
      </c>
      <c r="F446" s="25"/>
      <c r="G446" s="65">
        <v>45990</v>
      </c>
      <c r="H446" s="25" t="s">
        <v>1257</v>
      </c>
      <c r="I446" s="25" t="s">
        <v>1254</v>
      </c>
      <c r="J446" s="26" t="s">
        <v>1301</v>
      </c>
      <c r="K446" s="27" t="s">
        <v>928</v>
      </c>
      <c r="L446" s="28" t="s">
        <v>929</v>
      </c>
      <c r="M446" s="28" t="s">
        <v>833</v>
      </c>
      <c r="N446" s="25">
        <v>1</v>
      </c>
      <c r="O446" s="29">
        <v>16.53</v>
      </c>
      <c r="P446" s="29">
        <v>16.53</v>
      </c>
      <c r="Q446" s="25" t="s">
        <v>1213</v>
      </c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26"/>
        <v>16.53</v>
      </c>
      <c r="AF446" s="32">
        <f t="shared" si="127"/>
        <v>0</v>
      </c>
      <c r="AG446" s="30"/>
      <c r="AH446" s="33">
        <v>1</v>
      </c>
      <c r="AI446" s="34">
        <f t="shared" si="128"/>
        <v>16.53</v>
      </c>
      <c r="AJ446" s="35">
        <v>46281</v>
      </c>
      <c r="AK446" s="30">
        <v>1</v>
      </c>
      <c r="AL446" s="36">
        <f t="shared" si="132"/>
        <v>16.53</v>
      </c>
      <c r="AM446" s="35">
        <v>46281</v>
      </c>
      <c r="AN446" s="30">
        <v>1</v>
      </c>
      <c r="AO446" s="36">
        <f t="shared" si="133"/>
        <v>16.53</v>
      </c>
      <c r="AP446" s="35"/>
      <c r="AQ446" s="30"/>
      <c r="AR446" s="36">
        <f t="shared" si="129"/>
        <v>0</v>
      </c>
      <c r="AS446" s="27" t="s">
        <v>1399</v>
      </c>
      <c r="AT446" s="37">
        <v>46294</v>
      </c>
      <c r="AU446" s="30">
        <v>1</v>
      </c>
      <c r="AV446" s="36">
        <f t="shared" si="130"/>
        <v>16.53</v>
      </c>
      <c r="AW446" s="35">
        <v>46297</v>
      </c>
      <c r="AX446" s="30">
        <v>1</v>
      </c>
      <c r="AY446" s="32">
        <f t="shared" si="131"/>
        <v>16.53</v>
      </c>
      <c r="AZ446" s="30" t="s">
        <v>85</v>
      </c>
      <c r="BA446" s="63" t="s">
        <v>1400</v>
      </c>
      <c r="BB446" s="71" t="e">
        <f>SUMIFS([1]Form!$F$9:$F$67,[1]Form!$K$9:$K$67,L446)</f>
        <v>#VALUE!</v>
      </c>
      <c r="BC446" s="71" t="s">
        <v>929</v>
      </c>
      <c r="BD446" s="71"/>
    </row>
    <row r="447" spans="1:56" x14ac:dyDescent="0.25">
      <c r="A447" s="24">
        <f>IF(B447="","",SUBTOTAL(3,$B$4:B447))</f>
        <v>428</v>
      </c>
      <c r="B447" s="25" t="s">
        <v>77</v>
      </c>
      <c r="C447" s="25" t="str">
        <f t="shared" si="134"/>
        <v>Shipment 2 400</v>
      </c>
      <c r="D447" s="25" t="s">
        <v>1252</v>
      </c>
      <c r="E447" s="25">
        <v>400</v>
      </c>
      <c r="F447" s="25"/>
      <c r="G447" s="65">
        <v>45990</v>
      </c>
      <c r="H447" s="25" t="s">
        <v>1257</v>
      </c>
      <c r="I447" s="25" t="s">
        <v>1254</v>
      </c>
      <c r="J447" s="26" t="s">
        <v>1301</v>
      </c>
      <c r="K447" s="27" t="s">
        <v>930</v>
      </c>
      <c r="L447" s="28" t="s">
        <v>931</v>
      </c>
      <c r="M447" s="28" t="s">
        <v>833</v>
      </c>
      <c r="N447" s="25">
        <v>1</v>
      </c>
      <c r="O447" s="29">
        <v>16.54</v>
      </c>
      <c r="P447" s="29">
        <v>16.54</v>
      </c>
      <c r="Q447" s="25" t="s">
        <v>1214</v>
      </c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26"/>
        <v>16.54</v>
      </c>
      <c r="AF447" s="32">
        <f t="shared" si="127"/>
        <v>0</v>
      </c>
      <c r="AG447" s="30"/>
      <c r="AH447" s="33">
        <v>1</v>
      </c>
      <c r="AI447" s="34">
        <f t="shared" si="128"/>
        <v>16.54</v>
      </c>
      <c r="AJ447" s="35">
        <v>46281</v>
      </c>
      <c r="AK447" s="30">
        <v>1</v>
      </c>
      <c r="AL447" s="36">
        <f t="shared" si="132"/>
        <v>16.54</v>
      </c>
      <c r="AM447" s="35">
        <v>46281</v>
      </c>
      <c r="AN447" s="30">
        <v>1</v>
      </c>
      <c r="AO447" s="36">
        <f t="shared" si="133"/>
        <v>16.54</v>
      </c>
      <c r="AP447" s="35"/>
      <c r="AQ447" s="30"/>
      <c r="AR447" s="36">
        <f t="shared" si="129"/>
        <v>0</v>
      </c>
      <c r="AS447" s="27" t="s">
        <v>1399</v>
      </c>
      <c r="AT447" s="37">
        <v>46294</v>
      </c>
      <c r="AU447" s="30">
        <v>1</v>
      </c>
      <c r="AV447" s="36">
        <f t="shared" si="130"/>
        <v>16.54</v>
      </c>
      <c r="AW447" s="35">
        <v>46297</v>
      </c>
      <c r="AX447" s="30">
        <v>1</v>
      </c>
      <c r="AY447" s="32">
        <f t="shared" si="131"/>
        <v>16.54</v>
      </c>
      <c r="AZ447" s="30" t="s">
        <v>85</v>
      </c>
      <c r="BA447" s="63" t="s">
        <v>1400</v>
      </c>
      <c r="BB447" s="71" t="e">
        <f>SUMIFS([1]Form!$F$9:$F$67,[1]Form!$K$9:$K$67,L447)</f>
        <v>#VALUE!</v>
      </c>
      <c r="BC447" s="71" t="s">
        <v>931</v>
      </c>
      <c r="BD447" s="71"/>
    </row>
    <row r="448" spans="1:56" x14ac:dyDescent="0.25">
      <c r="A448" s="24">
        <f>IF(B448="","",SUBTOTAL(3,$B$4:B448))</f>
        <v>429</v>
      </c>
      <c r="B448" s="25" t="s">
        <v>77</v>
      </c>
      <c r="C448" s="25" t="str">
        <f t="shared" si="134"/>
        <v>Shipment 2 400</v>
      </c>
      <c r="D448" s="25" t="s">
        <v>1252</v>
      </c>
      <c r="E448" s="25">
        <v>400</v>
      </c>
      <c r="F448" s="25"/>
      <c r="G448" s="65">
        <v>45990</v>
      </c>
      <c r="H448" s="25" t="s">
        <v>1257</v>
      </c>
      <c r="I448" s="25" t="s">
        <v>1254</v>
      </c>
      <c r="J448" s="26" t="s">
        <v>1301</v>
      </c>
      <c r="K448" s="27" t="s">
        <v>932</v>
      </c>
      <c r="L448" s="28" t="s">
        <v>933</v>
      </c>
      <c r="M448" s="28" t="s">
        <v>833</v>
      </c>
      <c r="N448" s="25">
        <v>1</v>
      </c>
      <c r="O448" s="29">
        <v>10.06</v>
      </c>
      <c r="P448" s="29">
        <v>10.06</v>
      </c>
      <c r="Q448" s="25" t="s">
        <v>1215</v>
      </c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26"/>
        <v>10.06</v>
      </c>
      <c r="AF448" s="32">
        <f t="shared" si="127"/>
        <v>0</v>
      </c>
      <c r="AG448" s="30"/>
      <c r="AH448" s="33">
        <v>1</v>
      </c>
      <c r="AI448" s="34">
        <f t="shared" si="128"/>
        <v>10.06</v>
      </c>
      <c r="AJ448" s="35">
        <v>46281</v>
      </c>
      <c r="AK448" s="30">
        <v>1</v>
      </c>
      <c r="AL448" s="36">
        <f t="shared" si="132"/>
        <v>10.06</v>
      </c>
      <c r="AM448" s="35">
        <v>46281</v>
      </c>
      <c r="AN448" s="30">
        <v>1</v>
      </c>
      <c r="AO448" s="36">
        <f t="shared" si="133"/>
        <v>10.06</v>
      </c>
      <c r="AP448" s="35"/>
      <c r="AQ448" s="30"/>
      <c r="AR448" s="36">
        <f t="shared" si="129"/>
        <v>0</v>
      </c>
      <c r="AS448" s="27" t="s">
        <v>1399</v>
      </c>
      <c r="AT448" s="37">
        <v>46294</v>
      </c>
      <c r="AU448" s="30">
        <v>1</v>
      </c>
      <c r="AV448" s="36">
        <f t="shared" si="130"/>
        <v>10.06</v>
      </c>
      <c r="AW448" s="35">
        <v>46297</v>
      </c>
      <c r="AX448" s="30">
        <v>1</v>
      </c>
      <c r="AY448" s="32">
        <f t="shared" si="131"/>
        <v>10.06</v>
      </c>
      <c r="AZ448" s="30" t="s">
        <v>85</v>
      </c>
      <c r="BA448" s="63" t="s">
        <v>1400</v>
      </c>
      <c r="BB448" s="71" t="e">
        <f>SUMIFS([1]Form!$F$9:$F$67,[1]Form!$K$9:$K$67,L448)</f>
        <v>#VALUE!</v>
      </c>
      <c r="BC448" s="71" t="s">
        <v>933</v>
      </c>
      <c r="BD448" s="71"/>
    </row>
    <row r="449" spans="1:56" x14ac:dyDescent="0.25">
      <c r="A449" s="24">
        <f>IF(B449="","",SUBTOTAL(3,$B$4:B449))</f>
        <v>430</v>
      </c>
      <c r="B449" s="25" t="s">
        <v>77</v>
      </c>
      <c r="C449" s="25" t="str">
        <f t="shared" si="134"/>
        <v>Shipment 2 400</v>
      </c>
      <c r="D449" s="25" t="s">
        <v>1252</v>
      </c>
      <c r="E449" s="25">
        <v>400</v>
      </c>
      <c r="F449" s="25"/>
      <c r="G449" s="65">
        <v>45990</v>
      </c>
      <c r="H449" s="25" t="s">
        <v>1257</v>
      </c>
      <c r="I449" s="25" t="s">
        <v>1254</v>
      </c>
      <c r="J449" s="26" t="s">
        <v>1302</v>
      </c>
      <c r="K449" s="27" t="s">
        <v>934</v>
      </c>
      <c r="L449" s="28" t="s">
        <v>935</v>
      </c>
      <c r="M449" s="28" t="s">
        <v>833</v>
      </c>
      <c r="N449" s="25">
        <v>1</v>
      </c>
      <c r="O449" s="29">
        <v>13.86</v>
      </c>
      <c r="P449" s="29">
        <v>13.86</v>
      </c>
      <c r="Q449" s="25" t="s">
        <v>1195</v>
      </c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26"/>
        <v>13.86</v>
      </c>
      <c r="AF449" s="32">
        <f t="shared" si="127"/>
        <v>0</v>
      </c>
      <c r="AG449" s="30"/>
      <c r="AH449" s="33">
        <v>1</v>
      </c>
      <c r="AI449" s="34">
        <f t="shared" si="128"/>
        <v>13.86</v>
      </c>
      <c r="AJ449" s="35">
        <v>46281</v>
      </c>
      <c r="AK449" s="30">
        <v>1</v>
      </c>
      <c r="AL449" s="36">
        <f t="shared" si="132"/>
        <v>13.86</v>
      </c>
      <c r="AM449" s="35">
        <v>46281</v>
      </c>
      <c r="AN449" s="30">
        <v>1</v>
      </c>
      <c r="AO449" s="36">
        <f t="shared" si="133"/>
        <v>13.86</v>
      </c>
      <c r="AP449" s="35"/>
      <c r="AQ449" s="30"/>
      <c r="AR449" s="36">
        <f t="shared" si="129"/>
        <v>0</v>
      </c>
      <c r="AS449" s="27" t="s">
        <v>1370</v>
      </c>
      <c r="AT449" s="37">
        <v>46281</v>
      </c>
      <c r="AU449" s="30">
        <v>1</v>
      </c>
      <c r="AV449" s="36">
        <f t="shared" si="130"/>
        <v>13.86</v>
      </c>
      <c r="AW449" s="35">
        <v>46297</v>
      </c>
      <c r="AX449" s="30">
        <v>1</v>
      </c>
      <c r="AY449" s="32">
        <f t="shared" si="131"/>
        <v>13.86</v>
      </c>
      <c r="AZ449" s="30" t="s">
        <v>85</v>
      </c>
      <c r="BA449" s="63" t="s">
        <v>1399</v>
      </c>
      <c r="BB449" s="71"/>
      <c r="BC449" s="71" t="s">
        <v>1360</v>
      </c>
      <c r="BD449" s="71"/>
    </row>
    <row r="450" spans="1:56" x14ac:dyDescent="0.25">
      <c r="A450" s="24">
        <f>IF(B450="","",SUBTOTAL(3,$B$4:B450))</f>
        <v>431</v>
      </c>
      <c r="B450" s="25" t="s">
        <v>77</v>
      </c>
      <c r="C450" s="25" t="str">
        <f t="shared" si="134"/>
        <v>Shipment 2 400</v>
      </c>
      <c r="D450" s="25" t="s">
        <v>1252</v>
      </c>
      <c r="E450" s="25">
        <v>400</v>
      </c>
      <c r="F450" s="25"/>
      <c r="G450" s="65">
        <v>45990</v>
      </c>
      <c r="H450" s="25" t="s">
        <v>1257</v>
      </c>
      <c r="I450" s="25" t="s">
        <v>1254</v>
      </c>
      <c r="J450" s="26" t="s">
        <v>1302</v>
      </c>
      <c r="K450" s="27" t="s">
        <v>934</v>
      </c>
      <c r="L450" s="28" t="s">
        <v>936</v>
      </c>
      <c r="M450" s="28" t="s">
        <v>833</v>
      </c>
      <c r="N450" s="25">
        <v>1</v>
      </c>
      <c r="O450" s="29">
        <v>13.86</v>
      </c>
      <c r="P450" s="29">
        <v>13.86</v>
      </c>
      <c r="Q450" s="25" t="s">
        <v>1195</v>
      </c>
      <c r="R450" s="25"/>
      <c r="S450" s="26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26"/>
        <v>13.86</v>
      </c>
      <c r="AF450" s="32">
        <f t="shared" si="127"/>
        <v>0</v>
      </c>
      <c r="AG450" s="30"/>
      <c r="AH450" s="33">
        <v>1</v>
      </c>
      <c r="AI450" s="34">
        <f t="shared" si="128"/>
        <v>13.86</v>
      </c>
      <c r="AJ450" s="35">
        <v>46281</v>
      </c>
      <c r="AK450" s="30">
        <v>1</v>
      </c>
      <c r="AL450" s="36">
        <f t="shared" si="132"/>
        <v>13.86</v>
      </c>
      <c r="AM450" s="35">
        <v>46281</v>
      </c>
      <c r="AN450" s="30">
        <v>1</v>
      </c>
      <c r="AO450" s="36">
        <f t="shared" si="133"/>
        <v>13.86</v>
      </c>
      <c r="AP450" s="35"/>
      <c r="AQ450" s="30"/>
      <c r="AR450" s="36">
        <f t="shared" si="129"/>
        <v>0</v>
      </c>
      <c r="AS450" s="27" t="s">
        <v>1370</v>
      </c>
      <c r="AT450" s="37">
        <v>46281</v>
      </c>
      <c r="AU450" s="30">
        <v>1</v>
      </c>
      <c r="AV450" s="36">
        <f t="shared" si="130"/>
        <v>13.86</v>
      </c>
      <c r="AW450" s="35">
        <v>46297</v>
      </c>
      <c r="AX450" s="30">
        <v>1</v>
      </c>
      <c r="AY450" s="32">
        <f t="shared" si="131"/>
        <v>13.86</v>
      </c>
      <c r="AZ450" s="30" t="s">
        <v>85</v>
      </c>
      <c r="BA450" s="63" t="s">
        <v>1399</v>
      </c>
      <c r="BB450" s="71"/>
      <c r="BC450" s="71" t="s">
        <v>1360</v>
      </c>
      <c r="BD450" s="71"/>
    </row>
    <row r="451" spans="1:56" x14ac:dyDescent="0.25">
      <c r="A451" s="24">
        <f>IF(B451="","",SUBTOTAL(3,$B$4:B451))</f>
        <v>432</v>
      </c>
      <c r="B451" s="25" t="s">
        <v>77</v>
      </c>
      <c r="C451" s="25" t="str">
        <f t="shared" si="134"/>
        <v>Shipment 2 400</v>
      </c>
      <c r="D451" s="25" t="s">
        <v>1252</v>
      </c>
      <c r="E451" s="25">
        <v>400</v>
      </c>
      <c r="F451" s="25"/>
      <c r="G451" s="65">
        <v>45990</v>
      </c>
      <c r="H451" s="25" t="s">
        <v>1257</v>
      </c>
      <c r="I451" s="25" t="s">
        <v>1254</v>
      </c>
      <c r="J451" s="26" t="s">
        <v>1302</v>
      </c>
      <c r="K451" s="27" t="s">
        <v>934</v>
      </c>
      <c r="L451" s="28" t="s">
        <v>937</v>
      </c>
      <c r="M451" s="28" t="s">
        <v>833</v>
      </c>
      <c r="N451" s="25">
        <v>1</v>
      </c>
      <c r="O451" s="29">
        <v>13.86</v>
      </c>
      <c r="P451" s="29">
        <v>13.86</v>
      </c>
      <c r="Q451" s="25" t="s">
        <v>1195</v>
      </c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26"/>
        <v>13.86</v>
      </c>
      <c r="AF451" s="32">
        <f t="shared" si="127"/>
        <v>0</v>
      </c>
      <c r="AG451" s="30"/>
      <c r="AH451" s="33">
        <v>1</v>
      </c>
      <c r="AI451" s="34">
        <f t="shared" si="128"/>
        <v>13.86</v>
      </c>
      <c r="AJ451" s="35">
        <v>46281</v>
      </c>
      <c r="AK451" s="30">
        <v>1</v>
      </c>
      <c r="AL451" s="36">
        <f t="shared" si="132"/>
        <v>13.86</v>
      </c>
      <c r="AM451" s="35">
        <v>46281</v>
      </c>
      <c r="AN451" s="30">
        <v>1</v>
      </c>
      <c r="AO451" s="36">
        <f t="shared" si="133"/>
        <v>13.86</v>
      </c>
      <c r="AP451" s="35"/>
      <c r="AQ451" s="30"/>
      <c r="AR451" s="36">
        <f t="shared" si="129"/>
        <v>0</v>
      </c>
      <c r="AS451" s="27" t="s">
        <v>1370</v>
      </c>
      <c r="AT451" s="37">
        <v>46281</v>
      </c>
      <c r="AU451" s="30">
        <v>1</v>
      </c>
      <c r="AV451" s="36">
        <f t="shared" si="130"/>
        <v>13.86</v>
      </c>
      <c r="AW451" s="35">
        <v>46297</v>
      </c>
      <c r="AX451" s="30">
        <v>1</v>
      </c>
      <c r="AY451" s="32">
        <f t="shared" si="131"/>
        <v>13.86</v>
      </c>
      <c r="AZ451" s="30" t="s">
        <v>85</v>
      </c>
      <c r="BA451" s="63" t="s">
        <v>1399</v>
      </c>
      <c r="BB451" s="71"/>
      <c r="BC451" s="71" t="s">
        <v>1360</v>
      </c>
      <c r="BD451" s="71"/>
    </row>
    <row r="452" spans="1:56" x14ac:dyDescent="0.25">
      <c r="A452" s="24">
        <f>IF(B452="","",SUBTOTAL(3,$B$4:B452))</f>
        <v>433</v>
      </c>
      <c r="B452" s="25" t="s">
        <v>77</v>
      </c>
      <c r="C452" s="25" t="str">
        <f t="shared" si="134"/>
        <v>Shipment 2 400</v>
      </c>
      <c r="D452" s="25" t="s">
        <v>1252</v>
      </c>
      <c r="E452" s="25">
        <v>400</v>
      </c>
      <c r="F452" s="25"/>
      <c r="G452" s="65">
        <v>45990</v>
      </c>
      <c r="H452" s="25" t="s">
        <v>1257</v>
      </c>
      <c r="I452" s="25" t="s">
        <v>1254</v>
      </c>
      <c r="J452" s="26" t="s">
        <v>1302</v>
      </c>
      <c r="K452" s="27" t="s">
        <v>934</v>
      </c>
      <c r="L452" s="28" t="s">
        <v>938</v>
      </c>
      <c r="M452" s="28" t="s">
        <v>833</v>
      </c>
      <c r="N452" s="25">
        <v>1</v>
      </c>
      <c r="O452" s="29">
        <v>13.86</v>
      </c>
      <c r="P452" s="29">
        <v>13.86</v>
      </c>
      <c r="Q452" s="25" t="s">
        <v>1195</v>
      </c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26"/>
        <v>13.86</v>
      </c>
      <c r="AF452" s="32">
        <f t="shared" si="127"/>
        <v>0</v>
      </c>
      <c r="AG452" s="30"/>
      <c r="AH452" s="33">
        <v>1</v>
      </c>
      <c r="AI452" s="34">
        <f t="shared" si="128"/>
        <v>13.86</v>
      </c>
      <c r="AJ452" s="35">
        <v>46281</v>
      </c>
      <c r="AK452" s="30">
        <v>1</v>
      </c>
      <c r="AL452" s="36">
        <f t="shared" si="132"/>
        <v>13.86</v>
      </c>
      <c r="AM452" s="35">
        <v>46281</v>
      </c>
      <c r="AN452" s="30">
        <v>1</v>
      </c>
      <c r="AO452" s="36">
        <f t="shared" si="133"/>
        <v>13.86</v>
      </c>
      <c r="AP452" s="35"/>
      <c r="AQ452" s="30"/>
      <c r="AR452" s="36">
        <f t="shared" si="129"/>
        <v>0</v>
      </c>
      <c r="AS452" s="27" t="s">
        <v>1370</v>
      </c>
      <c r="AT452" s="37">
        <v>46281</v>
      </c>
      <c r="AU452" s="30">
        <v>1</v>
      </c>
      <c r="AV452" s="36">
        <f t="shared" si="130"/>
        <v>13.86</v>
      </c>
      <c r="AW452" s="35">
        <v>46297</v>
      </c>
      <c r="AX452" s="30">
        <v>1</v>
      </c>
      <c r="AY452" s="32">
        <f t="shared" si="131"/>
        <v>13.86</v>
      </c>
      <c r="AZ452" s="30" t="s">
        <v>85</v>
      </c>
      <c r="BA452" s="63" t="s">
        <v>1399</v>
      </c>
      <c r="BB452" s="71"/>
      <c r="BC452" s="71" t="s">
        <v>1360</v>
      </c>
      <c r="BD452" s="71"/>
    </row>
    <row r="453" spans="1:56" x14ac:dyDescent="0.25">
      <c r="A453" s="24">
        <f>IF(B453="","",SUBTOTAL(3,$B$4:B453))</f>
        <v>434</v>
      </c>
      <c r="B453" s="25" t="s">
        <v>77</v>
      </c>
      <c r="C453" s="25" t="str">
        <f t="shared" si="134"/>
        <v>Shipment 2 400</v>
      </c>
      <c r="D453" s="25" t="s">
        <v>1252</v>
      </c>
      <c r="E453" s="25">
        <v>400</v>
      </c>
      <c r="F453" s="25"/>
      <c r="G453" s="65">
        <v>45990</v>
      </c>
      <c r="H453" s="25" t="s">
        <v>1257</v>
      </c>
      <c r="I453" s="25" t="s">
        <v>1254</v>
      </c>
      <c r="J453" s="26" t="s">
        <v>1302</v>
      </c>
      <c r="K453" s="27" t="s">
        <v>934</v>
      </c>
      <c r="L453" s="28" t="s">
        <v>939</v>
      </c>
      <c r="M453" s="28" t="s">
        <v>833</v>
      </c>
      <c r="N453" s="25">
        <v>1</v>
      </c>
      <c r="O453" s="29">
        <v>13.86</v>
      </c>
      <c r="P453" s="29">
        <v>13.86</v>
      </c>
      <c r="Q453" s="25" t="s">
        <v>1195</v>
      </c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26"/>
        <v>13.86</v>
      </c>
      <c r="AF453" s="32">
        <f t="shared" si="127"/>
        <v>0</v>
      </c>
      <c r="AG453" s="30"/>
      <c r="AH453" s="33">
        <v>1</v>
      </c>
      <c r="AI453" s="34">
        <f t="shared" si="128"/>
        <v>13.86</v>
      </c>
      <c r="AJ453" s="35">
        <v>46281</v>
      </c>
      <c r="AK453" s="30">
        <v>1</v>
      </c>
      <c r="AL453" s="36">
        <f t="shared" si="132"/>
        <v>13.86</v>
      </c>
      <c r="AM453" s="35">
        <v>46281</v>
      </c>
      <c r="AN453" s="30">
        <v>1</v>
      </c>
      <c r="AO453" s="36">
        <f t="shared" si="133"/>
        <v>13.86</v>
      </c>
      <c r="AP453" s="35"/>
      <c r="AQ453" s="30"/>
      <c r="AR453" s="36">
        <f t="shared" si="129"/>
        <v>0</v>
      </c>
      <c r="AS453" s="27" t="s">
        <v>1370</v>
      </c>
      <c r="AT453" s="37">
        <v>46281</v>
      </c>
      <c r="AU453" s="30">
        <v>1</v>
      </c>
      <c r="AV453" s="36">
        <f t="shared" si="130"/>
        <v>13.86</v>
      </c>
      <c r="AW453" s="35">
        <v>46297</v>
      </c>
      <c r="AX453" s="30">
        <v>1</v>
      </c>
      <c r="AY453" s="32">
        <f t="shared" si="131"/>
        <v>13.86</v>
      </c>
      <c r="AZ453" s="30" t="s">
        <v>85</v>
      </c>
      <c r="BA453" s="63" t="s">
        <v>1399</v>
      </c>
      <c r="BB453" s="71"/>
      <c r="BC453" s="71" t="s">
        <v>1360</v>
      </c>
      <c r="BD453" s="71"/>
    </row>
    <row r="454" spans="1:56" x14ac:dyDescent="0.25">
      <c r="A454" s="24">
        <f>IF(B454="","",SUBTOTAL(3,$B$4:B454))</f>
        <v>435</v>
      </c>
      <c r="B454" s="25" t="s">
        <v>77</v>
      </c>
      <c r="C454" s="25" t="str">
        <f t="shared" si="134"/>
        <v>Shipment 2 400</v>
      </c>
      <c r="D454" s="25" t="s">
        <v>1252</v>
      </c>
      <c r="E454" s="25">
        <v>400</v>
      </c>
      <c r="F454" s="25"/>
      <c r="G454" s="65">
        <v>45990</v>
      </c>
      <c r="H454" s="25" t="s">
        <v>1257</v>
      </c>
      <c r="I454" s="25" t="s">
        <v>1254</v>
      </c>
      <c r="J454" s="26" t="s">
        <v>1302</v>
      </c>
      <c r="K454" s="27" t="s">
        <v>940</v>
      </c>
      <c r="L454" s="28" t="s">
        <v>941</v>
      </c>
      <c r="M454" s="28" t="s">
        <v>833</v>
      </c>
      <c r="N454" s="25">
        <v>1</v>
      </c>
      <c r="O454" s="29">
        <v>13.86</v>
      </c>
      <c r="P454" s="29">
        <v>13.86</v>
      </c>
      <c r="Q454" s="25" t="s">
        <v>1195</v>
      </c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26"/>
        <v>13.86</v>
      </c>
      <c r="AF454" s="32">
        <f t="shared" si="127"/>
        <v>0</v>
      </c>
      <c r="AG454" s="30"/>
      <c r="AH454" s="33">
        <v>1</v>
      </c>
      <c r="AI454" s="34">
        <f t="shared" si="128"/>
        <v>13.86</v>
      </c>
      <c r="AJ454" s="35">
        <v>46281</v>
      </c>
      <c r="AK454" s="30">
        <v>1</v>
      </c>
      <c r="AL454" s="36">
        <f t="shared" si="132"/>
        <v>13.86</v>
      </c>
      <c r="AM454" s="35">
        <v>46281</v>
      </c>
      <c r="AN454" s="30">
        <v>1</v>
      </c>
      <c r="AO454" s="36">
        <f t="shared" si="133"/>
        <v>13.86</v>
      </c>
      <c r="AP454" s="35"/>
      <c r="AQ454" s="30"/>
      <c r="AR454" s="36">
        <f t="shared" si="129"/>
        <v>0</v>
      </c>
      <c r="AS454" s="27" t="s">
        <v>1370</v>
      </c>
      <c r="AT454" s="37">
        <v>46281</v>
      </c>
      <c r="AU454" s="30">
        <v>1</v>
      </c>
      <c r="AV454" s="36">
        <f t="shared" si="130"/>
        <v>13.86</v>
      </c>
      <c r="AW454" s="35">
        <v>46297</v>
      </c>
      <c r="AX454" s="30">
        <v>1</v>
      </c>
      <c r="AY454" s="32">
        <f t="shared" si="131"/>
        <v>13.86</v>
      </c>
      <c r="AZ454" s="30" t="s">
        <v>85</v>
      </c>
      <c r="BA454" s="63" t="s">
        <v>1399</v>
      </c>
      <c r="BB454" s="71"/>
      <c r="BC454" s="71" t="s">
        <v>941</v>
      </c>
      <c r="BD454" s="71"/>
    </row>
    <row r="455" spans="1:56" x14ac:dyDescent="0.25">
      <c r="A455" s="24">
        <f>IF(B455="","",SUBTOTAL(3,$B$4:B455))</f>
        <v>436</v>
      </c>
      <c r="B455" s="25" t="s">
        <v>77</v>
      </c>
      <c r="C455" s="25" t="str">
        <f t="shared" si="134"/>
        <v>Shipment 2 400</v>
      </c>
      <c r="D455" s="25" t="s">
        <v>1252</v>
      </c>
      <c r="E455" s="25">
        <v>400</v>
      </c>
      <c r="F455" s="25"/>
      <c r="G455" s="65">
        <v>45990</v>
      </c>
      <c r="H455" s="25" t="s">
        <v>1257</v>
      </c>
      <c r="I455" s="25" t="s">
        <v>1254</v>
      </c>
      <c r="J455" s="26" t="s">
        <v>1302</v>
      </c>
      <c r="K455" s="27" t="s">
        <v>942</v>
      </c>
      <c r="L455" s="28" t="s">
        <v>943</v>
      </c>
      <c r="M455" s="28" t="s">
        <v>833</v>
      </c>
      <c r="N455" s="25">
        <v>1</v>
      </c>
      <c r="O455" s="29">
        <v>13.86</v>
      </c>
      <c r="P455" s="29">
        <v>13.86</v>
      </c>
      <c r="Q455" s="25" t="s">
        <v>1195</v>
      </c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26"/>
        <v>13.86</v>
      </c>
      <c r="AF455" s="32">
        <f t="shared" si="127"/>
        <v>0</v>
      </c>
      <c r="AG455" s="30"/>
      <c r="AH455" s="33">
        <v>1</v>
      </c>
      <c r="AI455" s="34">
        <f t="shared" si="128"/>
        <v>13.86</v>
      </c>
      <c r="AJ455" s="35">
        <v>46281</v>
      </c>
      <c r="AK455" s="30">
        <v>1</v>
      </c>
      <c r="AL455" s="36">
        <f t="shared" si="132"/>
        <v>13.86</v>
      </c>
      <c r="AM455" s="35">
        <v>46281</v>
      </c>
      <c r="AN455" s="30">
        <v>1</v>
      </c>
      <c r="AO455" s="36">
        <f t="shared" si="133"/>
        <v>13.86</v>
      </c>
      <c r="AP455" s="35"/>
      <c r="AQ455" s="30"/>
      <c r="AR455" s="36">
        <f t="shared" si="129"/>
        <v>0</v>
      </c>
      <c r="AS455" s="27" t="s">
        <v>1370</v>
      </c>
      <c r="AT455" s="37">
        <v>46281</v>
      </c>
      <c r="AU455" s="30">
        <v>1</v>
      </c>
      <c r="AV455" s="36">
        <f t="shared" si="130"/>
        <v>13.86</v>
      </c>
      <c r="AW455" s="35">
        <v>46297</v>
      </c>
      <c r="AX455" s="30">
        <v>1</v>
      </c>
      <c r="AY455" s="32">
        <f t="shared" si="131"/>
        <v>13.86</v>
      </c>
      <c r="AZ455" s="30" t="s">
        <v>85</v>
      </c>
      <c r="BA455" s="63" t="s">
        <v>1399</v>
      </c>
      <c r="BB455" s="71"/>
      <c r="BC455" s="71" t="s">
        <v>943</v>
      </c>
      <c r="BD455" s="71"/>
    </row>
    <row r="456" spans="1:56" x14ac:dyDescent="0.25">
      <c r="A456" s="24">
        <f>IF(B456="","",SUBTOTAL(3,$B$4:B456))</f>
        <v>437</v>
      </c>
      <c r="B456" s="25" t="s">
        <v>77</v>
      </c>
      <c r="C456" s="25" t="str">
        <f t="shared" si="134"/>
        <v>Shipment 2 400</v>
      </c>
      <c r="D456" s="25" t="s">
        <v>1252</v>
      </c>
      <c r="E456" s="25">
        <v>400</v>
      </c>
      <c r="F456" s="25"/>
      <c r="G456" s="65">
        <v>45990</v>
      </c>
      <c r="H456" s="25" t="s">
        <v>1257</v>
      </c>
      <c r="I456" s="25" t="s">
        <v>1254</v>
      </c>
      <c r="J456" s="26" t="s">
        <v>1301</v>
      </c>
      <c r="K456" s="27" t="s">
        <v>944</v>
      </c>
      <c r="L456" s="28" t="s">
        <v>945</v>
      </c>
      <c r="M456" s="28" t="s">
        <v>833</v>
      </c>
      <c r="N456" s="25">
        <v>1</v>
      </c>
      <c r="O456" s="29">
        <v>12.23</v>
      </c>
      <c r="P456" s="29">
        <v>12.23</v>
      </c>
      <c r="Q456" s="25" t="s">
        <v>1216</v>
      </c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26"/>
        <v>12.230000000000002</v>
      </c>
      <c r="AF456" s="32">
        <f t="shared" si="127"/>
        <v>0</v>
      </c>
      <c r="AG456" s="30"/>
      <c r="AH456" s="33">
        <v>1</v>
      </c>
      <c r="AI456" s="34">
        <f t="shared" si="128"/>
        <v>12.23</v>
      </c>
      <c r="AJ456" s="35">
        <v>46281</v>
      </c>
      <c r="AK456" s="30">
        <v>1</v>
      </c>
      <c r="AL456" s="36">
        <f t="shared" si="132"/>
        <v>12.23</v>
      </c>
      <c r="AM456" s="35">
        <v>46281</v>
      </c>
      <c r="AN456" s="30">
        <v>1</v>
      </c>
      <c r="AO456" s="36">
        <f t="shared" si="133"/>
        <v>12.23</v>
      </c>
      <c r="AP456" s="35"/>
      <c r="AQ456" s="30"/>
      <c r="AR456" s="36">
        <f t="shared" si="129"/>
        <v>0</v>
      </c>
      <c r="AS456" s="27" t="s">
        <v>1370</v>
      </c>
      <c r="AT456" s="37">
        <v>46281</v>
      </c>
      <c r="AU456" s="30">
        <v>1</v>
      </c>
      <c r="AV456" s="36">
        <f t="shared" si="130"/>
        <v>12.23</v>
      </c>
      <c r="AW456" s="35">
        <v>46297</v>
      </c>
      <c r="AX456" s="30">
        <v>1</v>
      </c>
      <c r="AY456" s="32">
        <f t="shared" si="131"/>
        <v>12.23</v>
      </c>
      <c r="AZ456" s="30" t="s">
        <v>85</v>
      </c>
      <c r="BA456" s="63" t="s">
        <v>1399</v>
      </c>
      <c r="BB456" s="71"/>
      <c r="BC456" s="71" t="s">
        <v>1361</v>
      </c>
      <c r="BD456" s="71"/>
    </row>
    <row r="457" spans="1:56" x14ac:dyDescent="0.25">
      <c r="A457" s="24">
        <f>IF(B457="","",SUBTOTAL(3,$B$4:B457))</f>
        <v>438</v>
      </c>
      <c r="B457" s="25" t="s">
        <v>77</v>
      </c>
      <c r="C457" s="25" t="str">
        <f t="shared" si="134"/>
        <v>Shipment 2 400</v>
      </c>
      <c r="D457" s="25" t="s">
        <v>1252</v>
      </c>
      <c r="E457" s="25">
        <v>400</v>
      </c>
      <c r="F457" s="25"/>
      <c r="G457" s="65">
        <v>45990</v>
      </c>
      <c r="H457" s="25" t="s">
        <v>1257</v>
      </c>
      <c r="I457" s="25" t="s">
        <v>1254</v>
      </c>
      <c r="J457" s="26" t="s">
        <v>1301</v>
      </c>
      <c r="K457" s="27" t="s">
        <v>944</v>
      </c>
      <c r="L457" s="28" t="s">
        <v>946</v>
      </c>
      <c r="M457" s="28" t="s">
        <v>833</v>
      </c>
      <c r="N457" s="25">
        <v>1</v>
      </c>
      <c r="O457" s="29">
        <v>12.23</v>
      </c>
      <c r="P457" s="29">
        <v>12.23</v>
      </c>
      <c r="Q457" s="25" t="s">
        <v>1216</v>
      </c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26"/>
        <v>12.230000000000002</v>
      </c>
      <c r="AF457" s="32">
        <f t="shared" si="127"/>
        <v>0</v>
      </c>
      <c r="AG457" s="30"/>
      <c r="AH457" s="33">
        <v>1</v>
      </c>
      <c r="AI457" s="34">
        <f t="shared" si="128"/>
        <v>12.23</v>
      </c>
      <c r="AJ457" s="35">
        <v>46281</v>
      </c>
      <c r="AK457" s="30">
        <v>1</v>
      </c>
      <c r="AL457" s="36">
        <f t="shared" si="132"/>
        <v>12.23</v>
      </c>
      <c r="AM457" s="35">
        <v>46281</v>
      </c>
      <c r="AN457" s="30">
        <v>1</v>
      </c>
      <c r="AO457" s="36">
        <f t="shared" si="133"/>
        <v>12.23</v>
      </c>
      <c r="AP457" s="35"/>
      <c r="AQ457" s="30"/>
      <c r="AR457" s="36">
        <f t="shared" si="129"/>
        <v>0</v>
      </c>
      <c r="AS457" s="27" t="s">
        <v>1370</v>
      </c>
      <c r="AT457" s="37">
        <v>46281</v>
      </c>
      <c r="AU457" s="30">
        <v>1</v>
      </c>
      <c r="AV457" s="36">
        <f t="shared" si="130"/>
        <v>12.23</v>
      </c>
      <c r="AW457" s="35">
        <v>46297</v>
      </c>
      <c r="AX457" s="30">
        <v>1</v>
      </c>
      <c r="AY457" s="32">
        <f t="shared" si="131"/>
        <v>12.23</v>
      </c>
      <c r="AZ457" s="30" t="s">
        <v>85</v>
      </c>
      <c r="BA457" s="63" t="s">
        <v>1399</v>
      </c>
      <c r="BB457" s="71"/>
      <c r="BC457" s="71" t="s">
        <v>1361</v>
      </c>
      <c r="BD457" s="71"/>
    </row>
    <row r="458" spans="1:56" x14ac:dyDescent="0.25">
      <c r="A458" s="24">
        <f>IF(B458="","",SUBTOTAL(3,$B$4:B458))</f>
        <v>439</v>
      </c>
      <c r="B458" s="25" t="s">
        <v>77</v>
      </c>
      <c r="C458" s="25" t="str">
        <f t="shared" si="134"/>
        <v>Shipment 2 400</v>
      </c>
      <c r="D458" s="25" t="s">
        <v>1252</v>
      </c>
      <c r="E458" s="25">
        <v>400</v>
      </c>
      <c r="F458" s="25"/>
      <c r="G458" s="65">
        <v>45990</v>
      </c>
      <c r="H458" s="25" t="s">
        <v>1257</v>
      </c>
      <c r="I458" s="25" t="s">
        <v>1254</v>
      </c>
      <c r="J458" s="26" t="s">
        <v>1302</v>
      </c>
      <c r="K458" s="27" t="s">
        <v>947</v>
      </c>
      <c r="L458" s="28" t="s">
        <v>948</v>
      </c>
      <c r="M458" s="28" t="s">
        <v>833</v>
      </c>
      <c r="N458" s="25">
        <v>1</v>
      </c>
      <c r="O458" s="29">
        <v>12.96</v>
      </c>
      <c r="P458" s="29">
        <v>12.96</v>
      </c>
      <c r="Q458" s="25" t="s">
        <v>1217</v>
      </c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26"/>
        <v>12.96</v>
      </c>
      <c r="AF458" s="32">
        <f t="shared" si="127"/>
        <v>0</v>
      </c>
      <c r="AG458" s="30"/>
      <c r="AH458" s="33">
        <v>1</v>
      </c>
      <c r="AI458" s="34">
        <f t="shared" si="128"/>
        <v>12.96</v>
      </c>
      <c r="AJ458" s="35">
        <v>46281</v>
      </c>
      <c r="AK458" s="30">
        <v>1</v>
      </c>
      <c r="AL458" s="36">
        <f t="shared" si="132"/>
        <v>12.96</v>
      </c>
      <c r="AM458" s="35">
        <v>46281</v>
      </c>
      <c r="AN458" s="30">
        <v>1</v>
      </c>
      <c r="AO458" s="36">
        <f t="shared" si="133"/>
        <v>12.96</v>
      </c>
      <c r="AP458" s="35"/>
      <c r="AQ458" s="30"/>
      <c r="AR458" s="36">
        <f t="shared" si="129"/>
        <v>0</v>
      </c>
      <c r="AS458" s="27" t="s">
        <v>1370</v>
      </c>
      <c r="AT458" s="37">
        <v>46281</v>
      </c>
      <c r="AU458" s="30">
        <v>1</v>
      </c>
      <c r="AV458" s="36">
        <f t="shared" si="130"/>
        <v>12.96</v>
      </c>
      <c r="AW458" s="35">
        <v>46297</v>
      </c>
      <c r="AX458" s="30">
        <v>1</v>
      </c>
      <c r="AY458" s="32">
        <f t="shared" si="131"/>
        <v>12.96</v>
      </c>
      <c r="AZ458" s="30" t="s">
        <v>85</v>
      </c>
      <c r="BA458" s="63" t="s">
        <v>1399</v>
      </c>
      <c r="BB458" s="71"/>
      <c r="BC458" s="71" t="s">
        <v>948</v>
      </c>
      <c r="BD458" s="71"/>
    </row>
    <row r="459" spans="1:56" x14ac:dyDescent="0.25">
      <c r="A459" s="24">
        <f>IF(B459="","",SUBTOTAL(3,$B$4:B459))</f>
        <v>440</v>
      </c>
      <c r="B459" s="25" t="s">
        <v>77</v>
      </c>
      <c r="C459" s="25" t="str">
        <f t="shared" si="134"/>
        <v>Shipment 2 400</v>
      </c>
      <c r="D459" s="25" t="s">
        <v>1252</v>
      </c>
      <c r="E459" s="25">
        <v>400</v>
      </c>
      <c r="F459" s="25"/>
      <c r="G459" s="65">
        <v>45990</v>
      </c>
      <c r="H459" s="25" t="s">
        <v>1257</v>
      </c>
      <c r="I459" s="25" t="s">
        <v>1254</v>
      </c>
      <c r="J459" s="26" t="s">
        <v>1301</v>
      </c>
      <c r="K459" s="27" t="s">
        <v>949</v>
      </c>
      <c r="L459" s="28" t="s">
        <v>950</v>
      </c>
      <c r="M459" s="28" t="s">
        <v>833</v>
      </c>
      <c r="N459" s="25">
        <v>1</v>
      </c>
      <c r="O459" s="29">
        <v>10.86</v>
      </c>
      <c r="P459" s="29">
        <v>10.86</v>
      </c>
      <c r="Q459" s="25" t="s">
        <v>1218</v>
      </c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26"/>
        <v>10.860000000000001</v>
      </c>
      <c r="AF459" s="32">
        <f t="shared" si="127"/>
        <v>0</v>
      </c>
      <c r="AG459" s="30"/>
      <c r="AH459" s="33">
        <v>1</v>
      </c>
      <c r="AI459" s="34">
        <f t="shared" si="128"/>
        <v>10.86</v>
      </c>
      <c r="AJ459" s="35">
        <v>46281</v>
      </c>
      <c r="AK459" s="30">
        <v>1</v>
      </c>
      <c r="AL459" s="36">
        <f t="shared" si="132"/>
        <v>10.86</v>
      </c>
      <c r="AM459" s="35">
        <v>46281</v>
      </c>
      <c r="AN459" s="30">
        <v>1</v>
      </c>
      <c r="AO459" s="36">
        <f t="shared" si="133"/>
        <v>10.86</v>
      </c>
      <c r="AP459" s="35"/>
      <c r="AQ459" s="30"/>
      <c r="AR459" s="36">
        <f t="shared" si="129"/>
        <v>0</v>
      </c>
      <c r="AS459" s="27" t="s">
        <v>1399</v>
      </c>
      <c r="AT459" s="37">
        <v>46294</v>
      </c>
      <c r="AU459" s="30">
        <v>1</v>
      </c>
      <c r="AV459" s="36">
        <f t="shared" si="130"/>
        <v>10.86</v>
      </c>
      <c r="AW459" s="35">
        <v>46297</v>
      </c>
      <c r="AX459" s="30">
        <v>1</v>
      </c>
      <c r="AY459" s="32">
        <f t="shared" si="131"/>
        <v>10.86</v>
      </c>
      <c r="AZ459" s="30" t="s">
        <v>85</v>
      </c>
      <c r="BA459" s="63" t="s">
        <v>1400</v>
      </c>
      <c r="BB459" s="71" t="e">
        <f>SUMIFS([1]Form!$F$9:$F$67,[1]Form!$K$9:$K$67,L459)</f>
        <v>#VALUE!</v>
      </c>
      <c r="BC459" s="71" t="s">
        <v>950</v>
      </c>
      <c r="BD459" s="71"/>
    </row>
    <row r="460" spans="1:56" x14ac:dyDescent="0.25">
      <c r="A460" s="24">
        <f>IF(B460="","",SUBTOTAL(3,$B$4:B460))</f>
        <v>441</v>
      </c>
      <c r="B460" s="25" t="s">
        <v>77</v>
      </c>
      <c r="C460" s="25" t="str">
        <f t="shared" si="134"/>
        <v>Shipment 2 400</v>
      </c>
      <c r="D460" s="25" t="s">
        <v>1252</v>
      </c>
      <c r="E460" s="25">
        <v>400</v>
      </c>
      <c r="F460" s="25"/>
      <c r="G460" s="65">
        <v>45990</v>
      </c>
      <c r="H460" s="25" t="s">
        <v>1257</v>
      </c>
      <c r="I460" s="25" t="s">
        <v>1254</v>
      </c>
      <c r="J460" s="26" t="s">
        <v>1301</v>
      </c>
      <c r="K460" s="27" t="s">
        <v>951</v>
      </c>
      <c r="L460" s="28" t="s">
        <v>952</v>
      </c>
      <c r="M460" s="28" t="s">
        <v>833</v>
      </c>
      <c r="N460" s="25">
        <v>1</v>
      </c>
      <c r="O460" s="29">
        <v>10.86</v>
      </c>
      <c r="P460" s="29">
        <v>10.86</v>
      </c>
      <c r="Q460" s="25" t="s">
        <v>1218</v>
      </c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26"/>
        <v>10.860000000000001</v>
      </c>
      <c r="AF460" s="32">
        <f t="shared" si="127"/>
        <v>0</v>
      </c>
      <c r="AG460" s="30"/>
      <c r="AH460" s="33">
        <v>1</v>
      </c>
      <c r="AI460" s="34">
        <f t="shared" si="128"/>
        <v>10.86</v>
      </c>
      <c r="AJ460" s="35">
        <v>46281</v>
      </c>
      <c r="AK460" s="30">
        <v>1</v>
      </c>
      <c r="AL460" s="36">
        <f t="shared" si="132"/>
        <v>10.86</v>
      </c>
      <c r="AM460" s="35">
        <v>46281</v>
      </c>
      <c r="AN460" s="30">
        <v>1</v>
      </c>
      <c r="AO460" s="36">
        <f t="shared" si="133"/>
        <v>10.86</v>
      </c>
      <c r="AP460" s="35"/>
      <c r="AQ460" s="30"/>
      <c r="AR460" s="36">
        <f t="shared" si="129"/>
        <v>0</v>
      </c>
      <c r="AS460" s="27" t="s">
        <v>1399</v>
      </c>
      <c r="AT460" s="37">
        <v>46294</v>
      </c>
      <c r="AU460" s="30">
        <v>1</v>
      </c>
      <c r="AV460" s="36">
        <f t="shared" si="130"/>
        <v>10.86</v>
      </c>
      <c r="AW460" s="35">
        <v>46297</v>
      </c>
      <c r="AX460" s="30">
        <v>1</v>
      </c>
      <c r="AY460" s="32">
        <f t="shared" si="131"/>
        <v>10.86</v>
      </c>
      <c r="AZ460" s="30" t="s">
        <v>85</v>
      </c>
      <c r="BA460" s="63" t="s">
        <v>1400</v>
      </c>
      <c r="BB460" s="71" t="e">
        <f>SUMIFS([1]Form!$F$9:$F$67,[1]Form!$K$9:$K$67,L460)</f>
        <v>#VALUE!</v>
      </c>
      <c r="BC460" s="71" t="s">
        <v>952</v>
      </c>
      <c r="BD460" s="71"/>
    </row>
    <row r="461" spans="1:56" x14ac:dyDescent="0.25">
      <c r="A461" s="24">
        <f>IF(B461="","",SUBTOTAL(3,$B$4:B461))</f>
        <v>442</v>
      </c>
      <c r="B461" s="25" t="s">
        <v>77</v>
      </c>
      <c r="C461" s="25" t="str">
        <f t="shared" si="134"/>
        <v>Shipment 2 400</v>
      </c>
      <c r="D461" s="25" t="s">
        <v>1252</v>
      </c>
      <c r="E461" s="25">
        <v>400</v>
      </c>
      <c r="F461" s="25"/>
      <c r="G461" s="65">
        <v>45990</v>
      </c>
      <c r="H461" s="25" t="s">
        <v>1257</v>
      </c>
      <c r="I461" s="25" t="s">
        <v>1254</v>
      </c>
      <c r="J461" s="26" t="s">
        <v>1302</v>
      </c>
      <c r="K461" s="27" t="s">
        <v>953</v>
      </c>
      <c r="L461" s="28" t="s">
        <v>954</v>
      </c>
      <c r="M461" s="28" t="s">
        <v>833</v>
      </c>
      <c r="N461" s="25">
        <v>1</v>
      </c>
      <c r="O461" s="29">
        <v>7.85</v>
      </c>
      <c r="P461" s="29">
        <v>7.85</v>
      </c>
      <c r="Q461" s="25" t="s">
        <v>1219</v>
      </c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26"/>
        <v>7.85</v>
      </c>
      <c r="AF461" s="32">
        <f t="shared" si="127"/>
        <v>0</v>
      </c>
      <c r="AG461" s="30"/>
      <c r="AH461" s="33">
        <v>1</v>
      </c>
      <c r="AI461" s="34">
        <f t="shared" si="128"/>
        <v>7.85</v>
      </c>
      <c r="AJ461" s="35">
        <v>46281</v>
      </c>
      <c r="AK461" s="30">
        <v>1</v>
      </c>
      <c r="AL461" s="36">
        <f t="shared" si="132"/>
        <v>7.85</v>
      </c>
      <c r="AM461" s="35">
        <v>46281</v>
      </c>
      <c r="AN461" s="30">
        <v>1</v>
      </c>
      <c r="AO461" s="36">
        <f t="shared" si="133"/>
        <v>7.85</v>
      </c>
      <c r="AP461" s="35"/>
      <c r="AQ461" s="30"/>
      <c r="AR461" s="36">
        <f t="shared" si="129"/>
        <v>0</v>
      </c>
      <c r="AS461" s="27" t="s">
        <v>1370</v>
      </c>
      <c r="AT461" s="37">
        <v>46281</v>
      </c>
      <c r="AU461" s="30">
        <v>1</v>
      </c>
      <c r="AV461" s="36">
        <f t="shared" si="130"/>
        <v>7.85</v>
      </c>
      <c r="AW461" s="35">
        <v>46297</v>
      </c>
      <c r="AX461" s="30">
        <v>1</v>
      </c>
      <c r="AY461" s="32">
        <f t="shared" si="131"/>
        <v>7.85</v>
      </c>
      <c r="AZ461" s="30" t="s">
        <v>85</v>
      </c>
      <c r="BA461" s="63" t="s">
        <v>1399</v>
      </c>
      <c r="BB461" s="71"/>
      <c r="BC461" s="71" t="s">
        <v>1362</v>
      </c>
      <c r="BD461" s="71"/>
    </row>
    <row r="462" spans="1:56" x14ac:dyDescent="0.25">
      <c r="A462" s="24">
        <f>IF(B462="","",SUBTOTAL(3,$B$4:B462))</f>
        <v>443</v>
      </c>
      <c r="B462" s="25" t="s">
        <v>77</v>
      </c>
      <c r="C462" s="25" t="str">
        <f t="shared" si="134"/>
        <v>Shipment 2 400</v>
      </c>
      <c r="D462" s="25" t="s">
        <v>1252</v>
      </c>
      <c r="E462" s="25">
        <v>400</v>
      </c>
      <c r="F462" s="25"/>
      <c r="G462" s="65">
        <v>45990</v>
      </c>
      <c r="H462" s="25" t="s">
        <v>1257</v>
      </c>
      <c r="I462" s="25" t="s">
        <v>1254</v>
      </c>
      <c r="J462" s="26" t="s">
        <v>1302</v>
      </c>
      <c r="K462" s="27" t="s">
        <v>953</v>
      </c>
      <c r="L462" s="28" t="s">
        <v>955</v>
      </c>
      <c r="M462" s="28" t="s">
        <v>833</v>
      </c>
      <c r="N462" s="25">
        <v>1</v>
      </c>
      <c r="O462" s="29">
        <v>7.85</v>
      </c>
      <c r="P462" s="29">
        <v>7.85</v>
      </c>
      <c r="Q462" s="25" t="s">
        <v>1219</v>
      </c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26"/>
        <v>7.85</v>
      </c>
      <c r="AF462" s="32">
        <f t="shared" si="127"/>
        <v>0</v>
      </c>
      <c r="AG462" s="30"/>
      <c r="AH462" s="33">
        <v>1</v>
      </c>
      <c r="AI462" s="34">
        <f t="shared" si="128"/>
        <v>7.85</v>
      </c>
      <c r="AJ462" s="35">
        <v>46281</v>
      </c>
      <c r="AK462" s="30">
        <v>1</v>
      </c>
      <c r="AL462" s="36">
        <f t="shared" si="132"/>
        <v>7.85</v>
      </c>
      <c r="AM462" s="35">
        <v>46281</v>
      </c>
      <c r="AN462" s="30">
        <v>1</v>
      </c>
      <c r="AO462" s="36">
        <f t="shared" si="133"/>
        <v>7.85</v>
      </c>
      <c r="AP462" s="35"/>
      <c r="AQ462" s="30"/>
      <c r="AR462" s="36">
        <f t="shared" si="129"/>
        <v>0</v>
      </c>
      <c r="AS462" s="27" t="s">
        <v>1370</v>
      </c>
      <c r="AT462" s="37">
        <v>46281</v>
      </c>
      <c r="AU462" s="30">
        <v>1</v>
      </c>
      <c r="AV462" s="36">
        <f t="shared" si="130"/>
        <v>7.85</v>
      </c>
      <c r="AW462" s="35">
        <v>46297</v>
      </c>
      <c r="AX462" s="30">
        <v>1</v>
      </c>
      <c r="AY462" s="32">
        <f t="shared" si="131"/>
        <v>7.85</v>
      </c>
      <c r="AZ462" s="30" t="s">
        <v>85</v>
      </c>
      <c r="BA462" s="63" t="s">
        <v>1399</v>
      </c>
      <c r="BB462" s="71"/>
      <c r="BC462" s="71" t="s">
        <v>1362</v>
      </c>
      <c r="BD462" s="71"/>
    </row>
    <row r="463" spans="1:56" x14ac:dyDescent="0.25">
      <c r="A463" s="24">
        <f>IF(B463="","",SUBTOTAL(3,$B$4:B463))</f>
        <v>444</v>
      </c>
      <c r="B463" s="25" t="s">
        <v>77</v>
      </c>
      <c r="C463" s="25" t="str">
        <f t="shared" si="134"/>
        <v>Shipment 2 400</v>
      </c>
      <c r="D463" s="25" t="s">
        <v>1252</v>
      </c>
      <c r="E463" s="25">
        <v>400</v>
      </c>
      <c r="F463" s="25"/>
      <c r="G463" s="65">
        <v>45990</v>
      </c>
      <c r="H463" s="25" t="s">
        <v>1257</v>
      </c>
      <c r="I463" s="25" t="s">
        <v>1254</v>
      </c>
      <c r="J463" s="26" t="s">
        <v>1302</v>
      </c>
      <c r="K463" s="27" t="s">
        <v>956</v>
      </c>
      <c r="L463" s="28" t="s">
        <v>957</v>
      </c>
      <c r="M463" s="28" t="s">
        <v>833</v>
      </c>
      <c r="N463" s="25">
        <v>1</v>
      </c>
      <c r="O463" s="29">
        <v>7.85</v>
      </c>
      <c r="P463" s="29">
        <v>7.85</v>
      </c>
      <c r="Q463" s="25" t="s">
        <v>1219</v>
      </c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26"/>
        <v>7.85</v>
      </c>
      <c r="AF463" s="32">
        <f t="shared" si="127"/>
        <v>0</v>
      </c>
      <c r="AG463" s="30"/>
      <c r="AH463" s="33">
        <v>1</v>
      </c>
      <c r="AI463" s="34">
        <f t="shared" si="128"/>
        <v>7.85</v>
      </c>
      <c r="AJ463" s="35">
        <v>46281</v>
      </c>
      <c r="AK463" s="30">
        <v>1</v>
      </c>
      <c r="AL463" s="36">
        <f t="shared" si="132"/>
        <v>7.85</v>
      </c>
      <c r="AM463" s="35">
        <v>46281</v>
      </c>
      <c r="AN463" s="30">
        <v>1</v>
      </c>
      <c r="AO463" s="36">
        <f t="shared" si="133"/>
        <v>7.85</v>
      </c>
      <c r="AP463" s="35"/>
      <c r="AQ463" s="30"/>
      <c r="AR463" s="36">
        <f t="shared" si="129"/>
        <v>0</v>
      </c>
      <c r="AS463" s="27" t="s">
        <v>1370</v>
      </c>
      <c r="AT463" s="37">
        <v>46281</v>
      </c>
      <c r="AU463" s="30">
        <v>1</v>
      </c>
      <c r="AV463" s="36">
        <f t="shared" si="130"/>
        <v>7.85</v>
      </c>
      <c r="AW463" s="35">
        <v>46297</v>
      </c>
      <c r="AX463" s="30">
        <v>1</v>
      </c>
      <c r="AY463" s="32">
        <f t="shared" si="131"/>
        <v>7.85</v>
      </c>
      <c r="AZ463" s="30" t="s">
        <v>85</v>
      </c>
      <c r="BA463" s="63" t="s">
        <v>1399</v>
      </c>
      <c r="BB463" s="71"/>
      <c r="BC463" s="71" t="s">
        <v>1363</v>
      </c>
      <c r="BD463" s="71"/>
    </row>
    <row r="464" spans="1:56" x14ac:dyDescent="0.25">
      <c r="A464" s="24">
        <f>IF(B464="","",SUBTOTAL(3,$B$4:B464))</f>
        <v>445</v>
      </c>
      <c r="B464" s="25" t="s">
        <v>77</v>
      </c>
      <c r="C464" s="25" t="str">
        <f t="shared" si="134"/>
        <v>Shipment 2 400</v>
      </c>
      <c r="D464" s="25" t="s">
        <v>1252</v>
      </c>
      <c r="E464" s="25">
        <v>400</v>
      </c>
      <c r="F464" s="25"/>
      <c r="G464" s="65">
        <v>45990</v>
      </c>
      <c r="H464" s="25" t="s">
        <v>1257</v>
      </c>
      <c r="I464" s="25" t="s">
        <v>1254</v>
      </c>
      <c r="J464" s="26" t="s">
        <v>1302</v>
      </c>
      <c r="K464" s="27" t="s">
        <v>956</v>
      </c>
      <c r="L464" s="28" t="s">
        <v>958</v>
      </c>
      <c r="M464" s="28" t="s">
        <v>833</v>
      </c>
      <c r="N464" s="25">
        <v>1</v>
      </c>
      <c r="O464" s="29">
        <v>7.85</v>
      </c>
      <c r="P464" s="29">
        <v>7.85</v>
      </c>
      <c r="Q464" s="25" t="s">
        <v>1219</v>
      </c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26"/>
        <v>7.85</v>
      </c>
      <c r="AF464" s="32">
        <f t="shared" si="127"/>
        <v>0</v>
      </c>
      <c r="AG464" s="30"/>
      <c r="AH464" s="33">
        <v>1</v>
      </c>
      <c r="AI464" s="34">
        <f t="shared" si="128"/>
        <v>7.85</v>
      </c>
      <c r="AJ464" s="35">
        <v>46281</v>
      </c>
      <c r="AK464" s="30">
        <v>1</v>
      </c>
      <c r="AL464" s="36">
        <f t="shared" si="132"/>
        <v>7.85</v>
      </c>
      <c r="AM464" s="35">
        <v>46281</v>
      </c>
      <c r="AN464" s="30">
        <v>1</v>
      </c>
      <c r="AO464" s="36">
        <f t="shared" si="133"/>
        <v>7.85</v>
      </c>
      <c r="AP464" s="35"/>
      <c r="AQ464" s="30"/>
      <c r="AR464" s="36">
        <f t="shared" si="129"/>
        <v>0</v>
      </c>
      <c r="AS464" s="27" t="s">
        <v>1370</v>
      </c>
      <c r="AT464" s="37">
        <v>46281</v>
      </c>
      <c r="AU464" s="30">
        <v>1</v>
      </c>
      <c r="AV464" s="36">
        <f t="shared" si="130"/>
        <v>7.85</v>
      </c>
      <c r="AW464" s="35">
        <v>46297</v>
      </c>
      <c r="AX464" s="30">
        <v>1</v>
      </c>
      <c r="AY464" s="32">
        <f t="shared" si="131"/>
        <v>7.85</v>
      </c>
      <c r="AZ464" s="30" t="s">
        <v>85</v>
      </c>
      <c r="BA464" s="63" t="s">
        <v>1399</v>
      </c>
      <c r="BB464" s="71"/>
      <c r="BC464" s="71" t="s">
        <v>1363</v>
      </c>
      <c r="BD464" s="71"/>
    </row>
    <row r="465" spans="1:56" x14ac:dyDescent="0.25">
      <c r="A465" s="24">
        <f>IF(B465="","",SUBTOTAL(3,$B$4:B465))</f>
        <v>446</v>
      </c>
      <c r="B465" s="25" t="s">
        <v>77</v>
      </c>
      <c r="C465" s="25" t="str">
        <f t="shared" si="134"/>
        <v>Shipment 2 400</v>
      </c>
      <c r="D465" s="25" t="s">
        <v>1252</v>
      </c>
      <c r="E465" s="25">
        <v>400</v>
      </c>
      <c r="F465" s="25"/>
      <c r="G465" s="65">
        <v>45990</v>
      </c>
      <c r="H465" s="25" t="s">
        <v>1257</v>
      </c>
      <c r="I465" s="25" t="s">
        <v>1254</v>
      </c>
      <c r="J465" s="26" t="s">
        <v>1302</v>
      </c>
      <c r="K465" s="27" t="s">
        <v>959</v>
      </c>
      <c r="L465" s="28" t="s">
        <v>960</v>
      </c>
      <c r="M465" s="28" t="s">
        <v>833</v>
      </c>
      <c r="N465" s="25">
        <v>1</v>
      </c>
      <c r="O465" s="29">
        <v>5.64</v>
      </c>
      <c r="P465" s="29">
        <v>5.64</v>
      </c>
      <c r="Q465" s="25" t="s">
        <v>1220</v>
      </c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26"/>
        <v>5.64</v>
      </c>
      <c r="AF465" s="32">
        <f t="shared" si="127"/>
        <v>0</v>
      </c>
      <c r="AG465" s="30"/>
      <c r="AH465" s="33">
        <v>1</v>
      </c>
      <c r="AI465" s="34">
        <f t="shared" si="128"/>
        <v>5.64</v>
      </c>
      <c r="AJ465" s="35">
        <v>46281</v>
      </c>
      <c r="AK465" s="30">
        <v>1</v>
      </c>
      <c r="AL465" s="36">
        <f t="shared" si="132"/>
        <v>5.64</v>
      </c>
      <c r="AM465" s="35">
        <v>46281</v>
      </c>
      <c r="AN465" s="30">
        <v>1</v>
      </c>
      <c r="AO465" s="36">
        <f t="shared" si="133"/>
        <v>5.64</v>
      </c>
      <c r="AP465" s="35"/>
      <c r="AQ465" s="30"/>
      <c r="AR465" s="36">
        <f t="shared" si="129"/>
        <v>0</v>
      </c>
      <c r="AS465" s="27" t="s">
        <v>1370</v>
      </c>
      <c r="AT465" s="37">
        <v>46281</v>
      </c>
      <c r="AU465" s="30">
        <v>1</v>
      </c>
      <c r="AV465" s="36">
        <f t="shared" si="130"/>
        <v>5.64</v>
      </c>
      <c r="AW465" s="35">
        <v>46297</v>
      </c>
      <c r="AX465" s="30">
        <v>1</v>
      </c>
      <c r="AY465" s="32">
        <f t="shared" si="131"/>
        <v>5.64</v>
      </c>
      <c r="AZ465" s="30" t="s">
        <v>85</v>
      </c>
      <c r="BA465" s="63" t="s">
        <v>1399</v>
      </c>
      <c r="BB465" s="71"/>
      <c r="BC465" s="71" t="s">
        <v>960</v>
      </c>
      <c r="BD465" s="71"/>
    </row>
    <row r="466" spans="1:56" x14ac:dyDescent="0.25">
      <c r="A466" s="24">
        <f>IF(B466="","",SUBTOTAL(3,$B$4:B466))</f>
        <v>447</v>
      </c>
      <c r="B466" s="25" t="s">
        <v>77</v>
      </c>
      <c r="C466" s="25" t="str">
        <f t="shared" si="134"/>
        <v>Shipment 2 400</v>
      </c>
      <c r="D466" s="25" t="s">
        <v>1252</v>
      </c>
      <c r="E466" s="25">
        <v>400</v>
      </c>
      <c r="F466" s="25"/>
      <c r="G466" s="65">
        <v>45990</v>
      </c>
      <c r="H466" s="25" t="s">
        <v>1257</v>
      </c>
      <c r="I466" s="25" t="s">
        <v>1254</v>
      </c>
      <c r="J466" s="26" t="s">
        <v>1302</v>
      </c>
      <c r="K466" s="27" t="s">
        <v>961</v>
      </c>
      <c r="L466" s="28" t="s">
        <v>962</v>
      </c>
      <c r="M466" s="28" t="s">
        <v>833</v>
      </c>
      <c r="N466" s="25">
        <v>1</v>
      </c>
      <c r="O466" s="29">
        <v>5.64</v>
      </c>
      <c r="P466" s="29">
        <v>5.64</v>
      </c>
      <c r="Q466" s="25" t="s">
        <v>1220</v>
      </c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26"/>
        <v>5.64</v>
      </c>
      <c r="AF466" s="32">
        <f t="shared" si="127"/>
        <v>0</v>
      </c>
      <c r="AG466" s="30"/>
      <c r="AH466" s="33">
        <v>1</v>
      </c>
      <c r="AI466" s="34">
        <f t="shared" si="128"/>
        <v>5.64</v>
      </c>
      <c r="AJ466" s="35">
        <v>46281</v>
      </c>
      <c r="AK466" s="30">
        <v>1</v>
      </c>
      <c r="AL466" s="36">
        <f t="shared" si="132"/>
        <v>5.64</v>
      </c>
      <c r="AM466" s="35">
        <v>46281</v>
      </c>
      <c r="AN466" s="30">
        <v>1</v>
      </c>
      <c r="AO466" s="36">
        <f t="shared" si="133"/>
        <v>5.64</v>
      </c>
      <c r="AP466" s="35"/>
      <c r="AQ466" s="30"/>
      <c r="AR466" s="36">
        <f t="shared" si="129"/>
        <v>0</v>
      </c>
      <c r="AS466" s="27" t="s">
        <v>1370</v>
      </c>
      <c r="AT466" s="37">
        <v>46281</v>
      </c>
      <c r="AU466" s="30">
        <v>1</v>
      </c>
      <c r="AV466" s="36">
        <f t="shared" si="130"/>
        <v>5.64</v>
      </c>
      <c r="AW466" s="35">
        <v>46297</v>
      </c>
      <c r="AX466" s="30">
        <v>1</v>
      </c>
      <c r="AY466" s="32">
        <f t="shared" si="131"/>
        <v>5.64</v>
      </c>
      <c r="AZ466" s="30" t="s">
        <v>85</v>
      </c>
      <c r="BA466" s="63" t="s">
        <v>1399</v>
      </c>
      <c r="BB466" s="71"/>
      <c r="BC466" s="71" t="s">
        <v>962</v>
      </c>
      <c r="BD466" s="71"/>
    </row>
    <row r="467" spans="1:56" x14ac:dyDescent="0.25">
      <c r="A467" s="24">
        <f>IF(B467="","",SUBTOTAL(3,$B$4:B467))</f>
        <v>448</v>
      </c>
      <c r="B467" s="25" t="s">
        <v>77</v>
      </c>
      <c r="C467" s="25" t="str">
        <f t="shared" si="134"/>
        <v>Shipment 2 400</v>
      </c>
      <c r="D467" s="25" t="s">
        <v>1252</v>
      </c>
      <c r="E467" s="25">
        <v>400</v>
      </c>
      <c r="F467" s="25"/>
      <c r="G467" s="65">
        <v>45990</v>
      </c>
      <c r="H467" s="25" t="s">
        <v>1257</v>
      </c>
      <c r="I467" s="25" t="s">
        <v>1254</v>
      </c>
      <c r="J467" s="26" t="s">
        <v>1302</v>
      </c>
      <c r="K467" s="27" t="s">
        <v>963</v>
      </c>
      <c r="L467" s="28" t="s">
        <v>964</v>
      </c>
      <c r="M467" s="28" t="s">
        <v>833</v>
      </c>
      <c r="N467" s="25">
        <v>1</v>
      </c>
      <c r="O467" s="29">
        <v>5.97</v>
      </c>
      <c r="P467" s="29">
        <v>5.97</v>
      </c>
      <c r="Q467" s="25" t="s">
        <v>1220</v>
      </c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26"/>
        <v>5.9699999999999989</v>
      </c>
      <c r="AF467" s="32">
        <f t="shared" si="127"/>
        <v>0</v>
      </c>
      <c r="AG467" s="30"/>
      <c r="AH467" s="33">
        <v>1</v>
      </c>
      <c r="AI467" s="34">
        <f t="shared" si="128"/>
        <v>5.97</v>
      </c>
      <c r="AJ467" s="35">
        <v>46281</v>
      </c>
      <c r="AK467" s="30">
        <v>1</v>
      </c>
      <c r="AL467" s="36">
        <f t="shared" si="132"/>
        <v>5.97</v>
      </c>
      <c r="AM467" s="35">
        <v>46281</v>
      </c>
      <c r="AN467" s="30">
        <v>1</v>
      </c>
      <c r="AO467" s="36">
        <f t="shared" si="133"/>
        <v>5.97</v>
      </c>
      <c r="AP467" s="35"/>
      <c r="AQ467" s="30"/>
      <c r="AR467" s="36">
        <f t="shared" si="129"/>
        <v>0</v>
      </c>
      <c r="AS467" s="27" t="s">
        <v>1370</v>
      </c>
      <c r="AT467" s="37">
        <v>46281</v>
      </c>
      <c r="AU467" s="30">
        <v>1</v>
      </c>
      <c r="AV467" s="36">
        <f t="shared" si="130"/>
        <v>5.97</v>
      </c>
      <c r="AW467" s="35">
        <v>46297</v>
      </c>
      <c r="AX467" s="30">
        <v>1</v>
      </c>
      <c r="AY467" s="32">
        <f t="shared" si="131"/>
        <v>5.97</v>
      </c>
      <c r="AZ467" s="30" t="s">
        <v>85</v>
      </c>
      <c r="BA467" s="63" t="s">
        <v>1399</v>
      </c>
      <c r="BB467" s="71"/>
      <c r="BC467" s="71" t="s">
        <v>964</v>
      </c>
      <c r="BD467" s="71"/>
    </row>
    <row r="468" spans="1:56" x14ac:dyDescent="0.25">
      <c r="A468" s="24">
        <f>IF(B468="","",SUBTOTAL(3,$B$4:B468))</f>
        <v>449</v>
      </c>
      <c r="B468" s="25" t="s">
        <v>77</v>
      </c>
      <c r="C468" s="25" t="str">
        <f t="shared" si="134"/>
        <v>Shipment 2 400</v>
      </c>
      <c r="D468" s="25" t="s">
        <v>1252</v>
      </c>
      <c r="E468" s="25">
        <v>400</v>
      </c>
      <c r="F468" s="25"/>
      <c r="G468" s="65">
        <v>45990</v>
      </c>
      <c r="H468" s="25" t="s">
        <v>1257</v>
      </c>
      <c r="I468" s="25" t="s">
        <v>1254</v>
      </c>
      <c r="J468" s="26" t="s">
        <v>1302</v>
      </c>
      <c r="K468" s="27" t="s">
        <v>965</v>
      </c>
      <c r="L468" s="28" t="s">
        <v>966</v>
      </c>
      <c r="M468" s="28" t="s">
        <v>833</v>
      </c>
      <c r="N468" s="25">
        <v>1</v>
      </c>
      <c r="O468" s="29">
        <v>5.97</v>
      </c>
      <c r="P468" s="29">
        <v>5.97</v>
      </c>
      <c r="Q468" s="25" t="s">
        <v>1220</v>
      </c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26"/>
        <v>5.9699999999999989</v>
      </c>
      <c r="AF468" s="32">
        <f t="shared" si="127"/>
        <v>0</v>
      </c>
      <c r="AG468" s="30"/>
      <c r="AH468" s="33">
        <v>1</v>
      </c>
      <c r="AI468" s="34">
        <f t="shared" si="128"/>
        <v>5.97</v>
      </c>
      <c r="AJ468" s="35">
        <v>46281</v>
      </c>
      <c r="AK468" s="30">
        <v>1</v>
      </c>
      <c r="AL468" s="36">
        <f t="shared" si="132"/>
        <v>5.97</v>
      </c>
      <c r="AM468" s="35">
        <v>46281</v>
      </c>
      <c r="AN468" s="30">
        <v>1</v>
      </c>
      <c r="AO468" s="36">
        <f t="shared" si="133"/>
        <v>5.97</v>
      </c>
      <c r="AP468" s="35"/>
      <c r="AQ468" s="30"/>
      <c r="AR468" s="36">
        <f t="shared" si="129"/>
        <v>0</v>
      </c>
      <c r="AS468" s="27" t="s">
        <v>1370</v>
      </c>
      <c r="AT468" s="37">
        <v>46281</v>
      </c>
      <c r="AU468" s="30">
        <v>1</v>
      </c>
      <c r="AV468" s="36">
        <f t="shared" si="130"/>
        <v>5.97</v>
      </c>
      <c r="AW468" s="35">
        <v>46297</v>
      </c>
      <c r="AX468" s="30">
        <v>1</v>
      </c>
      <c r="AY468" s="32">
        <f t="shared" si="131"/>
        <v>5.97</v>
      </c>
      <c r="AZ468" s="30" t="s">
        <v>85</v>
      </c>
      <c r="BA468" s="63" t="s">
        <v>1399</v>
      </c>
      <c r="BB468" s="71"/>
      <c r="BC468" s="71" t="s">
        <v>966</v>
      </c>
      <c r="BD468" s="71"/>
    </row>
    <row r="469" spans="1:56" x14ac:dyDescent="0.25">
      <c r="A469" s="24">
        <f>IF(B469="","",SUBTOTAL(3,$B$4:B469))</f>
        <v>450</v>
      </c>
      <c r="B469" s="25" t="s">
        <v>77</v>
      </c>
      <c r="C469" s="25" t="str">
        <f t="shared" si="134"/>
        <v>Shipment 2 400</v>
      </c>
      <c r="D469" s="25" t="s">
        <v>1252</v>
      </c>
      <c r="E469" s="25">
        <v>400</v>
      </c>
      <c r="F469" s="25"/>
      <c r="G469" s="65">
        <v>45990</v>
      </c>
      <c r="H469" s="25" t="s">
        <v>1257</v>
      </c>
      <c r="I469" s="25" t="s">
        <v>1254</v>
      </c>
      <c r="J469" s="26" t="s">
        <v>1302</v>
      </c>
      <c r="K469" s="27" t="s">
        <v>967</v>
      </c>
      <c r="L469" s="28" t="s">
        <v>968</v>
      </c>
      <c r="M469" s="28" t="s">
        <v>833</v>
      </c>
      <c r="N469" s="25">
        <v>1</v>
      </c>
      <c r="O469" s="29">
        <v>12.91</v>
      </c>
      <c r="P469" s="29">
        <v>12.91</v>
      </c>
      <c r="Q469" s="25" t="s">
        <v>1217</v>
      </c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26"/>
        <v>12.91</v>
      </c>
      <c r="AF469" s="32">
        <f t="shared" si="127"/>
        <v>0</v>
      </c>
      <c r="AG469" s="30"/>
      <c r="AH469" s="33">
        <v>1</v>
      </c>
      <c r="AI469" s="34">
        <f t="shared" si="128"/>
        <v>12.91</v>
      </c>
      <c r="AJ469" s="35">
        <v>46281</v>
      </c>
      <c r="AK469" s="30">
        <v>1</v>
      </c>
      <c r="AL469" s="36">
        <f t="shared" si="132"/>
        <v>12.91</v>
      </c>
      <c r="AM469" s="35">
        <v>46281</v>
      </c>
      <c r="AN469" s="30">
        <v>1</v>
      </c>
      <c r="AO469" s="36">
        <f t="shared" si="133"/>
        <v>12.91</v>
      </c>
      <c r="AP469" s="35"/>
      <c r="AQ469" s="30"/>
      <c r="AR469" s="36">
        <f t="shared" si="129"/>
        <v>0</v>
      </c>
      <c r="AS469" s="27" t="s">
        <v>1370</v>
      </c>
      <c r="AT469" s="37">
        <v>46281</v>
      </c>
      <c r="AU469" s="30">
        <v>1</v>
      </c>
      <c r="AV469" s="36">
        <f t="shared" si="130"/>
        <v>12.91</v>
      </c>
      <c r="AW469" s="35">
        <v>46297</v>
      </c>
      <c r="AX469" s="30">
        <v>1</v>
      </c>
      <c r="AY469" s="32">
        <f t="shared" si="131"/>
        <v>12.91</v>
      </c>
      <c r="AZ469" s="30" t="s">
        <v>85</v>
      </c>
      <c r="BA469" s="63" t="s">
        <v>1399</v>
      </c>
      <c r="BB469" s="71"/>
      <c r="BC469" s="71" t="s">
        <v>968</v>
      </c>
      <c r="BD469" s="71"/>
    </row>
    <row r="470" spans="1:56" x14ac:dyDescent="0.25">
      <c r="A470" s="24">
        <f>IF(B470="","",SUBTOTAL(3,$B$4:B470))</f>
        <v>451</v>
      </c>
      <c r="B470" s="25" t="s">
        <v>77</v>
      </c>
      <c r="C470" s="25" t="str">
        <f t="shared" si="134"/>
        <v>Shipment 2 400</v>
      </c>
      <c r="D470" s="25" t="s">
        <v>1252</v>
      </c>
      <c r="E470" s="25">
        <v>400</v>
      </c>
      <c r="F470" s="25"/>
      <c r="G470" s="65">
        <v>45990</v>
      </c>
      <c r="H470" s="25" t="s">
        <v>1257</v>
      </c>
      <c r="I470" s="25" t="s">
        <v>1254</v>
      </c>
      <c r="J470" s="26" t="s">
        <v>1302</v>
      </c>
      <c r="K470" s="27" t="s">
        <v>969</v>
      </c>
      <c r="L470" s="28" t="s">
        <v>970</v>
      </c>
      <c r="M470" s="28" t="s">
        <v>833</v>
      </c>
      <c r="N470" s="25">
        <v>1</v>
      </c>
      <c r="O470" s="29">
        <v>12.93</v>
      </c>
      <c r="P470" s="29">
        <v>12.93</v>
      </c>
      <c r="Q470" s="25" t="s">
        <v>1217</v>
      </c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26"/>
        <v>12.93</v>
      </c>
      <c r="AF470" s="32">
        <f t="shared" si="127"/>
        <v>0</v>
      </c>
      <c r="AG470" s="30"/>
      <c r="AH470" s="33">
        <v>1</v>
      </c>
      <c r="AI470" s="34">
        <f t="shared" si="128"/>
        <v>12.93</v>
      </c>
      <c r="AJ470" s="35">
        <v>46281</v>
      </c>
      <c r="AK470" s="30">
        <v>1</v>
      </c>
      <c r="AL470" s="36">
        <f t="shared" si="132"/>
        <v>12.93</v>
      </c>
      <c r="AM470" s="35">
        <v>46281</v>
      </c>
      <c r="AN470" s="30">
        <v>1</v>
      </c>
      <c r="AO470" s="36">
        <f t="shared" si="133"/>
        <v>12.93</v>
      </c>
      <c r="AP470" s="35"/>
      <c r="AQ470" s="30"/>
      <c r="AR470" s="36">
        <f t="shared" si="129"/>
        <v>0</v>
      </c>
      <c r="AS470" s="27" t="s">
        <v>1370</v>
      </c>
      <c r="AT470" s="37">
        <v>46281</v>
      </c>
      <c r="AU470" s="30">
        <v>1</v>
      </c>
      <c r="AV470" s="36">
        <f t="shared" si="130"/>
        <v>12.93</v>
      </c>
      <c r="AW470" s="35">
        <v>46297</v>
      </c>
      <c r="AX470" s="30">
        <v>1</v>
      </c>
      <c r="AY470" s="32">
        <f t="shared" si="131"/>
        <v>12.93</v>
      </c>
      <c r="AZ470" s="30" t="s">
        <v>85</v>
      </c>
      <c r="BA470" s="63" t="s">
        <v>1399</v>
      </c>
      <c r="BB470" s="71"/>
      <c r="BC470" s="71" t="s">
        <v>970</v>
      </c>
      <c r="BD470" s="71"/>
    </row>
    <row r="471" spans="1:56" x14ac:dyDescent="0.25">
      <c r="A471" s="24">
        <f>IF(B471="","",SUBTOTAL(3,$B$4:B471))</f>
        <v>452</v>
      </c>
      <c r="B471" s="25" t="s">
        <v>77</v>
      </c>
      <c r="C471" s="25" t="str">
        <f t="shared" si="134"/>
        <v>Shipment 2 400</v>
      </c>
      <c r="D471" s="25" t="s">
        <v>1252</v>
      </c>
      <c r="E471" s="25">
        <v>400</v>
      </c>
      <c r="F471" s="25"/>
      <c r="G471" s="65">
        <v>45990</v>
      </c>
      <c r="H471" s="25" t="s">
        <v>1257</v>
      </c>
      <c r="I471" s="25" t="s">
        <v>1254</v>
      </c>
      <c r="J471" s="26" t="s">
        <v>1302</v>
      </c>
      <c r="K471" s="27" t="s">
        <v>971</v>
      </c>
      <c r="L471" s="28" t="s">
        <v>972</v>
      </c>
      <c r="M471" s="28" t="s">
        <v>833</v>
      </c>
      <c r="N471" s="25">
        <v>1</v>
      </c>
      <c r="O471" s="29">
        <v>13.4</v>
      </c>
      <c r="P471" s="29">
        <v>13.4</v>
      </c>
      <c r="Q471" s="25" t="s">
        <v>1217</v>
      </c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26"/>
        <v>13.4</v>
      </c>
      <c r="AF471" s="32">
        <f t="shared" si="127"/>
        <v>0</v>
      </c>
      <c r="AG471" s="30"/>
      <c r="AH471" s="33">
        <v>1</v>
      </c>
      <c r="AI471" s="34">
        <f t="shared" si="128"/>
        <v>13.4</v>
      </c>
      <c r="AJ471" s="35">
        <v>46281</v>
      </c>
      <c r="AK471" s="30">
        <v>1</v>
      </c>
      <c r="AL471" s="36">
        <f t="shared" si="132"/>
        <v>13.4</v>
      </c>
      <c r="AM471" s="35">
        <v>46281</v>
      </c>
      <c r="AN471" s="30">
        <v>1</v>
      </c>
      <c r="AO471" s="36">
        <f t="shared" si="133"/>
        <v>13.4</v>
      </c>
      <c r="AP471" s="35"/>
      <c r="AQ471" s="30"/>
      <c r="AR471" s="36">
        <f t="shared" si="129"/>
        <v>0</v>
      </c>
      <c r="AS471" s="27" t="s">
        <v>1370</v>
      </c>
      <c r="AT471" s="37">
        <v>46281</v>
      </c>
      <c r="AU471" s="30">
        <v>1</v>
      </c>
      <c r="AV471" s="36">
        <f t="shared" si="130"/>
        <v>13.4</v>
      </c>
      <c r="AW471" s="35">
        <v>46297</v>
      </c>
      <c r="AX471" s="30">
        <v>1</v>
      </c>
      <c r="AY471" s="32">
        <f t="shared" si="131"/>
        <v>13.4</v>
      </c>
      <c r="AZ471" s="30" t="s">
        <v>85</v>
      </c>
      <c r="BA471" s="63" t="s">
        <v>1399</v>
      </c>
      <c r="BB471" s="71"/>
      <c r="BC471" s="71" t="s">
        <v>972</v>
      </c>
      <c r="BD471" s="71"/>
    </row>
    <row r="472" spans="1:56" x14ac:dyDescent="0.25">
      <c r="A472" s="24">
        <f>IF(B472="","",SUBTOTAL(3,$B$4:B472))</f>
        <v>453</v>
      </c>
      <c r="B472" s="25" t="s">
        <v>77</v>
      </c>
      <c r="C472" s="25" t="str">
        <f t="shared" si="134"/>
        <v>Shipment 2 400</v>
      </c>
      <c r="D472" s="25" t="s">
        <v>1252</v>
      </c>
      <c r="E472" s="25">
        <v>400</v>
      </c>
      <c r="F472" s="25"/>
      <c r="G472" s="65">
        <v>45990</v>
      </c>
      <c r="H472" s="25" t="s">
        <v>1257</v>
      </c>
      <c r="I472" s="25" t="s">
        <v>1254</v>
      </c>
      <c r="J472" s="26" t="s">
        <v>1302</v>
      </c>
      <c r="K472" s="27" t="s">
        <v>973</v>
      </c>
      <c r="L472" s="28" t="s">
        <v>974</v>
      </c>
      <c r="M472" s="28" t="s">
        <v>833</v>
      </c>
      <c r="N472" s="25">
        <v>1</v>
      </c>
      <c r="O472" s="29">
        <v>13.32</v>
      </c>
      <c r="P472" s="29">
        <v>13.32</v>
      </c>
      <c r="Q472" s="25" t="s">
        <v>1221</v>
      </c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26"/>
        <v>13.32</v>
      </c>
      <c r="AF472" s="32">
        <f t="shared" si="127"/>
        <v>0</v>
      </c>
      <c r="AG472" s="30"/>
      <c r="AH472" s="33">
        <v>1</v>
      </c>
      <c r="AI472" s="34">
        <f t="shared" si="128"/>
        <v>13.32</v>
      </c>
      <c r="AJ472" s="35">
        <v>46281</v>
      </c>
      <c r="AK472" s="30">
        <v>1</v>
      </c>
      <c r="AL472" s="36">
        <f t="shared" si="132"/>
        <v>13.32</v>
      </c>
      <c r="AM472" s="35">
        <v>46281</v>
      </c>
      <c r="AN472" s="30">
        <v>1</v>
      </c>
      <c r="AO472" s="36">
        <f t="shared" si="133"/>
        <v>13.32</v>
      </c>
      <c r="AP472" s="35"/>
      <c r="AQ472" s="30"/>
      <c r="AR472" s="36">
        <f t="shared" si="129"/>
        <v>0</v>
      </c>
      <c r="AS472" s="27" t="s">
        <v>1370</v>
      </c>
      <c r="AT472" s="37">
        <v>46281</v>
      </c>
      <c r="AU472" s="30">
        <v>1</v>
      </c>
      <c r="AV472" s="36">
        <f t="shared" si="130"/>
        <v>13.32</v>
      </c>
      <c r="AW472" s="35">
        <v>46297</v>
      </c>
      <c r="AX472" s="30">
        <v>1</v>
      </c>
      <c r="AY472" s="32">
        <f t="shared" si="131"/>
        <v>13.32</v>
      </c>
      <c r="AZ472" s="30" t="s">
        <v>85</v>
      </c>
      <c r="BA472" s="63" t="s">
        <v>1399</v>
      </c>
      <c r="BB472" s="71"/>
      <c r="BC472" s="71" t="s">
        <v>974</v>
      </c>
      <c r="BD472" s="71"/>
    </row>
    <row r="473" spans="1:56" x14ac:dyDescent="0.25">
      <c r="A473" s="24">
        <f>IF(B473="","",SUBTOTAL(3,$B$4:B473))</f>
        <v>454</v>
      </c>
      <c r="B473" s="25" t="s">
        <v>77</v>
      </c>
      <c r="C473" s="25" t="str">
        <f t="shared" si="134"/>
        <v>Shipment 2 400</v>
      </c>
      <c r="D473" s="25" t="s">
        <v>1252</v>
      </c>
      <c r="E473" s="25">
        <v>400</v>
      </c>
      <c r="F473" s="25"/>
      <c r="G473" s="65">
        <v>45990</v>
      </c>
      <c r="H473" s="25" t="s">
        <v>1257</v>
      </c>
      <c r="I473" s="25" t="s">
        <v>1254</v>
      </c>
      <c r="J473" s="26" t="s">
        <v>1302</v>
      </c>
      <c r="K473" s="27" t="s">
        <v>975</v>
      </c>
      <c r="L473" s="28" t="s">
        <v>976</v>
      </c>
      <c r="M473" s="28" t="s">
        <v>833</v>
      </c>
      <c r="N473" s="25">
        <v>1</v>
      </c>
      <c r="O473" s="29">
        <v>12.87</v>
      </c>
      <c r="P473" s="29">
        <v>12.87</v>
      </c>
      <c r="Q473" s="25" t="s">
        <v>1221</v>
      </c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26"/>
        <v>12.869999999999997</v>
      </c>
      <c r="AF473" s="32">
        <f t="shared" si="127"/>
        <v>0</v>
      </c>
      <c r="AG473" s="30"/>
      <c r="AH473" s="33">
        <v>1</v>
      </c>
      <c r="AI473" s="34">
        <f t="shared" si="128"/>
        <v>12.87</v>
      </c>
      <c r="AJ473" s="35">
        <v>46281</v>
      </c>
      <c r="AK473" s="30">
        <v>1</v>
      </c>
      <c r="AL473" s="36">
        <f t="shared" si="132"/>
        <v>12.87</v>
      </c>
      <c r="AM473" s="35">
        <v>46281</v>
      </c>
      <c r="AN473" s="30">
        <v>1</v>
      </c>
      <c r="AO473" s="36">
        <f t="shared" si="133"/>
        <v>12.87</v>
      </c>
      <c r="AP473" s="35"/>
      <c r="AQ473" s="30"/>
      <c r="AR473" s="36">
        <f t="shared" si="129"/>
        <v>0</v>
      </c>
      <c r="AS473" s="27" t="s">
        <v>1370</v>
      </c>
      <c r="AT473" s="37">
        <v>46281</v>
      </c>
      <c r="AU473" s="30">
        <v>1</v>
      </c>
      <c r="AV473" s="36">
        <f t="shared" si="130"/>
        <v>12.87</v>
      </c>
      <c r="AW473" s="35">
        <v>46297</v>
      </c>
      <c r="AX473" s="30">
        <v>1</v>
      </c>
      <c r="AY473" s="32">
        <f t="shared" si="131"/>
        <v>12.87</v>
      </c>
      <c r="AZ473" s="30" t="s">
        <v>85</v>
      </c>
      <c r="BA473" s="63" t="s">
        <v>1399</v>
      </c>
      <c r="BB473" s="71"/>
      <c r="BC473" s="71" t="s">
        <v>976</v>
      </c>
      <c r="BD473" s="71"/>
    </row>
    <row r="474" spans="1:56" x14ac:dyDescent="0.25">
      <c r="A474" s="24">
        <f>IF(B474="","",SUBTOTAL(3,$B$4:B474))</f>
        <v>455</v>
      </c>
      <c r="B474" s="25" t="s">
        <v>77</v>
      </c>
      <c r="C474" s="25" t="str">
        <f t="shared" si="134"/>
        <v>Shipment 2 400</v>
      </c>
      <c r="D474" s="25" t="s">
        <v>1252</v>
      </c>
      <c r="E474" s="25">
        <v>400</v>
      </c>
      <c r="F474" s="25"/>
      <c r="G474" s="65">
        <v>45990</v>
      </c>
      <c r="H474" s="25" t="s">
        <v>1257</v>
      </c>
      <c r="I474" s="25" t="s">
        <v>1254</v>
      </c>
      <c r="J474" s="26" t="s">
        <v>1302</v>
      </c>
      <c r="K474" s="27" t="s">
        <v>977</v>
      </c>
      <c r="L474" s="28" t="s">
        <v>978</v>
      </c>
      <c r="M474" s="28" t="s">
        <v>833</v>
      </c>
      <c r="N474" s="25">
        <v>1</v>
      </c>
      <c r="O474" s="29">
        <v>12.87</v>
      </c>
      <c r="P474" s="29">
        <v>12.87</v>
      </c>
      <c r="Q474" s="25" t="s">
        <v>1221</v>
      </c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26"/>
        <v>12.869999999999997</v>
      </c>
      <c r="AF474" s="32">
        <f t="shared" si="127"/>
        <v>0</v>
      </c>
      <c r="AG474" s="30"/>
      <c r="AH474" s="33">
        <v>1</v>
      </c>
      <c r="AI474" s="34">
        <f t="shared" si="128"/>
        <v>12.87</v>
      </c>
      <c r="AJ474" s="35">
        <v>46281</v>
      </c>
      <c r="AK474" s="30">
        <v>1</v>
      </c>
      <c r="AL474" s="36">
        <f t="shared" si="132"/>
        <v>12.87</v>
      </c>
      <c r="AM474" s="35">
        <v>46281</v>
      </c>
      <c r="AN474" s="30">
        <v>1</v>
      </c>
      <c r="AO474" s="36">
        <f t="shared" si="133"/>
        <v>12.87</v>
      </c>
      <c r="AP474" s="35"/>
      <c r="AQ474" s="30"/>
      <c r="AR474" s="36">
        <f t="shared" si="129"/>
        <v>0</v>
      </c>
      <c r="AS474" s="27" t="s">
        <v>1370</v>
      </c>
      <c r="AT474" s="37">
        <v>46281</v>
      </c>
      <c r="AU474" s="30">
        <v>1</v>
      </c>
      <c r="AV474" s="36">
        <f t="shared" si="130"/>
        <v>12.87</v>
      </c>
      <c r="AW474" s="35">
        <v>46297</v>
      </c>
      <c r="AX474" s="30">
        <v>1</v>
      </c>
      <c r="AY474" s="32">
        <f t="shared" si="131"/>
        <v>12.87</v>
      </c>
      <c r="AZ474" s="30" t="s">
        <v>85</v>
      </c>
      <c r="BA474" s="63" t="s">
        <v>1399</v>
      </c>
      <c r="BB474" s="71"/>
      <c r="BC474" s="71" t="s">
        <v>978</v>
      </c>
      <c r="BD474" s="71"/>
    </row>
    <row r="475" spans="1:56" x14ac:dyDescent="0.25">
      <c r="A475" s="24">
        <f>IF(B475="","",SUBTOTAL(3,$B$4:B475))</f>
        <v>456</v>
      </c>
      <c r="B475" s="25" t="s">
        <v>77</v>
      </c>
      <c r="C475" s="25" t="str">
        <f t="shared" si="134"/>
        <v>Shipment 2 400</v>
      </c>
      <c r="D475" s="25" t="s">
        <v>1252</v>
      </c>
      <c r="E475" s="25">
        <v>400</v>
      </c>
      <c r="F475" s="25"/>
      <c r="G475" s="65">
        <v>45990</v>
      </c>
      <c r="H475" s="25" t="s">
        <v>1257</v>
      </c>
      <c r="I475" s="25" t="s">
        <v>1254</v>
      </c>
      <c r="J475" s="26" t="s">
        <v>1302</v>
      </c>
      <c r="K475" s="27" t="s">
        <v>979</v>
      </c>
      <c r="L475" s="28" t="s">
        <v>980</v>
      </c>
      <c r="M475" s="28" t="s">
        <v>833</v>
      </c>
      <c r="N475" s="25">
        <v>1</v>
      </c>
      <c r="O475" s="29">
        <v>12.97</v>
      </c>
      <c r="P475" s="29">
        <v>12.97</v>
      </c>
      <c r="Q475" s="25" t="s">
        <v>1221</v>
      </c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ref="AE475:AE541" si="135">+AL475*0.5+AO475*0.4+AV475*0.1</f>
        <v>12.970000000000002</v>
      </c>
      <c r="AF475" s="32">
        <f t="shared" ref="AF475:AF541" si="136">+P475-AE475</f>
        <v>0</v>
      </c>
      <c r="AG475" s="30"/>
      <c r="AH475" s="33">
        <v>1</v>
      </c>
      <c r="AI475" s="34">
        <f t="shared" ref="AI475:AI541" si="137">+AH475*P475</f>
        <v>12.97</v>
      </c>
      <c r="AJ475" s="35">
        <v>46281</v>
      </c>
      <c r="AK475" s="30">
        <v>1</v>
      </c>
      <c r="AL475" s="36">
        <f t="shared" ref="AL475:AL479" si="138">IFERROR(AK475*$P475/$N475,0)</f>
        <v>12.97</v>
      </c>
      <c r="AM475" s="35">
        <v>46281</v>
      </c>
      <c r="AN475" s="30">
        <v>1</v>
      </c>
      <c r="AO475" s="36">
        <f t="shared" ref="AO475:AO479" si="139">IFERROR(AN475*$P475/$N475,0)</f>
        <v>12.97</v>
      </c>
      <c r="AP475" s="35"/>
      <c r="AQ475" s="30"/>
      <c r="AR475" s="36">
        <f t="shared" ref="AR475:AR541" si="140">IFERROR(AQ475*$P475/$N475,0)</f>
        <v>0</v>
      </c>
      <c r="AS475" s="27" t="s">
        <v>1370</v>
      </c>
      <c r="AT475" s="37">
        <v>46281</v>
      </c>
      <c r="AU475" s="30">
        <v>1</v>
      </c>
      <c r="AV475" s="36">
        <f t="shared" ref="AV475:AV541" si="141">IFERROR(AU475*$P475/$N475,0)</f>
        <v>12.97</v>
      </c>
      <c r="AW475" s="35">
        <v>46297</v>
      </c>
      <c r="AX475" s="30">
        <v>1</v>
      </c>
      <c r="AY475" s="32">
        <f t="shared" ref="AY475:AY535" si="142">IFERROR(AX475*$P475/$N475,0)</f>
        <v>12.97</v>
      </c>
      <c r="AZ475" s="30" t="s">
        <v>85</v>
      </c>
      <c r="BA475" s="63" t="s">
        <v>1399</v>
      </c>
      <c r="BB475" s="71"/>
      <c r="BC475" s="71" t="s">
        <v>980</v>
      </c>
      <c r="BD475" s="71"/>
    </row>
    <row r="476" spans="1:56" x14ac:dyDescent="0.25">
      <c r="A476" s="24">
        <f>IF(B476="","",SUBTOTAL(3,$B$4:B476))</f>
        <v>457</v>
      </c>
      <c r="B476" s="25" t="s">
        <v>77</v>
      </c>
      <c r="C476" s="25" t="str">
        <f t="shared" si="134"/>
        <v>Shipment 2 400</v>
      </c>
      <c r="D476" s="25" t="s">
        <v>1252</v>
      </c>
      <c r="E476" s="25">
        <v>400</v>
      </c>
      <c r="F476" s="25"/>
      <c r="G476" s="65">
        <v>45990</v>
      </c>
      <c r="H476" s="25" t="s">
        <v>1257</v>
      </c>
      <c r="I476" s="25" t="s">
        <v>1254</v>
      </c>
      <c r="J476" s="26" t="s">
        <v>1302</v>
      </c>
      <c r="K476" s="27" t="s">
        <v>981</v>
      </c>
      <c r="L476" s="28" t="s">
        <v>982</v>
      </c>
      <c r="M476" s="28" t="s">
        <v>833</v>
      </c>
      <c r="N476" s="25">
        <v>1</v>
      </c>
      <c r="O476" s="29">
        <v>12.87</v>
      </c>
      <c r="P476" s="29">
        <v>12.87</v>
      </c>
      <c r="Q476" s="25" t="s">
        <v>1221</v>
      </c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35"/>
        <v>12.869999999999997</v>
      </c>
      <c r="AF476" s="32">
        <f t="shared" si="136"/>
        <v>0</v>
      </c>
      <c r="AG476" s="30"/>
      <c r="AH476" s="33">
        <v>1</v>
      </c>
      <c r="AI476" s="34">
        <f t="shared" si="137"/>
        <v>12.87</v>
      </c>
      <c r="AJ476" s="35">
        <v>46281</v>
      </c>
      <c r="AK476" s="30">
        <v>1</v>
      </c>
      <c r="AL476" s="36">
        <f t="shared" si="138"/>
        <v>12.87</v>
      </c>
      <c r="AM476" s="35">
        <v>46281</v>
      </c>
      <c r="AN476" s="30">
        <v>1</v>
      </c>
      <c r="AO476" s="36">
        <f t="shared" si="139"/>
        <v>12.87</v>
      </c>
      <c r="AP476" s="35"/>
      <c r="AQ476" s="30"/>
      <c r="AR476" s="36">
        <f t="shared" si="140"/>
        <v>0</v>
      </c>
      <c r="AS476" s="27" t="s">
        <v>1370</v>
      </c>
      <c r="AT476" s="37">
        <v>46281</v>
      </c>
      <c r="AU476" s="30">
        <v>1</v>
      </c>
      <c r="AV476" s="36">
        <f t="shared" si="141"/>
        <v>12.87</v>
      </c>
      <c r="AW476" s="35">
        <v>46297</v>
      </c>
      <c r="AX476" s="30">
        <v>1</v>
      </c>
      <c r="AY476" s="32">
        <f t="shared" si="142"/>
        <v>12.87</v>
      </c>
      <c r="AZ476" s="30" t="s">
        <v>85</v>
      </c>
      <c r="BA476" s="63" t="s">
        <v>1399</v>
      </c>
      <c r="BB476" s="71"/>
      <c r="BC476" s="71" t="s">
        <v>982</v>
      </c>
      <c r="BD476" s="71"/>
    </row>
    <row r="477" spans="1:56" x14ac:dyDescent="0.25">
      <c r="A477" s="24">
        <f>IF(B477="","",SUBTOTAL(3,$B$4:B477))</f>
        <v>458</v>
      </c>
      <c r="B477" s="25" t="s">
        <v>77</v>
      </c>
      <c r="C477" s="25" t="str">
        <f t="shared" si="134"/>
        <v>Shipment 2 400</v>
      </c>
      <c r="D477" s="25" t="s">
        <v>1252</v>
      </c>
      <c r="E477" s="25">
        <v>400</v>
      </c>
      <c r="F477" s="25"/>
      <c r="G477" s="65">
        <v>45990</v>
      </c>
      <c r="H477" s="25" t="s">
        <v>1257</v>
      </c>
      <c r="I477" s="25" t="s">
        <v>1254</v>
      </c>
      <c r="J477" s="26" t="s">
        <v>1302</v>
      </c>
      <c r="K477" s="27" t="s">
        <v>983</v>
      </c>
      <c r="L477" s="28" t="s">
        <v>984</v>
      </c>
      <c r="M477" s="28" t="s">
        <v>833</v>
      </c>
      <c r="N477" s="25">
        <v>1</v>
      </c>
      <c r="O477" s="29">
        <v>12.97</v>
      </c>
      <c r="P477" s="29">
        <v>12.97</v>
      </c>
      <c r="Q477" s="25" t="s">
        <v>1221</v>
      </c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35"/>
        <v>12.970000000000002</v>
      </c>
      <c r="AF477" s="32">
        <f t="shared" si="136"/>
        <v>0</v>
      </c>
      <c r="AG477" s="30"/>
      <c r="AH477" s="33">
        <v>1</v>
      </c>
      <c r="AI477" s="34">
        <f t="shared" si="137"/>
        <v>12.97</v>
      </c>
      <c r="AJ477" s="35">
        <v>46281</v>
      </c>
      <c r="AK477" s="30">
        <v>1</v>
      </c>
      <c r="AL477" s="36">
        <f t="shared" si="138"/>
        <v>12.97</v>
      </c>
      <c r="AM477" s="35">
        <v>46281</v>
      </c>
      <c r="AN477" s="30">
        <v>1</v>
      </c>
      <c r="AO477" s="36">
        <f t="shared" si="139"/>
        <v>12.97</v>
      </c>
      <c r="AP477" s="35"/>
      <c r="AQ477" s="30"/>
      <c r="AR477" s="36">
        <f t="shared" si="140"/>
        <v>0</v>
      </c>
      <c r="AS477" s="27" t="s">
        <v>1370</v>
      </c>
      <c r="AT477" s="37">
        <v>46281</v>
      </c>
      <c r="AU477" s="30">
        <v>1</v>
      </c>
      <c r="AV477" s="36">
        <f t="shared" si="141"/>
        <v>12.97</v>
      </c>
      <c r="AW477" s="35">
        <v>46297</v>
      </c>
      <c r="AX477" s="30">
        <v>1</v>
      </c>
      <c r="AY477" s="32">
        <f t="shared" si="142"/>
        <v>12.97</v>
      </c>
      <c r="AZ477" s="30" t="s">
        <v>85</v>
      </c>
      <c r="BA477" s="63" t="s">
        <v>1399</v>
      </c>
      <c r="BB477" s="71"/>
      <c r="BC477" s="71" t="s">
        <v>984</v>
      </c>
      <c r="BD477" s="71"/>
    </row>
    <row r="478" spans="1:56" x14ac:dyDescent="0.25">
      <c r="A478" s="24">
        <f>IF(B478="","",SUBTOTAL(3,$B$4:B478))</f>
        <v>459</v>
      </c>
      <c r="B478" s="25" t="s">
        <v>77</v>
      </c>
      <c r="C478" s="25" t="str">
        <f t="shared" si="134"/>
        <v>Shipment 2 400</v>
      </c>
      <c r="D478" s="25" t="s">
        <v>1252</v>
      </c>
      <c r="E478" s="25">
        <v>400</v>
      </c>
      <c r="F478" s="25"/>
      <c r="G478" s="65">
        <v>45990</v>
      </c>
      <c r="H478" s="25" t="s">
        <v>1257</v>
      </c>
      <c r="I478" s="25" t="s">
        <v>1254</v>
      </c>
      <c r="J478" s="26" t="s">
        <v>1302</v>
      </c>
      <c r="K478" s="27" t="s">
        <v>985</v>
      </c>
      <c r="L478" s="28" t="s">
        <v>986</v>
      </c>
      <c r="M478" s="28" t="s">
        <v>833</v>
      </c>
      <c r="N478" s="25">
        <v>1</v>
      </c>
      <c r="O478" s="29">
        <v>14.01</v>
      </c>
      <c r="P478" s="29">
        <v>14.01</v>
      </c>
      <c r="Q478" s="25" t="s">
        <v>1221</v>
      </c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35"/>
        <v>14.01</v>
      </c>
      <c r="AF478" s="32">
        <f t="shared" si="136"/>
        <v>0</v>
      </c>
      <c r="AG478" s="30"/>
      <c r="AH478" s="33">
        <v>1</v>
      </c>
      <c r="AI478" s="34">
        <f t="shared" si="137"/>
        <v>14.01</v>
      </c>
      <c r="AJ478" s="35">
        <v>46281</v>
      </c>
      <c r="AK478" s="30">
        <v>1</v>
      </c>
      <c r="AL478" s="36">
        <f t="shared" si="138"/>
        <v>14.01</v>
      </c>
      <c r="AM478" s="35">
        <v>46281</v>
      </c>
      <c r="AN478" s="30">
        <v>1</v>
      </c>
      <c r="AO478" s="36">
        <f t="shared" si="139"/>
        <v>14.01</v>
      </c>
      <c r="AP478" s="35"/>
      <c r="AQ478" s="30"/>
      <c r="AR478" s="36">
        <f t="shared" si="140"/>
        <v>0</v>
      </c>
      <c r="AS478" s="27" t="s">
        <v>1370</v>
      </c>
      <c r="AT478" s="37">
        <v>46281</v>
      </c>
      <c r="AU478" s="30">
        <v>1</v>
      </c>
      <c r="AV478" s="36">
        <f t="shared" si="141"/>
        <v>14.01</v>
      </c>
      <c r="AW478" s="35">
        <v>46297</v>
      </c>
      <c r="AX478" s="30">
        <v>1</v>
      </c>
      <c r="AY478" s="32">
        <f t="shared" si="142"/>
        <v>14.01</v>
      </c>
      <c r="AZ478" s="30" t="s">
        <v>85</v>
      </c>
      <c r="BA478" s="63" t="s">
        <v>1399</v>
      </c>
      <c r="BB478" s="71"/>
      <c r="BC478" s="71" t="s">
        <v>986</v>
      </c>
      <c r="BD478" s="71"/>
    </row>
    <row r="479" spans="1:56" x14ac:dyDescent="0.25">
      <c r="A479" s="24">
        <f>IF(B479="","",SUBTOTAL(3,$B$4:B479))</f>
        <v>460</v>
      </c>
      <c r="B479" s="25" t="s">
        <v>77</v>
      </c>
      <c r="C479" s="25" t="str">
        <f t="shared" si="134"/>
        <v>Shipment 2 400</v>
      </c>
      <c r="D479" s="25" t="s">
        <v>1252</v>
      </c>
      <c r="E479" s="25">
        <v>400</v>
      </c>
      <c r="F479" s="25"/>
      <c r="G479" s="65">
        <v>45990</v>
      </c>
      <c r="H479" s="25" t="s">
        <v>1257</v>
      </c>
      <c r="I479" s="25" t="s">
        <v>1254</v>
      </c>
      <c r="J479" s="26" t="s">
        <v>1302</v>
      </c>
      <c r="K479" s="27" t="s">
        <v>987</v>
      </c>
      <c r="L479" s="28" t="s">
        <v>988</v>
      </c>
      <c r="M479" s="28" t="s">
        <v>833</v>
      </c>
      <c r="N479" s="25">
        <v>1</v>
      </c>
      <c r="O479" s="29">
        <v>14.41</v>
      </c>
      <c r="P479" s="29">
        <v>14.41</v>
      </c>
      <c r="Q479" s="25" t="s">
        <v>1221</v>
      </c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35"/>
        <v>14.410000000000002</v>
      </c>
      <c r="AF479" s="32">
        <f t="shared" si="136"/>
        <v>0</v>
      </c>
      <c r="AG479" s="30"/>
      <c r="AH479" s="33">
        <v>1</v>
      </c>
      <c r="AI479" s="34">
        <f t="shared" si="137"/>
        <v>14.41</v>
      </c>
      <c r="AJ479" s="35">
        <v>46281</v>
      </c>
      <c r="AK479" s="30">
        <v>1</v>
      </c>
      <c r="AL479" s="36">
        <f t="shared" si="138"/>
        <v>14.41</v>
      </c>
      <c r="AM479" s="35">
        <v>46281</v>
      </c>
      <c r="AN479" s="30">
        <v>1</v>
      </c>
      <c r="AO479" s="36">
        <f t="shared" si="139"/>
        <v>14.41</v>
      </c>
      <c r="AP479" s="35"/>
      <c r="AQ479" s="30"/>
      <c r="AR479" s="36">
        <f t="shared" si="140"/>
        <v>0</v>
      </c>
      <c r="AS479" s="27" t="s">
        <v>1370</v>
      </c>
      <c r="AT479" s="37">
        <v>46281</v>
      </c>
      <c r="AU479" s="30">
        <v>1</v>
      </c>
      <c r="AV479" s="36">
        <f t="shared" si="141"/>
        <v>14.41</v>
      </c>
      <c r="AW479" s="35">
        <v>46297</v>
      </c>
      <c r="AX479" s="30">
        <v>1</v>
      </c>
      <c r="AY479" s="32">
        <f t="shared" si="142"/>
        <v>14.41</v>
      </c>
      <c r="AZ479" s="30" t="s">
        <v>85</v>
      </c>
      <c r="BA479" s="63" t="s">
        <v>1399</v>
      </c>
      <c r="BB479" s="71"/>
      <c r="BC479" s="71" t="s">
        <v>988</v>
      </c>
      <c r="BD479" s="71"/>
    </row>
    <row r="480" spans="1:56" x14ac:dyDescent="0.25">
      <c r="A480" s="24">
        <f>IF(B480="","",SUBTOTAL(3,$B$4:B480))</f>
        <v>461</v>
      </c>
      <c r="B480" s="25" t="s">
        <v>77</v>
      </c>
      <c r="C480" s="25" t="str">
        <f t="shared" si="134"/>
        <v>Shipment 2 400</v>
      </c>
      <c r="D480" s="25" t="s">
        <v>1252</v>
      </c>
      <c r="E480" s="25">
        <v>400</v>
      </c>
      <c r="F480" s="25"/>
      <c r="G480" s="65">
        <v>45990</v>
      </c>
      <c r="H480" s="25" t="s">
        <v>1257</v>
      </c>
      <c r="I480" s="25" t="s">
        <v>1254</v>
      </c>
      <c r="J480" s="26" t="s">
        <v>1300</v>
      </c>
      <c r="K480" s="27" t="s">
        <v>989</v>
      </c>
      <c r="L480" s="28" t="s">
        <v>990</v>
      </c>
      <c r="M480" s="28" t="s">
        <v>833</v>
      </c>
      <c r="N480" s="25">
        <v>1</v>
      </c>
      <c r="O480" s="29">
        <v>13.05</v>
      </c>
      <c r="P480" s="29">
        <v>13.05</v>
      </c>
      <c r="Q480" s="25" t="s">
        <v>1222</v>
      </c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35"/>
        <v>13.05</v>
      </c>
      <c r="AF480" s="32">
        <f t="shared" si="136"/>
        <v>0</v>
      </c>
      <c r="AG480" s="30"/>
      <c r="AH480" s="33">
        <v>1</v>
      </c>
      <c r="AI480" s="34">
        <f t="shared" si="137"/>
        <v>13.05</v>
      </c>
      <c r="AJ480" s="35">
        <v>46281</v>
      </c>
      <c r="AK480" s="30">
        <v>1</v>
      </c>
      <c r="AL480" s="36">
        <f t="shared" ref="AL480:AL541" si="143">IFERROR(AK480*$P480/$N480,0)</f>
        <v>13.05</v>
      </c>
      <c r="AM480" s="35">
        <v>46281</v>
      </c>
      <c r="AN480" s="30">
        <v>1</v>
      </c>
      <c r="AO480" s="36">
        <f t="shared" ref="AO480:AO541" si="144">IFERROR(AN480*$P480/$N480,0)</f>
        <v>13.05</v>
      </c>
      <c r="AP480" s="35"/>
      <c r="AQ480" s="30"/>
      <c r="AR480" s="36">
        <f t="shared" si="140"/>
        <v>0</v>
      </c>
      <c r="AS480" s="27" t="s">
        <v>1399</v>
      </c>
      <c r="AT480" s="37">
        <v>46294</v>
      </c>
      <c r="AU480" s="30">
        <v>1</v>
      </c>
      <c r="AV480" s="36">
        <f t="shared" si="141"/>
        <v>13.05</v>
      </c>
      <c r="AW480" s="35">
        <v>46297</v>
      </c>
      <c r="AX480" s="30">
        <v>1</v>
      </c>
      <c r="AY480" s="32">
        <f t="shared" si="142"/>
        <v>13.05</v>
      </c>
      <c r="AZ480" s="30" t="s">
        <v>85</v>
      </c>
      <c r="BA480" s="63" t="s">
        <v>1400</v>
      </c>
      <c r="BB480" s="71" t="e">
        <f>SUMIFS([1]Form!$F$9:$F$67,[1]Form!$K$9:$K$67,L480)</f>
        <v>#VALUE!</v>
      </c>
      <c r="BC480" s="71" t="s">
        <v>990</v>
      </c>
      <c r="BD480" s="71"/>
    </row>
    <row r="481" spans="1:56" x14ac:dyDescent="0.25">
      <c r="A481" s="24">
        <f>IF(B481="","",SUBTOTAL(3,$B$4:B481))</f>
        <v>462</v>
      </c>
      <c r="B481" s="25" t="s">
        <v>77</v>
      </c>
      <c r="C481" s="25" t="str">
        <f t="shared" si="134"/>
        <v>Shipment 2 400</v>
      </c>
      <c r="D481" s="25" t="s">
        <v>1252</v>
      </c>
      <c r="E481" s="25">
        <v>400</v>
      </c>
      <c r="F481" s="25"/>
      <c r="G481" s="65">
        <v>45990</v>
      </c>
      <c r="H481" s="25" t="s">
        <v>1257</v>
      </c>
      <c r="I481" s="25" t="s">
        <v>1254</v>
      </c>
      <c r="J481" s="26" t="s">
        <v>1300</v>
      </c>
      <c r="K481" s="27" t="s">
        <v>991</v>
      </c>
      <c r="L481" s="28" t="s">
        <v>992</v>
      </c>
      <c r="M481" s="28" t="s">
        <v>833</v>
      </c>
      <c r="N481" s="25">
        <v>1</v>
      </c>
      <c r="O481" s="29">
        <v>13.05</v>
      </c>
      <c r="P481" s="29">
        <v>13.05</v>
      </c>
      <c r="Q481" s="25" t="s">
        <v>1223</v>
      </c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35"/>
        <v>13.05</v>
      </c>
      <c r="AF481" s="32">
        <f t="shared" si="136"/>
        <v>0</v>
      </c>
      <c r="AG481" s="30"/>
      <c r="AH481" s="33">
        <v>1</v>
      </c>
      <c r="AI481" s="34">
        <f t="shared" si="137"/>
        <v>13.05</v>
      </c>
      <c r="AJ481" s="35">
        <v>46281</v>
      </c>
      <c r="AK481" s="30">
        <v>1</v>
      </c>
      <c r="AL481" s="36">
        <f t="shared" si="143"/>
        <v>13.05</v>
      </c>
      <c r="AM481" s="35">
        <v>46281</v>
      </c>
      <c r="AN481" s="30">
        <v>1</v>
      </c>
      <c r="AO481" s="36">
        <f t="shared" si="144"/>
        <v>13.05</v>
      </c>
      <c r="AP481" s="35"/>
      <c r="AQ481" s="30"/>
      <c r="AR481" s="36">
        <f t="shared" si="140"/>
        <v>0</v>
      </c>
      <c r="AS481" s="27" t="s">
        <v>1399</v>
      </c>
      <c r="AT481" s="37">
        <v>46294</v>
      </c>
      <c r="AU481" s="30">
        <v>1</v>
      </c>
      <c r="AV481" s="36">
        <f t="shared" si="141"/>
        <v>13.05</v>
      </c>
      <c r="AW481" s="35">
        <v>46297</v>
      </c>
      <c r="AX481" s="30">
        <v>1</v>
      </c>
      <c r="AY481" s="32">
        <f t="shared" si="142"/>
        <v>13.05</v>
      </c>
      <c r="AZ481" s="30" t="s">
        <v>85</v>
      </c>
      <c r="BA481" s="63" t="s">
        <v>1400</v>
      </c>
      <c r="BB481" s="71" t="e">
        <f>SUMIFS([1]Form!$F$9:$F$67,[1]Form!$K$9:$K$67,L481)</f>
        <v>#VALUE!</v>
      </c>
      <c r="BC481" s="71" t="s">
        <v>992</v>
      </c>
      <c r="BD481" s="71"/>
    </row>
    <row r="482" spans="1:56" x14ac:dyDescent="0.25">
      <c r="A482" s="24">
        <f>IF(B482="","",SUBTOTAL(3,$B$4:B482))</f>
        <v>463</v>
      </c>
      <c r="B482" s="25" t="s">
        <v>77</v>
      </c>
      <c r="C482" s="25" t="str">
        <f t="shared" si="134"/>
        <v>Shipment 2 400</v>
      </c>
      <c r="D482" s="25" t="s">
        <v>1252</v>
      </c>
      <c r="E482" s="25">
        <v>400</v>
      </c>
      <c r="F482" s="25"/>
      <c r="G482" s="65">
        <v>45990</v>
      </c>
      <c r="H482" s="25" t="s">
        <v>1257</v>
      </c>
      <c r="I482" s="25" t="s">
        <v>1254</v>
      </c>
      <c r="J482" s="26" t="s">
        <v>1300</v>
      </c>
      <c r="K482" s="27" t="s">
        <v>993</v>
      </c>
      <c r="L482" s="28" t="s">
        <v>994</v>
      </c>
      <c r="M482" s="28" t="s">
        <v>833</v>
      </c>
      <c r="N482" s="25">
        <v>1</v>
      </c>
      <c r="O482" s="29">
        <v>13.33</v>
      </c>
      <c r="P482" s="29">
        <v>13.33</v>
      </c>
      <c r="Q482" s="25" t="s">
        <v>1224</v>
      </c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35"/>
        <v>13.33</v>
      </c>
      <c r="AF482" s="32">
        <f t="shared" si="136"/>
        <v>0</v>
      </c>
      <c r="AG482" s="30"/>
      <c r="AH482" s="33">
        <v>1</v>
      </c>
      <c r="AI482" s="34">
        <f t="shared" si="137"/>
        <v>13.33</v>
      </c>
      <c r="AJ482" s="35">
        <v>46281</v>
      </c>
      <c r="AK482" s="30">
        <v>1</v>
      </c>
      <c r="AL482" s="36">
        <f t="shared" si="143"/>
        <v>13.33</v>
      </c>
      <c r="AM482" s="35">
        <v>46281</v>
      </c>
      <c r="AN482" s="30">
        <v>1</v>
      </c>
      <c r="AO482" s="36">
        <f t="shared" si="144"/>
        <v>13.33</v>
      </c>
      <c r="AP482" s="35"/>
      <c r="AQ482" s="30"/>
      <c r="AR482" s="36">
        <f t="shared" si="140"/>
        <v>0</v>
      </c>
      <c r="AS482" s="27" t="s">
        <v>1399</v>
      </c>
      <c r="AT482" s="37">
        <v>46294</v>
      </c>
      <c r="AU482" s="30">
        <v>1</v>
      </c>
      <c r="AV482" s="36">
        <f t="shared" si="141"/>
        <v>13.33</v>
      </c>
      <c r="AW482" s="35">
        <v>46297</v>
      </c>
      <c r="AX482" s="30">
        <v>1</v>
      </c>
      <c r="AY482" s="32">
        <f t="shared" si="142"/>
        <v>13.33</v>
      </c>
      <c r="AZ482" s="30" t="s">
        <v>85</v>
      </c>
      <c r="BA482" s="63" t="s">
        <v>1400</v>
      </c>
      <c r="BB482" s="71" t="e">
        <f>SUMIFS([1]Form!$F$9:$F$67,[1]Form!$K$9:$K$67,L482)</f>
        <v>#VALUE!</v>
      </c>
      <c r="BC482" s="71" t="s">
        <v>994</v>
      </c>
      <c r="BD482" s="71"/>
    </row>
    <row r="483" spans="1:56" x14ac:dyDescent="0.25">
      <c r="A483" s="24">
        <f>IF(B483="","",SUBTOTAL(3,$B$4:B483))</f>
        <v>464</v>
      </c>
      <c r="B483" s="25" t="s">
        <v>77</v>
      </c>
      <c r="C483" s="25" t="str">
        <f t="shared" si="134"/>
        <v>Shipment 2 400</v>
      </c>
      <c r="D483" s="25" t="s">
        <v>1252</v>
      </c>
      <c r="E483" s="25">
        <v>400</v>
      </c>
      <c r="F483" s="25"/>
      <c r="G483" s="65">
        <v>45990</v>
      </c>
      <c r="H483" s="25" t="s">
        <v>1257</v>
      </c>
      <c r="I483" s="25" t="s">
        <v>1254</v>
      </c>
      <c r="J483" s="26" t="s">
        <v>1300</v>
      </c>
      <c r="K483" s="27" t="s">
        <v>995</v>
      </c>
      <c r="L483" s="28" t="s">
        <v>996</v>
      </c>
      <c r="M483" s="28" t="s">
        <v>833</v>
      </c>
      <c r="N483" s="25">
        <v>1</v>
      </c>
      <c r="O483" s="29">
        <v>9.17</v>
      </c>
      <c r="P483" s="29">
        <v>9.17</v>
      </c>
      <c r="Q483" s="25" t="s">
        <v>1225</v>
      </c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35"/>
        <v>9.17</v>
      </c>
      <c r="AF483" s="32">
        <f t="shared" si="136"/>
        <v>0</v>
      </c>
      <c r="AG483" s="30"/>
      <c r="AH483" s="33">
        <v>1</v>
      </c>
      <c r="AI483" s="34">
        <f t="shared" si="137"/>
        <v>9.17</v>
      </c>
      <c r="AJ483" s="35">
        <v>46281</v>
      </c>
      <c r="AK483" s="30">
        <v>1</v>
      </c>
      <c r="AL483" s="36">
        <f t="shared" si="143"/>
        <v>9.17</v>
      </c>
      <c r="AM483" s="35">
        <v>46281</v>
      </c>
      <c r="AN483" s="30">
        <v>1</v>
      </c>
      <c r="AO483" s="36">
        <f t="shared" si="144"/>
        <v>9.17</v>
      </c>
      <c r="AP483" s="35"/>
      <c r="AQ483" s="30"/>
      <c r="AR483" s="36">
        <f t="shared" si="140"/>
        <v>0</v>
      </c>
      <c r="AS483" s="27" t="s">
        <v>1399</v>
      </c>
      <c r="AT483" s="37">
        <v>46294</v>
      </c>
      <c r="AU483" s="30">
        <v>1</v>
      </c>
      <c r="AV483" s="36">
        <f t="shared" si="141"/>
        <v>9.17</v>
      </c>
      <c r="AW483" s="35">
        <v>46297</v>
      </c>
      <c r="AX483" s="30">
        <v>1</v>
      </c>
      <c r="AY483" s="32">
        <f t="shared" si="142"/>
        <v>9.17</v>
      </c>
      <c r="AZ483" s="30" t="s">
        <v>85</v>
      </c>
      <c r="BA483" s="63" t="s">
        <v>1400</v>
      </c>
      <c r="BB483" s="71" t="e">
        <f>SUMIFS([1]Form!$F$9:$F$67,[1]Form!$K$9:$K$67,L483)</f>
        <v>#VALUE!</v>
      </c>
      <c r="BC483" s="71" t="s">
        <v>996</v>
      </c>
      <c r="BD483" s="71"/>
    </row>
    <row r="484" spans="1:56" x14ac:dyDescent="0.25">
      <c r="A484" s="24">
        <f>IF(B484="","",SUBTOTAL(3,$B$4:B484))</f>
        <v>465</v>
      </c>
      <c r="B484" s="25" t="s">
        <v>77</v>
      </c>
      <c r="C484" s="25" t="str">
        <f t="shared" si="134"/>
        <v>Shipment 2 400</v>
      </c>
      <c r="D484" s="25" t="s">
        <v>1252</v>
      </c>
      <c r="E484" s="25">
        <v>400</v>
      </c>
      <c r="F484" s="25"/>
      <c r="G484" s="65">
        <v>45990</v>
      </c>
      <c r="H484" s="25" t="s">
        <v>1257</v>
      </c>
      <c r="I484" s="25" t="s">
        <v>1254</v>
      </c>
      <c r="J484" s="26" t="s">
        <v>1300</v>
      </c>
      <c r="K484" s="27" t="s">
        <v>997</v>
      </c>
      <c r="L484" s="28" t="s">
        <v>998</v>
      </c>
      <c r="M484" s="28" t="s">
        <v>833</v>
      </c>
      <c r="N484" s="25">
        <v>1</v>
      </c>
      <c r="O484" s="29">
        <v>11.91</v>
      </c>
      <c r="P484" s="29">
        <v>11.91</v>
      </c>
      <c r="Q484" s="25" t="s">
        <v>1226</v>
      </c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35"/>
        <v>11.910000000000002</v>
      </c>
      <c r="AF484" s="32">
        <f t="shared" si="136"/>
        <v>0</v>
      </c>
      <c r="AG484" s="30"/>
      <c r="AH484" s="33">
        <v>1</v>
      </c>
      <c r="AI484" s="34">
        <f t="shared" si="137"/>
        <v>11.91</v>
      </c>
      <c r="AJ484" s="35">
        <v>46281</v>
      </c>
      <c r="AK484" s="30">
        <v>1</v>
      </c>
      <c r="AL484" s="36">
        <f t="shared" si="143"/>
        <v>11.91</v>
      </c>
      <c r="AM484" s="35">
        <v>46281</v>
      </c>
      <c r="AN484" s="30">
        <v>1</v>
      </c>
      <c r="AO484" s="36">
        <f t="shared" si="144"/>
        <v>11.91</v>
      </c>
      <c r="AP484" s="35"/>
      <c r="AQ484" s="30"/>
      <c r="AR484" s="36">
        <f t="shared" si="140"/>
        <v>0</v>
      </c>
      <c r="AS484" s="27" t="s">
        <v>1399</v>
      </c>
      <c r="AT484" s="37">
        <v>46294</v>
      </c>
      <c r="AU484" s="30">
        <v>1</v>
      </c>
      <c r="AV484" s="36">
        <f t="shared" si="141"/>
        <v>11.91</v>
      </c>
      <c r="AW484" s="35">
        <v>46297</v>
      </c>
      <c r="AX484" s="30">
        <v>1</v>
      </c>
      <c r="AY484" s="32">
        <f t="shared" si="142"/>
        <v>11.91</v>
      </c>
      <c r="AZ484" s="30" t="s">
        <v>85</v>
      </c>
      <c r="BA484" s="63" t="s">
        <v>1400</v>
      </c>
      <c r="BB484" s="71" t="e">
        <f>SUMIFS([1]Form!$F$9:$F$67,[1]Form!$K$9:$K$67,L484)</f>
        <v>#VALUE!</v>
      </c>
      <c r="BC484" s="71" t="s">
        <v>998</v>
      </c>
      <c r="BD484" s="71"/>
    </row>
    <row r="485" spans="1:56" x14ac:dyDescent="0.25">
      <c r="A485" s="24">
        <f>IF(B485="","",SUBTOTAL(3,$B$4:B485))</f>
        <v>466</v>
      </c>
      <c r="B485" s="25" t="s">
        <v>77</v>
      </c>
      <c r="C485" s="25" t="str">
        <f t="shared" si="134"/>
        <v>Shipment 2 400</v>
      </c>
      <c r="D485" s="25" t="s">
        <v>1252</v>
      </c>
      <c r="E485" s="25">
        <v>400</v>
      </c>
      <c r="F485" s="25"/>
      <c r="G485" s="65">
        <v>45990</v>
      </c>
      <c r="H485" s="25" t="s">
        <v>1257</v>
      </c>
      <c r="I485" s="25" t="s">
        <v>1254</v>
      </c>
      <c r="J485" s="26" t="s">
        <v>1300</v>
      </c>
      <c r="K485" s="27" t="s">
        <v>999</v>
      </c>
      <c r="L485" s="28" t="s">
        <v>1000</v>
      </c>
      <c r="M485" s="28" t="s">
        <v>833</v>
      </c>
      <c r="N485" s="25">
        <v>1</v>
      </c>
      <c r="O485" s="29">
        <v>11.85</v>
      </c>
      <c r="P485" s="29">
        <v>11.85</v>
      </c>
      <c r="Q485" s="25" t="s">
        <v>1227</v>
      </c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35"/>
        <v>11.85</v>
      </c>
      <c r="AF485" s="32">
        <f t="shared" si="136"/>
        <v>0</v>
      </c>
      <c r="AG485" s="30"/>
      <c r="AH485" s="33">
        <v>1</v>
      </c>
      <c r="AI485" s="34">
        <f t="shared" si="137"/>
        <v>11.85</v>
      </c>
      <c r="AJ485" s="35">
        <v>46281</v>
      </c>
      <c r="AK485" s="30">
        <v>1</v>
      </c>
      <c r="AL485" s="36">
        <f t="shared" si="143"/>
        <v>11.85</v>
      </c>
      <c r="AM485" s="35">
        <v>46281</v>
      </c>
      <c r="AN485" s="30">
        <v>1</v>
      </c>
      <c r="AO485" s="36">
        <f t="shared" si="144"/>
        <v>11.85</v>
      </c>
      <c r="AP485" s="35"/>
      <c r="AQ485" s="30"/>
      <c r="AR485" s="36">
        <f t="shared" si="140"/>
        <v>0</v>
      </c>
      <c r="AS485" s="27" t="s">
        <v>1399</v>
      </c>
      <c r="AT485" s="37">
        <v>46294</v>
      </c>
      <c r="AU485" s="30">
        <v>1</v>
      </c>
      <c r="AV485" s="36">
        <f t="shared" si="141"/>
        <v>11.85</v>
      </c>
      <c r="AW485" s="35">
        <v>46297</v>
      </c>
      <c r="AX485" s="30">
        <v>1</v>
      </c>
      <c r="AY485" s="32">
        <f t="shared" si="142"/>
        <v>11.85</v>
      </c>
      <c r="AZ485" s="30" t="s">
        <v>85</v>
      </c>
      <c r="BA485" s="63" t="s">
        <v>1400</v>
      </c>
      <c r="BB485" s="71" t="e">
        <f>SUMIFS([1]Form!$F$9:$F$67,[1]Form!$K$9:$K$67,L485)</f>
        <v>#VALUE!</v>
      </c>
      <c r="BC485" s="71" t="s">
        <v>1000</v>
      </c>
      <c r="BD485" s="71"/>
    </row>
    <row r="486" spans="1:56" x14ac:dyDescent="0.25">
      <c r="A486" s="24">
        <f>IF(B486="","",SUBTOTAL(3,$B$4:B486))</f>
        <v>467</v>
      </c>
      <c r="B486" s="25" t="s">
        <v>77</v>
      </c>
      <c r="C486" s="25" t="str">
        <f t="shared" si="134"/>
        <v>Shipment 2 400</v>
      </c>
      <c r="D486" s="25" t="s">
        <v>1252</v>
      </c>
      <c r="E486" s="25">
        <v>400</v>
      </c>
      <c r="F486" s="25"/>
      <c r="G486" s="65">
        <v>45990</v>
      </c>
      <c r="H486" s="25" t="s">
        <v>1257</v>
      </c>
      <c r="I486" s="25" t="s">
        <v>1254</v>
      </c>
      <c r="J486" s="26" t="s">
        <v>1300</v>
      </c>
      <c r="K486" s="27" t="s">
        <v>1001</v>
      </c>
      <c r="L486" s="28" t="s">
        <v>1002</v>
      </c>
      <c r="M486" s="28" t="s">
        <v>833</v>
      </c>
      <c r="N486" s="25">
        <v>1</v>
      </c>
      <c r="O486" s="29">
        <v>11.79</v>
      </c>
      <c r="P486" s="29">
        <v>11.79</v>
      </c>
      <c r="Q486" s="25" t="s">
        <v>1208</v>
      </c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35"/>
        <v>11.790000000000001</v>
      </c>
      <c r="AF486" s="32">
        <f t="shared" si="136"/>
        <v>0</v>
      </c>
      <c r="AG486" s="30"/>
      <c r="AH486" s="33">
        <v>1</v>
      </c>
      <c r="AI486" s="34">
        <f t="shared" si="137"/>
        <v>11.79</v>
      </c>
      <c r="AJ486" s="35">
        <v>46281</v>
      </c>
      <c r="AK486" s="30">
        <v>1</v>
      </c>
      <c r="AL486" s="36">
        <f t="shared" si="143"/>
        <v>11.79</v>
      </c>
      <c r="AM486" s="35">
        <v>46281</v>
      </c>
      <c r="AN486" s="30">
        <v>1</v>
      </c>
      <c r="AO486" s="36">
        <f t="shared" si="144"/>
        <v>11.79</v>
      </c>
      <c r="AP486" s="35"/>
      <c r="AQ486" s="30"/>
      <c r="AR486" s="36">
        <f t="shared" si="140"/>
        <v>0</v>
      </c>
      <c r="AS486" s="27" t="s">
        <v>1399</v>
      </c>
      <c r="AT486" s="37">
        <v>46294</v>
      </c>
      <c r="AU486" s="30">
        <v>1</v>
      </c>
      <c r="AV486" s="36">
        <f t="shared" si="141"/>
        <v>11.79</v>
      </c>
      <c r="AW486" s="35">
        <v>46297</v>
      </c>
      <c r="AX486" s="30">
        <v>1</v>
      </c>
      <c r="AY486" s="32">
        <f t="shared" si="142"/>
        <v>11.79</v>
      </c>
      <c r="AZ486" s="30" t="s">
        <v>85</v>
      </c>
      <c r="BA486" s="63" t="s">
        <v>1400</v>
      </c>
      <c r="BB486" s="71" t="e">
        <f>SUMIFS([1]Form!$F$9:$F$67,[1]Form!$K$9:$K$67,L486)</f>
        <v>#VALUE!</v>
      </c>
      <c r="BC486" s="71" t="s">
        <v>1002</v>
      </c>
      <c r="BD486" s="71"/>
    </row>
    <row r="487" spans="1:56" x14ac:dyDescent="0.25">
      <c r="A487" s="24">
        <f>IF(B487="","",SUBTOTAL(3,$B$4:B487))</f>
        <v>468</v>
      </c>
      <c r="B487" s="25" t="s">
        <v>77</v>
      </c>
      <c r="C487" s="25" t="str">
        <f t="shared" si="134"/>
        <v>Shipment 2 400</v>
      </c>
      <c r="D487" s="25" t="s">
        <v>1252</v>
      </c>
      <c r="E487" s="25">
        <v>400</v>
      </c>
      <c r="F487" s="25"/>
      <c r="G487" s="65">
        <v>45990</v>
      </c>
      <c r="H487" s="25" t="s">
        <v>1257</v>
      </c>
      <c r="I487" s="25" t="s">
        <v>1254</v>
      </c>
      <c r="J487" s="26" t="s">
        <v>1300</v>
      </c>
      <c r="K487" s="27" t="s">
        <v>1003</v>
      </c>
      <c r="L487" s="28" t="s">
        <v>1004</v>
      </c>
      <c r="M487" s="28" t="s">
        <v>833</v>
      </c>
      <c r="N487" s="25">
        <v>1</v>
      </c>
      <c r="O487" s="29">
        <v>7.96</v>
      </c>
      <c r="P487" s="29">
        <v>7.96</v>
      </c>
      <c r="Q487" s="25" t="s">
        <v>1228</v>
      </c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35"/>
        <v>7.96</v>
      </c>
      <c r="AF487" s="32">
        <f t="shared" si="136"/>
        <v>0</v>
      </c>
      <c r="AG487" s="30"/>
      <c r="AH487" s="33">
        <v>1</v>
      </c>
      <c r="AI487" s="34">
        <f t="shared" si="137"/>
        <v>7.96</v>
      </c>
      <c r="AJ487" s="35">
        <v>46281</v>
      </c>
      <c r="AK487" s="30">
        <v>1</v>
      </c>
      <c r="AL487" s="36">
        <f t="shared" si="143"/>
        <v>7.96</v>
      </c>
      <c r="AM487" s="35">
        <v>46281</v>
      </c>
      <c r="AN487" s="30">
        <v>1</v>
      </c>
      <c r="AO487" s="36">
        <f t="shared" si="144"/>
        <v>7.96</v>
      </c>
      <c r="AP487" s="35"/>
      <c r="AQ487" s="30"/>
      <c r="AR487" s="36">
        <f t="shared" si="140"/>
        <v>0</v>
      </c>
      <c r="AS487" s="27" t="s">
        <v>1399</v>
      </c>
      <c r="AT487" s="37">
        <v>46294</v>
      </c>
      <c r="AU487" s="30">
        <v>1</v>
      </c>
      <c r="AV487" s="36">
        <f t="shared" si="141"/>
        <v>7.96</v>
      </c>
      <c r="AW487" s="35">
        <v>46297</v>
      </c>
      <c r="AX487" s="30">
        <v>1</v>
      </c>
      <c r="AY487" s="32">
        <f t="shared" si="142"/>
        <v>7.96</v>
      </c>
      <c r="AZ487" s="30" t="s">
        <v>85</v>
      </c>
      <c r="BA487" s="63" t="s">
        <v>1400</v>
      </c>
      <c r="BB487" s="71" t="e">
        <f>SUMIFS([1]Form!$F$9:$F$67,[1]Form!$K$9:$K$67,L487)</f>
        <v>#VALUE!</v>
      </c>
      <c r="BC487" s="71" t="s">
        <v>1004</v>
      </c>
      <c r="BD487" s="71"/>
    </row>
    <row r="488" spans="1:56" x14ac:dyDescent="0.25">
      <c r="A488" s="24">
        <f>IF(B488="","",SUBTOTAL(3,$B$4:B488))</f>
        <v>469</v>
      </c>
      <c r="B488" s="25" t="s">
        <v>77</v>
      </c>
      <c r="C488" s="25" t="str">
        <f t="shared" si="134"/>
        <v>Shipment 2 400</v>
      </c>
      <c r="D488" s="25" t="s">
        <v>1252</v>
      </c>
      <c r="E488" s="25">
        <v>400</v>
      </c>
      <c r="F488" s="25"/>
      <c r="G488" s="65">
        <v>45990</v>
      </c>
      <c r="H488" s="25" t="s">
        <v>1257</v>
      </c>
      <c r="I488" s="25" t="s">
        <v>1254</v>
      </c>
      <c r="J488" s="26" t="s">
        <v>1300</v>
      </c>
      <c r="K488" s="27" t="s">
        <v>1005</v>
      </c>
      <c r="L488" s="28" t="s">
        <v>1006</v>
      </c>
      <c r="M488" s="28" t="s">
        <v>833</v>
      </c>
      <c r="N488" s="25">
        <v>1</v>
      </c>
      <c r="O488" s="29">
        <v>7.96</v>
      </c>
      <c r="P488" s="29">
        <v>7.96</v>
      </c>
      <c r="Q488" s="25" t="s">
        <v>1228</v>
      </c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35"/>
        <v>7.96</v>
      </c>
      <c r="AF488" s="32">
        <f t="shared" si="136"/>
        <v>0</v>
      </c>
      <c r="AG488" s="30"/>
      <c r="AH488" s="33">
        <v>1</v>
      </c>
      <c r="AI488" s="34">
        <f t="shared" si="137"/>
        <v>7.96</v>
      </c>
      <c r="AJ488" s="35">
        <v>46281</v>
      </c>
      <c r="AK488" s="30">
        <v>1</v>
      </c>
      <c r="AL488" s="36">
        <f t="shared" si="143"/>
        <v>7.96</v>
      </c>
      <c r="AM488" s="35">
        <v>46281</v>
      </c>
      <c r="AN488" s="30">
        <v>1</v>
      </c>
      <c r="AO488" s="36">
        <f t="shared" si="144"/>
        <v>7.96</v>
      </c>
      <c r="AP488" s="35"/>
      <c r="AQ488" s="30"/>
      <c r="AR488" s="36">
        <f t="shared" si="140"/>
        <v>0</v>
      </c>
      <c r="AS488" s="27" t="s">
        <v>1399</v>
      </c>
      <c r="AT488" s="37">
        <v>46294</v>
      </c>
      <c r="AU488" s="30">
        <v>1</v>
      </c>
      <c r="AV488" s="36">
        <f t="shared" si="141"/>
        <v>7.96</v>
      </c>
      <c r="AW488" s="35">
        <v>46297</v>
      </c>
      <c r="AX488" s="30">
        <v>1</v>
      </c>
      <c r="AY488" s="32">
        <f t="shared" si="142"/>
        <v>7.96</v>
      </c>
      <c r="AZ488" s="30" t="s">
        <v>85</v>
      </c>
      <c r="BA488" s="63" t="s">
        <v>1400</v>
      </c>
      <c r="BB488" s="71" t="e">
        <f>SUMIFS([1]Form!$F$9:$F$67,[1]Form!$K$9:$K$67,L488)</f>
        <v>#VALUE!</v>
      </c>
      <c r="BC488" s="71" t="s">
        <v>1006</v>
      </c>
      <c r="BD488" s="71"/>
    </row>
    <row r="489" spans="1:56" x14ac:dyDescent="0.25">
      <c r="A489" s="24">
        <f>IF(B489="","",SUBTOTAL(3,$B$4:B489))</f>
        <v>470</v>
      </c>
      <c r="B489" s="25" t="s">
        <v>77</v>
      </c>
      <c r="C489" s="25" t="str">
        <f t="shared" si="134"/>
        <v>Shipment 2 400</v>
      </c>
      <c r="D489" s="25" t="s">
        <v>1252</v>
      </c>
      <c r="E489" s="25">
        <v>400</v>
      </c>
      <c r="F489" s="25"/>
      <c r="G489" s="65">
        <v>45990</v>
      </c>
      <c r="H489" s="25" t="s">
        <v>1257</v>
      </c>
      <c r="I489" s="25" t="s">
        <v>1254</v>
      </c>
      <c r="J489" s="26" t="s">
        <v>1301</v>
      </c>
      <c r="K489" s="27" t="s">
        <v>1007</v>
      </c>
      <c r="L489" s="28" t="s">
        <v>1008</v>
      </c>
      <c r="M489" s="28" t="s">
        <v>833</v>
      </c>
      <c r="N489" s="25">
        <v>1</v>
      </c>
      <c r="O489" s="29">
        <v>18.09</v>
      </c>
      <c r="P489" s="29">
        <v>18.09</v>
      </c>
      <c r="Q489" s="25" t="s">
        <v>1229</v>
      </c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35"/>
        <v>18.09</v>
      </c>
      <c r="AF489" s="32">
        <f t="shared" si="136"/>
        <v>0</v>
      </c>
      <c r="AG489" s="30"/>
      <c r="AH489" s="33">
        <v>1</v>
      </c>
      <c r="AI489" s="34">
        <f t="shared" si="137"/>
        <v>18.09</v>
      </c>
      <c r="AJ489" s="35">
        <v>46281</v>
      </c>
      <c r="AK489" s="30">
        <v>1</v>
      </c>
      <c r="AL489" s="36">
        <f t="shared" si="143"/>
        <v>18.09</v>
      </c>
      <c r="AM489" s="35">
        <v>46281</v>
      </c>
      <c r="AN489" s="30">
        <v>1</v>
      </c>
      <c r="AO489" s="36">
        <f t="shared" si="144"/>
        <v>18.09</v>
      </c>
      <c r="AP489" s="35"/>
      <c r="AQ489" s="30"/>
      <c r="AR489" s="36">
        <f t="shared" si="140"/>
        <v>0</v>
      </c>
      <c r="AS489" s="27" t="s">
        <v>1399</v>
      </c>
      <c r="AT489" s="37">
        <v>46294</v>
      </c>
      <c r="AU489" s="30">
        <v>1</v>
      </c>
      <c r="AV489" s="36">
        <f t="shared" si="141"/>
        <v>18.09</v>
      </c>
      <c r="AW489" s="35">
        <v>46297</v>
      </c>
      <c r="AX489" s="30">
        <v>1</v>
      </c>
      <c r="AY489" s="32">
        <f t="shared" si="142"/>
        <v>18.09</v>
      </c>
      <c r="AZ489" s="30" t="s">
        <v>85</v>
      </c>
      <c r="BA489" s="63" t="s">
        <v>1400</v>
      </c>
      <c r="BB489" s="71" t="e">
        <f>SUMIFS([1]Form!$F$9:$F$67,[1]Form!$K$9:$K$67,L489)</f>
        <v>#VALUE!</v>
      </c>
      <c r="BC489" s="71" t="s">
        <v>1008</v>
      </c>
      <c r="BD489" s="71"/>
    </row>
    <row r="490" spans="1:56" x14ac:dyDescent="0.25">
      <c r="A490" s="24">
        <f>IF(B490="","",SUBTOTAL(3,$B$4:B490))</f>
        <v>471</v>
      </c>
      <c r="B490" s="25" t="s">
        <v>77</v>
      </c>
      <c r="C490" s="25" t="str">
        <f t="shared" si="134"/>
        <v>Shipment 2 400</v>
      </c>
      <c r="D490" s="25" t="s">
        <v>1252</v>
      </c>
      <c r="E490" s="25">
        <v>400</v>
      </c>
      <c r="F490" s="25"/>
      <c r="G490" s="65">
        <v>45990</v>
      </c>
      <c r="H490" s="25" t="s">
        <v>1257</v>
      </c>
      <c r="I490" s="25" t="s">
        <v>1254</v>
      </c>
      <c r="J490" s="26" t="s">
        <v>1301</v>
      </c>
      <c r="K490" s="27" t="s">
        <v>1009</v>
      </c>
      <c r="L490" s="28" t="s">
        <v>1010</v>
      </c>
      <c r="M490" s="28" t="s">
        <v>833</v>
      </c>
      <c r="N490" s="25">
        <v>1</v>
      </c>
      <c r="O490" s="29">
        <v>11.17</v>
      </c>
      <c r="P490" s="29">
        <v>11.17</v>
      </c>
      <c r="Q490" s="25" t="s">
        <v>1230</v>
      </c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35"/>
        <v>11.170000000000002</v>
      </c>
      <c r="AF490" s="32">
        <f t="shared" si="136"/>
        <v>0</v>
      </c>
      <c r="AG490" s="30"/>
      <c r="AH490" s="33">
        <v>1</v>
      </c>
      <c r="AI490" s="34">
        <f t="shared" si="137"/>
        <v>11.17</v>
      </c>
      <c r="AJ490" s="35">
        <v>46281</v>
      </c>
      <c r="AK490" s="30">
        <v>1</v>
      </c>
      <c r="AL490" s="36">
        <f t="shared" si="143"/>
        <v>11.17</v>
      </c>
      <c r="AM490" s="35">
        <v>46281</v>
      </c>
      <c r="AN490" s="30">
        <v>1</v>
      </c>
      <c r="AO490" s="36">
        <f t="shared" si="144"/>
        <v>11.17</v>
      </c>
      <c r="AP490" s="35"/>
      <c r="AQ490" s="30"/>
      <c r="AR490" s="36">
        <f t="shared" si="140"/>
        <v>0</v>
      </c>
      <c r="AS490" s="27" t="s">
        <v>1399</v>
      </c>
      <c r="AT490" s="37">
        <v>46294</v>
      </c>
      <c r="AU490" s="30">
        <v>1</v>
      </c>
      <c r="AV490" s="36">
        <f t="shared" si="141"/>
        <v>11.17</v>
      </c>
      <c r="AW490" s="35">
        <v>46297</v>
      </c>
      <c r="AX490" s="30">
        <v>1</v>
      </c>
      <c r="AY490" s="32">
        <f t="shared" si="142"/>
        <v>11.17</v>
      </c>
      <c r="AZ490" s="30" t="s">
        <v>85</v>
      </c>
      <c r="BA490" s="63" t="s">
        <v>1400</v>
      </c>
      <c r="BB490" s="71" t="e">
        <f>SUMIFS([1]Form!$F$9:$F$67,[1]Form!$K$9:$K$67,L490)</f>
        <v>#VALUE!</v>
      </c>
      <c r="BC490" s="71" t="s">
        <v>1010</v>
      </c>
      <c r="BD490" s="71"/>
    </row>
    <row r="491" spans="1:56" x14ac:dyDescent="0.25">
      <c r="A491" s="24">
        <f>IF(B491="","",SUBTOTAL(3,$B$4:B491))</f>
        <v>472</v>
      </c>
      <c r="B491" s="25" t="s">
        <v>77</v>
      </c>
      <c r="C491" s="25" t="str">
        <f t="shared" si="134"/>
        <v>Shipment 2 400</v>
      </c>
      <c r="D491" s="25" t="s">
        <v>1252</v>
      </c>
      <c r="E491" s="25">
        <v>400</v>
      </c>
      <c r="F491" s="25"/>
      <c r="G491" s="65">
        <v>45990</v>
      </c>
      <c r="H491" s="25" t="s">
        <v>1257</v>
      </c>
      <c r="I491" s="25" t="s">
        <v>1254</v>
      </c>
      <c r="J491" s="26" t="s">
        <v>1300</v>
      </c>
      <c r="K491" s="27" t="s">
        <v>1011</v>
      </c>
      <c r="L491" s="28" t="s">
        <v>1012</v>
      </c>
      <c r="M491" s="28" t="s">
        <v>833</v>
      </c>
      <c r="N491" s="25">
        <v>1</v>
      </c>
      <c r="O491" s="29">
        <v>0.1</v>
      </c>
      <c r="P491" s="29">
        <v>0.1</v>
      </c>
      <c r="Q491" s="25" t="s">
        <v>1231</v>
      </c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35"/>
        <v>0.1</v>
      </c>
      <c r="AF491" s="32">
        <f t="shared" si="136"/>
        <v>0</v>
      </c>
      <c r="AG491" s="30"/>
      <c r="AH491" s="33">
        <v>1</v>
      </c>
      <c r="AI491" s="34">
        <f t="shared" si="137"/>
        <v>0.1</v>
      </c>
      <c r="AJ491" s="35">
        <v>46249</v>
      </c>
      <c r="AK491" s="30">
        <v>1</v>
      </c>
      <c r="AL491" s="36">
        <f t="shared" si="143"/>
        <v>0.1</v>
      </c>
      <c r="AM491" s="35">
        <v>46249</v>
      </c>
      <c r="AN491" s="30">
        <v>1</v>
      </c>
      <c r="AO491" s="36">
        <f t="shared" si="144"/>
        <v>0.1</v>
      </c>
      <c r="AP491" s="35"/>
      <c r="AQ491" s="30"/>
      <c r="AR491" s="36">
        <f t="shared" si="140"/>
        <v>0</v>
      </c>
      <c r="AS491" s="27" t="s">
        <v>1398</v>
      </c>
      <c r="AT491" s="37">
        <v>46249</v>
      </c>
      <c r="AU491" s="30">
        <v>1</v>
      </c>
      <c r="AV491" s="36">
        <f t="shared" si="141"/>
        <v>0.1</v>
      </c>
      <c r="AW491" s="35">
        <v>46252</v>
      </c>
      <c r="AX491" s="30">
        <v>1</v>
      </c>
      <c r="AY491" s="32">
        <f t="shared" si="142"/>
        <v>0.1</v>
      </c>
      <c r="AZ491" s="30" t="s">
        <v>85</v>
      </c>
      <c r="BA491" s="63" t="s">
        <v>1308</v>
      </c>
      <c r="BB491" s="71"/>
      <c r="BC491" s="71" t="s">
        <v>1364</v>
      </c>
      <c r="BD491" s="71"/>
    </row>
    <row r="492" spans="1:56" x14ac:dyDescent="0.25">
      <c r="A492" s="24">
        <f>IF(B492="","",SUBTOTAL(3,$B$4:B492))</f>
        <v>473</v>
      </c>
      <c r="B492" s="25" t="s">
        <v>77</v>
      </c>
      <c r="C492" s="25" t="str">
        <f t="shared" si="134"/>
        <v>Shipment 2 400</v>
      </c>
      <c r="D492" s="25" t="s">
        <v>1252</v>
      </c>
      <c r="E492" s="25">
        <v>400</v>
      </c>
      <c r="F492" s="25"/>
      <c r="G492" s="65">
        <v>45990</v>
      </c>
      <c r="H492" s="25" t="s">
        <v>1257</v>
      </c>
      <c r="I492" s="25" t="s">
        <v>1254</v>
      </c>
      <c r="J492" s="26" t="s">
        <v>1300</v>
      </c>
      <c r="K492" s="27" t="s">
        <v>1011</v>
      </c>
      <c r="L492" s="28" t="s">
        <v>1013</v>
      </c>
      <c r="M492" s="28" t="s">
        <v>833</v>
      </c>
      <c r="N492" s="25">
        <v>1</v>
      </c>
      <c r="O492" s="29">
        <v>0.1</v>
      </c>
      <c r="P492" s="29">
        <v>0.1</v>
      </c>
      <c r="Q492" s="25" t="s">
        <v>1231</v>
      </c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35"/>
        <v>0.1</v>
      </c>
      <c r="AF492" s="32">
        <f t="shared" si="136"/>
        <v>0</v>
      </c>
      <c r="AG492" s="30"/>
      <c r="AH492" s="33">
        <v>1</v>
      </c>
      <c r="AI492" s="34">
        <f t="shared" si="137"/>
        <v>0.1</v>
      </c>
      <c r="AJ492" s="35">
        <v>46249</v>
      </c>
      <c r="AK492" s="30">
        <v>1</v>
      </c>
      <c r="AL492" s="36">
        <f t="shared" ref="AL492:AL497" si="145">IFERROR(AK492*$P492/$N492,0)</f>
        <v>0.1</v>
      </c>
      <c r="AM492" s="35">
        <v>46249</v>
      </c>
      <c r="AN492" s="30">
        <v>1</v>
      </c>
      <c r="AO492" s="36">
        <f t="shared" si="144"/>
        <v>0.1</v>
      </c>
      <c r="AP492" s="35"/>
      <c r="AQ492" s="30"/>
      <c r="AR492" s="36">
        <f t="shared" si="140"/>
        <v>0</v>
      </c>
      <c r="AS492" s="27" t="s">
        <v>1398</v>
      </c>
      <c r="AT492" s="37">
        <v>46249</v>
      </c>
      <c r="AU492" s="30">
        <v>1</v>
      </c>
      <c r="AV492" s="36">
        <f t="shared" si="141"/>
        <v>0.1</v>
      </c>
      <c r="AW492" s="35">
        <v>46252</v>
      </c>
      <c r="AX492" s="30">
        <v>1</v>
      </c>
      <c r="AY492" s="32">
        <f t="shared" si="142"/>
        <v>0.1</v>
      </c>
      <c r="AZ492" s="30" t="s">
        <v>85</v>
      </c>
      <c r="BA492" s="63" t="s">
        <v>1308</v>
      </c>
      <c r="BB492" s="71"/>
      <c r="BC492" s="71" t="s">
        <v>1364</v>
      </c>
      <c r="BD492" s="71"/>
    </row>
    <row r="493" spans="1:56" x14ac:dyDescent="0.25">
      <c r="A493" s="24">
        <f>IF(B493="","",SUBTOTAL(3,$B$4:B493))</f>
        <v>474</v>
      </c>
      <c r="B493" s="25" t="s">
        <v>77</v>
      </c>
      <c r="C493" s="25" t="str">
        <f t="shared" si="134"/>
        <v>Shipment 2 400</v>
      </c>
      <c r="D493" s="25" t="s">
        <v>1252</v>
      </c>
      <c r="E493" s="25">
        <v>400</v>
      </c>
      <c r="F493" s="25"/>
      <c r="G493" s="65">
        <v>45990</v>
      </c>
      <c r="H493" s="25" t="s">
        <v>1257</v>
      </c>
      <c r="I493" s="25" t="s">
        <v>1254</v>
      </c>
      <c r="J493" s="26" t="s">
        <v>1300</v>
      </c>
      <c r="K493" s="27" t="s">
        <v>1011</v>
      </c>
      <c r="L493" s="28" t="s">
        <v>1014</v>
      </c>
      <c r="M493" s="28" t="s">
        <v>833</v>
      </c>
      <c r="N493" s="25">
        <v>1</v>
      </c>
      <c r="O493" s="29">
        <v>0.1</v>
      </c>
      <c r="P493" s="29">
        <v>0.1</v>
      </c>
      <c r="Q493" s="25" t="s">
        <v>1231</v>
      </c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35"/>
        <v>0.1</v>
      </c>
      <c r="AF493" s="32">
        <f t="shared" si="136"/>
        <v>0</v>
      </c>
      <c r="AG493" s="30"/>
      <c r="AH493" s="33">
        <v>1</v>
      </c>
      <c r="AI493" s="34">
        <f t="shared" si="137"/>
        <v>0.1</v>
      </c>
      <c r="AJ493" s="35">
        <v>46249</v>
      </c>
      <c r="AK493" s="30">
        <v>1</v>
      </c>
      <c r="AL493" s="36">
        <f t="shared" si="145"/>
        <v>0.1</v>
      </c>
      <c r="AM493" s="35">
        <v>46249</v>
      </c>
      <c r="AN493" s="30">
        <v>1</v>
      </c>
      <c r="AO493" s="36">
        <f t="shared" si="144"/>
        <v>0.1</v>
      </c>
      <c r="AP493" s="35"/>
      <c r="AQ493" s="30"/>
      <c r="AR493" s="36">
        <f t="shared" si="140"/>
        <v>0</v>
      </c>
      <c r="AS493" s="27" t="s">
        <v>1398</v>
      </c>
      <c r="AT493" s="37">
        <v>46249</v>
      </c>
      <c r="AU493" s="30">
        <v>1</v>
      </c>
      <c r="AV493" s="36">
        <f t="shared" si="141"/>
        <v>0.1</v>
      </c>
      <c r="AW493" s="35">
        <v>46252</v>
      </c>
      <c r="AX493" s="30">
        <v>1</v>
      </c>
      <c r="AY493" s="32">
        <f t="shared" si="142"/>
        <v>0.1</v>
      </c>
      <c r="AZ493" s="30" t="s">
        <v>85</v>
      </c>
      <c r="BA493" s="63" t="s">
        <v>1308</v>
      </c>
      <c r="BB493" s="71"/>
      <c r="BC493" s="71" t="s">
        <v>1364</v>
      </c>
      <c r="BD493" s="71"/>
    </row>
    <row r="494" spans="1:56" x14ac:dyDescent="0.25">
      <c r="A494" s="24">
        <f>IF(B494="","",SUBTOTAL(3,$B$4:B494))</f>
        <v>475</v>
      </c>
      <c r="B494" s="25" t="s">
        <v>77</v>
      </c>
      <c r="C494" s="25" t="str">
        <f t="shared" si="134"/>
        <v>Shipment 2 400</v>
      </c>
      <c r="D494" s="25" t="s">
        <v>1252</v>
      </c>
      <c r="E494" s="25">
        <v>400</v>
      </c>
      <c r="F494" s="25"/>
      <c r="G494" s="65">
        <v>45990</v>
      </c>
      <c r="H494" s="25" t="s">
        <v>1257</v>
      </c>
      <c r="I494" s="25" t="s">
        <v>1254</v>
      </c>
      <c r="J494" s="26" t="s">
        <v>1300</v>
      </c>
      <c r="K494" s="27" t="s">
        <v>1011</v>
      </c>
      <c r="L494" s="28" t="s">
        <v>1015</v>
      </c>
      <c r="M494" s="28" t="s">
        <v>833</v>
      </c>
      <c r="N494" s="25">
        <v>1</v>
      </c>
      <c r="O494" s="29">
        <v>0.1</v>
      </c>
      <c r="P494" s="29">
        <v>0.1</v>
      </c>
      <c r="Q494" s="25" t="s">
        <v>1231</v>
      </c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35"/>
        <v>0.1</v>
      </c>
      <c r="AF494" s="32">
        <f t="shared" si="136"/>
        <v>0</v>
      </c>
      <c r="AG494" s="30"/>
      <c r="AH494" s="33">
        <v>1</v>
      </c>
      <c r="AI494" s="34">
        <f t="shared" si="137"/>
        <v>0.1</v>
      </c>
      <c r="AJ494" s="35">
        <v>46249</v>
      </c>
      <c r="AK494" s="30">
        <v>1</v>
      </c>
      <c r="AL494" s="36">
        <f t="shared" si="145"/>
        <v>0.1</v>
      </c>
      <c r="AM494" s="35">
        <v>46249</v>
      </c>
      <c r="AN494" s="30">
        <v>1</v>
      </c>
      <c r="AO494" s="36">
        <f t="shared" si="144"/>
        <v>0.1</v>
      </c>
      <c r="AP494" s="35"/>
      <c r="AQ494" s="30"/>
      <c r="AR494" s="36">
        <f t="shared" si="140"/>
        <v>0</v>
      </c>
      <c r="AS494" s="27" t="s">
        <v>1398</v>
      </c>
      <c r="AT494" s="37">
        <v>46249</v>
      </c>
      <c r="AU494" s="30">
        <v>1</v>
      </c>
      <c r="AV494" s="36">
        <f t="shared" si="141"/>
        <v>0.1</v>
      </c>
      <c r="AW494" s="35">
        <v>46252</v>
      </c>
      <c r="AX494" s="30">
        <v>1</v>
      </c>
      <c r="AY494" s="32">
        <f t="shared" si="142"/>
        <v>0.1</v>
      </c>
      <c r="AZ494" s="30" t="s">
        <v>85</v>
      </c>
      <c r="BA494" s="63" t="s">
        <v>1308</v>
      </c>
      <c r="BB494" s="71"/>
      <c r="BC494" s="71" t="s">
        <v>1364</v>
      </c>
      <c r="BD494" s="71"/>
    </row>
    <row r="495" spans="1:56" x14ac:dyDescent="0.25">
      <c r="A495" s="24">
        <f>IF(B495="","",SUBTOTAL(3,$B$4:B495))</f>
        <v>476</v>
      </c>
      <c r="B495" s="25" t="s">
        <v>77</v>
      </c>
      <c r="C495" s="25" t="str">
        <f t="shared" si="134"/>
        <v>Shipment 2 400</v>
      </c>
      <c r="D495" s="25" t="s">
        <v>1252</v>
      </c>
      <c r="E495" s="25">
        <v>400</v>
      </c>
      <c r="F495" s="25"/>
      <c r="G495" s="65">
        <v>45990</v>
      </c>
      <c r="H495" s="25" t="s">
        <v>1257</v>
      </c>
      <c r="I495" s="25" t="s">
        <v>1254</v>
      </c>
      <c r="J495" s="26" t="s">
        <v>1300</v>
      </c>
      <c r="K495" s="27" t="s">
        <v>1011</v>
      </c>
      <c r="L495" s="28" t="s">
        <v>1016</v>
      </c>
      <c r="M495" s="28" t="s">
        <v>833</v>
      </c>
      <c r="N495" s="25">
        <v>1</v>
      </c>
      <c r="O495" s="29">
        <v>0.1</v>
      </c>
      <c r="P495" s="29">
        <v>0.1</v>
      </c>
      <c r="Q495" s="25" t="s">
        <v>1231</v>
      </c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35"/>
        <v>0.1</v>
      </c>
      <c r="AF495" s="32">
        <f t="shared" si="136"/>
        <v>0</v>
      </c>
      <c r="AG495" s="30"/>
      <c r="AH495" s="33">
        <v>1</v>
      </c>
      <c r="AI495" s="34">
        <f t="shared" si="137"/>
        <v>0.1</v>
      </c>
      <c r="AJ495" s="35">
        <v>46249</v>
      </c>
      <c r="AK495" s="30">
        <v>1</v>
      </c>
      <c r="AL495" s="36">
        <f t="shared" si="145"/>
        <v>0.1</v>
      </c>
      <c r="AM495" s="35">
        <v>46249</v>
      </c>
      <c r="AN495" s="30">
        <v>1</v>
      </c>
      <c r="AO495" s="36">
        <f t="shared" si="144"/>
        <v>0.1</v>
      </c>
      <c r="AP495" s="35"/>
      <c r="AQ495" s="30"/>
      <c r="AR495" s="36">
        <f t="shared" si="140"/>
        <v>0</v>
      </c>
      <c r="AS495" s="27" t="s">
        <v>1398</v>
      </c>
      <c r="AT495" s="37">
        <v>46249</v>
      </c>
      <c r="AU495" s="30">
        <v>1</v>
      </c>
      <c r="AV495" s="36">
        <f t="shared" si="141"/>
        <v>0.1</v>
      </c>
      <c r="AW495" s="35">
        <v>46252</v>
      </c>
      <c r="AX495" s="30">
        <v>1</v>
      </c>
      <c r="AY495" s="32">
        <f t="shared" si="142"/>
        <v>0.1</v>
      </c>
      <c r="AZ495" s="30" t="s">
        <v>85</v>
      </c>
      <c r="BA495" s="63" t="s">
        <v>1308</v>
      </c>
      <c r="BB495" s="71"/>
      <c r="BC495" s="71" t="s">
        <v>1364</v>
      </c>
      <c r="BD495" s="71"/>
    </row>
    <row r="496" spans="1:56" x14ac:dyDescent="0.25">
      <c r="A496" s="24">
        <f>IF(B496="","",SUBTOTAL(3,$B$4:B496))</f>
        <v>477</v>
      </c>
      <c r="B496" s="25" t="s">
        <v>77</v>
      </c>
      <c r="C496" s="25" t="str">
        <f t="shared" si="134"/>
        <v>Shipment 2 400</v>
      </c>
      <c r="D496" s="25" t="s">
        <v>1252</v>
      </c>
      <c r="E496" s="25">
        <v>400</v>
      </c>
      <c r="F496" s="25"/>
      <c r="G496" s="65">
        <v>45990</v>
      </c>
      <c r="H496" s="25" t="s">
        <v>1257</v>
      </c>
      <c r="I496" s="25" t="s">
        <v>1254</v>
      </c>
      <c r="J496" s="26" t="s">
        <v>1300</v>
      </c>
      <c r="K496" s="27" t="s">
        <v>1011</v>
      </c>
      <c r="L496" s="28" t="s">
        <v>1017</v>
      </c>
      <c r="M496" s="28" t="s">
        <v>833</v>
      </c>
      <c r="N496" s="25">
        <v>1</v>
      </c>
      <c r="O496" s="29">
        <v>0.1</v>
      </c>
      <c r="P496" s="29">
        <v>0.1</v>
      </c>
      <c r="Q496" s="25" t="s">
        <v>1231</v>
      </c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35"/>
        <v>0.1</v>
      </c>
      <c r="AF496" s="32">
        <f t="shared" si="136"/>
        <v>0</v>
      </c>
      <c r="AG496" s="30"/>
      <c r="AH496" s="33">
        <v>1</v>
      </c>
      <c r="AI496" s="34">
        <f t="shared" si="137"/>
        <v>0.1</v>
      </c>
      <c r="AJ496" s="35">
        <v>46249</v>
      </c>
      <c r="AK496" s="30">
        <v>1</v>
      </c>
      <c r="AL496" s="36">
        <f t="shared" si="145"/>
        <v>0.1</v>
      </c>
      <c r="AM496" s="35">
        <v>46249</v>
      </c>
      <c r="AN496" s="30">
        <v>1</v>
      </c>
      <c r="AO496" s="36">
        <f t="shared" si="144"/>
        <v>0.1</v>
      </c>
      <c r="AP496" s="35"/>
      <c r="AQ496" s="30"/>
      <c r="AR496" s="36">
        <f t="shared" si="140"/>
        <v>0</v>
      </c>
      <c r="AS496" s="27" t="s">
        <v>1398</v>
      </c>
      <c r="AT496" s="37">
        <v>46249</v>
      </c>
      <c r="AU496" s="30">
        <v>1</v>
      </c>
      <c r="AV496" s="36">
        <f t="shared" si="141"/>
        <v>0.1</v>
      </c>
      <c r="AW496" s="35">
        <v>46252</v>
      </c>
      <c r="AX496" s="30">
        <v>1</v>
      </c>
      <c r="AY496" s="32">
        <f t="shared" si="142"/>
        <v>0.1</v>
      </c>
      <c r="AZ496" s="30" t="s">
        <v>85</v>
      </c>
      <c r="BA496" s="63" t="s">
        <v>1308</v>
      </c>
      <c r="BB496" s="71"/>
      <c r="BC496" s="71" t="s">
        <v>1364</v>
      </c>
      <c r="BD496" s="71"/>
    </row>
    <row r="497" spans="1:56" x14ac:dyDescent="0.25">
      <c r="A497" s="24">
        <f>IF(B497="","",SUBTOTAL(3,$B$4:B497))</f>
        <v>478</v>
      </c>
      <c r="B497" s="25" t="s">
        <v>77</v>
      </c>
      <c r="C497" s="25" t="str">
        <f t="shared" si="134"/>
        <v>Shipment 2 400</v>
      </c>
      <c r="D497" s="25" t="s">
        <v>1252</v>
      </c>
      <c r="E497" s="25">
        <v>400</v>
      </c>
      <c r="F497" s="25"/>
      <c r="G497" s="65">
        <v>45990</v>
      </c>
      <c r="H497" s="25" t="s">
        <v>1257</v>
      </c>
      <c r="I497" s="25" t="s">
        <v>1254</v>
      </c>
      <c r="J497" s="26" t="s">
        <v>1300</v>
      </c>
      <c r="K497" s="27" t="s">
        <v>1011</v>
      </c>
      <c r="L497" s="28" t="s">
        <v>1018</v>
      </c>
      <c r="M497" s="28" t="s">
        <v>833</v>
      </c>
      <c r="N497" s="25">
        <v>1</v>
      </c>
      <c r="O497" s="29">
        <v>0.1</v>
      </c>
      <c r="P497" s="29">
        <v>0.1</v>
      </c>
      <c r="Q497" s="25" t="s">
        <v>1231</v>
      </c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35"/>
        <v>0.1</v>
      </c>
      <c r="AF497" s="32">
        <f t="shared" si="136"/>
        <v>0</v>
      </c>
      <c r="AG497" s="30"/>
      <c r="AH497" s="33">
        <v>1</v>
      </c>
      <c r="AI497" s="34">
        <f t="shared" si="137"/>
        <v>0.1</v>
      </c>
      <c r="AJ497" s="35">
        <v>46249</v>
      </c>
      <c r="AK497" s="30">
        <v>1</v>
      </c>
      <c r="AL497" s="36">
        <f t="shared" si="145"/>
        <v>0.1</v>
      </c>
      <c r="AM497" s="35">
        <v>46249</v>
      </c>
      <c r="AN497" s="30">
        <v>1</v>
      </c>
      <c r="AO497" s="36">
        <f t="shared" si="144"/>
        <v>0.1</v>
      </c>
      <c r="AP497" s="35"/>
      <c r="AQ497" s="30"/>
      <c r="AR497" s="36">
        <f t="shared" si="140"/>
        <v>0</v>
      </c>
      <c r="AS497" s="27" t="s">
        <v>1398</v>
      </c>
      <c r="AT497" s="37">
        <v>46249</v>
      </c>
      <c r="AU497" s="30">
        <v>1</v>
      </c>
      <c r="AV497" s="36">
        <f t="shared" si="141"/>
        <v>0.1</v>
      </c>
      <c r="AW497" s="35">
        <v>46252</v>
      </c>
      <c r="AX497" s="30">
        <v>1</v>
      </c>
      <c r="AY497" s="32">
        <f t="shared" si="142"/>
        <v>0.1</v>
      </c>
      <c r="AZ497" s="30" t="s">
        <v>85</v>
      </c>
      <c r="BA497" s="63" t="s">
        <v>1308</v>
      </c>
      <c r="BB497" s="71"/>
      <c r="BC497" s="71" t="s">
        <v>1364</v>
      </c>
      <c r="BD497" s="71"/>
    </row>
    <row r="498" spans="1:56" x14ac:dyDescent="0.25">
      <c r="A498" s="24">
        <f>IF(B498="","",SUBTOTAL(3,$B$4:B498))</f>
        <v>479</v>
      </c>
      <c r="B498" s="25" t="s">
        <v>77</v>
      </c>
      <c r="C498" s="25" t="str">
        <f t="shared" si="134"/>
        <v>Shipment 2 400</v>
      </c>
      <c r="D498" s="25" t="s">
        <v>1252</v>
      </c>
      <c r="E498" s="25">
        <v>400</v>
      </c>
      <c r="F498" s="25"/>
      <c r="G498" s="65">
        <v>45990</v>
      </c>
      <c r="H498" s="25" t="s">
        <v>1257</v>
      </c>
      <c r="I498" s="25" t="s">
        <v>1254</v>
      </c>
      <c r="J498" s="26" t="s">
        <v>1301</v>
      </c>
      <c r="K498" s="27" t="s">
        <v>1019</v>
      </c>
      <c r="L498" s="28" t="s">
        <v>1020</v>
      </c>
      <c r="M498" s="28" t="s">
        <v>833</v>
      </c>
      <c r="N498" s="25">
        <v>1</v>
      </c>
      <c r="O498" s="29">
        <v>7.45</v>
      </c>
      <c r="P498" s="29">
        <v>7.45</v>
      </c>
      <c r="Q498" s="25" t="s">
        <v>1232</v>
      </c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35"/>
        <v>7.45</v>
      </c>
      <c r="AF498" s="32">
        <f t="shared" si="136"/>
        <v>0</v>
      </c>
      <c r="AG498" s="30"/>
      <c r="AH498" s="33">
        <v>1</v>
      </c>
      <c r="AI498" s="34">
        <f t="shared" si="137"/>
        <v>7.45</v>
      </c>
      <c r="AJ498" s="35">
        <v>46281</v>
      </c>
      <c r="AK498" s="30">
        <v>1</v>
      </c>
      <c r="AL498" s="36">
        <f t="shared" si="143"/>
        <v>7.45</v>
      </c>
      <c r="AM498" s="35">
        <v>46281</v>
      </c>
      <c r="AN498" s="30">
        <v>1</v>
      </c>
      <c r="AO498" s="36">
        <f t="shared" si="144"/>
        <v>7.45</v>
      </c>
      <c r="AP498" s="35"/>
      <c r="AQ498" s="30"/>
      <c r="AR498" s="36">
        <f t="shared" si="140"/>
        <v>0</v>
      </c>
      <c r="AS498" s="27" t="s">
        <v>1399</v>
      </c>
      <c r="AT498" s="37">
        <v>46294</v>
      </c>
      <c r="AU498" s="30">
        <v>1</v>
      </c>
      <c r="AV498" s="36">
        <f t="shared" si="141"/>
        <v>7.45</v>
      </c>
      <c r="AW498" s="35">
        <v>46297</v>
      </c>
      <c r="AX498" s="30">
        <v>1</v>
      </c>
      <c r="AY498" s="32">
        <f t="shared" si="142"/>
        <v>7.45</v>
      </c>
      <c r="AZ498" s="30" t="s">
        <v>85</v>
      </c>
      <c r="BA498" s="63" t="s">
        <v>1400</v>
      </c>
      <c r="BB498" s="71" t="e">
        <f>SUMIFS([1]Form!$F$9:$F$67,[1]Form!$K$9:$K$67,L498)</f>
        <v>#VALUE!</v>
      </c>
      <c r="BC498" s="71" t="s">
        <v>1020</v>
      </c>
      <c r="BD498" s="71"/>
    </row>
    <row r="499" spans="1:56" x14ac:dyDescent="0.25">
      <c r="A499" s="24">
        <f>IF(B499="","",SUBTOTAL(3,$B$4:B499))</f>
        <v>480</v>
      </c>
      <c r="B499" s="25" t="s">
        <v>77</v>
      </c>
      <c r="C499" s="25" t="str">
        <f t="shared" si="134"/>
        <v>Shipment 2 400</v>
      </c>
      <c r="D499" s="25" t="s">
        <v>1252</v>
      </c>
      <c r="E499" s="25">
        <v>400</v>
      </c>
      <c r="F499" s="25"/>
      <c r="G499" s="65">
        <v>45990</v>
      </c>
      <c r="H499" s="25" t="s">
        <v>1257</v>
      </c>
      <c r="I499" s="25" t="s">
        <v>1254</v>
      </c>
      <c r="J499" s="26" t="s">
        <v>1302</v>
      </c>
      <c r="K499" s="27" t="s">
        <v>1021</v>
      </c>
      <c r="L499" s="28" t="s">
        <v>1022</v>
      </c>
      <c r="M499" s="28" t="s">
        <v>833</v>
      </c>
      <c r="N499" s="25">
        <v>1</v>
      </c>
      <c r="O499" s="29">
        <v>5.99</v>
      </c>
      <c r="P499" s="29">
        <v>5.99</v>
      </c>
      <c r="Q499" s="25" t="s">
        <v>1233</v>
      </c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35"/>
        <v>5.99</v>
      </c>
      <c r="AF499" s="32">
        <f t="shared" si="136"/>
        <v>0</v>
      </c>
      <c r="AG499" s="30"/>
      <c r="AH499" s="33">
        <v>1</v>
      </c>
      <c r="AI499" s="34">
        <f t="shared" si="137"/>
        <v>5.99</v>
      </c>
      <c r="AJ499" s="35">
        <v>46281</v>
      </c>
      <c r="AK499" s="30">
        <v>1</v>
      </c>
      <c r="AL499" s="36">
        <f t="shared" si="143"/>
        <v>5.99</v>
      </c>
      <c r="AM499" s="35">
        <v>46281</v>
      </c>
      <c r="AN499" s="30">
        <v>1</v>
      </c>
      <c r="AO499" s="36">
        <f t="shared" si="144"/>
        <v>5.99</v>
      </c>
      <c r="AP499" s="35"/>
      <c r="AQ499" s="30"/>
      <c r="AR499" s="36">
        <f t="shared" si="140"/>
        <v>0</v>
      </c>
      <c r="AS499" s="27" t="s">
        <v>1370</v>
      </c>
      <c r="AT499" s="37">
        <v>46281</v>
      </c>
      <c r="AU499" s="30">
        <v>1</v>
      </c>
      <c r="AV499" s="36">
        <f t="shared" si="141"/>
        <v>5.99</v>
      </c>
      <c r="AW499" s="35">
        <v>46297</v>
      </c>
      <c r="AX499" s="30">
        <v>1</v>
      </c>
      <c r="AY499" s="32">
        <f t="shared" si="142"/>
        <v>5.99</v>
      </c>
      <c r="AZ499" s="30" t="s">
        <v>85</v>
      </c>
      <c r="BA499" s="63" t="s">
        <v>1399</v>
      </c>
      <c r="BB499" s="71"/>
      <c r="BC499" s="71" t="s">
        <v>1365</v>
      </c>
      <c r="BD499" s="71"/>
    </row>
    <row r="500" spans="1:56" x14ac:dyDescent="0.25">
      <c r="A500" s="24">
        <f>IF(B500="","",SUBTOTAL(3,$B$4:B500))</f>
        <v>481</v>
      </c>
      <c r="B500" s="25" t="s">
        <v>77</v>
      </c>
      <c r="C500" s="25" t="str">
        <f t="shared" si="134"/>
        <v>Shipment 2 400</v>
      </c>
      <c r="D500" s="25" t="s">
        <v>1252</v>
      </c>
      <c r="E500" s="25">
        <v>400</v>
      </c>
      <c r="F500" s="25"/>
      <c r="G500" s="65">
        <v>45990</v>
      </c>
      <c r="H500" s="25" t="s">
        <v>1257</v>
      </c>
      <c r="I500" s="25" t="s">
        <v>1254</v>
      </c>
      <c r="J500" s="26" t="s">
        <v>1302</v>
      </c>
      <c r="K500" s="27" t="s">
        <v>1021</v>
      </c>
      <c r="L500" s="28" t="s">
        <v>1023</v>
      </c>
      <c r="M500" s="28" t="s">
        <v>833</v>
      </c>
      <c r="N500" s="25">
        <v>1</v>
      </c>
      <c r="O500" s="29">
        <v>5.99</v>
      </c>
      <c r="P500" s="29">
        <v>5.99</v>
      </c>
      <c r="Q500" s="25" t="s">
        <v>1233</v>
      </c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35"/>
        <v>5.99</v>
      </c>
      <c r="AF500" s="32">
        <f t="shared" si="136"/>
        <v>0</v>
      </c>
      <c r="AG500" s="30"/>
      <c r="AH500" s="33">
        <v>1</v>
      </c>
      <c r="AI500" s="34">
        <f t="shared" si="137"/>
        <v>5.99</v>
      </c>
      <c r="AJ500" s="35">
        <v>46281</v>
      </c>
      <c r="AK500" s="30">
        <v>1</v>
      </c>
      <c r="AL500" s="36">
        <f t="shared" si="143"/>
        <v>5.99</v>
      </c>
      <c r="AM500" s="35">
        <v>46281</v>
      </c>
      <c r="AN500" s="30">
        <v>1</v>
      </c>
      <c r="AO500" s="36">
        <f t="shared" si="144"/>
        <v>5.99</v>
      </c>
      <c r="AP500" s="35"/>
      <c r="AQ500" s="30"/>
      <c r="AR500" s="36">
        <f t="shared" si="140"/>
        <v>0</v>
      </c>
      <c r="AS500" s="27" t="s">
        <v>1370</v>
      </c>
      <c r="AT500" s="37">
        <v>46281</v>
      </c>
      <c r="AU500" s="30">
        <v>1</v>
      </c>
      <c r="AV500" s="36">
        <f t="shared" si="141"/>
        <v>5.99</v>
      </c>
      <c r="AW500" s="35">
        <v>46297</v>
      </c>
      <c r="AX500" s="30">
        <v>1</v>
      </c>
      <c r="AY500" s="32">
        <f t="shared" si="142"/>
        <v>5.99</v>
      </c>
      <c r="AZ500" s="30" t="s">
        <v>85</v>
      </c>
      <c r="BA500" s="63" t="s">
        <v>1399</v>
      </c>
      <c r="BB500" s="71"/>
      <c r="BC500" s="71" t="s">
        <v>1365</v>
      </c>
      <c r="BD500" s="71"/>
    </row>
    <row r="501" spans="1:56" x14ac:dyDescent="0.25">
      <c r="A501" s="24">
        <f>IF(B501="","",SUBTOTAL(3,$B$4:B501))</f>
        <v>482</v>
      </c>
      <c r="B501" s="25" t="s">
        <v>77</v>
      </c>
      <c r="C501" s="25" t="str">
        <f t="shared" si="134"/>
        <v>Shipment 2 400</v>
      </c>
      <c r="D501" s="25" t="s">
        <v>1252</v>
      </c>
      <c r="E501" s="25">
        <v>400</v>
      </c>
      <c r="F501" s="25"/>
      <c r="G501" s="65">
        <v>45990</v>
      </c>
      <c r="H501" s="25" t="s">
        <v>1257</v>
      </c>
      <c r="I501" s="25" t="s">
        <v>1254</v>
      </c>
      <c r="J501" s="26" t="s">
        <v>1302</v>
      </c>
      <c r="K501" s="27" t="s">
        <v>1021</v>
      </c>
      <c r="L501" s="28" t="s">
        <v>1024</v>
      </c>
      <c r="M501" s="28" t="s">
        <v>833</v>
      </c>
      <c r="N501" s="25">
        <v>1</v>
      </c>
      <c r="O501" s="29">
        <v>5.99</v>
      </c>
      <c r="P501" s="29">
        <v>5.99</v>
      </c>
      <c r="Q501" s="25" t="s">
        <v>1233</v>
      </c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35"/>
        <v>5.99</v>
      </c>
      <c r="AF501" s="32">
        <f t="shared" si="136"/>
        <v>0</v>
      </c>
      <c r="AG501" s="30"/>
      <c r="AH501" s="33">
        <v>1</v>
      </c>
      <c r="AI501" s="34">
        <f t="shared" si="137"/>
        <v>5.99</v>
      </c>
      <c r="AJ501" s="35">
        <v>46281</v>
      </c>
      <c r="AK501" s="30">
        <v>1</v>
      </c>
      <c r="AL501" s="36">
        <f t="shared" si="143"/>
        <v>5.99</v>
      </c>
      <c r="AM501" s="35">
        <v>46281</v>
      </c>
      <c r="AN501" s="30">
        <v>1</v>
      </c>
      <c r="AO501" s="36">
        <f t="shared" si="144"/>
        <v>5.99</v>
      </c>
      <c r="AP501" s="35"/>
      <c r="AQ501" s="30"/>
      <c r="AR501" s="36">
        <f t="shared" si="140"/>
        <v>0</v>
      </c>
      <c r="AS501" s="27" t="s">
        <v>1370</v>
      </c>
      <c r="AT501" s="37">
        <v>46281</v>
      </c>
      <c r="AU501" s="30">
        <v>1</v>
      </c>
      <c r="AV501" s="36">
        <f t="shared" si="141"/>
        <v>5.99</v>
      </c>
      <c r="AW501" s="35">
        <v>46297</v>
      </c>
      <c r="AX501" s="30">
        <v>1</v>
      </c>
      <c r="AY501" s="32">
        <f t="shared" si="142"/>
        <v>5.99</v>
      </c>
      <c r="AZ501" s="30" t="s">
        <v>85</v>
      </c>
      <c r="BA501" s="63" t="s">
        <v>1399</v>
      </c>
      <c r="BB501" s="71"/>
      <c r="BC501" s="71" t="s">
        <v>1365</v>
      </c>
      <c r="BD501" s="71"/>
    </row>
    <row r="502" spans="1:56" x14ac:dyDescent="0.25">
      <c r="A502" s="24">
        <f>IF(B502="","",SUBTOTAL(3,$B$4:B502))</f>
        <v>483</v>
      </c>
      <c r="B502" s="25" t="s">
        <v>77</v>
      </c>
      <c r="C502" s="25" t="str">
        <f t="shared" si="134"/>
        <v>Shipment 2 400</v>
      </c>
      <c r="D502" s="25" t="s">
        <v>1252</v>
      </c>
      <c r="E502" s="25">
        <v>400</v>
      </c>
      <c r="F502" s="25"/>
      <c r="G502" s="65">
        <v>45990</v>
      </c>
      <c r="H502" s="25" t="s">
        <v>1257</v>
      </c>
      <c r="I502" s="25" t="s">
        <v>1254</v>
      </c>
      <c r="J502" s="26" t="s">
        <v>1302</v>
      </c>
      <c r="K502" s="27" t="s">
        <v>1021</v>
      </c>
      <c r="L502" s="28" t="s">
        <v>1025</v>
      </c>
      <c r="M502" s="28" t="s">
        <v>833</v>
      </c>
      <c r="N502" s="25">
        <v>1</v>
      </c>
      <c r="O502" s="29">
        <v>5.99</v>
      </c>
      <c r="P502" s="29">
        <v>5.99</v>
      </c>
      <c r="Q502" s="25" t="s">
        <v>1233</v>
      </c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35"/>
        <v>5.99</v>
      </c>
      <c r="AF502" s="32">
        <f t="shared" si="136"/>
        <v>0</v>
      </c>
      <c r="AG502" s="30"/>
      <c r="AH502" s="33">
        <v>1</v>
      </c>
      <c r="AI502" s="34">
        <f t="shared" si="137"/>
        <v>5.99</v>
      </c>
      <c r="AJ502" s="35">
        <v>46281</v>
      </c>
      <c r="AK502" s="30">
        <v>1</v>
      </c>
      <c r="AL502" s="36">
        <f t="shared" si="143"/>
        <v>5.99</v>
      </c>
      <c r="AM502" s="35">
        <v>46281</v>
      </c>
      <c r="AN502" s="30">
        <v>1</v>
      </c>
      <c r="AO502" s="36">
        <f t="shared" si="144"/>
        <v>5.99</v>
      </c>
      <c r="AP502" s="35"/>
      <c r="AQ502" s="30"/>
      <c r="AR502" s="36">
        <f t="shared" si="140"/>
        <v>0</v>
      </c>
      <c r="AS502" s="27" t="s">
        <v>1370</v>
      </c>
      <c r="AT502" s="37">
        <v>46281</v>
      </c>
      <c r="AU502" s="30">
        <v>1</v>
      </c>
      <c r="AV502" s="36">
        <f t="shared" si="141"/>
        <v>5.99</v>
      </c>
      <c r="AW502" s="35">
        <v>46297</v>
      </c>
      <c r="AX502" s="30">
        <v>1</v>
      </c>
      <c r="AY502" s="32">
        <f t="shared" si="142"/>
        <v>5.99</v>
      </c>
      <c r="AZ502" s="30" t="s">
        <v>85</v>
      </c>
      <c r="BA502" s="63" t="s">
        <v>1399</v>
      </c>
      <c r="BB502" s="71"/>
      <c r="BC502" s="71" t="s">
        <v>1365</v>
      </c>
      <c r="BD502" s="71"/>
    </row>
    <row r="503" spans="1:56" x14ac:dyDescent="0.25">
      <c r="A503" s="24">
        <f>IF(B503="","",SUBTOTAL(3,$B$4:B503))</f>
        <v>484</v>
      </c>
      <c r="B503" s="25" t="s">
        <v>77</v>
      </c>
      <c r="C503" s="25" t="str">
        <f t="shared" si="134"/>
        <v>Shipment 2 400</v>
      </c>
      <c r="D503" s="25" t="s">
        <v>1252</v>
      </c>
      <c r="E503" s="25">
        <v>400</v>
      </c>
      <c r="F503" s="25"/>
      <c r="G503" s="65">
        <v>45990</v>
      </c>
      <c r="H503" s="25" t="s">
        <v>1257</v>
      </c>
      <c r="I503" s="25" t="s">
        <v>1254</v>
      </c>
      <c r="J503" s="26" t="s">
        <v>1301</v>
      </c>
      <c r="K503" s="27" t="s">
        <v>1026</v>
      </c>
      <c r="L503" s="28" t="s">
        <v>1027</v>
      </c>
      <c r="M503" s="28" t="s">
        <v>833</v>
      </c>
      <c r="N503" s="25">
        <v>1</v>
      </c>
      <c r="O503" s="29">
        <v>14.8</v>
      </c>
      <c r="P503" s="29">
        <v>14.8</v>
      </c>
      <c r="Q503" s="25" t="s">
        <v>1229</v>
      </c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35"/>
        <v>14.8</v>
      </c>
      <c r="AF503" s="32">
        <f t="shared" si="136"/>
        <v>0</v>
      </c>
      <c r="AG503" s="30"/>
      <c r="AH503" s="33">
        <v>1</v>
      </c>
      <c r="AI503" s="34">
        <f t="shared" si="137"/>
        <v>14.8</v>
      </c>
      <c r="AJ503" s="35">
        <v>46281</v>
      </c>
      <c r="AK503" s="30">
        <v>1</v>
      </c>
      <c r="AL503" s="36">
        <f t="shared" si="143"/>
        <v>14.8</v>
      </c>
      <c r="AM503" s="35">
        <v>46281</v>
      </c>
      <c r="AN503" s="30">
        <v>1</v>
      </c>
      <c r="AO503" s="36">
        <f t="shared" si="144"/>
        <v>14.8</v>
      </c>
      <c r="AP503" s="35"/>
      <c r="AQ503" s="30"/>
      <c r="AR503" s="36">
        <f t="shared" si="140"/>
        <v>0</v>
      </c>
      <c r="AS503" s="27" t="s">
        <v>1399</v>
      </c>
      <c r="AT503" s="37">
        <v>46294</v>
      </c>
      <c r="AU503" s="30">
        <v>1</v>
      </c>
      <c r="AV503" s="36">
        <f t="shared" si="141"/>
        <v>14.8</v>
      </c>
      <c r="AW503" s="35">
        <v>46297</v>
      </c>
      <c r="AX503" s="30">
        <v>1</v>
      </c>
      <c r="AY503" s="32">
        <f t="shared" si="142"/>
        <v>14.8</v>
      </c>
      <c r="AZ503" s="30" t="s">
        <v>85</v>
      </c>
      <c r="BA503" s="63" t="s">
        <v>1400</v>
      </c>
      <c r="BB503" s="71" t="e">
        <f>SUMIFS([1]Form!$F$9:$F$67,[1]Form!$K$9:$K$67,L503)</f>
        <v>#VALUE!</v>
      </c>
      <c r="BC503" s="71" t="s">
        <v>1027</v>
      </c>
      <c r="BD503" s="71"/>
    </row>
    <row r="504" spans="1:56" x14ac:dyDescent="0.25">
      <c r="A504" s="24">
        <f>IF(B504="","",SUBTOTAL(3,$B$4:B504))</f>
        <v>485</v>
      </c>
      <c r="B504" s="25" t="s">
        <v>77</v>
      </c>
      <c r="C504" s="25" t="str">
        <f t="shared" si="134"/>
        <v>Shipment 2 400</v>
      </c>
      <c r="D504" s="25" t="s">
        <v>1252</v>
      </c>
      <c r="E504" s="25">
        <v>400</v>
      </c>
      <c r="F504" s="25"/>
      <c r="G504" s="65">
        <v>45990</v>
      </c>
      <c r="H504" s="25" t="s">
        <v>1257</v>
      </c>
      <c r="I504" s="25" t="s">
        <v>1254</v>
      </c>
      <c r="J504" s="26" t="s">
        <v>1301</v>
      </c>
      <c r="K504" s="27" t="s">
        <v>1028</v>
      </c>
      <c r="L504" s="28" t="s">
        <v>1029</v>
      </c>
      <c r="M504" s="28" t="s">
        <v>833</v>
      </c>
      <c r="N504" s="25">
        <v>1</v>
      </c>
      <c r="O504" s="29">
        <v>5.84</v>
      </c>
      <c r="P504" s="29">
        <v>5.84</v>
      </c>
      <c r="Q504" s="25" t="s">
        <v>1234</v>
      </c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35"/>
        <v>5.84</v>
      </c>
      <c r="AF504" s="32">
        <f t="shared" si="136"/>
        <v>0</v>
      </c>
      <c r="AG504" s="30"/>
      <c r="AH504" s="33">
        <v>1</v>
      </c>
      <c r="AI504" s="34">
        <f t="shared" si="137"/>
        <v>5.84</v>
      </c>
      <c r="AJ504" s="35">
        <v>46281</v>
      </c>
      <c r="AK504" s="30">
        <v>1</v>
      </c>
      <c r="AL504" s="36">
        <f t="shared" si="143"/>
        <v>5.84</v>
      </c>
      <c r="AM504" s="35">
        <v>46281</v>
      </c>
      <c r="AN504" s="30">
        <v>1</v>
      </c>
      <c r="AO504" s="36">
        <f t="shared" si="144"/>
        <v>5.84</v>
      </c>
      <c r="AP504" s="35"/>
      <c r="AQ504" s="30"/>
      <c r="AR504" s="36">
        <f t="shared" si="140"/>
        <v>0</v>
      </c>
      <c r="AS504" s="27" t="s">
        <v>1399</v>
      </c>
      <c r="AT504" s="37">
        <v>46294</v>
      </c>
      <c r="AU504" s="30">
        <v>1</v>
      </c>
      <c r="AV504" s="36">
        <f t="shared" si="141"/>
        <v>5.84</v>
      </c>
      <c r="AW504" s="35">
        <v>46297</v>
      </c>
      <c r="AX504" s="30">
        <v>1</v>
      </c>
      <c r="AY504" s="32">
        <f t="shared" si="142"/>
        <v>5.84</v>
      </c>
      <c r="AZ504" s="30" t="s">
        <v>85</v>
      </c>
      <c r="BA504" s="63" t="s">
        <v>1400</v>
      </c>
      <c r="BB504" s="71" t="e">
        <f>SUMIFS([1]Form!$F$9:$F$67,[1]Form!$K$9:$K$67,L504)</f>
        <v>#VALUE!</v>
      </c>
      <c r="BC504" s="71" t="s">
        <v>1029</v>
      </c>
      <c r="BD504" s="71"/>
    </row>
    <row r="505" spans="1:56" x14ac:dyDescent="0.25">
      <c r="A505" s="24">
        <f>IF(B505="","",SUBTOTAL(3,$B$4:B505))</f>
        <v>486</v>
      </c>
      <c r="B505" s="25" t="s">
        <v>77</v>
      </c>
      <c r="C505" s="25" t="str">
        <f t="shared" si="134"/>
        <v>Shipment 2 400</v>
      </c>
      <c r="D505" s="25" t="s">
        <v>1252</v>
      </c>
      <c r="E505" s="25">
        <v>400</v>
      </c>
      <c r="F505" s="25"/>
      <c r="G505" s="65">
        <v>45990</v>
      </c>
      <c r="H505" s="25" t="s">
        <v>1257</v>
      </c>
      <c r="I505" s="25" t="s">
        <v>1254</v>
      </c>
      <c r="J505" s="26" t="s">
        <v>1301</v>
      </c>
      <c r="K505" s="27" t="s">
        <v>1030</v>
      </c>
      <c r="L505" s="28" t="s">
        <v>1031</v>
      </c>
      <c r="M505" s="28" t="s">
        <v>833</v>
      </c>
      <c r="N505" s="25">
        <v>1</v>
      </c>
      <c r="O505" s="29">
        <v>6.74</v>
      </c>
      <c r="P505" s="29">
        <v>6.74</v>
      </c>
      <c r="Q505" s="25" t="s">
        <v>1235</v>
      </c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35"/>
        <v>6.7400000000000011</v>
      </c>
      <c r="AF505" s="32">
        <f t="shared" si="136"/>
        <v>0</v>
      </c>
      <c r="AG505" s="30"/>
      <c r="AH505" s="33">
        <v>1</v>
      </c>
      <c r="AI505" s="34">
        <f t="shared" si="137"/>
        <v>6.74</v>
      </c>
      <c r="AJ505" s="35">
        <v>46281</v>
      </c>
      <c r="AK505" s="30">
        <v>1</v>
      </c>
      <c r="AL505" s="36">
        <f t="shared" si="143"/>
        <v>6.74</v>
      </c>
      <c r="AM505" s="35">
        <v>46281</v>
      </c>
      <c r="AN505" s="30">
        <v>1</v>
      </c>
      <c r="AO505" s="36">
        <f t="shared" si="144"/>
        <v>6.74</v>
      </c>
      <c r="AP505" s="35"/>
      <c r="AQ505" s="30"/>
      <c r="AR505" s="36">
        <f t="shared" si="140"/>
        <v>0</v>
      </c>
      <c r="AS505" s="27" t="s">
        <v>1399</v>
      </c>
      <c r="AT505" s="37">
        <v>46294</v>
      </c>
      <c r="AU505" s="30">
        <v>1</v>
      </c>
      <c r="AV505" s="36">
        <f t="shared" si="141"/>
        <v>6.74</v>
      </c>
      <c r="AW505" s="35">
        <v>46297</v>
      </c>
      <c r="AX505" s="30">
        <v>1</v>
      </c>
      <c r="AY505" s="32">
        <f t="shared" si="142"/>
        <v>6.74</v>
      </c>
      <c r="AZ505" s="30" t="s">
        <v>85</v>
      </c>
      <c r="BA505" s="63" t="s">
        <v>1400</v>
      </c>
      <c r="BB505" s="71" t="e">
        <f>SUMIFS([1]Form!$F$9:$F$67,[1]Form!$K$9:$K$67,L505)</f>
        <v>#VALUE!</v>
      </c>
      <c r="BC505" s="71" t="s">
        <v>1031</v>
      </c>
      <c r="BD505" s="71"/>
    </row>
    <row r="506" spans="1:56" x14ac:dyDescent="0.25">
      <c r="A506" s="24">
        <f>IF(B506="","",SUBTOTAL(3,$B$4:B506))</f>
        <v>487</v>
      </c>
      <c r="B506" s="25" t="s">
        <v>77</v>
      </c>
      <c r="C506" s="25" t="str">
        <f t="shared" si="134"/>
        <v>Shipment 2 400</v>
      </c>
      <c r="D506" s="25" t="s">
        <v>1252</v>
      </c>
      <c r="E506" s="25">
        <v>400</v>
      </c>
      <c r="F506" s="25"/>
      <c r="G506" s="65">
        <v>45990</v>
      </c>
      <c r="H506" s="25" t="s">
        <v>1257</v>
      </c>
      <c r="I506" s="25" t="s">
        <v>1254</v>
      </c>
      <c r="J506" s="26" t="s">
        <v>1302</v>
      </c>
      <c r="K506" s="27" t="s">
        <v>1032</v>
      </c>
      <c r="L506" s="28" t="s">
        <v>1033</v>
      </c>
      <c r="M506" s="28" t="s">
        <v>833</v>
      </c>
      <c r="N506" s="25">
        <v>1</v>
      </c>
      <c r="O506" s="29">
        <v>9.75</v>
      </c>
      <c r="P506" s="29">
        <v>9.75</v>
      </c>
      <c r="Q506" s="25" t="s">
        <v>1236</v>
      </c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35"/>
        <v>9.75</v>
      </c>
      <c r="AF506" s="32">
        <f t="shared" si="136"/>
        <v>0</v>
      </c>
      <c r="AG506" s="30"/>
      <c r="AH506" s="33">
        <v>1</v>
      </c>
      <c r="AI506" s="34">
        <f t="shared" si="137"/>
        <v>9.75</v>
      </c>
      <c r="AJ506" s="35">
        <v>46281</v>
      </c>
      <c r="AK506" s="30">
        <v>1</v>
      </c>
      <c r="AL506" s="36">
        <f t="shared" si="143"/>
        <v>9.75</v>
      </c>
      <c r="AM506" s="35">
        <v>46281</v>
      </c>
      <c r="AN506" s="30">
        <v>1</v>
      </c>
      <c r="AO506" s="36">
        <f t="shared" si="144"/>
        <v>9.75</v>
      </c>
      <c r="AP506" s="35"/>
      <c r="AQ506" s="30"/>
      <c r="AR506" s="36">
        <f t="shared" si="140"/>
        <v>0</v>
      </c>
      <c r="AS506" s="27" t="s">
        <v>1370</v>
      </c>
      <c r="AT506" s="37">
        <v>46281</v>
      </c>
      <c r="AU506" s="30">
        <v>1</v>
      </c>
      <c r="AV506" s="36">
        <f t="shared" si="141"/>
        <v>9.75</v>
      </c>
      <c r="AW506" s="35">
        <v>46297</v>
      </c>
      <c r="AX506" s="30">
        <v>1</v>
      </c>
      <c r="AY506" s="32">
        <f t="shared" si="142"/>
        <v>9.75</v>
      </c>
      <c r="AZ506" s="30" t="s">
        <v>85</v>
      </c>
      <c r="BA506" s="63" t="s">
        <v>1399</v>
      </c>
      <c r="BB506" s="71"/>
      <c r="BC506" s="71" t="s">
        <v>1033</v>
      </c>
      <c r="BD506" s="71"/>
    </row>
    <row r="507" spans="1:56" x14ac:dyDescent="0.25">
      <c r="A507" s="24">
        <f>IF(B507="","",SUBTOTAL(3,$B$4:B507))</f>
        <v>488</v>
      </c>
      <c r="B507" s="25" t="s">
        <v>77</v>
      </c>
      <c r="C507" s="25" t="str">
        <f t="shared" si="134"/>
        <v>Shipment 2 400</v>
      </c>
      <c r="D507" s="25" t="s">
        <v>1252</v>
      </c>
      <c r="E507" s="25">
        <v>400</v>
      </c>
      <c r="F507" s="25"/>
      <c r="G507" s="65">
        <v>45990</v>
      </c>
      <c r="H507" s="25" t="s">
        <v>1257</v>
      </c>
      <c r="I507" s="25" t="s">
        <v>1254</v>
      </c>
      <c r="J507" s="26" t="s">
        <v>1302</v>
      </c>
      <c r="K507" s="27" t="s">
        <v>1034</v>
      </c>
      <c r="L507" s="28" t="s">
        <v>1035</v>
      </c>
      <c r="M507" s="28" t="s">
        <v>833</v>
      </c>
      <c r="N507" s="25">
        <v>1</v>
      </c>
      <c r="O507" s="29">
        <v>7.51</v>
      </c>
      <c r="P507" s="29">
        <v>7.51</v>
      </c>
      <c r="Q507" s="25" t="s">
        <v>1237</v>
      </c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35"/>
        <v>7.5100000000000007</v>
      </c>
      <c r="AF507" s="32">
        <f t="shared" si="136"/>
        <v>0</v>
      </c>
      <c r="AG507" s="30"/>
      <c r="AH507" s="33">
        <v>1</v>
      </c>
      <c r="AI507" s="34">
        <f t="shared" si="137"/>
        <v>7.51</v>
      </c>
      <c r="AJ507" s="35">
        <v>46281</v>
      </c>
      <c r="AK507" s="30">
        <v>1</v>
      </c>
      <c r="AL507" s="36">
        <f t="shared" si="143"/>
        <v>7.51</v>
      </c>
      <c r="AM507" s="35">
        <v>46281</v>
      </c>
      <c r="AN507" s="30">
        <v>1</v>
      </c>
      <c r="AO507" s="36">
        <f t="shared" si="144"/>
        <v>7.51</v>
      </c>
      <c r="AP507" s="35"/>
      <c r="AQ507" s="30"/>
      <c r="AR507" s="36">
        <f t="shared" si="140"/>
        <v>0</v>
      </c>
      <c r="AS507" s="27" t="s">
        <v>1370</v>
      </c>
      <c r="AT507" s="37">
        <v>46281</v>
      </c>
      <c r="AU507" s="30">
        <v>1</v>
      </c>
      <c r="AV507" s="36">
        <f t="shared" si="141"/>
        <v>7.51</v>
      </c>
      <c r="AW507" s="35">
        <v>46297</v>
      </c>
      <c r="AX507" s="30">
        <v>1</v>
      </c>
      <c r="AY507" s="32">
        <f t="shared" si="142"/>
        <v>7.51</v>
      </c>
      <c r="AZ507" s="30" t="s">
        <v>85</v>
      </c>
      <c r="BA507" s="63" t="s">
        <v>1399</v>
      </c>
      <c r="BB507" s="71"/>
      <c r="BC507" s="71" t="s">
        <v>1035</v>
      </c>
      <c r="BD507" s="71"/>
    </row>
    <row r="508" spans="1:56" x14ac:dyDescent="0.25">
      <c r="A508" s="24">
        <f>IF(B508="","",SUBTOTAL(3,$B$4:B508))</f>
        <v>489</v>
      </c>
      <c r="B508" s="25" t="s">
        <v>77</v>
      </c>
      <c r="C508" s="25" t="str">
        <f t="shared" ref="C508:C554" si="146">D508&amp;" "&amp;E508</f>
        <v>Shipment 2 400</v>
      </c>
      <c r="D508" s="25" t="s">
        <v>1252</v>
      </c>
      <c r="E508" s="25">
        <v>400</v>
      </c>
      <c r="F508" s="25"/>
      <c r="G508" s="65">
        <v>45990</v>
      </c>
      <c r="H508" s="25" t="s">
        <v>1257</v>
      </c>
      <c r="I508" s="25" t="s">
        <v>1254</v>
      </c>
      <c r="J508" s="26" t="s">
        <v>1302</v>
      </c>
      <c r="K508" s="27" t="s">
        <v>1036</v>
      </c>
      <c r="L508" s="28" t="s">
        <v>1037</v>
      </c>
      <c r="M508" s="28" t="s">
        <v>833</v>
      </c>
      <c r="N508" s="25">
        <v>1</v>
      </c>
      <c r="O508" s="29">
        <v>7.51</v>
      </c>
      <c r="P508" s="29">
        <v>7.51</v>
      </c>
      <c r="Q508" s="25" t="s">
        <v>1237</v>
      </c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35"/>
        <v>7.5100000000000007</v>
      </c>
      <c r="AF508" s="32">
        <f t="shared" si="136"/>
        <v>0</v>
      </c>
      <c r="AG508" s="30"/>
      <c r="AH508" s="33">
        <v>1</v>
      </c>
      <c r="AI508" s="34">
        <f t="shared" si="137"/>
        <v>7.51</v>
      </c>
      <c r="AJ508" s="35">
        <v>46281</v>
      </c>
      <c r="AK508" s="30">
        <v>1</v>
      </c>
      <c r="AL508" s="36">
        <f t="shared" si="143"/>
        <v>7.51</v>
      </c>
      <c r="AM508" s="35">
        <v>46281</v>
      </c>
      <c r="AN508" s="30">
        <v>1</v>
      </c>
      <c r="AO508" s="36">
        <f t="shared" si="144"/>
        <v>7.51</v>
      </c>
      <c r="AP508" s="35"/>
      <c r="AQ508" s="30"/>
      <c r="AR508" s="36">
        <f t="shared" si="140"/>
        <v>0</v>
      </c>
      <c r="AS508" s="27" t="s">
        <v>1370</v>
      </c>
      <c r="AT508" s="37">
        <v>46281</v>
      </c>
      <c r="AU508" s="30">
        <v>1</v>
      </c>
      <c r="AV508" s="36">
        <f t="shared" si="141"/>
        <v>7.51</v>
      </c>
      <c r="AW508" s="35">
        <v>46297</v>
      </c>
      <c r="AX508" s="30">
        <v>1</v>
      </c>
      <c r="AY508" s="32">
        <f t="shared" si="142"/>
        <v>7.51</v>
      </c>
      <c r="AZ508" s="30" t="s">
        <v>85</v>
      </c>
      <c r="BA508" s="63" t="s">
        <v>1399</v>
      </c>
      <c r="BB508" s="71"/>
      <c r="BC508" s="71" t="s">
        <v>1037</v>
      </c>
      <c r="BD508" s="71"/>
    </row>
    <row r="509" spans="1:56" x14ac:dyDescent="0.25">
      <c r="A509" s="24">
        <f>IF(B509="","",SUBTOTAL(3,$B$4:B509))</f>
        <v>490</v>
      </c>
      <c r="B509" s="25" t="s">
        <v>77</v>
      </c>
      <c r="C509" s="25" t="str">
        <f t="shared" si="146"/>
        <v>Shipment 2 400</v>
      </c>
      <c r="D509" s="25" t="s">
        <v>1252</v>
      </c>
      <c r="E509" s="25">
        <v>400</v>
      </c>
      <c r="F509" s="25"/>
      <c r="G509" s="65">
        <v>45990</v>
      </c>
      <c r="H509" s="25" t="s">
        <v>1257</v>
      </c>
      <c r="I509" s="25" t="s">
        <v>1254</v>
      </c>
      <c r="J509" s="26" t="s">
        <v>1301</v>
      </c>
      <c r="K509" s="27" t="s">
        <v>1038</v>
      </c>
      <c r="L509" s="28" t="s">
        <v>1039</v>
      </c>
      <c r="M509" s="28" t="s">
        <v>833</v>
      </c>
      <c r="N509" s="25">
        <v>1</v>
      </c>
      <c r="O509" s="29">
        <v>6.12</v>
      </c>
      <c r="P509" s="29">
        <v>6.12</v>
      </c>
      <c r="Q509" s="25" t="s">
        <v>1238</v>
      </c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35"/>
        <v>6.120000000000001</v>
      </c>
      <c r="AF509" s="32">
        <f t="shared" si="136"/>
        <v>0</v>
      </c>
      <c r="AG509" s="30"/>
      <c r="AH509" s="33">
        <v>1</v>
      </c>
      <c r="AI509" s="34">
        <f t="shared" si="137"/>
        <v>6.12</v>
      </c>
      <c r="AJ509" s="35">
        <v>46281</v>
      </c>
      <c r="AK509" s="30">
        <v>1</v>
      </c>
      <c r="AL509" s="36">
        <f t="shared" si="143"/>
        <v>6.12</v>
      </c>
      <c r="AM509" s="35">
        <v>46281</v>
      </c>
      <c r="AN509" s="30">
        <v>1</v>
      </c>
      <c r="AO509" s="36">
        <f t="shared" si="144"/>
        <v>6.12</v>
      </c>
      <c r="AP509" s="35"/>
      <c r="AQ509" s="30"/>
      <c r="AR509" s="36">
        <f t="shared" si="140"/>
        <v>0</v>
      </c>
      <c r="AS509" s="27" t="s">
        <v>1399</v>
      </c>
      <c r="AT509" s="37">
        <v>46294</v>
      </c>
      <c r="AU509" s="30">
        <v>1</v>
      </c>
      <c r="AV509" s="36">
        <f t="shared" si="141"/>
        <v>6.12</v>
      </c>
      <c r="AW509" s="35">
        <v>46297</v>
      </c>
      <c r="AX509" s="30">
        <v>1</v>
      </c>
      <c r="AY509" s="32">
        <f t="shared" si="142"/>
        <v>6.12</v>
      </c>
      <c r="AZ509" s="30" t="s">
        <v>85</v>
      </c>
      <c r="BA509" s="63" t="s">
        <v>1400</v>
      </c>
      <c r="BB509" s="71" t="e">
        <f>SUMIFS([1]Form!$F$9:$F$67,[1]Form!$K$9:$K$67,L509)</f>
        <v>#VALUE!</v>
      </c>
      <c r="BC509" s="71" t="s">
        <v>1039</v>
      </c>
      <c r="BD509" s="71"/>
    </row>
    <row r="510" spans="1:56" x14ac:dyDescent="0.25">
      <c r="A510" s="24">
        <f>IF(B510="","",SUBTOTAL(3,$B$4:B510))</f>
        <v>491</v>
      </c>
      <c r="B510" s="25" t="s">
        <v>77</v>
      </c>
      <c r="C510" s="25" t="str">
        <f t="shared" si="146"/>
        <v>Shipment 2 400</v>
      </c>
      <c r="D510" s="25" t="s">
        <v>1252</v>
      </c>
      <c r="E510" s="25">
        <v>400</v>
      </c>
      <c r="F510" s="25"/>
      <c r="G510" s="65">
        <v>45990</v>
      </c>
      <c r="H510" s="25" t="s">
        <v>1257</v>
      </c>
      <c r="I510" s="25" t="s">
        <v>1254</v>
      </c>
      <c r="J510" s="26" t="s">
        <v>1301</v>
      </c>
      <c r="K510" s="27" t="s">
        <v>1040</v>
      </c>
      <c r="L510" s="28" t="s">
        <v>1041</v>
      </c>
      <c r="M510" s="28" t="s">
        <v>833</v>
      </c>
      <c r="N510" s="25">
        <v>1</v>
      </c>
      <c r="O510" s="29">
        <v>6.12</v>
      </c>
      <c r="P510" s="29">
        <v>6.12</v>
      </c>
      <c r="Q510" s="25" t="s">
        <v>1239</v>
      </c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35"/>
        <v>6.120000000000001</v>
      </c>
      <c r="AF510" s="32">
        <f t="shared" si="136"/>
        <v>0</v>
      </c>
      <c r="AG510" s="30"/>
      <c r="AH510" s="33">
        <v>1</v>
      </c>
      <c r="AI510" s="34">
        <f t="shared" si="137"/>
        <v>6.12</v>
      </c>
      <c r="AJ510" s="35">
        <v>46281</v>
      </c>
      <c r="AK510" s="30">
        <v>1</v>
      </c>
      <c r="AL510" s="36">
        <f t="shared" si="143"/>
        <v>6.12</v>
      </c>
      <c r="AM510" s="35">
        <v>46281</v>
      </c>
      <c r="AN510" s="30">
        <v>1</v>
      </c>
      <c r="AO510" s="36">
        <f t="shared" si="144"/>
        <v>6.12</v>
      </c>
      <c r="AP510" s="35"/>
      <c r="AQ510" s="30"/>
      <c r="AR510" s="36">
        <f t="shared" si="140"/>
        <v>0</v>
      </c>
      <c r="AS510" s="27" t="s">
        <v>1399</v>
      </c>
      <c r="AT510" s="37">
        <v>46294</v>
      </c>
      <c r="AU510" s="30">
        <v>1</v>
      </c>
      <c r="AV510" s="36">
        <f t="shared" si="141"/>
        <v>6.12</v>
      </c>
      <c r="AW510" s="35">
        <v>46297</v>
      </c>
      <c r="AX510" s="30">
        <v>1</v>
      </c>
      <c r="AY510" s="32">
        <f t="shared" si="142"/>
        <v>6.12</v>
      </c>
      <c r="AZ510" s="30" t="s">
        <v>85</v>
      </c>
      <c r="BA510" s="63" t="s">
        <v>1400</v>
      </c>
      <c r="BB510" s="71" t="e">
        <f>SUMIFS([1]Form!$F$9:$F$67,[1]Form!$K$9:$K$67,L510)</f>
        <v>#VALUE!</v>
      </c>
      <c r="BC510" s="71" t="s">
        <v>1041</v>
      </c>
      <c r="BD510" s="71"/>
    </row>
    <row r="511" spans="1:56" x14ac:dyDescent="0.25">
      <c r="A511" s="24">
        <f>IF(B511="","",SUBTOTAL(3,$B$4:B511))</f>
        <v>492</v>
      </c>
      <c r="B511" s="25" t="s">
        <v>77</v>
      </c>
      <c r="C511" s="25" t="str">
        <f t="shared" si="146"/>
        <v>Shipment 2 400</v>
      </c>
      <c r="D511" s="25" t="s">
        <v>1252</v>
      </c>
      <c r="E511" s="25">
        <v>400</v>
      </c>
      <c r="F511" s="25"/>
      <c r="G511" s="65">
        <v>45990</v>
      </c>
      <c r="H511" s="25" t="s">
        <v>1257</v>
      </c>
      <c r="I511" s="25" t="s">
        <v>1254</v>
      </c>
      <c r="J511" s="26" t="s">
        <v>1302</v>
      </c>
      <c r="K511" s="27" t="s">
        <v>1042</v>
      </c>
      <c r="L511" s="28" t="s">
        <v>1043</v>
      </c>
      <c r="M511" s="28" t="s">
        <v>833</v>
      </c>
      <c r="N511" s="25">
        <v>1</v>
      </c>
      <c r="O511" s="29">
        <v>12.95</v>
      </c>
      <c r="P511" s="29">
        <v>12.95</v>
      </c>
      <c r="Q511" s="25" t="s">
        <v>1217</v>
      </c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35"/>
        <v>12.95</v>
      </c>
      <c r="AF511" s="32">
        <f t="shared" si="136"/>
        <v>0</v>
      </c>
      <c r="AG511" s="30"/>
      <c r="AH511" s="33">
        <v>1</v>
      </c>
      <c r="AI511" s="34">
        <f t="shared" si="137"/>
        <v>12.95</v>
      </c>
      <c r="AJ511" s="35">
        <v>46281</v>
      </c>
      <c r="AK511" s="30">
        <v>1</v>
      </c>
      <c r="AL511" s="36">
        <f t="shared" si="143"/>
        <v>12.95</v>
      </c>
      <c r="AM511" s="35">
        <v>46281</v>
      </c>
      <c r="AN511" s="30">
        <v>1</v>
      </c>
      <c r="AO511" s="36">
        <f t="shared" si="144"/>
        <v>12.95</v>
      </c>
      <c r="AP511" s="35"/>
      <c r="AQ511" s="30"/>
      <c r="AR511" s="36">
        <f t="shared" si="140"/>
        <v>0</v>
      </c>
      <c r="AS511" s="27" t="s">
        <v>1370</v>
      </c>
      <c r="AT511" s="37">
        <v>46281</v>
      </c>
      <c r="AU511" s="30">
        <v>1</v>
      </c>
      <c r="AV511" s="36">
        <f t="shared" si="141"/>
        <v>12.95</v>
      </c>
      <c r="AW511" s="35">
        <v>46297</v>
      </c>
      <c r="AX511" s="30">
        <v>1</v>
      </c>
      <c r="AY511" s="32">
        <f t="shared" si="142"/>
        <v>12.95</v>
      </c>
      <c r="AZ511" s="30" t="s">
        <v>85</v>
      </c>
      <c r="BA511" s="63" t="s">
        <v>1399</v>
      </c>
      <c r="BB511" s="71"/>
      <c r="BC511" s="71" t="s">
        <v>1043</v>
      </c>
      <c r="BD511" s="71"/>
    </row>
    <row r="512" spans="1:56" x14ac:dyDescent="0.25">
      <c r="A512" s="24">
        <f>IF(B512="","",SUBTOTAL(3,$B$4:B512))</f>
        <v>493</v>
      </c>
      <c r="B512" s="25" t="s">
        <v>77</v>
      </c>
      <c r="C512" s="25" t="str">
        <f t="shared" si="146"/>
        <v>Shipment 2 400</v>
      </c>
      <c r="D512" s="25" t="s">
        <v>1252</v>
      </c>
      <c r="E512" s="25">
        <v>400</v>
      </c>
      <c r="F512" s="25"/>
      <c r="G512" s="65">
        <v>45990</v>
      </c>
      <c r="H512" s="25" t="s">
        <v>1257</v>
      </c>
      <c r="I512" s="25" t="s">
        <v>1254</v>
      </c>
      <c r="J512" s="26" t="s">
        <v>1302</v>
      </c>
      <c r="K512" s="27" t="s">
        <v>1044</v>
      </c>
      <c r="L512" s="28" t="s">
        <v>1045</v>
      </c>
      <c r="M512" s="28" t="s">
        <v>833</v>
      </c>
      <c r="N512" s="25">
        <v>1</v>
      </c>
      <c r="O512" s="29">
        <v>3.92</v>
      </c>
      <c r="P512" s="29">
        <v>3.92</v>
      </c>
      <c r="Q512" s="25" t="s">
        <v>1240</v>
      </c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135"/>
        <v>3.92</v>
      </c>
      <c r="AF512" s="32">
        <f t="shared" si="136"/>
        <v>0</v>
      </c>
      <c r="AG512" s="30"/>
      <c r="AH512" s="33">
        <v>1</v>
      </c>
      <c r="AI512" s="34">
        <f t="shared" si="137"/>
        <v>3.92</v>
      </c>
      <c r="AJ512" s="35">
        <v>46281</v>
      </c>
      <c r="AK512" s="30">
        <v>1</v>
      </c>
      <c r="AL512" s="36">
        <f t="shared" si="143"/>
        <v>3.92</v>
      </c>
      <c r="AM512" s="35">
        <v>46281</v>
      </c>
      <c r="AN512" s="30">
        <v>1</v>
      </c>
      <c r="AO512" s="36">
        <f t="shared" si="144"/>
        <v>3.92</v>
      </c>
      <c r="AP512" s="35"/>
      <c r="AQ512" s="30"/>
      <c r="AR512" s="36">
        <f t="shared" si="140"/>
        <v>0</v>
      </c>
      <c r="AS512" s="27" t="s">
        <v>1370</v>
      </c>
      <c r="AT512" s="37">
        <v>46281</v>
      </c>
      <c r="AU512" s="30">
        <v>1</v>
      </c>
      <c r="AV512" s="36">
        <f t="shared" si="141"/>
        <v>3.92</v>
      </c>
      <c r="AW512" s="35">
        <v>46297</v>
      </c>
      <c r="AX512" s="30">
        <v>1</v>
      </c>
      <c r="AY512" s="32">
        <f t="shared" si="142"/>
        <v>3.92</v>
      </c>
      <c r="AZ512" s="30" t="s">
        <v>85</v>
      </c>
      <c r="BA512" s="63" t="s">
        <v>1399</v>
      </c>
      <c r="BB512" s="71"/>
      <c r="BC512" s="71" t="s">
        <v>1045</v>
      </c>
      <c r="BD512" s="71"/>
    </row>
    <row r="513" spans="1:56" x14ac:dyDescent="0.25">
      <c r="A513" s="24">
        <f>IF(B513="","",SUBTOTAL(3,$B$4:B513))</f>
        <v>494</v>
      </c>
      <c r="B513" s="25" t="s">
        <v>77</v>
      </c>
      <c r="C513" s="25" t="str">
        <f t="shared" si="146"/>
        <v>Shipment 2 400</v>
      </c>
      <c r="D513" s="25" t="s">
        <v>1252</v>
      </c>
      <c r="E513" s="25">
        <v>400</v>
      </c>
      <c r="F513" s="25"/>
      <c r="G513" s="65">
        <v>45990</v>
      </c>
      <c r="H513" s="25" t="s">
        <v>1257</v>
      </c>
      <c r="I513" s="25" t="s">
        <v>1254</v>
      </c>
      <c r="J513" s="26" t="s">
        <v>1302</v>
      </c>
      <c r="K513" s="27" t="s">
        <v>1046</v>
      </c>
      <c r="L513" s="28" t="s">
        <v>1047</v>
      </c>
      <c r="M513" s="28" t="s">
        <v>833</v>
      </c>
      <c r="N513" s="25">
        <v>1</v>
      </c>
      <c r="O513" s="29">
        <v>3.92</v>
      </c>
      <c r="P513" s="29">
        <v>3.92</v>
      </c>
      <c r="Q513" s="25" t="s">
        <v>1240</v>
      </c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135"/>
        <v>3.92</v>
      </c>
      <c r="AF513" s="32">
        <f t="shared" si="136"/>
        <v>0</v>
      </c>
      <c r="AG513" s="30"/>
      <c r="AH513" s="33">
        <v>1</v>
      </c>
      <c r="AI513" s="34">
        <f t="shared" si="137"/>
        <v>3.92</v>
      </c>
      <c r="AJ513" s="35">
        <v>46281</v>
      </c>
      <c r="AK513" s="30">
        <v>1</v>
      </c>
      <c r="AL513" s="36">
        <f t="shared" si="143"/>
        <v>3.92</v>
      </c>
      <c r="AM513" s="35">
        <v>46281</v>
      </c>
      <c r="AN513" s="30">
        <v>1</v>
      </c>
      <c r="AO513" s="36">
        <f t="shared" si="144"/>
        <v>3.92</v>
      </c>
      <c r="AP513" s="35"/>
      <c r="AQ513" s="30"/>
      <c r="AR513" s="36">
        <f t="shared" si="140"/>
        <v>0</v>
      </c>
      <c r="AS513" s="27" t="s">
        <v>1370</v>
      </c>
      <c r="AT513" s="37">
        <v>46281</v>
      </c>
      <c r="AU513" s="30">
        <v>1</v>
      </c>
      <c r="AV513" s="36">
        <f t="shared" si="141"/>
        <v>3.92</v>
      </c>
      <c r="AW513" s="35">
        <v>46297</v>
      </c>
      <c r="AX513" s="30">
        <v>1</v>
      </c>
      <c r="AY513" s="32">
        <f t="shared" si="142"/>
        <v>3.92</v>
      </c>
      <c r="AZ513" s="30" t="s">
        <v>85</v>
      </c>
      <c r="BA513" s="63" t="s">
        <v>1399</v>
      </c>
      <c r="BB513" s="71"/>
      <c r="BC513" s="71" t="s">
        <v>1047</v>
      </c>
      <c r="BD513" s="71"/>
    </row>
    <row r="514" spans="1:56" x14ac:dyDescent="0.25">
      <c r="A514" s="24">
        <f>IF(B514="","",SUBTOTAL(3,$B$4:B514))</f>
        <v>495</v>
      </c>
      <c r="B514" s="25" t="s">
        <v>77</v>
      </c>
      <c r="C514" s="25" t="str">
        <f t="shared" si="146"/>
        <v>Shipment 2 400</v>
      </c>
      <c r="D514" s="25" t="s">
        <v>1252</v>
      </c>
      <c r="E514" s="25">
        <v>400</v>
      </c>
      <c r="F514" s="25"/>
      <c r="G514" s="65">
        <v>45990</v>
      </c>
      <c r="H514" s="25" t="s">
        <v>1257</v>
      </c>
      <c r="I514" s="25" t="s">
        <v>1254</v>
      </c>
      <c r="J514" s="26" t="s">
        <v>1302</v>
      </c>
      <c r="K514" s="27" t="s">
        <v>1048</v>
      </c>
      <c r="L514" s="28" t="s">
        <v>1049</v>
      </c>
      <c r="M514" s="28" t="s">
        <v>833</v>
      </c>
      <c r="N514" s="25">
        <v>1</v>
      </c>
      <c r="O514" s="29">
        <v>3.32</v>
      </c>
      <c r="P514" s="29">
        <v>3.32</v>
      </c>
      <c r="Q514" s="25" t="s">
        <v>1241</v>
      </c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135"/>
        <v>3.32</v>
      </c>
      <c r="AF514" s="32">
        <f t="shared" si="136"/>
        <v>0</v>
      </c>
      <c r="AG514" s="30"/>
      <c r="AH514" s="33">
        <v>1</v>
      </c>
      <c r="AI514" s="34">
        <f t="shared" si="137"/>
        <v>3.32</v>
      </c>
      <c r="AJ514" s="35">
        <v>46281</v>
      </c>
      <c r="AK514" s="30">
        <v>1</v>
      </c>
      <c r="AL514" s="36">
        <f t="shared" si="143"/>
        <v>3.32</v>
      </c>
      <c r="AM514" s="35">
        <v>46281</v>
      </c>
      <c r="AN514" s="30">
        <v>1</v>
      </c>
      <c r="AO514" s="36">
        <f t="shared" si="144"/>
        <v>3.32</v>
      </c>
      <c r="AP514" s="35"/>
      <c r="AQ514" s="30"/>
      <c r="AR514" s="36">
        <f t="shared" si="140"/>
        <v>0</v>
      </c>
      <c r="AS514" s="27" t="s">
        <v>1370</v>
      </c>
      <c r="AT514" s="37">
        <v>46281</v>
      </c>
      <c r="AU514" s="30">
        <v>1</v>
      </c>
      <c r="AV514" s="36">
        <f t="shared" si="141"/>
        <v>3.32</v>
      </c>
      <c r="AW514" s="35">
        <v>46297</v>
      </c>
      <c r="AX514" s="30">
        <v>1</v>
      </c>
      <c r="AY514" s="32">
        <f t="shared" si="142"/>
        <v>3.32</v>
      </c>
      <c r="AZ514" s="30" t="s">
        <v>85</v>
      </c>
      <c r="BA514" s="63" t="s">
        <v>1399</v>
      </c>
      <c r="BB514" s="71"/>
      <c r="BC514" s="71" t="s">
        <v>1049</v>
      </c>
      <c r="BD514" s="71"/>
    </row>
    <row r="515" spans="1:56" x14ac:dyDescent="0.25">
      <c r="A515" s="24">
        <f>IF(B515="","",SUBTOTAL(3,$B$4:B515))</f>
        <v>496</v>
      </c>
      <c r="B515" s="25" t="s">
        <v>77</v>
      </c>
      <c r="C515" s="25" t="str">
        <f t="shared" si="146"/>
        <v>Shipment 2 400</v>
      </c>
      <c r="D515" s="25" t="s">
        <v>1252</v>
      </c>
      <c r="E515" s="25">
        <v>400</v>
      </c>
      <c r="F515" s="25"/>
      <c r="G515" s="65">
        <v>45990</v>
      </c>
      <c r="H515" s="25" t="s">
        <v>1257</v>
      </c>
      <c r="I515" s="25" t="s">
        <v>1254</v>
      </c>
      <c r="J515" s="26" t="s">
        <v>1302</v>
      </c>
      <c r="K515" s="27" t="s">
        <v>1050</v>
      </c>
      <c r="L515" s="28" t="s">
        <v>1051</v>
      </c>
      <c r="M515" s="28" t="s">
        <v>833</v>
      </c>
      <c r="N515" s="25">
        <v>1</v>
      </c>
      <c r="O515" s="29">
        <v>3.32</v>
      </c>
      <c r="P515" s="29">
        <v>3.32</v>
      </c>
      <c r="Q515" s="25" t="s">
        <v>1241</v>
      </c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135"/>
        <v>3.32</v>
      </c>
      <c r="AF515" s="32">
        <f t="shared" si="136"/>
        <v>0</v>
      </c>
      <c r="AG515" s="30"/>
      <c r="AH515" s="33">
        <v>1</v>
      </c>
      <c r="AI515" s="34">
        <f t="shared" si="137"/>
        <v>3.32</v>
      </c>
      <c r="AJ515" s="35">
        <v>46281</v>
      </c>
      <c r="AK515" s="30">
        <v>1</v>
      </c>
      <c r="AL515" s="36">
        <f t="shared" si="143"/>
        <v>3.32</v>
      </c>
      <c r="AM515" s="35">
        <v>46281</v>
      </c>
      <c r="AN515" s="30">
        <v>1</v>
      </c>
      <c r="AO515" s="36">
        <f t="shared" si="144"/>
        <v>3.32</v>
      </c>
      <c r="AP515" s="35"/>
      <c r="AQ515" s="30"/>
      <c r="AR515" s="36">
        <f t="shared" si="140"/>
        <v>0</v>
      </c>
      <c r="AS515" s="27" t="s">
        <v>1370</v>
      </c>
      <c r="AT515" s="37">
        <v>46281</v>
      </c>
      <c r="AU515" s="30">
        <v>1</v>
      </c>
      <c r="AV515" s="36">
        <f t="shared" si="141"/>
        <v>3.32</v>
      </c>
      <c r="AW515" s="35">
        <v>46297</v>
      </c>
      <c r="AX515" s="30">
        <v>1</v>
      </c>
      <c r="AY515" s="32">
        <f t="shared" si="142"/>
        <v>3.32</v>
      </c>
      <c r="AZ515" s="30" t="s">
        <v>85</v>
      </c>
      <c r="BA515" s="63" t="s">
        <v>1399</v>
      </c>
      <c r="BB515" s="71"/>
      <c r="BC515" s="71" t="s">
        <v>1051</v>
      </c>
      <c r="BD515" s="71"/>
    </row>
    <row r="516" spans="1:56" x14ac:dyDescent="0.25">
      <c r="A516" s="24">
        <f>IF(B516="","",SUBTOTAL(3,$B$4:B516))</f>
        <v>497</v>
      </c>
      <c r="B516" s="25" t="s">
        <v>77</v>
      </c>
      <c r="C516" s="25" t="str">
        <f t="shared" si="146"/>
        <v>Shipment 2 400</v>
      </c>
      <c r="D516" s="25" t="s">
        <v>1252</v>
      </c>
      <c r="E516" s="25">
        <v>400</v>
      </c>
      <c r="F516" s="25"/>
      <c r="G516" s="65">
        <v>45990</v>
      </c>
      <c r="H516" s="25" t="s">
        <v>1257</v>
      </c>
      <c r="I516" s="25" t="s">
        <v>1254</v>
      </c>
      <c r="J516" s="26" t="s">
        <v>1302</v>
      </c>
      <c r="K516" s="27" t="s">
        <v>1052</v>
      </c>
      <c r="L516" s="28" t="s">
        <v>1053</v>
      </c>
      <c r="M516" s="28" t="s">
        <v>833</v>
      </c>
      <c r="N516" s="25">
        <v>1</v>
      </c>
      <c r="O516" s="29">
        <v>3.33</v>
      </c>
      <c r="P516" s="29">
        <v>3.33</v>
      </c>
      <c r="Q516" s="25" t="s">
        <v>1241</v>
      </c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135"/>
        <v>3.33</v>
      </c>
      <c r="AF516" s="32">
        <f t="shared" si="136"/>
        <v>0</v>
      </c>
      <c r="AG516" s="30"/>
      <c r="AH516" s="33">
        <v>1</v>
      </c>
      <c r="AI516" s="34">
        <f t="shared" si="137"/>
        <v>3.33</v>
      </c>
      <c r="AJ516" s="35">
        <v>46281</v>
      </c>
      <c r="AK516" s="30">
        <v>1</v>
      </c>
      <c r="AL516" s="36">
        <f t="shared" si="143"/>
        <v>3.33</v>
      </c>
      <c r="AM516" s="35">
        <v>46281</v>
      </c>
      <c r="AN516" s="30">
        <v>1</v>
      </c>
      <c r="AO516" s="36">
        <f t="shared" si="144"/>
        <v>3.33</v>
      </c>
      <c r="AP516" s="35"/>
      <c r="AQ516" s="30"/>
      <c r="AR516" s="36">
        <f t="shared" si="140"/>
        <v>0</v>
      </c>
      <c r="AS516" s="27" t="s">
        <v>1370</v>
      </c>
      <c r="AT516" s="37">
        <v>46281</v>
      </c>
      <c r="AU516" s="30">
        <v>1</v>
      </c>
      <c r="AV516" s="36">
        <f t="shared" si="141"/>
        <v>3.33</v>
      </c>
      <c r="AW516" s="35">
        <v>46297</v>
      </c>
      <c r="AX516" s="30">
        <v>1</v>
      </c>
      <c r="AY516" s="32">
        <f t="shared" si="142"/>
        <v>3.33</v>
      </c>
      <c r="AZ516" s="30" t="s">
        <v>85</v>
      </c>
      <c r="BA516" s="63" t="s">
        <v>1399</v>
      </c>
      <c r="BB516" s="71"/>
      <c r="BC516" s="71" t="s">
        <v>1053</v>
      </c>
      <c r="BD516" s="71"/>
    </row>
    <row r="517" spans="1:56" x14ac:dyDescent="0.25">
      <c r="A517" s="24">
        <f>IF(B517="","",SUBTOTAL(3,$B$4:B517))</f>
        <v>498</v>
      </c>
      <c r="B517" s="25" t="s">
        <v>77</v>
      </c>
      <c r="C517" s="25" t="str">
        <f t="shared" si="146"/>
        <v>Shipment 2 400</v>
      </c>
      <c r="D517" s="25" t="s">
        <v>1252</v>
      </c>
      <c r="E517" s="25">
        <v>400</v>
      </c>
      <c r="F517" s="25"/>
      <c r="G517" s="65">
        <v>45990</v>
      </c>
      <c r="H517" s="25" t="s">
        <v>1257</v>
      </c>
      <c r="I517" s="25" t="s">
        <v>1254</v>
      </c>
      <c r="J517" s="26" t="s">
        <v>1302</v>
      </c>
      <c r="K517" s="27" t="s">
        <v>1054</v>
      </c>
      <c r="L517" s="28" t="s">
        <v>1055</v>
      </c>
      <c r="M517" s="28" t="s">
        <v>833</v>
      </c>
      <c r="N517" s="25">
        <v>1</v>
      </c>
      <c r="O517" s="29">
        <v>3.97</v>
      </c>
      <c r="P517" s="29">
        <v>3.97</v>
      </c>
      <c r="Q517" s="25" t="s">
        <v>1242</v>
      </c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135"/>
        <v>3.9700000000000006</v>
      </c>
      <c r="AF517" s="32">
        <f t="shared" si="136"/>
        <v>0</v>
      </c>
      <c r="AG517" s="30"/>
      <c r="AH517" s="33">
        <v>1</v>
      </c>
      <c r="AI517" s="34">
        <f t="shared" si="137"/>
        <v>3.97</v>
      </c>
      <c r="AJ517" s="35">
        <v>46281</v>
      </c>
      <c r="AK517" s="30">
        <v>1</v>
      </c>
      <c r="AL517" s="36">
        <f t="shared" si="143"/>
        <v>3.97</v>
      </c>
      <c r="AM517" s="35">
        <v>46281</v>
      </c>
      <c r="AN517" s="30">
        <v>1</v>
      </c>
      <c r="AO517" s="36">
        <f t="shared" si="144"/>
        <v>3.97</v>
      </c>
      <c r="AP517" s="35"/>
      <c r="AQ517" s="30"/>
      <c r="AR517" s="36">
        <f t="shared" si="140"/>
        <v>0</v>
      </c>
      <c r="AS517" s="27" t="s">
        <v>1370</v>
      </c>
      <c r="AT517" s="37">
        <v>46281</v>
      </c>
      <c r="AU517" s="30">
        <v>1</v>
      </c>
      <c r="AV517" s="36">
        <f t="shared" si="141"/>
        <v>3.97</v>
      </c>
      <c r="AW517" s="35">
        <v>46297</v>
      </c>
      <c r="AX517" s="30">
        <v>1</v>
      </c>
      <c r="AY517" s="32">
        <f t="shared" si="142"/>
        <v>3.97</v>
      </c>
      <c r="AZ517" s="30" t="s">
        <v>85</v>
      </c>
      <c r="BA517" s="63" t="s">
        <v>1399</v>
      </c>
      <c r="BB517" s="71"/>
      <c r="BC517" s="71" t="s">
        <v>1055</v>
      </c>
      <c r="BD517" s="71"/>
    </row>
    <row r="518" spans="1:56" x14ac:dyDescent="0.25">
      <c r="A518" s="24">
        <f>IF(B518="","",SUBTOTAL(3,$B$4:B518))</f>
        <v>499</v>
      </c>
      <c r="B518" s="25" t="s">
        <v>77</v>
      </c>
      <c r="C518" s="25" t="str">
        <f t="shared" si="146"/>
        <v>Shipment 2 400</v>
      </c>
      <c r="D518" s="25" t="s">
        <v>1252</v>
      </c>
      <c r="E518" s="25">
        <v>400</v>
      </c>
      <c r="F518" s="25"/>
      <c r="G518" s="65">
        <v>45990</v>
      </c>
      <c r="H518" s="25" t="s">
        <v>1257</v>
      </c>
      <c r="I518" s="25" t="s">
        <v>1254</v>
      </c>
      <c r="J518" s="26" t="s">
        <v>1302</v>
      </c>
      <c r="K518" s="27" t="s">
        <v>1056</v>
      </c>
      <c r="L518" s="28" t="s">
        <v>1057</v>
      </c>
      <c r="M518" s="28" t="s">
        <v>833</v>
      </c>
      <c r="N518" s="25">
        <v>1</v>
      </c>
      <c r="O518" s="29">
        <v>3.97</v>
      </c>
      <c r="P518" s="29">
        <v>3.97</v>
      </c>
      <c r="Q518" s="25" t="s">
        <v>1242</v>
      </c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135"/>
        <v>3.9700000000000006</v>
      </c>
      <c r="AF518" s="32">
        <f t="shared" si="136"/>
        <v>0</v>
      </c>
      <c r="AG518" s="30"/>
      <c r="AH518" s="33">
        <v>1</v>
      </c>
      <c r="AI518" s="34">
        <f t="shared" si="137"/>
        <v>3.97</v>
      </c>
      <c r="AJ518" s="35">
        <v>46281</v>
      </c>
      <c r="AK518" s="30">
        <v>1</v>
      </c>
      <c r="AL518" s="36">
        <f t="shared" si="143"/>
        <v>3.97</v>
      </c>
      <c r="AM518" s="35">
        <v>46281</v>
      </c>
      <c r="AN518" s="30">
        <v>1</v>
      </c>
      <c r="AO518" s="36">
        <f t="shared" si="144"/>
        <v>3.97</v>
      </c>
      <c r="AP518" s="35"/>
      <c r="AQ518" s="30"/>
      <c r="AR518" s="36">
        <f t="shared" si="140"/>
        <v>0</v>
      </c>
      <c r="AS518" s="27" t="s">
        <v>1370</v>
      </c>
      <c r="AT518" s="37">
        <v>46281</v>
      </c>
      <c r="AU518" s="30">
        <v>1</v>
      </c>
      <c r="AV518" s="36">
        <f t="shared" si="141"/>
        <v>3.97</v>
      </c>
      <c r="AW518" s="35">
        <v>46297</v>
      </c>
      <c r="AX518" s="30">
        <v>1</v>
      </c>
      <c r="AY518" s="32">
        <f t="shared" si="142"/>
        <v>3.97</v>
      </c>
      <c r="AZ518" s="30" t="s">
        <v>85</v>
      </c>
      <c r="BA518" s="63" t="s">
        <v>1399</v>
      </c>
      <c r="BB518" s="71"/>
      <c r="BC518" s="71" t="s">
        <v>1057</v>
      </c>
      <c r="BD518" s="71"/>
    </row>
    <row r="519" spans="1:56" x14ac:dyDescent="0.25">
      <c r="A519" s="24">
        <f>IF(B519="","",SUBTOTAL(3,$B$4:B519))</f>
        <v>500</v>
      </c>
      <c r="B519" s="25" t="s">
        <v>77</v>
      </c>
      <c r="C519" s="25" t="str">
        <f t="shared" si="146"/>
        <v>Shipment 2 400</v>
      </c>
      <c r="D519" s="25" t="s">
        <v>1252</v>
      </c>
      <c r="E519" s="25">
        <v>400</v>
      </c>
      <c r="F519" s="25"/>
      <c r="G519" s="65">
        <v>45990</v>
      </c>
      <c r="H519" s="25" t="s">
        <v>1257</v>
      </c>
      <c r="I519" s="25" t="s">
        <v>1254</v>
      </c>
      <c r="J519" s="26" t="s">
        <v>1301</v>
      </c>
      <c r="K519" s="27" t="s">
        <v>1058</v>
      </c>
      <c r="L519" s="28" t="s">
        <v>1059</v>
      </c>
      <c r="M519" s="28" t="s">
        <v>833</v>
      </c>
      <c r="N519" s="25">
        <v>1</v>
      </c>
      <c r="O519" s="29">
        <v>2.59</v>
      </c>
      <c r="P519" s="29">
        <v>2.59</v>
      </c>
      <c r="Q519" s="25" t="s">
        <v>1243</v>
      </c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135"/>
        <v>2.59</v>
      </c>
      <c r="AF519" s="32">
        <f t="shared" si="136"/>
        <v>0</v>
      </c>
      <c r="AG519" s="30"/>
      <c r="AH519" s="33">
        <v>1</v>
      </c>
      <c r="AI519" s="34">
        <f t="shared" si="137"/>
        <v>2.59</v>
      </c>
      <c r="AJ519" s="35">
        <v>46281</v>
      </c>
      <c r="AK519" s="30">
        <v>1</v>
      </c>
      <c r="AL519" s="36">
        <f t="shared" si="143"/>
        <v>2.59</v>
      </c>
      <c r="AM519" s="35">
        <v>46281</v>
      </c>
      <c r="AN519" s="30">
        <v>1</v>
      </c>
      <c r="AO519" s="36">
        <f t="shared" si="144"/>
        <v>2.59</v>
      </c>
      <c r="AP519" s="35"/>
      <c r="AQ519" s="30"/>
      <c r="AR519" s="36">
        <f t="shared" si="140"/>
        <v>0</v>
      </c>
      <c r="AS519" s="27" t="s">
        <v>1399</v>
      </c>
      <c r="AT519" s="37">
        <v>46294</v>
      </c>
      <c r="AU519" s="30">
        <v>1</v>
      </c>
      <c r="AV519" s="36">
        <f t="shared" si="141"/>
        <v>2.59</v>
      </c>
      <c r="AW519" s="35">
        <v>46297</v>
      </c>
      <c r="AX519" s="30">
        <v>1</v>
      </c>
      <c r="AY519" s="32">
        <f t="shared" si="142"/>
        <v>2.59</v>
      </c>
      <c r="AZ519" s="30" t="s">
        <v>85</v>
      </c>
      <c r="BA519" s="63" t="s">
        <v>1400</v>
      </c>
      <c r="BB519" s="71" t="e">
        <f>SUMIFS([1]Form!$F$9:$F$67,[1]Form!$K$9:$K$67,L519)</f>
        <v>#VALUE!</v>
      </c>
      <c r="BC519" s="71" t="s">
        <v>1059</v>
      </c>
      <c r="BD519" s="71"/>
    </row>
    <row r="520" spans="1:56" x14ac:dyDescent="0.25">
      <c r="A520" s="24">
        <f>IF(B520="","",SUBTOTAL(3,$B$4:B520))</f>
        <v>501</v>
      </c>
      <c r="B520" s="25" t="s">
        <v>77</v>
      </c>
      <c r="C520" s="25" t="str">
        <f t="shared" si="146"/>
        <v>Shipment 2 400</v>
      </c>
      <c r="D520" s="25" t="s">
        <v>1252</v>
      </c>
      <c r="E520" s="25">
        <v>400</v>
      </c>
      <c r="F520" s="25"/>
      <c r="G520" s="65">
        <v>45990</v>
      </c>
      <c r="H520" s="25" t="s">
        <v>1257</v>
      </c>
      <c r="I520" s="25" t="s">
        <v>1254</v>
      </c>
      <c r="J520" s="26" t="s">
        <v>1301</v>
      </c>
      <c r="K520" s="27" t="s">
        <v>1060</v>
      </c>
      <c r="L520" s="28" t="s">
        <v>1061</v>
      </c>
      <c r="M520" s="28" t="s">
        <v>833</v>
      </c>
      <c r="N520" s="25">
        <v>1</v>
      </c>
      <c r="O520" s="29">
        <v>2.59</v>
      </c>
      <c r="P520" s="29">
        <v>2.59</v>
      </c>
      <c r="Q520" s="25" t="s">
        <v>1243</v>
      </c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135"/>
        <v>2.59</v>
      </c>
      <c r="AF520" s="32">
        <f t="shared" si="136"/>
        <v>0</v>
      </c>
      <c r="AG520" s="30"/>
      <c r="AH520" s="33">
        <v>1</v>
      </c>
      <c r="AI520" s="34">
        <f t="shared" si="137"/>
        <v>2.59</v>
      </c>
      <c r="AJ520" s="35">
        <v>46281</v>
      </c>
      <c r="AK520" s="30">
        <v>1</v>
      </c>
      <c r="AL520" s="36">
        <f t="shared" si="143"/>
        <v>2.59</v>
      </c>
      <c r="AM520" s="35">
        <v>46281</v>
      </c>
      <c r="AN520" s="30">
        <v>1</v>
      </c>
      <c r="AO520" s="36">
        <f t="shared" si="144"/>
        <v>2.59</v>
      </c>
      <c r="AP520" s="35"/>
      <c r="AQ520" s="30"/>
      <c r="AR520" s="36">
        <f t="shared" si="140"/>
        <v>0</v>
      </c>
      <c r="AS520" s="27" t="s">
        <v>1399</v>
      </c>
      <c r="AT520" s="37">
        <v>46294</v>
      </c>
      <c r="AU520" s="30">
        <v>1</v>
      </c>
      <c r="AV520" s="36">
        <f t="shared" si="141"/>
        <v>2.59</v>
      </c>
      <c r="AW520" s="35">
        <v>46297</v>
      </c>
      <c r="AX520" s="30">
        <v>1</v>
      </c>
      <c r="AY520" s="32">
        <f t="shared" si="142"/>
        <v>2.59</v>
      </c>
      <c r="AZ520" s="30" t="s">
        <v>85</v>
      </c>
      <c r="BA520" s="63" t="s">
        <v>1400</v>
      </c>
      <c r="BB520" s="71" t="e">
        <f>SUMIFS([1]Form!$F$9:$F$67,[1]Form!$K$9:$K$67,L520)</f>
        <v>#VALUE!</v>
      </c>
      <c r="BC520" s="71" t="s">
        <v>1061</v>
      </c>
      <c r="BD520" s="71"/>
    </row>
    <row r="521" spans="1:56" x14ac:dyDescent="0.25">
      <c r="A521" s="24">
        <f>IF(B521="","",SUBTOTAL(3,$B$4:B521))</f>
        <v>502</v>
      </c>
      <c r="B521" s="25" t="s">
        <v>77</v>
      </c>
      <c r="C521" s="25" t="str">
        <f t="shared" si="146"/>
        <v>Shipment 2 400</v>
      </c>
      <c r="D521" s="25" t="s">
        <v>1252</v>
      </c>
      <c r="E521" s="25">
        <v>400</v>
      </c>
      <c r="F521" s="25"/>
      <c r="G521" s="65">
        <v>45990</v>
      </c>
      <c r="H521" s="25" t="s">
        <v>1257</v>
      </c>
      <c r="I521" s="25" t="s">
        <v>1254</v>
      </c>
      <c r="J521" s="26" t="s">
        <v>1301</v>
      </c>
      <c r="K521" s="27" t="s">
        <v>1062</v>
      </c>
      <c r="L521" s="28" t="s">
        <v>1063</v>
      </c>
      <c r="M521" s="28" t="s">
        <v>833</v>
      </c>
      <c r="N521" s="25">
        <v>1</v>
      </c>
      <c r="O521" s="29">
        <v>4.2699999999999996</v>
      </c>
      <c r="P521" s="29">
        <v>4.2699999999999996</v>
      </c>
      <c r="Q521" s="25" t="s">
        <v>1244</v>
      </c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135"/>
        <v>4.2699999999999996</v>
      </c>
      <c r="AF521" s="32">
        <f t="shared" si="136"/>
        <v>0</v>
      </c>
      <c r="AG521" s="30"/>
      <c r="AH521" s="33">
        <v>1</v>
      </c>
      <c r="AI521" s="34">
        <f t="shared" si="137"/>
        <v>4.2699999999999996</v>
      </c>
      <c r="AJ521" s="35">
        <v>46281</v>
      </c>
      <c r="AK521" s="30">
        <v>1</v>
      </c>
      <c r="AL521" s="36">
        <f t="shared" si="143"/>
        <v>4.2699999999999996</v>
      </c>
      <c r="AM521" s="35">
        <v>46281</v>
      </c>
      <c r="AN521" s="30">
        <v>1</v>
      </c>
      <c r="AO521" s="36">
        <f t="shared" si="144"/>
        <v>4.2699999999999996</v>
      </c>
      <c r="AP521" s="35"/>
      <c r="AQ521" s="30"/>
      <c r="AR521" s="36">
        <f t="shared" si="140"/>
        <v>0</v>
      </c>
      <c r="AS521" s="27" t="s">
        <v>1399</v>
      </c>
      <c r="AT521" s="37">
        <v>46294</v>
      </c>
      <c r="AU521" s="30">
        <v>1</v>
      </c>
      <c r="AV521" s="36">
        <f t="shared" si="141"/>
        <v>4.2699999999999996</v>
      </c>
      <c r="AW521" s="35">
        <v>46297</v>
      </c>
      <c r="AX521" s="30">
        <v>1</v>
      </c>
      <c r="AY521" s="32">
        <f t="shared" si="142"/>
        <v>4.2699999999999996</v>
      </c>
      <c r="AZ521" s="30" t="s">
        <v>85</v>
      </c>
      <c r="BA521" s="63" t="s">
        <v>1400</v>
      </c>
      <c r="BB521" s="71" t="e">
        <f>SUMIFS([1]Form!$F$9:$F$67,[1]Form!$K$9:$K$67,L521)</f>
        <v>#VALUE!</v>
      </c>
      <c r="BC521" s="71" t="s">
        <v>1063</v>
      </c>
      <c r="BD521" s="71"/>
    </row>
    <row r="522" spans="1:56" x14ac:dyDescent="0.25">
      <c r="A522" s="24">
        <f>IF(B522="","",SUBTOTAL(3,$B$4:B522))</f>
        <v>503</v>
      </c>
      <c r="B522" s="25" t="s">
        <v>77</v>
      </c>
      <c r="C522" s="25" t="str">
        <f t="shared" si="146"/>
        <v>Shipment 2 400</v>
      </c>
      <c r="D522" s="25" t="s">
        <v>1252</v>
      </c>
      <c r="E522" s="25">
        <v>400</v>
      </c>
      <c r="F522" s="25"/>
      <c r="G522" s="65">
        <v>45990</v>
      </c>
      <c r="H522" s="25" t="s">
        <v>1257</v>
      </c>
      <c r="I522" s="25" t="s">
        <v>1254</v>
      </c>
      <c r="J522" s="26" t="s">
        <v>1300</v>
      </c>
      <c r="K522" s="27" t="s">
        <v>1064</v>
      </c>
      <c r="L522" s="28" t="s">
        <v>1065</v>
      </c>
      <c r="M522" s="28" t="s">
        <v>833</v>
      </c>
      <c r="N522" s="25">
        <v>674</v>
      </c>
      <c r="O522" s="29">
        <v>0.1</v>
      </c>
      <c r="P522" s="29">
        <v>67.400000000000006</v>
      </c>
      <c r="Q522" s="25" t="s">
        <v>1231</v>
      </c>
      <c r="R522" s="25"/>
      <c r="S522" s="26"/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135"/>
        <v>67.400000000000006</v>
      </c>
      <c r="AF522" s="32">
        <f t="shared" si="136"/>
        <v>0</v>
      </c>
      <c r="AG522" s="30"/>
      <c r="AH522" s="33">
        <v>1</v>
      </c>
      <c r="AI522" s="34">
        <f t="shared" si="137"/>
        <v>67.400000000000006</v>
      </c>
      <c r="AJ522" s="35">
        <v>46249</v>
      </c>
      <c r="AK522" s="30">
        <v>674</v>
      </c>
      <c r="AL522" s="36">
        <f t="shared" ref="AL522:AL523" si="147">IFERROR(AK522*$P522/$N522,0)</f>
        <v>67.400000000000006</v>
      </c>
      <c r="AM522" s="35">
        <v>46249</v>
      </c>
      <c r="AN522" s="30">
        <v>674</v>
      </c>
      <c r="AO522" s="36">
        <f t="shared" si="144"/>
        <v>67.400000000000006</v>
      </c>
      <c r="AP522" s="35"/>
      <c r="AQ522" s="30"/>
      <c r="AR522" s="36">
        <f t="shared" si="140"/>
        <v>0</v>
      </c>
      <c r="AS522" s="27" t="s">
        <v>1398</v>
      </c>
      <c r="AT522" s="37">
        <v>46249</v>
      </c>
      <c r="AU522" s="30">
        <v>674</v>
      </c>
      <c r="AV522" s="36">
        <f t="shared" si="141"/>
        <v>67.400000000000006</v>
      </c>
      <c r="AW522" s="35">
        <v>46252</v>
      </c>
      <c r="AX522" s="30">
        <v>674</v>
      </c>
      <c r="AY522" s="32">
        <f t="shared" si="142"/>
        <v>67.400000000000006</v>
      </c>
      <c r="AZ522" s="30" t="s">
        <v>85</v>
      </c>
      <c r="BA522" s="63" t="s">
        <v>1308</v>
      </c>
      <c r="BB522" s="71"/>
      <c r="BC522" s="71" t="s">
        <v>1065</v>
      </c>
      <c r="BD522" s="71"/>
    </row>
    <row r="523" spans="1:56" x14ac:dyDescent="0.25">
      <c r="A523" s="24">
        <f>IF(B523="","",SUBTOTAL(3,$B$4:B523))</f>
        <v>504</v>
      </c>
      <c r="B523" s="25" t="s">
        <v>77</v>
      </c>
      <c r="C523" s="25" t="str">
        <f t="shared" si="146"/>
        <v>Shipment 2 400</v>
      </c>
      <c r="D523" s="25" t="s">
        <v>1252</v>
      </c>
      <c r="E523" s="25">
        <v>400</v>
      </c>
      <c r="F523" s="25"/>
      <c r="G523" s="65">
        <v>45990</v>
      </c>
      <c r="H523" s="25" t="s">
        <v>1257</v>
      </c>
      <c r="I523" s="25" t="s">
        <v>1254</v>
      </c>
      <c r="J523" s="26" t="s">
        <v>1302</v>
      </c>
      <c r="K523" s="27" t="s">
        <v>1066</v>
      </c>
      <c r="L523" s="28" t="s">
        <v>1067</v>
      </c>
      <c r="M523" s="28" t="s">
        <v>833</v>
      </c>
      <c r="N523" s="25">
        <v>1</v>
      </c>
      <c r="O523" s="29">
        <v>13.34</v>
      </c>
      <c r="P523" s="29">
        <v>13.34</v>
      </c>
      <c r="Q523" s="25" t="s">
        <v>1245</v>
      </c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135"/>
        <v>13.34</v>
      </c>
      <c r="AF523" s="32">
        <f t="shared" si="136"/>
        <v>0</v>
      </c>
      <c r="AG523" s="30"/>
      <c r="AH523" s="33">
        <v>1</v>
      </c>
      <c r="AI523" s="34">
        <f t="shared" si="137"/>
        <v>13.34</v>
      </c>
      <c r="AJ523" s="35">
        <v>46281</v>
      </c>
      <c r="AK523" s="30">
        <v>1</v>
      </c>
      <c r="AL523" s="36">
        <f t="shared" si="147"/>
        <v>13.34</v>
      </c>
      <c r="AM523" s="35">
        <v>46281</v>
      </c>
      <c r="AN523" s="30">
        <v>1</v>
      </c>
      <c r="AO523" s="36">
        <f t="shared" si="144"/>
        <v>13.34</v>
      </c>
      <c r="AP523" s="35"/>
      <c r="AQ523" s="30"/>
      <c r="AR523" s="36">
        <f t="shared" si="140"/>
        <v>0</v>
      </c>
      <c r="AS523" s="27" t="s">
        <v>1370</v>
      </c>
      <c r="AT523" s="37">
        <v>46281</v>
      </c>
      <c r="AU523" s="30">
        <v>1</v>
      </c>
      <c r="AV523" s="36">
        <f t="shared" si="141"/>
        <v>13.34</v>
      </c>
      <c r="AW523" s="35">
        <v>46297</v>
      </c>
      <c r="AX523" s="30">
        <v>1</v>
      </c>
      <c r="AY523" s="32">
        <f t="shared" si="142"/>
        <v>13.34</v>
      </c>
      <c r="AZ523" s="30" t="s">
        <v>85</v>
      </c>
      <c r="BA523" s="63" t="s">
        <v>1399</v>
      </c>
      <c r="BB523" s="71"/>
      <c r="BC523" s="71" t="s">
        <v>1067</v>
      </c>
      <c r="BD523" s="71"/>
    </row>
    <row r="524" spans="1:56" x14ac:dyDescent="0.25">
      <c r="A524" s="24">
        <f>IF(B524="","",SUBTOTAL(3,$B$4:B524))</f>
        <v>505</v>
      </c>
      <c r="B524" s="25" t="s">
        <v>77</v>
      </c>
      <c r="C524" s="25" t="str">
        <f t="shared" si="146"/>
        <v>Shipment 2 400</v>
      </c>
      <c r="D524" s="25" t="s">
        <v>1252</v>
      </c>
      <c r="E524" s="25">
        <v>400</v>
      </c>
      <c r="F524" s="25"/>
      <c r="G524" s="65">
        <v>45990</v>
      </c>
      <c r="H524" s="25" t="s">
        <v>1257</v>
      </c>
      <c r="I524" s="25" t="s">
        <v>1254</v>
      </c>
      <c r="J524" s="26" t="s">
        <v>1300</v>
      </c>
      <c r="K524" s="27" t="s">
        <v>1068</v>
      </c>
      <c r="L524" s="28" t="s">
        <v>1069</v>
      </c>
      <c r="M524" s="28" t="s">
        <v>833</v>
      </c>
      <c r="N524" s="25">
        <v>441</v>
      </c>
      <c r="O524" s="29">
        <v>0.1</v>
      </c>
      <c r="P524" s="29">
        <v>44.1</v>
      </c>
      <c r="Q524" s="25" t="s">
        <v>1231</v>
      </c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135"/>
        <v>44.099999999999994</v>
      </c>
      <c r="AF524" s="32">
        <f t="shared" si="136"/>
        <v>0</v>
      </c>
      <c r="AG524" s="30"/>
      <c r="AH524" s="33">
        <v>1</v>
      </c>
      <c r="AI524" s="34">
        <f t="shared" si="137"/>
        <v>44.1</v>
      </c>
      <c r="AJ524" s="35">
        <v>46249</v>
      </c>
      <c r="AK524" s="30">
        <v>441</v>
      </c>
      <c r="AL524" s="36">
        <f t="shared" ref="AL524" si="148">IFERROR(AK524*$P524/$N524,0)</f>
        <v>44.1</v>
      </c>
      <c r="AM524" s="35">
        <v>46249</v>
      </c>
      <c r="AN524" s="30">
        <v>441</v>
      </c>
      <c r="AO524" s="36">
        <f t="shared" si="144"/>
        <v>44.1</v>
      </c>
      <c r="AP524" s="35"/>
      <c r="AQ524" s="30"/>
      <c r="AR524" s="36">
        <f t="shared" si="140"/>
        <v>0</v>
      </c>
      <c r="AS524" s="27" t="s">
        <v>1398</v>
      </c>
      <c r="AT524" s="37">
        <v>46249</v>
      </c>
      <c r="AU524" s="30">
        <v>441</v>
      </c>
      <c r="AV524" s="36">
        <f t="shared" si="141"/>
        <v>44.1</v>
      </c>
      <c r="AW524" s="35">
        <v>46252</v>
      </c>
      <c r="AX524" s="30">
        <v>441</v>
      </c>
      <c r="AY524" s="32">
        <f t="shared" si="142"/>
        <v>44.1</v>
      </c>
      <c r="AZ524" s="30" t="s">
        <v>85</v>
      </c>
      <c r="BA524" s="63" t="s">
        <v>1308</v>
      </c>
      <c r="BB524" s="71"/>
      <c r="BC524" s="71" t="s">
        <v>1069</v>
      </c>
      <c r="BD524" s="71"/>
    </row>
    <row r="525" spans="1:56" x14ac:dyDescent="0.25">
      <c r="A525" s="24">
        <f>IF(B525="","",SUBTOTAL(3,$B$4:B525))</f>
        <v>506</v>
      </c>
      <c r="B525" s="25" t="s">
        <v>77</v>
      </c>
      <c r="C525" s="25" t="str">
        <f t="shared" si="146"/>
        <v>Shipment 2 400</v>
      </c>
      <c r="D525" s="25" t="s">
        <v>1252</v>
      </c>
      <c r="E525" s="25">
        <v>400</v>
      </c>
      <c r="F525" s="25"/>
      <c r="G525" s="65">
        <v>45990</v>
      </c>
      <c r="H525" s="25" t="s">
        <v>1257</v>
      </c>
      <c r="I525" s="25" t="s">
        <v>1254</v>
      </c>
      <c r="J525" s="26" t="s">
        <v>1300</v>
      </c>
      <c r="K525" s="27" t="s">
        <v>1070</v>
      </c>
      <c r="L525" s="28" t="s">
        <v>1071</v>
      </c>
      <c r="M525" s="28" t="s">
        <v>833</v>
      </c>
      <c r="N525" s="25">
        <v>1</v>
      </c>
      <c r="O525" s="29">
        <v>18.899999999999999</v>
      </c>
      <c r="P525" s="29">
        <v>18.899999999999999</v>
      </c>
      <c r="Q525" s="25" t="s">
        <v>1204</v>
      </c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135"/>
        <v>18.899999999999999</v>
      </c>
      <c r="AF525" s="32">
        <f t="shared" si="136"/>
        <v>0</v>
      </c>
      <c r="AG525" s="30"/>
      <c r="AH525" s="33">
        <v>1</v>
      </c>
      <c r="AI525" s="34">
        <f t="shared" si="137"/>
        <v>18.899999999999999</v>
      </c>
      <c r="AJ525" s="35">
        <v>46281</v>
      </c>
      <c r="AK525" s="30">
        <v>1</v>
      </c>
      <c r="AL525" s="36">
        <f t="shared" si="143"/>
        <v>18.899999999999999</v>
      </c>
      <c r="AM525" s="35">
        <v>46281</v>
      </c>
      <c r="AN525" s="30">
        <v>1</v>
      </c>
      <c r="AO525" s="36">
        <f t="shared" si="144"/>
        <v>18.899999999999999</v>
      </c>
      <c r="AP525" s="35"/>
      <c r="AQ525" s="30"/>
      <c r="AR525" s="36">
        <f t="shared" si="140"/>
        <v>0</v>
      </c>
      <c r="AS525" s="27" t="s">
        <v>1399</v>
      </c>
      <c r="AT525" s="37">
        <v>46294</v>
      </c>
      <c r="AU525" s="30">
        <v>1</v>
      </c>
      <c r="AV525" s="36">
        <f t="shared" si="141"/>
        <v>18.899999999999999</v>
      </c>
      <c r="AW525" s="35">
        <v>46297</v>
      </c>
      <c r="AX525" s="30">
        <v>1</v>
      </c>
      <c r="AY525" s="32">
        <f t="shared" si="142"/>
        <v>18.899999999999999</v>
      </c>
      <c r="AZ525" s="30" t="s">
        <v>85</v>
      </c>
      <c r="BA525" s="63" t="s">
        <v>1400</v>
      </c>
      <c r="BB525" s="71" t="e">
        <f>SUMIFS([1]Form!$F$9:$F$67,[1]Form!$K$9:$K$67,L525)</f>
        <v>#VALUE!</v>
      </c>
      <c r="BC525" s="71" t="s">
        <v>1071</v>
      </c>
      <c r="BD525" s="71"/>
    </row>
    <row r="526" spans="1:56" x14ac:dyDescent="0.25">
      <c r="A526" s="24">
        <f>IF(B526="","",SUBTOTAL(3,$B$4:B526))</f>
        <v>507</v>
      </c>
      <c r="B526" s="25" t="s">
        <v>77</v>
      </c>
      <c r="C526" s="25" t="str">
        <f t="shared" si="146"/>
        <v>Shipment 2 400</v>
      </c>
      <c r="D526" s="25" t="s">
        <v>1252</v>
      </c>
      <c r="E526" s="25">
        <v>400</v>
      </c>
      <c r="F526" s="25"/>
      <c r="G526" s="65">
        <v>45990</v>
      </c>
      <c r="H526" s="25" t="s">
        <v>1257</v>
      </c>
      <c r="I526" s="25" t="s">
        <v>1254</v>
      </c>
      <c r="J526" s="26" t="s">
        <v>1300</v>
      </c>
      <c r="K526" s="27" t="s">
        <v>1072</v>
      </c>
      <c r="L526" s="28" t="s">
        <v>1073</v>
      </c>
      <c r="M526" s="28" t="s">
        <v>833</v>
      </c>
      <c r="N526" s="25">
        <v>1</v>
      </c>
      <c r="O526" s="29">
        <v>21.56</v>
      </c>
      <c r="P526" s="29">
        <v>21.56</v>
      </c>
      <c r="Q526" s="25" t="s">
        <v>1204</v>
      </c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si="135"/>
        <v>21.56</v>
      </c>
      <c r="AF526" s="32">
        <f t="shared" si="136"/>
        <v>0</v>
      </c>
      <c r="AG526" s="30"/>
      <c r="AH526" s="33">
        <v>1</v>
      </c>
      <c r="AI526" s="34">
        <f t="shared" si="137"/>
        <v>21.56</v>
      </c>
      <c r="AJ526" s="35">
        <v>46281</v>
      </c>
      <c r="AK526" s="30">
        <v>1</v>
      </c>
      <c r="AL526" s="36">
        <f t="shared" ref="AL526:AL527" si="149">IFERROR(AK526*$P526/$N526,0)</f>
        <v>21.56</v>
      </c>
      <c r="AM526" s="35">
        <v>46281</v>
      </c>
      <c r="AN526" s="30">
        <v>1</v>
      </c>
      <c r="AO526" s="36">
        <f t="shared" ref="AO526" si="150">IFERROR(AN526*$P526/$N526,0)</f>
        <v>21.56</v>
      </c>
      <c r="AP526" s="35"/>
      <c r="AQ526" s="30"/>
      <c r="AR526" s="36">
        <f t="shared" si="140"/>
        <v>0</v>
      </c>
      <c r="AS526" s="27" t="s">
        <v>1399</v>
      </c>
      <c r="AT526" s="37">
        <v>46294</v>
      </c>
      <c r="AU526" s="30">
        <v>1</v>
      </c>
      <c r="AV526" s="36">
        <f t="shared" ref="AV526" si="151">IFERROR(AU526*$P526/$N526,0)</f>
        <v>21.56</v>
      </c>
      <c r="AW526" s="35">
        <v>46297</v>
      </c>
      <c r="AX526" s="30">
        <v>1</v>
      </c>
      <c r="AY526" s="32">
        <f t="shared" ref="AY526:AY527" si="152">IFERROR(AX526*$P526/$N526,0)</f>
        <v>21.56</v>
      </c>
      <c r="AZ526" s="30" t="s">
        <v>85</v>
      </c>
      <c r="BA526" s="63" t="s">
        <v>1400</v>
      </c>
      <c r="BB526" s="71" t="e">
        <f>SUMIFS([1]Form!$F$9:$F$67,[1]Form!$K$9:$K$67,L526)</f>
        <v>#VALUE!</v>
      </c>
      <c r="BC526" s="71" t="s">
        <v>1073</v>
      </c>
      <c r="BD526" s="71"/>
    </row>
    <row r="527" spans="1:56" x14ac:dyDescent="0.25">
      <c r="A527" s="24">
        <f>IF(B527="","",SUBTOTAL(3,$B$4:B527))</f>
        <v>508</v>
      </c>
      <c r="B527" s="25" t="s">
        <v>77</v>
      </c>
      <c r="C527" s="25" t="str">
        <f t="shared" ref="C527:C535" si="153">D527&amp;" "&amp;E527</f>
        <v>Shipment 2 400</v>
      </c>
      <c r="D527" s="25" t="s">
        <v>1252</v>
      </c>
      <c r="E527" s="25">
        <v>400</v>
      </c>
      <c r="F527" s="25"/>
      <c r="G527" s="65"/>
      <c r="H527" s="25"/>
      <c r="I527" s="25"/>
      <c r="J527" s="26" t="s">
        <v>1300</v>
      </c>
      <c r="K527" s="27" t="s">
        <v>1264</v>
      </c>
      <c r="L527" s="28" t="s">
        <v>1261</v>
      </c>
      <c r="M527" s="28" t="s">
        <v>833</v>
      </c>
      <c r="N527" s="25">
        <v>6</v>
      </c>
      <c r="O527" s="29">
        <v>0.10000000000000002</v>
      </c>
      <c r="P527" s="29">
        <v>0.60000000000000009</v>
      </c>
      <c r="Q527" s="25" t="s">
        <v>1231</v>
      </c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ref="AE527:AE534" si="154">+AL527*0.5+AO527*0.4+AV527*0.1</f>
        <v>0.60000000000000009</v>
      </c>
      <c r="AF527" s="32">
        <f t="shared" ref="AF527:AF534" si="155">+P527-AE527</f>
        <v>0</v>
      </c>
      <c r="AG527" s="30"/>
      <c r="AH527" s="33">
        <v>1</v>
      </c>
      <c r="AI527" s="34">
        <f t="shared" ref="AI527:AI534" si="156">+AH527*P527</f>
        <v>0.60000000000000009</v>
      </c>
      <c r="AJ527" s="35">
        <v>46249</v>
      </c>
      <c r="AK527" s="30">
        <v>6</v>
      </c>
      <c r="AL527" s="36">
        <f t="shared" si="149"/>
        <v>0.60000000000000009</v>
      </c>
      <c r="AM527" s="35">
        <v>46249</v>
      </c>
      <c r="AN527" s="30">
        <v>6</v>
      </c>
      <c r="AO527" s="36">
        <f t="shared" ref="AO527:AO534" si="157">IFERROR(AN527*$P527/$N527,0)</f>
        <v>0.60000000000000009</v>
      </c>
      <c r="AP527" s="35"/>
      <c r="AQ527" s="30"/>
      <c r="AR527" s="36"/>
      <c r="AS527" s="27" t="s">
        <v>1398</v>
      </c>
      <c r="AT527" s="37">
        <v>46249</v>
      </c>
      <c r="AU527" s="30">
        <v>6</v>
      </c>
      <c r="AV527" s="36">
        <f t="shared" ref="AV527:AV534" si="158">IFERROR(AU527*$P527/$N527,0)</f>
        <v>0.60000000000000009</v>
      </c>
      <c r="AW527" s="35">
        <v>46252</v>
      </c>
      <c r="AX527" s="30">
        <v>6</v>
      </c>
      <c r="AY527" s="32">
        <f t="shared" si="152"/>
        <v>0.60000000000000009</v>
      </c>
      <c r="AZ527" s="30" t="s">
        <v>85</v>
      </c>
      <c r="BA527" s="63" t="s">
        <v>1308</v>
      </c>
      <c r="BB527" s="71"/>
      <c r="BC527" s="71" t="s">
        <v>1261</v>
      </c>
      <c r="BD527" s="71"/>
    </row>
    <row r="528" spans="1:56" x14ac:dyDescent="0.25">
      <c r="A528" s="24">
        <f>IF(B528="","",SUBTOTAL(3,$B$4:B528))</f>
        <v>509</v>
      </c>
      <c r="B528" s="25" t="s">
        <v>77</v>
      </c>
      <c r="C528" s="25" t="str">
        <f t="shared" si="153"/>
        <v>Shipment 2 400</v>
      </c>
      <c r="D528" s="25" t="s">
        <v>1252</v>
      </c>
      <c r="E528" s="25">
        <v>400</v>
      </c>
      <c r="F528" s="25"/>
      <c r="G528" s="65">
        <v>45990</v>
      </c>
      <c r="H528" s="25" t="s">
        <v>1257</v>
      </c>
      <c r="I528" s="25" t="s">
        <v>1254</v>
      </c>
      <c r="J528" s="26" t="s">
        <v>1301</v>
      </c>
      <c r="K528" s="27" t="s">
        <v>1074</v>
      </c>
      <c r="L528" s="28" t="s">
        <v>1075</v>
      </c>
      <c r="M528" s="28" t="s">
        <v>833</v>
      </c>
      <c r="N528" s="25">
        <v>1</v>
      </c>
      <c r="O528" s="29">
        <v>9.23</v>
      </c>
      <c r="P528" s="29">
        <v>9.23</v>
      </c>
      <c r="Q528" s="25" t="s">
        <v>1246</v>
      </c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54"/>
        <v>9.23</v>
      </c>
      <c r="AF528" s="32">
        <f t="shared" si="155"/>
        <v>0</v>
      </c>
      <c r="AG528" s="30"/>
      <c r="AH528" s="33">
        <v>1</v>
      </c>
      <c r="AI528" s="34">
        <f t="shared" si="156"/>
        <v>9.23</v>
      </c>
      <c r="AJ528" s="35">
        <v>46281</v>
      </c>
      <c r="AK528" s="30">
        <v>1</v>
      </c>
      <c r="AL528" s="36">
        <f t="shared" ref="AL528:AL534" si="159">IFERROR(AK528*$P528/$N528,0)</f>
        <v>9.23</v>
      </c>
      <c r="AM528" s="35">
        <v>46281</v>
      </c>
      <c r="AN528" s="30">
        <v>1</v>
      </c>
      <c r="AO528" s="36">
        <f t="shared" si="157"/>
        <v>9.23</v>
      </c>
      <c r="AP528" s="35"/>
      <c r="AQ528" s="30"/>
      <c r="AR528" s="36">
        <f t="shared" si="140"/>
        <v>0</v>
      </c>
      <c r="AS528" s="27" t="s">
        <v>1399</v>
      </c>
      <c r="AT528" s="37">
        <v>46294</v>
      </c>
      <c r="AU528" s="30">
        <v>1</v>
      </c>
      <c r="AV528" s="36">
        <f t="shared" si="158"/>
        <v>9.23</v>
      </c>
      <c r="AW528" s="35">
        <v>46297</v>
      </c>
      <c r="AX528" s="30">
        <v>1</v>
      </c>
      <c r="AY528" s="32">
        <f t="shared" ref="AY528:AY534" si="160">IFERROR(AX528*$P528/$N528,0)</f>
        <v>9.23</v>
      </c>
      <c r="AZ528" s="30" t="s">
        <v>85</v>
      </c>
      <c r="BA528" s="63" t="s">
        <v>1400</v>
      </c>
      <c r="BB528" s="71" t="e">
        <f>SUMIFS([1]Form!$F$9:$F$67,[1]Form!$K$9:$K$67,L528)</f>
        <v>#VALUE!</v>
      </c>
      <c r="BC528" s="71" t="s">
        <v>1075</v>
      </c>
      <c r="BD528" s="71"/>
    </row>
    <row r="529" spans="1:56" x14ac:dyDescent="0.25">
      <c r="A529" s="24">
        <f>IF(B529="","",SUBTOTAL(3,$B$4:B529))</f>
        <v>510</v>
      </c>
      <c r="B529" s="25" t="s">
        <v>77</v>
      </c>
      <c r="C529" s="25" t="str">
        <f t="shared" si="153"/>
        <v>Shipment 2 400</v>
      </c>
      <c r="D529" s="25" t="s">
        <v>1252</v>
      </c>
      <c r="E529" s="25">
        <v>400</v>
      </c>
      <c r="F529" s="25"/>
      <c r="G529" s="65">
        <v>45990</v>
      </c>
      <c r="H529" s="25" t="s">
        <v>1257</v>
      </c>
      <c r="I529" s="25" t="s">
        <v>1254</v>
      </c>
      <c r="J529" s="26" t="s">
        <v>1302</v>
      </c>
      <c r="K529" s="27" t="s">
        <v>1076</v>
      </c>
      <c r="L529" s="28" t="s">
        <v>1077</v>
      </c>
      <c r="M529" s="28" t="s">
        <v>833</v>
      </c>
      <c r="N529" s="25">
        <v>1</v>
      </c>
      <c r="O529" s="29">
        <v>14.96</v>
      </c>
      <c r="P529" s="29">
        <v>14.96</v>
      </c>
      <c r="Q529" s="25" t="s">
        <v>1247</v>
      </c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154"/>
        <v>14.960000000000003</v>
      </c>
      <c r="AF529" s="32">
        <f t="shared" si="155"/>
        <v>0</v>
      </c>
      <c r="AG529" s="30"/>
      <c r="AH529" s="33">
        <v>1</v>
      </c>
      <c r="AI529" s="34">
        <f t="shared" si="156"/>
        <v>14.96</v>
      </c>
      <c r="AJ529" s="35">
        <v>46281</v>
      </c>
      <c r="AK529" s="30">
        <v>1</v>
      </c>
      <c r="AL529" s="36">
        <f t="shared" si="159"/>
        <v>14.96</v>
      </c>
      <c r="AM529" s="35">
        <v>46281</v>
      </c>
      <c r="AN529" s="30">
        <v>1</v>
      </c>
      <c r="AO529" s="36">
        <f t="shared" si="157"/>
        <v>14.96</v>
      </c>
      <c r="AP529" s="35"/>
      <c r="AQ529" s="30"/>
      <c r="AR529" s="36">
        <f t="shared" si="140"/>
        <v>0</v>
      </c>
      <c r="AS529" s="27" t="s">
        <v>1370</v>
      </c>
      <c r="AT529" s="37">
        <v>46281</v>
      </c>
      <c r="AU529" s="30">
        <v>1</v>
      </c>
      <c r="AV529" s="36">
        <f t="shared" si="158"/>
        <v>14.96</v>
      </c>
      <c r="AW529" s="35">
        <v>46297</v>
      </c>
      <c r="AX529" s="30">
        <v>1</v>
      </c>
      <c r="AY529" s="32">
        <f t="shared" si="160"/>
        <v>14.96</v>
      </c>
      <c r="AZ529" s="30" t="s">
        <v>85</v>
      </c>
      <c r="BA529" s="63" t="s">
        <v>1399</v>
      </c>
      <c r="BB529" s="71"/>
      <c r="BC529" s="71" t="s">
        <v>1077</v>
      </c>
      <c r="BD529" s="71"/>
    </row>
    <row r="530" spans="1:56" x14ac:dyDescent="0.25">
      <c r="A530" s="24">
        <f>IF(B530="","",SUBTOTAL(3,$B$4:B530))</f>
        <v>511</v>
      </c>
      <c r="B530" s="25" t="s">
        <v>77</v>
      </c>
      <c r="C530" s="25" t="str">
        <f t="shared" si="153"/>
        <v>Shipment 2 400</v>
      </c>
      <c r="D530" s="25" t="s">
        <v>1252</v>
      </c>
      <c r="E530" s="25">
        <v>400</v>
      </c>
      <c r="F530" s="25"/>
      <c r="G530" s="65">
        <v>45990</v>
      </c>
      <c r="H530" s="25" t="s">
        <v>1257</v>
      </c>
      <c r="I530" s="25" t="s">
        <v>1254</v>
      </c>
      <c r="J530" s="26" t="s">
        <v>1302</v>
      </c>
      <c r="K530" s="27" t="s">
        <v>1078</v>
      </c>
      <c r="L530" s="28" t="s">
        <v>1079</v>
      </c>
      <c r="M530" s="28" t="s">
        <v>833</v>
      </c>
      <c r="N530" s="25">
        <v>1</v>
      </c>
      <c r="O530" s="29">
        <v>14.96</v>
      </c>
      <c r="P530" s="29">
        <v>14.96</v>
      </c>
      <c r="Q530" s="25" t="s">
        <v>1247</v>
      </c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54"/>
        <v>14.960000000000003</v>
      </c>
      <c r="AF530" s="32">
        <f t="shared" si="155"/>
        <v>0</v>
      </c>
      <c r="AG530" s="30"/>
      <c r="AH530" s="33">
        <v>1</v>
      </c>
      <c r="AI530" s="34">
        <f t="shared" si="156"/>
        <v>14.96</v>
      </c>
      <c r="AJ530" s="35">
        <v>46281</v>
      </c>
      <c r="AK530" s="30">
        <v>1</v>
      </c>
      <c r="AL530" s="36">
        <f t="shared" si="159"/>
        <v>14.96</v>
      </c>
      <c r="AM530" s="35">
        <v>46281</v>
      </c>
      <c r="AN530" s="30">
        <v>1</v>
      </c>
      <c r="AO530" s="36">
        <f t="shared" si="157"/>
        <v>14.96</v>
      </c>
      <c r="AP530" s="35"/>
      <c r="AQ530" s="30"/>
      <c r="AR530" s="36">
        <f t="shared" si="140"/>
        <v>0</v>
      </c>
      <c r="AS530" s="27" t="s">
        <v>1370</v>
      </c>
      <c r="AT530" s="37">
        <v>46281</v>
      </c>
      <c r="AU530" s="30">
        <v>1</v>
      </c>
      <c r="AV530" s="36">
        <f t="shared" si="158"/>
        <v>14.96</v>
      </c>
      <c r="AW530" s="35">
        <v>46297</v>
      </c>
      <c r="AX530" s="30">
        <v>1</v>
      </c>
      <c r="AY530" s="32">
        <f t="shared" si="160"/>
        <v>14.96</v>
      </c>
      <c r="AZ530" s="30" t="s">
        <v>85</v>
      </c>
      <c r="BA530" s="63" t="s">
        <v>1399</v>
      </c>
      <c r="BB530" s="71"/>
      <c r="BC530" s="71" t="s">
        <v>1079</v>
      </c>
      <c r="BD530" s="71"/>
    </row>
    <row r="531" spans="1:56" x14ac:dyDescent="0.25">
      <c r="A531" s="24">
        <f>IF(B531="","",SUBTOTAL(3,$B$4:B531))</f>
        <v>512</v>
      </c>
      <c r="B531" s="25" t="s">
        <v>77</v>
      </c>
      <c r="C531" s="25" t="str">
        <f t="shared" si="153"/>
        <v>Shipment 2 400</v>
      </c>
      <c r="D531" s="25" t="s">
        <v>1252</v>
      </c>
      <c r="E531" s="25">
        <v>400</v>
      </c>
      <c r="F531" s="25"/>
      <c r="G531" s="65">
        <v>45990</v>
      </c>
      <c r="H531" s="25" t="s">
        <v>1257</v>
      </c>
      <c r="I531" s="25" t="s">
        <v>1254</v>
      </c>
      <c r="J531" s="26" t="s">
        <v>1302</v>
      </c>
      <c r="K531" s="27" t="s">
        <v>1080</v>
      </c>
      <c r="L531" s="28" t="s">
        <v>1081</v>
      </c>
      <c r="M531" s="28" t="s">
        <v>833</v>
      </c>
      <c r="N531" s="25">
        <v>1</v>
      </c>
      <c r="O531" s="29">
        <v>16.93</v>
      </c>
      <c r="P531" s="29">
        <v>16.93</v>
      </c>
      <c r="Q531" s="25" t="s">
        <v>1247</v>
      </c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54"/>
        <v>16.93</v>
      </c>
      <c r="AF531" s="32">
        <f t="shared" si="155"/>
        <v>0</v>
      </c>
      <c r="AG531" s="30"/>
      <c r="AH531" s="33">
        <v>1</v>
      </c>
      <c r="AI531" s="34">
        <f t="shared" si="156"/>
        <v>16.93</v>
      </c>
      <c r="AJ531" s="35">
        <v>46281</v>
      </c>
      <c r="AK531" s="30">
        <v>1</v>
      </c>
      <c r="AL531" s="36">
        <f t="shared" si="159"/>
        <v>16.93</v>
      </c>
      <c r="AM531" s="35">
        <v>46281</v>
      </c>
      <c r="AN531" s="30">
        <v>1</v>
      </c>
      <c r="AO531" s="36">
        <f t="shared" si="157"/>
        <v>16.93</v>
      </c>
      <c r="AP531" s="35"/>
      <c r="AQ531" s="30"/>
      <c r="AR531" s="36">
        <f t="shared" si="140"/>
        <v>0</v>
      </c>
      <c r="AS531" s="27" t="s">
        <v>1370</v>
      </c>
      <c r="AT531" s="37">
        <v>46281</v>
      </c>
      <c r="AU531" s="30">
        <v>1</v>
      </c>
      <c r="AV531" s="36">
        <f t="shared" si="158"/>
        <v>16.93</v>
      </c>
      <c r="AW531" s="35">
        <v>46297</v>
      </c>
      <c r="AX531" s="30">
        <v>1</v>
      </c>
      <c r="AY531" s="32">
        <f t="shared" si="160"/>
        <v>16.93</v>
      </c>
      <c r="AZ531" s="30" t="s">
        <v>85</v>
      </c>
      <c r="BA531" s="63" t="s">
        <v>1399</v>
      </c>
      <c r="BB531" s="71"/>
      <c r="BC531" s="71" t="s">
        <v>1081</v>
      </c>
      <c r="BD531" s="71"/>
    </row>
    <row r="532" spans="1:56" x14ac:dyDescent="0.25">
      <c r="A532" s="24">
        <f>IF(B532="","",SUBTOTAL(3,$B$4:B532))</f>
        <v>513</v>
      </c>
      <c r="B532" s="25" t="s">
        <v>77</v>
      </c>
      <c r="C532" s="25" t="str">
        <f t="shared" si="153"/>
        <v>Shipment 2 400</v>
      </c>
      <c r="D532" s="25" t="s">
        <v>1252</v>
      </c>
      <c r="E532" s="25">
        <v>400</v>
      </c>
      <c r="F532" s="25"/>
      <c r="G532" s="65">
        <v>45990</v>
      </c>
      <c r="H532" s="25" t="s">
        <v>1257</v>
      </c>
      <c r="I532" s="25" t="s">
        <v>1254</v>
      </c>
      <c r="J532" s="26" t="s">
        <v>1302</v>
      </c>
      <c r="K532" s="27" t="s">
        <v>1082</v>
      </c>
      <c r="L532" s="28" t="s">
        <v>1083</v>
      </c>
      <c r="M532" s="28" t="s">
        <v>833</v>
      </c>
      <c r="N532" s="25">
        <v>1</v>
      </c>
      <c r="O532" s="29">
        <v>15.06</v>
      </c>
      <c r="P532" s="29">
        <v>15.06</v>
      </c>
      <c r="Q532" s="25" t="s">
        <v>1247</v>
      </c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54"/>
        <v>15.060000000000002</v>
      </c>
      <c r="AF532" s="32">
        <f t="shared" si="155"/>
        <v>0</v>
      </c>
      <c r="AG532" s="30"/>
      <c r="AH532" s="33">
        <v>1</v>
      </c>
      <c r="AI532" s="34">
        <f t="shared" si="156"/>
        <v>15.06</v>
      </c>
      <c r="AJ532" s="35">
        <v>46281</v>
      </c>
      <c r="AK532" s="30">
        <v>1</v>
      </c>
      <c r="AL532" s="36">
        <f t="shared" si="159"/>
        <v>15.06</v>
      </c>
      <c r="AM532" s="35">
        <v>46281</v>
      </c>
      <c r="AN532" s="30">
        <v>1</v>
      </c>
      <c r="AO532" s="36">
        <f t="shared" si="157"/>
        <v>15.06</v>
      </c>
      <c r="AP532" s="35"/>
      <c r="AQ532" s="30"/>
      <c r="AR532" s="36">
        <f t="shared" si="140"/>
        <v>0</v>
      </c>
      <c r="AS532" s="27" t="s">
        <v>1370</v>
      </c>
      <c r="AT532" s="37">
        <v>46281</v>
      </c>
      <c r="AU532" s="30">
        <v>1</v>
      </c>
      <c r="AV532" s="36">
        <f t="shared" si="158"/>
        <v>15.06</v>
      </c>
      <c r="AW532" s="35">
        <v>46297</v>
      </c>
      <c r="AX532" s="30">
        <v>1</v>
      </c>
      <c r="AY532" s="32">
        <f t="shared" si="160"/>
        <v>15.06</v>
      </c>
      <c r="AZ532" s="30" t="s">
        <v>85</v>
      </c>
      <c r="BA532" s="63" t="s">
        <v>1399</v>
      </c>
      <c r="BB532" s="71"/>
      <c r="BC532" s="71" t="s">
        <v>1083</v>
      </c>
      <c r="BD532" s="71"/>
    </row>
    <row r="533" spans="1:56" x14ac:dyDescent="0.25">
      <c r="A533" s="24">
        <f>IF(B533="","",SUBTOTAL(3,$B$4:B533))</f>
        <v>514</v>
      </c>
      <c r="B533" s="25" t="s">
        <v>77</v>
      </c>
      <c r="C533" s="25" t="str">
        <f t="shared" si="153"/>
        <v>Shipment 2 400</v>
      </c>
      <c r="D533" s="25" t="s">
        <v>1252</v>
      </c>
      <c r="E533" s="25">
        <v>400</v>
      </c>
      <c r="F533" s="25"/>
      <c r="G533" s="65"/>
      <c r="H533" s="25"/>
      <c r="I533" s="25"/>
      <c r="J533" s="26" t="s">
        <v>1302</v>
      </c>
      <c r="K533" s="27" t="s">
        <v>1265</v>
      </c>
      <c r="L533" s="28" t="s">
        <v>1262</v>
      </c>
      <c r="M533" s="28" t="s">
        <v>833</v>
      </c>
      <c r="N533" s="25">
        <v>1</v>
      </c>
      <c r="O533" s="29">
        <v>2.54</v>
      </c>
      <c r="P533" s="29">
        <v>2.54</v>
      </c>
      <c r="Q533" s="25" t="s">
        <v>1267</v>
      </c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54"/>
        <v>2.54</v>
      </c>
      <c r="AF533" s="32">
        <f t="shared" si="155"/>
        <v>0</v>
      </c>
      <c r="AG533" s="30"/>
      <c r="AH533" s="33">
        <v>1</v>
      </c>
      <c r="AI533" s="34">
        <f t="shared" si="156"/>
        <v>2.54</v>
      </c>
      <c r="AJ533" s="35">
        <v>46281</v>
      </c>
      <c r="AK533" s="30">
        <v>1</v>
      </c>
      <c r="AL533" s="36">
        <f t="shared" si="159"/>
        <v>2.54</v>
      </c>
      <c r="AM533" s="35">
        <v>46281</v>
      </c>
      <c r="AN533" s="30">
        <v>1</v>
      </c>
      <c r="AO533" s="36">
        <f t="shared" si="157"/>
        <v>2.54</v>
      </c>
      <c r="AP533" s="35"/>
      <c r="AQ533" s="30"/>
      <c r="AR533" s="36"/>
      <c r="AS533" s="27" t="s">
        <v>1370</v>
      </c>
      <c r="AT533" s="37">
        <v>46281</v>
      </c>
      <c r="AU533" s="30">
        <v>1</v>
      </c>
      <c r="AV533" s="36">
        <f t="shared" si="158"/>
        <v>2.54</v>
      </c>
      <c r="AW533" s="35">
        <v>46297</v>
      </c>
      <c r="AX533" s="30">
        <v>1</v>
      </c>
      <c r="AY533" s="32">
        <f t="shared" si="160"/>
        <v>2.54</v>
      </c>
      <c r="AZ533" s="30" t="s">
        <v>85</v>
      </c>
      <c r="BA533" s="63" t="s">
        <v>1399</v>
      </c>
      <c r="BB533" s="71"/>
      <c r="BC533" s="71" t="s">
        <v>1262</v>
      </c>
      <c r="BD533" s="71"/>
    </row>
    <row r="534" spans="1:56" x14ac:dyDescent="0.25">
      <c r="A534" s="24">
        <f>IF(B534="","",SUBTOTAL(3,$B$4:B534))</f>
        <v>515</v>
      </c>
      <c r="B534" s="25" t="s">
        <v>77</v>
      </c>
      <c r="C534" s="25" t="str">
        <f t="shared" si="153"/>
        <v>Shipment 2 400</v>
      </c>
      <c r="D534" s="25" t="s">
        <v>1252</v>
      </c>
      <c r="E534" s="25">
        <v>400</v>
      </c>
      <c r="F534" s="25"/>
      <c r="G534" s="65"/>
      <c r="H534" s="25"/>
      <c r="I534" s="25"/>
      <c r="J534" s="26" t="s">
        <v>1302</v>
      </c>
      <c r="K534" s="27" t="s">
        <v>1266</v>
      </c>
      <c r="L534" s="28" t="s">
        <v>1263</v>
      </c>
      <c r="M534" s="28" t="s">
        <v>833</v>
      </c>
      <c r="N534" s="25">
        <v>1</v>
      </c>
      <c r="O534" s="29">
        <v>2.48</v>
      </c>
      <c r="P534" s="29">
        <v>2.48</v>
      </c>
      <c r="Q534" s="25" t="s">
        <v>1268</v>
      </c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54"/>
        <v>2.4800000000000004</v>
      </c>
      <c r="AF534" s="32">
        <f t="shared" si="155"/>
        <v>0</v>
      </c>
      <c r="AG534" s="30"/>
      <c r="AH534" s="33">
        <v>1</v>
      </c>
      <c r="AI534" s="34">
        <f t="shared" si="156"/>
        <v>2.48</v>
      </c>
      <c r="AJ534" s="35">
        <v>46281</v>
      </c>
      <c r="AK534" s="30">
        <v>1</v>
      </c>
      <c r="AL534" s="36">
        <f t="shared" si="159"/>
        <v>2.48</v>
      </c>
      <c r="AM534" s="35">
        <v>46281</v>
      </c>
      <c r="AN534" s="30">
        <v>1</v>
      </c>
      <c r="AO534" s="36">
        <f t="shared" si="157"/>
        <v>2.48</v>
      </c>
      <c r="AP534" s="35"/>
      <c r="AQ534" s="30"/>
      <c r="AR534" s="36"/>
      <c r="AS534" s="27" t="s">
        <v>1370</v>
      </c>
      <c r="AT534" s="37">
        <v>46281</v>
      </c>
      <c r="AU534" s="30">
        <v>1</v>
      </c>
      <c r="AV534" s="36">
        <f t="shared" si="158"/>
        <v>2.48</v>
      </c>
      <c r="AW534" s="35">
        <v>46297</v>
      </c>
      <c r="AX534" s="30">
        <v>1</v>
      </c>
      <c r="AY534" s="32">
        <f t="shared" si="160"/>
        <v>2.48</v>
      </c>
      <c r="AZ534" s="30" t="s">
        <v>85</v>
      </c>
      <c r="BA534" s="63" t="s">
        <v>1399</v>
      </c>
      <c r="BB534" s="71"/>
      <c r="BC534" s="71" t="s">
        <v>1263</v>
      </c>
      <c r="BD534" s="71"/>
    </row>
    <row r="535" spans="1:56" x14ac:dyDescent="0.25">
      <c r="A535" s="24">
        <f>IF(B535="","",SUBTOTAL(3,$B$4:B535))</f>
        <v>516</v>
      </c>
      <c r="B535" s="25" t="s">
        <v>77</v>
      </c>
      <c r="C535" s="25" t="str">
        <f t="shared" si="153"/>
        <v>Shipment 2 400</v>
      </c>
      <c r="D535" s="25" t="s">
        <v>1252</v>
      </c>
      <c r="E535" s="25">
        <v>400</v>
      </c>
      <c r="F535" s="25"/>
      <c r="G535" s="65">
        <v>45990</v>
      </c>
      <c r="H535" s="25" t="s">
        <v>1257</v>
      </c>
      <c r="I535" s="25" t="s">
        <v>1254</v>
      </c>
      <c r="J535" s="26" t="s">
        <v>1301</v>
      </c>
      <c r="K535" s="27" t="s">
        <v>1084</v>
      </c>
      <c r="L535" s="28" t="s">
        <v>1085</v>
      </c>
      <c r="M535" s="28" t="s">
        <v>1086</v>
      </c>
      <c r="N535" s="25">
        <v>1</v>
      </c>
      <c r="O535" s="29">
        <v>73.180000000000007</v>
      </c>
      <c r="P535" s="29">
        <v>73.180000000000007</v>
      </c>
      <c r="Q535" s="25" t="s">
        <v>1248</v>
      </c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135"/>
        <v>73.180000000000007</v>
      </c>
      <c r="AF535" s="32">
        <f t="shared" si="136"/>
        <v>0</v>
      </c>
      <c r="AG535" s="30"/>
      <c r="AH535" s="33">
        <v>1</v>
      </c>
      <c r="AI535" s="34">
        <f t="shared" si="137"/>
        <v>73.180000000000007</v>
      </c>
      <c r="AJ535" s="35">
        <v>46039</v>
      </c>
      <c r="AK535" s="30">
        <v>1</v>
      </c>
      <c r="AL535" s="36">
        <f t="shared" si="143"/>
        <v>73.180000000000007</v>
      </c>
      <c r="AM535" s="35">
        <v>46062</v>
      </c>
      <c r="AN535" s="30">
        <v>1</v>
      </c>
      <c r="AO535" s="36">
        <f t="shared" si="144"/>
        <v>73.180000000000007</v>
      </c>
      <c r="AP535" s="35">
        <v>46157</v>
      </c>
      <c r="AQ535" s="30">
        <v>1</v>
      </c>
      <c r="AR535" s="36">
        <f t="shared" si="140"/>
        <v>73.180000000000007</v>
      </c>
      <c r="AS535" s="27" t="s">
        <v>1280</v>
      </c>
      <c r="AT535" s="37">
        <v>46157</v>
      </c>
      <c r="AU535" s="30">
        <v>1</v>
      </c>
      <c r="AV535" s="36">
        <f t="shared" si="141"/>
        <v>73.180000000000007</v>
      </c>
      <c r="AW535" s="35">
        <v>46160</v>
      </c>
      <c r="AX535" s="30">
        <v>1</v>
      </c>
      <c r="AY535" s="32">
        <f t="shared" si="142"/>
        <v>73.180000000000007</v>
      </c>
      <c r="AZ535" s="30" t="s">
        <v>85</v>
      </c>
      <c r="BA535" s="63" t="s">
        <v>1279</v>
      </c>
      <c r="BB535" s="72"/>
      <c r="BC535" s="71" t="s">
        <v>1366</v>
      </c>
      <c r="BD535" s="71"/>
    </row>
    <row r="536" spans="1:56" x14ac:dyDescent="0.25">
      <c r="A536" s="24">
        <f>IF(B536="","",SUBTOTAL(3,$B$4:B536))</f>
        <v>517</v>
      </c>
      <c r="B536" s="25" t="s">
        <v>77</v>
      </c>
      <c r="C536" s="25" t="str">
        <f t="shared" si="146"/>
        <v>Shipment 2 400</v>
      </c>
      <c r="D536" s="25" t="s">
        <v>1252</v>
      </c>
      <c r="E536" s="25">
        <v>400</v>
      </c>
      <c r="F536" s="25"/>
      <c r="G536" s="65">
        <v>45990</v>
      </c>
      <c r="H536" s="25" t="s">
        <v>1257</v>
      </c>
      <c r="I536" s="25" t="s">
        <v>1254</v>
      </c>
      <c r="J536" s="26" t="s">
        <v>1301</v>
      </c>
      <c r="K536" s="27" t="s">
        <v>1084</v>
      </c>
      <c r="L536" s="28" t="s">
        <v>1087</v>
      </c>
      <c r="M536" s="28" t="s">
        <v>1086</v>
      </c>
      <c r="N536" s="25">
        <v>1</v>
      </c>
      <c r="O536" s="29">
        <v>73.180000000000007</v>
      </c>
      <c r="P536" s="29">
        <v>73.180000000000007</v>
      </c>
      <c r="Q536" s="25" t="s">
        <v>1248</v>
      </c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135"/>
        <v>73.180000000000007</v>
      </c>
      <c r="AF536" s="32">
        <f t="shared" si="136"/>
        <v>0</v>
      </c>
      <c r="AG536" s="30"/>
      <c r="AH536" s="33">
        <v>1</v>
      </c>
      <c r="AI536" s="34">
        <f t="shared" si="137"/>
        <v>73.180000000000007</v>
      </c>
      <c r="AJ536" s="35">
        <v>46039</v>
      </c>
      <c r="AK536" s="30">
        <v>1</v>
      </c>
      <c r="AL536" s="36">
        <f t="shared" si="143"/>
        <v>73.180000000000007</v>
      </c>
      <c r="AM536" s="35">
        <v>46062</v>
      </c>
      <c r="AN536" s="30">
        <v>1</v>
      </c>
      <c r="AO536" s="36">
        <f t="shared" si="144"/>
        <v>73.180000000000007</v>
      </c>
      <c r="AP536" s="35">
        <v>46157</v>
      </c>
      <c r="AQ536" s="30">
        <v>1</v>
      </c>
      <c r="AR536" s="36">
        <f t="shared" si="140"/>
        <v>73.180000000000007</v>
      </c>
      <c r="AS536" s="27" t="s">
        <v>1280</v>
      </c>
      <c r="AT536" s="37">
        <v>46157</v>
      </c>
      <c r="AU536" s="30">
        <v>1</v>
      </c>
      <c r="AV536" s="36">
        <f t="shared" si="141"/>
        <v>73.180000000000007</v>
      </c>
      <c r="AW536" s="35">
        <v>46160</v>
      </c>
      <c r="AX536" s="30">
        <v>1</v>
      </c>
      <c r="AY536" s="32">
        <f t="shared" ref="AY536:AY546" si="161">IFERROR(AX536*$P536/$N536,0)</f>
        <v>73.180000000000007</v>
      </c>
      <c r="AZ536" s="30" t="s">
        <v>85</v>
      </c>
      <c r="BA536" s="63" t="s">
        <v>1279</v>
      </c>
      <c r="BB536" s="72"/>
      <c r="BC536" s="71" t="s">
        <v>1366</v>
      </c>
      <c r="BD536" s="71"/>
    </row>
    <row r="537" spans="1:56" x14ac:dyDescent="0.25">
      <c r="A537" s="24">
        <f>IF(B537="","",SUBTOTAL(3,$B$4:B537))</f>
        <v>518</v>
      </c>
      <c r="B537" s="25" t="s">
        <v>77</v>
      </c>
      <c r="C537" s="25" t="str">
        <f t="shared" si="146"/>
        <v>Shipment 2 400</v>
      </c>
      <c r="D537" s="25" t="s">
        <v>1252</v>
      </c>
      <c r="E537" s="25">
        <v>400</v>
      </c>
      <c r="F537" s="25"/>
      <c r="G537" s="65">
        <v>45990</v>
      </c>
      <c r="H537" s="25" t="s">
        <v>1257</v>
      </c>
      <c r="I537" s="25" t="s">
        <v>1254</v>
      </c>
      <c r="J537" s="26" t="s">
        <v>1301</v>
      </c>
      <c r="K537" s="27" t="s">
        <v>1084</v>
      </c>
      <c r="L537" s="28" t="s">
        <v>1088</v>
      </c>
      <c r="M537" s="28" t="s">
        <v>1086</v>
      </c>
      <c r="N537" s="25">
        <v>1</v>
      </c>
      <c r="O537" s="29">
        <v>73.180000000000007</v>
      </c>
      <c r="P537" s="29">
        <v>73.180000000000007</v>
      </c>
      <c r="Q537" s="25" t="s">
        <v>1248</v>
      </c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135"/>
        <v>73.180000000000007</v>
      </c>
      <c r="AF537" s="32">
        <f t="shared" si="136"/>
        <v>0</v>
      </c>
      <c r="AG537" s="30"/>
      <c r="AH537" s="33">
        <v>1</v>
      </c>
      <c r="AI537" s="34">
        <f t="shared" si="137"/>
        <v>73.180000000000007</v>
      </c>
      <c r="AJ537" s="35">
        <v>46039</v>
      </c>
      <c r="AK537" s="30">
        <v>1</v>
      </c>
      <c r="AL537" s="36">
        <f t="shared" si="143"/>
        <v>73.180000000000007</v>
      </c>
      <c r="AM537" s="35">
        <v>46062</v>
      </c>
      <c r="AN537" s="30">
        <v>1</v>
      </c>
      <c r="AO537" s="36">
        <f t="shared" si="144"/>
        <v>73.180000000000007</v>
      </c>
      <c r="AP537" s="35">
        <v>46157</v>
      </c>
      <c r="AQ537" s="30">
        <v>1</v>
      </c>
      <c r="AR537" s="36">
        <f t="shared" si="140"/>
        <v>73.180000000000007</v>
      </c>
      <c r="AS537" s="27" t="s">
        <v>1280</v>
      </c>
      <c r="AT537" s="37">
        <v>46157</v>
      </c>
      <c r="AU537" s="30">
        <v>1</v>
      </c>
      <c r="AV537" s="36">
        <f t="shared" si="141"/>
        <v>73.180000000000007</v>
      </c>
      <c r="AW537" s="35">
        <v>46160</v>
      </c>
      <c r="AX537" s="30">
        <v>1</v>
      </c>
      <c r="AY537" s="32">
        <f t="shared" si="161"/>
        <v>73.180000000000007</v>
      </c>
      <c r="AZ537" s="30" t="s">
        <v>85</v>
      </c>
      <c r="BA537" s="63" t="s">
        <v>1279</v>
      </c>
      <c r="BB537" s="72"/>
      <c r="BC537" s="71" t="s">
        <v>1366</v>
      </c>
      <c r="BD537" s="71"/>
    </row>
    <row r="538" spans="1:56" x14ac:dyDescent="0.25">
      <c r="A538" s="24">
        <f>IF(B538="","",SUBTOTAL(3,$B$4:B538))</f>
        <v>519</v>
      </c>
      <c r="B538" s="25" t="s">
        <v>77</v>
      </c>
      <c r="C538" s="25" t="str">
        <f t="shared" si="146"/>
        <v>Shipment 2 400</v>
      </c>
      <c r="D538" s="25" t="s">
        <v>1252</v>
      </c>
      <c r="E538" s="25">
        <v>400</v>
      </c>
      <c r="F538" s="25"/>
      <c r="G538" s="65">
        <v>45990</v>
      </c>
      <c r="H538" s="25" t="s">
        <v>1257</v>
      </c>
      <c r="I538" s="25" t="s">
        <v>1254</v>
      </c>
      <c r="J538" s="26" t="s">
        <v>1301</v>
      </c>
      <c r="K538" s="27" t="s">
        <v>1084</v>
      </c>
      <c r="L538" s="28" t="s">
        <v>1089</v>
      </c>
      <c r="M538" s="28" t="s">
        <v>1086</v>
      </c>
      <c r="N538" s="25">
        <v>1</v>
      </c>
      <c r="O538" s="29">
        <v>73.180000000000007</v>
      </c>
      <c r="P538" s="29">
        <v>73.180000000000007</v>
      </c>
      <c r="Q538" s="25" t="s">
        <v>1248</v>
      </c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135"/>
        <v>73.180000000000007</v>
      </c>
      <c r="AF538" s="32">
        <f t="shared" si="136"/>
        <v>0</v>
      </c>
      <c r="AG538" s="30"/>
      <c r="AH538" s="33">
        <v>1</v>
      </c>
      <c r="AI538" s="34">
        <f t="shared" si="137"/>
        <v>73.180000000000007</v>
      </c>
      <c r="AJ538" s="35">
        <v>46039</v>
      </c>
      <c r="AK538" s="30">
        <v>1</v>
      </c>
      <c r="AL538" s="36">
        <f t="shared" si="143"/>
        <v>73.180000000000007</v>
      </c>
      <c r="AM538" s="35">
        <v>46062</v>
      </c>
      <c r="AN538" s="30">
        <v>1</v>
      </c>
      <c r="AO538" s="36">
        <f t="shared" si="144"/>
        <v>73.180000000000007</v>
      </c>
      <c r="AP538" s="35">
        <v>46157</v>
      </c>
      <c r="AQ538" s="30">
        <v>1</v>
      </c>
      <c r="AR538" s="36">
        <f t="shared" si="140"/>
        <v>73.180000000000007</v>
      </c>
      <c r="AS538" s="27" t="s">
        <v>1280</v>
      </c>
      <c r="AT538" s="37">
        <v>46157</v>
      </c>
      <c r="AU538" s="30">
        <v>1</v>
      </c>
      <c r="AV538" s="36">
        <f t="shared" si="141"/>
        <v>73.180000000000007</v>
      </c>
      <c r="AW538" s="35">
        <v>46160</v>
      </c>
      <c r="AX538" s="30">
        <v>1</v>
      </c>
      <c r="AY538" s="32">
        <f t="shared" si="161"/>
        <v>73.180000000000007</v>
      </c>
      <c r="AZ538" s="30" t="s">
        <v>85</v>
      </c>
      <c r="BA538" s="63" t="s">
        <v>1279</v>
      </c>
      <c r="BB538" s="72"/>
      <c r="BC538" s="71" t="s">
        <v>1366</v>
      </c>
      <c r="BD538" s="71"/>
    </row>
    <row r="539" spans="1:56" x14ac:dyDescent="0.25">
      <c r="A539" s="24">
        <f>IF(B539="","",SUBTOTAL(3,$B$4:B539))</f>
        <v>520</v>
      </c>
      <c r="B539" s="25" t="s">
        <v>77</v>
      </c>
      <c r="C539" s="25" t="str">
        <f t="shared" si="146"/>
        <v>Shipment 2 400</v>
      </c>
      <c r="D539" s="25" t="s">
        <v>1252</v>
      </c>
      <c r="E539" s="25">
        <v>400</v>
      </c>
      <c r="F539" s="25"/>
      <c r="G539" s="65">
        <v>45990</v>
      </c>
      <c r="H539" s="25" t="s">
        <v>1257</v>
      </c>
      <c r="I539" s="25" t="s">
        <v>1254</v>
      </c>
      <c r="J539" s="26" t="s">
        <v>1301</v>
      </c>
      <c r="K539" s="27" t="s">
        <v>1084</v>
      </c>
      <c r="L539" s="28" t="s">
        <v>1090</v>
      </c>
      <c r="M539" s="28" t="s">
        <v>1086</v>
      </c>
      <c r="N539" s="25">
        <v>1</v>
      </c>
      <c r="O539" s="29">
        <v>73.180000000000007</v>
      </c>
      <c r="P539" s="29">
        <v>73.180000000000007</v>
      </c>
      <c r="Q539" s="25" t="s">
        <v>1248</v>
      </c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135"/>
        <v>73.180000000000007</v>
      </c>
      <c r="AF539" s="32">
        <f t="shared" si="136"/>
        <v>0</v>
      </c>
      <c r="AG539" s="30"/>
      <c r="AH539" s="33">
        <v>1</v>
      </c>
      <c r="AI539" s="34">
        <f t="shared" si="137"/>
        <v>73.180000000000007</v>
      </c>
      <c r="AJ539" s="35">
        <v>46039</v>
      </c>
      <c r="AK539" s="30">
        <v>1</v>
      </c>
      <c r="AL539" s="36">
        <f t="shared" si="143"/>
        <v>73.180000000000007</v>
      </c>
      <c r="AM539" s="35">
        <v>46062</v>
      </c>
      <c r="AN539" s="30">
        <v>1</v>
      </c>
      <c r="AO539" s="36">
        <f t="shared" si="144"/>
        <v>73.180000000000007</v>
      </c>
      <c r="AP539" s="35">
        <v>46157</v>
      </c>
      <c r="AQ539" s="30">
        <v>1</v>
      </c>
      <c r="AR539" s="36">
        <f t="shared" si="140"/>
        <v>73.180000000000007</v>
      </c>
      <c r="AS539" s="27" t="s">
        <v>1280</v>
      </c>
      <c r="AT539" s="37">
        <v>46157</v>
      </c>
      <c r="AU539" s="30">
        <v>1</v>
      </c>
      <c r="AV539" s="36">
        <f t="shared" si="141"/>
        <v>73.180000000000007</v>
      </c>
      <c r="AW539" s="35">
        <v>46160</v>
      </c>
      <c r="AX539" s="30">
        <v>1</v>
      </c>
      <c r="AY539" s="32">
        <f t="shared" si="161"/>
        <v>73.180000000000007</v>
      </c>
      <c r="AZ539" s="30" t="s">
        <v>85</v>
      </c>
      <c r="BA539" s="63" t="s">
        <v>1279</v>
      </c>
      <c r="BB539" s="72"/>
      <c r="BC539" s="71" t="s">
        <v>1366</v>
      </c>
      <c r="BD539" s="71"/>
    </row>
    <row r="540" spans="1:56" x14ac:dyDescent="0.25">
      <c r="A540" s="24">
        <f>IF(B540="","",SUBTOTAL(3,$B$4:B540))</f>
        <v>521</v>
      </c>
      <c r="B540" s="25" t="s">
        <v>77</v>
      </c>
      <c r="C540" s="25" t="str">
        <f t="shared" si="146"/>
        <v>Shipment 2 400</v>
      </c>
      <c r="D540" s="25" t="s">
        <v>1252</v>
      </c>
      <c r="E540" s="25">
        <v>400</v>
      </c>
      <c r="F540" s="25"/>
      <c r="G540" s="65">
        <v>45990</v>
      </c>
      <c r="H540" s="25" t="s">
        <v>1257</v>
      </c>
      <c r="I540" s="25" t="s">
        <v>1254</v>
      </c>
      <c r="J540" s="26" t="s">
        <v>1301</v>
      </c>
      <c r="K540" s="27" t="s">
        <v>1084</v>
      </c>
      <c r="L540" s="28" t="s">
        <v>1091</v>
      </c>
      <c r="M540" s="28" t="s">
        <v>1086</v>
      </c>
      <c r="N540" s="25">
        <v>1</v>
      </c>
      <c r="O540" s="29">
        <v>73.180000000000007</v>
      </c>
      <c r="P540" s="29">
        <v>73.180000000000007</v>
      </c>
      <c r="Q540" s="25" t="s">
        <v>1248</v>
      </c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135"/>
        <v>73.180000000000007</v>
      </c>
      <c r="AF540" s="32">
        <f t="shared" si="136"/>
        <v>0</v>
      </c>
      <c r="AG540" s="30"/>
      <c r="AH540" s="33">
        <v>1</v>
      </c>
      <c r="AI540" s="34">
        <f t="shared" si="137"/>
        <v>73.180000000000007</v>
      </c>
      <c r="AJ540" s="35">
        <v>46039</v>
      </c>
      <c r="AK540" s="30">
        <v>1</v>
      </c>
      <c r="AL540" s="36">
        <f t="shared" si="143"/>
        <v>73.180000000000007</v>
      </c>
      <c r="AM540" s="35">
        <v>46062</v>
      </c>
      <c r="AN540" s="30">
        <v>1</v>
      </c>
      <c r="AO540" s="36">
        <f t="shared" si="144"/>
        <v>73.180000000000007</v>
      </c>
      <c r="AP540" s="35">
        <v>46157</v>
      </c>
      <c r="AQ540" s="30">
        <v>1</v>
      </c>
      <c r="AR540" s="36">
        <f t="shared" si="140"/>
        <v>73.180000000000007</v>
      </c>
      <c r="AS540" s="27" t="s">
        <v>1280</v>
      </c>
      <c r="AT540" s="37">
        <v>46157</v>
      </c>
      <c r="AU540" s="30">
        <v>1</v>
      </c>
      <c r="AV540" s="36">
        <f t="shared" si="141"/>
        <v>73.180000000000007</v>
      </c>
      <c r="AW540" s="35">
        <v>46160</v>
      </c>
      <c r="AX540" s="30">
        <v>1</v>
      </c>
      <c r="AY540" s="32">
        <f t="shared" si="161"/>
        <v>73.180000000000007</v>
      </c>
      <c r="AZ540" s="30" t="s">
        <v>85</v>
      </c>
      <c r="BA540" s="63" t="s">
        <v>1279</v>
      </c>
      <c r="BB540" s="72"/>
      <c r="BC540" s="71" t="s">
        <v>1366</v>
      </c>
      <c r="BD540" s="71"/>
    </row>
    <row r="541" spans="1:56" x14ac:dyDescent="0.25">
      <c r="A541" s="24">
        <f>IF(B541="","",SUBTOTAL(3,$B$4:B541))</f>
        <v>522</v>
      </c>
      <c r="B541" s="25" t="s">
        <v>77</v>
      </c>
      <c r="C541" s="25" t="str">
        <f t="shared" si="146"/>
        <v>Shipment 2 400</v>
      </c>
      <c r="D541" s="25" t="s">
        <v>1252</v>
      </c>
      <c r="E541" s="25">
        <v>400</v>
      </c>
      <c r="F541" s="25"/>
      <c r="G541" s="65">
        <v>45990</v>
      </c>
      <c r="H541" s="25" t="s">
        <v>1257</v>
      </c>
      <c r="I541" s="25" t="s">
        <v>1254</v>
      </c>
      <c r="J541" s="26" t="s">
        <v>1301</v>
      </c>
      <c r="K541" s="27" t="s">
        <v>1092</v>
      </c>
      <c r="L541" s="28" t="s">
        <v>1093</v>
      </c>
      <c r="M541" s="28" t="s">
        <v>1086</v>
      </c>
      <c r="N541" s="25">
        <v>1</v>
      </c>
      <c r="O541" s="29">
        <v>24.87</v>
      </c>
      <c r="P541" s="29">
        <v>24.87</v>
      </c>
      <c r="Q541" s="25" t="s">
        <v>1249</v>
      </c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si="135"/>
        <v>24.870000000000005</v>
      </c>
      <c r="AF541" s="32">
        <f t="shared" si="136"/>
        <v>0</v>
      </c>
      <c r="AG541" s="30"/>
      <c r="AH541" s="33">
        <v>1</v>
      </c>
      <c r="AI541" s="34">
        <f t="shared" si="137"/>
        <v>24.87</v>
      </c>
      <c r="AJ541" s="35">
        <v>46062</v>
      </c>
      <c r="AK541" s="30">
        <v>1</v>
      </c>
      <c r="AL541" s="36">
        <f t="shared" si="143"/>
        <v>24.87</v>
      </c>
      <c r="AM541" s="35">
        <v>46062</v>
      </c>
      <c r="AN541" s="30">
        <v>1</v>
      </c>
      <c r="AO541" s="36">
        <f t="shared" si="144"/>
        <v>24.87</v>
      </c>
      <c r="AP541" s="35">
        <v>46157</v>
      </c>
      <c r="AQ541" s="30">
        <v>1</v>
      </c>
      <c r="AR541" s="36">
        <f t="shared" si="140"/>
        <v>24.87</v>
      </c>
      <c r="AS541" s="27" t="s">
        <v>1280</v>
      </c>
      <c r="AT541" s="37">
        <v>46157</v>
      </c>
      <c r="AU541" s="30">
        <v>1</v>
      </c>
      <c r="AV541" s="36">
        <f t="shared" si="141"/>
        <v>24.87</v>
      </c>
      <c r="AW541" s="35">
        <v>46160</v>
      </c>
      <c r="AX541" s="30">
        <v>1</v>
      </c>
      <c r="AY541" s="32">
        <f t="shared" si="161"/>
        <v>24.87</v>
      </c>
      <c r="AZ541" s="30" t="s">
        <v>85</v>
      </c>
      <c r="BA541" s="63" t="s">
        <v>1279</v>
      </c>
      <c r="BB541" s="72"/>
      <c r="BC541" s="71" t="s">
        <v>1367</v>
      </c>
      <c r="BD541" s="71"/>
    </row>
    <row r="542" spans="1:56" x14ac:dyDescent="0.25">
      <c r="A542" s="24">
        <f>IF(B542="","",SUBTOTAL(3,$B$4:B542))</f>
        <v>523</v>
      </c>
      <c r="B542" s="25" t="s">
        <v>77</v>
      </c>
      <c r="C542" s="25" t="str">
        <f t="shared" si="146"/>
        <v>Shipment 2 400</v>
      </c>
      <c r="D542" s="25" t="s">
        <v>1252</v>
      </c>
      <c r="E542" s="25">
        <v>400</v>
      </c>
      <c r="F542" s="25"/>
      <c r="G542" s="65">
        <v>45990</v>
      </c>
      <c r="H542" s="25" t="s">
        <v>1257</v>
      </c>
      <c r="I542" s="25" t="s">
        <v>1254</v>
      </c>
      <c r="J542" s="26" t="s">
        <v>1301</v>
      </c>
      <c r="K542" s="27" t="s">
        <v>1092</v>
      </c>
      <c r="L542" s="28" t="s">
        <v>1094</v>
      </c>
      <c r="M542" s="28" t="s">
        <v>1086</v>
      </c>
      <c r="N542" s="25">
        <v>1</v>
      </c>
      <c r="O542" s="29">
        <v>24.87</v>
      </c>
      <c r="P542" s="29">
        <v>24.87</v>
      </c>
      <c r="Q542" s="25" t="s">
        <v>1249</v>
      </c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ref="AE542:AE557" si="162">+AL542*0.5+AO542*0.4+AV542*0.1</f>
        <v>24.870000000000005</v>
      </c>
      <c r="AF542" s="32">
        <f t="shared" ref="AF542:AF557" si="163">+P542-AE542</f>
        <v>0</v>
      </c>
      <c r="AG542" s="30"/>
      <c r="AH542" s="33">
        <v>1</v>
      </c>
      <c r="AI542" s="34">
        <f t="shared" ref="AI542:AI557" si="164">+AH542*P542</f>
        <v>24.87</v>
      </c>
      <c r="AJ542" s="35">
        <v>46062</v>
      </c>
      <c r="AK542" s="30">
        <v>1</v>
      </c>
      <c r="AL542" s="36">
        <f t="shared" ref="AL542:AL557" si="165">IFERROR(AK542*$P542/$N542,0)</f>
        <v>24.87</v>
      </c>
      <c r="AM542" s="35">
        <v>46062</v>
      </c>
      <c r="AN542" s="30">
        <v>1</v>
      </c>
      <c r="AO542" s="36">
        <f t="shared" ref="AO542:AO557" si="166">IFERROR(AN542*$P542/$N542,0)</f>
        <v>24.87</v>
      </c>
      <c r="AP542" s="35">
        <v>46157</v>
      </c>
      <c r="AQ542" s="30">
        <v>1</v>
      </c>
      <c r="AR542" s="36">
        <f t="shared" ref="AR542:AR557" si="167">IFERROR(AQ542*$P542/$N542,0)</f>
        <v>24.87</v>
      </c>
      <c r="AS542" s="27" t="s">
        <v>1280</v>
      </c>
      <c r="AT542" s="37">
        <v>46157</v>
      </c>
      <c r="AU542" s="30">
        <v>1</v>
      </c>
      <c r="AV542" s="36">
        <f t="shared" ref="AV542:AV557" si="168">IFERROR(AU542*$P542/$N542,0)</f>
        <v>24.87</v>
      </c>
      <c r="AW542" s="35">
        <v>46160</v>
      </c>
      <c r="AX542" s="30">
        <v>1</v>
      </c>
      <c r="AY542" s="32">
        <f t="shared" si="161"/>
        <v>24.87</v>
      </c>
      <c r="AZ542" s="30" t="s">
        <v>85</v>
      </c>
      <c r="BA542" s="63" t="s">
        <v>1279</v>
      </c>
      <c r="BB542" s="72"/>
      <c r="BC542" s="71" t="s">
        <v>1367</v>
      </c>
      <c r="BD542" s="71"/>
    </row>
    <row r="543" spans="1:56" x14ac:dyDescent="0.25">
      <c r="A543" s="24">
        <f>IF(B543="","",SUBTOTAL(3,$B$4:B543))</f>
        <v>524</v>
      </c>
      <c r="B543" s="25" t="s">
        <v>77</v>
      </c>
      <c r="C543" s="25" t="str">
        <f t="shared" si="146"/>
        <v>Shipment 2 400</v>
      </c>
      <c r="D543" s="25" t="s">
        <v>1252</v>
      </c>
      <c r="E543" s="25">
        <v>400</v>
      </c>
      <c r="F543" s="25"/>
      <c r="G543" s="65">
        <v>45990</v>
      </c>
      <c r="H543" s="25" t="s">
        <v>1257</v>
      </c>
      <c r="I543" s="25" t="s">
        <v>1254</v>
      </c>
      <c r="J543" s="26" t="s">
        <v>1301</v>
      </c>
      <c r="K543" s="27" t="s">
        <v>1092</v>
      </c>
      <c r="L543" s="28" t="s">
        <v>1095</v>
      </c>
      <c r="M543" s="28" t="s">
        <v>1086</v>
      </c>
      <c r="N543" s="25">
        <v>1</v>
      </c>
      <c r="O543" s="29">
        <v>24.87</v>
      </c>
      <c r="P543" s="29">
        <v>24.87</v>
      </c>
      <c r="Q543" s="25" t="s">
        <v>1249</v>
      </c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si="162"/>
        <v>24.870000000000005</v>
      </c>
      <c r="AF543" s="32">
        <f t="shared" si="163"/>
        <v>0</v>
      </c>
      <c r="AG543" s="30"/>
      <c r="AH543" s="33">
        <v>1</v>
      </c>
      <c r="AI543" s="34">
        <f t="shared" si="164"/>
        <v>24.87</v>
      </c>
      <c r="AJ543" s="35">
        <v>46062</v>
      </c>
      <c r="AK543" s="30">
        <v>1</v>
      </c>
      <c r="AL543" s="36">
        <f t="shared" si="165"/>
        <v>24.87</v>
      </c>
      <c r="AM543" s="35">
        <v>46062</v>
      </c>
      <c r="AN543" s="30">
        <v>1</v>
      </c>
      <c r="AO543" s="36">
        <f t="shared" si="166"/>
        <v>24.87</v>
      </c>
      <c r="AP543" s="35">
        <v>46157</v>
      </c>
      <c r="AQ543" s="30">
        <v>1</v>
      </c>
      <c r="AR543" s="36">
        <f t="shared" si="167"/>
        <v>24.87</v>
      </c>
      <c r="AS543" s="27" t="s">
        <v>1280</v>
      </c>
      <c r="AT543" s="37">
        <v>46157</v>
      </c>
      <c r="AU543" s="30">
        <v>1</v>
      </c>
      <c r="AV543" s="36">
        <f t="shared" si="168"/>
        <v>24.87</v>
      </c>
      <c r="AW543" s="35">
        <v>46160</v>
      </c>
      <c r="AX543" s="30">
        <v>1</v>
      </c>
      <c r="AY543" s="32">
        <f t="shared" si="161"/>
        <v>24.87</v>
      </c>
      <c r="AZ543" s="30" t="s">
        <v>85</v>
      </c>
      <c r="BA543" s="63" t="s">
        <v>1279</v>
      </c>
      <c r="BB543" s="72"/>
      <c r="BC543" s="71" t="s">
        <v>1367</v>
      </c>
      <c r="BD543" s="71"/>
    </row>
    <row r="544" spans="1:56" x14ac:dyDescent="0.25">
      <c r="A544" s="24">
        <f>IF(B544="","",SUBTOTAL(3,$B$4:B544))</f>
        <v>525</v>
      </c>
      <c r="B544" s="25" t="s">
        <v>77</v>
      </c>
      <c r="C544" s="25" t="str">
        <f t="shared" si="146"/>
        <v>Shipment 2 400</v>
      </c>
      <c r="D544" s="25" t="s">
        <v>1252</v>
      </c>
      <c r="E544" s="25">
        <v>400</v>
      </c>
      <c r="F544" s="25"/>
      <c r="G544" s="65">
        <v>45990</v>
      </c>
      <c r="H544" s="25" t="s">
        <v>1257</v>
      </c>
      <c r="I544" s="25" t="s">
        <v>1254</v>
      </c>
      <c r="J544" s="26" t="s">
        <v>1301</v>
      </c>
      <c r="K544" s="27" t="s">
        <v>1092</v>
      </c>
      <c r="L544" s="28" t="s">
        <v>1096</v>
      </c>
      <c r="M544" s="28" t="s">
        <v>1086</v>
      </c>
      <c r="N544" s="25">
        <v>1</v>
      </c>
      <c r="O544" s="29">
        <v>24.87</v>
      </c>
      <c r="P544" s="29">
        <v>24.87</v>
      </c>
      <c r="Q544" s="25" t="s">
        <v>1249</v>
      </c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162"/>
        <v>24.870000000000005</v>
      </c>
      <c r="AF544" s="32">
        <f t="shared" si="163"/>
        <v>0</v>
      </c>
      <c r="AG544" s="30"/>
      <c r="AH544" s="33">
        <v>1</v>
      </c>
      <c r="AI544" s="34">
        <f t="shared" si="164"/>
        <v>24.87</v>
      </c>
      <c r="AJ544" s="35">
        <v>46062</v>
      </c>
      <c r="AK544" s="30">
        <v>1</v>
      </c>
      <c r="AL544" s="36">
        <f t="shared" si="165"/>
        <v>24.87</v>
      </c>
      <c r="AM544" s="35">
        <v>46062</v>
      </c>
      <c r="AN544" s="30">
        <v>1</v>
      </c>
      <c r="AO544" s="36">
        <f t="shared" si="166"/>
        <v>24.87</v>
      </c>
      <c r="AP544" s="35">
        <v>46157</v>
      </c>
      <c r="AQ544" s="30">
        <v>1</v>
      </c>
      <c r="AR544" s="36">
        <f t="shared" si="167"/>
        <v>24.87</v>
      </c>
      <c r="AS544" s="27" t="s">
        <v>1280</v>
      </c>
      <c r="AT544" s="37">
        <v>46157</v>
      </c>
      <c r="AU544" s="30">
        <v>1</v>
      </c>
      <c r="AV544" s="36">
        <f t="shared" si="168"/>
        <v>24.87</v>
      </c>
      <c r="AW544" s="35">
        <v>46160</v>
      </c>
      <c r="AX544" s="30">
        <v>1</v>
      </c>
      <c r="AY544" s="32">
        <f t="shared" si="161"/>
        <v>24.87</v>
      </c>
      <c r="AZ544" s="30" t="s">
        <v>85</v>
      </c>
      <c r="BA544" s="63" t="s">
        <v>1279</v>
      </c>
      <c r="BB544" s="72"/>
      <c r="BC544" s="71" t="s">
        <v>1367</v>
      </c>
      <c r="BD544" s="71"/>
    </row>
    <row r="545" spans="1:56" x14ac:dyDescent="0.25">
      <c r="A545" s="24">
        <f>IF(B545="","",SUBTOTAL(3,$B$4:B545))</f>
        <v>526</v>
      </c>
      <c r="B545" s="25" t="s">
        <v>77</v>
      </c>
      <c r="C545" s="25" t="str">
        <f t="shared" si="146"/>
        <v>Shipment 2 400</v>
      </c>
      <c r="D545" s="25" t="s">
        <v>1252</v>
      </c>
      <c r="E545" s="25">
        <v>400</v>
      </c>
      <c r="F545" s="25"/>
      <c r="G545" s="65">
        <v>45990</v>
      </c>
      <c r="H545" s="25" t="s">
        <v>1257</v>
      </c>
      <c r="I545" s="25" t="s">
        <v>1254</v>
      </c>
      <c r="J545" s="26" t="s">
        <v>1301</v>
      </c>
      <c r="K545" s="27" t="s">
        <v>1092</v>
      </c>
      <c r="L545" s="28" t="s">
        <v>1097</v>
      </c>
      <c r="M545" s="28" t="s">
        <v>1086</v>
      </c>
      <c r="N545" s="25">
        <v>1</v>
      </c>
      <c r="O545" s="29">
        <v>24.87</v>
      </c>
      <c r="P545" s="29">
        <v>24.87</v>
      </c>
      <c r="Q545" s="25" t="s">
        <v>1249</v>
      </c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162"/>
        <v>24.870000000000005</v>
      </c>
      <c r="AF545" s="32">
        <f t="shared" si="163"/>
        <v>0</v>
      </c>
      <c r="AG545" s="30"/>
      <c r="AH545" s="33">
        <v>1</v>
      </c>
      <c r="AI545" s="34">
        <f t="shared" si="164"/>
        <v>24.87</v>
      </c>
      <c r="AJ545" s="35">
        <v>46062</v>
      </c>
      <c r="AK545" s="30">
        <v>1</v>
      </c>
      <c r="AL545" s="36">
        <f t="shared" si="165"/>
        <v>24.87</v>
      </c>
      <c r="AM545" s="35">
        <v>46062</v>
      </c>
      <c r="AN545" s="30">
        <v>1</v>
      </c>
      <c r="AO545" s="36">
        <f t="shared" si="166"/>
        <v>24.87</v>
      </c>
      <c r="AP545" s="35">
        <v>46157</v>
      </c>
      <c r="AQ545" s="30">
        <v>1</v>
      </c>
      <c r="AR545" s="36">
        <f t="shared" si="167"/>
        <v>24.87</v>
      </c>
      <c r="AS545" s="27" t="s">
        <v>1280</v>
      </c>
      <c r="AT545" s="37">
        <v>46157</v>
      </c>
      <c r="AU545" s="30">
        <v>1</v>
      </c>
      <c r="AV545" s="36">
        <f t="shared" si="168"/>
        <v>24.87</v>
      </c>
      <c r="AW545" s="35">
        <v>46160</v>
      </c>
      <c r="AX545" s="30">
        <v>1</v>
      </c>
      <c r="AY545" s="32">
        <f t="shared" si="161"/>
        <v>24.87</v>
      </c>
      <c r="AZ545" s="30" t="s">
        <v>85</v>
      </c>
      <c r="BA545" s="63" t="s">
        <v>1279</v>
      </c>
      <c r="BB545" s="72"/>
      <c r="BC545" s="71" t="s">
        <v>1367</v>
      </c>
      <c r="BD545" s="71"/>
    </row>
    <row r="546" spans="1:56" x14ac:dyDescent="0.25">
      <c r="A546" s="24">
        <f>IF(B546="","",SUBTOTAL(3,$B$4:B546))</f>
        <v>527</v>
      </c>
      <c r="B546" s="25" t="s">
        <v>77</v>
      </c>
      <c r="C546" s="25" t="str">
        <f t="shared" si="146"/>
        <v>Shipment 2 400</v>
      </c>
      <c r="D546" s="25" t="s">
        <v>1252</v>
      </c>
      <c r="E546" s="25">
        <v>400</v>
      </c>
      <c r="F546" s="25"/>
      <c r="G546" s="65">
        <v>45990</v>
      </c>
      <c r="H546" s="25" t="s">
        <v>1257</v>
      </c>
      <c r="I546" s="25" t="s">
        <v>1254</v>
      </c>
      <c r="J546" s="26" t="s">
        <v>1301</v>
      </c>
      <c r="K546" s="27" t="s">
        <v>1092</v>
      </c>
      <c r="L546" s="28" t="s">
        <v>1098</v>
      </c>
      <c r="M546" s="28" t="s">
        <v>1086</v>
      </c>
      <c r="N546" s="25">
        <v>1</v>
      </c>
      <c r="O546" s="29">
        <v>24.87</v>
      </c>
      <c r="P546" s="29">
        <v>24.87</v>
      </c>
      <c r="Q546" s="25" t="s">
        <v>1249</v>
      </c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162"/>
        <v>24.870000000000005</v>
      </c>
      <c r="AF546" s="32">
        <f t="shared" si="163"/>
        <v>0</v>
      </c>
      <c r="AG546" s="30"/>
      <c r="AH546" s="33">
        <v>1</v>
      </c>
      <c r="AI546" s="34">
        <f t="shared" si="164"/>
        <v>24.87</v>
      </c>
      <c r="AJ546" s="35">
        <v>46062</v>
      </c>
      <c r="AK546" s="30">
        <v>1</v>
      </c>
      <c r="AL546" s="36">
        <f t="shared" si="165"/>
        <v>24.87</v>
      </c>
      <c r="AM546" s="35">
        <v>46062</v>
      </c>
      <c r="AN546" s="30">
        <v>1</v>
      </c>
      <c r="AO546" s="36">
        <f t="shared" si="166"/>
        <v>24.87</v>
      </c>
      <c r="AP546" s="35">
        <v>46157</v>
      </c>
      <c r="AQ546" s="30">
        <v>1</v>
      </c>
      <c r="AR546" s="36">
        <f t="shared" si="167"/>
        <v>24.87</v>
      </c>
      <c r="AS546" s="27" t="s">
        <v>1280</v>
      </c>
      <c r="AT546" s="37">
        <v>46157</v>
      </c>
      <c r="AU546" s="30">
        <v>1</v>
      </c>
      <c r="AV546" s="36">
        <f t="shared" si="168"/>
        <v>24.87</v>
      </c>
      <c r="AW546" s="35">
        <v>46160</v>
      </c>
      <c r="AX546" s="30">
        <v>1</v>
      </c>
      <c r="AY546" s="32">
        <f t="shared" si="161"/>
        <v>24.87</v>
      </c>
      <c r="AZ546" s="30" t="s">
        <v>85</v>
      </c>
      <c r="BA546" s="63" t="s">
        <v>1279</v>
      </c>
      <c r="BB546" s="72"/>
      <c r="BC546" s="71" t="s">
        <v>1367</v>
      </c>
      <c r="BD546" s="71"/>
    </row>
    <row r="547" spans="1:56" x14ac:dyDescent="0.25">
      <c r="A547" s="24">
        <f>IF(B547="","",SUBTOTAL(3,$B$4:B547))</f>
        <v>528</v>
      </c>
      <c r="B547" s="25" t="s">
        <v>77</v>
      </c>
      <c r="C547" s="25" t="str">
        <f t="shared" si="146"/>
        <v>Shipment 2 400</v>
      </c>
      <c r="D547" s="25" t="s">
        <v>1252</v>
      </c>
      <c r="E547" s="25">
        <v>400</v>
      </c>
      <c r="F547" s="25"/>
      <c r="G547" s="65">
        <v>45990</v>
      </c>
      <c r="H547" s="25" t="s">
        <v>1257</v>
      </c>
      <c r="I547" s="25" t="s">
        <v>1254</v>
      </c>
      <c r="J547" s="26" t="s">
        <v>1300</v>
      </c>
      <c r="K547" s="27" t="s">
        <v>1099</v>
      </c>
      <c r="L547" s="28" t="s">
        <v>1100</v>
      </c>
      <c r="M547" s="28" t="s">
        <v>1101</v>
      </c>
      <c r="N547" s="25">
        <v>1</v>
      </c>
      <c r="O547" s="29">
        <v>183.65</v>
      </c>
      <c r="P547" s="29">
        <v>183.65</v>
      </c>
      <c r="Q547" s="25" t="s">
        <v>1250</v>
      </c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si="162"/>
        <v>183.65000000000003</v>
      </c>
      <c r="AF547" s="32">
        <f t="shared" si="163"/>
        <v>0</v>
      </c>
      <c r="AG547" s="30"/>
      <c r="AH547" s="33">
        <v>1</v>
      </c>
      <c r="AI547" s="34">
        <f t="shared" si="164"/>
        <v>183.65</v>
      </c>
      <c r="AJ547" s="35">
        <v>46119</v>
      </c>
      <c r="AK547" s="30">
        <v>1</v>
      </c>
      <c r="AL547" s="36">
        <f t="shared" si="165"/>
        <v>183.65</v>
      </c>
      <c r="AM547" s="35">
        <v>46119</v>
      </c>
      <c r="AN547" s="30">
        <v>1</v>
      </c>
      <c r="AO547" s="36">
        <f t="shared" si="166"/>
        <v>183.65</v>
      </c>
      <c r="AP547" s="35"/>
      <c r="AQ547" s="30"/>
      <c r="AR547" s="36">
        <f t="shared" si="167"/>
        <v>0</v>
      </c>
      <c r="AS547" s="27" t="s">
        <v>1370</v>
      </c>
      <c r="AT547" s="37">
        <v>46253</v>
      </c>
      <c r="AU547" s="30">
        <v>1</v>
      </c>
      <c r="AV547" s="36">
        <f t="shared" si="168"/>
        <v>183.65</v>
      </c>
      <c r="AW547" s="35">
        <v>46261</v>
      </c>
      <c r="AX547" s="30">
        <v>1</v>
      </c>
      <c r="AY547" s="32">
        <f t="shared" ref="AY547:AY557" si="169">IFERROR(AX547*$P547/$N547,0)</f>
        <v>183.65</v>
      </c>
      <c r="AZ547" s="30" t="s">
        <v>85</v>
      </c>
      <c r="BA547" s="63" t="s">
        <v>1370</v>
      </c>
      <c r="BB547" s="71" t="e">
        <f>SUMIFS([3]Form!$F$9:$F$15,[3]Form!$D$9:$D$15,BC547)</f>
        <v>#VALUE!</v>
      </c>
      <c r="BC547" s="71" t="s">
        <v>1368</v>
      </c>
      <c r="BD547" s="71"/>
    </row>
    <row r="548" spans="1:56" x14ac:dyDescent="0.25">
      <c r="A548" s="24">
        <f>IF(B548="","",SUBTOTAL(3,$B$4:B548))</f>
        <v>529</v>
      </c>
      <c r="B548" s="25" t="s">
        <v>77</v>
      </c>
      <c r="C548" s="25" t="str">
        <f t="shared" si="146"/>
        <v>Shipment 2 400</v>
      </c>
      <c r="D548" s="25" t="s">
        <v>1252</v>
      </c>
      <c r="E548" s="25">
        <v>400</v>
      </c>
      <c r="F548" s="25"/>
      <c r="G548" s="65">
        <v>45990</v>
      </c>
      <c r="H548" s="25" t="s">
        <v>1257</v>
      </c>
      <c r="I548" s="25" t="s">
        <v>1254</v>
      </c>
      <c r="J548" s="26" t="s">
        <v>1300</v>
      </c>
      <c r="K548" s="27" t="s">
        <v>1099</v>
      </c>
      <c r="L548" s="28" t="s">
        <v>1102</v>
      </c>
      <c r="M548" s="28" t="s">
        <v>1101</v>
      </c>
      <c r="N548" s="25">
        <v>1</v>
      </c>
      <c r="O548" s="29">
        <v>183.65</v>
      </c>
      <c r="P548" s="29">
        <v>183.65</v>
      </c>
      <c r="Q548" s="25" t="s">
        <v>1250</v>
      </c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162"/>
        <v>183.65000000000003</v>
      </c>
      <c r="AF548" s="32">
        <f t="shared" si="163"/>
        <v>0</v>
      </c>
      <c r="AG548" s="30"/>
      <c r="AH548" s="33">
        <v>1</v>
      </c>
      <c r="AI548" s="34">
        <f t="shared" si="164"/>
        <v>183.65</v>
      </c>
      <c r="AJ548" s="35">
        <v>46119</v>
      </c>
      <c r="AK548" s="30">
        <v>1</v>
      </c>
      <c r="AL548" s="36">
        <f t="shared" ref="AL548:AL554" si="170">IFERROR(AK548*$P548/$N548,0)</f>
        <v>183.65</v>
      </c>
      <c r="AM548" s="35">
        <v>46119</v>
      </c>
      <c r="AN548" s="30">
        <v>1</v>
      </c>
      <c r="AO548" s="36">
        <f t="shared" si="166"/>
        <v>183.65</v>
      </c>
      <c r="AP548" s="35"/>
      <c r="AQ548" s="30"/>
      <c r="AR548" s="36">
        <f t="shared" si="167"/>
        <v>0</v>
      </c>
      <c r="AS548" s="27" t="s">
        <v>1370</v>
      </c>
      <c r="AT548" s="37">
        <v>46253</v>
      </c>
      <c r="AU548" s="30">
        <v>1</v>
      </c>
      <c r="AV548" s="36">
        <f t="shared" si="168"/>
        <v>183.65</v>
      </c>
      <c r="AW548" s="35">
        <v>46261</v>
      </c>
      <c r="AX548" s="30">
        <v>1</v>
      </c>
      <c r="AY548" s="32">
        <f t="shared" ref="AY548:AY554" si="171">IFERROR(AX548*$P548/$N548,0)</f>
        <v>183.65</v>
      </c>
      <c r="AZ548" s="30" t="s">
        <v>85</v>
      </c>
      <c r="BA548" s="63" t="s">
        <v>1370</v>
      </c>
      <c r="BB548" s="71" t="e">
        <f>SUMIFS([3]Form!$F$9:$F$15,[3]Form!$D$9:$D$15,BC548)</f>
        <v>#VALUE!</v>
      </c>
      <c r="BC548" s="71" t="s">
        <v>1368</v>
      </c>
      <c r="BD548" s="71"/>
    </row>
    <row r="549" spans="1:56" x14ac:dyDescent="0.25">
      <c r="A549" s="24">
        <f>IF(B549="","",SUBTOTAL(3,$B$4:B549))</f>
        <v>530</v>
      </c>
      <c r="B549" s="25" t="s">
        <v>77</v>
      </c>
      <c r="C549" s="25" t="str">
        <f t="shared" si="146"/>
        <v>Shipment 2 400</v>
      </c>
      <c r="D549" s="25" t="s">
        <v>1252</v>
      </c>
      <c r="E549" s="25">
        <v>400</v>
      </c>
      <c r="F549" s="25"/>
      <c r="G549" s="65">
        <v>45990</v>
      </c>
      <c r="H549" s="25" t="s">
        <v>1257</v>
      </c>
      <c r="I549" s="25" t="s">
        <v>1254</v>
      </c>
      <c r="J549" s="26" t="s">
        <v>1300</v>
      </c>
      <c r="K549" s="27" t="s">
        <v>1103</v>
      </c>
      <c r="L549" s="28" t="s">
        <v>1104</v>
      </c>
      <c r="M549" s="28" t="s">
        <v>1101</v>
      </c>
      <c r="N549" s="25">
        <v>1</v>
      </c>
      <c r="O549" s="29">
        <v>93.32</v>
      </c>
      <c r="P549" s="29">
        <v>93.32</v>
      </c>
      <c r="Q549" s="25" t="s">
        <v>1251</v>
      </c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162"/>
        <v>93.32</v>
      </c>
      <c r="AF549" s="32">
        <f t="shared" si="163"/>
        <v>0</v>
      </c>
      <c r="AG549" s="30"/>
      <c r="AH549" s="33">
        <v>1</v>
      </c>
      <c r="AI549" s="34">
        <f t="shared" si="164"/>
        <v>93.32</v>
      </c>
      <c r="AJ549" s="35">
        <v>46119</v>
      </c>
      <c r="AK549" s="30">
        <v>1</v>
      </c>
      <c r="AL549" s="36">
        <f t="shared" si="170"/>
        <v>93.32</v>
      </c>
      <c r="AM549" s="35">
        <v>46119</v>
      </c>
      <c r="AN549" s="30">
        <v>1</v>
      </c>
      <c r="AO549" s="36">
        <f t="shared" si="166"/>
        <v>93.32</v>
      </c>
      <c r="AP549" s="35"/>
      <c r="AQ549" s="30"/>
      <c r="AR549" s="36">
        <f t="shared" si="167"/>
        <v>0</v>
      </c>
      <c r="AS549" s="27" t="s">
        <v>1370</v>
      </c>
      <c r="AT549" s="37">
        <v>46253</v>
      </c>
      <c r="AU549" s="30">
        <v>1</v>
      </c>
      <c r="AV549" s="36">
        <f t="shared" si="168"/>
        <v>93.32</v>
      </c>
      <c r="AW549" s="35">
        <v>46261</v>
      </c>
      <c r="AX549" s="30">
        <v>1</v>
      </c>
      <c r="AY549" s="32">
        <f t="shared" si="171"/>
        <v>93.32</v>
      </c>
      <c r="AZ549" s="30" t="s">
        <v>85</v>
      </c>
      <c r="BA549" s="63" t="s">
        <v>1370</v>
      </c>
      <c r="BB549" s="71" t="e">
        <f>SUMIFS([3]Form!$F$9:$F$15,[3]Form!$D$9:$D$15,BC549)</f>
        <v>#VALUE!</v>
      </c>
      <c r="BC549" s="71" t="s">
        <v>1369</v>
      </c>
      <c r="BD549" s="71"/>
    </row>
    <row r="550" spans="1:56" x14ac:dyDescent="0.25">
      <c r="A550" s="24">
        <f>IF(B550="","",SUBTOTAL(3,$B$4:B550))</f>
        <v>531</v>
      </c>
      <c r="B550" s="25" t="s">
        <v>77</v>
      </c>
      <c r="C550" s="25" t="str">
        <f t="shared" si="146"/>
        <v>Shipment 2 400</v>
      </c>
      <c r="D550" s="25" t="s">
        <v>1252</v>
      </c>
      <c r="E550" s="25">
        <v>400</v>
      </c>
      <c r="F550" s="25"/>
      <c r="G550" s="65">
        <v>45990</v>
      </c>
      <c r="H550" s="25" t="s">
        <v>1257</v>
      </c>
      <c r="I550" s="25" t="s">
        <v>1254</v>
      </c>
      <c r="J550" s="26" t="s">
        <v>1300</v>
      </c>
      <c r="K550" s="27" t="s">
        <v>1103</v>
      </c>
      <c r="L550" s="28" t="s">
        <v>1105</v>
      </c>
      <c r="M550" s="28" t="s">
        <v>1101</v>
      </c>
      <c r="N550" s="25">
        <v>1</v>
      </c>
      <c r="O550" s="29">
        <v>93.32</v>
      </c>
      <c r="P550" s="29">
        <v>93.32</v>
      </c>
      <c r="Q550" s="25" t="s">
        <v>1251</v>
      </c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162"/>
        <v>93.32</v>
      </c>
      <c r="AF550" s="32">
        <f t="shared" si="163"/>
        <v>0</v>
      </c>
      <c r="AG550" s="30"/>
      <c r="AH550" s="33">
        <v>1</v>
      </c>
      <c r="AI550" s="34">
        <f t="shared" si="164"/>
        <v>93.32</v>
      </c>
      <c r="AJ550" s="35">
        <v>46119</v>
      </c>
      <c r="AK550" s="30">
        <v>1</v>
      </c>
      <c r="AL550" s="36">
        <f t="shared" si="170"/>
        <v>93.32</v>
      </c>
      <c r="AM550" s="35">
        <v>46119</v>
      </c>
      <c r="AN550" s="30">
        <v>1</v>
      </c>
      <c r="AO550" s="36">
        <f t="shared" si="166"/>
        <v>93.32</v>
      </c>
      <c r="AP550" s="35"/>
      <c r="AQ550" s="30"/>
      <c r="AR550" s="36">
        <f t="shared" si="167"/>
        <v>0</v>
      </c>
      <c r="AS550" s="27" t="s">
        <v>1370</v>
      </c>
      <c r="AT550" s="37">
        <v>46253</v>
      </c>
      <c r="AU550" s="30">
        <v>1</v>
      </c>
      <c r="AV550" s="36">
        <f t="shared" si="168"/>
        <v>93.32</v>
      </c>
      <c r="AW550" s="35">
        <v>46261</v>
      </c>
      <c r="AX550" s="30">
        <v>1</v>
      </c>
      <c r="AY550" s="32">
        <f t="shared" si="171"/>
        <v>93.32</v>
      </c>
      <c r="AZ550" s="30" t="s">
        <v>85</v>
      </c>
      <c r="BA550" s="63" t="s">
        <v>1370</v>
      </c>
      <c r="BB550" s="71" t="e">
        <f>SUMIFS([3]Form!$F$9:$F$15,[3]Form!$D$9:$D$15,BC550)</f>
        <v>#VALUE!</v>
      </c>
      <c r="BC550" s="71" t="s">
        <v>1369</v>
      </c>
      <c r="BD550" s="71"/>
    </row>
    <row r="551" spans="1:56" x14ac:dyDescent="0.25">
      <c r="A551" s="24">
        <f>IF(B551="","",SUBTOTAL(3,$B$4:B551))</f>
        <v>532</v>
      </c>
      <c r="B551" s="25" t="s">
        <v>77</v>
      </c>
      <c r="C551" s="25" t="str">
        <f t="shared" si="146"/>
        <v>Shipment 2 400</v>
      </c>
      <c r="D551" s="25" t="s">
        <v>1252</v>
      </c>
      <c r="E551" s="25">
        <v>400</v>
      </c>
      <c r="F551" s="25"/>
      <c r="G551" s="65">
        <v>45990</v>
      </c>
      <c r="H551" s="25" t="s">
        <v>1257</v>
      </c>
      <c r="I551" s="25" t="s">
        <v>1254</v>
      </c>
      <c r="J551" s="26" t="s">
        <v>1300</v>
      </c>
      <c r="K551" s="27" t="s">
        <v>1103</v>
      </c>
      <c r="L551" s="28" t="s">
        <v>1106</v>
      </c>
      <c r="M551" s="28" t="s">
        <v>1101</v>
      </c>
      <c r="N551" s="25">
        <v>1</v>
      </c>
      <c r="O551" s="29">
        <v>93.32</v>
      </c>
      <c r="P551" s="29">
        <v>93.32</v>
      </c>
      <c r="Q551" s="25" t="s">
        <v>1251</v>
      </c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162"/>
        <v>93.32</v>
      </c>
      <c r="AF551" s="32">
        <f t="shared" si="163"/>
        <v>0</v>
      </c>
      <c r="AG551" s="30"/>
      <c r="AH551" s="33">
        <v>1</v>
      </c>
      <c r="AI551" s="34">
        <f t="shared" si="164"/>
        <v>93.32</v>
      </c>
      <c r="AJ551" s="35">
        <v>46119</v>
      </c>
      <c r="AK551" s="30">
        <v>1</v>
      </c>
      <c r="AL551" s="36">
        <f t="shared" si="170"/>
        <v>93.32</v>
      </c>
      <c r="AM551" s="35">
        <v>46119</v>
      </c>
      <c r="AN551" s="30">
        <v>1</v>
      </c>
      <c r="AO551" s="36">
        <f t="shared" si="166"/>
        <v>93.32</v>
      </c>
      <c r="AP551" s="35"/>
      <c r="AQ551" s="30"/>
      <c r="AR551" s="36">
        <f t="shared" si="167"/>
        <v>0</v>
      </c>
      <c r="AS551" s="27" t="s">
        <v>1370</v>
      </c>
      <c r="AT551" s="37">
        <v>46253</v>
      </c>
      <c r="AU551" s="30">
        <v>1</v>
      </c>
      <c r="AV551" s="36">
        <f t="shared" si="168"/>
        <v>93.32</v>
      </c>
      <c r="AW551" s="35">
        <v>46261</v>
      </c>
      <c r="AX551" s="30">
        <v>1</v>
      </c>
      <c r="AY551" s="32">
        <f t="shared" si="171"/>
        <v>93.32</v>
      </c>
      <c r="AZ551" s="30" t="s">
        <v>85</v>
      </c>
      <c r="BA551" s="63" t="s">
        <v>1370</v>
      </c>
      <c r="BB551" s="71" t="e">
        <f>SUMIFS([3]Form!$F$9:$F$15,[3]Form!$D$9:$D$15,BC551)</f>
        <v>#VALUE!</v>
      </c>
      <c r="BC551" s="71" t="s">
        <v>1369</v>
      </c>
      <c r="BD551" s="71"/>
    </row>
    <row r="552" spans="1:56" x14ac:dyDescent="0.25">
      <c r="A552" s="24">
        <f>IF(B552="","",SUBTOTAL(3,$B$4:B552))</f>
        <v>533</v>
      </c>
      <c r="B552" s="25" t="s">
        <v>77</v>
      </c>
      <c r="C552" s="25" t="str">
        <f t="shared" si="146"/>
        <v>Shipment 2 400</v>
      </c>
      <c r="D552" s="25" t="s">
        <v>1252</v>
      </c>
      <c r="E552" s="25">
        <v>400</v>
      </c>
      <c r="F552" s="25"/>
      <c r="G552" s="65">
        <v>45990</v>
      </c>
      <c r="H552" s="25" t="s">
        <v>1257</v>
      </c>
      <c r="I552" s="25" t="s">
        <v>1254</v>
      </c>
      <c r="J552" s="26" t="s">
        <v>1300</v>
      </c>
      <c r="K552" s="27" t="s">
        <v>1103</v>
      </c>
      <c r="L552" s="28" t="s">
        <v>1107</v>
      </c>
      <c r="M552" s="28" t="s">
        <v>1101</v>
      </c>
      <c r="N552" s="25">
        <v>1</v>
      </c>
      <c r="O552" s="29">
        <v>93.32</v>
      </c>
      <c r="P552" s="29">
        <v>93.32</v>
      </c>
      <c r="Q552" s="25" t="s">
        <v>1251</v>
      </c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162"/>
        <v>93.32</v>
      </c>
      <c r="AF552" s="32">
        <f t="shared" si="163"/>
        <v>0</v>
      </c>
      <c r="AG552" s="30"/>
      <c r="AH552" s="33">
        <v>1</v>
      </c>
      <c r="AI552" s="34">
        <f t="shared" si="164"/>
        <v>93.32</v>
      </c>
      <c r="AJ552" s="35">
        <v>46119</v>
      </c>
      <c r="AK552" s="30">
        <v>1</v>
      </c>
      <c r="AL552" s="36">
        <f t="shared" si="170"/>
        <v>93.32</v>
      </c>
      <c r="AM552" s="35">
        <v>46119</v>
      </c>
      <c r="AN552" s="30">
        <v>1</v>
      </c>
      <c r="AO552" s="36">
        <f t="shared" si="166"/>
        <v>93.32</v>
      </c>
      <c r="AP552" s="35"/>
      <c r="AQ552" s="30"/>
      <c r="AR552" s="36">
        <f t="shared" si="167"/>
        <v>0</v>
      </c>
      <c r="AS552" s="27" t="s">
        <v>1370</v>
      </c>
      <c r="AT552" s="37">
        <v>46253</v>
      </c>
      <c r="AU552" s="30">
        <v>1</v>
      </c>
      <c r="AV552" s="36">
        <f t="shared" si="168"/>
        <v>93.32</v>
      </c>
      <c r="AW552" s="35">
        <v>46261</v>
      </c>
      <c r="AX552" s="30">
        <v>1</v>
      </c>
      <c r="AY552" s="32">
        <f t="shared" si="171"/>
        <v>93.32</v>
      </c>
      <c r="AZ552" s="30" t="s">
        <v>85</v>
      </c>
      <c r="BA552" s="63" t="s">
        <v>1370</v>
      </c>
      <c r="BB552" s="71" t="e">
        <f>SUMIFS([3]Form!$F$9:$F$15,[3]Form!$D$9:$D$15,BC552)</f>
        <v>#VALUE!</v>
      </c>
      <c r="BC552" s="71" t="s">
        <v>1369</v>
      </c>
      <c r="BD552" s="71"/>
    </row>
    <row r="553" spans="1:56" x14ac:dyDescent="0.25">
      <c r="A553" s="24">
        <f>IF(B553="","",SUBTOTAL(3,$B$4:B553))</f>
        <v>534</v>
      </c>
      <c r="B553" s="25" t="s">
        <v>77</v>
      </c>
      <c r="C553" s="25" t="str">
        <f t="shared" si="146"/>
        <v>Shipment 2 400</v>
      </c>
      <c r="D553" s="25" t="s">
        <v>1252</v>
      </c>
      <c r="E553" s="25">
        <v>400</v>
      </c>
      <c r="F553" s="25"/>
      <c r="G553" s="65">
        <v>45990</v>
      </c>
      <c r="H553" s="25" t="s">
        <v>1257</v>
      </c>
      <c r="I553" s="25" t="s">
        <v>1254</v>
      </c>
      <c r="J553" s="26" t="s">
        <v>1300</v>
      </c>
      <c r="K553" s="27" t="s">
        <v>1103</v>
      </c>
      <c r="L553" s="28" t="s">
        <v>1108</v>
      </c>
      <c r="M553" s="28" t="s">
        <v>1101</v>
      </c>
      <c r="N553" s="25">
        <v>1</v>
      </c>
      <c r="O553" s="29">
        <v>93.32</v>
      </c>
      <c r="P553" s="29">
        <v>93.32</v>
      </c>
      <c r="Q553" s="25" t="s">
        <v>1251</v>
      </c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162"/>
        <v>93.32</v>
      </c>
      <c r="AF553" s="32">
        <f t="shared" si="163"/>
        <v>0</v>
      </c>
      <c r="AG553" s="30"/>
      <c r="AH553" s="33">
        <v>1</v>
      </c>
      <c r="AI553" s="34">
        <f t="shared" si="164"/>
        <v>93.32</v>
      </c>
      <c r="AJ553" s="35">
        <v>46119</v>
      </c>
      <c r="AK553" s="30">
        <v>1</v>
      </c>
      <c r="AL553" s="36">
        <f t="shared" si="170"/>
        <v>93.32</v>
      </c>
      <c r="AM553" s="35">
        <v>46119</v>
      </c>
      <c r="AN553" s="30">
        <v>1</v>
      </c>
      <c r="AO553" s="36">
        <f t="shared" si="166"/>
        <v>93.32</v>
      </c>
      <c r="AP553" s="35"/>
      <c r="AQ553" s="30"/>
      <c r="AR553" s="36">
        <f t="shared" si="167"/>
        <v>0</v>
      </c>
      <c r="AS553" s="27" t="s">
        <v>1370</v>
      </c>
      <c r="AT553" s="37">
        <v>46253</v>
      </c>
      <c r="AU553" s="30">
        <v>1</v>
      </c>
      <c r="AV553" s="36">
        <f t="shared" si="168"/>
        <v>93.32</v>
      </c>
      <c r="AW553" s="35">
        <v>46261</v>
      </c>
      <c r="AX553" s="30">
        <v>1</v>
      </c>
      <c r="AY553" s="32">
        <f t="shared" si="171"/>
        <v>93.32</v>
      </c>
      <c r="AZ553" s="30" t="s">
        <v>85</v>
      </c>
      <c r="BA553" s="63" t="s">
        <v>1370</v>
      </c>
      <c r="BB553" s="71" t="e">
        <f>SUMIFS([3]Form!$F$9:$F$15,[3]Form!$D$9:$D$15,BC553)</f>
        <v>#VALUE!</v>
      </c>
      <c r="BC553" s="71" t="s">
        <v>1369</v>
      </c>
      <c r="BD553" s="71"/>
    </row>
    <row r="554" spans="1:56" x14ac:dyDescent="0.25">
      <c r="A554" s="24">
        <f>IF(B554="","",SUBTOTAL(3,$B$4:B554))</f>
        <v>535</v>
      </c>
      <c r="B554" s="25" t="s">
        <v>77</v>
      </c>
      <c r="C554" s="25" t="str">
        <f t="shared" si="146"/>
        <v>Shipment 2 400</v>
      </c>
      <c r="D554" s="25" t="s">
        <v>1252</v>
      </c>
      <c r="E554" s="25">
        <v>400</v>
      </c>
      <c r="F554" s="25"/>
      <c r="G554" s="65">
        <v>45990</v>
      </c>
      <c r="H554" s="25" t="s">
        <v>1257</v>
      </c>
      <c r="I554" s="25" t="s">
        <v>1254</v>
      </c>
      <c r="J554" s="26" t="s">
        <v>1300</v>
      </c>
      <c r="K554" s="27" t="s">
        <v>1103</v>
      </c>
      <c r="L554" s="28" t="s">
        <v>1109</v>
      </c>
      <c r="M554" s="28" t="s">
        <v>1101</v>
      </c>
      <c r="N554" s="25">
        <v>1</v>
      </c>
      <c r="O554" s="29">
        <v>93.32</v>
      </c>
      <c r="P554" s="29">
        <v>93.32</v>
      </c>
      <c r="Q554" s="25" t="s">
        <v>1251</v>
      </c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162"/>
        <v>93.32</v>
      </c>
      <c r="AF554" s="32">
        <f t="shared" si="163"/>
        <v>0</v>
      </c>
      <c r="AG554" s="30"/>
      <c r="AH554" s="33">
        <v>1</v>
      </c>
      <c r="AI554" s="34">
        <f t="shared" si="164"/>
        <v>93.32</v>
      </c>
      <c r="AJ554" s="35">
        <v>46119</v>
      </c>
      <c r="AK554" s="30">
        <v>1</v>
      </c>
      <c r="AL554" s="36">
        <f t="shared" si="170"/>
        <v>93.32</v>
      </c>
      <c r="AM554" s="35">
        <v>46119</v>
      </c>
      <c r="AN554" s="30">
        <v>1</v>
      </c>
      <c r="AO554" s="36">
        <f t="shared" si="166"/>
        <v>93.32</v>
      </c>
      <c r="AP554" s="35"/>
      <c r="AQ554" s="30"/>
      <c r="AR554" s="36">
        <f t="shared" si="167"/>
        <v>0</v>
      </c>
      <c r="AS554" s="27" t="s">
        <v>1370</v>
      </c>
      <c r="AT554" s="37">
        <v>46253</v>
      </c>
      <c r="AU554" s="30">
        <v>1</v>
      </c>
      <c r="AV554" s="36">
        <f t="shared" si="168"/>
        <v>93.32</v>
      </c>
      <c r="AW554" s="35">
        <v>46261</v>
      </c>
      <c r="AX554" s="30">
        <v>1</v>
      </c>
      <c r="AY554" s="32">
        <f t="shared" si="171"/>
        <v>93.32</v>
      </c>
      <c r="AZ554" s="30" t="s">
        <v>85</v>
      </c>
      <c r="BA554" s="63" t="s">
        <v>1370</v>
      </c>
      <c r="BB554" s="71" t="e">
        <f>SUMIFS([3]Form!$F$9:$F$15,[3]Form!$D$9:$D$15,BC554)</f>
        <v>#VALUE!</v>
      </c>
      <c r="BC554" s="71" t="s">
        <v>1369</v>
      </c>
      <c r="BD554" s="71"/>
    </row>
    <row r="555" spans="1:56" x14ac:dyDescent="0.25">
      <c r="A555" s="24">
        <f>IF(B555="","",SUBTOTAL(3,$B$4:B555))</f>
        <v>536</v>
      </c>
      <c r="B555" s="25" t="s">
        <v>77</v>
      </c>
      <c r="C555" s="25" t="str">
        <f t="shared" ref="C555" si="172">D555&amp;" "&amp;E555</f>
        <v>Shipment 2 400</v>
      </c>
      <c r="D555" s="25" t="s">
        <v>1252</v>
      </c>
      <c r="E555" s="25">
        <v>400</v>
      </c>
      <c r="F555" s="25"/>
      <c r="G555" s="65">
        <v>45990</v>
      </c>
      <c r="H555" s="25" t="s">
        <v>1257</v>
      </c>
      <c r="I555" s="25" t="s">
        <v>1254</v>
      </c>
      <c r="J555" s="26" t="s">
        <v>1300</v>
      </c>
      <c r="K555" s="27" t="s">
        <v>1287</v>
      </c>
      <c r="L555" s="28" t="s">
        <v>1288</v>
      </c>
      <c r="M555" s="28" t="s">
        <v>1291</v>
      </c>
      <c r="N555" s="25">
        <v>1</v>
      </c>
      <c r="O555" s="29">
        <v>1216.27</v>
      </c>
      <c r="P555" s="29">
        <v>1216.27</v>
      </c>
      <c r="Q555" s="25" t="s">
        <v>1289</v>
      </c>
      <c r="R555" s="25"/>
      <c r="S555" s="26" t="s">
        <v>1290</v>
      </c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162"/>
        <v>1216.27</v>
      </c>
      <c r="AF555" s="32">
        <f t="shared" si="163"/>
        <v>0</v>
      </c>
      <c r="AG555" s="30"/>
      <c r="AH555" s="33"/>
      <c r="AI555" s="34">
        <f t="shared" si="164"/>
        <v>0</v>
      </c>
      <c r="AJ555" s="35">
        <v>46233</v>
      </c>
      <c r="AK555" s="30">
        <v>1</v>
      </c>
      <c r="AL555" s="36">
        <f t="shared" si="165"/>
        <v>1216.27</v>
      </c>
      <c r="AM555" s="35">
        <v>46233</v>
      </c>
      <c r="AN555" s="30">
        <v>1</v>
      </c>
      <c r="AO555" s="36">
        <f t="shared" si="166"/>
        <v>1216.27</v>
      </c>
      <c r="AP555" s="35"/>
      <c r="AQ555" s="30"/>
      <c r="AR555" s="36">
        <f t="shared" si="167"/>
        <v>0</v>
      </c>
      <c r="AS555" s="27" t="s">
        <v>1308</v>
      </c>
      <c r="AT555" s="37">
        <v>46234</v>
      </c>
      <c r="AU555" s="30">
        <v>1</v>
      </c>
      <c r="AV555" s="36">
        <f t="shared" si="168"/>
        <v>1216.27</v>
      </c>
      <c r="AW555" s="35">
        <v>46239</v>
      </c>
      <c r="AX555" s="30">
        <v>1</v>
      </c>
      <c r="AY555" s="32">
        <f t="shared" si="169"/>
        <v>1216.27</v>
      </c>
      <c r="AZ555" s="30" t="s">
        <v>1309</v>
      </c>
      <c r="BA555" s="63" t="s">
        <v>1296</v>
      </c>
      <c r="BB555" s="71"/>
      <c r="BC555" s="71" t="s">
        <v>1288</v>
      </c>
      <c r="BD555" s="71"/>
    </row>
    <row r="556" spans="1:56" hidden="1" x14ac:dyDescent="0.25">
      <c r="A556" s="24" t="str">
        <f>IF(B556="","",SUBTOTAL(3,$B$4:B556))</f>
        <v/>
      </c>
      <c r="B556" s="25"/>
      <c r="C556" s="25" t="str">
        <f t="shared" ref="C556:C557" si="173">D556&amp;" "&amp;E556</f>
        <v xml:space="preserve"> </v>
      </c>
      <c r="D556" s="25"/>
      <c r="E556" s="25"/>
      <c r="F556" s="25"/>
      <c r="G556" s="65"/>
      <c r="H556" s="25"/>
      <c r="I556" s="25"/>
      <c r="J556" s="26"/>
      <c r="K556" s="27"/>
      <c r="L556" s="28"/>
      <c r="M556" s="28"/>
      <c r="N556" s="25"/>
      <c r="O556" s="29"/>
      <c r="P556" s="29"/>
      <c r="Q556" s="25"/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162"/>
        <v>0</v>
      </c>
      <c r="AF556" s="32">
        <f t="shared" si="163"/>
        <v>0</v>
      </c>
      <c r="AG556" s="30"/>
      <c r="AH556" s="33"/>
      <c r="AI556" s="34">
        <f t="shared" si="164"/>
        <v>0</v>
      </c>
      <c r="AJ556" s="35"/>
      <c r="AK556" s="30"/>
      <c r="AL556" s="36">
        <f t="shared" si="165"/>
        <v>0</v>
      </c>
      <c r="AM556" s="35"/>
      <c r="AN556" s="30"/>
      <c r="AO556" s="36">
        <f t="shared" si="166"/>
        <v>0</v>
      </c>
      <c r="AP556" s="35"/>
      <c r="AQ556" s="30"/>
      <c r="AR556" s="36">
        <f t="shared" si="167"/>
        <v>0</v>
      </c>
      <c r="AS556" s="27"/>
      <c r="AT556" s="37"/>
      <c r="AU556" s="30"/>
      <c r="AV556" s="36">
        <f t="shared" si="168"/>
        <v>0</v>
      </c>
      <c r="AW556" s="35"/>
      <c r="AX556" s="30"/>
      <c r="AY556" s="32">
        <f t="shared" si="169"/>
        <v>0</v>
      </c>
      <c r="AZ556" s="30"/>
      <c r="BA556" s="63"/>
      <c r="BB556" s="71"/>
      <c r="BC556" s="71"/>
      <c r="BD556" s="71"/>
    </row>
    <row r="557" spans="1:56" hidden="1" x14ac:dyDescent="0.25">
      <c r="A557" s="24" t="str">
        <f>IF(B557="","",SUBTOTAL(3,$B$4:B557))</f>
        <v/>
      </c>
      <c r="B557" s="25"/>
      <c r="C557" s="25" t="str">
        <f t="shared" si="173"/>
        <v xml:space="preserve"> </v>
      </c>
      <c r="D557" s="25"/>
      <c r="E557" s="25"/>
      <c r="F557" s="25"/>
      <c r="G557" s="65"/>
      <c r="H557" s="25"/>
      <c r="I557" s="25"/>
      <c r="J557" s="26"/>
      <c r="K557" s="27"/>
      <c r="L557" s="28"/>
      <c r="M557" s="28"/>
      <c r="N557" s="25"/>
      <c r="O557" s="29"/>
      <c r="P557" s="29"/>
      <c r="Q557" s="25"/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162"/>
        <v>0</v>
      </c>
      <c r="AF557" s="32">
        <f t="shared" si="163"/>
        <v>0</v>
      </c>
      <c r="AG557" s="30"/>
      <c r="AH557" s="33"/>
      <c r="AI557" s="34">
        <f t="shared" si="164"/>
        <v>0</v>
      </c>
      <c r="AJ557" s="35"/>
      <c r="AK557" s="30"/>
      <c r="AL557" s="36">
        <f t="shared" si="165"/>
        <v>0</v>
      </c>
      <c r="AM557" s="35"/>
      <c r="AN557" s="30"/>
      <c r="AO557" s="36">
        <f t="shared" si="166"/>
        <v>0</v>
      </c>
      <c r="AP557" s="35"/>
      <c r="AQ557" s="30"/>
      <c r="AR557" s="36">
        <f t="shared" si="167"/>
        <v>0</v>
      </c>
      <c r="AS557" s="27"/>
      <c r="AT557" s="37"/>
      <c r="AU557" s="30"/>
      <c r="AV557" s="36">
        <f t="shared" si="168"/>
        <v>0</v>
      </c>
      <c r="AW557" s="35"/>
      <c r="AX557" s="30"/>
      <c r="AY557" s="32">
        <f t="shared" si="169"/>
        <v>0</v>
      </c>
      <c r="AZ557" s="30"/>
      <c r="BA557" s="63"/>
      <c r="BB557" s="71"/>
      <c r="BC557" s="71"/>
      <c r="BD557" s="71"/>
    </row>
    <row r="558" spans="1:56" hidden="1" x14ac:dyDescent="0.25">
      <c r="A558" s="24" t="str">
        <f>IF(B558="","",SUBTOTAL(3,$B$4:B558))</f>
        <v/>
      </c>
      <c r="B558" s="25"/>
      <c r="C558" s="25" t="str">
        <f t="shared" ref="C558:C572" si="174">D558&amp;" "&amp;E558</f>
        <v xml:space="preserve"> </v>
      </c>
      <c r="D558" s="25"/>
      <c r="E558" s="25"/>
      <c r="F558" s="25"/>
      <c r="G558" s="65"/>
      <c r="H558" s="25"/>
      <c r="I558" s="25"/>
      <c r="J558" s="26"/>
      <c r="K558" s="27"/>
      <c r="L558" s="28"/>
      <c r="M558" s="28"/>
      <c r="N558" s="25"/>
      <c r="O558" s="29"/>
      <c r="P558" s="29"/>
      <c r="Q558" s="25"/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ref="AE558:AE572" si="175">+AL558*0.5+AO558*0.4+AV558*0.1</f>
        <v>0</v>
      </c>
      <c r="AF558" s="32">
        <f t="shared" ref="AF558:AF572" si="176">+P558-AE558</f>
        <v>0</v>
      </c>
      <c r="AG558" s="30"/>
      <c r="AH558" s="33"/>
      <c r="AI558" s="34">
        <f t="shared" ref="AI558:AI572" si="177">+AH558*P558</f>
        <v>0</v>
      </c>
      <c r="AJ558" s="35"/>
      <c r="AK558" s="30"/>
      <c r="AL558" s="36">
        <f t="shared" ref="AL558:AL572" si="178">IFERROR(AK558*$P558/$N558,0)</f>
        <v>0</v>
      </c>
      <c r="AM558" s="35"/>
      <c r="AN558" s="30"/>
      <c r="AO558" s="36">
        <f t="shared" ref="AO558:AO572" si="179">IFERROR(AN558*$P558/$N558,0)</f>
        <v>0</v>
      </c>
      <c r="AP558" s="35"/>
      <c r="AQ558" s="30"/>
      <c r="AR558" s="36">
        <f t="shared" ref="AR558:AR572" si="180">IFERROR(AQ558*$P558/$N558,0)</f>
        <v>0</v>
      </c>
      <c r="AS558" s="27"/>
      <c r="AT558" s="37"/>
      <c r="AU558" s="30"/>
      <c r="AV558" s="36">
        <f t="shared" ref="AV558:AV572" si="181">IFERROR(AU558*$P558/$N558,0)</f>
        <v>0</v>
      </c>
      <c r="AW558" s="35"/>
      <c r="AX558" s="30"/>
      <c r="AY558" s="32">
        <f t="shared" ref="AY558:AY572" si="182">IFERROR(AX558*$P558/$N558,0)</f>
        <v>0</v>
      </c>
      <c r="AZ558" s="30"/>
      <c r="BA558" s="63"/>
      <c r="BB558" s="71"/>
      <c r="BC558" s="71"/>
      <c r="BD558" s="71"/>
    </row>
    <row r="559" spans="1:56" hidden="1" x14ac:dyDescent="0.25">
      <c r="A559" s="24" t="str">
        <f>IF(B559="","",SUBTOTAL(3,$B$4:B559))</f>
        <v/>
      </c>
      <c r="B559" s="25"/>
      <c r="C559" s="25" t="str">
        <f t="shared" si="174"/>
        <v xml:space="preserve"> </v>
      </c>
      <c r="D559" s="25"/>
      <c r="E559" s="25"/>
      <c r="F559" s="25"/>
      <c r="G559" s="65"/>
      <c r="H559" s="25"/>
      <c r="I559" s="25"/>
      <c r="J559" s="26"/>
      <c r="K559" s="27"/>
      <c r="L559" s="28"/>
      <c r="M559" s="28"/>
      <c r="N559" s="25"/>
      <c r="O559" s="29"/>
      <c r="P559" s="29"/>
      <c r="Q559" s="25"/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75"/>
        <v>0</v>
      </c>
      <c r="AF559" s="32">
        <f t="shared" si="176"/>
        <v>0</v>
      </c>
      <c r="AG559" s="30"/>
      <c r="AH559" s="33"/>
      <c r="AI559" s="34">
        <f t="shared" si="177"/>
        <v>0</v>
      </c>
      <c r="AJ559" s="35"/>
      <c r="AK559" s="30"/>
      <c r="AL559" s="36">
        <f t="shared" si="178"/>
        <v>0</v>
      </c>
      <c r="AM559" s="35"/>
      <c r="AN559" s="30"/>
      <c r="AO559" s="36">
        <f t="shared" si="179"/>
        <v>0</v>
      </c>
      <c r="AP559" s="35"/>
      <c r="AQ559" s="30"/>
      <c r="AR559" s="36">
        <f t="shared" si="180"/>
        <v>0</v>
      </c>
      <c r="AS559" s="27"/>
      <c r="AT559" s="37"/>
      <c r="AU559" s="30"/>
      <c r="AV559" s="36">
        <f t="shared" si="181"/>
        <v>0</v>
      </c>
      <c r="AW559" s="35"/>
      <c r="AX559" s="30"/>
      <c r="AY559" s="32">
        <f t="shared" si="182"/>
        <v>0</v>
      </c>
      <c r="AZ559" s="30"/>
      <c r="BA559" s="63"/>
      <c r="BB559" s="71"/>
      <c r="BC559" s="71"/>
      <c r="BD559" s="71"/>
    </row>
    <row r="560" spans="1:56" hidden="1" x14ac:dyDescent="0.25">
      <c r="A560" s="24" t="str">
        <f>IF(B560="","",SUBTOTAL(3,$B$4:B560))</f>
        <v/>
      </c>
      <c r="B560" s="25"/>
      <c r="C560" s="25" t="str">
        <f t="shared" si="174"/>
        <v xml:space="preserve"> </v>
      </c>
      <c r="D560" s="25"/>
      <c r="E560" s="25"/>
      <c r="F560" s="25"/>
      <c r="G560" s="65"/>
      <c r="H560" s="25"/>
      <c r="I560" s="25"/>
      <c r="J560" s="26"/>
      <c r="K560" s="27"/>
      <c r="L560" s="28"/>
      <c r="M560" s="28"/>
      <c r="N560" s="25"/>
      <c r="O560" s="29"/>
      <c r="P560" s="29"/>
      <c r="Q560" s="25"/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75"/>
        <v>0</v>
      </c>
      <c r="AF560" s="32">
        <f t="shared" si="176"/>
        <v>0</v>
      </c>
      <c r="AG560" s="30"/>
      <c r="AH560" s="33"/>
      <c r="AI560" s="34">
        <f t="shared" si="177"/>
        <v>0</v>
      </c>
      <c r="AJ560" s="35"/>
      <c r="AK560" s="30"/>
      <c r="AL560" s="36">
        <f t="shared" si="178"/>
        <v>0</v>
      </c>
      <c r="AM560" s="35"/>
      <c r="AN560" s="30"/>
      <c r="AO560" s="36">
        <f t="shared" si="179"/>
        <v>0</v>
      </c>
      <c r="AP560" s="35"/>
      <c r="AQ560" s="30"/>
      <c r="AR560" s="36">
        <f t="shared" si="180"/>
        <v>0</v>
      </c>
      <c r="AS560" s="27"/>
      <c r="AT560" s="37"/>
      <c r="AU560" s="30"/>
      <c r="AV560" s="36">
        <f t="shared" si="181"/>
        <v>0</v>
      </c>
      <c r="AW560" s="35"/>
      <c r="AX560" s="30"/>
      <c r="AY560" s="32">
        <f t="shared" si="182"/>
        <v>0</v>
      </c>
      <c r="AZ560" s="30"/>
      <c r="BA560" s="63"/>
      <c r="BB560" s="71"/>
      <c r="BC560" s="71"/>
      <c r="BD560" s="71"/>
    </row>
    <row r="561" spans="1:56" hidden="1" x14ac:dyDescent="0.25">
      <c r="A561" s="24" t="str">
        <f>IF(B561="","",SUBTOTAL(3,$B$4:B561))</f>
        <v/>
      </c>
      <c r="B561" s="25"/>
      <c r="C561" s="25" t="str">
        <f t="shared" si="174"/>
        <v xml:space="preserve"> </v>
      </c>
      <c r="D561" s="25"/>
      <c r="E561" s="25"/>
      <c r="F561" s="25"/>
      <c r="G561" s="65"/>
      <c r="H561" s="25"/>
      <c r="I561" s="25"/>
      <c r="J561" s="26"/>
      <c r="K561" s="27"/>
      <c r="L561" s="28"/>
      <c r="M561" s="28"/>
      <c r="N561" s="25"/>
      <c r="O561" s="29"/>
      <c r="P561" s="29"/>
      <c r="Q561" s="25"/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75"/>
        <v>0</v>
      </c>
      <c r="AF561" s="32">
        <f t="shared" si="176"/>
        <v>0</v>
      </c>
      <c r="AG561" s="30"/>
      <c r="AH561" s="33"/>
      <c r="AI561" s="34">
        <f t="shared" si="177"/>
        <v>0</v>
      </c>
      <c r="AJ561" s="35"/>
      <c r="AK561" s="30"/>
      <c r="AL561" s="36">
        <f t="shared" si="178"/>
        <v>0</v>
      </c>
      <c r="AM561" s="35"/>
      <c r="AN561" s="30"/>
      <c r="AO561" s="36">
        <f t="shared" si="179"/>
        <v>0</v>
      </c>
      <c r="AP561" s="35"/>
      <c r="AQ561" s="30"/>
      <c r="AR561" s="36">
        <f t="shared" si="180"/>
        <v>0</v>
      </c>
      <c r="AS561" s="27"/>
      <c r="AT561" s="37"/>
      <c r="AU561" s="30"/>
      <c r="AV561" s="36">
        <f t="shared" si="181"/>
        <v>0</v>
      </c>
      <c r="AW561" s="35"/>
      <c r="AX561" s="30"/>
      <c r="AY561" s="32">
        <f t="shared" si="182"/>
        <v>0</v>
      </c>
      <c r="AZ561" s="30"/>
      <c r="BA561" s="63"/>
      <c r="BB561" s="71"/>
      <c r="BC561" s="71"/>
      <c r="BD561" s="71"/>
    </row>
    <row r="562" spans="1:56" hidden="1" x14ac:dyDescent="0.25">
      <c r="A562" s="24" t="str">
        <f>IF(B562="","",SUBTOTAL(3,$B$4:B562))</f>
        <v/>
      </c>
      <c r="B562" s="25"/>
      <c r="C562" s="25" t="str">
        <f t="shared" si="174"/>
        <v xml:space="preserve"> </v>
      </c>
      <c r="D562" s="25"/>
      <c r="E562" s="25"/>
      <c r="F562" s="25"/>
      <c r="G562" s="65"/>
      <c r="H562" s="25"/>
      <c r="I562" s="25"/>
      <c r="J562" s="26"/>
      <c r="K562" s="27"/>
      <c r="L562" s="28"/>
      <c r="M562" s="28"/>
      <c r="N562" s="25"/>
      <c r="O562" s="29"/>
      <c r="P562" s="29"/>
      <c r="Q562" s="25"/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75"/>
        <v>0</v>
      </c>
      <c r="AF562" s="32">
        <f t="shared" si="176"/>
        <v>0</v>
      </c>
      <c r="AG562" s="30"/>
      <c r="AH562" s="33"/>
      <c r="AI562" s="34">
        <f t="shared" si="177"/>
        <v>0</v>
      </c>
      <c r="AJ562" s="35"/>
      <c r="AK562" s="30"/>
      <c r="AL562" s="36">
        <f t="shared" si="178"/>
        <v>0</v>
      </c>
      <c r="AM562" s="35"/>
      <c r="AN562" s="30"/>
      <c r="AO562" s="36">
        <f t="shared" si="179"/>
        <v>0</v>
      </c>
      <c r="AP562" s="35"/>
      <c r="AQ562" s="30"/>
      <c r="AR562" s="36">
        <f t="shared" si="180"/>
        <v>0</v>
      </c>
      <c r="AS562" s="27"/>
      <c r="AT562" s="37"/>
      <c r="AU562" s="30"/>
      <c r="AV562" s="36">
        <f t="shared" si="181"/>
        <v>0</v>
      </c>
      <c r="AW562" s="35"/>
      <c r="AX562" s="30"/>
      <c r="AY562" s="32">
        <f t="shared" si="182"/>
        <v>0</v>
      </c>
      <c r="AZ562" s="30"/>
      <c r="BA562" s="63"/>
      <c r="BB562" s="71"/>
      <c r="BC562" s="71"/>
      <c r="BD562" s="71"/>
    </row>
    <row r="563" spans="1:56" hidden="1" x14ac:dyDescent="0.25">
      <c r="A563" s="24" t="str">
        <f>IF(B563="","",SUBTOTAL(3,$B$4:B563))</f>
        <v/>
      </c>
      <c r="B563" s="25"/>
      <c r="C563" s="25" t="str">
        <f t="shared" si="174"/>
        <v xml:space="preserve"> </v>
      </c>
      <c r="D563" s="25"/>
      <c r="E563" s="25"/>
      <c r="F563" s="25"/>
      <c r="G563" s="65"/>
      <c r="H563" s="25"/>
      <c r="I563" s="25"/>
      <c r="J563" s="26"/>
      <c r="K563" s="27"/>
      <c r="L563" s="28"/>
      <c r="M563" s="28"/>
      <c r="N563" s="25"/>
      <c r="O563" s="29"/>
      <c r="P563" s="29"/>
      <c r="Q563" s="25"/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75"/>
        <v>0</v>
      </c>
      <c r="AF563" s="32">
        <f t="shared" si="176"/>
        <v>0</v>
      </c>
      <c r="AG563" s="30"/>
      <c r="AH563" s="33"/>
      <c r="AI563" s="34">
        <f t="shared" si="177"/>
        <v>0</v>
      </c>
      <c r="AJ563" s="35"/>
      <c r="AK563" s="30"/>
      <c r="AL563" s="36">
        <f t="shared" si="178"/>
        <v>0</v>
      </c>
      <c r="AM563" s="35"/>
      <c r="AN563" s="30"/>
      <c r="AO563" s="36">
        <f t="shared" si="179"/>
        <v>0</v>
      </c>
      <c r="AP563" s="35"/>
      <c r="AQ563" s="30"/>
      <c r="AR563" s="36">
        <f t="shared" si="180"/>
        <v>0</v>
      </c>
      <c r="AS563" s="27"/>
      <c r="AT563" s="37"/>
      <c r="AU563" s="30"/>
      <c r="AV563" s="36">
        <f t="shared" si="181"/>
        <v>0</v>
      </c>
      <c r="AW563" s="35"/>
      <c r="AX563" s="30"/>
      <c r="AY563" s="32">
        <f t="shared" si="182"/>
        <v>0</v>
      </c>
      <c r="AZ563" s="30"/>
      <c r="BA563" s="63"/>
      <c r="BB563" s="71"/>
      <c r="BC563" s="71"/>
      <c r="BD563" s="71"/>
    </row>
    <row r="564" spans="1:56" hidden="1" x14ac:dyDescent="0.25">
      <c r="A564" s="24" t="str">
        <f>IF(B564="","",SUBTOTAL(3,$B$4:B564))</f>
        <v/>
      </c>
      <c r="B564" s="25"/>
      <c r="C564" s="25" t="str">
        <f t="shared" si="174"/>
        <v xml:space="preserve"> </v>
      </c>
      <c r="D564" s="25"/>
      <c r="E564" s="25"/>
      <c r="F564" s="25"/>
      <c r="G564" s="65"/>
      <c r="H564" s="25"/>
      <c r="I564" s="25"/>
      <c r="J564" s="26"/>
      <c r="K564" s="27"/>
      <c r="L564" s="28"/>
      <c r="M564" s="28"/>
      <c r="N564" s="25"/>
      <c r="O564" s="29"/>
      <c r="P564" s="29"/>
      <c r="Q564" s="25"/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75"/>
        <v>0</v>
      </c>
      <c r="AF564" s="32">
        <f t="shared" si="176"/>
        <v>0</v>
      </c>
      <c r="AG564" s="30"/>
      <c r="AH564" s="33"/>
      <c r="AI564" s="34">
        <f t="shared" si="177"/>
        <v>0</v>
      </c>
      <c r="AJ564" s="35"/>
      <c r="AK564" s="30"/>
      <c r="AL564" s="36">
        <f t="shared" si="178"/>
        <v>0</v>
      </c>
      <c r="AM564" s="35"/>
      <c r="AN564" s="30"/>
      <c r="AO564" s="36">
        <f t="shared" si="179"/>
        <v>0</v>
      </c>
      <c r="AP564" s="35"/>
      <c r="AQ564" s="30"/>
      <c r="AR564" s="36">
        <f t="shared" si="180"/>
        <v>0</v>
      </c>
      <c r="AS564" s="27"/>
      <c r="AT564" s="37"/>
      <c r="AU564" s="30"/>
      <c r="AV564" s="36">
        <f t="shared" si="181"/>
        <v>0</v>
      </c>
      <c r="AW564" s="35"/>
      <c r="AX564" s="30"/>
      <c r="AY564" s="32">
        <f t="shared" si="182"/>
        <v>0</v>
      </c>
      <c r="AZ564" s="30"/>
      <c r="BA564" s="63"/>
      <c r="BB564" s="71"/>
      <c r="BC564" s="71"/>
      <c r="BD564" s="71"/>
    </row>
    <row r="565" spans="1:56" hidden="1" x14ac:dyDescent="0.25">
      <c r="A565" s="24" t="str">
        <f>IF(B565="","",SUBTOTAL(3,$B$4:B565))</f>
        <v/>
      </c>
      <c r="B565" s="25"/>
      <c r="C565" s="25" t="str">
        <f t="shared" si="174"/>
        <v xml:space="preserve"> </v>
      </c>
      <c r="D565" s="25"/>
      <c r="E565" s="25"/>
      <c r="F565" s="25"/>
      <c r="G565" s="65"/>
      <c r="H565" s="25"/>
      <c r="I565" s="25"/>
      <c r="J565" s="26"/>
      <c r="K565" s="27"/>
      <c r="L565" s="28"/>
      <c r="M565" s="28"/>
      <c r="N565" s="25"/>
      <c r="O565" s="29"/>
      <c r="P565" s="29"/>
      <c r="Q565" s="25"/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75"/>
        <v>0</v>
      </c>
      <c r="AF565" s="32">
        <f t="shared" si="176"/>
        <v>0</v>
      </c>
      <c r="AG565" s="30"/>
      <c r="AH565" s="33"/>
      <c r="AI565" s="34">
        <f t="shared" si="177"/>
        <v>0</v>
      </c>
      <c r="AJ565" s="35"/>
      <c r="AK565" s="30"/>
      <c r="AL565" s="36">
        <f t="shared" si="178"/>
        <v>0</v>
      </c>
      <c r="AM565" s="35"/>
      <c r="AN565" s="30"/>
      <c r="AO565" s="36">
        <f t="shared" si="179"/>
        <v>0</v>
      </c>
      <c r="AP565" s="35"/>
      <c r="AQ565" s="30"/>
      <c r="AR565" s="36">
        <f t="shared" si="180"/>
        <v>0</v>
      </c>
      <c r="AS565" s="27"/>
      <c r="AT565" s="37"/>
      <c r="AU565" s="30"/>
      <c r="AV565" s="36">
        <f t="shared" si="181"/>
        <v>0</v>
      </c>
      <c r="AW565" s="35"/>
      <c r="AX565" s="30"/>
      <c r="AY565" s="32">
        <f t="shared" si="182"/>
        <v>0</v>
      </c>
      <c r="AZ565" s="30"/>
      <c r="BA565" s="63"/>
      <c r="BB565" s="71"/>
      <c r="BC565" s="71"/>
      <c r="BD565" s="71"/>
    </row>
    <row r="566" spans="1:56" hidden="1" x14ac:dyDescent="0.25">
      <c r="A566" s="24" t="str">
        <f>IF(B566="","",SUBTOTAL(3,$B$4:B566))</f>
        <v/>
      </c>
      <c r="B566" s="25"/>
      <c r="C566" s="25" t="str">
        <f t="shared" si="174"/>
        <v xml:space="preserve"> </v>
      </c>
      <c r="D566" s="25"/>
      <c r="E566" s="25"/>
      <c r="F566" s="25"/>
      <c r="G566" s="65"/>
      <c r="H566" s="25"/>
      <c r="I566" s="25"/>
      <c r="J566" s="26"/>
      <c r="K566" s="27"/>
      <c r="L566" s="28"/>
      <c r="M566" s="28"/>
      <c r="N566" s="25"/>
      <c r="O566" s="29"/>
      <c r="P566" s="29"/>
      <c r="Q566" s="25"/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75"/>
        <v>0</v>
      </c>
      <c r="AF566" s="32">
        <f t="shared" si="176"/>
        <v>0</v>
      </c>
      <c r="AG566" s="30"/>
      <c r="AH566" s="33"/>
      <c r="AI566" s="34">
        <f t="shared" si="177"/>
        <v>0</v>
      </c>
      <c r="AJ566" s="35"/>
      <c r="AK566" s="30"/>
      <c r="AL566" s="36">
        <f t="shared" si="178"/>
        <v>0</v>
      </c>
      <c r="AM566" s="35"/>
      <c r="AN566" s="30"/>
      <c r="AO566" s="36">
        <f t="shared" si="179"/>
        <v>0</v>
      </c>
      <c r="AP566" s="35"/>
      <c r="AQ566" s="30"/>
      <c r="AR566" s="36">
        <f t="shared" si="180"/>
        <v>0</v>
      </c>
      <c r="AS566" s="27"/>
      <c r="AT566" s="37"/>
      <c r="AU566" s="30"/>
      <c r="AV566" s="36">
        <f t="shared" si="181"/>
        <v>0</v>
      </c>
      <c r="AW566" s="35"/>
      <c r="AX566" s="30"/>
      <c r="AY566" s="32">
        <f t="shared" si="182"/>
        <v>0</v>
      </c>
      <c r="AZ566" s="30"/>
      <c r="BA566" s="63"/>
      <c r="BB566" s="71"/>
      <c r="BC566" s="71"/>
      <c r="BD566" s="71"/>
    </row>
    <row r="567" spans="1:56" hidden="1" x14ac:dyDescent="0.25">
      <c r="A567" s="24" t="str">
        <f>IF(B567="","",SUBTOTAL(3,$B$4:B567))</f>
        <v/>
      </c>
      <c r="B567" s="25"/>
      <c r="C567" s="25" t="str">
        <f t="shared" si="174"/>
        <v xml:space="preserve"> </v>
      </c>
      <c r="D567" s="25"/>
      <c r="E567" s="25"/>
      <c r="F567" s="25"/>
      <c r="G567" s="65"/>
      <c r="H567" s="25"/>
      <c r="I567" s="25"/>
      <c r="J567" s="26"/>
      <c r="K567" s="27"/>
      <c r="L567" s="28"/>
      <c r="M567" s="28"/>
      <c r="N567" s="25"/>
      <c r="O567" s="29"/>
      <c r="P567" s="29"/>
      <c r="Q567" s="25"/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75"/>
        <v>0</v>
      </c>
      <c r="AF567" s="32">
        <f t="shared" si="176"/>
        <v>0</v>
      </c>
      <c r="AG567" s="30"/>
      <c r="AH567" s="33"/>
      <c r="AI567" s="34">
        <f t="shared" si="177"/>
        <v>0</v>
      </c>
      <c r="AJ567" s="35"/>
      <c r="AK567" s="30"/>
      <c r="AL567" s="36">
        <f t="shared" si="178"/>
        <v>0</v>
      </c>
      <c r="AM567" s="35"/>
      <c r="AN567" s="30"/>
      <c r="AO567" s="36">
        <f t="shared" si="179"/>
        <v>0</v>
      </c>
      <c r="AP567" s="35"/>
      <c r="AQ567" s="30"/>
      <c r="AR567" s="36">
        <f t="shared" si="180"/>
        <v>0</v>
      </c>
      <c r="AS567" s="27"/>
      <c r="AT567" s="37"/>
      <c r="AU567" s="30"/>
      <c r="AV567" s="36">
        <f t="shared" si="181"/>
        <v>0</v>
      </c>
      <c r="AW567" s="35"/>
      <c r="AX567" s="30"/>
      <c r="AY567" s="32">
        <f t="shared" si="182"/>
        <v>0</v>
      </c>
      <c r="AZ567" s="30"/>
      <c r="BA567" s="63"/>
      <c r="BB567" s="71"/>
      <c r="BC567" s="71"/>
      <c r="BD567" s="71"/>
    </row>
    <row r="568" spans="1:56" hidden="1" x14ac:dyDescent="0.25">
      <c r="A568" s="24" t="str">
        <f>IF(B568="","",SUBTOTAL(3,$B$4:B568))</f>
        <v/>
      </c>
      <c r="B568" s="25"/>
      <c r="C568" s="25" t="str">
        <f t="shared" si="174"/>
        <v xml:space="preserve"> </v>
      </c>
      <c r="D568" s="25"/>
      <c r="E568" s="25"/>
      <c r="F568" s="25"/>
      <c r="G568" s="65"/>
      <c r="H568" s="25"/>
      <c r="I568" s="25"/>
      <c r="J568" s="26"/>
      <c r="K568" s="27"/>
      <c r="L568" s="28"/>
      <c r="M568" s="28"/>
      <c r="N568" s="25"/>
      <c r="O568" s="29"/>
      <c r="P568" s="29"/>
      <c r="Q568" s="25"/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75"/>
        <v>0</v>
      </c>
      <c r="AF568" s="32">
        <f t="shared" si="176"/>
        <v>0</v>
      </c>
      <c r="AG568" s="30"/>
      <c r="AH568" s="33"/>
      <c r="AI568" s="34">
        <f t="shared" si="177"/>
        <v>0</v>
      </c>
      <c r="AJ568" s="35"/>
      <c r="AK568" s="30"/>
      <c r="AL568" s="36">
        <f t="shared" si="178"/>
        <v>0</v>
      </c>
      <c r="AM568" s="35"/>
      <c r="AN568" s="30"/>
      <c r="AO568" s="36">
        <f t="shared" si="179"/>
        <v>0</v>
      </c>
      <c r="AP568" s="35"/>
      <c r="AQ568" s="30"/>
      <c r="AR568" s="36">
        <f t="shared" si="180"/>
        <v>0</v>
      </c>
      <c r="AS568" s="27"/>
      <c r="AT568" s="37"/>
      <c r="AU568" s="30"/>
      <c r="AV568" s="36">
        <f t="shared" si="181"/>
        <v>0</v>
      </c>
      <c r="AW568" s="35"/>
      <c r="AX568" s="30"/>
      <c r="AY568" s="32">
        <f t="shared" si="182"/>
        <v>0</v>
      </c>
      <c r="AZ568" s="30"/>
      <c r="BA568" s="63"/>
      <c r="BB568" s="71"/>
      <c r="BC568" s="71"/>
      <c r="BD568" s="71"/>
    </row>
    <row r="569" spans="1:56" hidden="1" x14ac:dyDescent="0.25">
      <c r="A569" s="24" t="str">
        <f>IF(B569="","",SUBTOTAL(3,$B$4:B569))</f>
        <v/>
      </c>
      <c r="B569" s="25"/>
      <c r="C569" s="25" t="str">
        <f t="shared" si="174"/>
        <v xml:space="preserve"> </v>
      </c>
      <c r="D569" s="25"/>
      <c r="E569" s="25"/>
      <c r="F569" s="25"/>
      <c r="G569" s="65"/>
      <c r="H569" s="25"/>
      <c r="I569" s="25"/>
      <c r="J569" s="26"/>
      <c r="K569" s="27"/>
      <c r="L569" s="28"/>
      <c r="M569" s="28"/>
      <c r="N569" s="25"/>
      <c r="O569" s="29"/>
      <c r="P569" s="29"/>
      <c r="Q569" s="25"/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75"/>
        <v>0</v>
      </c>
      <c r="AF569" s="32">
        <f t="shared" si="176"/>
        <v>0</v>
      </c>
      <c r="AG569" s="30"/>
      <c r="AH569" s="33"/>
      <c r="AI569" s="34">
        <f t="shared" si="177"/>
        <v>0</v>
      </c>
      <c r="AJ569" s="35"/>
      <c r="AK569" s="30"/>
      <c r="AL569" s="36">
        <f t="shared" si="178"/>
        <v>0</v>
      </c>
      <c r="AM569" s="35"/>
      <c r="AN569" s="30"/>
      <c r="AO569" s="36">
        <f t="shared" si="179"/>
        <v>0</v>
      </c>
      <c r="AP569" s="35"/>
      <c r="AQ569" s="30"/>
      <c r="AR569" s="36">
        <f t="shared" si="180"/>
        <v>0</v>
      </c>
      <c r="AS569" s="27"/>
      <c r="AT569" s="37"/>
      <c r="AU569" s="30"/>
      <c r="AV569" s="36">
        <f t="shared" si="181"/>
        <v>0</v>
      </c>
      <c r="AW569" s="35"/>
      <c r="AX569" s="30"/>
      <c r="AY569" s="32">
        <f t="shared" si="182"/>
        <v>0</v>
      </c>
      <c r="AZ569" s="30"/>
      <c r="BA569" s="63"/>
      <c r="BB569" s="71"/>
      <c r="BC569" s="71"/>
      <c r="BD569" s="71"/>
    </row>
    <row r="570" spans="1:56" hidden="1" x14ac:dyDescent="0.25">
      <c r="A570" s="24" t="str">
        <f>IF(B570="","",SUBTOTAL(3,$B$4:B570))</f>
        <v/>
      </c>
      <c r="B570" s="25"/>
      <c r="C570" s="25" t="str">
        <f t="shared" si="174"/>
        <v xml:space="preserve"> </v>
      </c>
      <c r="D570" s="25"/>
      <c r="E570" s="25"/>
      <c r="F570" s="25"/>
      <c r="G570" s="65"/>
      <c r="H570" s="25"/>
      <c r="I570" s="25"/>
      <c r="J570" s="26"/>
      <c r="K570" s="27"/>
      <c r="L570" s="28"/>
      <c r="M570" s="28"/>
      <c r="N570" s="25"/>
      <c r="O570" s="29"/>
      <c r="P570" s="29"/>
      <c r="Q570" s="25"/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75"/>
        <v>0</v>
      </c>
      <c r="AF570" s="32">
        <f t="shared" si="176"/>
        <v>0</v>
      </c>
      <c r="AG570" s="30"/>
      <c r="AH570" s="33"/>
      <c r="AI570" s="34">
        <f t="shared" si="177"/>
        <v>0</v>
      </c>
      <c r="AJ570" s="35"/>
      <c r="AK570" s="30"/>
      <c r="AL570" s="36">
        <f t="shared" si="178"/>
        <v>0</v>
      </c>
      <c r="AM570" s="35"/>
      <c r="AN570" s="30"/>
      <c r="AO570" s="36">
        <f t="shared" si="179"/>
        <v>0</v>
      </c>
      <c r="AP570" s="35"/>
      <c r="AQ570" s="30"/>
      <c r="AR570" s="36">
        <f t="shared" si="180"/>
        <v>0</v>
      </c>
      <c r="AS570" s="27"/>
      <c r="AT570" s="37"/>
      <c r="AU570" s="30"/>
      <c r="AV570" s="36">
        <f t="shared" si="181"/>
        <v>0</v>
      </c>
      <c r="AW570" s="35"/>
      <c r="AX570" s="30"/>
      <c r="AY570" s="32">
        <f t="shared" si="182"/>
        <v>0</v>
      </c>
      <c r="AZ570" s="30"/>
      <c r="BA570" s="63"/>
      <c r="BB570" s="71"/>
      <c r="BC570" s="71"/>
      <c r="BD570" s="71"/>
    </row>
    <row r="571" spans="1:56" hidden="1" x14ac:dyDescent="0.25">
      <c r="A571" s="24" t="str">
        <f>IF(B571="","",SUBTOTAL(3,$B$4:B571))</f>
        <v/>
      </c>
      <c r="B571" s="25"/>
      <c r="C571" s="25" t="str">
        <f t="shared" si="174"/>
        <v xml:space="preserve"> </v>
      </c>
      <c r="D571" s="25"/>
      <c r="E571" s="25"/>
      <c r="F571" s="25"/>
      <c r="G571" s="65"/>
      <c r="H571" s="25"/>
      <c r="I571" s="25"/>
      <c r="J571" s="26"/>
      <c r="K571" s="27"/>
      <c r="L571" s="28"/>
      <c r="M571" s="28"/>
      <c r="N571" s="25"/>
      <c r="O571" s="29"/>
      <c r="P571" s="29"/>
      <c r="Q571" s="25"/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75"/>
        <v>0</v>
      </c>
      <c r="AF571" s="32">
        <f t="shared" si="176"/>
        <v>0</v>
      </c>
      <c r="AG571" s="30"/>
      <c r="AH571" s="33"/>
      <c r="AI571" s="34">
        <f t="shared" si="177"/>
        <v>0</v>
      </c>
      <c r="AJ571" s="35"/>
      <c r="AK571" s="30"/>
      <c r="AL571" s="36">
        <f t="shared" si="178"/>
        <v>0</v>
      </c>
      <c r="AM571" s="35"/>
      <c r="AN571" s="30"/>
      <c r="AO571" s="36">
        <f t="shared" si="179"/>
        <v>0</v>
      </c>
      <c r="AP571" s="35"/>
      <c r="AQ571" s="30"/>
      <c r="AR571" s="36">
        <f t="shared" si="180"/>
        <v>0</v>
      </c>
      <c r="AS571" s="27"/>
      <c r="AT571" s="37"/>
      <c r="AU571" s="30"/>
      <c r="AV571" s="36">
        <f t="shared" si="181"/>
        <v>0</v>
      </c>
      <c r="AW571" s="35"/>
      <c r="AX571" s="30"/>
      <c r="AY571" s="32">
        <f t="shared" si="182"/>
        <v>0</v>
      </c>
      <c r="AZ571" s="30"/>
      <c r="BA571" s="63"/>
      <c r="BB571" s="71"/>
      <c r="BC571" s="71"/>
      <c r="BD571" s="71"/>
    </row>
    <row r="572" spans="1:56" hidden="1" x14ac:dyDescent="0.25">
      <c r="A572" s="24" t="str">
        <f>IF(B572="","",SUBTOTAL(3,$B$4:B572))</f>
        <v/>
      </c>
      <c r="B572" s="25"/>
      <c r="C572" s="25" t="str">
        <f t="shared" si="174"/>
        <v xml:space="preserve"> </v>
      </c>
      <c r="D572" s="25"/>
      <c r="E572" s="25"/>
      <c r="F572" s="25"/>
      <c r="G572" s="65"/>
      <c r="H572" s="25"/>
      <c r="I572" s="25"/>
      <c r="J572" s="26"/>
      <c r="K572" s="27"/>
      <c r="L572" s="28"/>
      <c r="M572" s="28"/>
      <c r="N572" s="25"/>
      <c r="O572" s="29"/>
      <c r="P572" s="29"/>
      <c r="Q572" s="25"/>
      <c r="R572" s="25"/>
      <c r="S572" s="26"/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75"/>
        <v>0</v>
      </c>
      <c r="AF572" s="32">
        <f t="shared" si="176"/>
        <v>0</v>
      </c>
      <c r="AG572" s="30"/>
      <c r="AH572" s="33"/>
      <c r="AI572" s="34">
        <f t="shared" si="177"/>
        <v>0</v>
      </c>
      <c r="AJ572" s="35"/>
      <c r="AK572" s="30"/>
      <c r="AL572" s="36">
        <f t="shared" si="178"/>
        <v>0</v>
      </c>
      <c r="AM572" s="35"/>
      <c r="AN572" s="30"/>
      <c r="AO572" s="36">
        <f t="shared" si="179"/>
        <v>0</v>
      </c>
      <c r="AP572" s="35"/>
      <c r="AQ572" s="30"/>
      <c r="AR572" s="36">
        <f t="shared" si="180"/>
        <v>0</v>
      </c>
      <c r="AS572" s="27"/>
      <c r="AT572" s="37"/>
      <c r="AU572" s="30"/>
      <c r="AV572" s="36">
        <f t="shared" si="181"/>
        <v>0</v>
      </c>
      <c r="AW572" s="35"/>
      <c r="AX572" s="30"/>
      <c r="AY572" s="32">
        <f t="shared" si="182"/>
        <v>0</v>
      </c>
      <c r="AZ572" s="30"/>
      <c r="BA572" s="63"/>
      <c r="BB572" s="71"/>
      <c r="BC572" s="71"/>
      <c r="BD572" s="71"/>
    </row>
    <row r="573" spans="1:56" hidden="1" x14ac:dyDescent="0.25">
      <c r="A573" s="24" t="str">
        <f>IF(B573="","",SUBTOTAL(3,$B$4:B573))</f>
        <v/>
      </c>
      <c r="B573" s="25"/>
      <c r="C573" s="25" t="str">
        <f t="shared" ref="C573:C576" si="183">D573&amp;" "&amp;E573</f>
        <v xml:space="preserve"> </v>
      </c>
      <c r="D573" s="25"/>
      <c r="E573" s="25"/>
      <c r="F573" s="25"/>
      <c r="G573" s="65"/>
      <c r="H573" s="25"/>
      <c r="I573" s="25"/>
      <c r="J573" s="26"/>
      <c r="K573" s="27"/>
      <c r="L573" s="28"/>
      <c r="M573" s="28"/>
      <c r="N573" s="25"/>
      <c r="O573" s="29"/>
      <c r="P573" s="29"/>
      <c r="Q573" s="25"/>
      <c r="R573" s="25"/>
      <c r="S573" s="26"/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ref="AE573:AE576" si="184">+AL573*0.5+AO573*0.4+AV573*0.1</f>
        <v>0</v>
      </c>
      <c r="AF573" s="32">
        <f t="shared" ref="AF573:AF576" si="185">+P573-AE573</f>
        <v>0</v>
      </c>
      <c r="AG573" s="30"/>
      <c r="AH573" s="33"/>
      <c r="AI573" s="34">
        <f t="shared" ref="AI573:AI576" si="186">+AH573*P573</f>
        <v>0</v>
      </c>
      <c r="AJ573" s="35"/>
      <c r="AK573" s="30"/>
      <c r="AL573" s="36">
        <f t="shared" ref="AL573:AL576" si="187">IFERROR(AK573*$P573/$N573,0)</f>
        <v>0</v>
      </c>
      <c r="AM573" s="35"/>
      <c r="AN573" s="30"/>
      <c r="AO573" s="36">
        <f t="shared" ref="AO573:AO576" si="188">IFERROR(AN573*$P573/$N573,0)</f>
        <v>0</v>
      </c>
      <c r="AP573" s="35"/>
      <c r="AQ573" s="30"/>
      <c r="AR573" s="36">
        <f t="shared" ref="AR573:AR576" si="189">IFERROR(AQ573*$P573/$N573,0)</f>
        <v>0</v>
      </c>
      <c r="AS573" s="27"/>
      <c r="AT573" s="37"/>
      <c r="AU573" s="30"/>
      <c r="AV573" s="36">
        <f t="shared" ref="AV573:AV576" si="190">IFERROR(AU573*$P573/$N573,0)</f>
        <v>0</v>
      </c>
      <c r="AW573" s="35"/>
      <c r="AX573" s="30"/>
      <c r="AY573" s="32">
        <f t="shared" ref="AY573:AY576" si="191">IFERROR(AX573*$P573/$N573,0)</f>
        <v>0</v>
      </c>
      <c r="AZ573" s="30"/>
      <c r="BA573" s="63"/>
      <c r="BB573" s="71"/>
      <c r="BC573" s="71"/>
      <c r="BD573" s="71"/>
    </row>
    <row r="574" spans="1:56" hidden="1" x14ac:dyDescent="0.25">
      <c r="A574" s="24" t="str">
        <f>IF(B574="","",SUBTOTAL(3,$B$4:B574))</f>
        <v/>
      </c>
      <c r="B574" s="25"/>
      <c r="C574" s="25" t="str">
        <f t="shared" si="183"/>
        <v xml:space="preserve"> </v>
      </c>
      <c r="D574" s="25"/>
      <c r="E574" s="25"/>
      <c r="F574" s="25"/>
      <c r="G574" s="65"/>
      <c r="H574" s="25"/>
      <c r="I574" s="25"/>
      <c r="J574" s="26"/>
      <c r="K574" s="27"/>
      <c r="L574" s="28"/>
      <c r="M574" s="28"/>
      <c r="N574" s="25"/>
      <c r="O574" s="29"/>
      <c r="P574" s="29"/>
      <c r="Q574" s="25"/>
      <c r="R574" s="25"/>
      <c r="S574" s="26"/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84"/>
        <v>0</v>
      </c>
      <c r="AF574" s="32">
        <f t="shared" si="185"/>
        <v>0</v>
      </c>
      <c r="AG574" s="30"/>
      <c r="AH574" s="33"/>
      <c r="AI574" s="34">
        <f t="shared" si="186"/>
        <v>0</v>
      </c>
      <c r="AJ574" s="35"/>
      <c r="AK574" s="30"/>
      <c r="AL574" s="36">
        <f t="shared" si="187"/>
        <v>0</v>
      </c>
      <c r="AM574" s="35"/>
      <c r="AN574" s="30"/>
      <c r="AO574" s="36">
        <f t="shared" si="188"/>
        <v>0</v>
      </c>
      <c r="AP574" s="35"/>
      <c r="AQ574" s="30"/>
      <c r="AR574" s="36">
        <f t="shared" si="189"/>
        <v>0</v>
      </c>
      <c r="AS574" s="27"/>
      <c r="AT574" s="37"/>
      <c r="AU574" s="30"/>
      <c r="AV574" s="36">
        <f t="shared" si="190"/>
        <v>0</v>
      </c>
      <c r="AW574" s="35"/>
      <c r="AX574" s="30"/>
      <c r="AY574" s="32">
        <f t="shared" si="191"/>
        <v>0</v>
      </c>
      <c r="AZ574" s="30"/>
      <c r="BA574" s="63"/>
      <c r="BB574" s="71"/>
      <c r="BC574" s="71"/>
      <c r="BD574" s="71"/>
    </row>
    <row r="575" spans="1:56" hidden="1" x14ac:dyDescent="0.25">
      <c r="A575" s="24" t="str">
        <f>IF(B575="","",SUBTOTAL(3,$B$4:B575))</f>
        <v/>
      </c>
      <c r="B575" s="25"/>
      <c r="C575" s="25" t="str">
        <f t="shared" si="183"/>
        <v xml:space="preserve"> </v>
      </c>
      <c r="D575" s="25"/>
      <c r="E575" s="25"/>
      <c r="F575" s="25"/>
      <c r="G575" s="65"/>
      <c r="H575" s="25"/>
      <c r="I575" s="25"/>
      <c r="J575" s="26"/>
      <c r="K575" s="27"/>
      <c r="L575" s="28"/>
      <c r="M575" s="28"/>
      <c r="N575" s="25"/>
      <c r="O575" s="29"/>
      <c r="P575" s="29"/>
      <c r="Q575" s="25"/>
      <c r="R575" s="25"/>
      <c r="S575" s="26"/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84"/>
        <v>0</v>
      </c>
      <c r="AF575" s="32">
        <f t="shared" si="185"/>
        <v>0</v>
      </c>
      <c r="AG575" s="30"/>
      <c r="AH575" s="33"/>
      <c r="AI575" s="34">
        <f t="shared" si="186"/>
        <v>0</v>
      </c>
      <c r="AJ575" s="35"/>
      <c r="AK575" s="30"/>
      <c r="AL575" s="36">
        <f t="shared" si="187"/>
        <v>0</v>
      </c>
      <c r="AM575" s="35"/>
      <c r="AN575" s="30"/>
      <c r="AO575" s="36">
        <f t="shared" si="188"/>
        <v>0</v>
      </c>
      <c r="AP575" s="35"/>
      <c r="AQ575" s="30"/>
      <c r="AR575" s="36">
        <f t="shared" si="189"/>
        <v>0</v>
      </c>
      <c r="AS575" s="27"/>
      <c r="AT575" s="37"/>
      <c r="AU575" s="30"/>
      <c r="AV575" s="36">
        <f t="shared" si="190"/>
        <v>0</v>
      </c>
      <c r="AW575" s="35"/>
      <c r="AX575" s="30"/>
      <c r="AY575" s="32">
        <f t="shared" si="191"/>
        <v>0</v>
      </c>
      <c r="AZ575" s="30"/>
      <c r="BA575" s="63"/>
      <c r="BB575" s="71"/>
      <c r="BC575" s="71"/>
      <c r="BD575" s="71"/>
    </row>
    <row r="576" spans="1:56" hidden="1" x14ac:dyDescent="0.25">
      <c r="A576" s="24" t="str">
        <f>IF(B576="","",SUBTOTAL(3,$B$4:B576))</f>
        <v/>
      </c>
      <c r="B576" s="25"/>
      <c r="C576" s="25" t="str">
        <f t="shared" si="183"/>
        <v xml:space="preserve"> </v>
      </c>
      <c r="D576" s="25"/>
      <c r="E576" s="25"/>
      <c r="F576" s="25"/>
      <c r="G576" s="65"/>
      <c r="H576" s="25"/>
      <c r="I576" s="25"/>
      <c r="J576" s="26"/>
      <c r="K576" s="27"/>
      <c r="L576" s="28"/>
      <c r="M576" s="28"/>
      <c r="N576" s="25"/>
      <c r="O576" s="29"/>
      <c r="P576" s="29"/>
      <c r="Q576" s="25"/>
      <c r="R576" s="25"/>
      <c r="S576" s="26"/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84"/>
        <v>0</v>
      </c>
      <c r="AF576" s="32">
        <f t="shared" si="185"/>
        <v>0</v>
      </c>
      <c r="AG576" s="30"/>
      <c r="AH576" s="33"/>
      <c r="AI576" s="34">
        <f t="shared" si="186"/>
        <v>0</v>
      </c>
      <c r="AJ576" s="35"/>
      <c r="AK576" s="30"/>
      <c r="AL576" s="36">
        <f t="shared" si="187"/>
        <v>0</v>
      </c>
      <c r="AM576" s="35"/>
      <c r="AN576" s="30"/>
      <c r="AO576" s="36">
        <f t="shared" si="188"/>
        <v>0</v>
      </c>
      <c r="AP576" s="35"/>
      <c r="AQ576" s="30"/>
      <c r="AR576" s="36">
        <f t="shared" si="189"/>
        <v>0</v>
      </c>
      <c r="AS576" s="27"/>
      <c r="AT576" s="37"/>
      <c r="AU576" s="30"/>
      <c r="AV576" s="36">
        <f t="shared" si="190"/>
        <v>0</v>
      </c>
      <c r="AW576" s="35"/>
      <c r="AX576" s="30"/>
      <c r="AY576" s="32">
        <f t="shared" si="191"/>
        <v>0</v>
      </c>
      <c r="AZ576" s="30"/>
      <c r="BA576" s="63"/>
      <c r="BB576" s="71"/>
      <c r="BC576" s="71"/>
      <c r="BD576" s="71"/>
    </row>
    <row r="577" spans="1:56" hidden="1" x14ac:dyDescent="0.25">
      <c r="A577" s="24" t="str">
        <f>IF(B577="","",SUBTOTAL(3,$B$4:B577))</f>
        <v/>
      </c>
      <c r="B577" s="25"/>
      <c r="C577" s="25" t="str">
        <f t="shared" ref="C577:C582" si="192">D577&amp;" "&amp;E577</f>
        <v xml:space="preserve"> </v>
      </c>
      <c r="D577" s="25"/>
      <c r="E577" s="25"/>
      <c r="F577" s="25"/>
      <c r="G577" s="65"/>
      <c r="H577" s="25"/>
      <c r="I577" s="25"/>
      <c r="J577" s="26"/>
      <c r="K577" s="27"/>
      <c r="L577" s="28"/>
      <c r="M577" s="28"/>
      <c r="N577" s="25"/>
      <c r="O577" s="29"/>
      <c r="P577" s="29"/>
      <c r="Q577" s="25"/>
      <c r="R577" s="25"/>
      <c r="S577" s="26"/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ref="AE577:AE582" si="193">+AL577*0.5+AO577*0.4+AV577*0.1</f>
        <v>0</v>
      </c>
      <c r="AF577" s="32">
        <f t="shared" ref="AF577:AF582" si="194">+P577-AE577</f>
        <v>0</v>
      </c>
      <c r="AG577" s="30"/>
      <c r="AH577" s="33"/>
      <c r="AI577" s="34">
        <f t="shared" ref="AI577:AI582" si="195">+AH577*P577</f>
        <v>0</v>
      </c>
      <c r="AJ577" s="35"/>
      <c r="AK577" s="30"/>
      <c r="AL577" s="36">
        <f t="shared" ref="AL577:AL582" si="196">IFERROR(AK577*$P577/$N577,0)</f>
        <v>0</v>
      </c>
      <c r="AM577" s="35"/>
      <c r="AN577" s="30"/>
      <c r="AO577" s="36">
        <f t="shared" ref="AO577:AO582" si="197">IFERROR(AN577*$P577/$N577,0)</f>
        <v>0</v>
      </c>
      <c r="AP577" s="35"/>
      <c r="AQ577" s="30"/>
      <c r="AR577" s="36">
        <f t="shared" ref="AR577:AR582" si="198">IFERROR(AQ577*$P577/$N577,0)</f>
        <v>0</v>
      </c>
      <c r="AS577" s="27"/>
      <c r="AT577" s="37"/>
      <c r="AU577" s="30"/>
      <c r="AV577" s="36">
        <f t="shared" ref="AV577:AV582" si="199">IFERROR(AU577*$P577/$N577,0)</f>
        <v>0</v>
      </c>
      <c r="AW577" s="35"/>
      <c r="AX577" s="30"/>
      <c r="AY577" s="32">
        <f t="shared" ref="AY577:AY582" si="200">IFERROR(AX577*$P577/$N577,0)</f>
        <v>0</v>
      </c>
      <c r="AZ577" s="30"/>
      <c r="BA577" s="63"/>
      <c r="BB577" s="71"/>
      <c r="BC577" s="71"/>
      <c r="BD577" s="71"/>
    </row>
    <row r="578" spans="1:56" hidden="1" x14ac:dyDescent="0.25">
      <c r="A578" s="24" t="str">
        <f>IF(B578="","",SUBTOTAL(3,$B$4:B578))</f>
        <v/>
      </c>
      <c r="B578" s="25"/>
      <c r="C578" s="25" t="str">
        <f t="shared" si="192"/>
        <v xml:space="preserve"> </v>
      </c>
      <c r="D578" s="25"/>
      <c r="E578" s="25"/>
      <c r="F578" s="25"/>
      <c r="G578" s="65"/>
      <c r="H578" s="25"/>
      <c r="I578" s="25"/>
      <c r="J578" s="26"/>
      <c r="K578" s="27"/>
      <c r="L578" s="28"/>
      <c r="M578" s="28"/>
      <c r="N578" s="25"/>
      <c r="O578" s="29"/>
      <c r="P578" s="29"/>
      <c r="Q578" s="25"/>
      <c r="R578" s="25"/>
      <c r="S578" s="26"/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93"/>
        <v>0</v>
      </c>
      <c r="AF578" s="32">
        <f t="shared" si="194"/>
        <v>0</v>
      </c>
      <c r="AG578" s="30"/>
      <c r="AH578" s="33"/>
      <c r="AI578" s="34">
        <f t="shared" si="195"/>
        <v>0</v>
      </c>
      <c r="AJ578" s="35"/>
      <c r="AK578" s="30"/>
      <c r="AL578" s="36">
        <f t="shared" si="196"/>
        <v>0</v>
      </c>
      <c r="AM578" s="35"/>
      <c r="AN578" s="30"/>
      <c r="AO578" s="36">
        <f t="shared" si="197"/>
        <v>0</v>
      </c>
      <c r="AP578" s="35"/>
      <c r="AQ578" s="30"/>
      <c r="AR578" s="36">
        <f t="shared" si="198"/>
        <v>0</v>
      </c>
      <c r="AS578" s="27"/>
      <c r="AT578" s="37"/>
      <c r="AU578" s="30"/>
      <c r="AV578" s="36">
        <f t="shared" si="199"/>
        <v>0</v>
      </c>
      <c r="AW578" s="35"/>
      <c r="AX578" s="30"/>
      <c r="AY578" s="32">
        <f t="shared" si="200"/>
        <v>0</v>
      </c>
      <c r="AZ578" s="30"/>
      <c r="BA578" s="63"/>
      <c r="BB578" s="71"/>
      <c r="BC578" s="71"/>
      <c r="BD578" s="71"/>
    </row>
    <row r="579" spans="1:56" hidden="1" x14ac:dyDescent="0.25">
      <c r="A579" s="24" t="str">
        <f>IF(B579="","",SUBTOTAL(3,$B$4:B579))</f>
        <v/>
      </c>
      <c r="B579" s="25"/>
      <c r="C579" s="25" t="str">
        <f t="shared" si="192"/>
        <v xml:space="preserve"> </v>
      </c>
      <c r="D579" s="25"/>
      <c r="E579" s="25"/>
      <c r="F579" s="25"/>
      <c r="G579" s="65"/>
      <c r="H579" s="25"/>
      <c r="I579" s="25"/>
      <c r="J579" s="26"/>
      <c r="K579" s="27"/>
      <c r="L579" s="28"/>
      <c r="M579" s="28"/>
      <c r="N579" s="25"/>
      <c r="O579" s="29"/>
      <c r="P579" s="29"/>
      <c r="Q579" s="25"/>
      <c r="R579" s="25"/>
      <c r="S579" s="26"/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93"/>
        <v>0</v>
      </c>
      <c r="AF579" s="32">
        <f t="shared" si="194"/>
        <v>0</v>
      </c>
      <c r="AG579" s="30"/>
      <c r="AH579" s="33"/>
      <c r="AI579" s="34">
        <f t="shared" si="195"/>
        <v>0</v>
      </c>
      <c r="AJ579" s="35"/>
      <c r="AK579" s="30"/>
      <c r="AL579" s="36">
        <f t="shared" si="196"/>
        <v>0</v>
      </c>
      <c r="AM579" s="35"/>
      <c r="AN579" s="30"/>
      <c r="AO579" s="36">
        <f t="shared" si="197"/>
        <v>0</v>
      </c>
      <c r="AP579" s="35"/>
      <c r="AQ579" s="30"/>
      <c r="AR579" s="36">
        <f t="shared" si="198"/>
        <v>0</v>
      </c>
      <c r="AS579" s="27"/>
      <c r="AT579" s="37"/>
      <c r="AU579" s="30"/>
      <c r="AV579" s="36">
        <f t="shared" si="199"/>
        <v>0</v>
      </c>
      <c r="AW579" s="35"/>
      <c r="AX579" s="30"/>
      <c r="AY579" s="32">
        <f t="shared" si="200"/>
        <v>0</v>
      </c>
      <c r="AZ579" s="30"/>
      <c r="BA579" s="63"/>
      <c r="BB579" s="71"/>
      <c r="BC579" s="71"/>
      <c r="BD579" s="71"/>
    </row>
    <row r="580" spans="1:56" hidden="1" x14ac:dyDescent="0.25">
      <c r="A580" s="24" t="str">
        <f>IF(B580="","",SUBTOTAL(3,$B$4:B580))</f>
        <v/>
      </c>
      <c r="B580" s="25"/>
      <c r="C580" s="25" t="str">
        <f t="shared" si="192"/>
        <v xml:space="preserve"> </v>
      </c>
      <c r="D580" s="25"/>
      <c r="E580" s="25"/>
      <c r="F580" s="25"/>
      <c r="G580" s="65"/>
      <c r="H580" s="25"/>
      <c r="I580" s="25"/>
      <c r="J580" s="26"/>
      <c r="K580" s="27"/>
      <c r="L580" s="28"/>
      <c r="M580" s="28"/>
      <c r="N580" s="25"/>
      <c r="O580" s="29"/>
      <c r="P580" s="29"/>
      <c r="Q580" s="25"/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93"/>
        <v>0</v>
      </c>
      <c r="AF580" s="32">
        <f t="shared" si="194"/>
        <v>0</v>
      </c>
      <c r="AG580" s="30"/>
      <c r="AH580" s="33"/>
      <c r="AI580" s="34">
        <f t="shared" si="195"/>
        <v>0</v>
      </c>
      <c r="AJ580" s="35"/>
      <c r="AK580" s="30"/>
      <c r="AL580" s="36">
        <f t="shared" si="196"/>
        <v>0</v>
      </c>
      <c r="AM580" s="35"/>
      <c r="AN580" s="30"/>
      <c r="AO580" s="36">
        <f t="shared" si="197"/>
        <v>0</v>
      </c>
      <c r="AP580" s="35"/>
      <c r="AQ580" s="30"/>
      <c r="AR580" s="36">
        <f t="shared" si="198"/>
        <v>0</v>
      </c>
      <c r="AS580" s="27"/>
      <c r="AT580" s="37"/>
      <c r="AU580" s="30"/>
      <c r="AV580" s="36">
        <f t="shared" si="199"/>
        <v>0</v>
      </c>
      <c r="AW580" s="35"/>
      <c r="AX580" s="30"/>
      <c r="AY580" s="32">
        <f t="shared" si="200"/>
        <v>0</v>
      </c>
      <c r="AZ580" s="30"/>
      <c r="BA580" s="63"/>
      <c r="BB580" s="71"/>
      <c r="BC580" s="71"/>
      <c r="BD580" s="71"/>
    </row>
    <row r="581" spans="1:56" hidden="1" x14ac:dyDescent="0.25">
      <c r="A581" s="24" t="str">
        <f>IF(B581="","",SUBTOTAL(3,$B$4:B581))</f>
        <v/>
      </c>
      <c r="B581" s="25"/>
      <c r="C581" s="25" t="str">
        <f t="shared" si="192"/>
        <v xml:space="preserve"> </v>
      </c>
      <c r="D581" s="25"/>
      <c r="E581" s="25"/>
      <c r="F581" s="25"/>
      <c r="G581" s="65"/>
      <c r="H581" s="25"/>
      <c r="I581" s="25"/>
      <c r="J581" s="26"/>
      <c r="K581" s="27"/>
      <c r="L581" s="28"/>
      <c r="M581" s="28"/>
      <c r="N581" s="25"/>
      <c r="O581" s="29"/>
      <c r="P581" s="29"/>
      <c r="Q581" s="25"/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93"/>
        <v>0</v>
      </c>
      <c r="AF581" s="32">
        <f t="shared" si="194"/>
        <v>0</v>
      </c>
      <c r="AG581" s="30"/>
      <c r="AH581" s="33"/>
      <c r="AI581" s="34">
        <f t="shared" si="195"/>
        <v>0</v>
      </c>
      <c r="AJ581" s="35"/>
      <c r="AK581" s="30"/>
      <c r="AL581" s="36">
        <f t="shared" si="196"/>
        <v>0</v>
      </c>
      <c r="AM581" s="35"/>
      <c r="AN581" s="30"/>
      <c r="AO581" s="36">
        <f t="shared" si="197"/>
        <v>0</v>
      </c>
      <c r="AP581" s="35"/>
      <c r="AQ581" s="30"/>
      <c r="AR581" s="36">
        <f t="shared" si="198"/>
        <v>0</v>
      </c>
      <c r="AS581" s="27"/>
      <c r="AT581" s="37"/>
      <c r="AU581" s="30"/>
      <c r="AV581" s="36">
        <f t="shared" si="199"/>
        <v>0</v>
      </c>
      <c r="AW581" s="35"/>
      <c r="AX581" s="30"/>
      <c r="AY581" s="32">
        <f t="shared" si="200"/>
        <v>0</v>
      </c>
      <c r="AZ581" s="30"/>
      <c r="BA581" s="63"/>
      <c r="BB581" s="71"/>
      <c r="BC581" s="71"/>
      <c r="BD581" s="71"/>
    </row>
    <row r="582" spans="1:56" hidden="1" x14ac:dyDescent="0.25">
      <c r="A582" s="24" t="str">
        <f>IF(B582="","",SUBTOTAL(3,$B$4:B582))</f>
        <v/>
      </c>
      <c r="B582" s="25"/>
      <c r="C582" s="25" t="str">
        <f t="shared" si="192"/>
        <v xml:space="preserve"> </v>
      </c>
      <c r="D582" s="25"/>
      <c r="E582" s="25"/>
      <c r="F582" s="25"/>
      <c r="G582" s="65"/>
      <c r="H582" s="25"/>
      <c r="I582" s="25"/>
      <c r="J582" s="26"/>
      <c r="K582" s="27"/>
      <c r="L582" s="28"/>
      <c r="M582" s="28"/>
      <c r="N582" s="25"/>
      <c r="O582" s="29"/>
      <c r="P582" s="29"/>
      <c r="Q582" s="25"/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93"/>
        <v>0</v>
      </c>
      <c r="AF582" s="32">
        <f t="shared" si="194"/>
        <v>0</v>
      </c>
      <c r="AG582" s="30"/>
      <c r="AH582" s="33"/>
      <c r="AI582" s="34">
        <f t="shared" si="195"/>
        <v>0</v>
      </c>
      <c r="AJ582" s="35"/>
      <c r="AK582" s="30"/>
      <c r="AL582" s="36">
        <f t="shared" si="196"/>
        <v>0</v>
      </c>
      <c r="AM582" s="35"/>
      <c r="AN582" s="30"/>
      <c r="AO582" s="36">
        <f t="shared" si="197"/>
        <v>0</v>
      </c>
      <c r="AP582" s="35"/>
      <c r="AQ582" s="30"/>
      <c r="AR582" s="36">
        <f t="shared" si="198"/>
        <v>0</v>
      </c>
      <c r="AS582" s="27"/>
      <c r="AT582" s="37"/>
      <c r="AU582" s="30"/>
      <c r="AV582" s="36">
        <f t="shared" si="199"/>
        <v>0</v>
      </c>
      <c r="AW582" s="35"/>
      <c r="AX582" s="30"/>
      <c r="AY582" s="32">
        <f t="shared" si="200"/>
        <v>0</v>
      </c>
      <c r="AZ582" s="30"/>
      <c r="BA582" s="63"/>
      <c r="BB582" s="71"/>
      <c r="BC582" s="71"/>
      <c r="BD582" s="71"/>
    </row>
    <row r="583" spans="1:56" ht="16.5" hidden="1" thickBot="1" x14ac:dyDescent="0.3">
      <c r="A583" s="38" t="str">
        <f>IF(B583="","",SUBTOTAL(3,$B$4:B583))</f>
        <v/>
      </c>
      <c r="B583" s="39"/>
      <c r="C583" s="39" t="str">
        <f t="shared" si="0"/>
        <v xml:space="preserve"> </v>
      </c>
      <c r="D583" s="39"/>
      <c r="E583" s="39"/>
      <c r="F583" s="39"/>
      <c r="G583" s="66"/>
      <c r="H583" s="39"/>
      <c r="I583" s="39"/>
      <c r="J583" s="40"/>
      <c r="K583" s="38"/>
      <c r="L583" s="39"/>
      <c r="M583" s="42"/>
      <c r="N583" s="39"/>
      <c r="O583" s="43"/>
      <c r="P583" s="43"/>
      <c r="Q583" s="39"/>
      <c r="R583" s="39"/>
      <c r="S583" s="40"/>
      <c r="T583" s="38"/>
      <c r="U583" s="41"/>
      <c r="V583" s="41"/>
      <c r="W583" s="41"/>
      <c r="X583" s="66"/>
      <c r="Y583" s="46"/>
      <c r="Z583" s="41"/>
      <c r="AA583" s="46"/>
      <c r="AB583" s="41"/>
      <c r="AC583" s="41"/>
      <c r="AD583" s="69"/>
      <c r="AE583" s="55">
        <f t="shared" si="1"/>
        <v>0</v>
      </c>
      <c r="AF583" s="47">
        <f t="shared" si="2"/>
        <v>0</v>
      </c>
      <c r="AG583" s="41"/>
      <c r="AH583" s="56"/>
      <c r="AI583" s="57">
        <f t="shared" si="3"/>
        <v>0</v>
      </c>
      <c r="AJ583" s="44"/>
      <c r="AK583" s="41"/>
      <c r="AL583" s="45">
        <f t="shared" si="4"/>
        <v>0</v>
      </c>
      <c r="AM583" s="44"/>
      <c r="AN583" s="41"/>
      <c r="AO583" s="45">
        <f t="shared" si="5"/>
        <v>0</v>
      </c>
      <c r="AP583" s="44"/>
      <c r="AQ583" s="41"/>
      <c r="AR583" s="45">
        <f t="shared" si="6"/>
        <v>0</v>
      </c>
      <c r="AS583" s="62"/>
      <c r="AT583" s="46"/>
      <c r="AU583" s="41"/>
      <c r="AV583" s="45">
        <f t="shared" si="7"/>
        <v>0</v>
      </c>
      <c r="AW583" s="44"/>
      <c r="AX583" s="41"/>
      <c r="AY583" s="47">
        <f t="shared" si="10"/>
        <v>0</v>
      </c>
      <c r="AZ583" s="41"/>
      <c r="BA583" s="64"/>
      <c r="BB583" s="71"/>
      <c r="BC583" s="71"/>
      <c r="BD583" s="71"/>
    </row>
  </sheetData>
  <autoFilter ref="A3:BD583" xr:uid="{334E9545-4D7F-4FF2-AE79-B0165FA68616}">
    <filterColumn colId="44">
      <customFilters>
        <customFilter operator="notEqual" val=" "/>
      </customFilters>
    </filterColumn>
  </autoFilter>
  <conditionalFormatting sqref="A4:AG583 AJ4:AL583">
    <cfRule type="expression" dxfId="5" priority="2">
      <formula>$AK4=$N4</formula>
    </cfRule>
  </conditionalFormatting>
  <conditionalFormatting sqref="AH4:AI583">
    <cfRule type="expression" dxfId="4" priority="1">
      <formula>$AH4=1</formula>
    </cfRule>
  </conditionalFormatting>
  <conditionalFormatting sqref="AM4:AO583">
    <cfRule type="expression" dxfId="3" priority="3">
      <formula>$AN4=$N4</formula>
    </cfRule>
  </conditionalFormatting>
  <conditionalFormatting sqref="AP4:AR583">
    <cfRule type="expression" dxfId="2" priority="4">
      <formula>$AQ4=$N4</formula>
    </cfRule>
  </conditionalFormatting>
  <conditionalFormatting sqref="AS4:AV583">
    <cfRule type="expression" dxfId="1" priority="5">
      <formula>$AU4=$N4</formula>
    </cfRule>
  </conditionalFormatting>
  <conditionalFormatting sqref="AW4:BA583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2026-10-12T06:54:39Z</dcterms:modified>
</cp:coreProperties>
</file>