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FDD3520D-E4AA-4794-893D-50C0721A0472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Progress!$A$3:$BD$384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2" i="1" l="1"/>
  <c r="AR32" i="1"/>
  <c r="AV32" i="1"/>
  <c r="AY32" i="1"/>
  <c r="AO33" i="1"/>
  <c r="AR33" i="1"/>
  <c r="AV33" i="1"/>
  <c r="AY33" i="1"/>
  <c r="AO34" i="1"/>
  <c r="AR34" i="1"/>
  <c r="AV34" i="1"/>
  <c r="AY34" i="1"/>
  <c r="AO35" i="1"/>
  <c r="AR35" i="1"/>
  <c r="AV35" i="1"/>
  <c r="AY35" i="1"/>
  <c r="AO36" i="1"/>
  <c r="AR36" i="1"/>
  <c r="AV36" i="1"/>
  <c r="AY36" i="1"/>
  <c r="AO37" i="1"/>
  <c r="AR37" i="1"/>
  <c r="AV37" i="1"/>
  <c r="AY37" i="1"/>
  <c r="AO38" i="1"/>
  <c r="AR38" i="1"/>
  <c r="AV38" i="1"/>
  <c r="AY38" i="1"/>
  <c r="AO39" i="1"/>
  <c r="AR39" i="1"/>
  <c r="AV39" i="1"/>
  <c r="AY39" i="1"/>
  <c r="AO40" i="1"/>
  <c r="AR40" i="1"/>
  <c r="AV40" i="1"/>
  <c r="AY40" i="1"/>
  <c r="AO41" i="1"/>
  <c r="AR41" i="1"/>
  <c r="AV41" i="1"/>
  <c r="AY41" i="1"/>
  <c r="AO42" i="1"/>
  <c r="AR42" i="1"/>
  <c r="AV42" i="1"/>
  <c r="AY42" i="1"/>
  <c r="AO43" i="1"/>
  <c r="AR43" i="1"/>
  <c r="AV43" i="1"/>
  <c r="AY43" i="1"/>
  <c r="AO44" i="1"/>
  <c r="AR44" i="1"/>
  <c r="AV44" i="1"/>
  <c r="AY44" i="1"/>
  <c r="AO45" i="1"/>
  <c r="AR45" i="1"/>
  <c r="AV45" i="1"/>
  <c r="AY45" i="1"/>
  <c r="AO46" i="1"/>
  <c r="AR46" i="1"/>
  <c r="AV46" i="1"/>
  <c r="AY46" i="1"/>
  <c r="AO47" i="1"/>
  <c r="AR47" i="1"/>
  <c r="AV47" i="1"/>
  <c r="AY47" i="1"/>
  <c r="AO48" i="1"/>
  <c r="AR48" i="1"/>
  <c r="AV48" i="1"/>
  <c r="AY48" i="1"/>
  <c r="AO49" i="1"/>
  <c r="AR49" i="1"/>
  <c r="AV49" i="1"/>
  <c r="AY49" i="1"/>
  <c r="AO50" i="1"/>
  <c r="AR50" i="1"/>
  <c r="AV50" i="1"/>
  <c r="AY50" i="1"/>
  <c r="AO51" i="1"/>
  <c r="AR51" i="1"/>
  <c r="AV51" i="1"/>
  <c r="AY51" i="1"/>
  <c r="AO52" i="1"/>
  <c r="AR52" i="1"/>
  <c r="AV52" i="1"/>
  <c r="AY52" i="1"/>
  <c r="AO53" i="1"/>
  <c r="AR53" i="1"/>
  <c r="AV53" i="1"/>
  <c r="AY53" i="1"/>
  <c r="AO54" i="1"/>
  <c r="AR54" i="1"/>
  <c r="AV54" i="1"/>
  <c r="AY54" i="1"/>
  <c r="AO55" i="1"/>
  <c r="AR55" i="1"/>
  <c r="AV55" i="1"/>
  <c r="AY55" i="1"/>
  <c r="AO56" i="1"/>
  <c r="AR56" i="1"/>
  <c r="AV56" i="1"/>
  <c r="AY56" i="1"/>
  <c r="AO57" i="1"/>
  <c r="AR57" i="1"/>
  <c r="AV57" i="1"/>
  <c r="AY57" i="1"/>
  <c r="AO58" i="1"/>
  <c r="AR58" i="1"/>
  <c r="AV58" i="1"/>
  <c r="AY58" i="1"/>
  <c r="AO59" i="1"/>
  <c r="AR59" i="1"/>
  <c r="AV59" i="1"/>
  <c r="AY59" i="1"/>
  <c r="AO60" i="1"/>
  <c r="AR60" i="1"/>
  <c r="AV60" i="1"/>
  <c r="AY60" i="1"/>
  <c r="AO61" i="1"/>
  <c r="AR61" i="1"/>
  <c r="AV61" i="1"/>
  <c r="AY61" i="1"/>
  <c r="AO62" i="1"/>
  <c r="AR62" i="1"/>
  <c r="AV62" i="1"/>
  <c r="AY62" i="1"/>
  <c r="AO63" i="1"/>
  <c r="AR63" i="1"/>
  <c r="AV63" i="1"/>
  <c r="AY63" i="1"/>
  <c r="AO64" i="1"/>
  <c r="AR64" i="1"/>
  <c r="AV64" i="1"/>
  <c r="AY64" i="1"/>
  <c r="AO65" i="1"/>
  <c r="AR65" i="1"/>
  <c r="AV65" i="1"/>
  <c r="AY65" i="1"/>
  <c r="AO66" i="1"/>
  <c r="AR66" i="1"/>
  <c r="AV66" i="1"/>
  <c r="AY66" i="1"/>
  <c r="AO67" i="1"/>
  <c r="AR67" i="1"/>
  <c r="AV67" i="1"/>
  <c r="AY67" i="1"/>
  <c r="AO68" i="1"/>
  <c r="AR68" i="1"/>
  <c r="AV68" i="1"/>
  <c r="AY68" i="1"/>
  <c r="AO69" i="1"/>
  <c r="AR69" i="1"/>
  <c r="AV69" i="1"/>
  <c r="AY69" i="1"/>
  <c r="AO70" i="1"/>
  <c r="AR70" i="1"/>
  <c r="AV70" i="1"/>
  <c r="AY70" i="1"/>
  <c r="AO71" i="1"/>
  <c r="AR71" i="1"/>
  <c r="AV71" i="1"/>
  <c r="AY71" i="1"/>
  <c r="AO72" i="1"/>
  <c r="AR72" i="1"/>
  <c r="AV72" i="1"/>
  <c r="AY72" i="1"/>
  <c r="AO73" i="1"/>
  <c r="AR73" i="1"/>
  <c r="AV73" i="1"/>
  <c r="AY73" i="1"/>
  <c r="AO74" i="1"/>
  <c r="AR74" i="1"/>
  <c r="AV74" i="1"/>
  <c r="AY74" i="1"/>
  <c r="AO75" i="1"/>
  <c r="AR75" i="1"/>
  <c r="AV75" i="1"/>
  <c r="AY75" i="1"/>
  <c r="AO76" i="1"/>
  <c r="AR76" i="1"/>
  <c r="AV76" i="1"/>
  <c r="AY76" i="1"/>
  <c r="AO77" i="1"/>
  <c r="AR77" i="1"/>
  <c r="AV77" i="1"/>
  <c r="AY77" i="1"/>
  <c r="AO78" i="1"/>
  <c r="AR78" i="1"/>
  <c r="AV78" i="1"/>
  <c r="AY78" i="1"/>
  <c r="AO79" i="1"/>
  <c r="AR79" i="1"/>
  <c r="AV79" i="1"/>
  <c r="AY79" i="1"/>
  <c r="AO80" i="1"/>
  <c r="AR80" i="1"/>
  <c r="AV80" i="1"/>
  <c r="AY80" i="1"/>
  <c r="AO81" i="1"/>
  <c r="AR81" i="1"/>
  <c r="AV81" i="1"/>
  <c r="AY81" i="1"/>
  <c r="AO82" i="1"/>
  <c r="AR82" i="1"/>
  <c r="AV82" i="1"/>
  <c r="AY82" i="1"/>
  <c r="AO83" i="1"/>
  <c r="AR83" i="1"/>
  <c r="AV83" i="1"/>
  <c r="AY83" i="1"/>
  <c r="AO84" i="1"/>
  <c r="AR84" i="1"/>
  <c r="AV84" i="1"/>
  <c r="AY84" i="1"/>
  <c r="AO85" i="1"/>
  <c r="AR85" i="1"/>
  <c r="AV85" i="1"/>
  <c r="AY85" i="1"/>
  <c r="AO86" i="1"/>
  <c r="AR86" i="1"/>
  <c r="AV86" i="1"/>
  <c r="AY86" i="1"/>
  <c r="AO87" i="1"/>
  <c r="AR87" i="1"/>
  <c r="AV87" i="1"/>
  <c r="AY87" i="1"/>
  <c r="AO88" i="1"/>
  <c r="AR88" i="1"/>
  <c r="AV88" i="1"/>
  <c r="AY88" i="1"/>
  <c r="AO89" i="1"/>
  <c r="AR89" i="1"/>
  <c r="AV89" i="1"/>
  <c r="AY89" i="1"/>
  <c r="AO90" i="1"/>
  <c r="AR90" i="1"/>
  <c r="AV90" i="1"/>
  <c r="AY90" i="1"/>
  <c r="AO91" i="1"/>
  <c r="AR91" i="1"/>
  <c r="AV91" i="1"/>
  <c r="AY91" i="1"/>
  <c r="AO92" i="1"/>
  <c r="AR92" i="1"/>
  <c r="AV92" i="1"/>
  <c r="AY92" i="1"/>
  <c r="AO93" i="1"/>
  <c r="AR93" i="1"/>
  <c r="AV93" i="1"/>
  <c r="AY93" i="1"/>
  <c r="AO94" i="1"/>
  <c r="AR94" i="1"/>
  <c r="AV94" i="1"/>
  <c r="AY94" i="1"/>
  <c r="AO95" i="1"/>
  <c r="AR95" i="1"/>
  <c r="AV95" i="1"/>
  <c r="AY95" i="1"/>
  <c r="AO96" i="1"/>
  <c r="AR96" i="1"/>
  <c r="AV96" i="1"/>
  <c r="AY96" i="1"/>
  <c r="AO97" i="1"/>
  <c r="AR97" i="1"/>
  <c r="AV97" i="1"/>
  <c r="AY97" i="1"/>
  <c r="AO98" i="1"/>
  <c r="AR98" i="1"/>
  <c r="AV98" i="1"/>
  <c r="AY98" i="1"/>
  <c r="AL32" i="1"/>
  <c r="AE32" i="1" s="1"/>
  <c r="AF32" i="1" s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32" i="1"/>
  <c r="C32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59" i="1"/>
  <c r="C59" i="1"/>
  <c r="A60" i="1"/>
  <c r="C60" i="1"/>
  <c r="A61" i="1"/>
  <c r="C61" i="1"/>
  <c r="A62" i="1"/>
  <c r="C62" i="1"/>
  <c r="A63" i="1"/>
  <c r="C63" i="1"/>
  <c r="A64" i="1"/>
  <c r="C64" i="1"/>
  <c r="A65" i="1"/>
  <c r="C65" i="1"/>
  <c r="A66" i="1"/>
  <c r="C66" i="1"/>
  <c r="A67" i="1"/>
  <c r="C67" i="1"/>
  <c r="A68" i="1"/>
  <c r="C68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A76" i="1"/>
  <c r="C76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C90" i="1"/>
  <c r="A91" i="1"/>
  <c r="C91" i="1"/>
  <c r="A92" i="1"/>
  <c r="C92" i="1"/>
  <c r="A93" i="1"/>
  <c r="C93" i="1"/>
  <c r="A94" i="1"/>
  <c r="C94" i="1"/>
  <c r="A95" i="1"/>
  <c r="C95" i="1"/>
  <c r="A96" i="1"/>
  <c r="C96" i="1"/>
  <c r="A97" i="1"/>
  <c r="C97" i="1"/>
  <c r="A98" i="1"/>
  <c r="C98" i="1"/>
  <c r="BB119" i="1"/>
  <c r="BB120" i="1"/>
  <c r="BB135" i="1"/>
  <c r="BB136" i="1"/>
  <c r="BB137" i="1"/>
  <c r="BB138" i="1"/>
  <c r="BB141" i="1"/>
  <c r="BB143" i="1"/>
  <c r="BB146" i="1"/>
  <c r="BB148" i="1"/>
  <c r="BB149" i="1"/>
  <c r="BB150" i="1"/>
  <c r="BB154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L8" i="1"/>
  <c r="AO8" i="1"/>
  <c r="AR8" i="1"/>
  <c r="AV8" i="1"/>
  <c r="AY8" i="1"/>
  <c r="AL9" i="1"/>
  <c r="AO9" i="1"/>
  <c r="AR9" i="1"/>
  <c r="AV9" i="1"/>
  <c r="AY9" i="1"/>
  <c r="AL10" i="1"/>
  <c r="AO10" i="1"/>
  <c r="AR10" i="1"/>
  <c r="AV10" i="1"/>
  <c r="AY10" i="1"/>
  <c r="AL11" i="1"/>
  <c r="AO11" i="1"/>
  <c r="AR11" i="1"/>
  <c r="AV11" i="1"/>
  <c r="AY11" i="1"/>
  <c r="AL12" i="1"/>
  <c r="AO12" i="1"/>
  <c r="AR12" i="1"/>
  <c r="AV12" i="1"/>
  <c r="AY12" i="1"/>
  <c r="AL13" i="1"/>
  <c r="AO13" i="1"/>
  <c r="AR13" i="1"/>
  <c r="AV13" i="1"/>
  <c r="AY13" i="1"/>
  <c r="AL14" i="1"/>
  <c r="AO14" i="1"/>
  <c r="AR14" i="1"/>
  <c r="AV14" i="1"/>
  <c r="AY14" i="1"/>
  <c r="AL15" i="1"/>
  <c r="AO15" i="1"/>
  <c r="AR15" i="1"/>
  <c r="AV15" i="1"/>
  <c r="AY15" i="1"/>
  <c r="AL16" i="1"/>
  <c r="AO16" i="1"/>
  <c r="AR16" i="1"/>
  <c r="AV16" i="1"/>
  <c r="AY16" i="1"/>
  <c r="AL17" i="1"/>
  <c r="AO17" i="1"/>
  <c r="AR17" i="1"/>
  <c r="AV17" i="1"/>
  <c r="AY17" i="1"/>
  <c r="AL18" i="1"/>
  <c r="AO18" i="1"/>
  <c r="AR18" i="1"/>
  <c r="AV18" i="1"/>
  <c r="AY18" i="1"/>
  <c r="AL19" i="1"/>
  <c r="AO19" i="1"/>
  <c r="AR19" i="1"/>
  <c r="AV19" i="1"/>
  <c r="AY19" i="1"/>
  <c r="AL20" i="1"/>
  <c r="AO20" i="1"/>
  <c r="AR20" i="1"/>
  <c r="AV20" i="1"/>
  <c r="AY20" i="1"/>
  <c r="AL21" i="1"/>
  <c r="AO21" i="1"/>
  <c r="AR21" i="1"/>
  <c r="AV21" i="1"/>
  <c r="AY21" i="1"/>
  <c r="AL22" i="1"/>
  <c r="AO22" i="1"/>
  <c r="AR22" i="1"/>
  <c r="AV22" i="1"/>
  <c r="AY22" i="1"/>
  <c r="AL23" i="1"/>
  <c r="AO23" i="1"/>
  <c r="AR23" i="1"/>
  <c r="AV23" i="1"/>
  <c r="AY23" i="1"/>
  <c r="AL24" i="1"/>
  <c r="AO24" i="1"/>
  <c r="AR24" i="1"/>
  <c r="AV24" i="1"/>
  <c r="AY24" i="1"/>
  <c r="AL25" i="1"/>
  <c r="AO25" i="1"/>
  <c r="AR25" i="1"/>
  <c r="AV25" i="1"/>
  <c r="AY25" i="1"/>
  <c r="AL26" i="1"/>
  <c r="AO26" i="1"/>
  <c r="AR26" i="1"/>
  <c r="AV26" i="1"/>
  <c r="AY26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L223" i="1"/>
  <c r="AL222" i="1"/>
  <c r="AL203" i="1"/>
  <c r="AL202" i="1"/>
  <c r="AL201" i="1"/>
  <c r="AL200" i="1"/>
  <c r="AL199" i="1"/>
  <c r="AL198" i="1"/>
  <c r="AL197" i="1"/>
  <c r="AL196" i="1"/>
  <c r="AL162" i="1"/>
  <c r="AL161" i="1"/>
  <c r="AL160" i="1"/>
  <c r="AL159" i="1"/>
  <c r="AL158" i="1"/>
  <c r="AL157" i="1"/>
  <c r="AL156" i="1"/>
  <c r="AL155" i="1"/>
  <c r="AL153" i="1"/>
  <c r="AL152" i="1"/>
  <c r="AL151" i="1"/>
  <c r="AL147" i="1"/>
  <c r="AL145" i="1"/>
  <c r="AL144" i="1"/>
  <c r="AL142" i="1"/>
  <c r="AL140" i="1"/>
  <c r="AL139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31" i="1"/>
  <c r="AL30" i="1"/>
  <c r="AL29" i="1"/>
  <c r="AL28" i="1"/>
  <c r="AL27" i="1"/>
  <c r="AL7" i="1"/>
  <c r="AL6" i="1"/>
  <c r="AL5" i="1"/>
  <c r="AL207" i="1"/>
  <c r="AL208" i="1"/>
  <c r="AL209" i="1"/>
  <c r="AL210" i="1"/>
  <c r="AL216" i="1"/>
  <c r="AL217" i="1"/>
  <c r="AO344" i="1"/>
  <c r="AY346" i="1"/>
  <c r="AO345" i="1"/>
  <c r="AL377" i="1"/>
  <c r="AL378" i="1"/>
  <c r="AL191" i="1"/>
  <c r="AL192" i="1"/>
  <c r="AY348" i="1"/>
  <c r="AY349" i="1"/>
  <c r="A350" i="1"/>
  <c r="C350" i="1"/>
  <c r="A351" i="1"/>
  <c r="C351" i="1"/>
  <c r="A352" i="1"/>
  <c r="C352" i="1"/>
  <c r="A353" i="1"/>
  <c r="C353" i="1"/>
  <c r="A354" i="1"/>
  <c r="C354" i="1"/>
  <c r="A355" i="1"/>
  <c r="C355" i="1"/>
  <c r="A356" i="1"/>
  <c r="C356" i="1"/>
  <c r="A357" i="1"/>
  <c r="C357" i="1"/>
  <c r="A358" i="1"/>
  <c r="C358" i="1"/>
  <c r="A359" i="1"/>
  <c r="C359" i="1"/>
  <c r="A360" i="1"/>
  <c r="C360" i="1"/>
  <c r="A361" i="1"/>
  <c r="C361" i="1"/>
  <c r="A362" i="1"/>
  <c r="C362" i="1"/>
  <c r="A363" i="1"/>
  <c r="C363" i="1"/>
  <c r="A364" i="1"/>
  <c r="C364" i="1"/>
  <c r="A365" i="1"/>
  <c r="C365" i="1"/>
  <c r="A366" i="1"/>
  <c r="C366" i="1"/>
  <c r="A367" i="1"/>
  <c r="C367" i="1"/>
  <c r="A368" i="1"/>
  <c r="C368" i="1"/>
  <c r="A369" i="1"/>
  <c r="C369" i="1"/>
  <c r="A370" i="1"/>
  <c r="C370" i="1"/>
  <c r="A371" i="1"/>
  <c r="C371" i="1"/>
  <c r="A372" i="1"/>
  <c r="C372" i="1"/>
  <c r="A373" i="1"/>
  <c r="C373" i="1"/>
  <c r="A374" i="1"/>
  <c r="C374" i="1"/>
  <c r="A375" i="1"/>
  <c r="C375" i="1"/>
  <c r="A376" i="1"/>
  <c r="C376" i="1"/>
  <c r="A377" i="1"/>
  <c r="C377" i="1"/>
  <c r="A378" i="1"/>
  <c r="C378" i="1"/>
  <c r="AI355" i="1"/>
  <c r="AL355" i="1"/>
  <c r="AO355" i="1"/>
  <c r="AR355" i="1"/>
  <c r="AV355" i="1"/>
  <c r="AY355" i="1"/>
  <c r="AI356" i="1"/>
  <c r="AL356" i="1"/>
  <c r="AO356" i="1"/>
  <c r="AR356" i="1"/>
  <c r="AV356" i="1"/>
  <c r="AY356" i="1"/>
  <c r="AI357" i="1"/>
  <c r="AL357" i="1"/>
  <c r="AO357" i="1"/>
  <c r="AR357" i="1"/>
  <c r="AV357" i="1"/>
  <c r="AY357" i="1"/>
  <c r="AI358" i="1"/>
  <c r="AL358" i="1"/>
  <c r="AO358" i="1"/>
  <c r="AR358" i="1"/>
  <c r="AV358" i="1"/>
  <c r="AY358" i="1"/>
  <c r="AI359" i="1"/>
  <c r="AL359" i="1"/>
  <c r="AO359" i="1"/>
  <c r="AR359" i="1"/>
  <c r="AV359" i="1"/>
  <c r="AY359" i="1"/>
  <c r="AI360" i="1"/>
  <c r="AL360" i="1"/>
  <c r="AO360" i="1"/>
  <c r="AR360" i="1"/>
  <c r="AV360" i="1"/>
  <c r="AY360" i="1"/>
  <c r="AI361" i="1"/>
  <c r="AL361" i="1"/>
  <c r="AO361" i="1"/>
  <c r="AR361" i="1"/>
  <c r="AV361" i="1"/>
  <c r="AY361" i="1"/>
  <c r="AI362" i="1"/>
  <c r="AL362" i="1"/>
  <c r="AO362" i="1"/>
  <c r="AR362" i="1"/>
  <c r="AV362" i="1"/>
  <c r="AY362" i="1"/>
  <c r="AI363" i="1"/>
  <c r="AL363" i="1"/>
  <c r="AO363" i="1"/>
  <c r="AR363" i="1"/>
  <c r="AV363" i="1"/>
  <c r="AY363" i="1"/>
  <c r="AI364" i="1"/>
  <c r="AL364" i="1"/>
  <c r="AO364" i="1"/>
  <c r="AR364" i="1"/>
  <c r="AV364" i="1"/>
  <c r="AY364" i="1"/>
  <c r="AI365" i="1"/>
  <c r="AL365" i="1"/>
  <c r="AO365" i="1"/>
  <c r="AR365" i="1"/>
  <c r="AV365" i="1"/>
  <c r="AY365" i="1"/>
  <c r="AI366" i="1"/>
  <c r="AL366" i="1"/>
  <c r="AO366" i="1"/>
  <c r="AR366" i="1"/>
  <c r="AV366" i="1"/>
  <c r="AY366" i="1"/>
  <c r="AI367" i="1"/>
  <c r="AL367" i="1"/>
  <c r="AO367" i="1"/>
  <c r="AR367" i="1"/>
  <c r="AV367" i="1"/>
  <c r="AY367" i="1"/>
  <c r="AI368" i="1"/>
  <c r="AL368" i="1"/>
  <c r="AO368" i="1"/>
  <c r="AR368" i="1"/>
  <c r="AV368" i="1"/>
  <c r="AY368" i="1"/>
  <c r="AI369" i="1"/>
  <c r="AL369" i="1"/>
  <c r="AO369" i="1"/>
  <c r="AR369" i="1"/>
  <c r="AV369" i="1"/>
  <c r="AY369" i="1"/>
  <c r="AI370" i="1"/>
  <c r="AL370" i="1"/>
  <c r="AO370" i="1"/>
  <c r="AR370" i="1"/>
  <c r="AV370" i="1"/>
  <c r="AY370" i="1"/>
  <c r="AI371" i="1"/>
  <c r="AL371" i="1"/>
  <c r="AO371" i="1"/>
  <c r="AR371" i="1"/>
  <c r="AV371" i="1"/>
  <c r="AY371" i="1"/>
  <c r="AI372" i="1"/>
  <c r="AL372" i="1"/>
  <c r="AO372" i="1"/>
  <c r="AR372" i="1"/>
  <c r="AV372" i="1"/>
  <c r="AY372" i="1"/>
  <c r="AI373" i="1"/>
  <c r="AL373" i="1"/>
  <c r="AO373" i="1"/>
  <c r="AR373" i="1"/>
  <c r="AV373" i="1"/>
  <c r="AY373" i="1"/>
  <c r="AI374" i="1"/>
  <c r="AL374" i="1"/>
  <c r="AO374" i="1"/>
  <c r="AR374" i="1"/>
  <c r="AV374" i="1"/>
  <c r="AY374" i="1"/>
  <c r="AI375" i="1"/>
  <c r="AL375" i="1"/>
  <c r="AO375" i="1"/>
  <c r="AR375" i="1"/>
  <c r="AV375" i="1"/>
  <c r="AY375" i="1"/>
  <c r="AI376" i="1"/>
  <c r="AL376" i="1"/>
  <c r="AO376" i="1"/>
  <c r="AR376" i="1"/>
  <c r="AV376" i="1"/>
  <c r="AY376" i="1"/>
  <c r="AI377" i="1"/>
  <c r="AO377" i="1"/>
  <c r="AR377" i="1"/>
  <c r="AV377" i="1"/>
  <c r="AY377" i="1"/>
  <c r="AI378" i="1"/>
  <c r="AO378" i="1"/>
  <c r="AR378" i="1"/>
  <c r="AV378" i="1"/>
  <c r="AY378" i="1"/>
  <c r="AI351" i="1"/>
  <c r="AL351" i="1"/>
  <c r="AO351" i="1"/>
  <c r="AR351" i="1"/>
  <c r="AV351" i="1"/>
  <c r="AY351" i="1"/>
  <c r="AI352" i="1"/>
  <c r="AL352" i="1"/>
  <c r="AO352" i="1"/>
  <c r="AR352" i="1"/>
  <c r="AV352" i="1"/>
  <c r="AY352" i="1"/>
  <c r="AI353" i="1"/>
  <c r="AL353" i="1"/>
  <c r="AO353" i="1"/>
  <c r="AR353" i="1"/>
  <c r="AV353" i="1"/>
  <c r="AY353" i="1"/>
  <c r="AI354" i="1"/>
  <c r="AL354" i="1"/>
  <c r="AO354" i="1"/>
  <c r="AR354" i="1"/>
  <c r="AV354" i="1"/>
  <c r="AY354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28" i="1"/>
  <c r="C321" i="1"/>
  <c r="C322" i="1"/>
  <c r="C323" i="1"/>
  <c r="C324" i="1"/>
  <c r="C325" i="1"/>
  <c r="C326" i="1"/>
  <c r="C327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AE33" i="1" l="1"/>
  <c r="AF33" i="1" s="1"/>
  <c r="AE35" i="1"/>
  <c r="AF35" i="1" s="1"/>
  <c r="AE39" i="1"/>
  <c r="AF39" i="1" s="1"/>
  <c r="AE43" i="1"/>
  <c r="AF43" i="1" s="1"/>
  <c r="AE47" i="1"/>
  <c r="AF47" i="1" s="1"/>
  <c r="AE51" i="1"/>
  <c r="AF51" i="1" s="1"/>
  <c r="AE57" i="1"/>
  <c r="AF57" i="1" s="1"/>
  <c r="AE58" i="1"/>
  <c r="AF58" i="1" s="1"/>
  <c r="AE63" i="1"/>
  <c r="AF63" i="1" s="1"/>
  <c r="AE82" i="1"/>
  <c r="AF82" i="1" s="1"/>
  <c r="AE83" i="1"/>
  <c r="AF83" i="1" s="1"/>
  <c r="AE89" i="1"/>
  <c r="AF89" i="1" s="1"/>
  <c r="AE52" i="1"/>
  <c r="AF52" i="1" s="1"/>
  <c r="AE53" i="1"/>
  <c r="AF53" i="1" s="1"/>
  <c r="AE54" i="1"/>
  <c r="AF54" i="1" s="1"/>
  <c r="AE55" i="1"/>
  <c r="AF55" i="1" s="1"/>
  <c r="AE56" i="1"/>
  <c r="AF56" i="1" s="1"/>
  <c r="AE62" i="1"/>
  <c r="AF62" i="1" s="1"/>
  <c r="AE67" i="1"/>
  <c r="AF67" i="1" s="1"/>
  <c r="AE68" i="1"/>
  <c r="AF68" i="1" s="1"/>
  <c r="AE88" i="1"/>
  <c r="AF88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81" i="1"/>
  <c r="AF81" i="1" s="1"/>
  <c r="AE87" i="1"/>
  <c r="AF87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36" i="1"/>
  <c r="AF36" i="1" s="1"/>
  <c r="AE37" i="1"/>
  <c r="AF37" i="1" s="1"/>
  <c r="AE41" i="1"/>
  <c r="AF41" i="1" s="1"/>
  <c r="AE42" i="1"/>
  <c r="AF42" i="1" s="1"/>
  <c r="AE46" i="1"/>
  <c r="AF46" i="1" s="1"/>
  <c r="AE60" i="1"/>
  <c r="AF60" i="1" s="1"/>
  <c r="AE69" i="1"/>
  <c r="AF69" i="1" s="1"/>
  <c r="AE84" i="1"/>
  <c r="AF84" i="1" s="1"/>
  <c r="AE40" i="1"/>
  <c r="AF40" i="1" s="1"/>
  <c r="AE45" i="1"/>
  <c r="AF45" i="1" s="1"/>
  <c r="AE59" i="1"/>
  <c r="AF59" i="1" s="1"/>
  <c r="AE64" i="1"/>
  <c r="AF64" i="1" s="1"/>
  <c r="AE65" i="1"/>
  <c r="AF65" i="1" s="1"/>
  <c r="AE70" i="1"/>
  <c r="AF70" i="1" s="1"/>
  <c r="AE79" i="1"/>
  <c r="AF79" i="1" s="1"/>
  <c r="AE85" i="1"/>
  <c r="AF85" i="1" s="1"/>
  <c r="AE34" i="1"/>
  <c r="AF34" i="1" s="1"/>
  <c r="AE38" i="1"/>
  <c r="AF38" i="1" s="1"/>
  <c r="AE44" i="1"/>
  <c r="AF44" i="1" s="1"/>
  <c r="AE48" i="1"/>
  <c r="AF48" i="1" s="1"/>
  <c r="AE49" i="1"/>
  <c r="AF49" i="1" s="1"/>
  <c r="AE50" i="1"/>
  <c r="AF50" i="1" s="1"/>
  <c r="AE61" i="1"/>
  <c r="AF61" i="1" s="1"/>
  <c r="AE66" i="1"/>
  <c r="AF66" i="1" s="1"/>
  <c r="AE80" i="1"/>
  <c r="AF80" i="1" s="1"/>
  <c r="AE86" i="1"/>
  <c r="AF86" i="1" s="1"/>
  <c r="AE14" i="1"/>
  <c r="AF14" i="1" s="1"/>
  <c r="AE12" i="1"/>
  <c r="AF12" i="1" s="1"/>
  <c r="AE13" i="1"/>
  <c r="AF13" i="1" s="1"/>
  <c r="AE11" i="1"/>
  <c r="AF11" i="1" s="1"/>
  <c r="AE15" i="1"/>
  <c r="AF15" i="1" s="1"/>
  <c r="AE16" i="1"/>
  <c r="AF16" i="1" s="1"/>
  <c r="AE17" i="1"/>
  <c r="AF17" i="1" s="1"/>
  <c r="AE18" i="1"/>
  <c r="AF18" i="1" s="1"/>
  <c r="AE19" i="1"/>
  <c r="AF19" i="1" s="1"/>
  <c r="AE10" i="1"/>
  <c r="AF10" i="1" s="1"/>
  <c r="AE8" i="1"/>
  <c r="AF8" i="1" s="1"/>
  <c r="AE9" i="1"/>
  <c r="AF9" i="1" s="1"/>
  <c r="AE23" i="1"/>
  <c r="AF23" i="1" s="1"/>
  <c r="AE22" i="1"/>
  <c r="AF22" i="1" s="1"/>
  <c r="AE25" i="1"/>
  <c r="AF25" i="1" s="1"/>
  <c r="AE24" i="1"/>
  <c r="AF24" i="1" s="1"/>
  <c r="AE20" i="1"/>
  <c r="AF20" i="1" s="1"/>
  <c r="AE21" i="1"/>
  <c r="AF21" i="1" s="1"/>
  <c r="AE26" i="1"/>
  <c r="AF26" i="1" s="1"/>
  <c r="AE366" i="1"/>
  <c r="AF366" i="1" s="1"/>
  <c r="AE355" i="1"/>
  <c r="AF355" i="1" s="1"/>
  <c r="AE378" i="1"/>
  <c r="AF378" i="1" s="1"/>
  <c r="AE377" i="1"/>
  <c r="AF377" i="1" s="1"/>
  <c r="AE359" i="1"/>
  <c r="AF359" i="1" s="1"/>
  <c r="AE373" i="1"/>
  <c r="AF373" i="1" s="1"/>
  <c r="AE367" i="1"/>
  <c r="AF367" i="1" s="1"/>
  <c r="AE361" i="1"/>
  <c r="AF361" i="1" s="1"/>
  <c r="AE356" i="1"/>
  <c r="AF356" i="1" s="1"/>
  <c r="AE376" i="1"/>
  <c r="AF376" i="1" s="1"/>
  <c r="AE372" i="1"/>
  <c r="AF372" i="1" s="1"/>
  <c r="AE370" i="1"/>
  <c r="AF370" i="1" s="1"/>
  <c r="AE360" i="1"/>
  <c r="AF360" i="1" s="1"/>
  <c r="AE369" i="1"/>
  <c r="AF369" i="1" s="1"/>
  <c r="AE363" i="1"/>
  <c r="AF363" i="1" s="1"/>
  <c r="AE357" i="1"/>
  <c r="AF357" i="1" s="1"/>
  <c r="AE374" i="1"/>
  <c r="AF374" i="1" s="1"/>
  <c r="AE364" i="1"/>
  <c r="AF364" i="1" s="1"/>
  <c r="AE371" i="1"/>
  <c r="AF371" i="1" s="1"/>
  <c r="AE368" i="1"/>
  <c r="AF368" i="1" s="1"/>
  <c r="AE358" i="1"/>
  <c r="AF358" i="1" s="1"/>
  <c r="AE375" i="1"/>
  <c r="AF375" i="1" s="1"/>
  <c r="AE365" i="1"/>
  <c r="AF365" i="1" s="1"/>
  <c r="AE362" i="1"/>
  <c r="AF362" i="1" s="1"/>
  <c r="AE352" i="1"/>
  <c r="AF352" i="1" s="1"/>
  <c r="AE353" i="1"/>
  <c r="AF353" i="1" s="1"/>
  <c r="AE354" i="1"/>
  <c r="AF354" i="1" s="1"/>
  <c r="AE351" i="1"/>
  <c r="AF351" i="1" s="1"/>
  <c r="A230" i="1"/>
  <c r="AI230" i="1"/>
  <c r="AL230" i="1"/>
  <c r="AO230" i="1"/>
  <c r="AR230" i="1"/>
  <c r="AV230" i="1"/>
  <c r="AY230" i="1"/>
  <c r="A231" i="1"/>
  <c r="AI231" i="1"/>
  <c r="AL231" i="1"/>
  <c r="AO231" i="1"/>
  <c r="AR231" i="1"/>
  <c r="AV231" i="1"/>
  <c r="AY231" i="1"/>
  <c r="A232" i="1"/>
  <c r="AI232" i="1"/>
  <c r="AL232" i="1"/>
  <c r="AO232" i="1"/>
  <c r="AR232" i="1"/>
  <c r="AV232" i="1"/>
  <c r="AY232" i="1"/>
  <c r="A233" i="1"/>
  <c r="AI233" i="1"/>
  <c r="AL233" i="1"/>
  <c r="AO233" i="1"/>
  <c r="AR233" i="1"/>
  <c r="AV233" i="1"/>
  <c r="AY233" i="1"/>
  <c r="A234" i="1"/>
  <c r="AI234" i="1"/>
  <c r="AL234" i="1"/>
  <c r="AO234" i="1"/>
  <c r="AR234" i="1"/>
  <c r="AV234" i="1"/>
  <c r="AY234" i="1"/>
  <c r="A235" i="1"/>
  <c r="AI235" i="1"/>
  <c r="AL235" i="1"/>
  <c r="AO235" i="1"/>
  <c r="AR235" i="1"/>
  <c r="AV235" i="1"/>
  <c r="AY235" i="1"/>
  <c r="A236" i="1"/>
  <c r="AI236" i="1"/>
  <c r="AL236" i="1"/>
  <c r="AO236" i="1"/>
  <c r="AR236" i="1"/>
  <c r="AV236" i="1"/>
  <c r="AY236" i="1"/>
  <c r="A237" i="1"/>
  <c r="AI237" i="1"/>
  <c r="AL237" i="1"/>
  <c r="AO237" i="1"/>
  <c r="AR237" i="1"/>
  <c r="AV237" i="1"/>
  <c r="AY237" i="1"/>
  <c r="A238" i="1"/>
  <c r="AI238" i="1"/>
  <c r="AL238" i="1"/>
  <c r="AO238" i="1"/>
  <c r="AR238" i="1"/>
  <c r="AV238" i="1"/>
  <c r="AY238" i="1"/>
  <c r="A239" i="1"/>
  <c r="AI239" i="1"/>
  <c r="AL239" i="1"/>
  <c r="AO239" i="1"/>
  <c r="AR239" i="1"/>
  <c r="AV239" i="1"/>
  <c r="AY239" i="1"/>
  <c r="A240" i="1"/>
  <c r="AI240" i="1"/>
  <c r="AL240" i="1"/>
  <c r="AO240" i="1"/>
  <c r="AR240" i="1"/>
  <c r="AV240" i="1"/>
  <c r="AY240" i="1"/>
  <c r="A241" i="1"/>
  <c r="AI241" i="1"/>
  <c r="AL241" i="1"/>
  <c r="AO241" i="1"/>
  <c r="AR241" i="1"/>
  <c r="AV241" i="1"/>
  <c r="AY241" i="1"/>
  <c r="A242" i="1"/>
  <c r="AI242" i="1"/>
  <c r="AL242" i="1"/>
  <c r="AO242" i="1"/>
  <c r="AR242" i="1"/>
  <c r="AV242" i="1"/>
  <c r="AY242" i="1"/>
  <c r="A243" i="1"/>
  <c r="AI243" i="1"/>
  <c r="AL243" i="1"/>
  <c r="AO243" i="1"/>
  <c r="AR243" i="1"/>
  <c r="AV243" i="1"/>
  <c r="AY243" i="1"/>
  <c r="A244" i="1"/>
  <c r="AI244" i="1"/>
  <c r="AL244" i="1"/>
  <c r="AO244" i="1"/>
  <c r="AR244" i="1"/>
  <c r="AV244" i="1"/>
  <c r="AY244" i="1"/>
  <c r="A245" i="1"/>
  <c r="AI245" i="1"/>
  <c r="AL245" i="1"/>
  <c r="AO245" i="1"/>
  <c r="AR245" i="1"/>
  <c r="AV245" i="1"/>
  <c r="AY245" i="1"/>
  <c r="A246" i="1"/>
  <c r="AI246" i="1"/>
  <c r="AL246" i="1"/>
  <c r="AO246" i="1"/>
  <c r="AR246" i="1"/>
  <c r="AV246" i="1"/>
  <c r="AY246" i="1"/>
  <c r="A247" i="1"/>
  <c r="AI247" i="1"/>
  <c r="AL247" i="1"/>
  <c r="AO247" i="1"/>
  <c r="AR247" i="1"/>
  <c r="AV247" i="1"/>
  <c r="AY247" i="1"/>
  <c r="A248" i="1"/>
  <c r="AI248" i="1"/>
  <c r="AL248" i="1"/>
  <c r="AO248" i="1"/>
  <c r="AR248" i="1"/>
  <c r="AV248" i="1"/>
  <c r="AY248" i="1"/>
  <c r="A249" i="1"/>
  <c r="AI249" i="1"/>
  <c r="AL249" i="1"/>
  <c r="AO249" i="1"/>
  <c r="AR249" i="1"/>
  <c r="AV249" i="1"/>
  <c r="AY249" i="1"/>
  <c r="A250" i="1"/>
  <c r="AI250" i="1"/>
  <c r="AL250" i="1"/>
  <c r="AO250" i="1"/>
  <c r="AR250" i="1"/>
  <c r="AV250" i="1"/>
  <c r="AY250" i="1"/>
  <c r="A251" i="1"/>
  <c r="AI251" i="1"/>
  <c r="AL251" i="1"/>
  <c r="AO251" i="1"/>
  <c r="AR251" i="1"/>
  <c r="AV251" i="1"/>
  <c r="AY251" i="1"/>
  <c r="A252" i="1"/>
  <c r="AI252" i="1"/>
  <c r="AL252" i="1"/>
  <c r="AO252" i="1"/>
  <c r="AR252" i="1"/>
  <c r="AV252" i="1"/>
  <c r="AY252" i="1"/>
  <c r="A253" i="1"/>
  <c r="AI253" i="1"/>
  <c r="AL253" i="1"/>
  <c r="AO253" i="1"/>
  <c r="AR253" i="1"/>
  <c r="AV253" i="1"/>
  <c r="AY253" i="1"/>
  <c r="A254" i="1"/>
  <c r="AI254" i="1"/>
  <c r="AL254" i="1"/>
  <c r="AO254" i="1"/>
  <c r="AR254" i="1"/>
  <c r="AV254" i="1"/>
  <c r="AY254" i="1"/>
  <c r="A255" i="1"/>
  <c r="AI255" i="1"/>
  <c r="AL255" i="1"/>
  <c r="AO255" i="1"/>
  <c r="AR255" i="1"/>
  <c r="AV255" i="1"/>
  <c r="AY255" i="1"/>
  <c r="A256" i="1"/>
  <c r="AI256" i="1"/>
  <c r="AL256" i="1"/>
  <c r="AO256" i="1"/>
  <c r="AR256" i="1"/>
  <c r="AV256" i="1"/>
  <c r="AY256" i="1"/>
  <c r="A257" i="1"/>
  <c r="AI257" i="1"/>
  <c r="AL257" i="1"/>
  <c r="AO257" i="1"/>
  <c r="AR257" i="1"/>
  <c r="AV257" i="1"/>
  <c r="AY257" i="1"/>
  <c r="A258" i="1"/>
  <c r="AI258" i="1"/>
  <c r="AL258" i="1"/>
  <c r="AO258" i="1"/>
  <c r="AR258" i="1"/>
  <c r="AV258" i="1"/>
  <c r="AY258" i="1"/>
  <c r="A259" i="1"/>
  <c r="AI259" i="1"/>
  <c r="AL259" i="1"/>
  <c r="AO259" i="1"/>
  <c r="AR259" i="1"/>
  <c r="AV259" i="1"/>
  <c r="AY259" i="1"/>
  <c r="A260" i="1"/>
  <c r="AI260" i="1"/>
  <c r="AL260" i="1"/>
  <c r="AO260" i="1"/>
  <c r="AR260" i="1"/>
  <c r="AV260" i="1"/>
  <c r="AY260" i="1"/>
  <c r="A261" i="1"/>
  <c r="AI261" i="1"/>
  <c r="AL261" i="1"/>
  <c r="AO261" i="1"/>
  <c r="AR261" i="1"/>
  <c r="AV261" i="1"/>
  <c r="AY261" i="1"/>
  <c r="A262" i="1"/>
  <c r="AI262" i="1"/>
  <c r="AL262" i="1"/>
  <c r="AO262" i="1"/>
  <c r="AR262" i="1"/>
  <c r="AV262" i="1"/>
  <c r="AY262" i="1"/>
  <c r="A263" i="1"/>
  <c r="AI263" i="1"/>
  <c r="AL263" i="1"/>
  <c r="AO263" i="1"/>
  <c r="AR263" i="1"/>
  <c r="AV263" i="1"/>
  <c r="AY263" i="1"/>
  <c r="A264" i="1"/>
  <c r="AI264" i="1"/>
  <c r="AL264" i="1"/>
  <c r="AO264" i="1"/>
  <c r="AR264" i="1"/>
  <c r="AV264" i="1"/>
  <c r="AY264" i="1"/>
  <c r="A265" i="1"/>
  <c r="AI265" i="1"/>
  <c r="AL265" i="1"/>
  <c r="AO265" i="1"/>
  <c r="AR265" i="1"/>
  <c r="AV265" i="1"/>
  <c r="AY265" i="1"/>
  <c r="A266" i="1"/>
  <c r="AI266" i="1"/>
  <c r="AL266" i="1"/>
  <c r="AO266" i="1"/>
  <c r="AR266" i="1"/>
  <c r="AV266" i="1"/>
  <c r="AY266" i="1"/>
  <c r="A267" i="1"/>
  <c r="AI267" i="1"/>
  <c r="AL267" i="1"/>
  <c r="AO267" i="1"/>
  <c r="AR267" i="1"/>
  <c r="AV267" i="1"/>
  <c r="AY267" i="1"/>
  <c r="A268" i="1"/>
  <c r="AI268" i="1"/>
  <c r="AL268" i="1"/>
  <c r="AO268" i="1"/>
  <c r="AR268" i="1"/>
  <c r="AV268" i="1"/>
  <c r="AY268" i="1"/>
  <c r="A269" i="1"/>
  <c r="AI269" i="1"/>
  <c r="AL269" i="1"/>
  <c r="AO269" i="1"/>
  <c r="AR269" i="1"/>
  <c r="AV269" i="1"/>
  <c r="AY269" i="1"/>
  <c r="A270" i="1"/>
  <c r="AI270" i="1"/>
  <c r="AL270" i="1"/>
  <c r="AO270" i="1"/>
  <c r="AR270" i="1"/>
  <c r="AV270" i="1"/>
  <c r="AY270" i="1"/>
  <c r="A271" i="1"/>
  <c r="AI271" i="1"/>
  <c r="AL271" i="1"/>
  <c r="AO271" i="1"/>
  <c r="AR271" i="1"/>
  <c r="AV271" i="1"/>
  <c r="AY271" i="1"/>
  <c r="A272" i="1"/>
  <c r="AI272" i="1"/>
  <c r="AL272" i="1"/>
  <c r="AO272" i="1"/>
  <c r="AR272" i="1"/>
  <c r="AV272" i="1"/>
  <c r="AY272" i="1"/>
  <c r="A273" i="1"/>
  <c r="AI273" i="1"/>
  <c r="AL273" i="1"/>
  <c r="AO273" i="1"/>
  <c r="AR273" i="1"/>
  <c r="AV273" i="1"/>
  <c r="AY273" i="1"/>
  <c r="A274" i="1"/>
  <c r="AI274" i="1"/>
  <c r="AL274" i="1"/>
  <c r="AO274" i="1"/>
  <c r="AR274" i="1"/>
  <c r="AV274" i="1"/>
  <c r="AY274" i="1"/>
  <c r="A275" i="1"/>
  <c r="AI275" i="1"/>
  <c r="AL275" i="1"/>
  <c r="AO275" i="1"/>
  <c r="AR275" i="1"/>
  <c r="AV275" i="1"/>
  <c r="AY275" i="1"/>
  <c r="A276" i="1"/>
  <c r="AI276" i="1"/>
  <c r="AL276" i="1"/>
  <c r="AO276" i="1"/>
  <c r="AR276" i="1"/>
  <c r="AV276" i="1"/>
  <c r="AY276" i="1"/>
  <c r="A277" i="1"/>
  <c r="AI277" i="1"/>
  <c r="AL277" i="1"/>
  <c r="AO277" i="1"/>
  <c r="AR277" i="1"/>
  <c r="AV277" i="1"/>
  <c r="AY277" i="1"/>
  <c r="A278" i="1"/>
  <c r="AI278" i="1"/>
  <c r="AL278" i="1"/>
  <c r="AO278" i="1"/>
  <c r="AR278" i="1"/>
  <c r="AV278" i="1"/>
  <c r="AY278" i="1"/>
  <c r="A279" i="1"/>
  <c r="AI279" i="1"/>
  <c r="AL279" i="1"/>
  <c r="AO279" i="1"/>
  <c r="AR279" i="1"/>
  <c r="AV279" i="1"/>
  <c r="AY279" i="1"/>
  <c r="A280" i="1"/>
  <c r="AI280" i="1"/>
  <c r="AL280" i="1"/>
  <c r="AO280" i="1"/>
  <c r="AR280" i="1"/>
  <c r="AV280" i="1"/>
  <c r="AY280" i="1"/>
  <c r="A281" i="1"/>
  <c r="AI281" i="1"/>
  <c r="AL281" i="1"/>
  <c r="AO281" i="1"/>
  <c r="AR281" i="1"/>
  <c r="AV281" i="1"/>
  <c r="AY281" i="1"/>
  <c r="A282" i="1"/>
  <c r="AI282" i="1"/>
  <c r="AL282" i="1"/>
  <c r="AO282" i="1"/>
  <c r="AR282" i="1"/>
  <c r="AV282" i="1"/>
  <c r="AY282" i="1"/>
  <c r="A283" i="1"/>
  <c r="AI283" i="1"/>
  <c r="AL283" i="1"/>
  <c r="AO283" i="1"/>
  <c r="AR283" i="1"/>
  <c r="AV283" i="1"/>
  <c r="AY283" i="1"/>
  <c r="A284" i="1"/>
  <c r="AI284" i="1"/>
  <c r="AL284" i="1"/>
  <c r="AO284" i="1"/>
  <c r="AR284" i="1"/>
  <c r="AV284" i="1"/>
  <c r="AY284" i="1"/>
  <c r="A285" i="1"/>
  <c r="AI285" i="1"/>
  <c r="AL285" i="1"/>
  <c r="AO285" i="1"/>
  <c r="AR285" i="1"/>
  <c r="AV285" i="1"/>
  <c r="AY285" i="1"/>
  <c r="A286" i="1"/>
  <c r="AI286" i="1"/>
  <c r="AL286" i="1"/>
  <c r="AO286" i="1"/>
  <c r="AR286" i="1"/>
  <c r="AV286" i="1"/>
  <c r="AY286" i="1"/>
  <c r="A287" i="1"/>
  <c r="AI287" i="1"/>
  <c r="AL287" i="1"/>
  <c r="AO287" i="1"/>
  <c r="AR287" i="1"/>
  <c r="AV287" i="1"/>
  <c r="AY287" i="1"/>
  <c r="A288" i="1"/>
  <c r="AI288" i="1"/>
  <c r="AL288" i="1"/>
  <c r="AO288" i="1"/>
  <c r="AR288" i="1"/>
  <c r="AV288" i="1"/>
  <c r="AY288" i="1"/>
  <c r="A289" i="1"/>
  <c r="AI289" i="1"/>
  <c r="AL289" i="1"/>
  <c r="AO289" i="1"/>
  <c r="AR289" i="1"/>
  <c r="AV289" i="1"/>
  <c r="AY289" i="1"/>
  <c r="A290" i="1"/>
  <c r="AI290" i="1"/>
  <c r="AL290" i="1"/>
  <c r="AO290" i="1"/>
  <c r="AR290" i="1"/>
  <c r="AV290" i="1"/>
  <c r="AY290" i="1"/>
  <c r="A291" i="1"/>
  <c r="AI291" i="1"/>
  <c r="AL291" i="1"/>
  <c r="AO291" i="1"/>
  <c r="AR291" i="1"/>
  <c r="AV291" i="1"/>
  <c r="AY291" i="1"/>
  <c r="A292" i="1"/>
  <c r="AI292" i="1"/>
  <c r="AL292" i="1"/>
  <c r="AO292" i="1"/>
  <c r="AR292" i="1"/>
  <c r="AV292" i="1"/>
  <c r="AY292" i="1"/>
  <c r="A293" i="1"/>
  <c r="AI293" i="1"/>
  <c r="AL293" i="1"/>
  <c r="AO293" i="1"/>
  <c r="AR293" i="1"/>
  <c r="AV293" i="1"/>
  <c r="AY293" i="1"/>
  <c r="A294" i="1"/>
  <c r="AI294" i="1"/>
  <c r="AL294" i="1"/>
  <c r="AO294" i="1"/>
  <c r="AR294" i="1"/>
  <c r="AV294" i="1"/>
  <c r="AY294" i="1"/>
  <c r="A295" i="1"/>
  <c r="AI295" i="1"/>
  <c r="AL295" i="1"/>
  <c r="AO295" i="1"/>
  <c r="AR295" i="1"/>
  <c r="AV295" i="1"/>
  <c r="AY295" i="1"/>
  <c r="A296" i="1"/>
  <c r="AI296" i="1"/>
  <c r="AL296" i="1"/>
  <c r="AO296" i="1"/>
  <c r="AR296" i="1"/>
  <c r="AV296" i="1"/>
  <c r="AY296" i="1"/>
  <c r="A297" i="1"/>
  <c r="AI297" i="1"/>
  <c r="AL297" i="1"/>
  <c r="AO297" i="1"/>
  <c r="AR297" i="1"/>
  <c r="AV297" i="1"/>
  <c r="AY297" i="1"/>
  <c r="A298" i="1"/>
  <c r="AI298" i="1"/>
  <c r="AL298" i="1"/>
  <c r="AO298" i="1"/>
  <c r="AR298" i="1"/>
  <c r="AV298" i="1"/>
  <c r="AY298" i="1"/>
  <c r="A299" i="1"/>
  <c r="AI299" i="1"/>
  <c r="AL299" i="1"/>
  <c r="AO299" i="1"/>
  <c r="AR299" i="1"/>
  <c r="AV299" i="1"/>
  <c r="AY299" i="1"/>
  <c r="A300" i="1"/>
  <c r="AI300" i="1"/>
  <c r="AL300" i="1"/>
  <c r="AO300" i="1"/>
  <c r="AR300" i="1"/>
  <c r="AV300" i="1"/>
  <c r="AY300" i="1"/>
  <c r="A301" i="1"/>
  <c r="AI301" i="1"/>
  <c r="AL301" i="1"/>
  <c r="AO301" i="1"/>
  <c r="AR301" i="1"/>
  <c r="AV301" i="1"/>
  <c r="AY301" i="1"/>
  <c r="A302" i="1"/>
  <c r="AI302" i="1"/>
  <c r="AL302" i="1"/>
  <c r="AO302" i="1"/>
  <c r="AR302" i="1"/>
  <c r="AV302" i="1"/>
  <c r="AY302" i="1"/>
  <c r="A303" i="1"/>
  <c r="AI303" i="1"/>
  <c r="AL303" i="1"/>
  <c r="AO303" i="1"/>
  <c r="AR303" i="1"/>
  <c r="AV303" i="1"/>
  <c r="AY303" i="1"/>
  <c r="A304" i="1"/>
  <c r="AI304" i="1"/>
  <c r="AL304" i="1"/>
  <c r="AO304" i="1"/>
  <c r="AR304" i="1"/>
  <c r="AV304" i="1"/>
  <c r="AY304" i="1"/>
  <c r="A305" i="1"/>
  <c r="AI305" i="1"/>
  <c r="AL305" i="1"/>
  <c r="AO305" i="1"/>
  <c r="AR305" i="1"/>
  <c r="AV305" i="1"/>
  <c r="AY305" i="1"/>
  <c r="A306" i="1"/>
  <c r="AI306" i="1"/>
  <c r="AL306" i="1"/>
  <c r="AO306" i="1"/>
  <c r="AR306" i="1"/>
  <c r="AV306" i="1"/>
  <c r="AY306" i="1"/>
  <c r="A307" i="1"/>
  <c r="AI307" i="1"/>
  <c r="AL307" i="1"/>
  <c r="AO307" i="1"/>
  <c r="AR307" i="1"/>
  <c r="AV307" i="1"/>
  <c r="AY307" i="1"/>
  <c r="A308" i="1"/>
  <c r="AI308" i="1"/>
  <c r="AL308" i="1"/>
  <c r="AO308" i="1"/>
  <c r="AR308" i="1"/>
  <c r="AV308" i="1"/>
  <c r="AY308" i="1"/>
  <c r="A309" i="1"/>
  <c r="AI309" i="1"/>
  <c r="AL309" i="1"/>
  <c r="AO309" i="1"/>
  <c r="AR309" i="1"/>
  <c r="AV309" i="1"/>
  <c r="AY309" i="1"/>
  <c r="A310" i="1"/>
  <c r="AI310" i="1"/>
  <c r="AL310" i="1"/>
  <c r="AO310" i="1"/>
  <c r="AR310" i="1"/>
  <c r="AV310" i="1"/>
  <c r="AY310" i="1"/>
  <c r="A311" i="1"/>
  <c r="AI311" i="1"/>
  <c r="AL311" i="1"/>
  <c r="AO311" i="1"/>
  <c r="AR311" i="1"/>
  <c r="AV311" i="1"/>
  <c r="AY311" i="1"/>
  <c r="A312" i="1"/>
  <c r="AI312" i="1"/>
  <c r="AL312" i="1"/>
  <c r="AO312" i="1"/>
  <c r="AR312" i="1"/>
  <c r="AV312" i="1"/>
  <c r="AY312" i="1"/>
  <c r="A313" i="1"/>
  <c r="AI313" i="1"/>
  <c r="AL313" i="1"/>
  <c r="AO313" i="1"/>
  <c r="AR313" i="1"/>
  <c r="AV313" i="1"/>
  <c r="AY313" i="1"/>
  <c r="A314" i="1"/>
  <c r="AI314" i="1"/>
  <c r="AL314" i="1"/>
  <c r="AO314" i="1"/>
  <c r="AR314" i="1"/>
  <c r="AV314" i="1"/>
  <c r="AY314" i="1"/>
  <c r="A315" i="1"/>
  <c r="AI315" i="1"/>
  <c r="AL315" i="1"/>
  <c r="AO315" i="1"/>
  <c r="AR315" i="1"/>
  <c r="AV315" i="1"/>
  <c r="AY315" i="1"/>
  <c r="A316" i="1"/>
  <c r="AI316" i="1"/>
  <c r="AL316" i="1"/>
  <c r="AO316" i="1"/>
  <c r="AR316" i="1"/>
  <c r="AV316" i="1"/>
  <c r="AY316" i="1"/>
  <c r="A317" i="1"/>
  <c r="AI317" i="1"/>
  <c r="AL317" i="1"/>
  <c r="AO317" i="1"/>
  <c r="AR317" i="1"/>
  <c r="AV317" i="1"/>
  <c r="AY317" i="1"/>
  <c r="A318" i="1"/>
  <c r="AI318" i="1"/>
  <c r="AL318" i="1"/>
  <c r="AO318" i="1"/>
  <c r="AR318" i="1"/>
  <c r="AV318" i="1"/>
  <c r="AY318" i="1"/>
  <c r="A319" i="1"/>
  <c r="AI319" i="1"/>
  <c r="AL319" i="1"/>
  <c r="AO319" i="1"/>
  <c r="AR319" i="1"/>
  <c r="AV319" i="1"/>
  <c r="AY319" i="1"/>
  <c r="A320" i="1"/>
  <c r="AI320" i="1"/>
  <c r="AL320" i="1"/>
  <c r="AO320" i="1"/>
  <c r="AR320" i="1"/>
  <c r="AV320" i="1"/>
  <c r="AY320" i="1"/>
  <c r="A321" i="1"/>
  <c r="AI321" i="1"/>
  <c r="AL321" i="1"/>
  <c r="AO321" i="1"/>
  <c r="AR321" i="1"/>
  <c r="AV321" i="1"/>
  <c r="AY321" i="1"/>
  <c r="A322" i="1"/>
  <c r="AI322" i="1"/>
  <c r="AL322" i="1"/>
  <c r="AO322" i="1"/>
  <c r="AR322" i="1"/>
  <c r="AV322" i="1"/>
  <c r="AY322" i="1"/>
  <c r="A323" i="1"/>
  <c r="AI323" i="1"/>
  <c r="AL323" i="1"/>
  <c r="AO323" i="1"/>
  <c r="AR323" i="1"/>
  <c r="AV323" i="1"/>
  <c r="AY323" i="1"/>
  <c r="A324" i="1"/>
  <c r="AI324" i="1"/>
  <c r="AL324" i="1"/>
  <c r="AO324" i="1"/>
  <c r="AR324" i="1"/>
  <c r="AV324" i="1"/>
  <c r="AY324" i="1"/>
  <c r="A325" i="1"/>
  <c r="AI325" i="1"/>
  <c r="AL325" i="1"/>
  <c r="AO325" i="1"/>
  <c r="AR325" i="1"/>
  <c r="AV325" i="1"/>
  <c r="AY325" i="1"/>
  <c r="A326" i="1"/>
  <c r="AI326" i="1"/>
  <c r="AL326" i="1"/>
  <c r="AO326" i="1"/>
  <c r="AR326" i="1"/>
  <c r="AV326" i="1"/>
  <c r="AY326" i="1"/>
  <c r="A327" i="1"/>
  <c r="AI327" i="1"/>
  <c r="AL327" i="1"/>
  <c r="AO327" i="1"/>
  <c r="AR327" i="1"/>
  <c r="AV327" i="1"/>
  <c r="AY327" i="1"/>
  <c r="A328" i="1"/>
  <c r="AI328" i="1"/>
  <c r="AL328" i="1"/>
  <c r="AO328" i="1"/>
  <c r="AR328" i="1"/>
  <c r="AV328" i="1"/>
  <c r="AY328" i="1"/>
  <c r="A329" i="1"/>
  <c r="AI329" i="1"/>
  <c r="AL329" i="1"/>
  <c r="AO329" i="1"/>
  <c r="AR329" i="1"/>
  <c r="AV329" i="1"/>
  <c r="AY329" i="1"/>
  <c r="A330" i="1"/>
  <c r="AI330" i="1"/>
  <c r="AL330" i="1"/>
  <c r="AO330" i="1"/>
  <c r="AR330" i="1"/>
  <c r="AV330" i="1"/>
  <c r="AY330" i="1"/>
  <c r="A331" i="1"/>
  <c r="AI331" i="1"/>
  <c r="AL331" i="1"/>
  <c r="AO331" i="1"/>
  <c r="AR331" i="1"/>
  <c r="AV331" i="1"/>
  <c r="AY331" i="1"/>
  <c r="A332" i="1"/>
  <c r="AI332" i="1"/>
  <c r="AL332" i="1"/>
  <c r="AO332" i="1"/>
  <c r="AR332" i="1"/>
  <c r="AV332" i="1"/>
  <c r="AY332" i="1"/>
  <c r="A333" i="1"/>
  <c r="AI333" i="1"/>
  <c r="AL333" i="1"/>
  <c r="AO333" i="1"/>
  <c r="AR333" i="1"/>
  <c r="AV333" i="1"/>
  <c r="AY333" i="1"/>
  <c r="A334" i="1"/>
  <c r="AI334" i="1"/>
  <c r="AL334" i="1"/>
  <c r="AO334" i="1"/>
  <c r="AR334" i="1"/>
  <c r="AV334" i="1"/>
  <c r="AY334" i="1"/>
  <c r="A335" i="1"/>
  <c r="AI335" i="1"/>
  <c r="AL335" i="1"/>
  <c r="AO335" i="1"/>
  <c r="AR335" i="1"/>
  <c r="AV335" i="1"/>
  <c r="AY335" i="1"/>
  <c r="A336" i="1"/>
  <c r="AI336" i="1"/>
  <c r="AL336" i="1"/>
  <c r="AO336" i="1"/>
  <c r="AR336" i="1"/>
  <c r="AV336" i="1"/>
  <c r="AY336" i="1"/>
  <c r="A337" i="1"/>
  <c r="AI337" i="1"/>
  <c r="AL337" i="1"/>
  <c r="AO337" i="1"/>
  <c r="AR337" i="1"/>
  <c r="AV337" i="1"/>
  <c r="AY337" i="1"/>
  <c r="A338" i="1"/>
  <c r="AI338" i="1"/>
  <c r="AL338" i="1"/>
  <c r="AO338" i="1"/>
  <c r="AR338" i="1"/>
  <c r="AV338" i="1"/>
  <c r="AY338" i="1"/>
  <c r="A339" i="1"/>
  <c r="AI339" i="1"/>
  <c r="AL339" i="1"/>
  <c r="AO339" i="1"/>
  <c r="AR339" i="1"/>
  <c r="AV339" i="1"/>
  <c r="AY339" i="1"/>
  <c r="A340" i="1"/>
  <c r="AI340" i="1"/>
  <c r="AL340" i="1"/>
  <c r="AO340" i="1"/>
  <c r="AR340" i="1"/>
  <c r="AV340" i="1"/>
  <c r="AY340" i="1"/>
  <c r="A341" i="1"/>
  <c r="AI341" i="1"/>
  <c r="AL341" i="1"/>
  <c r="AO341" i="1"/>
  <c r="AR341" i="1"/>
  <c r="AV341" i="1"/>
  <c r="AY341" i="1"/>
  <c r="A342" i="1"/>
  <c r="AI342" i="1"/>
  <c r="AL342" i="1"/>
  <c r="AO342" i="1"/>
  <c r="AR342" i="1"/>
  <c r="AV342" i="1"/>
  <c r="AY342" i="1"/>
  <c r="A343" i="1"/>
  <c r="AI343" i="1"/>
  <c r="AL343" i="1"/>
  <c r="AO343" i="1"/>
  <c r="AR343" i="1"/>
  <c r="AV343" i="1"/>
  <c r="AY343" i="1"/>
  <c r="A344" i="1"/>
  <c r="AI344" i="1"/>
  <c r="AL344" i="1"/>
  <c r="AR344" i="1"/>
  <c r="AV344" i="1"/>
  <c r="AY344" i="1"/>
  <c r="A345" i="1"/>
  <c r="AI345" i="1"/>
  <c r="AL345" i="1"/>
  <c r="AR345" i="1"/>
  <c r="AV345" i="1"/>
  <c r="AY345" i="1"/>
  <c r="A346" i="1"/>
  <c r="AI346" i="1"/>
  <c r="AL346" i="1"/>
  <c r="AO346" i="1"/>
  <c r="AR346" i="1"/>
  <c r="AV346" i="1"/>
  <c r="A347" i="1"/>
  <c r="AI347" i="1"/>
  <c r="AL347" i="1"/>
  <c r="AO347" i="1"/>
  <c r="AR347" i="1"/>
  <c r="AV347" i="1"/>
  <c r="AY347" i="1"/>
  <c r="A348" i="1"/>
  <c r="AI348" i="1"/>
  <c r="AL348" i="1"/>
  <c r="AO348" i="1"/>
  <c r="AR348" i="1"/>
  <c r="AV348" i="1"/>
  <c r="A349" i="1"/>
  <c r="AI349" i="1"/>
  <c r="AL349" i="1"/>
  <c r="AO349" i="1"/>
  <c r="AR349" i="1"/>
  <c r="AV349" i="1"/>
  <c r="AI350" i="1"/>
  <c r="AL350" i="1"/>
  <c r="AO350" i="1"/>
  <c r="AR350" i="1"/>
  <c r="AV350" i="1"/>
  <c r="AY350" i="1"/>
  <c r="A224" i="1"/>
  <c r="C224" i="1"/>
  <c r="AI224" i="1"/>
  <c r="AL224" i="1"/>
  <c r="AO224" i="1"/>
  <c r="AR224" i="1"/>
  <c r="AV224" i="1"/>
  <c r="AY224" i="1"/>
  <c r="A225" i="1"/>
  <c r="AI225" i="1"/>
  <c r="AL225" i="1"/>
  <c r="AO225" i="1"/>
  <c r="AR225" i="1"/>
  <c r="AV225" i="1"/>
  <c r="AY225" i="1"/>
  <c r="A226" i="1"/>
  <c r="AI226" i="1"/>
  <c r="AL226" i="1"/>
  <c r="AO226" i="1"/>
  <c r="AR226" i="1"/>
  <c r="AV226" i="1"/>
  <c r="AY226" i="1"/>
  <c r="A227" i="1"/>
  <c r="AI227" i="1"/>
  <c r="AL227" i="1"/>
  <c r="AO227" i="1"/>
  <c r="AR227" i="1"/>
  <c r="AV227" i="1"/>
  <c r="AY227" i="1"/>
  <c r="A228" i="1"/>
  <c r="AI228" i="1"/>
  <c r="AL228" i="1"/>
  <c r="AO228" i="1"/>
  <c r="AR228" i="1"/>
  <c r="AV228" i="1"/>
  <c r="AY228" i="1"/>
  <c r="A229" i="1"/>
  <c r="AI229" i="1"/>
  <c r="AL229" i="1"/>
  <c r="AO229" i="1"/>
  <c r="AR229" i="1"/>
  <c r="AV229" i="1"/>
  <c r="AY229" i="1"/>
  <c r="A99" i="1"/>
  <c r="C99" i="1"/>
  <c r="AI99" i="1"/>
  <c r="AO99" i="1"/>
  <c r="AR99" i="1"/>
  <c r="AV99" i="1"/>
  <c r="AY99" i="1"/>
  <c r="A100" i="1"/>
  <c r="C100" i="1"/>
  <c r="AI100" i="1"/>
  <c r="AO100" i="1"/>
  <c r="AR100" i="1"/>
  <c r="AV100" i="1"/>
  <c r="AY100" i="1"/>
  <c r="A101" i="1"/>
  <c r="C101" i="1"/>
  <c r="AI101" i="1"/>
  <c r="AO101" i="1"/>
  <c r="AR101" i="1"/>
  <c r="AV101" i="1"/>
  <c r="AY101" i="1"/>
  <c r="A102" i="1"/>
  <c r="C102" i="1"/>
  <c r="AI102" i="1"/>
  <c r="AO102" i="1"/>
  <c r="AR102" i="1"/>
  <c r="AV102" i="1"/>
  <c r="AY102" i="1"/>
  <c r="A103" i="1"/>
  <c r="C103" i="1"/>
  <c r="AI103" i="1"/>
  <c r="AO103" i="1"/>
  <c r="AR103" i="1"/>
  <c r="AV103" i="1"/>
  <c r="AY103" i="1"/>
  <c r="A104" i="1"/>
  <c r="C104" i="1"/>
  <c r="AI104" i="1"/>
  <c r="AO104" i="1"/>
  <c r="AR104" i="1"/>
  <c r="AV104" i="1"/>
  <c r="AY104" i="1"/>
  <c r="A105" i="1"/>
  <c r="C105" i="1"/>
  <c r="AI105" i="1"/>
  <c r="AO105" i="1"/>
  <c r="AR105" i="1"/>
  <c r="AV105" i="1"/>
  <c r="AY105" i="1"/>
  <c r="A106" i="1"/>
  <c r="C106" i="1"/>
  <c r="AI106" i="1"/>
  <c r="AO106" i="1"/>
  <c r="AR106" i="1"/>
  <c r="AV106" i="1"/>
  <c r="AY106" i="1"/>
  <c r="A107" i="1"/>
  <c r="C107" i="1"/>
  <c r="AI107" i="1"/>
  <c r="AO107" i="1"/>
  <c r="AR107" i="1"/>
  <c r="AV107" i="1"/>
  <c r="AY107" i="1"/>
  <c r="A108" i="1"/>
  <c r="C108" i="1"/>
  <c r="AI108" i="1"/>
  <c r="AO108" i="1"/>
  <c r="AR108" i="1"/>
  <c r="AV108" i="1"/>
  <c r="AY108" i="1"/>
  <c r="A109" i="1"/>
  <c r="C109" i="1"/>
  <c r="AI109" i="1"/>
  <c r="AO109" i="1"/>
  <c r="AR109" i="1"/>
  <c r="AV109" i="1"/>
  <c r="AY109" i="1"/>
  <c r="A110" i="1"/>
  <c r="C110" i="1"/>
  <c r="AI110" i="1"/>
  <c r="AO110" i="1"/>
  <c r="AR110" i="1"/>
  <c r="AV110" i="1"/>
  <c r="AY110" i="1"/>
  <c r="A111" i="1"/>
  <c r="C111" i="1"/>
  <c r="AI111" i="1"/>
  <c r="AO111" i="1"/>
  <c r="AR111" i="1"/>
  <c r="AV111" i="1"/>
  <c r="AY111" i="1"/>
  <c r="A112" i="1"/>
  <c r="C112" i="1"/>
  <c r="AI112" i="1"/>
  <c r="AO112" i="1"/>
  <c r="AR112" i="1"/>
  <c r="AV112" i="1"/>
  <c r="AY112" i="1"/>
  <c r="A113" i="1"/>
  <c r="C113" i="1"/>
  <c r="AI113" i="1"/>
  <c r="AO113" i="1"/>
  <c r="AR113" i="1"/>
  <c r="AV113" i="1"/>
  <c r="AY113" i="1"/>
  <c r="A114" i="1"/>
  <c r="C114" i="1"/>
  <c r="AI114" i="1"/>
  <c r="AO114" i="1"/>
  <c r="AR114" i="1"/>
  <c r="AV114" i="1"/>
  <c r="AY114" i="1"/>
  <c r="A115" i="1"/>
  <c r="C115" i="1"/>
  <c r="AI115" i="1"/>
  <c r="AO115" i="1"/>
  <c r="AR115" i="1"/>
  <c r="AV115" i="1"/>
  <c r="AY115" i="1"/>
  <c r="A116" i="1"/>
  <c r="C116" i="1"/>
  <c r="AI116" i="1"/>
  <c r="AO116" i="1"/>
  <c r="AR116" i="1"/>
  <c r="AV116" i="1"/>
  <c r="AY116" i="1"/>
  <c r="A117" i="1"/>
  <c r="C117" i="1"/>
  <c r="AI117" i="1"/>
  <c r="AO117" i="1"/>
  <c r="AR117" i="1"/>
  <c r="AV117" i="1"/>
  <c r="AY117" i="1"/>
  <c r="A118" i="1"/>
  <c r="C118" i="1"/>
  <c r="AI118" i="1"/>
  <c r="AO118" i="1"/>
  <c r="AR118" i="1"/>
  <c r="AV118" i="1"/>
  <c r="AY118" i="1"/>
  <c r="A119" i="1"/>
  <c r="C119" i="1"/>
  <c r="AI119" i="1"/>
  <c r="AL119" i="1"/>
  <c r="AO119" i="1"/>
  <c r="AR119" i="1"/>
  <c r="AV119" i="1"/>
  <c r="AY119" i="1"/>
  <c r="A120" i="1"/>
  <c r="C120" i="1"/>
  <c r="AI120" i="1"/>
  <c r="AL120" i="1"/>
  <c r="AO120" i="1"/>
  <c r="AR120" i="1"/>
  <c r="AV120" i="1"/>
  <c r="AY120" i="1"/>
  <c r="A121" i="1"/>
  <c r="C121" i="1"/>
  <c r="AI121" i="1"/>
  <c r="AO121" i="1"/>
  <c r="AR121" i="1"/>
  <c r="AV121" i="1"/>
  <c r="AY121" i="1"/>
  <c r="A122" i="1"/>
  <c r="C122" i="1"/>
  <c r="AI122" i="1"/>
  <c r="AO122" i="1"/>
  <c r="AR122" i="1"/>
  <c r="AV122" i="1"/>
  <c r="AY122" i="1"/>
  <c r="A123" i="1"/>
  <c r="C123" i="1"/>
  <c r="AI123" i="1"/>
  <c r="AO123" i="1"/>
  <c r="AR123" i="1"/>
  <c r="AV123" i="1"/>
  <c r="AY123" i="1"/>
  <c r="A124" i="1"/>
  <c r="C124" i="1"/>
  <c r="AI124" i="1"/>
  <c r="AO124" i="1"/>
  <c r="AR124" i="1"/>
  <c r="AV124" i="1"/>
  <c r="AY124" i="1"/>
  <c r="A125" i="1"/>
  <c r="C125" i="1"/>
  <c r="AI125" i="1"/>
  <c r="AO125" i="1"/>
  <c r="AR125" i="1"/>
  <c r="AV125" i="1"/>
  <c r="AY125" i="1"/>
  <c r="A126" i="1"/>
  <c r="C126" i="1"/>
  <c r="AI126" i="1"/>
  <c r="AO126" i="1"/>
  <c r="AR126" i="1"/>
  <c r="AV126" i="1"/>
  <c r="AY126" i="1"/>
  <c r="A127" i="1"/>
  <c r="C127" i="1"/>
  <c r="AI127" i="1"/>
  <c r="AO127" i="1"/>
  <c r="AR127" i="1"/>
  <c r="AV127" i="1"/>
  <c r="AY127" i="1"/>
  <c r="A128" i="1"/>
  <c r="C128" i="1"/>
  <c r="AI128" i="1"/>
  <c r="AO128" i="1"/>
  <c r="AR128" i="1"/>
  <c r="AV128" i="1"/>
  <c r="AY128" i="1"/>
  <c r="A129" i="1"/>
  <c r="C129" i="1"/>
  <c r="AI129" i="1"/>
  <c r="AO129" i="1"/>
  <c r="AR129" i="1"/>
  <c r="AV129" i="1"/>
  <c r="AY129" i="1"/>
  <c r="A130" i="1"/>
  <c r="C130" i="1"/>
  <c r="AI130" i="1"/>
  <c r="AO130" i="1"/>
  <c r="AR130" i="1"/>
  <c r="AV130" i="1"/>
  <c r="AY130" i="1"/>
  <c r="A131" i="1"/>
  <c r="C131" i="1"/>
  <c r="AI131" i="1"/>
  <c r="AO131" i="1"/>
  <c r="AR131" i="1"/>
  <c r="AV131" i="1"/>
  <c r="AY131" i="1"/>
  <c r="A132" i="1"/>
  <c r="C132" i="1"/>
  <c r="AI132" i="1"/>
  <c r="AO132" i="1"/>
  <c r="AR132" i="1"/>
  <c r="AV132" i="1"/>
  <c r="AY132" i="1"/>
  <c r="A133" i="1"/>
  <c r="C133" i="1"/>
  <c r="AI133" i="1"/>
  <c r="AO133" i="1"/>
  <c r="AR133" i="1"/>
  <c r="AV133" i="1"/>
  <c r="AY133" i="1"/>
  <c r="A134" i="1"/>
  <c r="C134" i="1"/>
  <c r="AI134" i="1"/>
  <c r="AO134" i="1"/>
  <c r="AR134" i="1"/>
  <c r="AV134" i="1"/>
  <c r="AY134" i="1"/>
  <c r="A135" i="1"/>
  <c r="C135" i="1"/>
  <c r="AI135" i="1"/>
  <c r="AL135" i="1"/>
  <c r="AO135" i="1"/>
  <c r="AR135" i="1"/>
  <c r="AV135" i="1"/>
  <c r="AY135" i="1"/>
  <c r="A136" i="1"/>
  <c r="C136" i="1"/>
  <c r="AI136" i="1"/>
  <c r="AL136" i="1"/>
  <c r="AO136" i="1"/>
  <c r="AR136" i="1"/>
  <c r="AV136" i="1"/>
  <c r="AY136" i="1"/>
  <c r="A137" i="1"/>
  <c r="C137" i="1"/>
  <c r="AI137" i="1"/>
  <c r="AL137" i="1"/>
  <c r="AO137" i="1"/>
  <c r="AR137" i="1"/>
  <c r="AV137" i="1"/>
  <c r="AY137" i="1"/>
  <c r="A138" i="1"/>
  <c r="C138" i="1"/>
  <c r="AI138" i="1"/>
  <c r="AL138" i="1"/>
  <c r="AO138" i="1"/>
  <c r="AR138" i="1"/>
  <c r="AV138" i="1"/>
  <c r="AY138" i="1"/>
  <c r="A139" i="1"/>
  <c r="C139" i="1"/>
  <c r="AI139" i="1"/>
  <c r="AO139" i="1"/>
  <c r="AR139" i="1"/>
  <c r="AV139" i="1"/>
  <c r="AY139" i="1"/>
  <c r="A140" i="1"/>
  <c r="C140" i="1"/>
  <c r="AI140" i="1"/>
  <c r="AO140" i="1"/>
  <c r="AR140" i="1"/>
  <c r="AV140" i="1"/>
  <c r="AY140" i="1"/>
  <c r="A141" i="1"/>
  <c r="C141" i="1"/>
  <c r="AI141" i="1"/>
  <c r="AL141" i="1"/>
  <c r="AO141" i="1"/>
  <c r="AR141" i="1"/>
  <c r="AV141" i="1"/>
  <c r="AY141" i="1"/>
  <c r="A142" i="1"/>
  <c r="C142" i="1"/>
  <c r="AI142" i="1"/>
  <c r="AO142" i="1"/>
  <c r="AR142" i="1"/>
  <c r="AV142" i="1"/>
  <c r="AY142" i="1"/>
  <c r="A143" i="1"/>
  <c r="C143" i="1"/>
  <c r="AI143" i="1"/>
  <c r="AL143" i="1"/>
  <c r="AO143" i="1"/>
  <c r="AR143" i="1"/>
  <c r="AV143" i="1"/>
  <c r="AY143" i="1"/>
  <c r="A144" i="1"/>
  <c r="C144" i="1"/>
  <c r="AI144" i="1"/>
  <c r="AO144" i="1"/>
  <c r="AR144" i="1"/>
  <c r="AV144" i="1"/>
  <c r="AY144" i="1"/>
  <c r="A145" i="1"/>
  <c r="C145" i="1"/>
  <c r="AI145" i="1"/>
  <c r="AO145" i="1"/>
  <c r="AR145" i="1"/>
  <c r="AV145" i="1"/>
  <c r="AY145" i="1"/>
  <c r="A146" i="1"/>
  <c r="C146" i="1"/>
  <c r="AI146" i="1"/>
  <c r="AL146" i="1"/>
  <c r="AO146" i="1"/>
  <c r="AR146" i="1"/>
  <c r="AV146" i="1"/>
  <c r="AY146" i="1"/>
  <c r="A147" i="1"/>
  <c r="C147" i="1"/>
  <c r="AI147" i="1"/>
  <c r="AO147" i="1"/>
  <c r="AR147" i="1"/>
  <c r="AV147" i="1"/>
  <c r="AY147" i="1"/>
  <c r="A148" i="1"/>
  <c r="C148" i="1"/>
  <c r="AI148" i="1"/>
  <c r="AL148" i="1"/>
  <c r="AO148" i="1"/>
  <c r="AR148" i="1"/>
  <c r="AV148" i="1"/>
  <c r="AY148" i="1"/>
  <c r="A149" i="1"/>
  <c r="C149" i="1"/>
  <c r="AI149" i="1"/>
  <c r="AL149" i="1"/>
  <c r="AO149" i="1"/>
  <c r="AR149" i="1"/>
  <c r="AV149" i="1"/>
  <c r="AY149" i="1"/>
  <c r="A150" i="1"/>
  <c r="C150" i="1"/>
  <c r="AI150" i="1"/>
  <c r="AL150" i="1"/>
  <c r="AO150" i="1"/>
  <c r="AR150" i="1"/>
  <c r="AV150" i="1"/>
  <c r="AY150" i="1"/>
  <c r="A151" i="1"/>
  <c r="C151" i="1"/>
  <c r="AI151" i="1"/>
  <c r="AO151" i="1"/>
  <c r="AR151" i="1"/>
  <c r="AV151" i="1"/>
  <c r="AY151" i="1"/>
  <c r="A152" i="1"/>
  <c r="C152" i="1"/>
  <c r="AI152" i="1"/>
  <c r="AO152" i="1"/>
  <c r="AR152" i="1"/>
  <c r="AV152" i="1"/>
  <c r="AY152" i="1"/>
  <c r="A153" i="1"/>
  <c r="C153" i="1"/>
  <c r="AI153" i="1"/>
  <c r="AO153" i="1"/>
  <c r="AR153" i="1"/>
  <c r="AV153" i="1"/>
  <c r="AY153" i="1"/>
  <c r="A154" i="1"/>
  <c r="C154" i="1"/>
  <c r="AI154" i="1"/>
  <c r="AL154" i="1"/>
  <c r="AO154" i="1"/>
  <c r="AR154" i="1"/>
  <c r="AV154" i="1"/>
  <c r="AY154" i="1"/>
  <c r="A155" i="1"/>
  <c r="C155" i="1"/>
  <c r="AI155" i="1"/>
  <c r="AO155" i="1"/>
  <c r="AR155" i="1"/>
  <c r="AV155" i="1"/>
  <c r="AY155" i="1"/>
  <c r="A156" i="1"/>
  <c r="C156" i="1"/>
  <c r="AI156" i="1"/>
  <c r="AO156" i="1"/>
  <c r="AR156" i="1"/>
  <c r="AV156" i="1"/>
  <c r="AY156" i="1"/>
  <c r="A157" i="1"/>
  <c r="C157" i="1"/>
  <c r="AI157" i="1"/>
  <c r="AO157" i="1"/>
  <c r="AR157" i="1"/>
  <c r="AV157" i="1"/>
  <c r="AY157" i="1"/>
  <c r="A158" i="1"/>
  <c r="C158" i="1"/>
  <c r="AI158" i="1"/>
  <c r="AO158" i="1"/>
  <c r="AR158" i="1"/>
  <c r="AV158" i="1"/>
  <c r="AY158" i="1"/>
  <c r="A159" i="1"/>
  <c r="C159" i="1"/>
  <c r="AI159" i="1"/>
  <c r="AO159" i="1"/>
  <c r="AR159" i="1"/>
  <c r="AV159" i="1"/>
  <c r="AY159" i="1"/>
  <c r="A160" i="1"/>
  <c r="C160" i="1"/>
  <c r="AI160" i="1"/>
  <c r="AO160" i="1"/>
  <c r="AR160" i="1"/>
  <c r="AV160" i="1"/>
  <c r="AY160" i="1"/>
  <c r="A161" i="1"/>
  <c r="C161" i="1"/>
  <c r="AI161" i="1"/>
  <c r="AO161" i="1"/>
  <c r="AR161" i="1"/>
  <c r="AV161" i="1"/>
  <c r="AY161" i="1"/>
  <c r="A162" i="1"/>
  <c r="C162" i="1"/>
  <c r="AI162" i="1"/>
  <c r="AO162" i="1"/>
  <c r="AR162" i="1"/>
  <c r="AV162" i="1"/>
  <c r="AY162" i="1"/>
  <c r="A163" i="1"/>
  <c r="C163" i="1"/>
  <c r="AI163" i="1"/>
  <c r="AL163" i="1"/>
  <c r="AO163" i="1"/>
  <c r="AR163" i="1"/>
  <c r="AV163" i="1"/>
  <c r="AY163" i="1"/>
  <c r="A164" i="1"/>
  <c r="C164" i="1"/>
  <c r="AI164" i="1"/>
  <c r="AL164" i="1"/>
  <c r="AO164" i="1"/>
  <c r="AR164" i="1"/>
  <c r="AV164" i="1"/>
  <c r="AY164" i="1"/>
  <c r="A165" i="1"/>
  <c r="C165" i="1"/>
  <c r="AI165" i="1"/>
  <c r="AL165" i="1"/>
  <c r="AO165" i="1"/>
  <c r="AR165" i="1"/>
  <c r="AV165" i="1"/>
  <c r="AY165" i="1"/>
  <c r="A166" i="1"/>
  <c r="C166" i="1"/>
  <c r="AI166" i="1"/>
  <c r="AL166" i="1"/>
  <c r="AO166" i="1"/>
  <c r="AR166" i="1"/>
  <c r="AV166" i="1"/>
  <c r="AY166" i="1"/>
  <c r="A167" i="1"/>
  <c r="C167" i="1"/>
  <c r="AI167" i="1"/>
  <c r="AL167" i="1"/>
  <c r="AO167" i="1"/>
  <c r="AR167" i="1"/>
  <c r="AV167" i="1"/>
  <c r="AY167" i="1"/>
  <c r="A168" i="1"/>
  <c r="C168" i="1"/>
  <c r="AI168" i="1"/>
  <c r="AL168" i="1"/>
  <c r="AO168" i="1"/>
  <c r="AR168" i="1"/>
  <c r="AV168" i="1"/>
  <c r="AY168" i="1"/>
  <c r="A169" i="1"/>
  <c r="C169" i="1"/>
  <c r="AI169" i="1"/>
  <c r="AL169" i="1"/>
  <c r="AO169" i="1"/>
  <c r="AR169" i="1"/>
  <c r="AV169" i="1"/>
  <c r="AY169" i="1"/>
  <c r="A170" i="1"/>
  <c r="C170" i="1"/>
  <c r="AI170" i="1"/>
  <c r="AL170" i="1"/>
  <c r="AO170" i="1"/>
  <c r="AR170" i="1"/>
  <c r="AV170" i="1"/>
  <c r="AY170" i="1"/>
  <c r="A171" i="1"/>
  <c r="C171" i="1"/>
  <c r="AI171" i="1"/>
  <c r="AL171" i="1"/>
  <c r="AO171" i="1"/>
  <c r="AR171" i="1"/>
  <c r="AV171" i="1"/>
  <c r="AY171" i="1"/>
  <c r="A172" i="1"/>
  <c r="C172" i="1"/>
  <c r="AI172" i="1"/>
  <c r="AL172" i="1"/>
  <c r="AO172" i="1"/>
  <c r="AR172" i="1"/>
  <c r="AV172" i="1"/>
  <c r="AY172" i="1"/>
  <c r="A173" i="1"/>
  <c r="C173" i="1"/>
  <c r="AI173" i="1"/>
  <c r="AL173" i="1"/>
  <c r="AO173" i="1"/>
  <c r="AR173" i="1"/>
  <c r="AV173" i="1"/>
  <c r="AY173" i="1"/>
  <c r="A174" i="1"/>
  <c r="C174" i="1"/>
  <c r="AI174" i="1"/>
  <c r="AL174" i="1"/>
  <c r="AO174" i="1"/>
  <c r="AR174" i="1"/>
  <c r="AV174" i="1"/>
  <c r="AY174" i="1"/>
  <c r="A175" i="1"/>
  <c r="C175" i="1"/>
  <c r="AI175" i="1"/>
  <c r="AL175" i="1"/>
  <c r="AO175" i="1"/>
  <c r="AR175" i="1"/>
  <c r="AV175" i="1"/>
  <c r="AY175" i="1"/>
  <c r="A176" i="1"/>
  <c r="C176" i="1"/>
  <c r="AI176" i="1"/>
  <c r="AL176" i="1"/>
  <c r="AO176" i="1"/>
  <c r="AR176" i="1"/>
  <c r="AV176" i="1"/>
  <c r="AY176" i="1"/>
  <c r="A177" i="1"/>
  <c r="C177" i="1"/>
  <c r="AI177" i="1"/>
  <c r="AL177" i="1"/>
  <c r="AO177" i="1"/>
  <c r="AR177" i="1"/>
  <c r="AV177" i="1"/>
  <c r="AY177" i="1"/>
  <c r="A178" i="1"/>
  <c r="C178" i="1"/>
  <c r="AI178" i="1"/>
  <c r="AL178" i="1"/>
  <c r="AO178" i="1"/>
  <c r="AR178" i="1"/>
  <c r="AV178" i="1"/>
  <c r="AY178" i="1"/>
  <c r="A179" i="1"/>
  <c r="C179" i="1"/>
  <c r="AI179" i="1"/>
  <c r="AL179" i="1"/>
  <c r="AO179" i="1"/>
  <c r="AR179" i="1"/>
  <c r="AV179" i="1"/>
  <c r="AY179" i="1"/>
  <c r="A180" i="1"/>
  <c r="C180" i="1"/>
  <c r="AI180" i="1"/>
  <c r="AL180" i="1"/>
  <c r="AO180" i="1"/>
  <c r="AR180" i="1"/>
  <c r="AV180" i="1"/>
  <c r="AY180" i="1"/>
  <c r="A181" i="1"/>
  <c r="C181" i="1"/>
  <c r="AI181" i="1"/>
  <c r="AL181" i="1"/>
  <c r="AO181" i="1"/>
  <c r="AR181" i="1"/>
  <c r="AV181" i="1"/>
  <c r="AY181" i="1"/>
  <c r="A182" i="1"/>
  <c r="C182" i="1"/>
  <c r="AI182" i="1"/>
  <c r="AL182" i="1"/>
  <c r="AO182" i="1"/>
  <c r="AR182" i="1"/>
  <c r="AV182" i="1"/>
  <c r="AY182" i="1"/>
  <c r="A183" i="1"/>
  <c r="C183" i="1"/>
  <c r="AI183" i="1"/>
  <c r="AL183" i="1"/>
  <c r="AO183" i="1"/>
  <c r="AR183" i="1"/>
  <c r="AV183" i="1"/>
  <c r="AY183" i="1"/>
  <c r="A184" i="1"/>
  <c r="C184" i="1"/>
  <c r="AI184" i="1"/>
  <c r="AL184" i="1"/>
  <c r="AO184" i="1"/>
  <c r="AR184" i="1"/>
  <c r="AV184" i="1"/>
  <c r="AY184" i="1"/>
  <c r="A185" i="1"/>
  <c r="C185" i="1"/>
  <c r="AI185" i="1"/>
  <c r="AL185" i="1"/>
  <c r="AO185" i="1"/>
  <c r="AR185" i="1"/>
  <c r="AV185" i="1"/>
  <c r="AY185" i="1"/>
  <c r="A186" i="1"/>
  <c r="C186" i="1"/>
  <c r="AI186" i="1"/>
  <c r="AL186" i="1"/>
  <c r="AO186" i="1"/>
  <c r="AR186" i="1"/>
  <c r="AV186" i="1"/>
  <c r="AY186" i="1"/>
  <c r="A187" i="1"/>
  <c r="C187" i="1"/>
  <c r="AI187" i="1"/>
  <c r="AL187" i="1"/>
  <c r="AO187" i="1"/>
  <c r="AR187" i="1"/>
  <c r="AV187" i="1"/>
  <c r="AY187" i="1"/>
  <c r="A188" i="1"/>
  <c r="C188" i="1"/>
  <c r="AI188" i="1"/>
  <c r="AL188" i="1"/>
  <c r="AO188" i="1"/>
  <c r="AR188" i="1"/>
  <c r="AV188" i="1"/>
  <c r="AY188" i="1"/>
  <c r="A189" i="1"/>
  <c r="C189" i="1"/>
  <c r="AI189" i="1"/>
  <c r="AL189" i="1"/>
  <c r="AO189" i="1"/>
  <c r="AR189" i="1"/>
  <c r="AV189" i="1"/>
  <c r="AY189" i="1"/>
  <c r="A190" i="1"/>
  <c r="C190" i="1"/>
  <c r="AI190" i="1"/>
  <c r="AL190" i="1"/>
  <c r="AO190" i="1"/>
  <c r="AR190" i="1"/>
  <c r="AV190" i="1"/>
  <c r="AY190" i="1"/>
  <c r="A191" i="1"/>
  <c r="C191" i="1"/>
  <c r="AI191" i="1"/>
  <c r="AO191" i="1"/>
  <c r="AR191" i="1"/>
  <c r="AV191" i="1"/>
  <c r="AY191" i="1"/>
  <c r="A192" i="1"/>
  <c r="C192" i="1"/>
  <c r="AI192" i="1"/>
  <c r="AO192" i="1"/>
  <c r="AR192" i="1"/>
  <c r="AV192" i="1"/>
  <c r="AY192" i="1"/>
  <c r="A193" i="1"/>
  <c r="C193" i="1"/>
  <c r="AI193" i="1"/>
  <c r="AL193" i="1"/>
  <c r="AO193" i="1"/>
  <c r="AR193" i="1"/>
  <c r="AV193" i="1"/>
  <c r="AY193" i="1"/>
  <c r="A194" i="1"/>
  <c r="C194" i="1"/>
  <c r="AI194" i="1"/>
  <c r="AL194" i="1"/>
  <c r="AO194" i="1"/>
  <c r="AR194" i="1"/>
  <c r="AV194" i="1"/>
  <c r="AY194" i="1"/>
  <c r="A195" i="1"/>
  <c r="C195" i="1"/>
  <c r="AI195" i="1"/>
  <c r="AL195" i="1"/>
  <c r="AO195" i="1"/>
  <c r="AR195" i="1"/>
  <c r="AV195" i="1"/>
  <c r="AY195" i="1"/>
  <c r="A196" i="1"/>
  <c r="C196" i="1"/>
  <c r="AI196" i="1"/>
  <c r="AO196" i="1"/>
  <c r="AR196" i="1"/>
  <c r="AV196" i="1"/>
  <c r="AY196" i="1"/>
  <c r="A197" i="1"/>
  <c r="C197" i="1"/>
  <c r="AI197" i="1"/>
  <c r="AO197" i="1"/>
  <c r="AR197" i="1"/>
  <c r="AV197" i="1"/>
  <c r="AY197" i="1"/>
  <c r="A198" i="1"/>
  <c r="C198" i="1"/>
  <c r="AI198" i="1"/>
  <c r="AO198" i="1"/>
  <c r="AR198" i="1"/>
  <c r="AV198" i="1"/>
  <c r="AY198" i="1"/>
  <c r="A199" i="1"/>
  <c r="C199" i="1"/>
  <c r="AI199" i="1"/>
  <c r="AO199" i="1"/>
  <c r="AR199" i="1"/>
  <c r="AV199" i="1"/>
  <c r="AY199" i="1"/>
  <c r="A200" i="1"/>
  <c r="C200" i="1"/>
  <c r="AI200" i="1"/>
  <c r="AO200" i="1"/>
  <c r="AR200" i="1"/>
  <c r="AV200" i="1"/>
  <c r="AY200" i="1"/>
  <c r="A201" i="1"/>
  <c r="C201" i="1"/>
  <c r="AI201" i="1"/>
  <c r="AO201" i="1"/>
  <c r="AR201" i="1"/>
  <c r="AV201" i="1"/>
  <c r="AY201" i="1"/>
  <c r="A202" i="1"/>
  <c r="C202" i="1"/>
  <c r="AI202" i="1"/>
  <c r="AO202" i="1"/>
  <c r="AR202" i="1"/>
  <c r="AV202" i="1"/>
  <c r="AY202" i="1"/>
  <c r="A203" i="1"/>
  <c r="C203" i="1"/>
  <c r="AI203" i="1"/>
  <c r="AO203" i="1"/>
  <c r="AR203" i="1"/>
  <c r="AV203" i="1"/>
  <c r="AY203" i="1"/>
  <c r="A204" i="1"/>
  <c r="C204" i="1"/>
  <c r="AI204" i="1"/>
  <c r="AL204" i="1"/>
  <c r="AO204" i="1"/>
  <c r="AR204" i="1"/>
  <c r="AV204" i="1"/>
  <c r="AY204" i="1"/>
  <c r="A205" i="1"/>
  <c r="C205" i="1"/>
  <c r="AI205" i="1"/>
  <c r="AL205" i="1"/>
  <c r="AO205" i="1"/>
  <c r="AR205" i="1"/>
  <c r="AV205" i="1"/>
  <c r="AY205" i="1"/>
  <c r="A206" i="1"/>
  <c r="C206" i="1"/>
  <c r="AI206" i="1"/>
  <c r="AL206" i="1"/>
  <c r="AO206" i="1"/>
  <c r="AR206" i="1"/>
  <c r="AV206" i="1"/>
  <c r="AY206" i="1"/>
  <c r="A207" i="1"/>
  <c r="C207" i="1"/>
  <c r="AI207" i="1"/>
  <c r="AO207" i="1"/>
  <c r="AR207" i="1"/>
  <c r="AV207" i="1"/>
  <c r="AY207" i="1"/>
  <c r="A208" i="1"/>
  <c r="C208" i="1"/>
  <c r="AI208" i="1"/>
  <c r="AO208" i="1"/>
  <c r="AR208" i="1"/>
  <c r="AV208" i="1"/>
  <c r="AY208" i="1"/>
  <c r="A209" i="1"/>
  <c r="C209" i="1"/>
  <c r="AI209" i="1"/>
  <c r="AO209" i="1"/>
  <c r="AR209" i="1"/>
  <c r="AV209" i="1"/>
  <c r="AY209" i="1"/>
  <c r="A210" i="1"/>
  <c r="C210" i="1"/>
  <c r="AI210" i="1"/>
  <c r="AO210" i="1"/>
  <c r="AR210" i="1"/>
  <c r="AV210" i="1"/>
  <c r="AY210" i="1"/>
  <c r="A211" i="1"/>
  <c r="C211" i="1"/>
  <c r="AI211" i="1"/>
  <c r="AL211" i="1"/>
  <c r="AO211" i="1"/>
  <c r="AR211" i="1"/>
  <c r="AV211" i="1"/>
  <c r="AY211" i="1"/>
  <c r="A212" i="1"/>
  <c r="C212" i="1"/>
  <c r="AI212" i="1"/>
  <c r="AL212" i="1"/>
  <c r="AO212" i="1"/>
  <c r="AR212" i="1"/>
  <c r="AV212" i="1"/>
  <c r="AY212" i="1"/>
  <c r="A213" i="1"/>
  <c r="C213" i="1"/>
  <c r="AI213" i="1"/>
  <c r="AL213" i="1"/>
  <c r="AO213" i="1"/>
  <c r="AR213" i="1"/>
  <c r="AV213" i="1"/>
  <c r="AY213" i="1"/>
  <c r="A214" i="1"/>
  <c r="C214" i="1"/>
  <c r="AI214" i="1"/>
  <c r="AL214" i="1"/>
  <c r="AO214" i="1"/>
  <c r="AR214" i="1"/>
  <c r="AV214" i="1"/>
  <c r="AY214" i="1"/>
  <c r="A215" i="1"/>
  <c r="C215" i="1"/>
  <c r="AI215" i="1"/>
  <c r="AL215" i="1"/>
  <c r="AO215" i="1"/>
  <c r="AR215" i="1"/>
  <c r="AV215" i="1"/>
  <c r="AY215" i="1"/>
  <c r="A216" i="1"/>
  <c r="C216" i="1"/>
  <c r="AI216" i="1"/>
  <c r="AO216" i="1"/>
  <c r="AR216" i="1"/>
  <c r="AV216" i="1"/>
  <c r="AY216" i="1"/>
  <c r="A217" i="1"/>
  <c r="C217" i="1"/>
  <c r="AI217" i="1"/>
  <c r="AO217" i="1"/>
  <c r="AR217" i="1"/>
  <c r="AV217" i="1"/>
  <c r="AY217" i="1"/>
  <c r="A218" i="1"/>
  <c r="C218" i="1"/>
  <c r="AI218" i="1"/>
  <c r="AL218" i="1"/>
  <c r="AO218" i="1"/>
  <c r="AR218" i="1"/>
  <c r="AV218" i="1"/>
  <c r="AY218" i="1"/>
  <c r="A219" i="1"/>
  <c r="C219" i="1"/>
  <c r="AI219" i="1"/>
  <c r="AL219" i="1"/>
  <c r="AO219" i="1"/>
  <c r="AR219" i="1"/>
  <c r="AV219" i="1"/>
  <c r="AY219" i="1"/>
  <c r="A220" i="1"/>
  <c r="C220" i="1"/>
  <c r="AI220" i="1"/>
  <c r="AL220" i="1"/>
  <c r="AO220" i="1"/>
  <c r="AR220" i="1"/>
  <c r="AV220" i="1"/>
  <c r="AY220" i="1"/>
  <c r="A221" i="1"/>
  <c r="C221" i="1"/>
  <c r="AI221" i="1"/>
  <c r="AL221" i="1"/>
  <c r="AO221" i="1"/>
  <c r="AR221" i="1"/>
  <c r="AV221" i="1"/>
  <c r="AY221" i="1"/>
  <c r="A222" i="1"/>
  <c r="C222" i="1"/>
  <c r="AI222" i="1"/>
  <c r="AO222" i="1"/>
  <c r="AR222" i="1"/>
  <c r="AV222" i="1"/>
  <c r="AY222" i="1"/>
  <c r="A223" i="1"/>
  <c r="C223" i="1"/>
  <c r="AI223" i="1"/>
  <c r="AO223" i="1"/>
  <c r="AR223" i="1"/>
  <c r="AV223" i="1"/>
  <c r="AY223" i="1"/>
  <c r="C384" i="1"/>
  <c r="C383" i="1"/>
  <c r="C382" i="1"/>
  <c r="C381" i="1"/>
  <c r="C380" i="1"/>
  <c r="C379" i="1"/>
  <c r="C31" i="1"/>
  <c r="C30" i="1"/>
  <c r="C29" i="1"/>
  <c r="C28" i="1"/>
  <c r="C27" i="1"/>
  <c r="C7" i="1"/>
  <c r="C6" i="1"/>
  <c r="C5" i="1"/>
  <c r="C4" i="1"/>
  <c r="A1" i="1"/>
  <c r="BA2" i="1" s="1"/>
  <c r="AE298" i="1" l="1"/>
  <c r="AF298" i="1" s="1"/>
  <c r="AE272" i="1"/>
  <c r="AF272" i="1" s="1"/>
  <c r="AE257" i="1"/>
  <c r="AF257" i="1" s="1"/>
  <c r="AE286" i="1"/>
  <c r="AF286" i="1" s="1"/>
  <c r="AE344" i="1"/>
  <c r="AF344" i="1" s="1"/>
  <c r="AE313" i="1"/>
  <c r="AF313" i="1" s="1"/>
  <c r="AE277" i="1"/>
  <c r="AF277" i="1" s="1"/>
  <c r="AE350" i="1"/>
  <c r="AF350" i="1" s="1"/>
  <c r="AE280" i="1"/>
  <c r="AF280" i="1" s="1"/>
  <c r="AE300" i="1"/>
  <c r="AF300" i="1" s="1"/>
  <c r="AE308" i="1"/>
  <c r="AF308" i="1" s="1"/>
  <c r="AE274" i="1"/>
  <c r="AF274" i="1" s="1"/>
  <c r="AE262" i="1"/>
  <c r="AF262" i="1" s="1"/>
  <c r="AE250" i="1"/>
  <c r="AF250" i="1" s="1"/>
  <c r="AE306" i="1"/>
  <c r="AF306" i="1" s="1"/>
  <c r="AE323" i="1"/>
  <c r="AF323" i="1" s="1"/>
  <c r="AE316" i="1"/>
  <c r="AF316" i="1" s="1"/>
  <c r="AE270" i="1"/>
  <c r="AF270" i="1" s="1"/>
  <c r="AE314" i="1"/>
  <c r="AF314" i="1" s="1"/>
  <c r="AE251" i="1"/>
  <c r="AF251" i="1" s="1"/>
  <c r="AE319" i="1"/>
  <c r="AF319" i="1" s="1"/>
  <c r="AE346" i="1"/>
  <c r="AF346" i="1" s="1"/>
  <c r="AE322" i="1"/>
  <c r="AF322" i="1" s="1"/>
  <c r="AE283" i="1"/>
  <c r="AF283" i="1" s="1"/>
  <c r="AE264" i="1"/>
  <c r="AF264" i="1" s="1"/>
  <c r="AE335" i="1"/>
  <c r="AF335" i="1" s="1"/>
  <c r="AE349" i="1"/>
  <c r="AF349" i="1" s="1"/>
  <c r="AE295" i="1"/>
  <c r="AF295" i="1" s="1"/>
  <c r="AE292" i="1"/>
  <c r="AF292" i="1" s="1"/>
  <c r="AE243" i="1"/>
  <c r="AF243" i="1" s="1"/>
  <c r="AE240" i="1"/>
  <c r="AF240" i="1" s="1"/>
  <c r="AE231" i="1"/>
  <c r="AF231" i="1" s="1"/>
  <c r="AE305" i="1"/>
  <c r="AF305" i="1" s="1"/>
  <c r="AE302" i="1"/>
  <c r="AF302" i="1" s="1"/>
  <c r="AE296" i="1"/>
  <c r="AF296" i="1" s="1"/>
  <c r="AE290" i="1"/>
  <c r="AF290" i="1" s="1"/>
  <c r="AE259" i="1"/>
  <c r="AF259" i="1" s="1"/>
  <c r="AE256" i="1"/>
  <c r="AF256" i="1" s="1"/>
  <c r="AE244" i="1"/>
  <c r="AF244" i="1" s="1"/>
  <c r="AE232" i="1"/>
  <c r="AF232" i="1" s="1"/>
  <c r="AE320" i="1"/>
  <c r="AF320" i="1" s="1"/>
  <c r="AE268" i="1"/>
  <c r="AF268" i="1" s="1"/>
  <c r="AE293" i="1"/>
  <c r="AF293" i="1" s="1"/>
  <c r="AE287" i="1"/>
  <c r="AF287" i="1" s="1"/>
  <c r="AE241" i="1"/>
  <c r="AF241" i="1" s="1"/>
  <c r="AE238" i="1"/>
  <c r="AF238" i="1" s="1"/>
  <c r="AE339" i="1"/>
  <c r="AF339" i="1" s="1"/>
  <c r="AE336" i="1"/>
  <c r="AF336" i="1" s="1"/>
  <c r="AE333" i="1"/>
  <c r="AF333" i="1" s="1"/>
  <c r="AE284" i="1"/>
  <c r="AF284" i="1" s="1"/>
  <c r="AE278" i="1"/>
  <c r="AF278" i="1" s="1"/>
  <c r="AE318" i="1"/>
  <c r="AF318" i="1" s="1"/>
  <c r="AE269" i="1"/>
  <c r="AF269" i="1" s="1"/>
  <c r="AE266" i="1"/>
  <c r="AF266" i="1" s="1"/>
  <c r="AE260" i="1"/>
  <c r="AF260" i="1" s="1"/>
  <c r="AE254" i="1"/>
  <c r="AF254" i="1" s="1"/>
  <c r="AE340" i="1"/>
  <c r="AF340" i="1" s="1"/>
  <c r="AE230" i="1"/>
  <c r="AF230" i="1" s="1"/>
  <c r="AE334" i="1"/>
  <c r="AF334" i="1" s="1"/>
  <c r="AE328" i="1"/>
  <c r="AF328" i="1" s="1"/>
  <c r="AE282" i="1"/>
  <c r="AF282" i="1" s="1"/>
  <c r="AE310" i="1"/>
  <c r="AF310" i="1" s="1"/>
  <c r="AE304" i="1"/>
  <c r="AF304" i="1" s="1"/>
  <c r="AE348" i="1"/>
  <c r="AF348" i="1" s="1"/>
  <c r="AE329" i="1"/>
  <c r="AF329" i="1" s="1"/>
  <c r="AE303" i="1"/>
  <c r="AF303" i="1" s="1"/>
  <c r="AE267" i="1"/>
  <c r="AF267" i="1" s="1"/>
  <c r="AE235" i="1"/>
  <c r="AF235" i="1" s="1"/>
  <c r="AE345" i="1"/>
  <c r="AF345" i="1" s="1"/>
  <c r="AE342" i="1"/>
  <c r="AF342" i="1" s="1"/>
  <c r="AE297" i="1"/>
  <c r="AF297" i="1" s="1"/>
  <c r="AE261" i="1"/>
  <c r="AF261" i="1" s="1"/>
  <c r="AE248" i="1"/>
  <c r="AF248" i="1" s="1"/>
  <c r="AE245" i="1"/>
  <c r="AF245" i="1" s="1"/>
  <c r="AE317" i="1"/>
  <c r="AF317" i="1" s="1"/>
  <c r="AE307" i="1"/>
  <c r="AF307" i="1" s="1"/>
  <c r="AE294" i="1"/>
  <c r="AF294" i="1" s="1"/>
  <c r="AE281" i="1"/>
  <c r="AF281" i="1" s="1"/>
  <c r="AE271" i="1"/>
  <c r="AF271" i="1" s="1"/>
  <c r="AE258" i="1"/>
  <c r="AF258" i="1" s="1"/>
  <c r="AE242" i="1"/>
  <c r="AF242" i="1" s="1"/>
  <c r="AE239" i="1"/>
  <c r="AF239" i="1" s="1"/>
  <c r="AE330" i="1"/>
  <c r="AF330" i="1" s="1"/>
  <c r="AE291" i="1"/>
  <c r="AF291" i="1" s="1"/>
  <c r="AE255" i="1"/>
  <c r="AF255" i="1" s="1"/>
  <c r="AE236" i="1"/>
  <c r="AF236" i="1" s="1"/>
  <c r="AE233" i="1"/>
  <c r="AF233" i="1" s="1"/>
  <c r="AE327" i="1"/>
  <c r="AF327" i="1" s="1"/>
  <c r="AE324" i="1"/>
  <c r="AF324" i="1" s="1"/>
  <c r="AE311" i="1"/>
  <c r="AF311" i="1" s="1"/>
  <c r="AE301" i="1"/>
  <c r="AF301" i="1" s="1"/>
  <c r="AE288" i="1"/>
  <c r="AF288" i="1" s="1"/>
  <c r="AE275" i="1"/>
  <c r="AF275" i="1" s="1"/>
  <c r="AE265" i="1"/>
  <c r="AF265" i="1" s="1"/>
  <c r="AE252" i="1"/>
  <c r="AF252" i="1" s="1"/>
  <c r="AE343" i="1"/>
  <c r="AF343" i="1" s="1"/>
  <c r="AE321" i="1"/>
  <c r="AF321" i="1" s="1"/>
  <c r="AE285" i="1"/>
  <c r="AF285" i="1" s="1"/>
  <c r="AE249" i="1"/>
  <c r="AF249" i="1" s="1"/>
  <c r="AE246" i="1"/>
  <c r="AF246" i="1" s="1"/>
  <c r="AE337" i="1"/>
  <c r="AF337" i="1" s="1"/>
  <c r="AE347" i="1"/>
  <c r="AF347" i="1" s="1"/>
  <c r="AE338" i="1"/>
  <c r="AF338" i="1" s="1"/>
  <c r="AE331" i="1"/>
  <c r="AF331" i="1" s="1"/>
  <c r="AE315" i="1"/>
  <c r="AF315" i="1" s="1"/>
  <c r="AE279" i="1"/>
  <c r="AF279" i="1" s="1"/>
  <c r="AE237" i="1"/>
  <c r="AF237" i="1" s="1"/>
  <c r="AE234" i="1"/>
  <c r="AF234" i="1" s="1"/>
  <c r="AE332" i="1"/>
  <c r="AF332" i="1" s="1"/>
  <c r="AE325" i="1"/>
  <c r="AF325" i="1" s="1"/>
  <c r="AE312" i="1"/>
  <c r="AF312" i="1" s="1"/>
  <c r="AE299" i="1"/>
  <c r="AF299" i="1" s="1"/>
  <c r="AE289" i="1"/>
  <c r="AF289" i="1" s="1"/>
  <c r="AE276" i="1"/>
  <c r="AF276" i="1" s="1"/>
  <c r="AE263" i="1"/>
  <c r="AF263" i="1" s="1"/>
  <c r="AE253" i="1"/>
  <c r="AF253" i="1" s="1"/>
  <c r="AE341" i="1"/>
  <c r="AF341" i="1" s="1"/>
  <c r="AE326" i="1"/>
  <c r="AF326" i="1" s="1"/>
  <c r="AE309" i="1"/>
  <c r="AF309" i="1" s="1"/>
  <c r="AE273" i="1"/>
  <c r="AF273" i="1" s="1"/>
  <c r="AE247" i="1"/>
  <c r="AF247" i="1" s="1"/>
  <c r="AE227" i="1"/>
  <c r="AF227" i="1" s="1"/>
  <c r="AE229" i="1"/>
  <c r="AF229" i="1" s="1"/>
  <c r="AE228" i="1"/>
  <c r="AF228" i="1" s="1"/>
  <c r="AE224" i="1"/>
  <c r="AF224" i="1" s="1"/>
  <c r="AE203" i="1"/>
  <c r="AF203" i="1" s="1"/>
  <c r="AE225" i="1"/>
  <c r="AF225" i="1" s="1"/>
  <c r="AE226" i="1"/>
  <c r="AF226" i="1" s="1"/>
  <c r="AE112" i="1"/>
  <c r="AF112" i="1" s="1"/>
  <c r="AE109" i="1"/>
  <c r="AF109" i="1" s="1"/>
  <c r="AE106" i="1"/>
  <c r="AF106" i="1" s="1"/>
  <c r="AE103" i="1"/>
  <c r="AF103" i="1" s="1"/>
  <c r="AE105" i="1"/>
  <c r="AF105" i="1" s="1"/>
  <c r="AE153" i="1"/>
  <c r="AF153" i="1" s="1"/>
  <c r="AE141" i="1"/>
  <c r="AF141" i="1" s="1"/>
  <c r="AE138" i="1"/>
  <c r="AF138" i="1" s="1"/>
  <c r="AE135" i="1"/>
  <c r="AF135" i="1" s="1"/>
  <c r="AE132" i="1"/>
  <c r="AF132" i="1" s="1"/>
  <c r="AE123" i="1"/>
  <c r="AF123" i="1" s="1"/>
  <c r="AE111" i="1"/>
  <c r="AF111" i="1" s="1"/>
  <c r="AE166" i="1"/>
  <c r="AF166" i="1" s="1"/>
  <c r="AE163" i="1"/>
  <c r="AF163" i="1" s="1"/>
  <c r="AE160" i="1"/>
  <c r="AF160" i="1" s="1"/>
  <c r="AE157" i="1"/>
  <c r="AF157" i="1" s="1"/>
  <c r="AE142" i="1"/>
  <c r="AF142" i="1" s="1"/>
  <c r="AE197" i="1"/>
  <c r="AF197" i="1" s="1"/>
  <c r="AE191" i="1"/>
  <c r="AF191" i="1" s="1"/>
  <c r="AE176" i="1"/>
  <c r="AF176" i="1" s="1"/>
  <c r="AE173" i="1"/>
  <c r="AF173" i="1" s="1"/>
  <c r="AE167" i="1"/>
  <c r="AF167" i="1" s="1"/>
  <c r="AE161" i="1"/>
  <c r="AF161" i="1" s="1"/>
  <c r="AE152" i="1"/>
  <c r="AF152" i="1" s="1"/>
  <c r="AE113" i="1"/>
  <c r="AF113" i="1" s="1"/>
  <c r="AE137" i="1"/>
  <c r="AF137" i="1" s="1"/>
  <c r="AE189" i="1"/>
  <c r="AF189" i="1" s="1"/>
  <c r="AE186" i="1"/>
  <c r="AF186" i="1" s="1"/>
  <c r="AE165" i="1"/>
  <c r="AF165" i="1" s="1"/>
  <c r="AE162" i="1"/>
  <c r="AF162" i="1" s="1"/>
  <c r="AE102" i="1"/>
  <c r="AF102" i="1" s="1"/>
  <c r="AE120" i="1"/>
  <c r="AF120" i="1" s="1"/>
  <c r="AE198" i="1"/>
  <c r="AF198" i="1" s="1"/>
  <c r="AE174" i="1"/>
  <c r="AF174" i="1" s="1"/>
  <c r="AE150" i="1"/>
  <c r="AF150" i="1" s="1"/>
  <c r="AE177" i="1"/>
  <c r="AF177" i="1" s="1"/>
  <c r="AE185" i="1"/>
  <c r="AF185" i="1" s="1"/>
  <c r="AE213" i="1"/>
  <c r="AF213" i="1" s="1"/>
  <c r="AE210" i="1"/>
  <c r="AF210" i="1" s="1"/>
  <c r="AE201" i="1"/>
  <c r="AF201" i="1" s="1"/>
  <c r="AE119" i="1"/>
  <c r="AF119" i="1" s="1"/>
  <c r="AE116" i="1"/>
  <c r="AF116" i="1" s="1"/>
  <c r="AE216" i="1"/>
  <c r="AF216" i="1" s="1"/>
  <c r="AE192" i="1"/>
  <c r="AF192" i="1" s="1"/>
  <c r="AE180" i="1"/>
  <c r="AF180" i="1" s="1"/>
  <c r="AE107" i="1"/>
  <c r="AF107" i="1" s="1"/>
  <c r="AE101" i="1"/>
  <c r="AF101" i="1" s="1"/>
  <c r="AE204" i="1"/>
  <c r="AF204" i="1" s="1"/>
  <c r="AE168" i="1"/>
  <c r="AF168" i="1" s="1"/>
  <c r="AE156" i="1"/>
  <c r="AF156" i="1" s="1"/>
  <c r="AE149" i="1"/>
  <c r="AF149" i="1" s="1"/>
  <c r="AE131" i="1"/>
  <c r="AF131" i="1" s="1"/>
  <c r="AE219" i="1"/>
  <c r="AF219" i="1" s="1"/>
  <c r="AE144" i="1"/>
  <c r="AF144" i="1" s="1"/>
  <c r="AE126" i="1"/>
  <c r="AF126" i="1" s="1"/>
  <c r="AE208" i="1"/>
  <c r="AF208" i="1" s="1"/>
  <c r="AE205" i="1"/>
  <c r="AF205" i="1" s="1"/>
  <c r="AE114" i="1"/>
  <c r="AF114" i="1" s="1"/>
  <c r="AE190" i="1"/>
  <c r="AF190" i="1" s="1"/>
  <c r="AE187" i="1"/>
  <c r="AF187" i="1" s="1"/>
  <c r="AE184" i="1"/>
  <c r="AF184" i="1" s="1"/>
  <c r="AE181" i="1"/>
  <c r="AF181" i="1" s="1"/>
  <c r="AE108" i="1"/>
  <c r="AF108" i="1" s="1"/>
  <c r="AE179" i="1"/>
  <c r="AF179" i="1" s="1"/>
  <c r="AE155" i="1"/>
  <c r="AF155" i="1" s="1"/>
  <c r="AE139" i="1"/>
  <c r="AF139" i="1" s="1"/>
  <c r="AE143" i="1"/>
  <c r="AF143" i="1" s="1"/>
  <c r="AE122" i="1"/>
  <c r="AF122" i="1" s="1"/>
  <c r="AE221" i="1"/>
  <c r="AF221" i="1" s="1"/>
  <c r="AE215" i="1"/>
  <c r="AF215" i="1" s="1"/>
  <c r="AE209" i="1"/>
  <c r="AF209" i="1" s="1"/>
  <c r="AE200" i="1"/>
  <c r="AF200" i="1" s="1"/>
  <c r="AE125" i="1"/>
  <c r="AF125" i="1" s="1"/>
  <c r="AE222" i="1"/>
  <c r="AF222" i="1" s="1"/>
  <c r="AE214" i="1"/>
  <c r="AF214" i="1" s="1"/>
  <c r="AE195" i="1"/>
  <c r="AF195" i="1" s="1"/>
  <c r="AE171" i="1"/>
  <c r="AF171" i="1" s="1"/>
  <c r="AE147" i="1"/>
  <c r="AF147" i="1" s="1"/>
  <c r="AE110" i="1"/>
  <c r="AF110" i="1" s="1"/>
  <c r="AE100" i="1"/>
  <c r="AF100" i="1" s="1"/>
  <c r="AE212" i="1"/>
  <c r="AF212" i="1" s="1"/>
  <c r="AE188" i="1"/>
  <c r="AF188" i="1" s="1"/>
  <c r="AE164" i="1"/>
  <c r="AF164" i="1" s="1"/>
  <c r="AE140" i="1"/>
  <c r="AF140" i="1" s="1"/>
  <c r="AE130" i="1"/>
  <c r="AF130" i="1" s="1"/>
  <c r="AE127" i="1"/>
  <c r="AF127" i="1" s="1"/>
  <c r="AE104" i="1"/>
  <c r="AF104" i="1" s="1"/>
  <c r="AE134" i="1"/>
  <c r="AF134" i="1" s="1"/>
  <c r="AE202" i="1"/>
  <c r="AF202" i="1" s="1"/>
  <c r="AE199" i="1"/>
  <c r="AF199" i="1" s="1"/>
  <c r="AE178" i="1"/>
  <c r="AF178" i="1" s="1"/>
  <c r="AE175" i="1"/>
  <c r="AF175" i="1" s="1"/>
  <c r="AE154" i="1"/>
  <c r="AF154" i="1" s="1"/>
  <c r="AE151" i="1"/>
  <c r="AF151" i="1" s="1"/>
  <c r="AE124" i="1"/>
  <c r="AF124" i="1" s="1"/>
  <c r="AE121" i="1"/>
  <c r="AF121" i="1" s="1"/>
  <c r="AE223" i="1"/>
  <c r="AF223" i="1" s="1"/>
  <c r="AE206" i="1"/>
  <c r="AF206" i="1" s="1"/>
  <c r="AE182" i="1"/>
  <c r="AF182" i="1" s="1"/>
  <c r="AE158" i="1"/>
  <c r="AF158" i="1" s="1"/>
  <c r="AE99" i="1"/>
  <c r="AF99" i="1" s="1"/>
  <c r="AE220" i="1"/>
  <c r="AF220" i="1" s="1"/>
  <c r="AE207" i="1"/>
  <c r="AF207" i="1" s="1"/>
  <c r="AE183" i="1"/>
  <c r="AF183" i="1" s="1"/>
  <c r="AE159" i="1"/>
  <c r="AF159" i="1" s="1"/>
  <c r="AE128" i="1"/>
  <c r="AF128" i="1" s="1"/>
  <c r="AE118" i="1"/>
  <c r="AF118" i="1" s="1"/>
  <c r="AE115" i="1"/>
  <c r="AF115" i="1" s="1"/>
  <c r="AE217" i="1"/>
  <c r="AF217" i="1" s="1"/>
  <c r="AE196" i="1"/>
  <c r="AF196" i="1" s="1"/>
  <c r="AE193" i="1"/>
  <c r="AF193" i="1" s="1"/>
  <c r="AE172" i="1"/>
  <c r="AF172" i="1" s="1"/>
  <c r="AE169" i="1"/>
  <c r="AF169" i="1" s="1"/>
  <c r="AE148" i="1"/>
  <c r="AF148" i="1" s="1"/>
  <c r="AE145" i="1"/>
  <c r="AF145" i="1" s="1"/>
  <c r="AE129" i="1"/>
  <c r="AF129" i="1" s="1"/>
  <c r="AE211" i="1"/>
  <c r="AF211" i="1" s="1"/>
  <c r="AE218" i="1"/>
  <c r="AF218" i="1" s="1"/>
  <c r="AE194" i="1"/>
  <c r="AF194" i="1" s="1"/>
  <c r="AE170" i="1"/>
  <c r="AF170" i="1" s="1"/>
  <c r="AE146" i="1"/>
  <c r="AF146" i="1" s="1"/>
  <c r="AE136" i="1"/>
  <c r="AF136" i="1" s="1"/>
  <c r="AE133" i="1"/>
  <c r="AF133" i="1" s="1"/>
  <c r="AE117" i="1"/>
  <c r="AF117" i="1" s="1"/>
  <c r="AS2" i="1"/>
  <c r="AY384" i="1"/>
  <c r="AV384" i="1"/>
  <c r="AR384" i="1"/>
  <c r="AO384" i="1"/>
  <c r="AL384" i="1"/>
  <c r="AI384" i="1"/>
  <c r="A384" i="1"/>
  <c r="AY383" i="1"/>
  <c r="AV383" i="1"/>
  <c r="AR383" i="1"/>
  <c r="AO383" i="1"/>
  <c r="AL383" i="1"/>
  <c r="AI383" i="1"/>
  <c r="A383" i="1"/>
  <c r="AY382" i="1"/>
  <c r="AV382" i="1"/>
  <c r="AR382" i="1"/>
  <c r="AO382" i="1"/>
  <c r="AL382" i="1"/>
  <c r="AI382" i="1"/>
  <c r="A382" i="1"/>
  <c r="AY381" i="1"/>
  <c r="AV381" i="1"/>
  <c r="AR381" i="1"/>
  <c r="AO381" i="1"/>
  <c r="AL381" i="1"/>
  <c r="AI381" i="1"/>
  <c r="A381" i="1"/>
  <c r="AY380" i="1"/>
  <c r="AV380" i="1"/>
  <c r="AR380" i="1"/>
  <c r="AO380" i="1"/>
  <c r="AL380" i="1"/>
  <c r="AI380" i="1"/>
  <c r="A380" i="1"/>
  <c r="AY379" i="1"/>
  <c r="AV379" i="1"/>
  <c r="AR379" i="1"/>
  <c r="AO379" i="1"/>
  <c r="AL379" i="1"/>
  <c r="AI379" i="1"/>
  <c r="A379" i="1"/>
  <c r="AY31" i="1"/>
  <c r="AV31" i="1"/>
  <c r="AR31" i="1"/>
  <c r="AO31" i="1"/>
  <c r="AI31" i="1"/>
  <c r="A31" i="1"/>
  <c r="AY30" i="1"/>
  <c r="AV30" i="1"/>
  <c r="AR30" i="1"/>
  <c r="AO30" i="1"/>
  <c r="AI30" i="1"/>
  <c r="A30" i="1"/>
  <c r="AY29" i="1"/>
  <c r="AV29" i="1"/>
  <c r="AR29" i="1"/>
  <c r="AO29" i="1"/>
  <c r="AI29" i="1"/>
  <c r="A29" i="1"/>
  <c r="AY28" i="1"/>
  <c r="AV28" i="1"/>
  <c r="AR28" i="1"/>
  <c r="AO28" i="1"/>
  <c r="AI28" i="1"/>
  <c r="A28" i="1"/>
  <c r="AY27" i="1"/>
  <c r="AV27" i="1"/>
  <c r="AR27" i="1"/>
  <c r="AO27" i="1"/>
  <c r="AI27" i="1"/>
  <c r="A27" i="1"/>
  <c r="AY7" i="1"/>
  <c r="AV7" i="1"/>
  <c r="AR7" i="1"/>
  <c r="AO7" i="1"/>
  <c r="AI7" i="1"/>
  <c r="A7" i="1"/>
  <c r="AY6" i="1"/>
  <c r="AV6" i="1"/>
  <c r="AR6" i="1"/>
  <c r="AO6" i="1"/>
  <c r="AI6" i="1"/>
  <c r="A6" i="1"/>
  <c r="AY5" i="1"/>
  <c r="AV5" i="1"/>
  <c r="AR5" i="1"/>
  <c r="AO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7" i="1" l="1"/>
  <c r="AF7" i="1" s="1"/>
  <c r="AE30" i="1"/>
  <c r="AF30" i="1" s="1"/>
  <c r="AE31" i="1"/>
  <c r="AF31" i="1" s="1"/>
  <c r="AR2" i="1"/>
  <c r="AE384" i="1"/>
  <c r="AF384" i="1" s="1"/>
  <c r="AV2" i="1"/>
  <c r="AE383" i="1"/>
  <c r="AF383" i="1" s="1"/>
  <c r="AE381" i="1"/>
  <c r="AF381" i="1" s="1"/>
  <c r="AY2" i="1"/>
  <c r="AE382" i="1"/>
  <c r="AF382" i="1" s="1"/>
  <c r="AL2" i="1"/>
  <c r="AE5" i="1"/>
  <c r="AF5" i="1" s="1"/>
  <c r="AE6" i="1"/>
  <c r="AF6" i="1" s="1"/>
  <c r="AO2" i="1"/>
  <c r="AE27" i="1"/>
  <c r="AF27" i="1" s="1"/>
  <c r="AE28" i="1"/>
  <c r="AF28" i="1" s="1"/>
  <c r="AE29" i="1"/>
  <c r="AF29" i="1" s="1"/>
  <c r="AE380" i="1"/>
  <c r="AF380" i="1" s="1"/>
  <c r="AE379" i="1"/>
  <c r="AF379" i="1" s="1"/>
  <c r="AE4" i="1"/>
  <c r="AF4" i="1" s="1"/>
</calcChain>
</file>

<file path=xl/sharedStrings.xml><?xml version="1.0" encoding="utf-8"?>
<sst xmlns="http://schemas.openxmlformats.org/spreadsheetml/2006/main" count="4855" uniqueCount="968">
  <si>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</si>
  <si>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</si>
  <si>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</si>
  <si>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</si>
  <si>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</si>
  <si>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</si>
  <si>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</si>
  <si>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</si>
  <si>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</si>
  <si>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</si>
  <si>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</si>
  <si>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</si>
  <si>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</si>
  <si>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</si>
  <si>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</si>
  <si>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</si>
  <si>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</si>
  <si>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</si>
  <si>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</si>
  <si>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</si>
  <si>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</si>
  <si>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</si>
  <si>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</si>
  <si>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</si>
  <si>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</si>
  <si>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</si>
  <si>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</si>
  <si>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</si>
  <si>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</si>
  <si>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</si>
  <si>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</si>
  <si>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</si>
  <si>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</si>
  <si>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</si>
  <si>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</si>
  <si>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</si>
  <si>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</si>
  <si>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</si>
  <si>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</si>
  <si>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</si>
  <si>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</si>
  <si>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</si>
  <si>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</si>
  <si>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</si>
  <si>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</si>
  <si>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</si>
  <si>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</si>
  <si>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</si>
  <si>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</si>
  <si>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</si>
  <si>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</si>
  <si>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</si>
  <si>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</si>
  <si>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</si>
  <si>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</si>
  <si>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</si>
  <si>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</si>
  <si>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</si>
  <si>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</si>
  <si>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</si>
  <si>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</si>
  <si>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</si>
  <si>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</si>
  <si>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</si>
  <si>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</si>
  <si>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</si>
  <si>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</si>
  <si>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</si>
  <si>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</si>
  <si>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V17566-DWXD-7532</t>
  </si>
  <si>
    <t>CO-FL-1</t>
  </si>
  <si>
    <t xml:space="preserve">FIELD LINER </t>
  </si>
  <si>
    <t>V17566-DWXD-7533</t>
  </si>
  <si>
    <t>CO-FL-2</t>
  </si>
  <si>
    <t>V17566-DWXD-7534</t>
  </si>
  <si>
    <t>CO-FL-3</t>
  </si>
  <si>
    <t>V17566-DWXD-7535</t>
  </si>
  <si>
    <t>CO-FL-4</t>
  </si>
  <si>
    <t>V17566-DWXD-7536</t>
  </si>
  <si>
    <t>CO-FL-5</t>
  </si>
  <si>
    <t>V17566-DWXD-7537</t>
  </si>
  <si>
    <t>CO-FL-6</t>
  </si>
  <si>
    <t>V17566-DWXD-7538</t>
  </si>
  <si>
    <t>CO-FL-7</t>
  </si>
  <si>
    <t>V17566-DWXD-7539</t>
  </si>
  <si>
    <t>CO-FL-8</t>
  </si>
  <si>
    <t>V17566-DWXD-7540</t>
  </si>
  <si>
    <t>CO-FL-9</t>
  </si>
  <si>
    <t>V17566-DWXD-7541</t>
  </si>
  <si>
    <t>CO-FL-10</t>
  </si>
  <si>
    <t>V17566-DWXD-7542</t>
  </si>
  <si>
    <t>CO-FL-11</t>
  </si>
  <si>
    <t>V17566-DWXD-7543</t>
  </si>
  <si>
    <t>CO-FL-12</t>
  </si>
  <si>
    <t>V17566-DWXD-7544</t>
  </si>
  <si>
    <t>CO-FL-13</t>
  </si>
  <si>
    <t>V17566-DWXD-7545</t>
  </si>
  <si>
    <t>CO-FL-14</t>
  </si>
  <si>
    <t>V17566-DWXD-7546</t>
  </si>
  <si>
    <t>CO-FL-15</t>
  </si>
  <si>
    <t>V17566-DWXD-7547</t>
  </si>
  <si>
    <t>CO-FL-16</t>
  </si>
  <si>
    <t>V17566-DWXD-7548</t>
  </si>
  <si>
    <t>CO-FL-17</t>
  </si>
  <si>
    <t>V17566-DWXD-7549</t>
  </si>
  <si>
    <t>CO-FL-18</t>
  </si>
  <si>
    <t>V17566-DWXD-7550</t>
  </si>
  <si>
    <t>CO-FL-19</t>
  </si>
  <si>
    <t>V17566-DWXD-7551</t>
  </si>
  <si>
    <t>CO-FL-20</t>
  </si>
  <si>
    <t>V17566-DWXD-7552</t>
  </si>
  <si>
    <t>CO-FL-21</t>
  </si>
  <si>
    <t>V17566-DWXD-7553</t>
  </si>
  <si>
    <t>CO-FL-22</t>
  </si>
  <si>
    <t>V17566-DWXD-7554</t>
  </si>
  <si>
    <t>CO-FL-23</t>
  </si>
  <si>
    <t>V17566-DWXD-7555</t>
  </si>
  <si>
    <t>CO-FL-24</t>
  </si>
  <si>
    <t>V17566-DWXD-7556</t>
  </si>
  <si>
    <t>CO-FL-25</t>
  </si>
  <si>
    <t>V17566-DWXD-7557</t>
  </si>
  <si>
    <t>CO-FL-26</t>
  </si>
  <si>
    <t>V17566-DWXD-7558</t>
  </si>
  <si>
    <t>CO-FL-27</t>
  </si>
  <si>
    <t>V17566-DWXD-7559</t>
  </si>
  <si>
    <t>CO-FL-28</t>
  </si>
  <si>
    <t>V17566-DWXD-7560</t>
  </si>
  <si>
    <t>CO-FL-29</t>
  </si>
  <si>
    <t>V17566-DWXD-7561</t>
  </si>
  <si>
    <t>CO-FL-30</t>
  </si>
  <si>
    <t>V17566-DWXD-7562</t>
  </si>
  <si>
    <t>CO-FL-31</t>
  </si>
  <si>
    <t>V17566-DWXD-7563</t>
  </si>
  <si>
    <t>CO-FL-32</t>
  </si>
  <si>
    <t>V17566-DWXD-7564</t>
  </si>
  <si>
    <t>CO-FL-33</t>
  </si>
  <si>
    <t>V17566-DWXD-7565</t>
  </si>
  <si>
    <t>CO-FL-34</t>
  </si>
  <si>
    <t>V17566-DWXD-7566</t>
  </si>
  <si>
    <t>CO-FL-35</t>
  </si>
  <si>
    <t>V17566-DWXD-7567</t>
  </si>
  <si>
    <t>CO-FL-36</t>
  </si>
  <si>
    <t>V17566-DWXD-7568</t>
  </si>
  <si>
    <t>CO-FL-37</t>
  </si>
  <si>
    <t>V17566-DWXD-7569</t>
  </si>
  <si>
    <t>CO-FL-38</t>
  </si>
  <si>
    <t>V17566-DWXD-7570</t>
  </si>
  <si>
    <t>CO-FL-39</t>
  </si>
  <si>
    <t>V17566-DWXD-7571</t>
  </si>
  <si>
    <t>CO-FL-40</t>
  </si>
  <si>
    <t>V17566-DWXD-7572</t>
  </si>
  <si>
    <t>CO-FL-41</t>
  </si>
  <si>
    <t>V17566-DWXD-7573</t>
  </si>
  <si>
    <t>CO-FL-42</t>
  </si>
  <si>
    <t>V17566-DWXD-7574</t>
  </si>
  <si>
    <t>CO-FL-43</t>
  </si>
  <si>
    <t>V17566-DWXD-7575</t>
  </si>
  <si>
    <t>CO-FL-44</t>
  </si>
  <si>
    <t>V17566-DWXD-7576</t>
  </si>
  <si>
    <t>CO-FL-45</t>
  </si>
  <si>
    <t>V17566-DWXD-7577</t>
  </si>
  <si>
    <t>CO-FL-46</t>
  </si>
  <si>
    <t>V17566-DWXD-7578</t>
  </si>
  <si>
    <t>CO-FL-47</t>
  </si>
  <si>
    <t>V17566-DWXD-7579</t>
  </si>
  <si>
    <t>CO-FL-48</t>
  </si>
  <si>
    <t>V17566-DWXD-7580</t>
  </si>
  <si>
    <t>CO-FL-49</t>
  </si>
  <si>
    <t>V17566-DWXD-7581</t>
  </si>
  <si>
    <t>CO-FL-50</t>
  </si>
  <si>
    <t>V17566-DWXD-7582</t>
  </si>
  <si>
    <t>CO-FL-51</t>
  </si>
  <si>
    <t>V17566-DWXD-7583</t>
  </si>
  <si>
    <t>CO-FL-52</t>
  </si>
  <si>
    <t>V17566-DWXD-7584</t>
  </si>
  <si>
    <t>CO-FL-53</t>
  </si>
  <si>
    <t>V17566-DWXD-7585</t>
  </si>
  <si>
    <t>CO-FL-54</t>
  </si>
  <si>
    <t>V17566-DWXD-7586</t>
  </si>
  <si>
    <t>CO-FL-55</t>
  </si>
  <si>
    <t>V17566-DWXD-7587</t>
  </si>
  <si>
    <t>CO-FL-56</t>
  </si>
  <si>
    <t>V17566-DWXD-7481</t>
  </si>
  <si>
    <t>CO-PL-1</t>
  </si>
  <si>
    <t xml:space="preserve">FIELD PLATE </t>
  </si>
  <si>
    <t>V17566-DWXD-7482</t>
  </si>
  <si>
    <t>CO-PL-2</t>
  </si>
  <si>
    <t xml:space="preserve">FIELD COVER RING </t>
  </si>
  <si>
    <t>V17566-DWXD-7483</t>
  </si>
  <si>
    <t>CO-PL-3</t>
  </si>
  <si>
    <t>V17566-DWXD-7484</t>
  </si>
  <si>
    <t>CO-PL-4</t>
  </si>
  <si>
    <t>V17566-DWXD-7485</t>
  </si>
  <si>
    <t>CO-PL-5</t>
  </si>
  <si>
    <t>V17566-DWXD-7486</t>
  </si>
  <si>
    <t>CO-PL-6</t>
  </si>
  <si>
    <t>V17566-DWXD-7487</t>
  </si>
  <si>
    <t>CO-PL-7</t>
  </si>
  <si>
    <t>FIELD COVER PLATE</t>
  </si>
  <si>
    <t>V17566-DWXD-7488</t>
  </si>
  <si>
    <t>CO-PL-8</t>
  </si>
  <si>
    <t>V17566-DWXD-7489</t>
  </si>
  <si>
    <t>CO-PL-9</t>
  </si>
  <si>
    <t>V17566-DWXD-7490</t>
  </si>
  <si>
    <t>CO-PL-10</t>
  </si>
  <si>
    <t>V17566-DWXD-7491</t>
  </si>
  <si>
    <t>CO-PL-11</t>
  </si>
  <si>
    <t>V17566-DWXD-7492</t>
  </si>
  <si>
    <t>CO-PL-12</t>
  </si>
  <si>
    <t xml:space="preserve">FIELD COVER PLATE </t>
  </si>
  <si>
    <t>V17566-DWXD-7493</t>
  </si>
  <si>
    <t>CO-PL-13</t>
  </si>
  <si>
    <t>V17566-DWXD-7494</t>
  </si>
  <si>
    <t>CO-PL-14</t>
  </si>
  <si>
    <t>V17566-DWXD-7495</t>
  </si>
  <si>
    <t>CO-PL-15</t>
  </si>
  <si>
    <t>V17566-DWXD-0323</t>
  </si>
  <si>
    <t>CO-PL-16</t>
  </si>
  <si>
    <t>V17566-DWXD-7497</t>
  </si>
  <si>
    <t>CO-PL-17</t>
  </si>
  <si>
    <t>V17566-DWXD-7498</t>
  </si>
  <si>
    <t>CO-PL-18</t>
  </si>
  <si>
    <t>V17566-DWXD-7591</t>
  </si>
  <si>
    <t>CO-PL-19</t>
  </si>
  <si>
    <t>V17566-DWXD-7499</t>
  </si>
  <si>
    <t>CO-RC-1</t>
  </si>
  <si>
    <t xml:space="preserve">FIELD RETAINER CLIP </t>
  </si>
  <si>
    <t>V17566-DWXD-7500</t>
  </si>
  <si>
    <t>CO-RC-2</t>
  </si>
  <si>
    <t>CO-RC-3</t>
  </si>
  <si>
    <t>V17566-DWXD-7501</t>
  </si>
  <si>
    <t>CO-SP-4</t>
  </si>
  <si>
    <t xml:space="preserve">SUPPORT CHANNEL </t>
  </si>
  <si>
    <t>V17566-DWXD-7401</t>
  </si>
  <si>
    <t>COB-1</t>
  </si>
  <si>
    <t xml:space="preserve">BOTTOM PANEL </t>
  </si>
  <si>
    <t>V17566-DWXD-7423</t>
  </si>
  <si>
    <t>COB-2</t>
  </si>
  <si>
    <t>V17566-DWXD-7427</t>
  </si>
  <si>
    <t>COB-3</t>
  </si>
  <si>
    <t>V17566-DWXD-7431</t>
  </si>
  <si>
    <t>COL-1</t>
  </si>
  <si>
    <t xml:space="preserve">LEFT PANEL </t>
  </si>
  <si>
    <t>V17566-DRXD-7055</t>
  </si>
  <si>
    <t>DR070L-COL-1</t>
  </si>
  <si>
    <t>V17566-DWXD-7436</t>
  </si>
  <si>
    <t>COL-2</t>
  </si>
  <si>
    <t>V17566-DWXD-7405</t>
  </si>
  <si>
    <t>COL-5</t>
  </si>
  <si>
    <t>DR070L-COL-5</t>
  </si>
  <si>
    <t>V17566-DWXD-7441</t>
  </si>
  <si>
    <t>COL-7</t>
  </si>
  <si>
    <t>DR070L-COL-7</t>
  </si>
  <si>
    <t>V17566-DWXD-7445</t>
  </si>
  <si>
    <t>COL-8</t>
  </si>
  <si>
    <t>V17566-DWXD-7449</t>
  </si>
  <si>
    <t>COR-1</t>
  </si>
  <si>
    <t xml:space="preserve">RIGHT PANEL </t>
  </si>
  <si>
    <t>DR070R-COR-1</t>
  </si>
  <si>
    <t>V17566-DWXD-7454</t>
  </si>
  <si>
    <t>COR-2</t>
  </si>
  <si>
    <t>V17566-DWXD-7408</t>
  </si>
  <si>
    <t>COR-3</t>
  </si>
  <si>
    <t>DR070R-COR-3</t>
  </si>
  <si>
    <t>V17566-DWXD-7459</t>
  </si>
  <si>
    <t>COR-4</t>
  </si>
  <si>
    <t>DR070R-COR-4</t>
  </si>
  <si>
    <t>V17566-DWXD-7463</t>
  </si>
  <si>
    <t>COR-5</t>
  </si>
  <si>
    <t>V17566-DWXD-7467</t>
  </si>
  <si>
    <t>COT-1</t>
  </si>
  <si>
    <t xml:space="preserve">TOP PANEL </t>
  </si>
  <si>
    <t>V17566-DWXD-7411</t>
  </si>
  <si>
    <t>COT-2</t>
  </si>
  <si>
    <t>V17566-DWXD-7471</t>
  </si>
  <si>
    <t>COT-3</t>
  </si>
  <si>
    <t xml:space="preserve">SCR DOOR </t>
  </si>
  <si>
    <t>V17566-DWXD-7473</t>
  </si>
  <si>
    <t>COT-4</t>
  </si>
  <si>
    <t>V17566-DWXD-7475</t>
  </si>
  <si>
    <t>COT-5</t>
  </si>
  <si>
    <t>V17566-DWXD-7477</t>
  </si>
  <si>
    <t>COT-6</t>
  </si>
  <si>
    <t>V17566-DWXD-7503</t>
  </si>
  <si>
    <t>CO-BF-1</t>
  </si>
  <si>
    <t xml:space="preserve">BUILT-UP CHANNEL </t>
  </si>
  <si>
    <t>V17566-DWXD-7504</t>
  </si>
  <si>
    <t>CO-BF-2</t>
  </si>
  <si>
    <t xml:space="preserve">BAFFLE </t>
  </si>
  <si>
    <t>V17566-DWXD-7505</t>
  </si>
  <si>
    <t>CO-BF-3</t>
  </si>
  <si>
    <t>V17566-DWXD-7506</t>
  </si>
  <si>
    <t>CO-BF-4</t>
  </si>
  <si>
    <t>V17566-DWXD-7507</t>
  </si>
  <si>
    <t>CO-BF-5</t>
  </si>
  <si>
    <t xml:space="preserve">BENT PLATE 110B </t>
  </si>
  <si>
    <t>V17566-DWXD-7508</t>
  </si>
  <si>
    <t>CO-BF-6</t>
  </si>
  <si>
    <t>V17566-DWXD-7509</t>
  </si>
  <si>
    <t>CO-BF-7</t>
  </si>
  <si>
    <t>V17566-DWXD-7510</t>
  </si>
  <si>
    <t>CO-BF-8</t>
  </si>
  <si>
    <t xml:space="preserve">BENT PLATE 110A </t>
  </si>
  <si>
    <t>V17566-DWXD-7511</t>
  </si>
  <si>
    <t>CO-BF-9</t>
  </si>
  <si>
    <t>V17566-DWXD-7512</t>
  </si>
  <si>
    <t>CO-BF-10</t>
  </si>
  <si>
    <t>V17566-DWXD-7588</t>
  </si>
  <si>
    <t>CO-BF-11</t>
  </si>
  <si>
    <t xml:space="preserve">STUD 5/8" </t>
  </si>
  <si>
    <t>V17566-DWXD-7513</t>
  </si>
  <si>
    <t>CO-BF-12</t>
  </si>
  <si>
    <t>V17566-DWXD-7514</t>
  </si>
  <si>
    <t>CO-BF-13</t>
  </si>
  <si>
    <t xml:space="preserve">BUILT-UP H-BEAM </t>
  </si>
  <si>
    <t>V17566-DWXD-7515</t>
  </si>
  <si>
    <t>CO-BF-14</t>
  </si>
  <si>
    <t>V17566-DWXD-7516</t>
  </si>
  <si>
    <t>CO-BF-15</t>
  </si>
  <si>
    <t>V17566-DWXD-7517</t>
  </si>
  <si>
    <t>CO-BF-16</t>
  </si>
  <si>
    <t>V17566-DWXD-7518</t>
  </si>
  <si>
    <t>CO-BF-17</t>
  </si>
  <si>
    <t>V17566-DWXD-7519</t>
  </si>
  <si>
    <t>CO-BF-18</t>
  </si>
  <si>
    <t xml:space="preserve">BENT PLATE </t>
  </si>
  <si>
    <t>V17566-DWXD-7520</t>
  </si>
  <si>
    <t>CO-BF-19</t>
  </si>
  <si>
    <t>V17566-DWXD-7521</t>
  </si>
  <si>
    <t>CO-BF-20</t>
  </si>
  <si>
    <t>V17566-DWXD-7522</t>
  </si>
  <si>
    <t>CO-BF-21</t>
  </si>
  <si>
    <t>V17566-DWXD-7523</t>
  </si>
  <si>
    <t>CO-BF-22</t>
  </si>
  <si>
    <t>V17566-DWXD-7524</t>
  </si>
  <si>
    <t>CO-BF-23</t>
  </si>
  <si>
    <t>V17566-DWXD-7525</t>
  </si>
  <si>
    <t>CO-BF-24</t>
  </si>
  <si>
    <t>V17566-DWXD-7526</t>
  </si>
  <si>
    <t>CO-BF-25</t>
  </si>
  <si>
    <t>V17566-DWXD-7527</t>
  </si>
  <si>
    <t>CO-BF-26</t>
  </si>
  <si>
    <t>V17566-DWXD-7528</t>
  </si>
  <si>
    <t>CO-BF-27</t>
  </si>
  <si>
    <t>V17566-DWXD-7529</t>
  </si>
  <si>
    <t>CO-BF-28</t>
  </si>
  <si>
    <t>V17566-DWXD-7530</t>
  </si>
  <si>
    <t>CO-BF-29</t>
  </si>
  <si>
    <t>V17566-DWXD-7531</t>
  </si>
  <si>
    <t>CO-BF-30</t>
  </si>
  <si>
    <t>V17566-DWND-0052</t>
  </si>
  <si>
    <t>V17566-DWND-0072</t>
  </si>
  <si>
    <t>V17566-DWND-0073</t>
  </si>
  <si>
    <t>V17566-DWND-0070</t>
  </si>
  <si>
    <t>V17566-DRND-0023</t>
  </si>
  <si>
    <t>V17566-SRND-0001</t>
  </si>
  <si>
    <t xml:space="preserve">(457x2x1167) </t>
  </si>
  <si>
    <t xml:space="preserve">(457x2x1338) </t>
  </si>
  <si>
    <t xml:space="preserve">(457x2x381) </t>
  </si>
  <si>
    <t xml:space="preserve">(457x2x1219) </t>
  </si>
  <si>
    <t xml:space="preserve">(457x2x838) </t>
  </si>
  <si>
    <t xml:space="preserve">(457x2x622) </t>
  </si>
  <si>
    <t xml:space="preserve">(457x2x876) </t>
  </si>
  <si>
    <t xml:space="preserve">(457x2x1524) </t>
  </si>
  <si>
    <t xml:space="preserve">(457x2x1765) </t>
  </si>
  <si>
    <t xml:space="preserve">(457x2x981) </t>
  </si>
  <si>
    <t xml:space="preserve">(457x2x1143) </t>
  </si>
  <si>
    <t xml:space="preserve">(672x192x192) </t>
  </si>
  <si>
    <t xml:space="preserve">(786x192x192) </t>
  </si>
  <si>
    <t xml:space="preserve">(838x192x192) </t>
  </si>
  <si>
    <t xml:space="preserve">(1138x192x192) </t>
  </si>
  <si>
    <t xml:space="preserve">(871x193x192) </t>
  </si>
  <si>
    <t xml:space="preserve">(1238x193x192) </t>
  </si>
  <si>
    <t xml:space="preserve">(1057x192x192) </t>
  </si>
  <si>
    <t xml:space="preserve">(837x192x192) </t>
  </si>
  <si>
    <t xml:space="preserve">(971x192x192) </t>
  </si>
  <si>
    <t xml:space="preserve">(664x167x257) </t>
  </si>
  <si>
    <t xml:space="preserve">(1087x192x192) </t>
  </si>
  <si>
    <t xml:space="preserve">(1267x167x257) </t>
  </si>
  <si>
    <t xml:space="preserve">(457x192x192) </t>
  </si>
  <si>
    <t xml:space="preserve">(1219x192x192) </t>
  </si>
  <si>
    <t xml:space="preserve">(600x192x192) </t>
  </si>
  <si>
    <t xml:space="preserve">(51x6x19) </t>
  </si>
  <si>
    <t xml:space="preserve">(191x3x191) </t>
  </si>
  <si>
    <t xml:space="preserve">(152x10x210) </t>
  </si>
  <si>
    <t xml:space="preserve">(75x6x210) </t>
  </si>
  <si>
    <t xml:space="preserve">(64x10x220) </t>
  </si>
  <si>
    <t xml:space="preserve">(718x12x330) </t>
  </si>
  <si>
    <t xml:space="preserve">(214x2x178) </t>
  </si>
  <si>
    <t xml:space="preserve">(178x2x195) </t>
  </si>
  <si>
    <t xml:space="preserve">(51x6x50) </t>
  </si>
  <si>
    <t xml:space="preserve">(157x2x350) </t>
  </si>
  <si>
    <t xml:space="preserve">(132x2x276) </t>
  </si>
  <si>
    <t xml:space="preserve">(527x2x157) </t>
  </si>
  <si>
    <t xml:space="preserve">(157x2x527) </t>
  </si>
  <si>
    <t xml:space="preserve">(161x2x161) </t>
  </si>
  <si>
    <t xml:space="preserve">(384x2x104) </t>
  </si>
  <si>
    <t xml:space="preserve">(51x5x102) </t>
  </si>
  <si>
    <t xml:space="preserve">(951x90x200) </t>
  </si>
  <si>
    <t xml:space="preserve">(1671x3448x9823) </t>
  </si>
  <si>
    <t xml:space="preserve">(796x1262x9785) </t>
  </si>
  <si>
    <t xml:space="preserve">(565x2786x9785) </t>
  </si>
  <si>
    <t xml:space="preserve">(568x2786x12332) </t>
  </si>
  <si>
    <t>(251x1197x1841)</t>
  </si>
  <si>
    <t xml:space="preserve">(530x2786x12325) </t>
  </si>
  <si>
    <t xml:space="preserve">(1189x3548x33567) </t>
  </si>
  <si>
    <t xml:space="preserve">(1262x549x12386) </t>
  </si>
  <si>
    <t xml:space="preserve">(1262x412x12259) </t>
  </si>
  <si>
    <t xml:space="preserve">(1262x543x12386) </t>
  </si>
  <si>
    <t xml:space="preserve">(1262x406x12259) </t>
  </si>
  <si>
    <t xml:space="preserve">(582x2786x9785) </t>
  </si>
  <si>
    <t xml:space="preserve">(1638x3448x9823) </t>
  </si>
  <si>
    <t xml:space="preserve">(451x2006x3085) </t>
  </si>
  <si>
    <t xml:space="preserve">(451x2006x3356) </t>
  </si>
  <si>
    <t xml:space="preserve">(364x1262x9785) </t>
  </si>
  <si>
    <t xml:space="preserve">(250x90x9574) </t>
  </si>
  <si>
    <t xml:space="preserve">(38x3x2881) </t>
  </si>
  <si>
    <t xml:space="preserve">(38x3x2914) </t>
  </si>
  <si>
    <t xml:space="preserve">(38x3x2862) </t>
  </si>
  <si>
    <t xml:space="preserve">(300x51x90) </t>
  </si>
  <si>
    <t xml:space="preserve">(1156x51x90) </t>
  </si>
  <si>
    <t xml:space="preserve">(344x51x90) </t>
  </si>
  <si>
    <t xml:space="preserve">(102x40x184) </t>
  </si>
  <si>
    <t xml:space="preserve">(12x3x36) </t>
  </si>
  <si>
    <t xml:space="preserve">(300x353x11000) </t>
  </si>
  <si>
    <t xml:space="preserve">(300x353x13328) </t>
  </si>
  <si>
    <t xml:space="preserve">(300x100x2877) </t>
  </si>
  <si>
    <t xml:space="preserve">(300x400x11000) </t>
  </si>
  <si>
    <t xml:space="preserve">(300x400x13334) </t>
  </si>
  <si>
    <t xml:space="preserve">(3144x313x159) </t>
  </si>
  <si>
    <t xml:space="preserve">(3241x313x159) </t>
  </si>
  <si>
    <t xml:space="preserve">(300x100x2906) </t>
  </si>
  <si>
    <t xml:space="preserve">(300x282x13334) </t>
  </si>
  <si>
    <t xml:space="preserve">(300x200x9574) </t>
  </si>
  <si>
    <t xml:space="preserve">(854x204x51) </t>
  </si>
  <si>
    <t xml:space="preserve">(1156x204x51) </t>
  </si>
  <si>
    <t xml:space="preserve">(835x204x51) </t>
  </si>
  <si>
    <t xml:space="preserve">(9574x90x150) </t>
  </si>
  <si>
    <t xml:space="preserve">(1024x51x90) </t>
  </si>
  <si>
    <t>U284</t>
  </si>
  <si>
    <t>PAC</t>
  </si>
  <si>
    <t>Shipment 2</t>
  </si>
  <si>
    <t>CO-SCR Duct</t>
  </si>
  <si>
    <t>HRSG</t>
  </si>
  <si>
    <t>HSG14</t>
  </si>
  <si>
    <t>HSG01</t>
  </si>
  <si>
    <t>S1</t>
  </si>
  <si>
    <t>S3</t>
  </si>
  <si>
    <t>V17566-SKXD-7001</t>
  </si>
  <si>
    <t>BK-1</t>
  </si>
  <si>
    <t>BLANKING PLATE</t>
  </si>
  <si>
    <t>V17566-SKXD-7002</t>
  </si>
  <si>
    <t>BK-2</t>
  </si>
  <si>
    <t>V17566-SKXD-7003</t>
  </si>
  <si>
    <t>BK-3</t>
  </si>
  <si>
    <t>V17566-SKXD-7004</t>
  </si>
  <si>
    <t>DR-1</t>
  </si>
  <si>
    <t>DRAIN PIPE</t>
  </si>
  <si>
    <t>V17566-SKXD-7005</t>
  </si>
  <si>
    <t>DR-2</t>
  </si>
  <si>
    <t>V17566-SKXD-7193</t>
  </si>
  <si>
    <t>DR-4</t>
  </si>
  <si>
    <t>DRAIN PAN</t>
  </si>
  <si>
    <t>V17566-SKXD-7006</t>
  </si>
  <si>
    <t>EX-1</t>
  </si>
  <si>
    <t>EXPANDED METAL</t>
  </si>
  <si>
    <t>V17566-SKXD-7007</t>
  </si>
  <si>
    <t>EX-2</t>
  </si>
  <si>
    <t>V17566-SKXD-7008</t>
  </si>
  <si>
    <t>EX-3</t>
  </si>
  <si>
    <t>V17566-SKXD-7009</t>
  </si>
  <si>
    <t>EX-4</t>
  </si>
  <si>
    <t>V17566-SKXD-7010</t>
  </si>
  <si>
    <t>EX-5</t>
  </si>
  <si>
    <t>V17566-SKXD-7011</t>
  </si>
  <si>
    <t>EX-6</t>
  </si>
  <si>
    <t>V17566-SKXD-7012</t>
  </si>
  <si>
    <t>EX-7</t>
  </si>
  <si>
    <t>V17566-SKXD-7013</t>
  </si>
  <si>
    <t>EX-8</t>
  </si>
  <si>
    <t>V17566-SKXD-7014</t>
  </si>
  <si>
    <t>EX-9</t>
  </si>
  <si>
    <t>V17566-SKXD-7015</t>
  </si>
  <si>
    <t>EX-10</t>
  </si>
  <si>
    <t>V17566-SKXD-7016</t>
  </si>
  <si>
    <t>EX-11</t>
  </si>
  <si>
    <t>V17566-SKXD-7017</t>
  </si>
  <si>
    <t>EX-12</t>
  </si>
  <si>
    <t>V17566-SKXD-7018</t>
  </si>
  <si>
    <t>EX-13</t>
  </si>
  <si>
    <t>V17566-SKXD-7019</t>
  </si>
  <si>
    <t>EX-14</t>
  </si>
  <si>
    <t>V17566-SKXD-7020</t>
  </si>
  <si>
    <t>EX-15</t>
  </si>
  <si>
    <t>V17566-SKXD-7021</t>
  </si>
  <si>
    <t>EX-16</t>
  </si>
  <si>
    <t>V17566-SKXD-7022</t>
  </si>
  <si>
    <t>EX-17</t>
  </si>
  <si>
    <t>V17566-SKXD-7023</t>
  </si>
  <si>
    <t>EX-18</t>
  </si>
  <si>
    <t>V17566-SKXD-7024</t>
  </si>
  <si>
    <t>EX-19</t>
  </si>
  <si>
    <t>V17566-SKXD-7025</t>
  </si>
  <si>
    <t>EX-20</t>
  </si>
  <si>
    <t>V17566-SKXD-7026</t>
  </si>
  <si>
    <t>EX-21</t>
  </si>
  <si>
    <t>V17566-SKXD-7027</t>
  </si>
  <si>
    <t>EX-22</t>
  </si>
  <si>
    <t>V17566-SKXD-7028</t>
  </si>
  <si>
    <t>EX-23</t>
  </si>
  <si>
    <t>V17566-SKXD-7029</t>
  </si>
  <si>
    <t>EX-24</t>
  </si>
  <si>
    <t>V17566-SKXD-7030</t>
  </si>
  <si>
    <t>EX-25</t>
  </si>
  <si>
    <t>V17566-SKXD-7031</t>
  </si>
  <si>
    <t>EX-26</t>
  </si>
  <si>
    <t>V17566-SKXD-7032</t>
  </si>
  <si>
    <t>EX-27</t>
  </si>
  <si>
    <t>V17566-SKXD-7033</t>
  </si>
  <si>
    <t>EX-28</t>
  </si>
  <si>
    <t>V17566-SKXD-7178</t>
  </si>
  <si>
    <t>EX-29</t>
  </si>
  <si>
    <t>V17566-SKXD-7179</t>
  </si>
  <si>
    <t>EX-30</t>
  </si>
  <si>
    <t>V17566-SKXD-7180</t>
  </si>
  <si>
    <t>EX-31</t>
  </si>
  <si>
    <t>V17566-SKXD-7181</t>
  </si>
  <si>
    <t>EX-32</t>
  </si>
  <si>
    <t>V17566-SKXD-7182</t>
  </si>
  <si>
    <t>EX-33</t>
  </si>
  <si>
    <t>V17566-SKXD-7183</t>
  </si>
  <si>
    <t>EX-34</t>
  </si>
  <si>
    <t>V17566-SKXD-7034</t>
  </si>
  <si>
    <t>FR-1</t>
  </si>
  <si>
    <t>FRAME</t>
  </si>
  <si>
    <t>V17566-SKXD-7035</t>
  </si>
  <si>
    <t>FR-2</t>
  </si>
  <si>
    <t>V17566-SKXD-7036</t>
  </si>
  <si>
    <t>FR-3</t>
  </si>
  <si>
    <t>V17566-SKXD-7037</t>
  </si>
  <si>
    <t>FR-4</t>
  </si>
  <si>
    <t>V17566-SKXD-7038</t>
  </si>
  <si>
    <t>FR-5</t>
  </si>
  <si>
    <t>V17566-SKXD-7039</t>
  </si>
  <si>
    <t>FR-6</t>
  </si>
  <si>
    <t>V17566-SKXD-7040</t>
  </si>
  <si>
    <t>LS-1</t>
  </si>
  <si>
    <t>LOOSE PART</t>
  </si>
  <si>
    <t>V17566-SKXD-7041</t>
  </si>
  <si>
    <t>LS-2</t>
  </si>
  <si>
    <t>V17566-SKXD-7042</t>
  </si>
  <si>
    <t>LS-3</t>
  </si>
  <si>
    <t>V17566-SKXD-7043</t>
  </si>
  <si>
    <t>LS-4</t>
  </si>
  <si>
    <t>V17566-SKXD-7044</t>
  </si>
  <si>
    <t>LS-5</t>
  </si>
  <si>
    <t>V17566-SKXD-7045</t>
  </si>
  <si>
    <t>LS-6</t>
  </si>
  <si>
    <t>V17566-SKXD-7046</t>
  </si>
  <si>
    <t>LS-7</t>
  </si>
  <si>
    <t>V17566-SKXD-7047</t>
  </si>
  <si>
    <t>LS-8</t>
  </si>
  <si>
    <t>V17566-SKXD-7048</t>
  </si>
  <si>
    <t>LS-9</t>
  </si>
  <si>
    <t>V17566-SKXD-7049</t>
  </si>
  <si>
    <t>LS-10</t>
  </si>
  <si>
    <t>V17566-SKXD-7050</t>
  </si>
  <si>
    <t>LS-11</t>
  </si>
  <si>
    <t>V17566-SKXD-7051</t>
  </si>
  <si>
    <t>LS-12</t>
  </si>
  <si>
    <t>V17566-SKXD-7052</t>
  </si>
  <si>
    <t>LS-13</t>
  </si>
  <si>
    <t>V17566-SKXD-7053</t>
  </si>
  <si>
    <t>LS-14</t>
  </si>
  <si>
    <t>V17566-SKXD-7054</t>
  </si>
  <si>
    <t>LS-15</t>
  </si>
  <si>
    <t>V17566-SKXD-7055</t>
  </si>
  <si>
    <t>LS-16</t>
  </si>
  <si>
    <t>V17566-SKXD-7056</t>
  </si>
  <si>
    <t>LS-17</t>
  </si>
  <si>
    <t>V17566-SKXD-7057</t>
  </si>
  <si>
    <t>LS-18</t>
  </si>
  <si>
    <t>V17566-SKXD-7058</t>
  </si>
  <si>
    <t>LS-19</t>
  </si>
  <si>
    <t>V17566-SKXD-7059</t>
  </si>
  <si>
    <t>LS-20</t>
  </si>
  <si>
    <t>V17566-SKXD-7060</t>
  </si>
  <si>
    <t>LS-21</t>
  </si>
  <si>
    <t>V17566-SKXD-7061</t>
  </si>
  <si>
    <t>LS-22</t>
  </si>
  <si>
    <t>V17566-SKXD-7062</t>
  </si>
  <si>
    <t>LS-23</t>
  </si>
  <si>
    <t>V17566-SKXD-7063</t>
  </si>
  <si>
    <t>LS-24</t>
  </si>
  <si>
    <t>V17566-SKXD-7064</t>
  </si>
  <si>
    <t>LS-25</t>
  </si>
  <si>
    <t>V17566-SKXD-7065</t>
  </si>
  <si>
    <t>LS-26</t>
  </si>
  <si>
    <t>V17566-SKXD-7066</t>
  </si>
  <si>
    <t>LS-27</t>
  </si>
  <si>
    <t>V17566-SKXD-7067</t>
  </si>
  <si>
    <t>LS-28</t>
  </si>
  <si>
    <t>V17566-SKXD-7068</t>
  </si>
  <si>
    <t>LS-29</t>
  </si>
  <si>
    <t>V17566-SKXD-7069</t>
  </si>
  <si>
    <t>LS-30</t>
  </si>
  <si>
    <t>V17566-SKXD-7070</t>
  </si>
  <si>
    <t>LS-31</t>
  </si>
  <si>
    <t>V17566-SKXD-7071</t>
  </si>
  <si>
    <t>LS-32</t>
  </si>
  <si>
    <t>V17566-SKXD-7072</t>
  </si>
  <si>
    <t>LS-33</t>
  </si>
  <si>
    <t>V17566-SKXD-7073</t>
  </si>
  <si>
    <t>LS-34</t>
  </si>
  <si>
    <t>V17566-SKXD-7074</t>
  </si>
  <si>
    <t>LS-35</t>
  </si>
  <si>
    <t>V17566-SKXD-7075</t>
  </si>
  <si>
    <t>LS-36</t>
  </si>
  <si>
    <t>V17566-SKXD-7076</t>
  </si>
  <si>
    <t>LS-37</t>
  </si>
  <si>
    <t>V17566-SKXD-7077</t>
  </si>
  <si>
    <t>LS-38</t>
  </si>
  <si>
    <t>V17566-SKXD-7078</t>
  </si>
  <si>
    <t>LS-39</t>
  </si>
  <si>
    <t>V17566-SKXD-7079</t>
  </si>
  <si>
    <t>LS-40</t>
  </si>
  <si>
    <t>V17566-SKXD-7080</t>
  </si>
  <si>
    <t>LS-41</t>
  </si>
  <si>
    <t>V17566-SKXD-7081</t>
  </si>
  <si>
    <t>LS-42</t>
  </si>
  <si>
    <t>V17566-SKXD-7082</t>
  </si>
  <si>
    <t>LS-43</t>
  </si>
  <si>
    <t>V17566-SKXD-7083</t>
  </si>
  <si>
    <t>LS-44</t>
  </si>
  <si>
    <t>V17566-SKXD-7084</t>
  </si>
  <si>
    <t>LS-45</t>
  </si>
  <si>
    <t>V17566-SKXD-7085</t>
  </si>
  <si>
    <t>LS-46</t>
  </si>
  <si>
    <t>V17566-SKXD-7184</t>
  </si>
  <si>
    <t>LS-47</t>
  </si>
  <si>
    <t>V17566-SKXD-7185</t>
  </si>
  <si>
    <t>LS-48</t>
  </si>
  <si>
    <t>V17566-SKXD-7086</t>
  </si>
  <si>
    <t>PT-1</t>
  </si>
  <si>
    <t>PIPE BRACE</t>
  </si>
  <si>
    <t>V17566-SKXD-7087</t>
  </si>
  <si>
    <t>PT-2</t>
  </si>
  <si>
    <t>V17566-SKXD-7088</t>
  </si>
  <si>
    <t>PT-3</t>
  </si>
  <si>
    <t>V17566-SKXD-7089</t>
  </si>
  <si>
    <t>SK1-1</t>
  </si>
  <si>
    <t>SHELL PLATE</t>
  </si>
  <si>
    <t>V17566-SKXD-7093</t>
  </si>
  <si>
    <t>SK1-2</t>
  </si>
  <si>
    <t>V17566-SKXD-7098</t>
  </si>
  <si>
    <t>SK2-1</t>
  </si>
  <si>
    <t>V17566-SKXD-7102</t>
  </si>
  <si>
    <t>SK2-2</t>
  </si>
  <si>
    <t>V17566-SKXD-7106</t>
  </si>
  <si>
    <t>SK2-3</t>
  </si>
  <si>
    <t>V17566-SKXD-7110</t>
  </si>
  <si>
    <t>SK2-4</t>
  </si>
  <si>
    <t>V17566-SKXD-7114</t>
  </si>
  <si>
    <t>SK2-5</t>
  </si>
  <si>
    <t>V17566-SKXD-7118</t>
  </si>
  <si>
    <t>SK3-1</t>
  </si>
  <si>
    <t>V17566-SKXD-7121</t>
  </si>
  <si>
    <t>SK3-2</t>
  </si>
  <si>
    <t>V17566-SKXD-7125</t>
  </si>
  <si>
    <t>SK3-3</t>
  </si>
  <si>
    <t>V17566-SKXD-7128</t>
  </si>
  <si>
    <t>SK3-4</t>
  </si>
  <si>
    <t>V17566-SKXD-7132</t>
  </si>
  <si>
    <t>SK4-1</t>
  </si>
  <si>
    <t>V17566-SKXD-7136</t>
  </si>
  <si>
    <t>SK4-2</t>
  </si>
  <si>
    <t>V17566-SKXD-7139</t>
  </si>
  <si>
    <t>SK4-3</t>
  </si>
  <si>
    <t>V17566-SKXD-7142</t>
  </si>
  <si>
    <t>SK4-4</t>
  </si>
  <si>
    <t>V17566-SKXD-7145</t>
  </si>
  <si>
    <t>SK4-5</t>
  </si>
  <si>
    <t>V17566-SKXD-7149</t>
  </si>
  <si>
    <t>SK5-1</t>
  </si>
  <si>
    <t>V17566-SKXD-7151</t>
  </si>
  <si>
    <t>SK5-2</t>
  </si>
  <si>
    <t>V17566-SKXD-7153</t>
  </si>
  <si>
    <t>SK5-3</t>
  </si>
  <si>
    <t>V17566-SKXD-7155</t>
  </si>
  <si>
    <t>SK5-4</t>
  </si>
  <si>
    <t>V17566-SKXD-7160</t>
  </si>
  <si>
    <t>SK6-1</t>
  </si>
  <si>
    <t>V17566-SKXD-7164</t>
  </si>
  <si>
    <t>SK6-2</t>
  </si>
  <si>
    <t>V17566-SKXD-7168</t>
  </si>
  <si>
    <t>SK6-3</t>
  </si>
  <si>
    <t>V17566-SKXD-7171</t>
  </si>
  <si>
    <t>SK6-4</t>
  </si>
  <si>
    <t>V17566-SKXD-7174</t>
  </si>
  <si>
    <t>SK6-5</t>
  </si>
  <si>
    <t>V17566-SKXD-7186</t>
  </si>
  <si>
    <t>SK7-1</t>
  </si>
  <si>
    <t>V17566-SKXD-7188</t>
  </si>
  <si>
    <t>SK7-2</t>
  </si>
  <si>
    <t>V17566-SKXD-7190</t>
  </si>
  <si>
    <t>SK7-3</t>
  </si>
  <si>
    <t>V17566-SKXD-7192</t>
  </si>
  <si>
    <t>SK7-4</t>
  </si>
  <si>
    <t>(2235x156x4861)</t>
  </si>
  <si>
    <t>(2134x156x4861)</t>
  </si>
  <si>
    <t>(3633x191x191)</t>
  </si>
  <si>
    <t>(3724x158x89)</t>
  </si>
  <si>
    <t>(7008x580x6984)</t>
  </si>
  <si>
    <t>(1153x196x2438)</t>
  </si>
  <si>
    <t>(1172x200x2438)</t>
  </si>
  <si>
    <t>(1153x203x2438)</t>
  </si>
  <si>
    <t>(1153x196x915)</t>
  </si>
  <si>
    <t>(1153x196x863)</t>
  </si>
  <si>
    <t>(887x111x723)</t>
  </si>
  <si>
    <t>(887x111x1007)</t>
  </si>
  <si>
    <t>(887x111x1321)</t>
  </si>
  <si>
    <t>(869x107x1525)</t>
  </si>
  <si>
    <t>(869x107x743)</t>
  </si>
  <si>
    <t>(869x107x1489)</t>
  </si>
  <si>
    <t>(869x107x116)</t>
  </si>
  <si>
    <t>(869x107x2438)</t>
  </si>
  <si>
    <t>(887x111x1284)</t>
  </si>
  <si>
    <t>(887x111x130)</t>
  </si>
  <si>
    <t>(887x111x1285)</t>
  </si>
  <si>
    <t>(869x111x1525)</t>
  </si>
  <si>
    <t>(869x111x743)</t>
  </si>
  <si>
    <t>(869x111x753)</t>
  </si>
  <si>
    <t>(869x111x2438)</t>
  </si>
  <si>
    <t>(869x111x581)</t>
  </si>
  <si>
    <t>(1153x196x1654)</t>
  </si>
  <si>
    <t>(25304x366x1373)</t>
  </si>
  <si>
    <t>(13722x366x1366)</t>
  </si>
  <si>
    <t>(1002x106x4886)</t>
  </si>
  <si>
    <t>(995x106x4886)</t>
  </si>
  <si>
    <t>(519x170x150)</t>
  </si>
  <si>
    <t>(521x150x170)</t>
  </si>
  <si>
    <t>(521x170x150)</t>
  </si>
  <si>
    <t>(524x220x200)</t>
  </si>
  <si>
    <t>(511x100x200)</t>
  </si>
  <si>
    <t>(518x150x130)</t>
  </si>
  <si>
    <t>(518x217x208)</t>
  </si>
  <si>
    <t>(511x177x200)</t>
  </si>
  <si>
    <t>(518x227x208)</t>
  </si>
  <si>
    <t>(511x186x200)</t>
  </si>
  <si>
    <t>(511x183x200)</t>
  </si>
  <si>
    <t>(521x360x241)</t>
  </si>
  <si>
    <t>(4674x152x89)</t>
  </si>
  <si>
    <t>(6871x168x268)</t>
  </si>
  <si>
    <t>(6875x168x268)</t>
  </si>
  <si>
    <t>(4921x7393x3436)</t>
  </si>
  <si>
    <t>(3534x2485x6582)</t>
  </si>
  <si>
    <t>(3534x2435x6582)</t>
  </si>
  <si>
    <t>(3488x2485x6582)</t>
  </si>
  <si>
    <t>(3143x1815x12189)</t>
  </si>
  <si>
    <t>(3488x2435x12189)</t>
  </si>
  <si>
    <t>(3486x2429x12189)</t>
  </si>
  <si>
    <t>(3488x2434x10233)</t>
  </si>
  <si>
    <t>(3491x2553x9928)</t>
  </si>
  <si>
    <t>(3488x2434x2290)</t>
  </si>
  <si>
    <t>(3488x2434x9928)</t>
  </si>
  <si>
    <t>(3488x2498x10233)</t>
  </si>
  <si>
    <t>(3488x2433x10538)</t>
  </si>
  <si>
    <t>(3488x2441x10487)</t>
  </si>
  <si>
    <t>(3488x2772x10182)</t>
  </si>
  <si>
    <t>(3754x4742x10182)</t>
  </si>
  <si>
    <t>(3488x2473x10182)</t>
  </si>
  <si>
    <t>(3822x2433x10487)</t>
  </si>
  <si>
    <t>(3531x2386x1651)</t>
  </si>
  <si>
    <t>(3445x2386x1651)</t>
  </si>
  <si>
    <t>(3445x2385x1651)</t>
  </si>
  <si>
    <t>Outlet Stack</t>
  </si>
  <si>
    <t>HSG07</t>
  </si>
  <si>
    <t>HSG05</t>
  </si>
  <si>
    <t>S4</t>
  </si>
  <si>
    <t>V17566-SKXD-AS-OS-BR-1</t>
  </si>
  <si>
    <t>OS-BR-1</t>
  </si>
  <si>
    <t>CV</t>
  </si>
  <si>
    <t>V17566-SKXD-AS-OS-BR-2</t>
  </si>
  <si>
    <t>OS-BR-2</t>
  </si>
  <si>
    <t>V17566-SKXD-AS-OS-BR-3</t>
  </si>
  <si>
    <t>OS-BR-3</t>
  </si>
  <si>
    <t>V17566-SKXD-AS-OS-BR-4</t>
  </si>
  <si>
    <t>OS-BR-4</t>
  </si>
  <si>
    <t>V17566-SKXD-AS-OS-BR-5</t>
  </si>
  <si>
    <t>OS-BR-5</t>
  </si>
  <si>
    <t>V17566-SKXD-AS-OS-BR-6</t>
  </si>
  <si>
    <t>OS-BR-6</t>
  </si>
  <si>
    <t>V17566-SKXD-AS-OS-BR-7</t>
  </si>
  <si>
    <t>OS-BR-7</t>
  </si>
  <si>
    <t>V17566-SKXD-AS-OS-BR-8</t>
  </si>
  <si>
    <t>OS-BR-8</t>
  </si>
  <si>
    <t>V17566-SKXD-AS-OS-BR-9</t>
  </si>
  <si>
    <t>OS-BR-9</t>
  </si>
  <si>
    <t>V17566-SKXD-AS-OS-BR-10</t>
  </si>
  <si>
    <t>OS-BR-10</t>
  </si>
  <si>
    <t>V17566-SKXD-AS-OS-BR-11</t>
  </si>
  <si>
    <t>OS-BR-11</t>
  </si>
  <si>
    <t>V17566-SKXD-AS-OS-BR-12</t>
  </si>
  <si>
    <t>OS-BR-12</t>
  </si>
  <si>
    <t>V17566-SKXD-AS-OS-BR-13</t>
  </si>
  <si>
    <t>OS-BR-13</t>
  </si>
  <si>
    <t>V17566-SKXD-AS-OS-BR-14</t>
  </si>
  <si>
    <t>OS-BR-14</t>
  </si>
  <si>
    <t>V17566-SKXD-AS-OS-BR-15</t>
  </si>
  <si>
    <t>OS-BR-15</t>
  </si>
  <si>
    <t>V17566-SKXD-AS-OS-BR-16</t>
  </si>
  <si>
    <t>OS-BR-16</t>
  </si>
  <si>
    <t>V17566-SKXD-AS-OS-BR-18</t>
  </si>
  <si>
    <t>OS-BR-18</t>
  </si>
  <si>
    <t>V17566-SKXD-AS-OS-BR-19</t>
  </si>
  <si>
    <t>OS-BR-19</t>
  </si>
  <si>
    <t>V17566-SKXD-AS-OS-BR-20</t>
  </si>
  <si>
    <t>OS-BR-20</t>
  </si>
  <si>
    <t>V17566-SKXD-AS-OS-BR-21</t>
  </si>
  <si>
    <t>OS-BR-21</t>
  </si>
  <si>
    <t>V17566-SKXD-AS-OS-BR-23</t>
  </si>
  <si>
    <t>OS-BR-23</t>
  </si>
  <si>
    <t>V17566-SKXD-AS-OS-BR-24</t>
  </si>
  <si>
    <t>OS-BR-24</t>
  </si>
  <si>
    <t>V17566-SKXD-AS-OS-BR-25</t>
  </si>
  <si>
    <t>OS-BR-25</t>
  </si>
  <si>
    <t>V17566-SKXD-AS-OS-BR-26</t>
  </si>
  <si>
    <t>OS-BR-26</t>
  </si>
  <si>
    <t>V17566-SKXD-AS-OS-BR-27</t>
  </si>
  <si>
    <t>OS-BR-27</t>
  </si>
  <si>
    <t>V17566-SKXD-AS-OS-BR-28</t>
  </si>
  <si>
    <t>OS-BR-28</t>
  </si>
  <si>
    <t>V17566-SKXD-AS-OS-LT-3</t>
  </si>
  <si>
    <t>OS-LT-3</t>
  </si>
  <si>
    <t>LIFTTING LUG</t>
  </si>
  <si>
    <t>V17566-SKXD-AS-OS-LT-4</t>
  </si>
  <si>
    <t>OS-LT-4</t>
  </si>
  <si>
    <t>V17566-SKXD-AS-OS-LT-5</t>
  </si>
  <si>
    <t>OS-LT-5</t>
  </si>
  <si>
    <t>(2146x10x100)</t>
  </si>
  <si>
    <t>(3378x8x1981)</t>
  </si>
  <si>
    <t>(1400x10x100)</t>
  </si>
  <si>
    <t>(9800x10x100)</t>
  </si>
  <si>
    <t>(3371x8x2185)</t>
  </si>
  <si>
    <t>(1263x8x313)</t>
  </si>
  <si>
    <t>(8554x60x100)</t>
  </si>
  <si>
    <t>(6400x10x100)</t>
  </si>
  <si>
    <t>(5120x60x100)</t>
  </si>
  <si>
    <t>(2756x8x1239)</t>
  </si>
  <si>
    <t>(1810x10x100)</t>
  </si>
  <si>
    <t>(2242x8x830)</t>
  </si>
  <si>
    <t>(1788x8x516)</t>
  </si>
  <si>
    <t>(8000x10x100)</t>
  </si>
  <si>
    <t>(8375x60x100)</t>
  </si>
  <si>
    <t>(3069x8x1526)</t>
  </si>
  <si>
    <t>(12000x10x100)</t>
  </si>
  <si>
    <t>(2901x8x1535)</t>
  </si>
  <si>
    <t>(6850x10x100)</t>
  </si>
  <si>
    <t>(6364x60x100)</t>
  </si>
  <si>
    <t>(7005x150x2529)</t>
  </si>
  <si>
    <t>(7005x150x3404)</t>
  </si>
  <si>
    <t>(7017x150x3404)</t>
  </si>
  <si>
    <t>(5468x737x220)</t>
  </si>
  <si>
    <t>(8564x60x100)</t>
  </si>
  <si>
    <t>(250x25x150)</t>
  </si>
  <si>
    <t>(220x101x200)</t>
  </si>
  <si>
    <t>Bracing</t>
  </si>
  <si>
    <t>U284-002</t>
  </si>
  <si>
    <t>S2</t>
  </si>
  <si>
    <t>U284-001</t>
  </si>
  <si>
    <t>U284-007</t>
  </si>
  <si>
    <t>U284-007-1</t>
  </si>
  <si>
    <t>U284-003</t>
  </si>
  <si>
    <t>U284-011</t>
  </si>
  <si>
    <t>U284-012</t>
  </si>
  <si>
    <t>Đã giao IRB</t>
  </si>
  <si>
    <t>U284-SCR-002</t>
  </si>
  <si>
    <t>U284-005</t>
  </si>
  <si>
    <t>U284-004</t>
  </si>
  <si>
    <t>CO-FL-4(1/20)</t>
  </si>
  <si>
    <t>CO-FL-4(2/20)</t>
  </si>
  <si>
    <t>CO-FL-4(3/20)</t>
  </si>
  <si>
    <t>CO-FL-4(4/20)</t>
  </si>
  <si>
    <t>CO-FL-4(5/20)</t>
  </si>
  <si>
    <t>CO-FL-4(6/20)</t>
  </si>
  <si>
    <t>CO-FL-4(7/20)</t>
  </si>
  <si>
    <t>CO-FL-4(8/20)</t>
  </si>
  <si>
    <t>CO-FL-4(9/20)</t>
  </si>
  <si>
    <t>CO-FL-4(10/20)</t>
  </si>
  <si>
    <t>CO-FL-4(11/20)</t>
  </si>
  <si>
    <t>CO-FL-4(12/20)</t>
  </si>
  <si>
    <t>CO-FL-4(13/20)</t>
  </si>
  <si>
    <t>CO-FL-4(14/20)</t>
  </si>
  <si>
    <t>CO-FL-4(15/20)</t>
  </si>
  <si>
    <t>CO-FL-4(16/20)</t>
  </si>
  <si>
    <t>CO-FL-4(17/20)</t>
  </si>
  <si>
    <t>CO-FL-4(18/20)</t>
  </si>
  <si>
    <t>CO-FL-4(19/20)</t>
  </si>
  <si>
    <t>CO-FL-4(20/20)</t>
  </si>
  <si>
    <t>CO-FL-9(1/68)</t>
  </si>
  <si>
    <t>CO-FL-9(2/68)</t>
  </si>
  <si>
    <t>CO-FL-9(3/68)</t>
  </si>
  <si>
    <t>CO-FL-9(4/68)</t>
  </si>
  <si>
    <t>CO-FL-9(5/68)</t>
  </si>
  <si>
    <t>CO-FL-9(6/68)</t>
  </si>
  <si>
    <t>CO-FL-9(7/68)</t>
  </si>
  <si>
    <t>CO-FL-9(8/68)</t>
  </si>
  <si>
    <t>CO-FL-9(9/68)</t>
  </si>
  <si>
    <t>CO-FL-9(10/68)</t>
  </si>
  <si>
    <t>CO-FL-9(11/68)</t>
  </si>
  <si>
    <t>CO-FL-9(12/68)</t>
  </si>
  <si>
    <t>CO-FL-9(13/68)</t>
  </si>
  <si>
    <t>CO-FL-9(14/68)</t>
  </si>
  <si>
    <t>CO-FL-9(15/68)</t>
  </si>
  <si>
    <t>CO-FL-9(16/68)</t>
  </si>
  <si>
    <t>CO-FL-9(17/68)</t>
  </si>
  <si>
    <t>CO-FL-9(18/68)</t>
  </si>
  <si>
    <t>CO-FL-9(19/68)</t>
  </si>
  <si>
    <t>CO-FL-9(20/68)</t>
  </si>
  <si>
    <t>CO-FL-9(21/68)</t>
  </si>
  <si>
    <t>CO-FL-9(22/68)</t>
  </si>
  <si>
    <t>CO-FL-9(23/68)</t>
  </si>
  <si>
    <t>CO-FL-9(24/68)</t>
  </si>
  <si>
    <t>CO-FL-9(25/68)</t>
  </si>
  <si>
    <t>CO-FL-9(26/68)</t>
  </si>
  <si>
    <t>CO-FL-9(27/68)</t>
  </si>
  <si>
    <t>CO-FL-9(28/68)</t>
  </si>
  <si>
    <t>CO-FL-9(29/68)</t>
  </si>
  <si>
    <t>CO-FL-9(30/68)</t>
  </si>
  <si>
    <t>CO-FL-9(31/68)</t>
  </si>
  <si>
    <t>CO-FL-9(32/68)</t>
  </si>
  <si>
    <t>CO-FL-9(33/68)</t>
  </si>
  <si>
    <t>CO-FL-9(34/68)</t>
  </si>
  <si>
    <t>CO-FL-9(35/68)</t>
  </si>
  <si>
    <t>CO-FL-9(36/68)</t>
  </si>
  <si>
    <t>CO-FL-9(37/68)</t>
  </si>
  <si>
    <t>CO-FL-9(38/68)</t>
  </si>
  <si>
    <t>CO-FL-9(39/68)</t>
  </si>
  <si>
    <t>CO-FL-9(40/68)</t>
  </si>
  <si>
    <t>CO-FL-9(41/68)</t>
  </si>
  <si>
    <t>CO-FL-9(42/68)</t>
  </si>
  <si>
    <t>CO-FL-9(43/68)</t>
  </si>
  <si>
    <t>CO-FL-9(44/68)</t>
  </si>
  <si>
    <t>CO-FL-9(45/68)</t>
  </si>
  <si>
    <t>CO-FL-9(46/68)</t>
  </si>
  <si>
    <t>CO-FL-9(47/68)</t>
  </si>
  <si>
    <t>CO-FL-9(48/68)</t>
  </si>
  <si>
    <t>CO-FL-9(49/68)</t>
  </si>
  <si>
    <t>CO-FL-9(50/68)</t>
  </si>
  <si>
    <t>CO-FL-9(51/68)</t>
  </si>
  <si>
    <t>CO-FL-9(52/68)</t>
  </si>
  <si>
    <t>CO-FL-9(53/68)</t>
  </si>
  <si>
    <t>CO-FL-9(54/68)</t>
  </si>
  <si>
    <t>CO-FL-9(55/68)</t>
  </si>
  <si>
    <t>CO-FL-9(56/68)</t>
  </si>
  <si>
    <t>CO-FL-9(57/68)</t>
  </si>
  <si>
    <t>CO-FL-9(58/68)</t>
  </si>
  <si>
    <t>CO-FL-9(59/68)</t>
  </si>
  <si>
    <t>CO-FL-9(60/68)</t>
  </si>
  <si>
    <t>CO-FL-9(61/68)</t>
  </si>
  <si>
    <t>CO-FL-9(62/68)</t>
  </si>
  <si>
    <t>CO-FL-9(63/68)</t>
  </si>
  <si>
    <t>CO-FL-9(64/68)</t>
  </si>
  <si>
    <t>CO-FL-9(65/68)</t>
  </si>
  <si>
    <t>CO-FL-9(66/68)</t>
  </si>
  <si>
    <t>CO-FL-9(67/68)</t>
  </si>
  <si>
    <t>CO-FL-9(68/68)</t>
  </si>
  <si>
    <t>U284-SCR-003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</si>
</sst>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8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284-SCR-AMC2-VD-003.xlsx" TargetMode="External"/><Relationship Id="rId1" Type="http://schemas.openxmlformats.org/officeDocument/2006/relationships/externalLinkPath" Target="file:///C:\Users\DELL\AppData\Local\Temp\Zalo%20Temp\TempDownloads\RQ-U284-SCR-AMC2-VD-0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VD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E9" t="str">
            <v>CO-FL-1</v>
          </cell>
          <cell r="G9">
            <v>2</v>
          </cell>
        </row>
        <row r="10">
          <cell r="E10" t="str">
            <v>CO-FL-2</v>
          </cell>
          <cell r="G10">
            <v>2</v>
          </cell>
        </row>
        <row r="11">
          <cell r="E11" t="str">
            <v>CO-FL-3</v>
          </cell>
          <cell r="G11">
            <v>4</v>
          </cell>
        </row>
        <row r="12">
          <cell r="E12" t="str">
            <v>CO-FL-4</v>
          </cell>
          <cell r="G12">
            <v>19</v>
          </cell>
        </row>
        <row r="13">
          <cell r="E13" t="str">
            <v>CO-FL-5</v>
          </cell>
          <cell r="G13">
            <v>1</v>
          </cell>
        </row>
        <row r="14">
          <cell r="E14" t="str">
            <v>CO-FL-6</v>
          </cell>
          <cell r="G14">
            <v>1</v>
          </cell>
        </row>
        <row r="15">
          <cell r="E15" t="str">
            <v>CO-FL-7</v>
          </cell>
          <cell r="G15">
            <v>1</v>
          </cell>
        </row>
        <row r="16">
          <cell r="E16" t="str">
            <v>CO-FL-8</v>
          </cell>
          <cell r="G16">
            <v>2</v>
          </cell>
        </row>
        <row r="17">
          <cell r="E17" t="str">
            <v>CO-FL-9</v>
          </cell>
          <cell r="G17">
            <v>61</v>
          </cell>
        </row>
        <row r="18">
          <cell r="E18" t="str">
            <v>CO-FL-10</v>
          </cell>
          <cell r="G18">
            <v>4</v>
          </cell>
        </row>
        <row r="19">
          <cell r="E19" t="str">
            <v>CO-FL-11</v>
          </cell>
          <cell r="G19">
            <v>1</v>
          </cell>
        </row>
        <row r="20">
          <cell r="E20" t="str">
            <v>CO-FL-12</v>
          </cell>
          <cell r="G20">
            <v>1</v>
          </cell>
        </row>
        <row r="21">
          <cell r="E21" t="str">
            <v>CO-FL-13</v>
          </cell>
          <cell r="G21">
            <v>1</v>
          </cell>
        </row>
        <row r="22">
          <cell r="E22" t="str">
            <v>CO-FL-14</v>
          </cell>
          <cell r="G22">
            <v>1</v>
          </cell>
        </row>
        <row r="23">
          <cell r="E23" t="str">
            <v>CO-FL-15</v>
          </cell>
          <cell r="G23">
            <v>1</v>
          </cell>
        </row>
        <row r="24">
          <cell r="E24" t="str">
            <v>CO-FL-16</v>
          </cell>
          <cell r="G24">
            <v>1</v>
          </cell>
        </row>
        <row r="25">
          <cell r="E25" t="str">
            <v>CO-FL-17</v>
          </cell>
          <cell r="G25">
            <v>1</v>
          </cell>
        </row>
        <row r="26">
          <cell r="E26" t="str">
            <v>CO-FL-18</v>
          </cell>
          <cell r="G26">
            <v>2</v>
          </cell>
        </row>
        <row r="27">
          <cell r="E27" t="str">
            <v>CO-FL-19</v>
          </cell>
          <cell r="G27">
            <v>2</v>
          </cell>
        </row>
        <row r="28">
          <cell r="E28" t="str">
            <v>CO-FL-20</v>
          </cell>
          <cell r="G28">
            <v>2</v>
          </cell>
        </row>
        <row r="29">
          <cell r="E29" t="str">
            <v>CO-FL-21</v>
          </cell>
          <cell r="G29">
            <v>2</v>
          </cell>
        </row>
        <row r="30">
          <cell r="E30" t="str">
            <v>CO-FL-22</v>
          </cell>
          <cell r="G30">
            <v>4</v>
          </cell>
        </row>
        <row r="31">
          <cell r="E31" t="str">
            <v>CO-FL-23</v>
          </cell>
          <cell r="G31">
            <v>2</v>
          </cell>
        </row>
        <row r="32">
          <cell r="E32" t="str">
            <v>CO-FL-24</v>
          </cell>
          <cell r="G32">
            <v>2</v>
          </cell>
        </row>
        <row r="33">
          <cell r="E33" t="str">
            <v>CO-FL-25</v>
          </cell>
          <cell r="G33">
            <v>1</v>
          </cell>
        </row>
        <row r="34">
          <cell r="E34" t="str">
            <v>CO-FL-26</v>
          </cell>
          <cell r="G34">
            <v>2</v>
          </cell>
        </row>
        <row r="35">
          <cell r="E35" t="str">
            <v>CO-FL-27</v>
          </cell>
          <cell r="G35">
            <v>1</v>
          </cell>
        </row>
        <row r="36">
          <cell r="E36" t="str">
            <v>CO-FL-28</v>
          </cell>
          <cell r="G36">
            <v>1</v>
          </cell>
        </row>
        <row r="37">
          <cell r="E37" t="str">
            <v>CO-FL-29</v>
          </cell>
          <cell r="G37">
            <v>1</v>
          </cell>
        </row>
        <row r="38">
          <cell r="E38" t="str">
            <v>CO-FL-32</v>
          </cell>
          <cell r="G38">
            <v>1</v>
          </cell>
        </row>
        <row r="39">
          <cell r="E39" t="str">
            <v>CO-FL-33</v>
          </cell>
          <cell r="G39">
            <v>1</v>
          </cell>
        </row>
        <row r="40">
          <cell r="E40" t="str">
            <v>CO-FL-34</v>
          </cell>
          <cell r="G40">
            <v>1</v>
          </cell>
        </row>
        <row r="41">
          <cell r="E41" t="str">
            <v>CO-FL-35</v>
          </cell>
          <cell r="G41">
            <v>1</v>
          </cell>
        </row>
        <row r="42">
          <cell r="E42" t="str">
            <v>CO-FL-36</v>
          </cell>
          <cell r="G42">
            <v>1</v>
          </cell>
        </row>
        <row r="43">
          <cell r="E43" t="str">
            <v>CO-FL-37</v>
          </cell>
          <cell r="G43">
            <v>1</v>
          </cell>
        </row>
        <row r="44">
          <cell r="E44" t="str">
            <v>CO-FL-38</v>
          </cell>
          <cell r="G44">
            <v>1</v>
          </cell>
        </row>
        <row r="45">
          <cell r="E45" t="str">
            <v>CO-FL-39</v>
          </cell>
          <cell r="G45">
            <v>1</v>
          </cell>
        </row>
        <row r="46">
          <cell r="E46" t="str">
            <v>CO-FL-40</v>
          </cell>
          <cell r="G46">
            <v>1</v>
          </cell>
        </row>
        <row r="47">
          <cell r="E47" t="str">
            <v>CO-FL-41</v>
          </cell>
          <cell r="G47">
            <v>1</v>
          </cell>
        </row>
        <row r="48">
          <cell r="E48" t="str">
            <v>CO-FL-42</v>
          </cell>
          <cell r="G48">
            <v>1</v>
          </cell>
        </row>
        <row r="49">
          <cell r="E49" t="str">
            <v>CO-FL-43</v>
          </cell>
          <cell r="G49">
            <v>1</v>
          </cell>
        </row>
        <row r="50">
          <cell r="E50" t="str">
            <v>CO-FL-44</v>
          </cell>
          <cell r="G50">
            <v>1</v>
          </cell>
        </row>
        <row r="51">
          <cell r="E51" t="str">
            <v>CO-FL-45</v>
          </cell>
          <cell r="G51">
            <v>1</v>
          </cell>
        </row>
        <row r="52">
          <cell r="E52" t="str">
            <v>CO-FL-50</v>
          </cell>
          <cell r="G52">
            <v>1</v>
          </cell>
        </row>
        <row r="53">
          <cell r="E53" t="str">
            <v>CO-FL-51</v>
          </cell>
          <cell r="G53">
            <v>1</v>
          </cell>
        </row>
        <row r="54">
          <cell r="E54" t="str">
            <v>CO-FL-53</v>
          </cell>
          <cell r="G54">
            <v>1</v>
          </cell>
        </row>
        <row r="55">
          <cell r="E55" t="str">
            <v>CO-FL-55</v>
          </cell>
          <cell r="G55">
            <v>2</v>
          </cell>
        </row>
        <row r="56">
          <cell r="E56" t="str">
            <v>CO-FL-56</v>
          </cell>
          <cell r="G56">
            <v>1</v>
          </cell>
        </row>
        <row r="57">
          <cell r="E57" t="str">
            <v>CO-PL-2</v>
          </cell>
          <cell r="G57">
            <v>4</v>
          </cell>
        </row>
        <row r="58">
          <cell r="E58" t="str">
            <v>CO-PL-6</v>
          </cell>
          <cell r="G58">
            <v>2</v>
          </cell>
        </row>
        <row r="59">
          <cell r="E59" t="str">
            <v>CO-PL-7</v>
          </cell>
          <cell r="G59">
            <v>2</v>
          </cell>
        </row>
        <row r="60">
          <cell r="E60" t="str">
            <v>CO-PL-8</v>
          </cell>
          <cell r="G60">
            <v>2</v>
          </cell>
        </row>
        <row r="61">
          <cell r="E61" t="str">
            <v>CO-PL-10</v>
          </cell>
          <cell r="G61">
            <v>5</v>
          </cell>
        </row>
        <row r="62">
          <cell r="E62" t="str">
            <v>CO-PL-11</v>
          </cell>
          <cell r="G62">
            <v>1</v>
          </cell>
        </row>
        <row r="63">
          <cell r="E63" t="str">
            <v>CO-PL-12</v>
          </cell>
          <cell r="G63">
            <v>4</v>
          </cell>
        </row>
        <row r="64">
          <cell r="E64" t="str">
            <v>CO-PL-13</v>
          </cell>
          <cell r="G64">
            <v>8</v>
          </cell>
        </row>
        <row r="65">
          <cell r="E65" t="str">
            <v>CO-PL-14</v>
          </cell>
          <cell r="G65">
            <v>8</v>
          </cell>
        </row>
        <row r="66">
          <cell r="E66" t="str">
            <v>CO-PL-15</v>
          </cell>
          <cell r="G66">
            <v>4</v>
          </cell>
        </row>
        <row r="67">
          <cell r="E67" t="str">
            <v>CO-PL-16</v>
          </cell>
          <cell r="G67">
            <v>4</v>
          </cell>
        </row>
        <row r="68">
          <cell r="E68" t="str">
            <v>CO-PL-17</v>
          </cell>
          <cell r="G68">
            <v>8</v>
          </cell>
        </row>
        <row r="69">
          <cell r="E69" t="str">
            <v>CO-BF-3</v>
          </cell>
          <cell r="G69">
            <v>1</v>
          </cell>
        </row>
        <row r="70">
          <cell r="E70" t="str">
            <v>CO-BF-4</v>
          </cell>
          <cell r="G70">
            <v>1</v>
          </cell>
        </row>
        <row r="71">
          <cell r="E71" t="str">
            <v>CO-BF-5</v>
          </cell>
          <cell r="G71">
            <v>1</v>
          </cell>
        </row>
        <row r="72">
          <cell r="E72" t="str">
            <v>CO-BF-6</v>
          </cell>
          <cell r="G72">
            <v>20</v>
          </cell>
        </row>
        <row r="73">
          <cell r="E73" t="str">
            <v>CO-BF-7</v>
          </cell>
          <cell r="G73">
            <v>1</v>
          </cell>
        </row>
        <row r="74">
          <cell r="E74" t="str">
            <v>CO-BF-8</v>
          </cell>
          <cell r="G74">
            <v>1</v>
          </cell>
        </row>
        <row r="75">
          <cell r="E75" t="str">
            <v>CO-BF-9</v>
          </cell>
          <cell r="G75">
            <v>20</v>
          </cell>
        </row>
        <row r="76">
          <cell r="E76" t="str">
            <v>CO-BF-10</v>
          </cell>
          <cell r="G76">
            <v>1</v>
          </cell>
        </row>
        <row r="77">
          <cell r="E77" t="str">
            <v>CO-BF-29</v>
          </cell>
          <cell r="G77">
            <v>1</v>
          </cell>
        </row>
        <row r="78">
          <cell r="E78" t="str">
            <v>CO-BF-30</v>
          </cell>
          <cell r="G78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314.358881828703" createdVersion="8" refreshedVersion="8" minRefreshableVersion="3" recordCount="381" xr:uid="{4067F58C-28E2-44CB-8FA2-A8EFFD878FFB}">
  <cacheSource type="worksheet">
    <worksheetSource ref="A3:BA384" sheet="Progress"/>
  </cacheSource>
  <cacheFields count="53">
    <cacheField name="TT" numFmtId="0">
      <sharedItems containsMixedTypes="1" containsNumber="1" containsInteger="1" minValue="1" maxValue="148"/>
    </cacheField>
    <cacheField name="Số Dự Án" numFmtId="0">
      <sharedItems containsBlank="1" count="2">
        <s v="U284"/>
        <m/>
      </sharedItems>
    </cacheField>
    <cacheField name="Group ID" numFmtId="0">
      <sharedItems/>
    </cacheField>
    <cacheField name="Group/Shipment" numFmtId="0">
      <sharedItems containsBlank="1" count="2">
        <s v="Shipment 2"/>
        <m/>
      </sharedItems>
    </cacheField>
    <cacheField name="Hạng mục" numFmtId="0">
      <sharedItems containsBlank="1" count="3">
        <s v="CO-SCR Duct"/>
        <s v="Outlet Stack"/>
        <m/>
      </sharedItems>
    </cacheField>
    <cacheField name="MH" numFmtId="0">
      <sharedItems containsBlank="1"/>
    </cacheField>
    <cacheField name="Ngày giao hàng(WO)" numFmtId="14">
      <sharedItems containsNonDate="0" containsDate="1" containsString="0" containsBlank="1" minDate="2026-07-01T00:00:00" maxDate="2026-07-02T00:00:00"/>
    </cacheField>
    <cacheField name="Dạng sản phẩm" numFmtId="0">
      <sharedItems containsBlank="1"/>
    </cacheField>
    <cacheField name="Phân loại" numFmtId="0">
      <sharedItems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56"/>
    </cacheField>
    <cacheField name="U.Weight" numFmtId="43">
      <sharedItems containsString="0" containsBlank="1" containsNumber="1" minValue="0" maxValue="33890.699999999997"/>
    </cacheField>
    <cacheField name="T.Weight" numFmtId="43">
      <sharedItems containsString="0" containsBlank="1" containsNumber="1" minValue="0" maxValue="33890.699999999997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30501.629999999997"/>
    </cacheField>
    <cacheField name="Còn lại" numFmtId="43">
      <sharedItems containsSemiMixedTypes="0" containsString="0" containsNumber="1" minValue="0" maxValue="3389.0699999999997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containsInteger="1" minValue="1" maxValue="1"/>
    </cacheField>
    <cacheField name="Khối lượng" numFmtId="164">
      <sharedItems containsSemiMixedTypes="0" containsString="0" containsNumber="1" minValue="0" maxValue="33890.699999999997"/>
    </cacheField>
    <cacheField name="Ngày Gá" numFmtId="14">
      <sharedItems containsNonDate="0" containsDate="1" containsString="0" containsBlank="1" minDate="2026-06-30T00:00:00" maxDate="2026-10-18T00:00:00"/>
    </cacheField>
    <cacheField name="SL Gá" numFmtId="0">
      <sharedItems containsString="0" containsBlank="1" containsNumber="1" containsInteger="1" minValue="1" maxValue="55"/>
    </cacheField>
    <cacheField name="KL Gá" numFmtId="43">
      <sharedItems containsSemiMixedTypes="0" containsString="0" containsNumber="1" minValue="0" maxValue="33890.699999999997"/>
    </cacheField>
    <cacheField name="Ngày Hàn" numFmtId="14">
      <sharedItems containsNonDate="0" containsDate="1" containsString="0" containsBlank="1" minDate="2026-07-03T00:00:00" maxDate="2026-10-18T00:00:00"/>
    </cacheField>
    <cacheField name="SL Hàn" numFmtId="0">
      <sharedItems containsString="0" containsBlank="1" containsNumber="1" containsInteger="1" minValue="1" maxValue="55"/>
    </cacheField>
    <cacheField name="KL Hàn" numFmtId="43">
      <sharedItems containsSemiMixedTypes="0" containsString="0" containsNumber="1" minValue="0" maxValue="33890.699999999997"/>
    </cacheField>
    <cacheField name="Ngày TH" numFmtId="14">
      <sharedItems containsNonDate="0" containsDate="1" containsString="0" containsBlank="1" minDate="2026-10-17T00:00:00" maxDate="2026-10-18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emiMixedTypes="0" containsString="0" containsNumber="1" minValue="0" maxValue="12022.800000000003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9-08T00:00:00" maxDate="2026-10-18T00:00:00"/>
    </cacheField>
    <cacheField name="SL NT" numFmtId="0">
      <sharedItems containsString="0" containsBlank="1" containsNumber="1" containsInteger="1" minValue="1" maxValue="20"/>
    </cacheField>
    <cacheField name="KL NT" numFmtId="43">
      <sharedItems containsSemiMixedTypes="0" containsString="0" containsNumber="1" minValue="0" maxValue="12022.800000000003"/>
    </cacheField>
    <cacheField name="Ngày BG" numFmtId="14">
      <sharedItems containsNonDate="0" containsDate="1" containsString="0" containsBlank="1" minDate="2026-09-16T00:00:00" maxDate="2026-10-18T00:00:00"/>
    </cacheField>
    <cacheField name="SL BG" numFmtId="0">
      <sharedItems containsString="0" containsBlank="1" containsNumber="1" containsInteger="1" minValue="1" maxValue="2"/>
    </cacheField>
    <cacheField name="KL BG" numFmtId="43">
      <sharedItems containsSemiMixedTypes="0" containsString="0" containsNumber="1" minValue="0" maxValue="3894.5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1"/>
    <x v="0"/>
    <s v="Shipment 2 CO-SCR Duct"/>
    <x v="0"/>
    <x v="0"/>
    <m/>
    <d v="2026-07-01T00:00:00"/>
    <s v="HRSG"/>
    <s v="HSG14"/>
    <s v="S3"/>
    <s v="V17566-DWXD-7532"/>
    <s v="CO-FL-1"/>
    <s v="FIELD LINER "/>
    <n v="2"/>
    <n v="8.35"/>
    <n v="16.7"/>
    <s v="(457x2x1167) "/>
    <m/>
    <s v="V17566-DWND-0052"/>
    <m/>
    <m/>
    <m/>
    <m/>
    <m/>
    <m/>
    <m/>
    <m/>
    <m/>
    <m/>
    <m/>
    <n v="16.7"/>
    <n v="0"/>
    <m/>
    <m/>
    <n v="0"/>
    <d v="2026-10-17T00:00:00"/>
    <n v="2"/>
    <n v="16.7"/>
    <d v="2026-10-17T00:00:00"/>
    <n v="2"/>
    <n v="16.7"/>
    <m/>
    <m/>
    <n v="0"/>
    <s v="U284-SCR-003"/>
    <d v="2026-10-17T00:00:00"/>
    <n v="2"/>
    <n v="16.7"/>
    <m/>
    <m/>
    <n v="0"/>
    <s v="PAC"/>
    <m/>
  </r>
  <r>
    <n v="2"/>
    <x v="0"/>
    <s v="Shipment 2 CO-SCR Duct"/>
    <x v="0"/>
    <x v="0"/>
    <m/>
    <d v="2026-07-01T00:00:00"/>
    <s v="HRSG"/>
    <s v="HSG14"/>
    <s v="S3"/>
    <s v="V17566-DWXD-7533"/>
    <s v="CO-FL-2"/>
    <s v="FIELD LINER "/>
    <n v="2"/>
    <n v="9.15"/>
    <n v="18.3"/>
    <s v="(457x2x1338) "/>
    <m/>
    <s v="V17566-DWND-0052"/>
    <m/>
    <m/>
    <m/>
    <m/>
    <m/>
    <m/>
    <m/>
    <m/>
    <m/>
    <m/>
    <m/>
    <n v="18.299999999999997"/>
    <n v="0"/>
    <m/>
    <m/>
    <n v="0"/>
    <d v="2026-10-17T00:00:00"/>
    <n v="2"/>
    <n v="18.3"/>
    <d v="2026-10-17T00:00:00"/>
    <n v="2"/>
    <n v="18.3"/>
    <m/>
    <m/>
    <n v="0"/>
    <s v="U284-SCR-003"/>
    <d v="2026-10-17T00:00:00"/>
    <n v="2"/>
    <n v="18.3"/>
    <m/>
    <m/>
    <n v="0"/>
    <s v="PAC"/>
    <m/>
  </r>
  <r>
    <n v="3"/>
    <x v="0"/>
    <s v="Shipment 2 CO-SCR Duct"/>
    <x v="0"/>
    <x v="0"/>
    <m/>
    <d v="2026-07-01T00:00:00"/>
    <s v="HRSG"/>
    <s v="HSG14"/>
    <s v="S3"/>
    <s v="V17566-DWXD-7534"/>
    <s v="CO-FL-3"/>
    <s v="FIELD LINER "/>
    <n v="4"/>
    <n v="2.7250000000000001"/>
    <n v="10.9"/>
    <s v="(457x2x381) "/>
    <m/>
    <s v="V17566-DWND-0052"/>
    <m/>
    <m/>
    <m/>
    <m/>
    <m/>
    <m/>
    <m/>
    <m/>
    <m/>
    <m/>
    <m/>
    <n v="10.9"/>
    <n v="0"/>
    <m/>
    <m/>
    <n v="0"/>
    <d v="2026-10-17T00:00:00"/>
    <n v="4"/>
    <n v="10.9"/>
    <d v="2026-10-17T00:00:00"/>
    <n v="4"/>
    <n v="10.9"/>
    <m/>
    <m/>
    <n v="0"/>
    <s v="U284-SCR-003"/>
    <d v="2026-10-17T00:00:00"/>
    <n v="4"/>
    <n v="10.9"/>
    <m/>
    <m/>
    <n v="0"/>
    <s v="PAC"/>
    <m/>
  </r>
  <r>
    <n v="4"/>
    <x v="0"/>
    <s v="Shipment 2 CO-SCR Duct"/>
    <x v="0"/>
    <x v="0"/>
    <m/>
    <d v="2026-07-01T00:00:00"/>
    <s v="HRSG"/>
    <s v="HSG14"/>
    <s v="S3"/>
    <s v="V17566-DWXD-7535"/>
    <s v="CO-FL-4(1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5"/>
    <x v="0"/>
    <s v="Shipment 2 CO-SCR Duct"/>
    <x v="0"/>
    <x v="0"/>
    <m/>
    <d v="2026-07-01T00:00:00"/>
    <s v="HRSG"/>
    <s v="HSG14"/>
    <s v="S3"/>
    <s v="V17566-DWXD-7535"/>
    <s v="CO-FL-4(2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6"/>
    <x v="0"/>
    <s v="Shipment 2 CO-SCR Duct"/>
    <x v="0"/>
    <x v="0"/>
    <m/>
    <d v="2026-07-01T00:00:00"/>
    <s v="HRSG"/>
    <s v="HSG14"/>
    <s v="S3"/>
    <s v="V17566-DWXD-7535"/>
    <s v="CO-FL-4(3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7"/>
    <x v="0"/>
    <s v="Shipment 2 CO-SCR Duct"/>
    <x v="0"/>
    <x v="0"/>
    <m/>
    <d v="2026-07-01T00:00:00"/>
    <s v="HRSG"/>
    <s v="HSG14"/>
    <s v="S3"/>
    <s v="V17566-DWXD-7535"/>
    <s v="CO-FL-4(4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8"/>
    <x v="0"/>
    <s v="Shipment 2 CO-SCR Duct"/>
    <x v="0"/>
    <x v="0"/>
    <m/>
    <d v="2026-07-01T00:00:00"/>
    <s v="HRSG"/>
    <s v="HSG14"/>
    <s v="S3"/>
    <s v="V17566-DWXD-7535"/>
    <s v="CO-FL-4(5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9"/>
    <x v="0"/>
    <s v="Shipment 2 CO-SCR Duct"/>
    <x v="0"/>
    <x v="0"/>
    <m/>
    <d v="2026-07-01T00:00:00"/>
    <s v="HRSG"/>
    <s v="HSG14"/>
    <s v="S3"/>
    <s v="V17566-DWXD-7535"/>
    <s v="CO-FL-4(6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0"/>
    <x v="0"/>
    <s v="Shipment 2 CO-SCR Duct"/>
    <x v="0"/>
    <x v="0"/>
    <m/>
    <d v="2026-07-01T00:00:00"/>
    <s v="HRSG"/>
    <s v="HSG14"/>
    <s v="S3"/>
    <s v="V17566-DWXD-7535"/>
    <s v="CO-FL-4(7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1"/>
    <x v="0"/>
    <s v="Shipment 2 CO-SCR Duct"/>
    <x v="0"/>
    <x v="0"/>
    <m/>
    <d v="2026-07-01T00:00:00"/>
    <s v="HRSG"/>
    <s v="HSG14"/>
    <s v="S3"/>
    <s v="V17566-DWXD-7535"/>
    <s v="CO-FL-4(8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2"/>
    <x v="0"/>
    <s v="Shipment 2 CO-SCR Duct"/>
    <x v="0"/>
    <x v="0"/>
    <m/>
    <d v="2026-07-01T00:00:00"/>
    <s v="HRSG"/>
    <s v="HSG14"/>
    <s v="S3"/>
    <s v="V17566-DWXD-7535"/>
    <s v="CO-FL-4(9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3"/>
    <x v="0"/>
    <s v="Shipment 2 CO-SCR Duct"/>
    <x v="0"/>
    <x v="0"/>
    <m/>
    <d v="2026-07-01T00:00:00"/>
    <s v="HRSG"/>
    <s v="HSG14"/>
    <s v="S3"/>
    <s v="V17566-DWXD-7535"/>
    <s v="CO-FL-4(10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4"/>
    <x v="0"/>
    <s v="Shipment 2 CO-SCR Duct"/>
    <x v="0"/>
    <x v="0"/>
    <m/>
    <d v="2026-07-01T00:00:00"/>
    <s v="HRSG"/>
    <s v="HSG14"/>
    <s v="S3"/>
    <s v="V17566-DWXD-7535"/>
    <s v="CO-FL-4(11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5"/>
    <x v="0"/>
    <s v="Shipment 2 CO-SCR Duct"/>
    <x v="0"/>
    <x v="0"/>
    <m/>
    <d v="2026-07-01T00:00:00"/>
    <s v="HRSG"/>
    <s v="HSG14"/>
    <s v="S3"/>
    <s v="V17566-DWXD-7535"/>
    <s v="CO-FL-4(12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6"/>
    <x v="0"/>
    <s v="Shipment 2 CO-SCR Duct"/>
    <x v="0"/>
    <x v="0"/>
    <m/>
    <d v="2026-07-01T00:00:00"/>
    <s v="HRSG"/>
    <s v="HSG14"/>
    <s v="S3"/>
    <s v="V17566-DWXD-7535"/>
    <s v="CO-FL-4(13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7"/>
    <x v="0"/>
    <s v="Shipment 2 CO-SCR Duct"/>
    <x v="0"/>
    <x v="0"/>
    <m/>
    <d v="2026-07-01T00:00:00"/>
    <s v="HRSG"/>
    <s v="HSG14"/>
    <s v="S3"/>
    <s v="V17566-DWXD-7535"/>
    <s v="CO-FL-4(14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8"/>
    <x v="0"/>
    <s v="Shipment 2 CO-SCR Duct"/>
    <x v="0"/>
    <x v="0"/>
    <m/>
    <d v="2026-07-01T00:00:00"/>
    <s v="HRSG"/>
    <s v="HSG14"/>
    <s v="S3"/>
    <s v="V17566-DWXD-7535"/>
    <s v="CO-FL-4(15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19"/>
    <x v="0"/>
    <s v="Shipment 2 CO-SCR Duct"/>
    <x v="0"/>
    <x v="0"/>
    <m/>
    <d v="2026-07-01T00:00:00"/>
    <s v="HRSG"/>
    <s v="HSG14"/>
    <s v="S3"/>
    <s v="V17566-DWXD-7535"/>
    <s v="CO-FL-4(16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20"/>
    <x v="0"/>
    <s v="Shipment 2 CO-SCR Duct"/>
    <x v="0"/>
    <x v="0"/>
    <m/>
    <d v="2026-07-01T00:00:00"/>
    <s v="HRSG"/>
    <s v="HSG14"/>
    <s v="S3"/>
    <s v="V17566-DWXD-7535"/>
    <s v="CO-FL-4(17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21"/>
    <x v="0"/>
    <s v="Shipment 2 CO-SCR Duct"/>
    <x v="0"/>
    <x v="0"/>
    <m/>
    <d v="2026-07-01T00:00:00"/>
    <s v="HRSG"/>
    <s v="HSG14"/>
    <s v="S3"/>
    <s v="V17566-DWXD-7535"/>
    <s v="CO-FL-4(18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22"/>
    <x v="0"/>
    <s v="Shipment 2 CO-SCR Duct"/>
    <x v="0"/>
    <x v="0"/>
    <m/>
    <d v="2026-07-01T00:00:00"/>
    <s v="HRSG"/>
    <s v="HSG14"/>
    <s v="S3"/>
    <s v="V17566-DWXD-7535"/>
    <s v="CO-FL-4(19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8.745000000000001"/>
    <n v="0"/>
    <m/>
    <m/>
    <n v="0"/>
    <d v="2026-10-17T00:00:00"/>
    <n v="1"/>
    <n v="8.745000000000001"/>
    <d v="2026-10-17T00:00:00"/>
    <n v="1"/>
    <n v="8.745000000000001"/>
    <m/>
    <m/>
    <n v="0"/>
    <s v="U284-SCR-003"/>
    <d v="2026-10-17T00:00:00"/>
    <n v="1"/>
    <n v="8.745000000000001"/>
    <m/>
    <m/>
    <n v="0"/>
    <s v="PAC"/>
    <m/>
  </r>
  <r>
    <n v="22"/>
    <x v="0"/>
    <s v="Shipment 2 CO-SCR Duct"/>
    <x v="0"/>
    <x v="0"/>
    <m/>
    <d v="2026-07-01T00:00:00"/>
    <s v="HRSG"/>
    <s v="HSG14"/>
    <s v="S3"/>
    <s v="V17566-DWXD-7535"/>
    <s v="CO-FL-4(20/20)"/>
    <s v="FIELD LINER "/>
    <n v="1"/>
    <n v="8.745000000000001"/>
    <n v="8.745000000000001"/>
    <s v="(457x2x1219) "/>
    <m/>
    <s v="V17566-DWND-0052"/>
    <m/>
    <m/>
    <m/>
    <m/>
    <m/>
    <m/>
    <m/>
    <m/>
    <m/>
    <m/>
    <m/>
    <n v="7.8705000000000016"/>
    <n v="0.87449999999999939"/>
    <m/>
    <m/>
    <n v="0"/>
    <d v="2026-10-17T00:00:00"/>
    <n v="1"/>
    <n v="8.745000000000001"/>
    <d v="2026-10-17T00:00:00"/>
    <n v="1"/>
    <n v="8.745000000000001"/>
    <m/>
    <m/>
    <n v="0"/>
    <m/>
    <m/>
    <m/>
    <n v="0"/>
    <m/>
    <m/>
    <n v="0"/>
    <s v="PAC"/>
    <m/>
  </r>
  <r>
    <n v="23"/>
    <x v="0"/>
    <s v="Shipment 2 CO-SCR Duct"/>
    <x v="0"/>
    <x v="0"/>
    <m/>
    <d v="2026-07-01T00:00:00"/>
    <s v="HRSG"/>
    <s v="HSG14"/>
    <s v="S3"/>
    <s v="V17566-DWXD-7536"/>
    <s v="CO-FL-5"/>
    <s v="FIELD LINER "/>
    <n v="1"/>
    <n v="8.6999999999999993"/>
    <n v="8.6999999999999993"/>
    <s v="(457x2x1219) "/>
    <m/>
    <s v="V17566-DWND-0052"/>
    <m/>
    <m/>
    <m/>
    <m/>
    <m/>
    <m/>
    <m/>
    <m/>
    <m/>
    <m/>
    <m/>
    <n v="8.6999999999999993"/>
    <n v="0"/>
    <m/>
    <m/>
    <n v="0"/>
    <d v="2026-10-17T00:00:00"/>
    <n v="1"/>
    <n v="8.6999999999999993"/>
    <d v="2026-10-17T00:00:00"/>
    <n v="1"/>
    <n v="8.6999999999999993"/>
    <m/>
    <m/>
    <n v="0"/>
    <s v="U284-SCR-003"/>
    <d v="2026-10-17T00:00:00"/>
    <n v="1"/>
    <n v="8.6999999999999993"/>
    <m/>
    <m/>
    <n v="0"/>
    <s v="PAC"/>
    <m/>
  </r>
  <r>
    <n v="24"/>
    <x v="0"/>
    <s v="Shipment 2 CO-SCR Duct"/>
    <x v="0"/>
    <x v="0"/>
    <m/>
    <d v="2026-07-01T00:00:00"/>
    <s v="HRSG"/>
    <s v="HSG14"/>
    <s v="S3"/>
    <s v="V17566-DWXD-7537"/>
    <s v="CO-FL-6"/>
    <s v="FIELD LINER "/>
    <n v="1"/>
    <n v="6"/>
    <n v="6"/>
    <s v="(457x2x838) "/>
    <m/>
    <s v="V17566-DWND-0052"/>
    <m/>
    <m/>
    <m/>
    <m/>
    <m/>
    <m/>
    <m/>
    <m/>
    <m/>
    <m/>
    <m/>
    <n v="6"/>
    <n v="0"/>
    <m/>
    <m/>
    <n v="0"/>
    <d v="2026-10-17T00:00:00"/>
    <n v="1"/>
    <n v="6"/>
    <d v="2026-10-17T00:00:00"/>
    <n v="1"/>
    <n v="6"/>
    <m/>
    <m/>
    <n v="0"/>
    <s v="U284-SCR-003"/>
    <d v="2026-10-17T00:00:00"/>
    <n v="1"/>
    <n v="6"/>
    <m/>
    <m/>
    <n v="0"/>
    <s v="PAC"/>
    <m/>
  </r>
  <r>
    <n v="25"/>
    <x v="0"/>
    <s v="Shipment 2 CO-SCR Duct"/>
    <x v="0"/>
    <x v="0"/>
    <m/>
    <d v="2026-07-01T00:00:00"/>
    <s v="HRSG"/>
    <s v="HSG14"/>
    <s v="S3"/>
    <s v="V17566-DWXD-7538"/>
    <s v="CO-FL-7"/>
    <s v="FIELD LINER "/>
    <n v="1"/>
    <n v="8.6999999999999993"/>
    <n v="8.6999999999999993"/>
    <s v="(457x2x1219) "/>
    <m/>
    <s v="V17566-DWND-0052"/>
    <m/>
    <m/>
    <m/>
    <m/>
    <m/>
    <m/>
    <m/>
    <m/>
    <m/>
    <m/>
    <m/>
    <n v="8.6999999999999993"/>
    <n v="0"/>
    <m/>
    <m/>
    <n v="0"/>
    <d v="2026-10-17T00:00:00"/>
    <n v="1"/>
    <n v="8.6999999999999993"/>
    <d v="2026-10-17T00:00:00"/>
    <n v="1"/>
    <n v="8.6999999999999993"/>
    <m/>
    <m/>
    <n v="0"/>
    <s v="U284-SCR-003"/>
    <d v="2026-10-17T00:00:00"/>
    <n v="1"/>
    <n v="8.6999999999999993"/>
    <m/>
    <m/>
    <n v="0"/>
    <s v="PAC"/>
    <m/>
  </r>
  <r>
    <n v="26"/>
    <x v="0"/>
    <s v="Shipment 2 CO-SCR Duct"/>
    <x v="0"/>
    <x v="0"/>
    <m/>
    <d v="2026-07-01T00:00:00"/>
    <s v="HRSG"/>
    <s v="HSG14"/>
    <s v="S3"/>
    <s v="V17566-DWXD-7539"/>
    <s v="CO-FL-8"/>
    <s v="FIELD LINER "/>
    <n v="2"/>
    <n v="4.45"/>
    <n v="8.9"/>
    <s v="(457x2x622) "/>
    <m/>
    <s v="V17566-DWND-0052"/>
    <m/>
    <m/>
    <m/>
    <m/>
    <m/>
    <m/>
    <m/>
    <m/>
    <m/>
    <m/>
    <m/>
    <n v="8.9000000000000021"/>
    <n v="0"/>
    <m/>
    <m/>
    <n v="0"/>
    <d v="2026-10-17T00:00:00"/>
    <n v="2"/>
    <n v="8.9"/>
    <d v="2026-10-17T00:00:00"/>
    <n v="2"/>
    <n v="8.9"/>
    <m/>
    <m/>
    <n v="0"/>
    <s v="U284-SCR-003"/>
    <d v="2026-10-17T00:00:00"/>
    <n v="2"/>
    <n v="8.9"/>
    <m/>
    <m/>
    <n v="0"/>
    <s v="PAC"/>
    <m/>
  </r>
  <r>
    <n v="27"/>
    <x v="0"/>
    <s v="Shipment 2 CO-SCR Duct"/>
    <x v="0"/>
    <x v="0"/>
    <m/>
    <d v="2026-07-01T00:00:00"/>
    <s v="HRSG"/>
    <s v="HSG14"/>
    <s v="S3"/>
    <s v="V17566-DWXD-7540"/>
    <s v="CO-FL-9(1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28"/>
    <x v="0"/>
    <s v="Shipment 2 CO-SCR Duct"/>
    <x v="0"/>
    <x v="0"/>
    <m/>
    <d v="2026-07-01T00:00:00"/>
    <s v="HRSG"/>
    <s v="HSG14"/>
    <s v="S3"/>
    <s v="V17566-DWXD-7540"/>
    <s v="CO-FL-9(2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29"/>
    <x v="0"/>
    <s v="Shipment 2 CO-SCR Duct"/>
    <x v="0"/>
    <x v="0"/>
    <m/>
    <d v="2026-07-01T00:00:00"/>
    <s v="HRSG"/>
    <s v="HSG14"/>
    <s v="S3"/>
    <s v="V17566-DWXD-7540"/>
    <s v="CO-FL-9(3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0"/>
    <x v="0"/>
    <s v="Shipment 2 CO-SCR Duct"/>
    <x v="0"/>
    <x v="0"/>
    <m/>
    <d v="2026-07-01T00:00:00"/>
    <s v="HRSG"/>
    <s v="HSG14"/>
    <s v="S3"/>
    <s v="V17566-DWXD-7540"/>
    <s v="CO-FL-9(4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1"/>
    <x v="0"/>
    <s v="Shipment 2 CO-SCR Duct"/>
    <x v="0"/>
    <x v="0"/>
    <m/>
    <d v="2026-07-01T00:00:00"/>
    <s v="HRSG"/>
    <s v="HSG14"/>
    <s v="S3"/>
    <s v="V17566-DWXD-7540"/>
    <s v="CO-FL-9(5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2"/>
    <x v="0"/>
    <s v="Shipment 2 CO-SCR Duct"/>
    <x v="0"/>
    <x v="0"/>
    <m/>
    <d v="2026-07-01T00:00:00"/>
    <s v="HRSG"/>
    <s v="HSG14"/>
    <s v="S3"/>
    <s v="V17566-DWXD-7540"/>
    <s v="CO-FL-9(6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3"/>
    <x v="0"/>
    <s v="Shipment 2 CO-SCR Duct"/>
    <x v="0"/>
    <x v="0"/>
    <m/>
    <d v="2026-07-01T00:00:00"/>
    <s v="HRSG"/>
    <s v="HSG14"/>
    <s v="S3"/>
    <s v="V17566-DWXD-7540"/>
    <s v="CO-FL-9(7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4"/>
    <x v="0"/>
    <s v="Shipment 2 CO-SCR Duct"/>
    <x v="0"/>
    <x v="0"/>
    <m/>
    <d v="2026-07-01T00:00:00"/>
    <s v="HRSG"/>
    <s v="HSG14"/>
    <s v="S3"/>
    <s v="V17566-DWXD-7540"/>
    <s v="CO-FL-9(8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5"/>
    <x v="0"/>
    <s v="Shipment 2 CO-SCR Duct"/>
    <x v="0"/>
    <x v="0"/>
    <m/>
    <d v="2026-07-01T00:00:00"/>
    <s v="HRSG"/>
    <s v="HSG14"/>
    <s v="S3"/>
    <s v="V17566-DWXD-7540"/>
    <s v="CO-FL-9(9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6"/>
    <x v="0"/>
    <s v="Shipment 2 CO-SCR Duct"/>
    <x v="0"/>
    <x v="0"/>
    <m/>
    <d v="2026-07-01T00:00:00"/>
    <s v="HRSG"/>
    <s v="HSG14"/>
    <s v="S3"/>
    <s v="V17566-DWXD-7540"/>
    <s v="CO-FL-9(10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7"/>
    <x v="0"/>
    <s v="Shipment 2 CO-SCR Duct"/>
    <x v="0"/>
    <x v="0"/>
    <m/>
    <d v="2026-07-01T00:00:00"/>
    <s v="HRSG"/>
    <s v="HSG14"/>
    <s v="S3"/>
    <s v="V17566-DWXD-7540"/>
    <s v="CO-FL-9(11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8"/>
    <x v="0"/>
    <s v="Shipment 2 CO-SCR Duct"/>
    <x v="0"/>
    <x v="0"/>
    <m/>
    <d v="2026-07-01T00:00:00"/>
    <s v="HRSG"/>
    <s v="HSG14"/>
    <s v="S3"/>
    <s v="V17566-DWXD-7540"/>
    <s v="CO-FL-9(12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39"/>
    <x v="0"/>
    <s v="Shipment 2 CO-SCR Duct"/>
    <x v="0"/>
    <x v="0"/>
    <m/>
    <d v="2026-07-01T00:00:00"/>
    <s v="HRSG"/>
    <s v="HSG14"/>
    <s v="S3"/>
    <s v="V17566-DWXD-7540"/>
    <s v="CO-FL-9(13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0"/>
    <x v="0"/>
    <s v="Shipment 2 CO-SCR Duct"/>
    <x v="0"/>
    <x v="0"/>
    <m/>
    <d v="2026-07-01T00:00:00"/>
    <s v="HRSG"/>
    <s v="HSG14"/>
    <s v="S3"/>
    <s v="V17566-DWXD-7540"/>
    <s v="CO-FL-9(14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1"/>
    <x v="0"/>
    <s v="Shipment 2 CO-SCR Duct"/>
    <x v="0"/>
    <x v="0"/>
    <m/>
    <d v="2026-07-01T00:00:00"/>
    <s v="HRSG"/>
    <s v="HSG14"/>
    <s v="S3"/>
    <s v="V17566-DWXD-7540"/>
    <s v="CO-FL-9(15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2"/>
    <x v="0"/>
    <s v="Shipment 2 CO-SCR Duct"/>
    <x v="0"/>
    <x v="0"/>
    <m/>
    <d v="2026-07-01T00:00:00"/>
    <s v="HRSG"/>
    <s v="HSG14"/>
    <s v="S3"/>
    <s v="V17566-DWXD-7540"/>
    <s v="CO-FL-9(16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3"/>
    <x v="0"/>
    <s v="Shipment 2 CO-SCR Duct"/>
    <x v="0"/>
    <x v="0"/>
    <m/>
    <d v="2026-07-01T00:00:00"/>
    <s v="HRSG"/>
    <s v="HSG14"/>
    <s v="S3"/>
    <s v="V17566-DWXD-7540"/>
    <s v="CO-FL-9(17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4"/>
    <x v="0"/>
    <s v="Shipment 2 CO-SCR Duct"/>
    <x v="0"/>
    <x v="0"/>
    <m/>
    <d v="2026-07-01T00:00:00"/>
    <s v="HRSG"/>
    <s v="HSG14"/>
    <s v="S3"/>
    <s v="V17566-DWXD-7540"/>
    <s v="CO-FL-9(18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5"/>
    <x v="0"/>
    <s v="Shipment 2 CO-SCR Duct"/>
    <x v="0"/>
    <x v="0"/>
    <m/>
    <d v="2026-07-01T00:00:00"/>
    <s v="HRSG"/>
    <s v="HSG14"/>
    <s v="S3"/>
    <s v="V17566-DWXD-7540"/>
    <s v="CO-FL-9(19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6"/>
    <x v="0"/>
    <s v="Shipment 2 CO-SCR Duct"/>
    <x v="0"/>
    <x v="0"/>
    <m/>
    <d v="2026-07-01T00:00:00"/>
    <s v="HRSG"/>
    <s v="HSG14"/>
    <s v="S3"/>
    <s v="V17566-DWXD-7540"/>
    <s v="CO-FL-9(20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7"/>
    <x v="0"/>
    <s v="Shipment 2 CO-SCR Duct"/>
    <x v="0"/>
    <x v="0"/>
    <m/>
    <d v="2026-07-01T00:00:00"/>
    <s v="HRSG"/>
    <s v="HSG14"/>
    <s v="S3"/>
    <s v="V17566-DWXD-7540"/>
    <s v="CO-FL-9(21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8"/>
    <x v="0"/>
    <s v="Shipment 2 CO-SCR Duct"/>
    <x v="0"/>
    <x v="0"/>
    <m/>
    <d v="2026-07-01T00:00:00"/>
    <s v="HRSG"/>
    <s v="HSG14"/>
    <s v="S3"/>
    <s v="V17566-DWXD-7540"/>
    <s v="CO-FL-9(22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49"/>
    <x v="0"/>
    <s v="Shipment 2 CO-SCR Duct"/>
    <x v="0"/>
    <x v="0"/>
    <m/>
    <d v="2026-07-01T00:00:00"/>
    <s v="HRSG"/>
    <s v="HSG14"/>
    <s v="S3"/>
    <s v="V17566-DWXD-7540"/>
    <s v="CO-FL-9(23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0"/>
    <x v="0"/>
    <s v="Shipment 2 CO-SCR Duct"/>
    <x v="0"/>
    <x v="0"/>
    <m/>
    <d v="2026-07-01T00:00:00"/>
    <s v="HRSG"/>
    <s v="HSG14"/>
    <s v="S3"/>
    <s v="V17566-DWXD-7540"/>
    <s v="CO-FL-9(24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1"/>
    <x v="0"/>
    <s v="Shipment 2 CO-SCR Duct"/>
    <x v="0"/>
    <x v="0"/>
    <m/>
    <d v="2026-07-01T00:00:00"/>
    <s v="HRSG"/>
    <s v="HSG14"/>
    <s v="S3"/>
    <s v="V17566-DWXD-7540"/>
    <s v="CO-FL-9(25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2"/>
    <x v="0"/>
    <s v="Shipment 2 CO-SCR Duct"/>
    <x v="0"/>
    <x v="0"/>
    <m/>
    <d v="2026-07-01T00:00:00"/>
    <s v="HRSG"/>
    <s v="HSG14"/>
    <s v="S3"/>
    <s v="V17566-DWXD-7540"/>
    <s v="CO-FL-9(26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3"/>
    <x v="0"/>
    <s v="Shipment 2 CO-SCR Duct"/>
    <x v="0"/>
    <x v="0"/>
    <m/>
    <d v="2026-07-01T00:00:00"/>
    <s v="HRSG"/>
    <s v="HSG14"/>
    <s v="S3"/>
    <s v="V17566-DWXD-7540"/>
    <s v="CO-FL-9(27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4"/>
    <x v="0"/>
    <s v="Shipment 2 CO-SCR Duct"/>
    <x v="0"/>
    <x v="0"/>
    <m/>
    <d v="2026-07-01T00:00:00"/>
    <s v="HRSG"/>
    <s v="HSG14"/>
    <s v="S3"/>
    <s v="V17566-DWXD-7540"/>
    <s v="CO-FL-9(28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5"/>
    <x v="0"/>
    <s v="Shipment 2 CO-SCR Duct"/>
    <x v="0"/>
    <x v="0"/>
    <m/>
    <d v="2026-07-01T00:00:00"/>
    <s v="HRSG"/>
    <s v="HSG14"/>
    <s v="S3"/>
    <s v="V17566-DWXD-7540"/>
    <s v="CO-FL-9(29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6"/>
    <x v="0"/>
    <s v="Shipment 2 CO-SCR Duct"/>
    <x v="0"/>
    <x v="0"/>
    <m/>
    <d v="2026-07-01T00:00:00"/>
    <s v="HRSG"/>
    <s v="HSG14"/>
    <s v="S3"/>
    <s v="V17566-DWXD-7540"/>
    <s v="CO-FL-9(30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7"/>
    <x v="0"/>
    <s v="Shipment 2 CO-SCR Duct"/>
    <x v="0"/>
    <x v="0"/>
    <m/>
    <d v="2026-07-01T00:00:00"/>
    <s v="HRSG"/>
    <s v="HSG14"/>
    <s v="S3"/>
    <s v="V17566-DWXD-7540"/>
    <s v="CO-FL-9(31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8"/>
    <x v="0"/>
    <s v="Shipment 2 CO-SCR Duct"/>
    <x v="0"/>
    <x v="0"/>
    <m/>
    <d v="2026-07-01T00:00:00"/>
    <s v="HRSG"/>
    <s v="HSG14"/>
    <s v="S3"/>
    <s v="V17566-DWXD-7540"/>
    <s v="CO-FL-9(32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59"/>
    <x v="0"/>
    <s v="Shipment 2 CO-SCR Duct"/>
    <x v="0"/>
    <x v="0"/>
    <m/>
    <d v="2026-07-01T00:00:00"/>
    <s v="HRSG"/>
    <s v="HSG14"/>
    <s v="S3"/>
    <s v="V17566-DWXD-7540"/>
    <s v="CO-FL-9(33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0"/>
    <x v="0"/>
    <s v="Shipment 2 CO-SCR Duct"/>
    <x v="0"/>
    <x v="0"/>
    <m/>
    <d v="2026-07-01T00:00:00"/>
    <s v="HRSG"/>
    <s v="HSG14"/>
    <s v="S3"/>
    <s v="V17566-DWXD-7540"/>
    <s v="CO-FL-9(34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1"/>
    <x v="0"/>
    <s v="Shipment 2 CO-SCR Duct"/>
    <x v="0"/>
    <x v="0"/>
    <m/>
    <d v="2026-07-01T00:00:00"/>
    <s v="HRSG"/>
    <s v="HSG14"/>
    <s v="S3"/>
    <s v="V17566-DWXD-7540"/>
    <s v="CO-FL-9(35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2"/>
    <x v="0"/>
    <s v="Shipment 2 CO-SCR Duct"/>
    <x v="0"/>
    <x v="0"/>
    <m/>
    <d v="2026-07-01T00:00:00"/>
    <s v="HRSG"/>
    <s v="HSG14"/>
    <s v="S3"/>
    <s v="V17566-DWXD-7540"/>
    <s v="CO-FL-9(36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3"/>
    <x v="0"/>
    <s v="Shipment 2 CO-SCR Duct"/>
    <x v="0"/>
    <x v="0"/>
    <m/>
    <d v="2026-07-01T00:00:00"/>
    <s v="HRSG"/>
    <s v="HSG14"/>
    <s v="S3"/>
    <s v="V17566-DWXD-7540"/>
    <s v="CO-FL-9(37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4"/>
    <x v="0"/>
    <s v="Shipment 2 CO-SCR Duct"/>
    <x v="0"/>
    <x v="0"/>
    <m/>
    <d v="2026-07-01T00:00:00"/>
    <s v="HRSG"/>
    <s v="HSG14"/>
    <s v="S3"/>
    <s v="V17566-DWXD-7540"/>
    <s v="CO-FL-9(38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5"/>
    <x v="0"/>
    <s v="Shipment 2 CO-SCR Duct"/>
    <x v="0"/>
    <x v="0"/>
    <m/>
    <d v="2026-07-01T00:00:00"/>
    <s v="HRSG"/>
    <s v="HSG14"/>
    <s v="S3"/>
    <s v="V17566-DWXD-7540"/>
    <s v="CO-FL-9(39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6"/>
    <x v="0"/>
    <s v="Shipment 2 CO-SCR Duct"/>
    <x v="0"/>
    <x v="0"/>
    <m/>
    <d v="2026-07-01T00:00:00"/>
    <s v="HRSG"/>
    <s v="HSG14"/>
    <s v="S3"/>
    <s v="V17566-DWXD-7540"/>
    <s v="CO-FL-9(40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7"/>
    <x v="0"/>
    <s v="Shipment 2 CO-SCR Duct"/>
    <x v="0"/>
    <x v="0"/>
    <m/>
    <d v="2026-07-01T00:00:00"/>
    <s v="HRSG"/>
    <s v="HSG14"/>
    <s v="S3"/>
    <s v="V17566-DWXD-7540"/>
    <s v="CO-FL-9(41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8"/>
    <x v="0"/>
    <s v="Shipment 2 CO-SCR Duct"/>
    <x v="0"/>
    <x v="0"/>
    <m/>
    <d v="2026-07-01T00:00:00"/>
    <s v="HRSG"/>
    <s v="HSG14"/>
    <s v="S3"/>
    <s v="V17566-DWXD-7540"/>
    <s v="CO-FL-9(42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69"/>
    <x v="0"/>
    <s v="Shipment 2 CO-SCR Duct"/>
    <x v="0"/>
    <x v="0"/>
    <m/>
    <d v="2026-07-01T00:00:00"/>
    <s v="HRSG"/>
    <s v="HSG14"/>
    <s v="S3"/>
    <s v="V17566-DWXD-7540"/>
    <s v="CO-FL-9(43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0"/>
    <x v="0"/>
    <s v="Shipment 2 CO-SCR Duct"/>
    <x v="0"/>
    <x v="0"/>
    <m/>
    <d v="2026-07-01T00:00:00"/>
    <s v="HRSG"/>
    <s v="HSG14"/>
    <s v="S3"/>
    <s v="V17566-DWXD-7540"/>
    <s v="CO-FL-9(44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1"/>
    <x v="0"/>
    <s v="Shipment 2 CO-SCR Duct"/>
    <x v="0"/>
    <x v="0"/>
    <m/>
    <d v="2026-07-01T00:00:00"/>
    <s v="HRSG"/>
    <s v="HSG14"/>
    <s v="S3"/>
    <s v="V17566-DWXD-7540"/>
    <s v="CO-FL-9(45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2"/>
    <x v="0"/>
    <s v="Shipment 2 CO-SCR Duct"/>
    <x v="0"/>
    <x v="0"/>
    <m/>
    <d v="2026-07-01T00:00:00"/>
    <s v="HRSG"/>
    <s v="HSG14"/>
    <s v="S3"/>
    <s v="V17566-DWXD-7540"/>
    <s v="CO-FL-9(46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3"/>
    <x v="0"/>
    <s v="Shipment 2 CO-SCR Duct"/>
    <x v="0"/>
    <x v="0"/>
    <m/>
    <d v="2026-07-01T00:00:00"/>
    <s v="HRSG"/>
    <s v="HSG14"/>
    <s v="S3"/>
    <s v="V17566-DWXD-7540"/>
    <s v="CO-FL-9(47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4"/>
    <x v="0"/>
    <s v="Shipment 2 CO-SCR Duct"/>
    <x v="0"/>
    <x v="0"/>
    <m/>
    <d v="2026-07-01T00:00:00"/>
    <s v="HRSG"/>
    <s v="HSG14"/>
    <s v="S3"/>
    <s v="V17566-DWXD-7540"/>
    <s v="CO-FL-9(48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5"/>
    <x v="0"/>
    <s v="Shipment 2 CO-SCR Duct"/>
    <x v="0"/>
    <x v="0"/>
    <m/>
    <d v="2026-07-01T00:00:00"/>
    <s v="HRSG"/>
    <s v="HSG14"/>
    <s v="S3"/>
    <s v="V17566-DWXD-7540"/>
    <s v="CO-FL-9(49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6"/>
    <x v="0"/>
    <s v="Shipment 2 CO-SCR Duct"/>
    <x v="0"/>
    <x v="0"/>
    <m/>
    <d v="2026-07-01T00:00:00"/>
    <s v="HRSG"/>
    <s v="HSG14"/>
    <s v="S3"/>
    <s v="V17566-DWXD-7540"/>
    <s v="CO-FL-9(50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7"/>
    <x v="0"/>
    <s v="Shipment 2 CO-SCR Duct"/>
    <x v="0"/>
    <x v="0"/>
    <m/>
    <d v="2026-07-01T00:00:00"/>
    <s v="HRSG"/>
    <s v="HSG14"/>
    <s v="S3"/>
    <s v="V17566-DWXD-7540"/>
    <s v="CO-FL-9(51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8"/>
    <x v="0"/>
    <s v="Shipment 2 CO-SCR Duct"/>
    <x v="0"/>
    <x v="0"/>
    <m/>
    <d v="2026-07-01T00:00:00"/>
    <s v="HRSG"/>
    <s v="HSG14"/>
    <s v="S3"/>
    <s v="V17566-DWXD-7540"/>
    <s v="CO-FL-9(52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79"/>
    <x v="0"/>
    <s v="Shipment 2 CO-SCR Duct"/>
    <x v="0"/>
    <x v="0"/>
    <m/>
    <d v="2026-07-01T00:00:00"/>
    <s v="HRSG"/>
    <s v="HSG14"/>
    <s v="S3"/>
    <s v="V17566-DWXD-7540"/>
    <s v="CO-FL-9(53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0"/>
    <x v="0"/>
    <s v="Shipment 2 CO-SCR Duct"/>
    <x v="0"/>
    <x v="0"/>
    <m/>
    <d v="2026-07-01T00:00:00"/>
    <s v="HRSG"/>
    <s v="HSG14"/>
    <s v="S3"/>
    <s v="V17566-DWXD-7540"/>
    <s v="CO-FL-9(54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1"/>
    <x v="0"/>
    <s v="Shipment 2 CO-SCR Duct"/>
    <x v="0"/>
    <x v="0"/>
    <m/>
    <d v="2026-07-01T00:00:00"/>
    <s v="HRSG"/>
    <s v="HSG14"/>
    <s v="S3"/>
    <s v="V17566-DWXD-7540"/>
    <s v="CO-FL-9(55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2"/>
    <x v="0"/>
    <s v="Shipment 2 CO-SCR Duct"/>
    <x v="0"/>
    <x v="0"/>
    <m/>
    <d v="2026-07-01T00:00:00"/>
    <s v="HRSG"/>
    <s v="HSG14"/>
    <s v="S3"/>
    <s v="V17566-DWXD-7540"/>
    <s v="CO-FL-9(56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3"/>
    <x v="0"/>
    <s v="Shipment 2 CO-SCR Duct"/>
    <x v="0"/>
    <x v="0"/>
    <m/>
    <d v="2026-07-01T00:00:00"/>
    <s v="HRSG"/>
    <s v="HSG14"/>
    <s v="S3"/>
    <s v="V17566-DWXD-7540"/>
    <s v="CO-FL-9(57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4"/>
    <x v="0"/>
    <s v="Shipment 2 CO-SCR Duct"/>
    <x v="0"/>
    <x v="0"/>
    <m/>
    <d v="2026-07-01T00:00:00"/>
    <s v="HRSG"/>
    <s v="HSG14"/>
    <s v="S3"/>
    <s v="V17566-DWXD-7540"/>
    <s v="CO-FL-9(58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5"/>
    <x v="0"/>
    <s v="Shipment 2 CO-SCR Duct"/>
    <x v="0"/>
    <x v="0"/>
    <m/>
    <d v="2026-07-01T00:00:00"/>
    <s v="HRSG"/>
    <s v="HSG14"/>
    <s v="S3"/>
    <s v="V17566-DWXD-7540"/>
    <s v="CO-FL-9(59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6"/>
    <x v="0"/>
    <s v="Shipment 2 CO-SCR Duct"/>
    <x v="0"/>
    <x v="0"/>
    <m/>
    <d v="2026-07-01T00:00:00"/>
    <s v="HRSG"/>
    <s v="HSG14"/>
    <s v="S3"/>
    <s v="V17566-DWXD-7540"/>
    <s v="CO-FL-9(60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1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8.7455882352941181"/>
    <n v="0"/>
    <m/>
    <m/>
    <n v="0"/>
    <d v="2026-10-17T00:00:00"/>
    <n v="1"/>
    <n v="8.7455882352941181"/>
    <d v="2026-10-17T00:00:00"/>
    <n v="1"/>
    <n v="8.7455882352941181"/>
    <m/>
    <m/>
    <n v="0"/>
    <s v="U284-SCR-003"/>
    <d v="2026-10-17T00:00:00"/>
    <n v="1"/>
    <n v="8.7455882352941181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2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7.8710294117647059"/>
    <n v="0.87455882352941217"/>
    <m/>
    <m/>
    <n v="0"/>
    <d v="2026-10-17T00:00:00"/>
    <n v="1"/>
    <n v="8.7455882352941181"/>
    <d v="2026-10-17T00:00:00"/>
    <n v="1"/>
    <n v="8.7455882352941181"/>
    <m/>
    <m/>
    <n v="0"/>
    <m/>
    <m/>
    <m/>
    <n v="0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3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7.8710294117647059"/>
    <n v="0.87455882352941217"/>
    <m/>
    <m/>
    <n v="0"/>
    <d v="2026-10-17T00:00:00"/>
    <n v="1"/>
    <n v="8.7455882352941181"/>
    <d v="2026-10-17T00:00:00"/>
    <n v="1"/>
    <n v="8.7455882352941181"/>
    <m/>
    <m/>
    <n v="0"/>
    <m/>
    <m/>
    <m/>
    <n v="0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4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7.8710294117647059"/>
    <n v="0.87455882352941217"/>
    <m/>
    <m/>
    <n v="0"/>
    <d v="2026-10-17T00:00:00"/>
    <n v="1"/>
    <n v="8.7455882352941181"/>
    <d v="2026-10-17T00:00:00"/>
    <n v="1"/>
    <n v="8.7455882352941181"/>
    <m/>
    <m/>
    <n v="0"/>
    <m/>
    <m/>
    <m/>
    <n v="0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5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7.8710294117647059"/>
    <n v="0.87455882352941217"/>
    <m/>
    <m/>
    <n v="0"/>
    <d v="2026-10-17T00:00:00"/>
    <n v="1"/>
    <n v="8.7455882352941181"/>
    <d v="2026-10-17T00:00:00"/>
    <n v="1"/>
    <n v="8.7455882352941181"/>
    <m/>
    <m/>
    <n v="0"/>
    <m/>
    <m/>
    <m/>
    <n v="0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6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7.8710294117647059"/>
    <n v="0.87455882352941217"/>
    <m/>
    <m/>
    <n v="0"/>
    <d v="2026-10-17T00:00:00"/>
    <n v="1"/>
    <n v="8.7455882352941181"/>
    <d v="2026-10-17T00:00:00"/>
    <n v="1"/>
    <n v="8.7455882352941181"/>
    <m/>
    <m/>
    <n v="0"/>
    <m/>
    <m/>
    <m/>
    <n v="0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7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7.8710294117647059"/>
    <n v="0.87455882352941217"/>
    <m/>
    <m/>
    <n v="0"/>
    <d v="2026-10-17T00:00:00"/>
    <n v="1"/>
    <n v="8.7455882352941181"/>
    <d v="2026-10-17T00:00:00"/>
    <n v="1"/>
    <n v="8.7455882352941181"/>
    <m/>
    <m/>
    <n v="0"/>
    <m/>
    <m/>
    <m/>
    <n v="0"/>
    <m/>
    <m/>
    <n v="0"/>
    <s v="PAC"/>
    <m/>
  </r>
  <r>
    <n v="87"/>
    <x v="0"/>
    <s v="Shipment 2 CO-SCR Duct"/>
    <x v="0"/>
    <x v="0"/>
    <m/>
    <d v="2026-07-01T00:00:00"/>
    <s v="HRSG"/>
    <s v="HSG14"/>
    <s v="S3"/>
    <s v="V17566-DWXD-7540"/>
    <s v="CO-FL-9(68/68)"/>
    <s v="FIELD LINER "/>
    <n v="1"/>
    <n v="8.7455882352941181"/>
    <n v="8.7455882352941181"/>
    <s v="(457x2x1219) "/>
    <m/>
    <s v="V17566-DWND-0052"/>
    <m/>
    <m/>
    <m/>
    <m/>
    <m/>
    <m/>
    <m/>
    <m/>
    <m/>
    <m/>
    <m/>
    <n v="7.8710294117647059"/>
    <n v="0.87455882352941217"/>
    <m/>
    <m/>
    <n v="0"/>
    <d v="2026-10-17T00:00:00"/>
    <n v="1"/>
    <n v="8.7455882352941181"/>
    <d v="2026-10-17T00:00:00"/>
    <n v="1"/>
    <n v="8.7455882352941181"/>
    <m/>
    <m/>
    <n v="0"/>
    <m/>
    <m/>
    <m/>
    <n v="0"/>
    <m/>
    <m/>
    <n v="0"/>
    <s v="PAC"/>
    <m/>
  </r>
  <r>
    <n v="88"/>
    <x v="0"/>
    <s v="Shipment 2 CO-SCR Duct"/>
    <x v="0"/>
    <x v="0"/>
    <m/>
    <d v="2026-07-01T00:00:00"/>
    <s v="HRSG"/>
    <s v="HSG14"/>
    <s v="S3"/>
    <s v="V17566-DWXD-7541"/>
    <s v="CO-FL-10"/>
    <s v="FIELD LINER "/>
    <n v="4"/>
    <n v="6.2750000000000004"/>
    <n v="25.1"/>
    <s v="(457x2x876) "/>
    <m/>
    <s v="V17566-DWND-0052"/>
    <m/>
    <m/>
    <m/>
    <m/>
    <m/>
    <m/>
    <m/>
    <m/>
    <m/>
    <m/>
    <m/>
    <n v="25.100000000000005"/>
    <n v="0"/>
    <m/>
    <m/>
    <n v="0"/>
    <d v="2026-10-17T00:00:00"/>
    <n v="4"/>
    <n v="25.1"/>
    <d v="2026-10-17T00:00:00"/>
    <n v="4"/>
    <n v="25.1"/>
    <m/>
    <m/>
    <n v="0"/>
    <s v="U284-SCR-003"/>
    <d v="2026-10-17T00:00:00"/>
    <n v="4"/>
    <n v="25.1"/>
    <m/>
    <m/>
    <n v="0"/>
    <s v="PAC"/>
    <m/>
  </r>
  <r>
    <n v="89"/>
    <x v="0"/>
    <s v="Shipment 2 CO-SCR Duct"/>
    <x v="0"/>
    <x v="0"/>
    <m/>
    <d v="2026-07-01T00:00:00"/>
    <s v="HRSG"/>
    <s v="HSG14"/>
    <s v="S3"/>
    <s v="V17566-DWXD-7542"/>
    <s v="CO-FL-11"/>
    <s v="FIELD LINER "/>
    <n v="1"/>
    <n v="10.5"/>
    <n v="10.5"/>
    <s v="(457x2x1524) "/>
    <m/>
    <s v="V17566-DWND-0052"/>
    <m/>
    <m/>
    <m/>
    <m/>
    <m/>
    <m/>
    <m/>
    <m/>
    <m/>
    <m/>
    <m/>
    <n v="10.5"/>
    <n v="0"/>
    <m/>
    <m/>
    <n v="0"/>
    <d v="2026-10-17T00:00:00"/>
    <n v="1"/>
    <n v="10.5"/>
    <d v="2026-10-17T00:00:00"/>
    <n v="1"/>
    <n v="10.5"/>
    <m/>
    <m/>
    <n v="0"/>
    <s v="U284-SCR-003"/>
    <d v="2026-10-17T00:00:00"/>
    <n v="1"/>
    <n v="10.5"/>
    <m/>
    <m/>
    <n v="0"/>
    <s v="PAC"/>
    <m/>
  </r>
  <r>
    <n v="90"/>
    <x v="0"/>
    <s v="Shipment 2 CO-SCR Duct"/>
    <x v="0"/>
    <x v="0"/>
    <m/>
    <d v="2026-07-01T00:00:00"/>
    <s v="HRSG"/>
    <s v="HSG14"/>
    <s v="S3"/>
    <s v="V17566-DWXD-7543"/>
    <s v="CO-FL-12"/>
    <s v="FIELD LINER "/>
    <n v="1"/>
    <n v="8.6999999999999993"/>
    <n v="8.6999999999999993"/>
    <s v="(457x2x1219) "/>
    <m/>
    <s v="V17566-DWND-0052"/>
    <m/>
    <m/>
    <m/>
    <m/>
    <m/>
    <m/>
    <m/>
    <m/>
    <m/>
    <m/>
    <m/>
    <n v="8.6999999999999993"/>
    <n v="0"/>
    <m/>
    <m/>
    <n v="0"/>
    <d v="2026-10-17T00:00:00"/>
    <n v="1"/>
    <n v="8.6999999999999993"/>
    <d v="2026-10-17T00:00:00"/>
    <n v="1"/>
    <n v="8.6999999999999993"/>
    <m/>
    <m/>
    <n v="0"/>
    <s v="U284-SCR-003"/>
    <d v="2026-10-17T00:00:00"/>
    <n v="1"/>
    <n v="8.6999999999999993"/>
    <m/>
    <m/>
    <n v="0"/>
    <s v="PAC"/>
    <m/>
  </r>
  <r>
    <n v="91"/>
    <x v="0"/>
    <s v="Shipment 2 CO-SCR Duct"/>
    <x v="0"/>
    <x v="0"/>
    <m/>
    <d v="2026-07-01T00:00:00"/>
    <s v="HRSG"/>
    <s v="HSG14"/>
    <s v="S3"/>
    <s v="V17566-DWXD-7544"/>
    <s v="CO-FL-13"/>
    <s v="FIELD LINER "/>
    <n v="1"/>
    <n v="8.1"/>
    <n v="8.1"/>
    <s v="(457x2x1219) "/>
    <m/>
    <s v="V17566-DWND-0052"/>
    <m/>
    <m/>
    <m/>
    <m/>
    <m/>
    <m/>
    <m/>
    <m/>
    <m/>
    <m/>
    <m/>
    <n v="8.1"/>
    <n v="0"/>
    <m/>
    <m/>
    <n v="0"/>
    <d v="2026-10-17T00:00:00"/>
    <n v="1"/>
    <n v="8.1"/>
    <d v="2026-10-17T00:00:00"/>
    <n v="1"/>
    <n v="8.1"/>
    <m/>
    <m/>
    <n v="0"/>
    <s v="U284-SCR-003"/>
    <d v="2026-10-17T00:00:00"/>
    <n v="1"/>
    <n v="8.1"/>
    <m/>
    <m/>
    <n v="0"/>
    <s v="PAC"/>
    <m/>
  </r>
  <r>
    <n v="92"/>
    <x v="0"/>
    <s v="Shipment 2 CO-SCR Duct"/>
    <x v="0"/>
    <x v="0"/>
    <m/>
    <d v="2026-07-01T00:00:00"/>
    <s v="HRSG"/>
    <s v="HSG14"/>
    <s v="S3"/>
    <s v="V17566-DWXD-7545"/>
    <s v="CO-FL-14"/>
    <s v="FIELD LINER "/>
    <n v="1"/>
    <n v="8.6"/>
    <n v="8.6"/>
    <s v="(457x2x1219) "/>
    <m/>
    <s v="V17566-DWND-0052"/>
    <m/>
    <m/>
    <m/>
    <m/>
    <m/>
    <m/>
    <m/>
    <m/>
    <m/>
    <m/>
    <m/>
    <n v="8.6"/>
    <n v="0"/>
    <m/>
    <m/>
    <n v="0"/>
    <d v="2026-10-17T00:00:00"/>
    <n v="1"/>
    <n v="8.6"/>
    <d v="2026-10-17T00:00:00"/>
    <n v="1"/>
    <n v="8.6"/>
    <m/>
    <m/>
    <n v="0"/>
    <s v="U284-SCR-003"/>
    <d v="2026-10-17T00:00:00"/>
    <n v="1"/>
    <n v="8.6"/>
    <m/>
    <m/>
    <n v="0"/>
    <s v="PAC"/>
    <m/>
  </r>
  <r>
    <n v="93"/>
    <x v="0"/>
    <s v="Shipment 2 CO-SCR Duct"/>
    <x v="0"/>
    <x v="0"/>
    <m/>
    <d v="2026-07-01T00:00:00"/>
    <s v="HRSG"/>
    <s v="HSG14"/>
    <s v="S3"/>
    <s v="V17566-DWXD-7546"/>
    <s v="CO-FL-15"/>
    <s v="FIELD LINER "/>
    <n v="1"/>
    <n v="8.6999999999999993"/>
    <n v="8.6999999999999993"/>
    <s v="(457x2x1219) "/>
    <m/>
    <s v="V17566-DWND-0052"/>
    <m/>
    <m/>
    <m/>
    <m/>
    <m/>
    <m/>
    <m/>
    <m/>
    <m/>
    <m/>
    <m/>
    <n v="8.6999999999999993"/>
    <n v="0"/>
    <m/>
    <m/>
    <n v="0"/>
    <d v="2026-10-17T00:00:00"/>
    <n v="1"/>
    <n v="8.6999999999999993"/>
    <d v="2026-10-17T00:00:00"/>
    <n v="1"/>
    <n v="8.6999999999999993"/>
    <m/>
    <m/>
    <n v="0"/>
    <s v="U284-SCR-003"/>
    <d v="2026-10-17T00:00:00"/>
    <n v="1"/>
    <n v="8.6999999999999993"/>
    <m/>
    <m/>
    <n v="0"/>
    <s v="PAC"/>
    <m/>
  </r>
  <r>
    <n v="94"/>
    <x v="0"/>
    <s v="Shipment 2 CO-SCR Duct"/>
    <x v="0"/>
    <x v="0"/>
    <m/>
    <d v="2026-07-01T00:00:00"/>
    <s v="HRSG"/>
    <s v="HSG14"/>
    <s v="S3"/>
    <s v="V17566-DWXD-7547"/>
    <s v="CO-FL-16"/>
    <s v="FIELD LINER "/>
    <n v="1"/>
    <n v="5.4"/>
    <n v="5.4"/>
    <s v="(457x2x838) "/>
    <m/>
    <s v="V17566-DWND-0052"/>
    <m/>
    <m/>
    <m/>
    <m/>
    <m/>
    <m/>
    <m/>
    <m/>
    <m/>
    <m/>
    <m/>
    <n v="5.4"/>
    <n v="0"/>
    <m/>
    <m/>
    <n v="0"/>
    <d v="2026-10-17T00:00:00"/>
    <n v="1"/>
    <n v="5.4"/>
    <d v="2026-10-17T00:00:00"/>
    <n v="1"/>
    <n v="5.4"/>
    <m/>
    <m/>
    <n v="0"/>
    <s v="U284-SCR-003"/>
    <d v="2026-10-17T00:00:00"/>
    <n v="1"/>
    <n v="5.4"/>
    <m/>
    <m/>
    <n v="0"/>
    <s v="PAC"/>
    <m/>
  </r>
  <r>
    <n v="95"/>
    <x v="0"/>
    <s v="Shipment 2 CO-SCR Duct"/>
    <x v="0"/>
    <x v="0"/>
    <m/>
    <d v="2026-07-01T00:00:00"/>
    <s v="HRSG"/>
    <s v="HSG14"/>
    <s v="S3"/>
    <s v="V17566-DWXD-7548"/>
    <s v="CO-FL-17"/>
    <s v="FIELD LINER "/>
    <n v="1"/>
    <n v="10.5"/>
    <n v="10.5"/>
    <s v="(457x2x1524) "/>
    <m/>
    <s v="V17566-DWND-0052"/>
    <m/>
    <m/>
    <m/>
    <m/>
    <m/>
    <m/>
    <m/>
    <m/>
    <m/>
    <m/>
    <m/>
    <n v="10.5"/>
    <n v="0"/>
    <m/>
    <m/>
    <n v="0"/>
    <d v="2026-10-17T00:00:00"/>
    <n v="1"/>
    <n v="10.5"/>
    <d v="2026-10-17T00:00:00"/>
    <n v="1"/>
    <n v="10.5"/>
    <m/>
    <m/>
    <n v="0"/>
    <s v="U284-SCR-003"/>
    <d v="2026-10-17T00:00:00"/>
    <n v="1"/>
    <n v="10.5"/>
    <m/>
    <m/>
    <n v="0"/>
    <s v="PAC"/>
    <m/>
  </r>
  <r>
    <n v="96"/>
    <x v="0"/>
    <s v="Shipment 2 CO-SCR Duct"/>
    <x v="0"/>
    <x v="0"/>
    <m/>
    <d v="2026-07-01T00:00:00"/>
    <s v="HRSG"/>
    <s v="HSG14"/>
    <s v="S3"/>
    <s v="V17566-DWXD-7549"/>
    <s v="CO-FL-18"/>
    <s v="FIELD LINER "/>
    <n v="2"/>
    <n v="11.95"/>
    <n v="23.9"/>
    <s v="(457x2x1765) "/>
    <m/>
    <s v="V17566-DWND-0052"/>
    <m/>
    <m/>
    <m/>
    <m/>
    <m/>
    <m/>
    <m/>
    <m/>
    <m/>
    <m/>
    <m/>
    <n v="23.9"/>
    <n v="0"/>
    <m/>
    <m/>
    <n v="0"/>
    <d v="2026-10-17T00:00:00"/>
    <n v="2"/>
    <n v="23.9"/>
    <d v="2026-10-17T00:00:00"/>
    <n v="2"/>
    <n v="23.9"/>
    <m/>
    <m/>
    <n v="0"/>
    <s v="U284-SCR-003"/>
    <d v="2026-10-17T00:00:00"/>
    <n v="2"/>
    <n v="23.9"/>
    <m/>
    <m/>
    <n v="0"/>
    <s v="PAC"/>
    <m/>
  </r>
  <r>
    <n v="97"/>
    <x v="0"/>
    <s v="Shipment 2 CO-SCR Duct"/>
    <x v="0"/>
    <x v="0"/>
    <m/>
    <d v="2026-07-01T00:00:00"/>
    <s v="HRSG"/>
    <s v="HSG14"/>
    <s v="S3"/>
    <s v="V17566-DWXD-7550"/>
    <s v="CO-FL-19"/>
    <s v="FIELD LINER "/>
    <n v="2"/>
    <n v="8.4499999999999993"/>
    <n v="16.899999999999999"/>
    <s v="(457x2x1219) "/>
    <m/>
    <s v="V17566-DWND-0052"/>
    <m/>
    <m/>
    <m/>
    <m/>
    <m/>
    <m/>
    <m/>
    <m/>
    <m/>
    <m/>
    <m/>
    <n v="16.899999999999999"/>
    <n v="0"/>
    <m/>
    <m/>
    <n v="0"/>
    <d v="2026-10-17T00:00:00"/>
    <n v="2"/>
    <n v="16.899999999999999"/>
    <d v="2026-10-17T00:00:00"/>
    <n v="2"/>
    <n v="16.899999999999999"/>
    <m/>
    <m/>
    <n v="0"/>
    <s v="U284-SCR-003"/>
    <d v="2026-10-17T00:00:00"/>
    <n v="2"/>
    <n v="16.899999999999999"/>
    <m/>
    <m/>
    <n v="0"/>
    <s v="PAC"/>
    <m/>
  </r>
  <r>
    <n v="98"/>
    <x v="0"/>
    <s v="Shipment 2 CO-SCR Duct"/>
    <x v="0"/>
    <x v="0"/>
    <m/>
    <d v="2026-07-01T00:00:00"/>
    <s v="HRSG"/>
    <s v="HSG14"/>
    <s v="S3"/>
    <s v="V17566-DWXD-7551"/>
    <s v="CO-FL-20"/>
    <s v="FIELD LINER "/>
    <n v="2"/>
    <n v="8.4499999999999993"/>
    <n v="16.899999999999999"/>
    <s v="(457x2x1219) "/>
    <m/>
    <s v="V17566-DWND-0052"/>
    <m/>
    <m/>
    <m/>
    <m/>
    <m/>
    <m/>
    <m/>
    <m/>
    <m/>
    <m/>
    <m/>
    <n v="16.899999999999999"/>
    <n v="0"/>
    <m/>
    <m/>
    <n v="0"/>
    <d v="2026-10-17T00:00:00"/>
    <n v="2"/>
    <n v="16.899999999999999"/>
    <d v="2026-10-17T00:00:00"/>
    <n v="2"/>
    <n v="16.899999999999999"/>
    <m/>
    <m/>
    <n v="0"/>
    <s v="U284-SCR-003"/>
    <d v="2026-10-17T00:00:00"/>
    <n v="2"/>
    <n v="16.899999999999999"/>
    <m/>
    <m/>
    <n v="0"/>
    <s v="PAC"/>
    <m/>
  </r>
  <r>
    <n v="99"/>
    <x v="0"/>
    <s v="Shipment 2 CO-SCR Duct"/>
    <x v="0"/>
    <x v="0"/>
    <m/>
    <d v="2026-07-01T00:00:00"/>
    <s v="HRSG"/>
    <s v="HSG14"/>
    <s v="S3"/>
    <s v="V17566-DWXD-7552"/>
    <s v="CO-FL-21"/>
    <s v="FIELD LINER "/>
    <n v="2"/>
    <n v="8.4499999999999993"/>
    <n v="16.899999999999999"/>
    <s v="(457x2x1219) "/>
    <m/>
    <s v="V17566-DWND-0052"/>
    <m/>
    <m/>
    <m/>
    <m/>
    <m/>
    <m/>
    <m/>
    <m/>
    <m/>
    <m/>
    <m/>
    <n v="16.899999999999999"/>
    <n v="0"/>
    <m/>
    <m/>
    <n v="0"/>
    <d v="2026-10-17T00:00:00"/>
    <n v="2"/>
    <n v="16.899999999999999"/>
    <d v="2026-10-17T00:00:00"/>
    <n v="2"/>
    <n v="16.899999999999999"/>
    <m/>
    <m/>
    <n v="0"/>
    <s v="U284-SCR-003"/>
    <d v="2026-10-17T00:00:00"/>
    <n v="2"/>
    <n v="16.899999999999999"/>
    <m/>
    <m/>
    <n v="0"/>
    <s v="PAC"/>
    <m/>
  </r>
  <r>
    <n v="100"/>
    <x v="0"/>
    <s v="Shipment 2 CO-SCR Duct"/>
    <x v="0"/>
    <x v="0"/>
    <m/>
    <d v="2026-07-01T00:00:00"/>
    <s v="HRSG"/>
    <s v="HSG14"/>
    <s v="S3"/>
    <s v="V17566-DWXD-7553"/>
    <s v="CO-FL-22"/>
    <s v="FIELD LINER "/>
    <n v="4"/>
    <n v="8.4749999999999996"/>
    <n v="33.9"/>
    <s v="(457x2x1219) "/>
    <m/>
    <s v="V17566-DWND-0052"/>
    <m/>
    <m/>
    <m/>
    <m/>
    <m/>
    <m/>
    <m/>
    <m/>
    <m/>
    <m/>
    <m/>
    <n v="33.9"/>
    <n v="0"/>
    <m/>
    <m/>
    <n v="0"/>
    <d v="2026-10-17T00:00:00"/>
    <n v="4"/>
    <n v="33.9"/>
    <d v="2026-10-17T00:00:00"/>
    <n v="4"/>
    <n v="33.9"/>
    <m/>
    <m/>
    <n v="0"/>
    <s v="U284-SCR-003"/>
    <d v="2026-10-17T00:00:00"/>
    <n v="4"/>
    <n v="33.9"/>
    <m/>
    <m/>
    <n v="0"/>
    <s v="PAC"/>
    <m/>
  </r>
  <r>
    <n v="101"/>
    <x v="0"/>
    <s v="Shipment 2 CO-SCR Duct"/>
    <x v="0"/>
    <x v="0"/>
    <m/>
    <d v="2026-07-01T00:00:00"/>
    <s v="HRSG"/>
    <s v="HSG14"/>
    <s v="S3"/>
    <s v="V17566-DWXD-7554"/>
    <s v="CO-FL-23"/>
    <s v="FIELD LINER "/>
    <n v="2"/>
    <n v="6.75"/>
    <n v="13.5"/>
    <s v="(457x2x981) "/>
    <m/>
    <s v="V17566-DWND-0052"/>
    <m/>
    <m/>
    <m/>
    <m/>
    <m/>
    <m/>
    <m/>
    <m/>
    <m/>
    <m/>
    <m/>
    <n v="13.5"/>
    <n v="0"/>
    <m/>
    <m/>
    <n v="0"/>
    <d v="2026-10-17T00:00:00"/>
    <n v="2"/>
    <n v="13.5"/>
    <d v="2026-10-17T00:00:00"/>
    <n v="2"/>
    <n v="13.5"/>
    <m/>
    <m/>
    <n v="0"/>
    <s v="U284-SCR-003"/>
    <d v="2026-10-17T00:00:00"/>
    <n v="2"/>
    <n v="13.5"/>
    <m/>
    <m/>
    <n v="0"/>
    <s v="PAC"/>
    <m/>
  </r>
  <r>
    <n v="102"/>
    <x v="0"/>
    <s v="Shipment 2 CO-SCR Duct"/>
    <x v="0"/>
    <x v="0"/>
    <m/>
    <d v="2026-07-01T00:00:00"/>
    <s v="HRSG"/>
    <s v="HSG14"/>
    <s v="S3"/>
    <s v="V17566-DWXD-7555"/>
    <s v="CO-FL-24"/>
    <s v="FIELD LINER "/>
    <n v="2"/>
    <n v="8.1999999999999993"/>
    <n v="16.399999999999999"/>
    <s v="(457x2x1143) "/>
    <m/>
    <s v="V17566-DWND-0052"/>
    <m/>
    <m/>
    <m/>
    <m/>
    <m/>
    <m/>
    <m/>
    <m/>
    <m/>
    <m/>
    <m/>
    <n v="16.399999999999999"/>
    <n v="0"/>
    <m/>
    <m/>
    <n v="0"/>
    <d v="2026-10-17T00:00:00"/>
    <n v="2"/>
    <n v="16.399999999999999"/>
    <d v="2026-10-17T00:00:00"/>
    <n v="2"/>
    <n v="16.399999999999999"/>
    <m/>
    <m/>
    <n v="0"/>
    <s v="U284-SCR-003"/>
    <d v="2026-10-17T00:00:00"/>
    <n v="2"/>
    <n v="16.399999999999999"/>
    <m/>
    <m/>
    <n v="0"/>
    <s v="PAC"/>
    <m/>
  </r>
  <r>
    <n v="103"/>
    <x v="0"/>
    <s v="Shipment 2 CO-SCR Duct"/>
    <x v="0"/>
    <x v="0"/>
    <m/>
    <d v="2026-07-01T00:00:00"/>
    <s v="HRSG"/>
    <s v="HSG14"/>
    <s v="S3"/>
    <s v="V17566-DWXD-7556"/>
    <s v="CO-FL-25"/>
    <s v="FIELD LINER "/>
    <n v="1"/>
    <n v="4"/>
    <n v="4"/>
    <s v="(672x192x192) "/>
    <m/>
    <s v="V17566-DWND-0052"/>
    <m/>
    <m/>
    <m/>
    <m/>
    <m/>
    <m/>
    <m/>
    <m/>
    <m/>
    <m/>
    <m/>
    <n v="4"/>
    <n v="0"/>
    <m/>
    <m/>
    <n v="0"/>
    <d v="2026-10-17T00:00:00"/>
    <n v="1"/>
    <n v="4"/>
    <d v="2026-10-17T00:00:00"/>
    <n v="1"/>
    <n v="4"/>
    <m/>
    <m/>
    <n v="0"/>
    <s v="U284-SCR-003"/>
    <d v="2026-10-17T00:00:00"/>
    <n v="1"/>
    <n v="4"/>
    <m/>
    <m/>
    <n v="0"/>
    <s v="PAC"/>
    <m/>
  </r>
  <r>
    <n v="104"/>
    <x v="0"/>
    <s v="Shipment 2 CO-SCR Duct"/>
    <x v="0"/>
    <x v="0"/>
    <m/>
    <d v="2026-07-01T00:00:00"/>
    <s v="HRSG"/>
    <s v="HSG14"/>
    <s v="S3"/>
    <s v="V17566-DWXD-7557"/>
    <s v="CO-FL-26"/>
    <s v="FIELD LINER "/>
    <n v="2"/>
    <n v="4.7"/>
    <n v="9.4"/>
    <s v="(786x192x192) "/>
    <m/>
    <s v="V17566-DWND-0052"/>
    <m/>
    <m/>
    <m/>
    <m/>
    <m/>
    <m/>
    <m/>
    <m/>
    <m/>
    <m/>
    <m/>
    <n v="9.4"/>
    <n v="0"/>
    <m/>
    <m/>
    <n v="0"/>
    <d v="2026-10-17T00:00:00"/>
    <n v="2"/>
    <n v="9.4"/>
    <d v="2026-10-17T00:00:00"/>
    <n v="2"/>
    <n v="9.4"/>
    <m/>
    <m/>
    <n v="0"/>
    <s v="U284-SCR-003"/>
    <d v="2026-10-17T00:00:00"/>
    <n v="2"/>
    <n v="9.4"/>
    <m/>
    <m/>
    <n v="0"/>
    <s v="PAC"/>
    <m/>
  </r>
  <r>
    <n v="105"/>
    <x v="0"/>
    <s v="Shipment 2 CO-SCR Duct"/>
    <x v="0"/>
    <x v="0"/>
    <m/>
    <d v="2026-07-01T00:00:00"/>
    <s v="HRSG"/>
    <s v="HSG14"/>
    <s v="S3"/>
    <s v="V17566-DWXD-7558"/>
    <s v="CO-FL-27"/>
    <s v="FIELD LINER "/>
    <n v="1"/>
    <n v="4"/>
    <n v="4"/>
    <s v="(672x192x192) "/>
    <m/>
    <s v="V17566-DWND-0052"/>
    <m/>
    <m/>
    <m/>
    <m/>
    <m/>
    <m/>
    <m/>
    <m/>
    <m/>
    <m/>
    <m/>
    <n v="4"/>
    <n v="0"/>
    <m/>
    <m/>
    <n v="0"/>
    <d v="2026-10-17T00:00:00"/>
    <n v="1"/>
    <n v="4"/>
    <d v="2026-10-17T00:00:00"/>
    <n v="1"/>
    <n v="4"/>
    <m/>
    <m/>
    <n v="0"/>
    <s v="U284-SCR-003"/>
    <d v="2026-10-17T00:00:00"/>
    <n v="1"/>
    <n v="4"/>
    <m/>
    <m/>
    <n v="0"/>
    <s v="PAC"/>
    <m/>
  </r>
  <r>
    <n v="106"/>
    <x v="0"/>
    <s v="Shipment 2 CO-SCR Duct"/>
    <x v="0"/>
    <x v="0"/>
    <m/>
    <d v="2026-07-01T00:00:00"/>
    <s v="HRSG"/>
    <s v="HSG14"/>
    <s v="S3"/>
    <s v="V17566-DWXD-7559"/>
    <s v="CO-FL-28"/>
    <s v="FIELD LINER "/>
    <n v="1"/>
    <n v="5"/>
    <n v="5"/>
    <s v="(838x192x192) "/>
    <m/>
    <s v="V17566-DWND-0052"/>
    <m/>
    <m/>
    <m/>
    <m/>
    <m/>
    <m/>
    <m/>
    <m/>
    <m/>
    <m/>
    <m/>
    <n v="5"/>
    <n v="0"/>
    <m/>
    <m/>
    <n v="0"/>
    <d v="2026-10-17T00:00:00"/>
    <n v="1"/>
    <n v="5"/>
    <d v="2026-10-17T00:00:00"/>
    <n v="1"/>
    <n v="5"/>
    <m/>
    <m/>
    <n v="0"/>
    <s v="U284-SCR-003"/>
    <d v="2026-10-17T00:00:00"/>
    <n v="1"/>
    <n v="5"/>
    <m/>
    <m/>
    <n v="0"/>
    <s v="PAC"/>
    <m/>
  </r>
  <r>
    <n v="107"/>
    <x v="0"/>
    <s v="Shipment 2 CO-SCR Duct"/>
    <x v="0"/>
    <x v="0"/>
    <m/>
    <d v="2026-07-01T00:00:00"/>
    <s v="HRSG"/>
    <s v="HSG14"/>
    <s v="S3"/>
    <s v="V17566-DWXD-7560"/>
    <s v="CO-FL-29"/>
    <s v="FIELD LINER "/>
    <n v="1"/>
    <n v="5"/>
    <n v="5"/>
    <s v="(838x192x192) "/>
    <m/>
    <s v="V17566-DWND-0052"/>
    <m/>
    <m/>
    <m/>
    <m/>
    <m/>
    <m/>
    <m/>
    <m/>
    <m/>
    <m/>
    <m/>
    <n v="5"/>
    <n v="0"/>
    <m/>
    <m/>
    <n v="0"/>
    <d v="2026-10-17T00:00:00"/>
    <n v="1"/>
    <n v="5"/>
    <d v="2026-10-17T00:00:00"/>
    <n v="1"/>
    <n v="5"/>
    <m/>
    <m/>
    <n v="0"/>
    <s v="U284-SCR-003"/>
    <d v="2026-10-17T00:00:00"/>
    <n v="1"/>
    <n v="5"/>
    <m/>
    <m/>
    <n v="0"/>
    <s v="PAC"/>
    <m/>
  </r>
  <r>
    <n v="107"/>
    <x v="0"/>
    <s v="Shipment 2 CO-SCR Duct"/>
    <x v="0"/>
    <x v="0"/>
    <m/>
    <d v="2026-07-01T00:00:00"/>
    <s v="HRSG"/>
    <s v="HSG14"/>
    <s v="S3"/>
    <s v="V17566-DWXD-7561"/>
    <s v="CO-FL-30"/>
    <s v="FIELD LINER "/>
    <n v="1"/>
    <n v="6.8"/>
    <n v="6.8"/>
    <s v="(1138x192x192) "/>
    <m/>
    <s v="V17566-DWND-0052"/>
    <m/>
    <m/>
    <m/>
    <m/>
    <m/>
    <m/>
    <m/>
    <m/>
    <m/>
    <m/>
    <m/>
    <n v="0"/>
    <n v="6.8"/>
    <m/>
    <m/>
    <n v="0"/>
    <m/>
    <m/>
    <n v="0"/>
    <m/>
    <m/>
    <n v="0"/>
    <m/>
    <m/>
    <n v="0"/>
    <m/>
    <m/>
    <m/>
    <n v="0"/>
    <m/>
    <m/>
    <n v="0"/>
    <s v="PAC"/>
    <m/>
  </r>
  <r>
    <n v="107"/>
    <x v="0"/>
    <s v="Shipment 2 CO-SCR Duct"/>
    <x v="0"/>
    <x v="0"/>
    <m/>
    <d v="2026-07-01T00:00:00"/>
    <s v="HRSG"/>
    <s v="HSG14"/>
    <s v="S3"/>
    <s v="V17566-DWXD-7562"/>
    <s v="CO-FL-31"/>
    <s v="FIELD LINER "/>
    <n v="1"/>
    <n v="6.8"/>
    <n v="6.8"/>
    <s v="(1138x192x192) "/>
    <m/>
    <s v="V17566-DWND-0052"/>
    <m/>
    <m/>
    <m/>
    <m/>
    <m/>
    <m/>
    <m/>
    <m/>
    <m/>
    <m/>
    <m/>
    <n v="0"/>
    <n v="6.8"/>
    <m/>
    <m/>
    <n v="0"/>
    <m/>
    <m/>
    <n v="0"/>
    <m/>
    <m/>
    <n v="0"/>
    <m/>
    <m/>
    <n v="0"/>
    <m/>
    <m/>
    <m/>
    <n v="0"/>
    <m/>
    <m/>
    <n v="0"/>
    <s v="PAC"/>
    <m/>
  </r>
  <r>
    <n v="108"/>
    <x v="0"/>
    <s v="Shipment 2 CO-SCR Duct"/>
    <x v="0"/>
    <x v="0"/>
    <m/>
    <d v="2026-07-01T00:00:00"/>
    <s v="HRSG"/>
    <s v="HSG14"/>
    <s v="S3"/>
    <s v="V17566-DWXD-7563"/>
    <s v="CO-FL-32"/>
    <s v="FIELD LINER "/>
    <n v="1"/>
    <n v="5.0999999999999996"/>
    <n v="5.0999999999999996"/>
    <s v="(871x193x192) "/>
    <m/>
    <s v="V17566-DWND-0052"/>
    <m/>
    <m/>
    <m/>
    <m/>
    <m/>
    <m/>
    <m/>
    <m/>
    <m/>
    <m/>
    <m/>
    <n v="5.0999999999999996"/>
    <n v="0"/>
    <m/>
    <m/>
    <n v="0"/>
    <d v="2026-10-17T00:00:00"/>
    <n v="1"/>
    <n v="5.0999999999999996"/>
    <d v="2026-10-17T00:00:00"/>
    <n v="1"/>
    <n v="5.0999999999999996"/>
    <m/>
    <m/>
    <n v="0"/>
    <s v="U284-SCR-003"/>
    <d v="2026-10-17T00:00:00"/>
    <n v="1"/>
    <n v="5.0999999999999996"/>
    <m/>
    <m/>
    <n v="0"/>
    <s v="PAC"/>
    <m/>
  </r>
  <r>
    <n v="109"/>
    <x v="0"/>
    <s v="Shipment 2 CO-SCR Duct"/>
    <x v="0"/>
    <x v="0"/>
    <m/>
    <d v="2026-07-01T00:00:00"/>
    <s v="HRSG"/>
    <s v="HSG14"/>
    <s v="S3"/>
    <s v="V17566-DWXD-7564"/>
    <s v="CO-FL-33"/>
    <s v="FIELD LINER "/>
    <n v="1"/>
    <n v="5.0999999999999996"/>
    <n v="5.0999999999999996"/>
    <s v="(871x193x192) "/>
    <m/>
    <s v="V17566-DWND-0052"/>
    <m/>
    <m/>
    <m/>
    <m/>
    <m/>
    <m/>
    <m/>
    <m/>
    <m/>
    <m/>
    <m/>
    <n v="5.0999999999999996"/>
    <n v="0"/>
    <m/>
    <m/>
    <n v="0"/>
    <d v="2026-10-17T00:00:00"/>
    <n v="1"/>
    <n v="5.0999999999999996"/>
    <d v="2026-10-17T00:00:00"/>
    <n v="1"/>
    <n v="5.0999999999999996"/>
    <m/>
    <m/>
    <n v="0"/>
    <s v="U284-SCR-003"/>
    <d v="2026-10-17T00:00:00"/>
    <n v="1"/>
    <n v="5.0999999999999996"/>
    <m/>
    <m/>
    <n v="0"/>
    <s v="PAC"/>
    <m/>
  </r>
  <r>
    <n v="110"/>
    <x v="0"/>
    <s v="Shipment 2 CO-SCR Duct"/>
    <x v="0"/>
    <x v="0"/>
    <m/>
    <d v="2026-07-01T00:00:00"/>
    <s v="HRSG"/>
    <s v="HSG14"/>
    <s v="S3"/>
    <s v="V17566-DWXD-7565"/>
    <s v="CO-FL-34"/>
    <s v="FIELD LINER "/>
    <n v="1"/>
    <n v="7.3"/>
    <n v="7.3"/>
    <s v="(1238x193x192) "/>
    <m/>
    <s v="V17566-DWND-0052"/>
    <m/>
    <m/>
    <m/>
    <m/>
    <m/>
    <m/>
    <m/>
    <m/>
    <m/>
    <m/>
    <m/>
    <n v="7.3000000000000007"/>
    <n v="0"/>
    <m/>
    <m/>
    <n v="0"/>
    <d v="2026-10-17T00:00:00"/>
    <n v="1"/>
    <n v="7.3"/>
    <d v="2026-10-17T00:00:00"/>
    <n v="1"/>
    <n v="7.3"/>
    <m/>
    <m/>
    <n v="0"/>
    <s v="U284-SCR-003"/>
    <d v="2026-10-17T00:00:00"/>
    <n v="1"/>
    <n v="7.3"/>
    <m/>
    <m/>
    <n v="0"/>
    <s v="PAC"/>
    <m/>
  </r>
  <r>
    <n v="111"/>
    <x v="0"/>
    <s v="Shipment 2 CO-SCR Duct"/>
    <x v="0"/>
    <x v="0"/>
    <m/>
    <d v="2026-07-01T00:00:00"/>
    <s v="HRSG"/>
    <s v="HSG14"/>
    <s v="S3"/>
    <s v="V17566-DWXD-7566"/>
    <s v="CO-FL-35"/>
    <s v="FIELD LINER "/>
    <n v="1"/>
    <n v="7.3"/>
    <n v="7.3"/>
    <s v="(1238x193x192) "/>
    <m/>
    <s v="V17566-DWND-0052"/>
    <m/>
    <m/>
    <m/>
    <m/>
    <m/>
    <m/>
    <m/>
    <m/>
    <m/>
    <m/>
    <m/>
    <n v="7.3000000000000007"/>
    <n v="0"/>
    <m/>
    <m/>
    <n v="0"/>
    <d v="2026-10-17T00:00:00"/>
    <n v="1"/>
    <n v="7.3"/>
    <d v="2026-10-17T00:00:00"/>
    <n v="1"/>
    <n v="7.3"/>
    <m/>
    <m/>
    <n v="0"/>
    <s v="U284-SCR-003"/>
    <d v="2026-10-17T00:00:00"/>
    <n v="1"/>
    <n v="7.3"/>
    <m/>
    <m/>
    <n v="0"/>
    <s v="PAC"/>
    <m/>
  </r>
  <r>
    <n v="112"/>
    <x v="0"/>
    <s v="Shipment 2 CO-SCR Duct"/>
    <x v="0"/>
    <x v="0"/>
    <m/>
    <d v="2026-07-01T00:00:00"/>
    <s v="HRSG"/>
    <s v="HSG14"/>
    <s v="S3"/>
    <s v="V17566-DWXD-7567"/>
    <s v="CO-FL-36"/>
    <s v="FIELD LINER "/>
    <n v="1"/>
    <n v="6.4"/>
    <n v="6.4"/>
    <s v="(1057x192x192) "/>
    <m/>
    <s v="V17566-DWND-0052"/>
    <m/>
    <m/>
    <m/>
    <m/>
    <m/>
    <m/>
    <m/>
    <m/>
    <m/>
    <m/>
    <m/>
    <n v="6.4"/>
    <n v="0"/>
    <m/>
    <m/>
    <n v="0"/>
    <d v="2026-10-17T00:00:00"/>
    <n v="1"/>
    <n v="6.4"/>
    <d v="2026-10-17T00:00:00"/>
    <n v="1"/>
    <n v="6.4"/>
    <m/>
    <m/>
    <n v="0"/>
    <s v="U284-SCR-003"/>
    <d v="2026-10-17T00:00:00"/>
    <n v="1"/>
    <n v="6.4"/>
    <m/>
    <m/>
    <n v="0"/>
    <s v="PAC"/>
    <m/>
  </r>
  <r>
    <n v="113"/>
    <x v="0"/>
    <s v="Shipment 2 CO-SCR Duct"/>
    <x v="0"/>
    <x v="0"/>
    <m/>
    <d v="2026-07-01T00:00:00"/>
    <s v="HRSG"/>
    <s v="HSG14"/>
    <s v="S3"/>
    <s v="V17566-DWXD-7568"/>
    <s v="CO-FL-37"/>
    <s v="FIELD LINER "/>
    <n v="1"/>
    <n v="6.4"/>
    <n v="6.4"/>
    <s v="(1057x192x192) "/>
    <m/>
    <s v="V17566-DWND-0052"/>
    <m/>
    <m/>
    <m/>
    <m/>
    <m/>
    <m/>
    <m/>
    <m/>
    <m/>
    <m/>
    <m/>
    <n v="6.4"/>
    <n v="0"/>
    <m/>
    <m/>
    <n v="0"/>
    <d v="2026-10-17T00:00:00"/>
    <n v="1"/>
    <n v="6.4"/>
    <d v="2026-10-17T00:00:00"/>
    <n v="1"/>
    <n v="6.4"/>
    <m/>
    <m/>
    <n v="0"/>
    <s v="U284-SCR-003"/>
    <d v="2026-10-17T00:00:00"/>
    <n v="1"/>
    <n v="6.4"/>
    <m/>
    <m/>
    <n v="0"/>
    <s v="PAC"/>
    <m/>
  </r>
  <r>
    <n v="114"/>
    <x v="0"/>
    <s v="Shipment 2 CO-SCR Duct"/>
    <x v="0"/>
    <x v="0"/>
    <m/>
    <d v="2026-07-01T00:00:00"/>
    <s v="HRSG"/>
    <s v="HSG14"/>
    <s v="S3"/>
    <s v="V17566-DWXD-7569"/>
    <s v="CO-FL-38"/>
    <s v="FIELD LINER "/>
    <n v="1"/>
    <n v="5"/>
    <n v="5"/>
    <s v="(837x192x192) "/>
    <m/>
    <s v="V17566-DWND-0052"/>
    <m/>
    <m/>
    <m/>
    <m/>
    <m/>
    <m/>
    <m/>
    <m/>
    <m/>
    <m/>
    <m/>
    <n v="5"/>
    <n v="0"/>
    <m/>
    <m/>
    <n v="0"/>
    <d v="2026-10-17T00:00:00"/>
    <n v="1"/>
    <n v="5"/>
    <d v="2026-10-17T00:00:00"/>
    <n v="1"/>
    <n v="5"/>
    <m/>
    <m/>
    <n v="0"/>
    <s v="U284-SCR-003"/>
    <d v="2026-10-17T00:00:00"/>
    <n v="1"/>
    <n v="5"/>
    <m/>
    <m/>
    <n v="0"/>
    <s v="PAC"/>
    <m/>
  </r>
  <r>
    <n v="115"/>
    <x v="0"/>
    <s v="Shipment 2 CO-SCR Duct"/>
    <x v="0"/>
    <x v="0"/>
    <m/>
    <d v="2026-07-01T00:00:00"/>
    <s v="HRSG"/>
    <s v="HSG14"/>
    <s v="S3"/>
    <s v="V17566-DWXD-7570"/>
    <s v="CO-FL-39"/>
    <s v="FIELD LINER "/>
    <n v="1"/>
    <n v="5"/>
    <n v="5"/>
    <s v="(837x192x192) "/>
    <m/>
    <s v="V17566-DWND-0052"/>
    <m/>
    <m/>
    <m/>
    <m/>
    <m/>
    <m/>
    <m/>
    <m/>
    <m/>
    <m/>
    <m/>
    <n v="5"/>
    <n v="0"/>
    <m/>
    <m/>
    <n v="0"/>
    <d v="2026-10-17T00:00:00"/>
    <n v="1"/>
    <n v="5"/>
    <d v="2026-10-17T00:00:00"/>
    <n v="1"/>
    <n v="5"/>
    <m/>
    <m/>
    <n v="0"/>
    <s v="U284-SCR-003"/>
    <d v="2026-10-17T00:00:00"/>
    <n v="1"/>
    <n v="5"/>
    <m/>
    <m/>
    <n v="0"/>
    <s v="PAC"/>
    <m/>
  </r>
  <r>
    <n v="116"/>
    <x v="0"/>
    <s v="Shipment 2 CO-SCR Duct"/>
    <x v="0"/>
    <x v="0"/>
    <m/>
    <d v="2026-07-01T00:00:00"/>
    <s v="HRSG"/>
    <s v="HSG14"/>
    <s v="S3"/>
    <s v="V17566-DWXD-7571"/>
    <s v="CO-FL-40"/>
    <s v="FIELD LINER "/>
    <n v="1"/>
    <n v="5.8"/>
    <n v="5.8"/>
    <s v="(971x192x192) "/>
    <m/>
    <s v="V17566-DWND-0052"/>
    <m/>
    <m/>
    <m/>
    <m/>
    <m/>
    <m/>
    <m/>
    <m/>
    <m/>
    <m/>
    <m/>
    <n v="5.8"/>
    <n v="0"/>
    <m/>
    <m/>
    <n v="0"/>
    <d v="2026-10-17T00:00:00"/>
    <n v="1"/>
    <n v="5.8"/>
    <d v="2026-10-17T00:00:00"/>
    <n v="1"/>
    <n v="5.8"/>
    <m/>
    <m/>
    <n v="0"/>
    <s v="U284-SCR-003"/>
    <d v="2026-10-17T00:00:00"/>
    <n v="1"/>
    <n v="5.8"/>
    <m/>
    <m/>
    <n v="0"/>
    <s v="PAC"/>
    <m/>
  </r>
  <r>
    <n v="117"/>
    <x v="0"/>
    <s v="Shipment 2 CO-SCR Duct"/>
    <x v="0"/>
    <x v="0"/>
    <m/>
    <d v="2026-07-01T00:00:00"/>
    <s v="HRSG"/>
    <s v="HSG14"/>
    <s v="S3"/>
    <s v="V17566-DWXD-7572"/>
    <s v="CO-FL-41"/>
    <s v="FIELD LINER "/>
    <n v="1"/>
    <n v="5.8"/>
    <n v="5.8"/>
    <s v="(971x192x192) "/>
    <m/>
    <s v="V17566-DWND-0052"/>
    <m/>
    <m/>
    <m/>
    <m/>
    <m/>
    <m/>
    <m/>
    <m/>
    <m/>
    <m/>
    <m/>
    <n v="5.8"/>
    <n v="0"/>
    <m/>
    <m/>
    <n v="0"/>
    <d v="2026-10-17T00:00:00"/>
    <n v="1"/>
    <n v="5.8"/>
    <d v="2026-10-17T00:00:00"/>
    <n v="1"/>
    <n v="5.8"/>
    <m/>
    <m/>
    <n v="0"/>
    <s v="U284-SCR-003"/>
    <d v="2026-10-17T00:00:00"/>
    <n v="1"/>
    <n v="5.8"/>
    <m/>
    <m/>
    <n v="0"/>
    <s v="PAC"/>
    <m/>
  </r>
  <r>
    <n v="118"/>
    <x v="0"/>
    <s v="Shipment 2 CO-SCR Duct"/>
    <x v="0"/>
    <x v="0"/>
    <m/>
    <d v="2026-07-01T00:00:00"/>
    <s v="HRSG"/>
    <s v="HSG14"/>
    <s v="S3"/>
    <s v="V17566-DWXD-7573"/>
    <s v="CO-FL-42"/>
    <s v="FIELD LINER "/>
    <n v="1"/>
    <n v="4.4000000000000004"/>
    <n v="4.4000000000000004"/>
    <s v="(664x167x257) "/>
    <m/>
    <s v="V17566-DWND-0052"/>
    <m/>
    <m/>
    <m/>
    <m/>
    <m/>
    <m/>
    <m/>
    <m/>
    <m/>
    <m/>
    <m/>
    <n v="4.4000000000000004"/>
    <n v="0"/>
    <m/>
    <m/>
    <n v="0"/>
    <d v="2026-10-17T00:00:00"/>
    <n v="1"/>
    <n v="4.4000000000000004"/>
    <d v="2026-10-17T00:00:00"/>
    <n v="1"/>
    <n v="4.4000000000000004"/>
    <m/>
    <m/>
    <n v="0"/>
    <s v="U284-SCR-003"/>
    <d v="2026-10-17T00:00:00"/>
    <n v="1"/>
    <n v="4.4000000000000004"/>
    <m/>
    <m/>
    <n v="0"/>
    <s v="PAC"/>
    <m/>
  </r>
  <r>
    <n v="119"/>
    <x v="0"/>
    <s v="Shipment 2 CO-SCR Duct"/>
    <x v="0"/>
    <x v="0"/>
    <m/>
    <d v="2026-07-01T00:00:00"/>
    <s v="HRSG"/>
    <s v="HSG14"/>
    <s v="S3"/>
    <s v="V17566-DWXD-7574"/>
    <s v="CO-FL-43"/>
    <s v="FIELD LINER "/>
    <n v="1"/>
    <n v="4.4000000000000004"/>
    <n v="4.4000000000000004"/>
    <s v="(664x167x257) "/>
    <m/>
    <s v="V17566-DWND-0052"/>
    <m/>
    <m/>
    <m/>
    <m/>
    <m/>
    <m/>
    <m/>
    <m/>
    <m/>
    <m/>
    <m/>
    <n v="4.4000000000000004"/>
    <n v="0"/>
    <m/>
    <m/>
    <n v="0"/>
    <d v="2026-10-17T00:00:00"/>
    <n v="1"/>
    <n v="4.4000000000000004"/>
    <d v="2026-10-17T00:00:00"/>
    <n v="1"/>
    <n v="4.4000000000000004"/>
    <m/>
    <m/>
    <n v="0"/>
    <s v="U284-SCR-003"/>
    <d v="2026-10-17T00:00:00"/>
    <n v="1"/>
    <n v="4.4000000000000004"/>
    <m/>
    <m/>
    <n v="0"/>
    <s v="PAC"/>
    <m/>
  </r>
  <r>
    <n v="120"/>
    <x v="0"/>
    <s v="Shipment 2 CO-SCR Duct"/>
    <x v="0"/>
    <x v="0"/>
    <m/>
    <d v="2026-07-01T00:00:00"/>
    <s v="HRSG"/>
    <s v="HSG14"/>
    <s v="S3"/>
    <s v="V17566-DWXD-7575"/>
    <s v="CO-FL-44"/>
    <s v="FIELD LINER "/>
    <n v="1"/>
    <n v="5.4"/>
    <n v="5.4"/>
    <s v="(1087x192x192) "/>
    <m/>
    <s v="V17566-DWND-0052"/>
    <m/>
    <m/>
    <m/>
    <m/>
    <m/>
    <m/>
    <m/>
    <m/>
    <m/>
    <m/>
    <m/>
    <n v="5.4"/>
    <n v="0"/>
    <m/>
    <m/>
    <n v="0"/>
    <d v="2026-10-17T00:00:00"/>
    <n v="1"/>
    <n v="5.4"/>
    <d v="2026-10-17T00:00:00"/>
    <n v="1"/>
    <n v="5.4"/>
    <m/>
    <m/>
    <n v="0"/>
    <s v="U284-SCR-003"/>
    <d v="2026-10-17T00:00:00"/>
    <n v="1"/>
    <n v="5.4"/>
    <m/>
    <m/>
    <n v="0"/>
    <s v="PAC"/>
    <m/>
  </r>
  <r>
    <n v="121"/>
    <x v="0"/>
    <s v="Shipment 2 CO-SCR Duct"/>
    <x v="0"/>
    <x v="0"/>
    <m/>
    <d v="2026-07-01T00:00:00"/>
    <s v="HRSG"/>
    <s v="HSG14"/>
    <s v="S3"/>
    <s v="V17566-DWXD-7576"/>
    <s v="CO-FL-45"/>
    <s v="FIELD LINER "/>
    <n v="1"/>
    <n v="5.4"/>
    <n v="5.4"/>
    <s v="(1087x192x192) "/>
    <m/>
    <s v="V17566-DWND-0052"/>
    <m/>
    <m/>
    <m/>
    <m/>
    <m/>
    <m/>
    <m/>
    <m/>
    <m/>
    <m/>
    <m/>
    <n v="5.4"/>
    <n v="0"/>
    <m/>
    <m/>
    <n v="0"/>
    <d v="2026-10-17T00:00:00"/>
    <n v="1"/>
    <n v="5.4"/>
    <d v="2026-10-17T00:00:00"/>
    <n v="1"/>
    <n v="5.4"/>
    <m/>
    <m/>
    <n v="0"/>
    <s v="U284-SCR-003"/>
    <d v="2026-10-17T00:00:00"/>
    <n v="1"/>
    <n v="5.4"/>
    <m/>
    <m/>
    <n v="0"/>
    <s v="PAC"/>
    <m/>
  </r>
  <r>
    <n v="121"/>
    <x v="0"/>
    <s v="Shipment 2 CO-SCR Duct"/>
    <x v="0"/>
    <x v="0"/>
    <m/>
    <d v="2026-07-01T00:00:00"/>
    <s v="HRSG"/>
    <s v="HSG14"/>
    <s v="S3"/>
    <s v="V17566-DWXD-7577"/>
    <s v="CO-FL-46"/>
    <s v="FIELD LINER "/>
    <n v="1"/>
    <n v="8.4"/>
    <n v="8.4"/>
    <s v="(1267x167x257) "/>
    <m/>
    <s v="V17566-DWND-0052"/>
    <m/>
    <m/>
    <m/>
    <m/>
    <m/>
    <m/>
    <m/>
    <m/>
    <m/>
    <m/>
    <m/>
    <n v="0"/>
    <n v="8.4"/>
    <m/>
    <m/>
    <n v="0"/>
    <m/>
    <m/>
    <n v="0"/>
    <m/>
    <m/>
    <n v="0"/>
    <m/>
    <m/>
    <n v="0"/>
    <m/>
    <m/>
    <m/>
    <n v="0"/>
    <m/>
    <m/>
    <n v="0"/>
    <s v="PAC"/>
    <m/>
  </r>
  <r>
    <n v="121"/>
    <x v="0"/>
    <s v="Shipment 2 CO-SCR Duct"/>
    <x v="0"/>
    <x v="0"/>
    <m/>
    <d v="2026-07-01T00:00:00"/>
    <s v="HRSG"/>
    <s v="HSG14"/>
    <s v="S3"/>
    <s v="V17566-DWXD-7578"/>
    <s v="CO-FL-47"/>
    <s v="FIELD LINER "/>
    <n v="1"/>
    <n v="8.4"/>
    <n v="8.4"/>
    <s v="(1267x167x257) "/>
    <m/>
    <s v="V17566-DWND-0052"/>
    <m/>
    <m/>
    <m/>
    <m/>
    <m/>
    <m/>
    <m/>
    <m/>
    <m/>
    <m/>
    <m/>
    <n v="0"/>
    <n v="8.4"/>
    <m/>
    <m/>
    <n v="0"/>
    <m/>
    <m/>
    <n v="0"/>
    <m/>
    <m/>
    <n v="0"/>
    <m/>
    <m/>
    <n v="0"/>
    <m/>
    <m/>
    <m/>
    <n v="0"/>
    <m/>
    <m/>
    <n v="0"/>
    <s v="PAC"/>
    <m/>
  </r>
  <r>
    <n v="121"/>
    <x v="0"/>
    <s v="Shipment 2 CO-SCR Duct"/>
    <x v="0"/>
    <x v="0"/>
    <m/>
    <d v="2026-07-01T00:00:00"/>
    <s v="HRSG"/>
    <s v="HSG14"/>
    <s v="S3"/>
    <s v="V17566-DWXD-7579"/>
    <s v="CO-FL-48"/>
    <s v="FIELD LINER "/>
    <n v="1"/>
    <n v="2.2999999999999998"/>
    <n v="2.2999999999999998"/>
    <s v="(457x192x192) "/>
    <m/>
    <s v="V17566-DWND-0052"/>
    <m/>
    <m/>
    <m/>
    <m/>
    <m/>
    <m/>
    <m/>
    <m/>
    <m/>
    <m/>
    <m/>
    <n v="0"/>
    <n v="2.2999999999999998"/>
    <m/>
    <m/>
    <n v="0"/>
    <m/>
    <m/>
    <n v="0"/>
    <m/>
    <m/>
    <n v="0"/>
    <m/>
    <m/>
    <n v="0"/>
    <m/>
    <m/>
    <m/>
    <n v="0"/>
    <m/>
    <m/>
    <n v="0"/>
    <s v="PAC"/>
    <m/>
  </r>
  <r>
    <n v="121"/>
    <x v="0"/>
    <s v="Shipment 2 CO-SCR Duct"/>
    <x v="0"/>
    <x v="0"/>
    <m/>
    <d v="2026-07-01T00:00:00"/>
    <s v="HRSG"/>
    <s v="HSG14"/>
    <s v="S3"/>
    <s v="V17566-DWXD-7580"/>
    <s v="CO-FL-49"/>
    <s v="FIELD LINER "/>
    <n v="1"/>
    <n v="2.2999999999999998"/>
    <n v="2.2999999999999998"/>
    <s v="(457x192x192) "/>
    <m/>
    <s v="V17566-DWND-0052"/>
    <m/>
    <m/>
    <m/>
    <m/>
    <m/>
    <m/>
    <m/>
    <m/>
    <m/>
    <m/>
    <m/>
    <n v="0"/>
    <n v="2.2999999999999998"/>
    <m/>
    <m/>
    <n v="0"/>
    <m/>
    <m/>
    <n v="0"/>
    <m/>
    <m/>
    <n v="0"/>
    <m/>
    <m/>
    <n v="0"/>
    <m/>
    <m/>
    <m/>
    <n v="0"/>
    <m/>
    <m/>
    <n v="0"/>
    <s v="PAC"/>
    <m/>
  </r>
  <r>
    <n v="122"/>
    <x v="0"/>
    <s v="Shipment 2 CO-SCR Duct"/>
    <x v="0"/>
    <x v="0"/>
    <m/>
    <d v="2026-07-01T00:00:00"/>
    <s v="HRSG"/>
    <s v="HSG14"/>
    <s v="S3"/>
    <s v="V17566-DWXD-7581"/>
    <s v="CO-FL-50"/>
    <s v="FIELD LINER "/>
    <n v="1"/>
    <n v="7.3"/>
    <n v="7.3"/>
    <s v="(1219x192x192) "/>
    <m/>
    <s v="V17566-DWND-0052"/>
    <m/>
    <m/>
    <m/>
    <m/>
    <m/>
    <m/>
    <m/>
    <m/>
    <m/>
    <m/>
    <m/>
    <n v="7.3000000000000007"/>
    <n v="0"/>
    <m/>
    <m/>
    <n v="0"/>
    <d v="2026-10-17T00:00:00"/>
    <n v="1"/>
    <n v="7.3"/>
    <d v="2026-10-17T00:00:00"/>
    <n v="1"/>
    <n v="7.3"/>
    <m/>
    <m/>
    <n v="0"/>
    <s v="U284-SCR-003"/>
    <d v="2026-10-17T00:00:00"/>
    <n v="1"/>
    <n v="7.3"/>
    <m/>
    <m/>
    <n v="0"/>
    <s v="PAC"/>
    <m/>
  </r>
  <r>
    <n v="123"/>
    <x v="0"/>
    <s v="Shipment 2 CO-SCR Duct"/>
    <x v="0"/>
    <x v="0"/>
    <m/>
    <d v="2026-07-01T00:00:00"/>
    <s v="HRSG"/>
    <s v="HSG14"/>
    <s v="S3"/>
    <s v="V17566-DWXD-7582"/>
    <s v="CO-FL-51"/>
    <s v="FIELD LINER "/>
    <n v="1"/>
    <n v="6.2"/>
    <n v="6.2"/>
    <s v="(1219x192x192) "/>
    <m/>
    <s v="V17566-DWND-0052"/>
    <m/>
    <m/>
    <m/>
    <m/>
    <m/>
    <m/>
    <m/>
    <m/>
    <m/>
    <m/>
    <m/>
    <n v="6.2"/>
    <n v="0"/>
    <m/>
    <m/>
    <n v="0"/>
    <d v="2026-10-17T00:00:00"/>
    <n v="1"/>
    <n v="6.2"/>
    <d v="2026-10-17T00:00:00"/>
    <n v="1"/>
    <n v="6.2"/>
    <m/>
    <m/>
    <n v="0"/>
    <s v="U284-SCR-003"/>
    <d v="2026-10-17T00:00:00"/>
    <n v="1"/>
    <n v="6.2"/>
    <m/>
    <m/>
    <n v="0"/>
    <s v="PAC"/>
    <m/>
  </r>
  <r>
    <n v="123"/>
    <x v="0"/>
    <s v="Shipment 2 CO-SCR Duct"/>
    <x v="0"/>
    <x v="0"/>
    <m/>
    <d v="2026-07-01T00:00:00"/>
    <s v="HRSG"/>
    <s v="HSG14"/>
    <s v="S3"/>
    <s v="V17566-DWXD-7583"/>
    <s v="CO-FL-52"/>
    <s v="FIELD LINER "/>
    <n v="1"/>
    <n v="7.3"/>
    <n v="7.3"/>
    <s v="(1219x192x192) "/>
    <m/>
    <s v="V17566-DWND-0052"/>
    <m/>
    <m/>
    <m/>
    <m/>
    <m/>
    <m/>
    <m/>
    <m/>
    <m/>
    <m/>
    <m/>
    <n v="0"/>
    <n v="7.3"/>
    <m/>
    <m/>
    <n v="0"/>
    <m/>
    <m/>
    <n v="0"/>
    <m/>
    <m/>
    <n v="0"/>
    <m/>
    <m/>
    <n v="0"/>
    <m/>
    <m/>
    <m/>
    <n v="0"/>
    <m/>
    <m/>
    <n v="0"/>
    <s v="PAC"/>
    <m/>
  </r>
  <r>
    <n v="124"/>
    <x v="0"/>
    <s v="Shipment 2 CO-SCR Duct"/>
    <x v="0"/>
    <x v="0"/>
    <m/>
    <d v="2026-07-01T00:00:00"/>
    <s v="HRSG"/>
    <s v="HSG14"/>
    <s v="S3"/>
    <s v="V17566-DWXD-7584"/>
    <s v="CO-FL-53"/>
    <s v="FIELD LINER "/>
    <n v="1"/>
    <n v="6.2"/>
    <n v="6.2"/>
    <s v="(1219x192x192) "/>
    <m/>
    <s v="V17566-DWND-0052"/>
    <m/>
    <m/>
    <m/>
    <m/>
    <m/>
    <m/>
    <m/>
    <m/>
    <m/>
    <m/>
    <m/>
    <n v="6.2"/>
    <n v="0"/>
    <m/>
    <m/>
    <n v="0"/>
    <d v="2026-10-17T00:00:00"/>
    <n v="1"/>
    <n v="6.2"/>
    <d v="2026-10-17T00:00:00"/>
    <n v="1"/>
    <n v="6.2"/>
    <m/>
    <m/>
    <n v="0"/>
    <s v="U284-SCR-003"/>
    <d v="2026-10-17T00:00:00"/>
    <n v="1"/>
    <n v="6.2"/>
    <m/>
    <m/>
    <n v="0"/>
    <s v="PAC"/>
    <m/>
  </r>
  <r>
    <n v="124"/>
    <x v="0"/>
    <s v="Shipment 2 CO-SCR Duct"/>
    <x v="0"/>
    <x v="0"/>
    <m/>
    <d v="2026-07-01T00:00:00"/>
    <s v="HRSG"/>
    <s v="HSG14"/>
    <s v="S3"/>
    <s v="V17566-DWXD-7585"/>
    <s v="CO-FL-54"/>
    <s v="FIELD LINER "/>
    <n v="1"/>
    <n v="3.6"/>
    <n v="3.6"/>
    <s v="(600x192x192) "/>
    <m/>
    <s v="V17566-DWND-0052"/>
    <m/>
    <m/>
    <m/>
    <m/>
    <m/>
    <m/>
    <m/>
    <m/>
    <m/>
    <m/>
    <m/>
    <n v="0"/>
    <n v="3.6"/>
    <m/>
    <m/>
    <n v="0"/>
    <m/>
    <m/>
    <n v="0"/>
    <m/>
    <m/>
    <n v="0"/>
    <m/>
    <m/>
    <n v="0"/>
    <m/>
    <m/>
    <m/>
    <n v="0"/>
    <m/>
    <m/>
    <n v="0"/>
    <s v="PAC"/>
    <m/>
  </r>
  <r>
    <n v="125"/>
    <x v="0"/>
    <s v="Shipment 2 CO-SCR Duct"/>
    <x v="0"/>
    <x v="0"/>
    <m/>
    <d v="2026-07-01T00:00:00"/>
    <s v="HRSG"/>
    <s v="HSG14"/>
    <s v="S3"/>
    <s v="V17566-DWXD-7586"/>
    <s v="CO-FL-55"/>
    <s v="FIELD LINER "/>
    <n v="2"/>
    <n v="3.6"/>
    <n v="7.2"/>
    <s v="(600x192x192) "/>
    <m/>
    <s v="V17566-DWND-0052"/>
    <m/>
    <m/>
    <m/>
    <m/>
    <m/>
    <m/>
    <m/>
    <m/>
    <m/>
    <m/>
    <m/>
    <n v="7.2"/>
    <n v="0"/>
    <m/>
    <m/>
    <n v="0"/>
    <d v="2026-10-17T00:00:00"/>
    <n v="2"/>
    <n v="7.2"/>
    <d v="2026-10-17T00:00:00"/>
    <n v="2"/>
    <n v="7.2"/>
    <m/>
    <m/>
    <n v="0"/>
    <s v="U284-SCR-003"/>
    <d v="2026-10-17T00:00:00"/>
    <n v="2"/>
    <n v="7.2"/>
    <m/>
    <m/>
    <n v="0"/>
    <s v="PAC"/>
    <m/>
  </r>
  <r>
    <n v="126"/>
    <x v="0"/>
    <s v="Shipment 2 CO-SCR Duct"/>
    <x v="0"/>
    <x v="0"/>
    <m/>
    <d v="2026-07-01T00:00:00"/>
    <s v="HRSG"/>
    <s v="HSG14"/>
    <s v="S3"/>
    <s v="V17566-DWXD-7587"/>
    <s v="CO-FL-56"/>
    <s v="FIELD LINER "/>
    <n v="1"/>
    <n v="3.6"/>
    <n v="3.6"/>
    <s v="(600x192x192) "/>
    <m/>
    <s v="V17566-DWND-0052"/>
    <m/>
    <m/>
    <m/>
    <m/>
    <m/>
    <m/>
    <m/>
    <m/>
    <m/>
    <m/>
    <m/>
    <n v="3.6"/>
    <n v="0"/>
    <m/>
    <m/>
    <n v="0"/>
    <d v="2026-10-17T00:00:00"/>
    <n v="1"/>
    <n v="3.6"/>
    <d v="2026-10-17T00:00:00"/>
    <n v="1"/>
    <n v="3.6"/>
    <m/>
    <m/>
    <n v="0"/>
    <s v="U284-SCR-003"/>
    <d v="2026-10-17T00:00:00"/>
    <n v="1"/>
    <n v="3.6"/>
    <m/>
    <m/>
    <n v="0"/>
    <s v="PAC"/>
    <m/>
  </r>
  <r>
    <n v="126"/>
    <x v="0"/>
    <s v="Shipment 2 CO-SCR Duct"/>
    <x v="0"/>
    <x v="0"/>
    <m/>
    <d v="2026-07-01T00:00:00"/>
    <s v="HRSG"/>
    <s v="HSG14"/>
    <s v="S3"/>
    <s v="V17566-DWXD-7481"/>
    <s v="CO-PL-1"/>
    <s v="FIELD PLATE "/>
    <n v="6"/>
    <n v="4.9999999999999996E-2"/>
    <n v="0.3"/>
    <s v="(51x6x19) "/>
    <m/>
    <s v="V17566-DWND-0072"/>
    <m/>
    <m/>
    <m/>
    <m/>
    <m/>
    <m/>
    <m/>
    <m/>
    <m/>
    <m/>
    <m/>
    <n v="0"/>
    <n v="0.3"/>
    <m/>
    <m/>
    <n v="0"/>
    <m/>
    <m/>
    <n v="0"/>
    <m/>
    <m/>
    <n v="0"/>
    <m/>
    <m/>
    <n v="0"/>
    <m/>
    <m/>
    <m/>
    <n v="0"/>
    <m/>
    <m/>
    <n v="0"/>
    <s v="PAC"/>
    <m/>
  </r>
  <r>
    <n v="127"/>
    <x v="0"/>
    <s v="Shipment 2 CO-SCR Duct"/>
    <x v="0"/>
    <x v="0"/>
    <m/>
    <d v="2026-07-01T00:00:00"/>
    <s v="HRSG"/>
    <s v="HSG14"/>
    <s v="S3"/>
    <s v="V17566-DWXD-7482"/>
    <s v="CO-PL-2"/>
    <s v="FIELD COVER RING "/>
    <n v="4"/>
    <n v="0.45"/>
    <n v="1.8"/>
    <s v="(191x3x191) "/>
    <m/>
    <s v="V17566-DWND-0073"/>
    <m/>
    <m/>
    <m/>
    <m/>
    <m/>
    <m/>
    <m/>
    <m/>
    <m/>
    <m/>
    <m/>
    <n v="1.8"/>
    <n v="0"/>
    <m/>
    <m/>
    <n v="0"/>
    <d v="2026-10-17T00:00:00"/>
    <n v="4"/>
    <n v="1.8"/>
    <d v="2026-10-17T00:00:00"/>
    <n v="4"/>
    <n v="1.8"/>
    <m/>
    <m/>
    <n v="0"/>
    <s v="U284-SCR-003"/>
    <d v="2026-10-17T00:00:00"/>
    <n v="4"/>
    <n v="1.8"/>
    <m/>
    <m/>
    <n v="0"/>
    <s v="PAC"/>
    <m/>
  </r>
  <r>
    <n v="127"/>
    <x v="0"/>
    <s v="Shipment 2 CO-SCR Duct"/>
    <x v="0"/>
    <x v="0"/>
    <m/>
    <d v="2026-07-01T00:00:00"/>
    <s v="HRSG"/>
    <s v="HSG14"/>
    <s v="S3"/>
    <s v="V17566-DWXD-7483"/>
    <s v="CO-PL-3"/>
    <s v="FIELD PLATE "/>
    <n v="14"/>
    <n v="2.5071428571428571"/>
    <n v="35.1"/>
    <s v="(152x10x210) "/>
    <m/>
    <s v="V17566-DWND-0073"/>
    <m/>
    <m/>
    <m/>
    <m/>
    <m/>
    <m/>
    <m/>
    <m/>
    <m/>
    <m/>
    <m/>
    <n v="0"/>
    <n v="35.1"/>
    <m/>
    <m/>
    <n v="0"/>
    <m/>
    <m/>
    <n v="0"/>
    <m/>
    <m/>
    <n v="0"/>
    <m/>
    <m/>
    <n v="0"/>
    <m/>
    <m/>
    <m/>
    <n v="0"/>
    <m/>
    <m/>
    <n v="0"/>
    <s v="PAC"/>
    <m/>
  </r>
  <r>
    <n v="127"/>
    <x v="0"/>
    <s v="Shipment 2 CO-SCR Duct"/>
    <x v="0"/>
    <x v="0"/>
    <m/>
    <d v="2026-07-01T00:00:00"/>
    <s v="HRSG"/>
    <s v="HSG14"/>
    <s v="S3"/>
    <s v="V17566-DWXD-7484"/>
    <s v="CO-PL-4"/>
    <s v="FIELD PLATE "/>
    <n v="21"/>
    <n v="0.74285714285714288"/>
    <n v="15.6"/>
    <s v="(75x6x210) "/>
    <m/>
    <s v="V17566-DWND-0073"/>
    <m/>
    <m/>
    <m/>
    <m/>
    <m/>
    <m/>
    <m/>
    <m/>
    <m/>
    <m/>
    <m/>
    <n v="0"/>
    <n v="15.6"/>
    <m/>
    <m/>
    <n v="0"/>
    <m/>
    <m/>
    <n v="0"/>
    <m/>
    <m/>
    <n v="0"/>
    <m/>
    <m/>
    <n v="0"/>
    <m/>
    <m/>
    <m/>
    <n v="0"/>
    <m/>
    <m/>
    <n v="0"/>
    <s v="PAC"/>
    <m/>
  </r>
  <r>
    <n v="127"/>
    <x v="0"/>
    <s v="Shipment 2 CO-SCR Duct"/>
    <x v="0"/>
    <x v="0"/>
    <m/>
    <d v="2026-07-01T00:00:00"/>
    <s v="HRSG"/>
    <s v="HSG14"/>
    <s v="S3"/>
    <s v="V17566-DWXD-7485"/>
    <s v="CO-PL-5"/>
    <s v="FIELD PLATE "/>
    <n v="74"/>
    <n v="1.1054054054054054"/>
    <n v="81.8"/>
    <s v="(64x10x220) "/>
    <m/>
    <s v="V17566-DWND-0073"/>
    <m/>
    <m/>
    <m/>
    <m/>
    <m/>
    <m/>
    <m/>
    <m/>
    <m/>
    <m/>
    <m/>
    <n v="0"/>
    <n v="81.8"/>
    <m/>
    <m/>
    <n v="0"/>
    <m/>
    <m/>
    <n v="0"/>
    <m/>
    <m/>
    <n v="0"/>
    <m/>
    <m/>
    <n v="0"/>
    <m/>
    <m/>
    <m/>
    <n v="0"/>
    <m/>
    <m/>
    <n v="0"/>
    <s v="PAC"/>
    <m/>
  </r>
  <r>
    <n v="128"/>
    <x v="0"/>
    <s v="Shipment 2 CO-SCR Duct"/>
    <x v="0"/>
    <x v="0"/>
    <m/>
    <d v="2026-07-01T00:00:00"/>
    <s v="HRSG"/>
    <s v="HSG14"/>
    <s v="S3"/>
    <s v="V17566-DWXD-7486"/>
    <s v="CO-PL-6"/>
    <s v="FIELD PLATE "/>
    <n v="2"/>
    <n v="20.3"/>
    <n v="40.6"/>
    <s v="(718x12x330) "/>
    <m/>
    <s v="V17566-DWND-0073"/>
    <m/>
    <m/>
    <m/>
    <m/>
    <m/>
    <m/>
    <m/>
    <m/>
    <m/>
    <m/>
    <m/>
    <n v="40.600000000000009"/>
    <n v="0"/>
    <m/>
    <m/>
    <n v="0"/>
    <d v="2026-10-17T00:00:00"/>
    <n v="2"/>
    <n v="40.6"/>
    <d v="2026-10-17T00:00:00"/>
    <n v="2"/>
    <n v="40.6"/>
    <m/>
    <m/>
    <n v="0"/>
    <s v="U284-SCR-003"/>
    <d v="2026-10-17T00:00:00"/>
    <n v="2"/>
    <n v="40.6"/>
    <m/>
    <m/>
    <n v="0"/>
    <s v="PAC"/>
    <m/>
  </r>
  <r>
    <n v="129"/>
    <x v="0"/>
    <s v="Shipment 2 CO-SCR Duct"/>
    <x v="0"/>
    <x v="0"/>
    <m/>
    <d v="2026-07-01T00:00:00"/>
    <s v="HRSG"/>
    <s v="HSG14"/>
    <s v="S3"/>
    <s v="V17566-DWXD-7487"/>
    <s v="CO-PL-7"/>
    <s v="FIELD COVER PLATE"/>
    <n v="2"/>
    <n v="0.5"/>
    <n v="1"/>
    <s v="(214x2x178) "/>
    <m/>
    <s v="V17566-DWND-0073"/>
    <m/>
    <m/>
    <m/>
    <m/>
    <m/>
    <m/>
    <m/>
    <m/>
    <m/>
    <m/>
    <m/>
    <n v="1"/>
    <n v="0"/>
    <m/>
    <m/>
    <n v="0"/>
    <d v="2026-10-17T00:00:00"/>
    <n v="2"/>
    <n v="1"/>
    <d v="2026-10-17T00:00:00"/>
    <n v="2"/>
    <n v="1"/>
    <m/>
    <m/>
    <n v="0"/>
    <s v="U284-SCR-003"/>
    <d v="2026-10-17T00:00:00"/>
    <n v="2"/>
    <n v="1"/>
    <m/>
    <m/>
    <n v="0"/>
    <s v="PAC"/>
    <m/>
  </r>
  <r>
    <n v="130"/>
    <x v="0"/>
    <s v="Shipment 2 CO-SCR Duct"/>
    <x v="0"/>
    <x v="0"/>
    <m/>
    <d v="2026-07-01T00:00:00"/>
    <s v="HRSG"/>
    <s v="HSG14"/>
    <s v="S3"/>
    <s v="V17566-DWXD-7488"/>
    <s v="CO-PL-8"/>
    <s v="FIELD COVER PLATE"/>
    <n v="2"/>
    <n v="0.5"/>
    <n v="1"/>
    <s v="(178x2x195) "/>
    <m/>
    <s v="V17566-DWND-0073"/>
    <m/>
    <m/>
    <m/>
    <m/>
    <m/>
    <m/>
    <m/>
    <m/>
    <m/>
    <m/>
    <m/>
    <n v="1"/>
    <n v="0"/>
    <m/>
    <m/>
    <n v="0"/>
    <d v="2026-10-17T00:00:00"/>
    <n v="2"/>
    <n v="1"/>
    <d v="2026-10-17T00:00:00"/>
    <n v="2"/>
    <n v="1"/>
    <m/>
    <m/>
    <n v="0"/>
    <s v="U284-SCR-003"/>
    <d v="2026-10-17T00:00:00"/>
    <n v="2"/>
    <n v="1"/>
    <m/>
    <m/>
    <n v="0"/>
    <s v="PAC"/>
    <m/>
  </r>
  <r>
    <n v="130"/>
    <x v="0"/>
    <s v="Shipment 2 CO-SCR Duct"/>
    <x v="0"/>
    <x v="0"/>
    <m/>
    <d v="2026-07-01T00:00:00"/>
    <s v="HRSG"/>
    <s v="HSG14"/>
    <s v="S3"/>
    <s v="V17566-DWXD-7489"/>
    <s v="CO-PL-9"/>
    <s v="FIELD PLATE "/>
    <n v="2"/>
    <n v="0.1"/>
    <n v="0.2"/>
    <s v="(51x6x50) "/>
    <m/>
    <s v="V17566-DWND-0073"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31"/>
    <x v="0"/>
    <s v="Shipment 2 CO-SCR Duct"/>
    <x v="0"/>
    <x v="0"/>
    <m/>
    <d v="2026-07-01T00:00:00"/>
    <s v="HRSG"/>
    <s v="HSG14"/>
    <s v="S3"/>
    <s v="V17566-DWXD-7490"/>
    <s v="CO-PL-10"/>
    <s v="FIELD COVER RING "/>
    <n v="5"/>
    <n v="0.45999999999999996"/>
    <n v="2.2999999999999998"/>
    <s v="(191x3x191) "/>
    <m/>
    <s v="V17566-DWND-0073"/>
    <m/>
    <m/>
    <m/>
    <m/>
    <m/>
    <m/>
    <m/>
    <m/>
    <m/>
    <m/>
    <m/>
    <n v="2.2999999999999998"/>
    <n v="0"/>
    <m/>
    <m/>
    <n v="0"/>
    <d v="2026-10-17T00:00:00"/>
    <n v="5"/>
    <n v="2.2999999999999998"/>
    <d v="2026-10-17T00:00:00"/>
    <n v="5"/>
    <n v="2.2999999999999998"/>
    <m/>
    <m/>
    <n v="0"/>
    <s v="U284-SCR-003"/>
    <d v="2026-10-17T00:00:00"/>
    <n v="5"/>
    <n v="2.2999999999999998"/>
    <m/>
    <m/>
    <n v="0"/>
    <s v="PAC"/>
    <m/>
  </r>
  <r>
    <n v="132"/>
    <x v="0"/>
    <s v="Shipment 2 CO-SCR Duct"/>
    <x v="0"/>
    <x v="0"/>
    <m/>
    <d v="2026-07-01T00:00:00"/>
    <s v="HRSG"/>
    <s v="HSG14"/>
    <s v="S3"/>
    <s v="V17566-DWXD-7491"/>
    <s v="CO-PL-11"/>
    <s v="FIELD COVER RING "/>
    <n v="1"/>
    <n v="0.5"/>
    <n v="0.5"/>
    <s v="(191x3x191) "/>
    <m/>
    <s v="V17566-DWND-0073"/>
    <m/>
    <m/>
    <m/>
    <m/>
    <m/>
    <m/>
    <m/>
    <m/>
    <m/>
    <m/>
    <m/>
    <n v="0.5"/>
    <n v="0"/>
    <m/>
    <m/>
    <n v="0"/>
    <d v="2026-10-17T00:00:00"/>
    <n v="1"/>
    <n v="0.5"/>
    <d v="2026-10-17T00:00:00"/>
    <n v="1"/>
    <n v="0.5"/>
    <m/>
    <m/>
    <n v="0"/>
    <s v="U284-SCR-003"/>
    <d v="2026-10-17T00:00:00"/>
    <n v="1"/>
    <n v="0.5"/>
    <m/>
    <m/>
    <n v="0"/>
    <s v="PAC"/>
    <m/>
  </r>
  <r>
    <n v="133"/>
    <x v="0"/>
    <s v="Shipment 2 CO-SCR Duct"/>
    <x v="0"/>
    <x v="0"/>
    <m/>
    <d v="2026-07-01T00:00:00"/>
    <s v="HRSG"/>
    <s v="HSG14"/>
    <s v="S3"/>
    <s v="V17566-DWXD-7492"/>
    <s v="CO-PL-12"/>
    <s v="FIELD COVER PLATE "/>
    <n v="4"/>
    <n v="0.52500000000000002"/>
    <n v="2.1"/>
    <s v="(157x2x350) "/>
    <m/>
    <s v="V17566-DWND-0073"/>
    <m/>
    <m/>
    <m/>
    <m/>
    <m/>
    <m/>
    <m/>
    <m/>
    <m/>
    <m/>
    <m/>
    <n v="2.1"/>
    <n v="0"/>
    <m/>
    <m/>
    <n v="0"/>
    <d v="2026-10-17T00:00:00"/>
    <n v="4"/>
    <n v="2.1"/>
    <d v="2026-10-17T00:00:00"/>
    <n v="4"/>
    <n v="2.1"/>
    <m/>
    <m/>
    <n v="0"/>
    <s v="U284-SCR-003"/>
    <d v="2026-10-17T00:00:00"/>
    <n v="4"/>
    <n v="2.1"/>
    <m/>
    <m/>
    <n v="0"/>
    <s v="PAC"/>
    <m/>
  </r>
  <r>
    <n v="134"/>
    <x v="0"/>
    <s v="Shipment 2 CO-SCR Duct"/>
    <x v="0"/>
    <x v="0"/>
    <m/>
    <d v="2026-07-01T00:00:00"/>
    <s v="HRSG"/>
    <s v="HSG14"/>
    <s v="S3"/>
    <s v="V17566-DWXD-7493"/>
    <s v="CO-PL-13"/>
    <s v="FIELD COVER PLATE "/>
    <n v="8"/>
    <n v="0.4"/>
    <n v="3.2"/>
    <s v="(132x2x276) "/>
    <m/>
    <s v="V17566-DWND-0073"/>
    <m/>
    <m/>
    <m/>
    <m/>
    <m/>
    <m/>
    <m/>
    <m/>
    <m/>
    <m/>
    <m/>
    <n v="3.2"/>
    <n v="0"/>
    <m/>
    <m/>
    <n v="0"/>
    <d v="2026-10-17T00:00:00"/>
    <n v="8"/>
    <n v="3.2"/>
    <d v="2026-10-17T00:00:00"/>
    <n v="8"/>
    <n v="3.2"/>
    <m/>
    <m/>
    <n v="0"/>
    <s v="U284-SCR-003"/>
    <d v="2026-10-17T00:00:00"/>
    <n v="8"/>
    <n v="3.2"/>
    <m/>
    <m/>
    <n v="0"/>
    <s v="PAC"/>
    <m/>
  </r>
  <r>
    <n v="135"/>
    <x v="0"/>
    <s v="Shipment 2 CO-SCR Duct"/>
    <x v="0"/>
    <x v="0"/>
    <m/>
    <d v="2026-07-01T00:00:00"/>
    <s v="HRSG"/>
    <s v="HSG14"/>
    <s v="S3"/>
    <s v="V17566-DWXD-7494"/>
    <s v="CO-PL-14"/>
    <s v="FIELD COVER PLATE "/>
    <n v="8"/>
    <n v="0.51249999999999996"/>
    <n v="4.0999999999999996"/>
    <s v="(214x2x178) "/>
    <m/>
    <s v="V17566-DWND-0073"/>
    <m/>
    <m/>
    <m/>
    <m/>
    <m/>
    <m/>
    <m/>
    <m/>
    <m/>
    <m/>
    <m/>
    <n v="4.0999999999999996"/>
    <n v="0"/>
    <m/>
    <m/>
    <n v="0"/>
    <d v="2026-10-17T00:00:00"/>
    <n v="8"/>
    <n v="4.0999999999999996"/>
    <d v="2026-10-17T00:00:00"/>
    <n v="8"/>
    <n v="4.0999999999999996"/>
    <m/>
    <m/>
    <n v="0"/>
    <s v="U284-SCR-003"/>
    <d v="2026-10-17T00:00:00"/>
    <n v="8"/>
    <n v="4.0999999999999996"/>
    <m/>
    <m/>
    <n v="0"/>
    <s v="PAC"/>
    <m/>
  </r>
  <r>
    <n v="136"/>
    <x v="0"/>
    <s v="Shipment 2 CO-SCR Duct"/>
    <x v="0"/>
    <x v="0"/>
    <m/>
    <d v="2026-07-01T00:00:00"/>
    <s v="HRSG"/>
    <s v="HSG14"/>
    <s v="S3"/>
    <s v="V17566-DWXD-7495"/>
    <s v="CO-PL-15"/>
    <s v="FIELD COVER PLATE "/>
    <n v="4"/>
    <n v="0.72499999999999998"/>
    <n v="2.9"/>
    <s v="(527x2x157) "/>
    <m/>
    <s v="V17566-DWND-0073"/>
    <m/>
    <m/>
    <m/>
    <m/>
    <m/>
    <m/>
    <m/>
    <m/>
    <m/>
    <m/>
    <m/>
    <n v="2.9"/>
    <n v="0"/>
    <m/>
    <m/>
    <n v="0"/>
    <d v="2026-10-17T00:00:00"/>
    <n v="4"/>
    <n v="2.9"/>
    <d v="2026-10-17T00:00:00"/>
    <n v="4"/>
    <n v="2.9"/>
    <m/>
    <m/>
    <n v="0"/>
    <s v="U284-SCR-003"/>
    <d v="2026-10-17T00:00:00"/>
    <n v="4"/>
    <n v="2.9"/>
    <m/>
    <m/>
    <n v="0"/>
    <s v="PAC"/>
    <m/>
  </r>
  <r>
    <n v="137"/>
    <x v="0"/>
    <s v="Shipment 2 CO-SCR Duct"/>
    <x v="0"/>
    <x v="0"/>
    <m/>
    <d v="2026-07-01T00:00:00"/>
    <s v="HRSG"/>
    <s v="HSG14"/>
    <s v="S3"/>
    <s v="V17566-DWXD-0323"/>
    <s v="CO-PL-16"/>
    <s v="FIELD COVER PLATE "/>
    <n v="4"/>
    <n v="0.72499999999999998"/>
    <n v="2.9"/>
    <s v="(157x2x527) "/>
    <m/>
    <s v="V17566-DWND-0073"/>
    <m/>
    <m/>
    <m/>
    <m/>
    <m/>
    <m/>
    <m/>
    <m/>
    <m/>
    <m/>
    <m/>
    <n v="2.9"/>
    <n v="0"/>
    <m/>
    <m/>
    <n v="0"/>
    <d v="2026-10-17T00:00:00"/>
    <n v="4"/>
    <n v="2.9"/>
    <d v="2026-10-17T00:00:00"/>
    <n v="4"/>
    <n v="2.9"/>
    <m/>
    <m/>
    <n v="0"/>
    <s v="U284-SCR-003"/>
    <d v="2026-10-17T00:00:00"/>
    <n v="4"/>
    <n v="2.9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497"/>
    <s v="CO-PL-17"/>
    <s v="FIELD COVER PLATE "/>
    <n v="8"/>
    <n v="0.48749999999999999"/>
    <n v="3.9"/>
    <s v="(178x2x195) "/>
    <m/>
    <s v="V17566-DWND-0073"/>
    <m/>
    <m/>
    <m/>
    <m/>
    <m/>
    <m/>
    <m/>
    <m/>
    <m/>
    <m/>
    <m/>
    <n v="3.9"/>
    <n v="0"/>
    <m/>
    <m/>
    <n v="0"/>
    <d v="2026-10-17T00:00:00"/>
    <n v="8"/>
    <n v="3.9"/>
    <d v="2026-10-17T00:00:00"/>
    <n v="8"/>
    <n v="3.9"/>
    <m/>
    <m/>
    <n v="0"/>
    <s v="U284-SCR-003"/>
    <d v="2026-10-17T00:00:00"/>
    <n v="8"/>
    <n v="3.9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498"/>
    <s v="CO-PL-18"/>
    <s v="FIELD COVER RING "/>
    <n v="4"/>
    <n v="0.22500000000000001"/>
    <n v="0.9"/>
    <s v="(161x2x161) "/>
    <m/>
    <s v="V17566-DWND-0073"/>
    <m/>
    <m/>
    <m/>
    <m/>
    <m/>
    <m/>
    <m/>
    <m/>
    <m/>
    <m/>
    <m/>
    <n v="0"/>
    <n v="0.9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591"/>
    <s v="CO-PL-19"/>
    <s v="FIELD COVER PLATE "/>
    <n v="2"/>
    <n v="0.5"/>
    <n v="1"/>
    <s v="(384x2x104) "/>
    <m/>
    <s v="Đã giao IRB"/>
    <m/>
    <m/>
    <m/>
    <m/>
    <m/>
    <m/>
    <m/>
    <m/>
    <m/>
    <m/>
    <m/>
    <n v="0"/>
    <n v="1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499"/>
    <s v="CO-RC-1"/>
    <s v="FIELD RETAINER CLIP "/>
    <n v="10"/>
    <n v="0.11000000000000001"/>
    <n v="1.1000000000000001"/>
    <s v="(51x5x102) "/>
    <m/>
    <s v="V17566-DWND-0073"/>
    <m/>
    <m/>
    <m/>
    <m/>
    <m/>
    <m/>
    <m/>
    <m/>
    <m/>
    <m/>
    <m/>
    <n v="0"/>
    <n v="1.1000000000000001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500"/>
    <s v="CO-RC-2"/>
    <s v="FIELD RETAINER CLIP "/>
    <n v="2"/>
    <n v="0.1"/>
    <n v="0.2"/>
    <s v="(51x5x102) "/>
    <m/>
    <s v="V17566-DWND-0073"/>
    <m/>
    <m/>
    <m/>
    <m/>
    <m/>
    <m/>
    <m/>
    <m/>
    <m/>
    <m/>
    <m/>
    <n v="0"/>
    <n v="0.2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503"/>
    <s v="CO-RC-3"/>
    <s v="FIELD RETAINER CLIP "/>
    <n v="8"/>
    <n v="0.1125"/>
    <n v="0.9"/>
    <s v="(51x5x102) "/>
    <m/>
    <s v="V17566-DWND-0073"/>
    <m/>
    <m/>
    <m/>
    <m/>
    <m/>
    <m/>
    <m/>
    <m/>
    <m/>
    <m/>
    <m/>
    <n v="0"/>
    <n v="0.9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501"/>
    <s v="CO-SP-4"/>
    <s v="SUPPORT CHANNEL "/>
    <n v="4"/>
    <n v="31.9"/>
    <n v="127.6"/>
    <s v="(951x90x200) "/>
    <m/>
    <s v="V17566-DWND-0073"/>
    <m/>
    <m/>
    <m/>
    <m/>
    <m/>
    <m/>
    <m/>
    <m/>
    <m/>
    <m/>
    <m/>
    <n v="0"/>
    <n v="127.6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3"/>
    <s v="V17566-DWXD-7401"/>
    <s v="COB-1"/>
    <s v="BOTTOM PANEL "/>
    <n v="1"/>
    <n v="12022.800000000003"/>
    <n v="12022.800000000003"/>
    <s v="(1671x3448x9823) "/>
    <m/>
    <s v="V17566-DWND-0070"/>
    <m/>
    <m/>
    <m/>
    <m/>
    <m/>
    <m/>
    <m/>
    <m/>
    <m/>
    <m/>
    <m/>
    <n v="12022.800000000005"/>
    <n v="0"/>
    <m/>
    <n v="1"/>
    <n v="12022.800000000003"/>
    <d v="2026-08-15T00:00:00"/>
    <n v="1"/>
    <n v="12022.800000000003"/>
    <d v="2026-08-21T00:00:00"/>
    <n v="1"/>
    <n v="12022.800000000003"/>
    <d v="2026-10-17T00:00:00"/>
    <n v="1"/>
    <n v="12022.800000000003"/>
    <s v="U284-SCR-002"/>
    <d v="2026-10-17T00:00:00"/>
    <n v="1"/>
    <n v="12022.800000000003"/>
    <m/>
    <m/>
    <n v="0"/>
    <s v="PAC"/>
    <m/>
  </r>
  <r>
    <n v="138"/>
    <x v="0"/>
    <s v="Shipment 2 CO-SCR Duct"/>
    <x v="0"/>
    <x v="0"/>
    <m/>
    <d v="2026-07-01T00:00:00"/>
    <s v="HRSG"/>
    <s v="HSG01"/>
    <s v="S3"/>
    <s v="V17566-DWXD-7423"/>
    <s v="COB-2"/>
    <s v="BOTTOM PANEL "/>
    <n v="1"/>
    <n v="1189.2999999999997"/>
    <n v="1189.2999999999997"/>
    <s v="(796x1262x9785) "/>
    <m/>
    <s v="V17566-DWND-0070"/>
    <m/>
    <m/>
    <m/>
    <m/>
    <m/>
    <m/>
    <m/>
    <m/>
    <m/>
    <m/>
    <m/>
    <n v="1070.3699999999999"/>
    <n v="118.92999999999984"/>
    <m/>
    <n v="1"/>
    <n v="1189.2999999999997"/>
    <d v="2026-08-17T00:00:00"/>
    <n v="1"/>
    <n v="1189.2999999999997"/>
    <d v="2026-08-20T00:00:00"/>
    <n v="1"/>
    <n v="1189.2999999999997"/>
    <d v="2026-10-17T00:00:00"/>
    <n v="1"/>
    <n v="1189.2999999999997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3"/>
    <s v="V17566-DWXD-7427"/>
    <s v="COB-3"/>
    <s v="BOTTOM PANEL "/>
    <n v="1"/>
    <n v="3279.5"/>
    <n v="3279.5"/>
    <s v="(565x2786x9785) "/>
    <m/>
    <s v="V17566-DWND-0070"/>
    <m/>
    <m/>
    <m/>
    <m/>
    <m/>
    <m/>
    <m/>
    <m/>
    <m/>
    <m/>
    <m/>
    <n v="2951.55"/>
    <n v="327.94999999999982"/>
    <m/>
    <n v="1"/>
    <n v="3279.5"/>
    <d v="2026-08-14T00:00:00"/>
    <n v="1"/>
    <n v="3279.5"/>
    <d v="2026-08-19T00:00:00"/>
    <n v="1"/>
    <n v="3279.5"/>
    <d v="2026-10-17T00:00:00"/>
    <n v="1"/>
    <n v="3279.5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31"/>
    <s v="COL-1"/>
    <s v="LEFT PANEL "/>
    <n v="1"/>
    <n v="4245.5"/>
    <n v="4245.5"/>
    <s v="(568x2786x12332) "/>
    <m/>
    <s v="V17566-DWND-0070"/>
    <m/>
    <m/>
    <m/>
    <m/>
    <m/>
    <m/>
    <m/>
    <m/>
    <m/>
    <m/>
    <m/>
    <n v="3820.95"/>
    <n v="424.55000000000018"/>
    <m/>
    <n v="1"/>
    <n v="4245.5"/>
    <d v="2026-07-29T00:00:00"/>
    <n v="1"/>
    <n v="4245.5"/>
    <d v="2026-08-06T00:00:00"/>
    <n v="1"/>
    <n v="4245.5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RXD-7055"/>
    <s v="DR070L-COL-1"/>
    <m/>
    <n v="1"/>
    <n v="272.3"/>
    <n v="272.3"/>
    <s v="(251x1197x1841)"/>
    <m/>
    <s v="V17566-DRND-0023"/>
    <m/>
    <m/>
    <m/>
    <m/>
    <m/>
    <m/>
    <m/>
    <m/>
    <m/>
    <m/>
    <m/>
    <n v="245.07000000000002"/>
    <n v="27.22999999999999"/>
    <m/>
    <n v="1"/>
    <n v="272.3"/>
    <d v="2026-09-21T00:00:00"/>
    <n v="1"/>
    <n v="272.3"/>
    <d v="2026-09-28T00:00:00"/>
    <n v="1"/>
    <n v="272.3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36"/>
    <s v="COL-2"/>
    <s v="LEFT PANEL "/>
    <n v="1"/>
    <n v="4184.0999999999995"/>
    <n v="4184.0999999999995"/>
    <s v="(530x2786x12325) "/>
    <m/>
    <s v="V17566-DWND-0070"/>
    <m/>
    <m/>
    <m/>
    <m/>
    <m/>
    <m/>
    <m/>
    <m/>
    <m/>
    <m/>
    <m/>
    <n v="3765.6899999999996"/>
    <n v="418.40999999999985"/>
    <m/>
    <n v="1"/>
    <n v="4184.0999999999995"/>
    <d v="2026-08-17T00:00:00"/>
    <n v="1"/>
    <n v="4184.0999999999995"/>
    <d v="2026-08-19T00:00:00"/>
    <n v="1"/>
    <n v="4184.0999999999995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3"/>
    <s v="V17566-DWXD-7405"/>
    <s v="COL-5"/>
    <s v="LEFT PANEL "/>
    <n v="1"/>
    <n v="33890.699999999997"/>
    <n v="33890.699999999997"/>
    <s v="(1189x3548x33567) "/>
    <m/>
    <s v="V17566-DWND-0070"/>
    <m/>
    <m/>
    <m/>
    <m/>
    <m/>
    <m/>
    <m/>
    <m/>
    <m/>
    <m/>
    <m/>
    <n v="30501.629999999997"/>
    <n v="3389.0699999999997"/>
    <m/>
    <n v="1"/>
    <n v="33890.699999999997"/>
    <d v="2026-08-18T00:00:00"/>
    <n v="1"/>
    <n v="33890.699999999997"/>
    <d v="2026-08-26T00:00:00"/>
    <n v="1"/>
    <n v="33890.699999999997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RXD-7055"/>
    <s v="DR070L-COL-5"/>
    <m/>
    <n v="1"/>
    <n v="272.3"/>
    <n v="272.3"/>
    <s v="(251x1197x1841)"/>
    <m/>
    <s v="V17566-DRND-0023"/>
    <m/>
    <m/>
    <m/>
    <m/>
    <m/>
    <m/>
    <m/>
    <m/>
    <m/>
    <m/>
    <m/>
    <n v="245.07000000000002"/>
    <n v="27.22999999999999"/>
    <m/>
    <n v="1"/>
    <n v="272.3"/>
    <d v="2026-09-21T00:00:00"/>
    <n v="1"/>
    <n v="272.3"/>
    <d v="2026-09-28T00:00:00"/>
    <n v="1"/>
    <n v="272.3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41"/>
    <s v="COL-7"/>
    <s v="LEFT PANEL "/>
    <n v="1"/>
    <n v="1802.0999999999997"/>
    <n v="1802.0999999999997"/>
    <s v="(1262x549x12386) "/>
    <m/>
    <s v="V17566-DWND-0070"/>
    <m/>
    <m/>
    <m/>
    <m/>
    <m/>
    <m/>
    <m/>
    <m/>
    <m/>
    <m/>
    <m/>
    <n v="1621.8899999999999"/>
    <n v="180.20999999999981"/>
    <m/>
    <n v="1"/>
    <n v="1802.0999999999997"/>
    <d v="2026-07-23T00:00:00"/>
    <n v="1"/>
    <n v="1802.0999999999997"/>
    <d v="2026-08-04T00:00:00"/>
    <n v="1"/>
    <n v="1802.0999999999997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RXD-7055"/>
    <s v="DR070L-COL-7"/>
    <m/>
    <n v="1"/>
    <n v="272.3"/>
    <n v="272.3"/>
    <s v="(251x1197x1841)"/>
    <m/>
    <s v="V17566-DRND-0023"/>
    <m/>
    <m/>
    <m/>
    <m/>
    <m/>
    <m/>
    <m/>
    <m/>
    <m/>
    <m/>
    <m/>
    <n v="245.07000000000002"/>
    <n v="27.22999999999999"/>
    <m/>
    <n v="1"/>
    <n v="272.3"/>
    <d v="2026-09-21T00:00:00"/>
    <n v="1"/>
    <n v="272.3"/>
    <d v="2026-09-28T00:00:00"/>
    <n v="1"/>
    <n v="272.3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45"/>
    <s v="COL-8"/>
    <s v="LEFT PANEL "/>
    <n v="1"/>
    <n v="1735.8000000000002"/>
    <n v="1735.8000000000002"/>
    <s v="(1262x412x12259) "/>
    <m/>
    <s v="V17566-DWND-0070"/>
    <m/>
    <m/>
    <m/>
    <m/>
    <m/>
    <m/>
    <m/>
    <m/>
    <m/>
    <m/>
    <m/>
    <n v="1562.2200000000003"/>
    <n v="173.57999999999993"/>
    <m/>
    <n v="1"/>
    <n v="1735.8000000000002"/>
    <d v="2026-07-29T00:00:00"/>
    <n v="1"/>
    <n v="1735.8000000000002"/>
    <d v="2026-08-09T00:00:00"/>
    <n v="1"/>
    <n v="1735.8000000000002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49"/>
    <s v="COR-1"/>
    <s v="RIGHT PANEL "/>
    <n v="1"/>
    <n v="4245.4999999999991"/>
    <n v="4245.4999999999991"/>
    <s v="(568x2786x12332) "/>
    <m/>
    <s v="V17566-DWND-0070"/>
    <m/>
    <m/>
    <m/>
    <m/>
    <m/>
    <m/>
    <m/>
    <m/>
    <m/>
    <m/>
    <m/>
    <n v="3820.9499999999994"/>
    <n v="424.54999999999973"/>
    <m/>
    <n v="1"/>
    <n v="4245.4999999999991"/>
    <d v="2026-06-30T00:00:00"/>
    <n v="1"/>
    <n v="4245.4999999999991"/>
    <d v="2026-07-03T00:00:00"/>
    <n v="1"/>
    <n v="4245.4999999999991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RXD-7055"/>
    <s v="DR070R-COR-1"/>
    <m/>
    <n v="1"/>
    <n v="272.3"/>
    <n v="272.3"/>
    <s v="(251x1197x1841)"/>
    <m/>
    <s v="V17566-DRND-0023"/>
    <m/>
    <m/>
    <m/>
    <m/>
    <m/>
    <m/>
    <m/>
    <m/>
    <m/>
    <m/>
    <m/>
    <n v="245.07000000000002"/>
    <n v="27.22999999999999"/>
    <m/>
    <n v="1"/>
    <n v="272.3"/>
    <d v="2026-09-21T00:00:00"/>
    <n v="1"/>
    <n v="272.3"/>
    <d v="2026-09-28T00:00:00"/>
    <n v="1"/>
    <n v="272.3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54"/>
    <s v="COR-2"/>
    <s v="RIGHT PANEL "/>
    <n v="1"/>
    <n v="4182.9999999999991"/>
    <n v="4182.9999999999991"/>
    <s v="(530x2786x12325) "/>
    <m/>
    <s v="V17566-DWND-0070"/>
    <m/>
    <m/>
    <m/>
    <m/>
    <m/>
    <m/>
    <m/>
    <m/>
    <m/>
    <m/>
    <m/>
    <n v="3764.6999999999994"/>
    <n v="418.29999999999973"/>
    <m/>
    <n v="1"/>
    <n v="4182.9999999999991"/>
    <d v="2026-06-30T00:00:00"/>
    <n v="1"/>
    <n v="4182.9999999999991"/>
    <d v="2026-07-09T00:00:00"/>
    <n v="1"/>
    <n v="4182.9999999999991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08"/>
    <s v="COR-3"/>
    <s v="RIGHT PANEL "/>
    <n v="1"/>
    <n v="33888.5"/>
    <n v="33888.5"/>
    <s v="(1189x3548x33567) "/>
    <m/>
    <s v="V17566-DWND-0070"/>
    <m/>
    <m/>
    <m/>
    <m/>
    <m/>
    <m/>
    <m/>
    <m/>
    <m/>
    <m/>
    <m/>
    <n v="30499.65"/>
    <n v="3388.8499999999985"/>
    <m/>
    <n v="1"/>
    <n v="33888.5"/>
    <d v="2026-07-22T00:00:00"/>
    <n v="1"/>
    <n v="33888.5"/>
    <d v="2026-07-27T00:00:00"/>
    <n v="1"/>
    <n v="33888.5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RXD-7055"/>
    <s v="DR070R-COR-3"/>
    <m/>
    <n v="1"/>
    <n v="272.3"/>
    <n v="272.3"/>
    <s v="(251x1197x1841)"/>
    <m/>
    <s v="V17566-DRND-0023"/>
    <m/>
    <m/>
    <m/>
    <m/>
    <m/>
    <m/>
    <m/>
    <m/>
    <m/>
    <m/>
    <m/>
    <n v="245.07000000000002"/>
    <n v="27.22999999999999"/>
    <m/>
    <n v="1"/>
    <n v="272.3"/>
    <d v="2026-09-21T00:00:00"/>
    <n v="1"/>
    <n v="272.3"/>
    <d v="2026-09-28T00:00:00"/>
    <n v="1"/>
    <n v="272.3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59"/>
    <s v="COR-4"/>
    <s v="RIGHT PANEL "/>
    <n v="1"/>
    <n v="1800.9999999999998"/>
    <n v="1800.9999999999998"/>
    <s v="(1262x543x12386) "/>
    <m/>
    <s v="V17566-DWND-0070"/>
    <m/>
    <m/>
    <m/>
    <m/>
    <m/>
    <m/>
    <m/>
    <m/>
    <m/>
    <m/>
    <m/>
    <n v="1620.8999999999999"/>
    <n v="180.09999999999991"/>
    <m/>
    <n v="1"/>
    <n v="1800.9999999999998"/>
    <d v="2026-07-22T00:00:00"/>
    <n v="1"/>
    <n v="1800.9999999999998"/>
    <d v="2026-07-23T00:00:00"/>
    <n v="1"/>
    <n v="1800.9999999999998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RXD-7055"/>
    <s v="DR070R-COR-4"/>
    <m/>
    <n v="1"/>
    <n v="272.3"/>
    <n v="272.3"/>
    <s v="(251x1197x1841)"/>
    <m/>
    <s v="V17566-DRND-0023"/>
    <m/>
    <m/>
    <m/>
    <m/>
    <m/>
    <m/>
    <m/>
    <m/>
    <m/>
    <m/>
    <m/>
    <n v="245.07000000000002"/>
    <n v="27.22999999999999"/>
    <m/>
    <n v="1"/>
    <n v="272.3"/>
    <d v="2026-09-21T00:00:00"/>
    <n v="1"/>
    <n v="272.3"/>
    <d v="2026-09-28T00:00:00"/>
    <n v="1"/>
    <n v="272.3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1"/>
    <s v="V17566-DWXD-7463"/>
    <s v="COR-5"/>
    <s v="RIGHT PANEL "/>
    <n v="1"/>
    <n v="1734.6999999999998"/>
    <n v="1734.6999999999998"/>
    <s v="(1262x406x12259) "/>
    <m/>
    <s v="V17566-DWND-0070"/>
    <m/>
    <m/>
    <m/>
    <m/>
    <m/>
    <m/>
    <m/>
    <m/>
    <m/>
    <m/>
    <m/>
    <n v="1561.23"/>
    <n v="173.4699999999998"/>
    <m/>
    <n v="1"/>
    <n v="1734.6999999999998"/>
    <d v="2026-06-30T00:00:00"/>
    <n v="1"/>
    <n v="1734.6999999999998"/>
    <d v="2026-07-23T00:00:00"/>
    <n v="1"/>
    <n v="1734.6999999999998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2"/>
    <s v="V17566-DWXD-7467"/>
    <s v="COT-1"/>
    <s v="TOP PANEL "/>
    <n v="1"/>
    <n v="2290.4"/>
    <n v="2290.4"/>
    <s v="(582x2786x9785) "/>
    <m/>
    <s v="V17566-DWND-0070"/>
    <m/>
    <m/>
    <m/>
    <m/>
    <m/>
    <m/>
    <m/>
    <m/>
    <m/>
    <m/>
    <m/>
    <n v="2061.36"/>
    <n v="229.03999999999996"/>
    <m/>
    <n v="1"/>
    <n v="2290.4"/>
    <d v="2026-09-19T00:00:00"/>
    <n v="1"/>
    <n v="2290.4"/>
    <d v="2026-09-21T00:00:00"/>
    <n v="1"/>
    <n v="2290.4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4"/>
    <s v="V17566-DWXD-7411"/>
    <s v="COT-2"/>
    <s v="TOP PANEL "/>
    <n v="1"/>
    <n v="11207.4"/>
    <n v="11207.4"/>
    <s v="(1638x3448x9823) "/>
    <m/>
    <s v="V17566-DWND-0070"/>
    <m/>
    <m/>
    <m/>
    <m/>
    <m/>
    <m/>
    <m/>
    <m/>
    <m/>
    <m/>
    <m/>
    <n v="10086.66"/>
    <n v="1120.7399999999998"/>
    <m/>
    <n v="1"/>
    <n v="11207.4"/>
    <d v="2026-09-16T00:00:00"/>
    <n v="1"/>
    <n v="11207.4"/>
    <d v="2026-09-22T00:00:00"/>
    <n v="1"/>
    <n v="11207.4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3"/>
    <s v="V17566-DWXD-7471"/>
    <s v="COT-3"/>
    <s v="SCR DOOR "/>
    <n v="1"/>
    <n v="618.9"/>
    <n v="618.9"/>
    <s v="(451x2006x3085) "/>
    <m/>
    <s v="V17566-DWND-0070"/>
    <m/>
    <m/>
    <m/>
    <m/>
    <m/>
    <m/>
    <m/>
    <m/>
    <m/>
    <m/>
    <m/>
    <n v="557.01"/>
    <n v="61.889999999999986"/>
    <m/>
    <n v="1"/>
    <n v="618.9"/>
    <d v="2026-09-21T00:00:00"/>
    <n v="1"/>
    <n v="618.9"/>
    <d v="2026-09-28T00:00:00"/>
    <n v="1"/>
    <n v="618.9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4"/>
    <s v="V17566-DWXD-7473"/>
    <s v="COT-4"/>
    <s v="SCR DOOR "/>
    <n v="1"/>
    <n v="669.3"/>
    <n v="669.3"/>
    <s v="(451x2006x3356) "/>
    <m/>
    <s v="V17566-DWND-0070"/>
    <m/>
    <m/>
    <m/>
    <m/>
    <m/>
    <m/>
    <m/>
    <m/>
    <m/>
    <m/>
    <m/>
    <n v="602.36999999999989"/>
    <n v="66.930000000000064"/>
    <m/>
    <n v="1"/>
    <n v="669.3"/>
    <d v="2026-09-21T00:00:00"/>
    <n v="1"/>
    <n v="669.3"/>
    <d v="2026-09-22T00:00:00"/>
    <n v="1"/>
    <n v="669.3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4"/>
    <s v="V17566-DWXD-7475"/>
    <s v="COT-5"/>
    <s v="SCR DOOR "/>
    <n v="1"/>
    <n v="618.70000000000005"/>
    <n v="618.70000000000005"/>
    <s v="(451x2006x3085) "/>
    <m/>
    <s v="V17566-DWND-0070"/>
    <m/>
    <m/>
    <m/>
    <m/>
    <m/>
    <m/>
    <m/>
    <m/>
    <m/>
    <m/>
    <m/>
    <n v="556.83000000000004"/>
    <n v="61.870000000000005"/>
    <m/>
    <n v="1"/>
    <n v="618.70000000000005"/>
    <d v="2026-09-21T00:00:00"/>
    <n v="1"/>
    <n v="618.70000000000005"/>
    <d v="2026-09-22T00:00:00"/>
    <n v="1"/>
    <n v="618.70000000000005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01"/>
    <s v="S3"/>
    <s v="V17566-DWXD-7477"/>
    <s v="COT-6"/>
    <s v="TOP PANEL "/>
    <n v="1"/>
    <n v="1090"/>
    <n v="1090"/>
    <s v="(364x1262x9785) "/>
    <m/>
    <s v="V17566-DWND-0070"/>
    <m/>
    <m/>
    <m/>
    <m/>
    <m/>
    <m/>
    <m/>
    <m/>
    <m/>
    <m/>
    <m/>
    <n v="981"/>
    <n v="109"/>
    <m/>
    <n v="1"/>
    <n v="1090"/>
    <d v="2026-09-14T00:00:00"/>
    <n v="1"/>
    <n v="1090"/>
    <d v="2026-09-30T00:00:00"/>
    <n v="1"/>
    <n v="109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503"/>
    <s v="CO-BF-1"/>
    <s v="BUILT-UP CHANNEL "/>
    <n v="2"/>
    <n v="366.15"/>
    <n v="732.3"/>
    <s v="(250x90x9574) "/>
    <m/>
    <s v="V17566-SRND-0001"/>
    <m/>
    <m/>
    <m/>
    <m/>
    <m/>
    <m/>
    <m/>
    <m/>
    <m/>
    <m/>
    <m/>
    <n v="0"/>
    <n v="732.3"/>
    <m/>
    <m/>
    <n v="0"/>
    <m/>
    <m/>
    <n v="0"/>
    <m/>
    <m/>
    <n v="0"/>
    <m/>
    <m/>
    <n v="0"/>
    <m/>
    <m/>
    <m/>
    <n v="0"/>
    <m/>
    <m/>
    <n v="0"/>
    <s v="PAC"/>
    <m/>
  </r>
  <r>
    <n v="138"/>
    <x v="0"/>
    <s v="Shipment 2 CO-SCR Duct"/>
    <x v="0"/>
    <x v="0"/>
    <m/>
    <d v="2026-07-01T00:00:00"/>
    <s v="HRSG"/>
    <s v="HSG14"/>
    <s v="S3"/>
    <s v="V17566-DWXD-7504"/>
    <s v="CO-BF-2"/>
    <s v="BAFFLE "/>
    <n v="1"/>
    <n v="2.6"/>
    <n v="2.6"/>
    <s v="(38x3x2881) "/>
    <m/>
    <s v="V17566-SRND-0001"/>
    <m/>
    <m/>
    <m/>
    <m/>
    <m/>
    <m/>
    <m/>
    <m/>
    <m/>
    <m/>
    <m/>
    <n v="0"/>
    <n v="2.6"/>
    <m/>
    <m/>
    <n v="0"/>
    <m/>
    <m/>
    <n v="0"/>
    <m/>
    <m/>
    <n v="0"/>
    <m/>
    <m/>
    <n v="0"/>
    <m/>
    <m/>
    <m/>
    <n v="0"/>
    <m/>
    <m/>
    <n v="0"/>
    <s v="PAC"/>
    <m/>
  </r>
  <r>
    <n v="139"/>
    <x v="0"/>
    <s v="Shipment 2 CO-SCR Duct"/>
    <x v="0"/>
    <x v="0"/>
    <m/>
    <d v="2026-07-01T00:00:00"/>
    <s v="HRSG"/>
    <s v="HSG14"/>
    <s v="S3"/>
    <s v="V17566-DWXD-7505"/>
    <s v="CO-BF-3"/>
    <s v="BAFFLE "/>
    <n v="1"/>
    <n v="2.6"/>
    <n v="2.6"/>
    <s v="(38x3x2914) "/>
    <m/>
    <s v="V17566-SRND-0001"/>
    <m/>
    <m/>
    <m/>
    <m/>
    <m/>
    <m/>
    <m/>
    <m/>
    <m/>
    <m/>
    <m/>
    <n v="2.5999999999999996"/>
    <n v="0"/>
    <m/>
    <m/>
    <n v="0"/>
    <d v="2026-10-17T00:00:00"/>
    <n v="1"/>
    <n v="2.6"/>
    <d v="2026-10-17T00:00:00"/>
    <n v="1"/>
    <n v="2.6"/>
    <m/>
    <m/>
    <n v="0"/>
    <s v="U284-SCR-003"/>
    <d v="2026-10-17T00:00:00"/>
    <n v="1"/>
    <n v="2.6"/>
    <m/>
    <m/>
    <n v="0"/>
    <s v="PAC"/>
    <m/>
  </r>
  <r>
    <n v="140"/>
    <x v="0"/>
    <s v="Shipment 2 CO-SCR Duct"/>
    <x v="0"/>
    <x v="0"/>
    <m/>
    <d v="2026-07-01T00:00:00"/>
    <s v="HRSG"/>
    <s v="HSG14"/>
    <s v="S3"/>
    <s v="V17566-DWXD-7506"/>
    <s v="CO-BF-4"/>
    <s v="BAFFLE "/>
    <n v="1"/>
    <n v="2.6"/>
    <n v="2.6"/>
    <s v="(38x3x2862) "/>
    <m/>
    <s v="V17566-SRND-0001"/>
    <m/>
    <m/>
    <m/>
    <m/>
    <m/>
    <m/>
    <m/>
    <m/>
    <m/>
    <m/>
    <m/>
    <n v="2.5999999999999996"/>
    <n v="0"/>
    <m/>
    <m/>
    <n v="0"/>
    <d v="2026-10-17T00:00:00"/>
    <n v="1"/>
    <n v="2.6"/>
    <d v="2026-10-17T00:00:00"/>
    <n v="1"/>
    <n v="2.6"/>
    <m/>
    <m/>
    <n v="0"/>
    <s v="U284-SCR-003"/>
    <d v="2026-10-17T00:00:00"/>
    <n v="1"/>
    <n v="2.6"/>
    <m/>
    <m/>
    <n v="0"/>
    <s v="PAC"/>
    <m/>
  </r>
  <r>
    <n v="141"/>
    <x v="0"/>
    <s v="Shipment 2 CO-SCR Duct"/>
    <x v="0"/>
    <x v="0"/>
    <m/>
    <d v="2026-07-01T00:00:00"/>
    <s v="HRSG"/>
    <s v="HSG14"/>
    <s v="S3"/>
    <s v="V17566-DWXD-7507"/>
    <s v="CO-BF-5"/>
    <s v="BENT PLATE 110B "/>
    <n v="1"/>
    <n v="0.5"/>
    <n v="0.5"/>
    <s v="(300x51x90) "/>
    <m/>
    <s v="V17566-SRND-0001"/>
    <m/>
    <m/>
    <m/>
    <m/>
    <m/>
    <m/>
    <m/>
    <m/>
    <m/>
    <m/>
    <m/>
    <n v="0.5"/>
    <n v="0"/>
    <m/>
    <m/>
    <n v="0"/>
    <d v="2026-10-17T00:00:00"/>
    <n v="1"/>
    <n v="0.5"/>
    <d v="2026-10-17T00:00:00"/>
    <n v="1"/>
    <n v="0.5"/>
    <m/>
    <m/>
    <n v="0"/>
    <s v="U284-SCR-003"/>
    <d v="2026-10-17T00:00:00"/>
    <n v="1"/>
    <n v="0.5"/>
    <m/>
    <m/>
    <n v="0"/>
    <s v="PAC"/>
    <m/>
  </r>
  <r>
    <n v="142"/>
    <x v="0"/>
    <s v="Shipment 2 CO-SCR Duct"/>
    <x v="0"/>
    <x v="0"/>
    <m/>
    <d v="2026-07-01T00:00:00"/>
    <s v="HRSG"/>
    <s v="HSG14"/>
    <s v="S3"/>
    <s v="V17566-DWXD-7508"/>
    <s v="CO-BF-6"/>
    <s v="BENT PLATE 110B "/>
    <n v="20"/>
    <n v="2.4950000000000001"/>
    <n v="49.9"/>
    <s v="(1156x51x90) "/>
    <m/>
    <s v="V17566-SRND-0001"/>
    <m/>
    <m/>
    <m/>
    <m/>
    <m/>
    <m/>
    <m/>
    <m/>
    <m/>
    <m/>
    <m/>
    <n v="49.9"/>
    <n v="0"/>
    <m/>
    <m/>
    <n v="0"/>
    <d v="2026-10-17T00:00:00"/>
    <n v="20"/>
    <n v="49.9"/>
    <d v="2026-10-17T00:00:00"/>
    <n v="20"/>
    <n v="49.9"/>
    <m/>
    <m/>
    <n v="0"/>
    <s v="U284-SCR-003"/>
    <d v="2026-10-17T00:00:00"/>
    <n v="20"/>
    <n v="49.9"/>
    <m/>
    <m/>
    <n v="0"/>
    <s v="PAC"/>
    <m/>
  </r>
  <r>
    <n v="143"/>
    <x v="0"/>
    <s v="Shipment 2 CO-SCR Duct"/>
    <x v="0"/>
    <x v="0"/>
    <m/>
    <d v="2026-07-01T00:00:00"/>
    <s v="HRSG"/>
    <s v="HSG14"/>
    <s v="S3"/>
    <s v="V17566-DWXD-7509"/>
    <s v="CO-BF-7"/>
    <s v="BENT PLATE 110B "/>
    <n v="1"/>
    <n v="0.7"/>
    <n v="0.7"/>
    <s v="(344x51x90) "/>
    <m/>
    <s v="V17566-SRND-0001"/>
    <m/>
    <m/>
    <m/>
    <m/>
    <m/>
    <m/>
    <m/>
    <m/>
    <m/>
    <m/>
    <m/>
    <n v="0.69999999999999984"/>
    <n v="0"/>
    <m/>
    <m/>
    <n v="0"/>
    <d v="2026-10-17T00:00:00"/>
    <n v="1"/>
    <n v="0.7"/>
    <d v="2026-10-17T00:00:00"/>
    <n v="1"/>
    <n v="0.7"/>
    <m/>
    <m/>
    <n v="0"/>
    <s v="U284-SCR-003"/>
    <d v="2026-10-17T00:00:00"/>
    <n v="1"/>
    <n v="0.7"/>
    <m/>
    <m/>
    <n v="0"/>
    <s v="PAC"/>
    <m/>
  </r>
  <r>
    <n v="144"/>
    <x v="0"/>
    <s v="Shipment 2 CO-SCR Duct"/>
    <x v="0"/>
    <x v="0"/>
    <m/>
    <d v="2026-07-01T00:00:00"/>
    <s v="HRSG"/>
    <s v="HSG14"/>
    <s v="S3"/>
    <s v="V17566-DWXD-7510"/>
    <s v="CO-BF-8"/>
    <s v="BENT PLATE 110A "/>
    <n v="1"/>
    <n v="0.5"/>
    <n v="0.5"/>
    <s v="(300x51x90) "/>
    <m/>
    <s v="V17566-SRND-0001"/>
    <m/>
    <m/>
    <m/>
    <m/>
    <m/>
    <m/>
    <m/>
    <m/>
    <m/>
    <m/>
    <m/>
    <n v="0.5"/>
    <n v="0"/>
    <m/>
    <m/>
    <n v="0"/>
    <d v="2026-10-17T00:00:00"/>
    <n v="1"/>
    <n v="0.5"/>
    <d v="2026-10-17T00:00:00"/>
    <n v="1"/>
    <n v="0.5"/>
    <m/>
    <m/>
    <n v="0"/>
    <s v="U284-SCR-003"/>
    <d v="2026-10-17T00:00:00"/>
    <n v="1"/>
    <n v="0.5"/>
    <m/>
    <m/>
    <n v="0"/>
    <s v="PAC"/>
    <m/>
  </r>
  <r>
    <n v="145"/>
    <x v="0"/>
    <s v="Shipment 2 CO-SCR Duct"/>
    <x v="0"/>
    <x v="0"/>
    <m/>
    <d v="2026-07-01T00:00:00"/>
    <s v="HRSG"/>
    <s v="HSG14"/>
    <s v="S3"/>
    <s v="V17566-DWXD-7511"/>
    <s v="CO-BF-9"/>
    <s v="BENT PLATE 110A "/>
    <n v="20"/>
    <n v="2.4950000000000001"/>
    <n v="49.9"/>
    <s v="(1156x51x90) "/>
    <m/>
    <s v="V17566-SRND-0001"/>
    <m/>
    <m/>
    <m/>
    <m/>
    <m/>
    <m/>
    <m/>
    <m/>
    <m/>
    <m/>
    <m/>
    <n v="49.9"/>
    <n v="0"/>
    <m/>
    <m/>
    <n v="0"/>
    <d v="2026-10-17T00:00:00"/>
    <n v="20"/>
    <n v="49.9"/>
    <d v="2026-10-17T00:00:00"/>
    <n v="20"/>
    <n v="49.9"/>
    <m/>
    <m/>
    <n v="0"/>
    <s v="U284-SCR-003"/>
    <d v="2026-10-17T00:00:00"/>
    <n v="20"/>
    <n v="49.9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2"/>
    <s v="CO-BF-10"/>
    <s v="BENT PLATE 110A "/>
    <n v="1"/>
    <n v="0.7"/>
    <n v="0.7"/>
    <s v="(344x51x90) "/>
    <m/>
    <s v="V17566-SRND-0001"/>
    <m/>
    <m/>
    <m/>
    <m/>
    <m/>
    <m/>
    <m/>
    <m/>
    <m/>
    <m/>
    <m/>
    <n v="0.69999999999999984"/>
    <n v="0"/>
    <m/>
    <m/>
    <n v="0"/>
    <d v="2026-10-17T00:00:00"/>
    <n v="1"/>
    <n v="0.7"/>
    <d v="2026-10-17T00:00:00"/>
    <n v="1"/>
    <n v="0.7"/>
    <m/>
    <m/>
    <n v="0"/>
    <s v="U284-SCR-003"/>
    <d v="2026-10-17T00:00:00"/>
    <n v="1"/>
    <n v="0.7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88"/>
    <s v="CO-BF-11"/>
    <s v="STUD 5/8&quot; "/>
    <n v="156"/>
    <n v="1.0089743589743589"/>
    <n v="157.4"/>
    <s v="(102x40x184) "/>
    <m/>
    <s v="V17566-SRND-0001"/>
    <m/>
    <m/>
    <m/>
    <m/>
    <m/>
    <m/>
    <m/>
    <m/>
    <m/>
    <m/>
    <m/>
    <n v="0"/>
    <n v="157.4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3"/>
    <s v="CO-BF-12"/>
    <s v="BAFFLE "/>
    <n v="1"/>
    <n v="0"/>
    <n v="0"/>
    <s v="(12x3x36) "/>
    <m/>
    <s v="V17566-SRND-0001"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4"/>
    <s v="CO-BF-13"/>
    <s v="BUILT-UP H-BEAM "/>
    <n v="1"/>
    <n v="616.29999999999995"/>
    <n v="616.29999999999995"/>
    <s v="(300x353x11000) "/>
    <m/>
    <s v="V17566-SRND-0001"/>
    <m/>
    <m/>
    <m/>
    <m/>
    <m/>
    <m/>
    <m/>
    <m/>
    <m/>
    <m/>
    <m/>
    <n v="308.14999999999998"/>
    <n v="308.14999999999998"/>
    <m/>
    <m/>
    <n v="0"/>
    <d v="2026-10-16T00:00:00"/>
    <n v="1"/>
    <n v="616.29999999999995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5"/>
    <s v="CO-BF-14"/>
    <s v="BUILT-UP H-BEAM "/>
    <n v="1"/>
    <n v="757.7"/>
    <n v="757.7"/>
    <s v="(300x353x13328) "/>
    <m/>
    <s v="V17566-SRND-0001"/>
    <m/>
    <m/>
    <m/>
    <m/>
    <m/>
    <m/>
    <m/>
    <m/>
    <m/>
    <m/>
    <m/>
    <n v="378.85"/>
    <n v="378.85"/>
    <m/>
    <m/>
    <n v="0"/>
    <d v="2026-10-16T00:00:00"/>
    <n v="1"/>
    <n v="757.7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6"/>
    <s v="CO-BF-15"/>
    <s v="BUILT-UP CHANNEL "/>
    <n v="2"/>
    <n v="129"/>
    <n v="258"/>
    <s v="(300x100x2877) "/>
    <m/>
    <s v="V17566-SRND-0001"/>
    <m/>
    <m/>
    <m/>
    <m/>
    <m/>
    <m/>
    <m/>
    <m/>
    <m/>
    <m/>
    <m/>
    <n v="129"/>
    <n v="129"/>
    <m/>
    <m/>
    <n v="0"/>
    <d v="2026-10-16T00:00:00"/>
    <n v="2"/>
    <n v="258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7"/>
    <s v="CO-BF-16"/>
    <s v="BUILT-UP H-BEAM "/>
    <n v="2"/>
    <n v="632.6"/>
    <n v="1265.2"/>
    <s v="(300x400x11000) "/>
    <m/>
    <s v="V17566-SRND-0001"/>
    <m/>
    <m/>
    <m/>
    <m/>
    <m/>
    <m/>
    <m/>
    <m/>
    <m/>
    <m/>
    <m/>
    <n v="632.6"/>
    <n v="632.6"/>
    <m/>
    <m/>
    <n v="0"/>
    <d v="2026-10-16T00:00:00"/>
    <n v="2"/>
    <n v="1265.2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8"/>
    <s v="CO-BF-17"/>
    <s v="BUILT-UP H-BEAM "/>
    <n v="2"/>
    <n v="785.3"/>
    <n v="1570.6"/>
    <s v="(300x400x13334) "/>
    <m/>
    <s v="V17566-SRND-0001"/>
    <m/>
    <m/>
    <m/>
    <m/>
    <m/>
    <m/>
    <m/>
    <m/>
    <m/>
    <m/>
    <m/>
    <n v="785.3"/>
    <n v="785.3"/>
    <m/>
    <m/>
    <n v="0"/>
    <d v="2026-10-16T00:00:00"/>
    <n v="2"/>
    <n v="1570.6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19"/>
    <s v="CO-BF-18"/>
    <s v="BENT PLATE "/>
    <n v="1"/>
    <n v="72.099999999999994"/>
    <n v="72.099999999999994"/>
    <s v="(3144x313x159) "/>
    <m/>
    <s v="V17566-SRND-0001"/>
    <m/>
    <m/>
    <m/>
    <m/>
    <m/>
    <m/>
    <m/>
    <m/>
    <m/>
    <m/>
    <m/>
    <n v="0"/>
    <n v="72.099999999999994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0"/>
    <s v="CO-BF-19"/>
    <s v="BENT PLATE "/>
    <n v="1"/>
    <n v="74.099999999999994"/>
    <n v="74.099999999999994"/>
    <s v="(3241x313x159) "/>
    <m/>
    <s v="V17566-SRND-0001"/>
    <m/>
    <m/>
    <m/>
    <m/>
    <m/>
    <m/>
    <m/>
    <m/>
    <m/>
    <m/>
    <m/>
    <n v="0"/>
    <n v="74.099999999999994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1"/>
    <s v="CO-BF-20"/>
    <s v="BUILT-UP CHANNEL "/>
    <n v="1"/>
    <n v="130.30000000000001"/>
    <n v="130.30000000000001"/>
    <s v="(300x100x2906) "/>
    <m/>
    <s v="V17566-SRND-0001"/>
    <m/>
    <m/>
    <m/>
    <m/>
    <m/>
    <m/>
    <m/>
    <m/>
    <m/>
    <m/>
    <m/>
    <n v="0"/>
    <n v="130.30000000000001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2"/>
    <s v="CO-BF-21"/>
    <s v="BENT PLATE "/>
    <n v="1"/>
    <n v="74.099999999999994"/>
    <n v="74.099999999999994"/>
    <s v="(3241x313x159) "/>
    <m/>
    <s v="V17566-SRND-0001"/>
    <m/>
    <m/>
    <m/>
    <m/>
    <m/>
    <m/>
    <m/>
    <m/>
    <m/>
    <m/>
    <m/>
    <n v="0"/>
    <n v="74.099999999999994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3"/>
    <s v="CO-BF-22"/>
    <s v="BUILT-UP H-BEAM "/>
    <n v="1"/>
    <n v="616.29999999999995"/>
    <n v="616.29999999999995"/>
    <s v="(300x353x11000) "/>
    <m/>
    <s v="V17566-SRND-0001"/>
    <m/>
    <m/>
    <m/>
    <m/>
    <m/>
    <m/>
    <m/>
    <m/>
    <m/>
    <m/>
    <m/>
    <n v="308.14999999999998"/>
    <n v="308.14999999999998"/>
    <m/>
    <m/>
    <n v="0"/>
    <d v="2026-10-15T00:00:00"/>
    <n v="1"/>
    <n v="616.29999999999995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4"/>
    <s v="CO-BF-23"/>
    <s v="BUILT-UP H-BEAM "/>
    <n v="1"/>
    <n v="757.7"/>
    <n v="757.7"/>
    <s v="(300x282x13334) "/>
    <m/>
    <s v="V17566-SRND-0001"/>
    <m/>
    <m/>
    <m/>
    <m/>
    <m/>
    <m/>
    <m/>
    <m/>
    <m/>
    <m/>
    <m/>
    <n v="378.85"/>
    <n v="378.85"/>
    <m/>
    <m/>
    <n v="0"/>
    <d v="2026-10-15T00:00:00"/>
    <n v="1"/>
    <n v="757.7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5"/>
    <s v="CO-BF-24"/>
    <s v="BUILT-UP H-BEAM "/>
    <n v="6"/>
    <n v="536.54999999999995"/>
    <n v="3219.2999999999997"/>
    <s v="(300x200x9574) "/>
    <m/>
    <s v="V17566-SRND-0001"/>
    <m/>
    <m/>
    <m/>
    <m/>
    <m/>
    <m/>
    <m/>
    <m/>
    <m/>
    <m/>
    <m/>
    <n v="1609.6499999999999"/>
    <n v="1609.6499999999999"/>
    <m/>
    <m/>
    <n v="0"/>
    <d v="2026-10-15T00:00:00"/>
    <n v="6"/>
    <n v="3219.2999999999997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6"/>
    <s v="CO-BF-25"/>
    <s v="BENT PLATE "/>
    <n v="1"/>
    <n v="3.6"/>
    <n v="3.6"/>
    <s v="(854x204x51) "/>
    <m/>
    <s v="V17566-SRND-0001"/>
    <m/>
    <m/>
    <m/>
    <m/>
    <m/>
    <m/>
    <m/>
    <m/>
    <m/>
    <m/>
    <m/>
    <n v="0"/>
    <n v="3.6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7"/>
    <s v="CO-BF-26"/>
    <s v="BENT PLATE "/>
    <n v="7"/>
    <n v="4.7142857142857144"/>
    <n v="33"/>
    <s v="(1156x204x51) "/>
    <m/>
    <s v="V17566-SRND-0001"/>
    <m/>
    <m/>
    <m/>
    <m/>
    <m/>
    <m/>
    <m/>
    <m/>
    <m/>
    <m/>
    <m/>
    <n v="0"/>
    <n v="33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8"/>
    <s v="CO-BF-27"/>
    <s v="BENT PLATE "/>
    <n v="1"/>
    <n v="3.4"/>
    <n v="3.4"/>
    <s v="(835x204x51) "/>
    <m/>
    <s v="V17566-SRND-0001"/>
    <m/>
    <m/>
    <m/>
    <m/>
    <m/>
    <m/>
    <m/>
    <m/>
    <m/>
    <m/>
    <m/>
    <n v="0"/>
    <n v="3.4"/>
    <m/>
    <m/>
    <n v="0"/>
    <m/>
    <m/>
    <n v="0"/>
    <m/>
    <m/>
    <n v="0"/>
    <m/>
    <m/>
    <n v="0"/>
    <m/>
    <m/>
    <m/>
    <n v="0"/>
    <m/>
    <m/>
    <n v="0"/>
    <s v="PAC"/>
    <m/>
  </r>
  <r>
    <n v="146"/>
    <x v="0"/>
    <s v="Shipment 2 CO-SCR Duct"/>
    <x v="0"/>
    <x v="0"/>
    <m/>
    <d v="2026-07-01T00:00:00"/>
    <s v="HRSG"/>
    <s v="HSG14"/>
    <s v="S3"/>
    <s v="V17566-DWXD-7529"/>
    <s v="CO-BF-28"/>
    <s v="BENT PLATE "/>
    <n v="16"/>
    <n v="173.1875"/>
    <n v="2771"/>
    <s v="(9574x90x150) "/>
    <m/>
    <s v="V17566-SRND-0001"/>
    <m/>
    <m/>
    <m/>
    <m/>
    <m/>
    <m/>
    <m/>
    <m/>
    <m/>
    <m/>
    <m/>
    <n v="0"/>
    <n v="2771"/>
    <m/>
    <m/>
    <n v="0"/>
    <m/>
    <m/>
    <n v="0"/>
    <m/>
    <m/>
    <n v="0"/>
    <m/>
    <m/>
    <n v="0"/>
    <m/>
    <m/>
    <m/>
    <n v="0"/>
    <m/>
    <m/>
    <n v="0"/>
    <s v="PAC"/>
    <m/>
  </r>
  <r>
    <n v="147"/>
    <x v="0"/>
    <s v="Shipment 2 CO-SCR Duct"/>
    <x v="0"/>
    <x v="0"/>
    <m/>
    <d v="2026-07-01T00:00:00"/>
    <s v="HRSG"/>
    <s v="HSG14"/>
    <s v="S3"/>
    <s v="V17566-DWXD-7530"/>
    <s v="CO-BF-29"/>
    <s v="BENT PLATE 110B "/>
    <n v="1"/>
    <n v="2.2000000000000002"/>
    <n v="2.2000000000000002"/>
    <s v="(1024x51x90) "/>
    <m/>
    <s v="V17566-SRND-0001"/>
    <m/>
    <m/>
    <m/>
    <m/>
    <m/>
    <m/>
    <m/>
    <m/>
    <m/>
    <m/>
    <m/>
    <n v="2.2000000000000002"/>
    <n v="0"/>
    <m/>
    <m/>
    <n v="0"/>
    <d v="2026-10-17T00:00:00"/>
    <n v="1"/>
    <n v="2.2000000000000002"/>
    <d v="2026-10-17T00:00:00"/>
    <n v="1"/>
    <n v="2.2000000000000002"/>
    <m/>
    <m/>
    <n v="0"/>
    <s v="U284-SCR-003"/>
    <d v="2026-10-17T00:00:00"/>
    <n v="1"/>
    <n v="2.2000000000000002"/>
    <m/>
    <m/>
    <n v="0"/>
    <s v="PAC"/>
    <m/>
  </r>
  <r>
    <n v="148"/>
    <x v="0"/>
    <s v="Shipment 2 CO-SCR Duct"/>
    <x v="0"/>
    <x v="0"/>
    <m/>
    <d v="2026-07-01T00:00:00"/>
    <s v="HRSG"/>
    <s v="HSG14"/>
    <s v="S3"/>
    <s v="V17566-DWXD-7531"/>
    <s v="CO-BF-30"/>
    <s v="BENT PLATE 110A "/>
    <n v="1"/>
    <n v="2.2000000000000002"/>
    <n v="2.2000000000000002"/>
    <s v="(1024x51x90) "/>
    <m/>
    <s v="V17566-SRND-0001"/>
    <m/>
    <m/>
    <m/>
    <m/>
    <m/>
    <m/>
    <m/>
    <m/>
    <m/>
    <m/>
    <m/>
    <n v="2.2000000000000002"/>
    <n v="0"/>
    <m/>
    <m/>
    <n v="0"/>
    <d v="2026-10-17T00:00:00"/>
    <n v="1"/>
    <n v="2.2000000000000002"/>
    <d v="2026-10-17T00:00:00"/>
    <n v="1"/>
    <n v="2.2000000000000002"/>
    <m/>
    <m/>
    <n v="0"/>
    <s v="U284-SCR-003"/>
    <d v="2026-10-17T00:00:00"/>
    <n v="1"/>
    <n v="2.2000000000000002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1"/>
    <s v="BK-1"/>
    <s v="BLANKING PLATE"/>
    <n v="1"/>
    <n v="1141.0999999999999"/>
    <n v="1141.0999999999999"/>
    <s v="(2235x156x4861)"/>
    <m/>
    <m/>
    <m/>
    <m/>
    <m/>
    <m/>
    <m/>
    <m/>
    <m/>
    <m/>
    <m/>
    <m/>
    <m/>
    <n v="1026.99"/>
    <n v="114.1099999999999"/>
    <m/>
    <m/>
    <n v="0"/>
    <d v="2026-10-13T00:00:00"/>
    <n v="1"/>
    <n v="1141.0999999999999"/>
    <d v="2026-10-15T00:00:00"/>
    <n v="1"/>
    <n v="1141.0999999999999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2"/>
    <s v="BK-2"/>
    <s v="BLANKING PLATE"/>
    <n v="4"/>
    <n v="1110.9000000000001"/>
    <n v="4443.8"/>
    <s v="(2134x156x4861)"/>
    <m/>
    <m/>
    <m/>
    <m/>
    <m/>
    <m/>
    <m/>
    <m/>
    <m/>
    <m/>
    <m/>
    <m/>
    <m/>
    <n v="2221.9"/>
    <n v="2221.9"/>
    <m/>
    <m/>
    <n v="0"/>
    <d v="2026-10-13T00:00:00"/>
    <n v="4"/>
    <n v="4443.8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3"/>
    <s v="BK-3"/>
    <s v="BLANKING PLATE"/>
    <n v="1"/>
    <n v="1141.0999999999999"/>
    <n v="1141.0999999999999"/>
    <s v="(2235x156x4861)"/>
    <m/>
    <m/>
    <m/>
    <m/>
    <m/>
    <m/>
    <m/>
    <m/>
    <m/>
    <m/>
    <m/>
    <m/>
    <m/>
    <n v="570.54999999999995"/>
    <n v="570.54999999999995"/>
    <m/>
    <m/>
    <n v="0"/>
    <d v="2026-10-13T00:00:00"/>
    <n v="1"/>
    <n v="1141.0999999999999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4"/>
    <s v="DR-1"/>
    <s v="DRAIN PIPE"/>
    <n v="1"/>
    <n v="45"/>
    <n v="45"/>
    <s v="(3633x191x191)"/>
    <m/>
    <m/>
    <m/>
    <m/>
    <m/>
    <m/>
    <m/>
    <m/>
    <m/>
    <m/>
    <m/>
    <m/>
    <m/>
    <n v="0"/>
    <n v="45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5"/>
    <s v="DR-2"/>
    <s v="DRAIN PIPE"/>
    <n v="1"/>
    <n v="41.5"/>
    <n v="41.5"/>
    <s v="(3724x158x89)"/>
    <m/>
    <m/>
    <m/>
    <m/>
    <m/>
    <m/>
    <m/>
    <m/>
    <m/>
    <m/>
    <m/>
    <m/>
    <m/>
    <n v="0"/>
    <n v="41.5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93"/>
    <s v="DR-4"/>
    <s v="DRAIN PAN"/>
    <n v="1"/>
    <n v="2429.1999999999998"/>
    <n v="2429.1999999999998"/>
    <s v="(7008x580x6984)"/>
    <m/>
    <m/>
    <m/>
    <m/>
    <m/>
    <m/>
    <m/>
    <m/>
    <m/>
    <m/>
    <m/>
    <m/>
    <m/>
    <n v="0"/>
    <n v="2429.1999999999998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6"/>
    <s v="EX-1"/>
    <s v="EXPANDED METAL"/>
    <n v="5"/>
    <n v="7.4"/>
    <n v="37"/>
    <s v="(1153x196x2438)"/>
    <m/>
    <m/>
    <m/>
    <m/>
    <m/>
    <m/>
    <m/>
    <m/>
    <m/>
    <m/>
    <m/>
    <m/>
    <m/>
    <n v="0"/>
    <n v="3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7"/>
    <s v="EX-2"/>
    <s v="EXPANDED METAL"/>
    <n v="2"/>
    <n v="7.2"/>
    <n v="14.3"/>
    <s v="(1153x196x2438)"/>
    <m/>
    <m/>
    <m/>
    <m/>
    <m/>
    <m/>
    <m/>
    <m/>
    <m/>
    <m/>
    <m/>
    <m/>
    <m/>
    <n v="0"/>
    <n v="14.3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8"/>
    <s v="EX-3"/>
    <s v="EXPANDED METAL"/>
    <n v="2"/>
    <n v="7.3"/>
    <n v="14.5"/>
    <s v="(1172x200x2438)"/>
    <m/>
    <m/>
    <m/>
    <m/>
    <m/>
    <m/>
    <m/>
    <m/>
    <m/>
    <m/>
    <m/>
    <m/>
    <m/>
    <n v="0"/>
    <n v="14.5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09"/>
    <s v="EX-4"/>
    <s v="EXPANDED METAL"/>
    <n v="8"/>
    <n v="7.4"/>
    <n v="59.1"/>
    <s v="(1153x196x2438)"/>
    <m/>
    <m/>
    <m/>
    <m/>
    <m/>
    <m/>
    <m/>
    <m/>
    <m/>
    <m/>
    <m/>
    <m/>
    <m/>
    <n v="0"/>
    <n v="59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0"/>
    <s v="EX-5"/>
    <s v="EXPANDED METAL"/>
    <n v="2"/>
    <n v="7.2"/>
    <n v="14.4"/>
    <s v="(1153x196x2438)"/>
    <m/>
    <m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1"/>
    <s v="EX-6"/>
    <s v="EXPANDED METAL"/>
    <n v="1"/>
    <n v="7.1"/>
    <n v="7.1"/>
    <s v="(1153x196x2438)"/>
    <m/>
    <m/>
    <m/>
    <m/>
    <m/>
    <m/>
    <m/>
    <m/>
    <m/>
    <m/>
    <m/>
    <m/>
    <m/>
    <n v="0"/>
    <n v="7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2"/>
    <s v="EX-7"/>
    <s v="EXPANDED METAL"/>
    <n v="4"/>
    <n v="6.9"/>
    <n v="27.7"/>
    <s v="(1153x203x2438)"/>
    <m/>
    <m/>
    <m/>
    <m/>
    <m/>
    <m/>
    <m/>
    <m/>
    <m/>
    <m/>
    <m/>
    <m/>
    <m/>
    <n v="0"/>
    <n v="27.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3"/>
    <s v="EX-8"/>
    <s v="EXPANDED METAL"/>
    <n v="10"/>
    <n v="2.8"/>
    <n v="27.6"/>
    <s v="(1153x196x915)"/>
    <m/>
    <m/>
    <m/>
    <m/>
    <m/>
    <m/>
    <m/>
    <m/>
    <m/>
    <m/>
    <m/>
    <m/>
    <m/>
    <n v="0"/>
    <n v="27.6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4"/>
    <s v="EX-9"/>
    <s v="EXPANDED METAL"/>
    <n v="10"/>
    <n v="2.6"/>
    <n v="26"/>
    <s v="(1153x196x863)"/>
    <m/>
    <m/>
    <m/>
    <m/>
    <m/>
    <m/>
    <m/>
    <m/>
    <m/>
    <m/>
    <m/>
    <m/>
    <m/>
    <n v="0"/>
    <n v="26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5"/>
    <s v="EX-10"/>
    <s v="EXPANDED METAL"/>
    <n v="2"/>
    <n v="7.2"/>
    <n v="14.5"/>
    <s v="(1172x200x2438)"/>
    <m/>
    <m/>
    <m/>
    <m/>
    <m/>
    <m/>
    <m/>
    <m/>
    <m/>
    <m/>
    <m/>
    <m/>
    <m/>
    <n v="0"/>
    <n v="14.5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6"/>
    <s v="EX-11"/>
    <s v="EXPANDED METAL"/>
    <n v="1"/>
    <n v="7.1"/>
    <n v="7.1"/>
    <s v="(1153x196x2438)"/>
    <m/>
    <m/>
    <m/>
    <m/>
    <m/>
    <m/>
    <m/>
    <m/>
    <m/>
    <m/>
    <m/>
    <m/>
    <m/>
    <n v="0"/>
    <n v="7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7"/>
    <s v="EX-12"/>
    <s v="EXPANDED METAL"/>
    <n v="1"/>
    <n v="7.1"/>
    <n v="7.1"/>
    <s v="(1153x196x2438)"/>
    <m/>
    <m/>
    <m/>
    <m/>
    <m/>
    <m/>
    <m/>
    <m/>
    <m/>
    <m/>
    <m/>
    <m/>
    <m/>
    <n v="0"/>
    <n v="7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8"/>
    <s v="EX-13"/>
    <s v="EXPANDED METAL"/>
    <n v="1"/>
    <n v="1.5"/>
    <n v="1.5"/>
    <s v="(887x111x723)"/>
    <m/>
    <m/>
    <m/>
    <m/>
    <m/>
    <m/>
    <m/>
    <m/>
    <m/>
    <m/>
    <m/>
    <m/>
    <m/>
    <n v="0"/>
    <n v="1.5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19"/>
    <s v="EX-14"/>
    <s v="EXPANDED METAL"/>
    <n v="1"/>
    <n v="2.2999999999999998"/>
    <n v="1.5"/>
    <s v="(887x111x1007)"/>
    <m/>
    <m/>
    <m/>
    <m/>
    <m/>
    <m/>
    <m/>
    <m/>
    <m/>
    <m/>
    <m/>
    <m/>
    <m/>
    <n v="0"/>
    <n v="1.5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0"/>
    <s v="EX-15"/>
    <s v="EXPANDED METAL"/>
    <n v="1"/>
    <n v="2.9"/>
    <n v="2.9"/>
    <s v="(887x111x1321)"/>
    <m/>
    <m/>
    <m/>
    <m/>
    <m/>
    <m/>
    <m/>
    <m/>
    <m/>
    <m/>
    <m/>
    <m/>
    <m/>
    <n v="0"/>
    <n v="2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1"/>
    <s v="EX-16"/>
    <s v="EXPANDED METAL"/>
    <n v="1"/>
    <n v="3.3"/>
    <n v="3.3"/>
    <s v="(869x107x1525)"/>
    <m/>
    <m/>
    <m/>
    <m/>
    <m/>
    <m/>
    <m/>
    <m/>
    <m/>
    <m/>
    <m/>
    <m/>
    <m/>
    <n v="0"/>
    <n v="3.3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2"/>
    <s v="EX-17"/>
    <s v="EXPANDED METAL"/>
    <n v="1"/>
    <n v="1.7"/>
    <n v="1.7"/>
    <s v="(869x107x743)"/>
    <m/>
    <m/>
    <m/>
    <m/>
    <m/>
    <m/>
    <m/>
    <m/>
    <m/>
    <m/>
    <m/>
    <m/>
    <m/>
    <n v="0"/>
    <n v="1.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3"/>
    <s v="EX-18"/>
    <s v="EXPANDED METAL"/>
    <n v="1"/>
    <n v="3.2"/>
    <n v="3.2"/>
    <s v="(869x107x1489)"/>
    <m/>
    <m/>
    <m/>
    <m/>
    <m/>
    <m/>
    <m/>
    <m/>
    <m/>
    <m/>
    <m/>
    <m/>
    <m/>
    <n v="0"/>
    <n v="3.2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4"/>
    <s v="EX-19"/>
    <s v="EXPANDED METAL"/>
    <n v="1"/>
    <n v="0.3"/>
    <n v="0.3"/>
    <s v="(869x107x116)"/>
    <m/>
    <m/>
    <m/>
    <m/>
    <m/>
    <m/>
    <m/>
    <m/>
    <m/>
    <m/>
    <m/>
    <m/>
    <m/>
    <n v="0"/>
    <n v="0.3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5"/>
    <s v="EX-20"/>
    <s v="EXPANDED METAL"/>
    <n v="1"/>
    <n v="5.4"/>
    <n v="5.4"/>
    <s v="(869x107x2438)"/>
    <m/>
    <m/>
    <m/>
    <m/>
    <m/>
    <m/>
    <m/>
    <m/>
    <m/>
    <m/>
    <m/>
    <m/>
    <m/>
    <n v="0"/>
    <n v="5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6"/>
    <s v="EX-21"/>
    <s v="EXPANDED METAL"/>
    <n v="1"/>
    <n v="2.8"/>
    <n v="2.8"/>
    <s v="(887x111x1284)"/>
    <m/>
    <m/>
    <m/>
    <m/>
    <m/>
    <m/>
    <m/>
    <m/>
    <m/>
    <m/>
    <m/>
    <m/>
    <m/>
    <n v="0"/>
    <n v="2.8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7"/>
    <s v="EX-22"/>
    <s v="EXPANDED METAL"/>
    <n v="1"/>
    <n v="0.3"/>
    <n v="0.3"/>
    <s v="(887x111x130)"/>
    <m/>
    <m/>
    <m/>
    <m/>
    <m/>
    <m/>
    <m/>
    <m/>
    <m/>
    <m/>
    <m/>
    <m/>
    <m/>
    <n v="0"/>
    <n v="0.3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8"/>
    <s v="EX-23"/>
    <s v="EXPANDED METAL"/>
    <n v="1"/>
    <n v="2.8"/>
    <n v="2.8"/>
    <s v="(887x111x1285)"/>
    <m/>
    <m/>
    <m/>
    <m/>
    <m/>
    <m/>
    <m/>
    <m/>
    <m/>
    <m/>
    <m/>
    <m/>
    <m/>
    <n v="0"/>
    <n v="2.8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29"/>
    <s v="EX-24"/>
    <s v="EXPANDED METAL"/>
    <n v="1"/>
    <n v="3.3"/>
    <n v="3.3"/>
    <s v="(869x111x1525)"/>
    <m/>
    <m/>
    <m/>
    <m/>
    <m/>
    <m/>
    <m/>
    <m/>
    <m/>
    <m/>
    <m/>
    <m/>
    <m/>
    <n v="0"/>
    <n v="3.3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0"/>
    <s v="EX-25"/>
    <s v="EXPANDED METAL"/>
    <n v="1"/>
    <n v="1.7"/>
    <n v="1.7"/>
    <s v="(869x111x743)"/>
    <m/>
    <m/>
    <m/>
    <m/>
    <m/>
    <m/>
    <m/>
    <m/>
    <m/>
    <m/>
    <m/>
    <m/>
    <m/>
    <n v="0"/>
    <n v="1.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1"/>
    <s v="EX-26"/>
    <s v="EXPANDED METAL"/>
    <n v="1"/>
    <n v="1.5"/>
    <n v="1.5"/>
    <s v="(869x111x753)"/>
    <m/>
    <m/>
    <m/>
    <m/>
    <m/>
    <m/>
    <m/>
    <m/>
    <m/>
    <m/>
    <m/>
    <m/>
    <m/>
    <n v="0"/>
    <n v="1.5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2"/>
    <s v="EX-27"/>
    <s v="EXPANDED METAL"/>
    <n v="1"/>
    <n v="5.4"/>
    <n v="5.4"/>
    <s v="(869x111x2438)"/>
    <m/>
    <m/>
    <m/>
    <m/>
    <m/>
    <m/>
    <m/>
    <m/>
    <m/>
    <m/>
    <m/>
    <m/>
    <m/>
    <n v="0"/>
    <n v="5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3"/>
    <s v="EX-28"/>
    <s v="EXPANDED METAL"/>
    <n v="1"/>
    <n v="1.3"/>
    <n v="1.3"/>
    <s v="(869x111x581)"/>
    <m/>
    <m/>
    <m/>
    <m/>
    <m/>
    <m/>
    <m/>
    <m/>
    <m/>
    <m/>
    <m/>
    <m/>
    <m/>
    <n v="0"/>
    <n v="1.3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78"/>
    <s v="EX-29"/>
    <s v="EXPANDED METAL"/>
    <n v="17"/>
    <n v="5"/>
    <n v="85.1"/>
    <s v="(1153x196x1654)"/>
    <m/>
    <m/>
    <m/>
    <m/>
    <m/>
    <m/>
    <m/>
    <m/>
    <m/>
    <m/>
    <m/>
    <m/>
    <m/>
    <n v="0"/>
    <n v="85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79"/>
    <s v="EX-30"/>
    <s v="EXPANDED METAL"/>
    <n v="1"/>
    <n v="6.7"/>
    <n v="6.7"/>
    <s v="(1153x196x2438)"/>
    <m/>
    <m/>
    <m/>
    <m/>
    <m/>
    <m/>
    <m/>
    <m/>
    <m/>
    <m/>
    <m/>
    <m/>
    <m/>
    <n v="0"/>
    <n v="6.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80"/>
    <s v="EX-31"/>
    <s v="EXPANDED METAL"/>
    <n v="1"/>
    <n v="5.9"/>
    <n v="5.9"/>
    <s v="(1153x196x2438)"/>
    <m/>
    <m/>
    <m/>
    <m/>
    <m/>
    <m/>
    <m/>
    <m/>
    <m/>
    <m/>
    <m/>
    <m/>
    <m/>
    <n v="0"/>
    <n v="5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81"/>
    <s v="EX-32"/>
    <s v="EXPANDED METAL"/>
    <n v="1"/>
    <n v="4.7"/>
    <n v="4.7"/>
    <s v="(1153x196x1654)"/>
    <m/>
    <m/>
    <m/>
    <m/>
    <m/>
    <m/>
    <m/>
    <m/>
    <m/>
    <m/>
    <m/>
    <m/>
    <m/>
    <n v="0"/>
    <n v="4.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82"/>
    <s v="EX-33"/>
    <s v="EXPANDED METAL"/>
    <n v="1"/>
    <n v="2.2999999999999998"/>
    <n v="2.2999999999999998"/>
    <s v="(1153x196x1654)"/>
    <m/>
    <m/>
    <m/>
    <m/>
    <m/>
    <m/>
    <m/>
    <m/>
    <m/>
    <m/>
    <m/>
    <m/>
    <m/>
    <n v="0"/>
    <n v="2.2999999999999998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83"/>
    <s v="EX-34"/>
    <s v="EXPANDED METAL"/>
    <n v="1"/>
    <n v="2.1"/>
    <n v="2.1"/>
    <s v="(1153x196x1654)"/>
    <m/>
    <m/>
    <m/>
    <m/>
    <m/>
    <m/>
    <m/>
    <m/>
    <m/>
    <m/>
    <m/>
    <m/>
    <m/>
    <n v="0"/>
    <n v="2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4"/>
    <s v="FR-1"/>
    <s v="FRAME"/>
    <n v="1"/>
    <n v="8915.1"/>
    <n v="8915.1"/>
    <s v="(25304x366x1373)"/>
    <m/>
    <m/>
    <m/>
    <m/>
    <m/>
    <m/>
    <m/>
    <m/>
    <m/>
    <m/>
    <m/>
    <m/>
    <m/>
    <n v="8023.59"/>
    <n v="891.51000000000022"/>
    <m/>
    <m/>
    <n v="0"/>
    <d v="2026-09-21T00:00:00"/>
    <n v="1"/>
    <n v="8915.1"/>
    <d v="2026-09-22T00:00:00"/>
    <n v="1"/>
    <n v="8915.1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5"/>
    <s v="FR-2"/>
    <s v="FRAME"/>
    <n v="1"/>
    <n v="4806.6000000000004"/>
    <n v="4806.6000000000004"/>
    <s v="(13722x366x1366)"/>
    <m/>
    <m/>
    <m/>
    <m/>
    <m/>
    <m/>
    <m/>
    <m/>
    <m/>
    <m/>
    <m/>
    <m/>
    <m/>
    <n v="4325.9400000000005"/>
    <n v="480.65999999999985"/>
    <m/>
    <m/>
    <n v="0"/>
    <d v="2026-09-21T00:00:00"/>
    <n v="1"/>
    <n v="4806.6000000000004"/>
    <d v="2026-09-22T00:00:00"/>
    <n v="1"/>
    <n v="4806.6000000000004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6"/>
    <s v="FR-3"/>
    <s v="FRAME"/>
    <n v="1"/>
    <n v="8915.1"/>
    <n v="8915.1"/>
    <s v="(25304x366x1373)"/>
    <m/>
    <m/>
    <m/>
    <m/>
    <m/>
    <m/>
    <m/>
    <m/>
    <m/>
    <m/>
    <m/>
    <m/>
    <m/>
    <n v="8023.59"/>
    <n v="891.51000000000022"/>
    <m/>
    <m/>
    <n v="0"/>
    <d v="2026-09-21T00:00:00"/>
    <n v="1"/>
    <n v="8915.1"/>
    <d v="2026-09-23T00:00:00"/>
    <n v="1"/>
    <n v="8915.1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7"/>
    <s v="FR-4"/>
    <s v="FRAME"/>
    <n v="1"/>
    <n v="4806.6000000000004"/>
    <n v="4806.6000000000004"/>
    <s v="(13722x366x1366)"/>
    <m/>
    <m/>
    <m/>
    <m/>
    <m/>
    <m/>
    <m/>
    <m/>
    <m/>
    <m/>
    <m/>
    <m/>
    <m/>
    <n v="4325.9400000000005"/>
    <n v="480.65999999999985"/>
    <m/>
    <m/>
    <n v="0"/>
    <d v="2026-09-22T00:00:00"/>
    <n v="1"/>
    <n v="4806.6000000000004"/>
    <d v="2026-09-25T00:00:00"/>
    <n v="1"/>
    <n v="4806.6000000000004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8"/>
    <s v="FR-5"/>
    <s v="FRAME"/>
    <n v="2"/>
    <n v="151.30000000000001"/>
    <n v="302.7"/>
    <s v="(1002x106x4886)"/>
    <m/>
    <m/>
    <m/>
    <m/>
    <m/>
    <m/>
    <m/>
    <m/>
    <m/>
    <m/>
    <m/>
    <m/>
    <m/>
    <n v="272.43"/>
    <n v="30.269999999999982"/>
    <m/>
    <m/>
    <n v="0"/>
    <d v="2026-09-25T00:00:00"/>
    <n v="2"/>
    <n v="302.7"/>
    <d v="2026-09-30T00:00:00"/>
    <n v="2"/>
    <n v="302.7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39"/>
    <s v="FR-6"/>
    <s v="FRAME"/>
    <n v="2"/>
    <n v="148.5"/>
    <n v="296.89999999999998"/>
    <s v="(995x106x4886)"/>
    <m/>
    <m/>
    <m/>
    <m/>
    <m/>
    <m/>
    <m/>
    <m/>
    <m/>
    <m/>
    <m/>
    <m/>
    <m/>
    <n v="267.20999999999998"/>
    <n v="29.689999999999998"/>
    <m/>
    <m/>
    <n v="0"/>
    <d v="2026-09-25T00:00:00"/>
    <n v="2"/>
    <n v="296.89999999999998"/>
    <d v="2026-09-30T00:00:00"/>
    <n v="2"/>
    <n v="296.89999999999998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0"/>
    <s v="LS-1"/>
    <s v="LOOSE PART"/>
    <n v="7"/>
    <n v="13.9"/>
    <n v="97.6"/>
    <s v="(519x170x150)"/>
    <m/>
    <m/>
    <m/>
    <m/>
    <m/>
    <m/>
    <m/>
    <m/>
    <m/>
    <m/>
    <m/>
    <m/>
    <m/>
    <n v="0"/>
    <n v="97.6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1"/>
    <s v="LS-2"/>
    <s v="LOOSE PART"/>
    <n v="2"/>
    <n v="13.9"/>
    <n v="27.9"/>
    <s v="(519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2"/>
    <s v="LS-3"/>
    <s v="LOOSE PART"/>
    <n v="2"/>
    <n v="13.9"/>
    <n v="27.9"/>
    <s v="(521x150x17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3"/>
    <s v="LS-4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4"/>
    <s v="LS-5"/>
    <s v="LOOSE PART"/>
    <n v="2"/>
    <n v="13.9"/>
    <n v="27.9"/>
    <s v="(521x150x17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5"/>
    <s v="LS-6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6"/>
    <s v="LS-7"/>
    <s v="LOOSE PART"/>
    <n v="1"/>
    <n v="37.799999999999997"/>
    <n v="37.799999999999997"/>
    <s v="(524x220x200)"/>
    <m/>
    <m/>
    <m/>
    <m/>
    <m/>
    <m/>
    <m/>
    <m/>
    <m/>
    <m/>
    <m/>
    <m/>
    <m/>
    <n v="0"/>
    <n v="37.79999999999999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7"/>
    <s v="LS-8"/>
    <s v="LOOSE PART"/>
    <n v="1"/>
    <n v="13.9"/>
    <n v="13.9"/>
    <s v="(519x170x150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8"/>
    <s v="LS-9"/>
    <s v="LOOSE PART"/>
    <n v="2"/>
    <n v="13.9"/>
    <n v="27.9"/>
    <s v="(519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49"/>
    <s v="LS-10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0"/>
    <s v="LS-11"/>
    <s v="LOOSE PART"/>
    <n v="1"/>
    <n v="13.9"/>
    <n v="13.9"/>
    <s v="(521x150x170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1"/>
    <s v="LS-12"/>
    <s v="LOOSE PART"/>
    <n v="1"/>
    <n v="12.4"/>
    <n v="12.4"/>
    <s v="(511x100x200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2"/>
    <s v="LS-13"/>
    <s v="LOOSE PART"/>
    <n v="1"/>
    <n v="9.1"/>
    <n v="9.1"/>
    <s v="(518x150x130)"/>
    <m/>
    <m/>
    <m/>
    <m/>
    <m/>
    <m/>
    <m/>
    <m/>
    <m/>
    <m/>
    <m/>
    <m/>
    <m/>
    <n v="0"/>
    <n v="9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3"/>
    <s v="LS-14"/>
    <s v="LOOSE PART"/>
    <n v="1"/>
    <n v="12.4"/>
    <n v="12.4"/>
    <s v="(511x100x200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4"/>
    <s v="LS-15"/>
    <s v="LOOSE PART"/>
    <n v="7"/>
    <n v="13.9"/>
    <n v="97.6"/>
    <s v="(519x170x150)"/>
    <m/>
    <m/>
    <m/>
    <m/>
    <m/>
    <m/>
    <m/>
    <m/>
    <m/>
    <m/>
    <m/>
    <m/>
    <m/>
    <n v="0"/>
    <n v="97.6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5"/>
    <s v="LS-16"/>
    <s v="LOOSE PART"/>
    <n v="1"/>
    <n v="10.9"/>
    <n v="10.9"/>
    <s v="(518x217x208)"/>
    <m/>
    <m/>
    <m/>
    <m/>
    <m/>
    <m/>
    <m/>
    <m/>
    <m/>
    <m/>
    <m/>
    <m/>
    <m/>
    <n v="0"/>
    <n v="10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6"/>
    <s v="LS-17"/>
    <s v="LOOSE PART"/>
    <n v="1"/>
    <n v="14.4"/>
    <n v="14.4"/>
    <s v="(511x177x200)"/>
    <m/>
    <m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7"/>
    <s v="LS-18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8"/>
    <s v="LS-19"/>
    <s v="LOOSE PART"/>
    <n v="1"/>
    <n v="37.799999999999997"/>
    <n v="37.799999999999997"/>
    <s v="(524x220x200)"/>
    <m/>
    <m/>
    <m/>
    <m/>
    <m/>
    <m/>
    <m/>
    <m/>
    <m/>
    <m/>
    <m/>
    <m/>
    <m/>
    <n v="0"/>
    <n v="37.79999999999999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59"/>
    <s v="LS-20"/>
    <s v="LOOSE PART"/>
    <n v="1"/>
    <n v="13.9"/>
    <n v="13.9"/>
    <s v="(519x170x150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0"/>
    <s v="LS-21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1"/>
    <s v="LS-22"/>
    <s v="LOOSE PART"/>
    <n v="1"/>
    <n v="12.4"/>
    <n v="12.4"/>
    <s v="(511x100x200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2"/>
    <s v="LS-23"/>
    <s v="LOOSE PART"/>
    <n v="7"/>
    <n v="13.9"/>
    <n v="97.6"/>
    <s v="(519x170x150)"/>
    <m/>
    <m/>
    <m/>
    <m/>
    <m/>
    <m/>
    <m/>
    <m/>
    <m/>
    <m/>
    <m/>
    <m/>
    <m/>
    <n v="0"/>
    <n v="97.6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3"/>
    <s v="LS-24"/>
    <s v="LOOSE PART"/>
    <n v="1"/>
    <n v="13.9"/>
    <n v="13.9"/>
    <s v="(519x170x150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4"/>
    <s v="LS-25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5"/>
    <s v="LS-26"/>
    <s v="LOOSE PART"/>
    <n v="2"/>
    <n v="13.9"/>
    <n v="27.9"/>
    <s v="(521x150x17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6"/>
    <s v="LS-27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7"/>
    <s v="LS-28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8"/>
    <s v="LS-29"/>
    <s v="LOOSE PART"/>
    <n v="2"/>
    <n v="13.9"/>
    <n v="27.9"/>
    <s v="(521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69"/>
    <s v="LS-30"/>
    <s v="LOOSE PART"/>
    <n v="1"/>
    <n v="12.4"/>
    <n v="12.4"/>
    <s v="(511x100x200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0"/>
    <s v="LS-31"/>
    <s v="LOOSE PART"/>
    <n v="1"/>
    <n v="10.9"/>
    <n v="10.9"/>
    <s v="(518x227x208)"/>
    <m/>
    <m/>
    <m/>
    <m/>
    <m/>
    <m/>
    <m/>
    <m/>
    <m/>
    <m/>
    <m/>
    <m/>
    <m/>
    <n v="0"/>
    <n v="10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1"/>
    <s v="LS-32"/>
    <s v="LOOSE PART"/>
    <n v="1"/>
    <n v="14.4"/>
    <n v="14.4"/>
    <s v="(511x186x200)"/>
    <m/>
    <m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2"/>
    <s v="LS-33"/>
    <s v="LOOSE PART"/>
    <n v="7"/>
    <n v="13.9"/>
    <n v="97.6"/>
    <s v="(519x170x150)"/>
    <m/>
    <m/>
    <m/>
    <m/>
    <m/>
    <m/>
    <m/>
    <m/>
    <m/>
    <m/>
    <m/>
    <m/>
    <m/>
    <n v="0"/>
    <n v="97.6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3"/>
    <s v="LS-34"/>
    <s v="LOOSE PART"/>
    <n v="1"/>
    <n v="9.1"/>
    <n v="9.1"/>
    <s v="(518x150x130)"/>
    <m/>
    <m/>
    <m/>
    <m/>
    <m/>
    <m/>
    <m/>
    <m/>
    <m/>
    <m/>
    <m/>
    <m/>
    <m/>
    <n v="0"/>
    <n v="9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4"/>
    <s v="LS-35"/>
    <s v="LOOSE PART"/>
    <n v="1"/>
    <n v="12.4"/>
    <n v="12.4"/>
    <s v="(511x100x200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5"/>
    <s v="LS-36"/>
    <s v="LOOSE PART"/>
    <n v="1"/>
    <n v="37.799999999999997"/>
    <n v="37.799999999999997"/>
    <s v="(524x220x200)"/>
    <m/>
    <m/>
    <m/>
    <m/>
    <m/>
    <m/>
    <m/>
    <m/>
    <m/>
    <m/>
    <m/>
    <m/>
    <m/>
    <n v="0"/>
    <n v="37.79999999999999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6"/>
    <s v="LS-37"/>
    <s v="LOOSE PART"/>
    <n v="1"/>
    <n v="13.9"/>
    <n v="13.9"/>
    <s v="(519x170x150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7"/>
    <s v="LS-38"/>
    <s v="LOOSE PART"/>
    <n v="1"/>
    <n v="14.4"/>
    <n v="14.4"/>
    <s v="(511x183x200)"/>
    <m/>
    <m/>
    <m/>
    <m/>
    <m/>
    <m/>
    <m/>
    <m/>
    <m/>
    <m/>
    <m/>
    <m/>
    <m/>
    <n v="0"/>
    <n v="14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8"/>
    <s v="LS-39"/>
    <s v="LOOSE PART"/>
    <n v="7"/>
    <n v="13.9"/>
    <n v="97.6"/>
    <s v="(519x170x150)"/>
    <m/>
    <m/>
    <m/>
    <m/>
    <m/>
    <m/>
    <m/>
    <m/>
    <m/>
    <m/>
    <m/>
    <m/>
    <m/>
    <n v="0"/>
    <n v="97.6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79"/>
    <s v="LS-40"/>
    <s v="LOOSE PART"/>
    <n v="2"/>
    <n v="13.9"/>
    <n v="27.9"/>
    <s v="(519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0"/>
    <s v="LS-41"/>
    <s v="LOOSE PART"/>
    <n v="1"/>
    <n v="37.799999999999997"/>
    <n v="37.799999999999997"/>
    <s v="(524x220x200)"/>
    <m/>
    <m/>
    <m/>
    <m/>
    <m/>
    <m/>
    <m/>
    <m/>
    <m/>
    <m/>
    <m/>
    <m/>
    <m/>
    <n v="0"/>
    <n v="37.79999999999999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1"/>
    <s v="LS-42"/>
    <s v="LOOSE PART"/>
    <n v="1"/>
    <n v="13.9"/>
    <n v="13.9"/>
    <s v="(519x170x150)"/>
    <m/>
    <m/>
    <m/>
    <m/>
    <m/>
    <m/>
    <m/>
    <m/>
    <m/>
    <m/>
    <m/>
    <m/>
    <m/>
    <n v="0"/>
    <n v="13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2"/>
    <s v="LS-43"/>
    <s v="LOOSE PART"/>
    <n v="2"/>
    <n v="13.9"/>
    <n v="27.9"/>
    <s v="(519x170x150)"/>
    <m/>
    <m/>
    <m/>
    <m/>
    <m/>
    <m/>
    <m/>
    <m/>
    <m/>
    <m/>
    <m/>
    <m/>
    <m/>
    <n v="0"/>
    <n v="27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3"/>
    <s v="LS-44"/>
    <s v="LOOSE PART"/>
    <n v="1"/>
    <n v="12.4"/>
    <n v="12.4"/>
    <s v="(511x100x200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4"/>
    <s v="LS-45"/>
    <s v="LOOSE PART"/>
    <n v="1"/>
    <n v="9.1"/>
    <n v="9.1"/>
    <s v="(518x150x130)"/>
    <m/>
    <m/>
    <m/>
    <m/>
    <m/>
    <m/>
    <m/>
    <m/>
    <m/>
    <m/>
    <m/>
    <m/>
    <m/>
    <n v="0"/>
    <n v="9.1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5"/>
    <s v="LS-46"/>
    <s v="LOOSE PART"/>
    <n v="1"/>
    <n v="12.4"/>
    <n v="12.4"/>
    <s v="(511x100x200)"/>
    <m/>
    <m/>
    <m/>
    <m/>
    <m/>
    <m/>
    <m/>
    <m/>
    <m/>
    <m/>
    <m/>
    <m/>
    <m/>
    <n v="0"/>
    <n v="12.4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84"/>
    <s v="LS-47"/>
    <s v="LOOSE PART"/>
    <n v="2"/>
    <n v="9.1"/>
    <n v="18.2"/>
    <s v="(518x150x130)"/>
    <m/>
    <m/>
    <m/>
    <m/>
    <m/>
    <m/>
    <m/>
    <m/>
    <m/>
    <m/>
    <m/>
    <m/>
    <m/>
    <n v="0"/>
    <n v="18.2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185"/>
    <s v="LS-48"/>
    <s v="LOOSE PART"/>
    <n v="1"/>
    <n v="17.7"/>
    <n v="17.7"/>
    <s v="(521x360x241)"/>
    <m/>
    <m/>
    <m/>
    <m/>
    <m/>
    <m/>
    <m/>
    <m/>
    <m/>
    <m/>
    <m/>
    <m/>
    <m/>
    <n v="0"/>
    <n v="17.7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6"/>
    <s v="PT-1"/>
    <s v="PIPE BRACE"/>
    <n v="4"/>
    <n v="54.4"/>
    <n v="217.8"/>
    <s v="(4674x152x89)"/>
    <m/>
    <m/>
    <m/>
    <m/>
    <m/>
    <m/>
    <m/>
    <m/>
    <m/>
    <m/>
    <m/>
    <m/>
    <m/>
    <n v="0"/>
    <n v="217.8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7"/>
    <s v="PT-2"/>
    <s v="PIPE BRACE"/>
    <n v="1"/>
    <n v="198.8"/>
    <n v="198.8"/>
    <s v="(6871x168x268)"/>
    <m/>
    <m/>
    <m/>
    <m/>
    <m/>
    <m/>
    <m/>
    <m/>
    <m/>
    <m/>
    <m/>
    <m/>
    <m/>
    <n v="0"/>
    <n v="198.8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14"/>
    <s v="S3"/>
    <s v="V17566-SKXD-7088"/>
    <s v="PT-3"/>
    <s v="PIPE BRACE"/>
    <n v="1"/>
    <n v="198.9"/>
    <n v="198.9"/>
    <s v="(6875x168x268)"/>
    <m/>
    <m/>
    <m/>
    <m/>
    <m/>
    <m/>
    <m/>
    <m/>
    <m/>
    <m/>
    <m/>
    <m/>
    <m/>
    <n v="0"/>
    <n v="198.9"/>
    <m/>
    <m/>
    <n v="0"/>
    <m/>
    <m/>
    <n v="0"/>
    <m/>
    <m/>
    <n v="0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7"/>
    <s v="S3"/>
    <s v="V17566-SKXD-7089"/>
    <s v="SK1-1"/>
    <s v="SHELL PLATE"/>
    <n v="1"/>
    <n v="6005.7"/>
    <n v="6005.7"/>
    <s v="(4921x7393x3436)"/>
    <m/>
    <m/>
    <m/>
    <m/>
    <m/>
    <m/>
    <m/>
    <m/>
    <m/>
    <m/>
    <m/>
    <m/>
    <m/>
    <n v="5405.13"/>
    <n v="600.56999999999971"/>
    <m/>
    <n v="1"/>
    <n v="6005.7"/>
    <d v="2026-08-20T00:00:00"/>
    <n v="1"/>
    <n v="6005.7"/>
    <d v="2026-08-25T00:00:00"/>
    <n v="1"/>
    <n v="6005.7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7"/>
    <s v="S3"/>
    <s v="V17566-SKXD-7093"/>
    <s v="SK1-2"/>
    <s v="SHELL PLATE"/>
    <n v="1"/>
    <n v="6164"/>
    <n v="6164"/>
    <s v="(4921x7393x3436)"/>
    <m/>
    <m/>
    <m/>
    <m/>
    <m/>
    <m/>
    <m/>
    <m/>
    <m/>
    <m/>
    <m/>
    <m/>
    <m/>
    <n v="5547.6"/>
    <n v="616.39999999999964"/>
    <m/>
    <n v="1"/>
    <n v="6164"/>
    <d v="2026-08-24T00:00:00"/>
    <n v="1"/>
    <n v="6164"/>
    <d v="2026-08-29T00:00:00"/>
    <n v="1"/>
    <n v="6164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7"/>
    <s v="S4"/>
    <s v="V17566-SKXD-7098"/>
    <s v="SK2-1"/>
    <s v="SHELL PLATE"/>
    <n v="1"/>
    <n v="3345.8"/>
    <n v="3345.8"/>
    <s v="(3534x2485x6582)"/>
    <m/>
    <m/>
    <m/>
    <m/>
    <m/>
    <m/>
    <m/>
    <m/>
    <m/>
    <m/>
    <m/>
    <m/>
    <m/>
    <n v="3011.2200000000003"/>
    <n v="334.57999999999993"/>
    <m/>
    <n v="1"/>
    <n v="3345.8"/>
    <d v="2026-09-17T00:00:00"/>
    <n v="1"/>
    <n v="3345.8"/>
    <d v="2026-09-19T00:00:00"/>
    <n v="1"/>
    <n v="3345.8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7"/>
    <s v="S4"/>
    <s v="V17566-SKXD-7102"/>
    <s v="SK2-2"/>
    <s v="SHELL PLATE"/>
    <n v="1"/>
    <n v="3345.9"/>
    <n v="3345.9"/>
    <s v="(3534x2485x6582)"/>
    <m/>
    <m/>
    <m/>
    <m/>
    <m/>
    <m/>
    <m/>
    <m/>
    <m/>
    <m/>
    <m/>
    <m/>
    <m/>
    <n v="3011.3100000000004"/>
    <n v="334.58999999999969"/>
    <m/>
    <n v="1"/>
    <n v="3345.9"/>
    <d v="2026-09-17T00:00:00"/>
    <n v="1"/>
    <n v="3345.9"/>
    <d v="2026-09-21T00:00:00"/>
    <n v="1"/>
    <n v="3345.9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7"/>
    <s v="S4"/>
    <s v="V17566-SKXD-7106"/>
    <s v="SK2-3"/>
    <s v="SHELL PLATE"/>
    <n v="1"/>
    <n v="2145.6999999999998"/>
    <n v="2145.6999999999998"/>
    <s v="(3534x2435x6582)"/>
    <m/>
    <m/>
    <m/>
    <m/>
    <m/>
    <m/>
    <m/>
    <m/>
    <m/>
    <m/>
    <m/>
    <m/>
    <m/>
    <n v="1931.1299999999999"/>
    <n v="214.56999999999994"/>
    <m/>
    <n v="1"/>
    <n v="2145.6999999999998"/>
    <d v="2026-09-17T00:00:00"/>
    <n v="1"/>
    <n v="2145.6999999999998"/>
    <d v="2026-09-22T00:00:00"/>
    <n v="1"/>
    <n v="2145.6999999999998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7"/>
    <s v="S4"/>
    <s v="V17566-SKXD-7110"/>
    <s v="SK2-4"/>
    <s v="SHELL PLATE"/>
    <n v="1"/>
    <n v="3345.8"/>
    <n v="3345.8"/>
    <s v="(3534x2485x6582)"/>
    <m/>
    <m/>
    <m/>
    <m/>
    <m/>
    <m/>
    <m/>
    <m/>
    <m/>
    <m/>
    <m/>
    <m/>
    <m/>
    <n v="3345.8"/>
    <n v="0"/>
    <m/>
    <n v="1"/>
    <n v="3345.8"/>
    <d v="2026-09-19T00:00:00"/>
    <n v="1"/>
    <n v="3345.8"/>
    <d v="2026-09-24T00:00:00"/>
    <n v="1"/>
    <n v="3345.8"/>
    <m/>
    <m/>
    <n v="0"/>
    <s v="U284-012"/>
    <d v="2026-10-14T00:00:00"/>
    <n v="1"/>
    <n v="3345.8"/>
    <d v="2026-10-17T00:00:00"/>
    <n v="1"/>
    <n v="3345.8"/>
    <s v="PAC"/>
    <s v="U284-005"/>
  </r>
  <r>
    <n v="148"/>
    <x v="0"/>
    <s v="Shipment 2 Outlet Stack"/>
    <x v="0"/>
    <x v="1"/>
    <m/>
    <d v="2026-07-01T00:00:00"/>
    <s v="HRSG"/>
    <s v="HSG07"/>
    <s v="S4"/>
    <s v="V17566-SKXD-7114"/>
    <s v="SK2-5"/>
    <s v="SHELL PLATE"/>
    <n v="1"/>
    <n v="1856.1"/>
    <n v="1856.1"/>
    <s v="(3488x2485x6582)"/>
    <m/>
    <m/>
    <m/>
    <m/>
    <m/>
    <m/>
    <m/>
    <m/>
    <m/>
    <m/>
    <m/>
    <m/>
    <m/>
    <n v="1670.49"/>
    <n v="185.6099999999999"/>
    <m/>
    <n v="1"/>
    <n v="1856.1"/>
    <d v="2026-09-19T00:00:00"/>
    <n v="1"/>
    <n v="1856.1"/>
    <d v="2026-09-25T00:00:00"/>
    <n v="1"/>
    <n v="1856.1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3"/>
    <s v="V17566-SKXD-7118"/>
    <s v="SK3-1"/>
    <s v="SHELL PLATE"/>
    <n v="1"/>
    <n v="3894.5"/>
    <n v="3894.5"/>
    <s v="(3143x1815x12189)"/>
    <m/>
    <m/>
    <m/>
    <m/>
    <m/>
    <m/>
    <m/>
    <m/>
    <m/>
    <m/>
    <m/>
    <m/>
    <m/>
    <n v="3894.5"/>
    <n v="0"/>
    <m/>
    <n v="1"/>
    <n v="3894.5"/>
    <d v="2026-08-31T00:00:00"/>
    <n v="1"/>
    <n v="3894.5"/>
    <d v="2026-09-04T00:00:00"/>
    <n v="1"/>
    <n v="3894.5"/>
    <m/>
    <m/>
    <n v="0"/>
    <s v="U284-011"/>
    <d v="2026-10-13T00:00:00"/>
    <n v="1"/>
    <n v="3894.5"/>
    <d v="2026-10-17T00:00:00"/>
    <n v="1"/>
    <n v="3894.5"/>
    <s v="PAC"/>
    <s v="U284-004"/>
  </r>
  <r>
    <n v="148"/>
    <x v="0"/>
    <s v="Shipment 2 Outlet Stack"/>
    <x v="0"/>
    <x v="1"/>
    <m/>
    <d v="2026-07-01T00:00:00"/>
    <s v="HRSG"/>
    <s v="HSG05"/>
    <s v="S3"/>
    <s v="V17566-SKXD-7121"/>
    <s v="SK3-2"/>
    <s v="SHELL PLATE"/>
    <n v="1"/>
    <n v="3698.8"/>
    <n v="3698.8"/>
    <s v="(3488x2435x12189)"/>
    <m/>
    <m/>
    <m/>
    <m/>
    <m/>
    <m/>
    <m/>
    <m/>
    <m/>
    <m/>
    <m/>
    <m/>
    <m/>
    <n v="3328.92"/>
    <n v="369.88000000000011"/>
    <m/>
    <n v="1"/>
    <n v="3698.8"/>
    <d v="2026-09-03T00:00:00"/>
    <n v="1"/>
    <n v="3698.8"/>
    <d v="2026-09-07T00:00:00"/>
    <n v="1"/>
    <n v="3698.8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3"/>
    <s v="V17566-SKXD-7125"/>
    <s v="SK3-3"/>
    <s v="SHELL PLATE"/>
    <n v="1"/>
    <n v="4623.1000000000004"/>
    <n v="4623.1000000000004"/>
    <s v="(3486x2429x12189)"/>
    <m/>
    <m/>
    <m/>
    <m/>
    <m/>
    <m/>
    <m/>
    <m/>
    <m/>
    <m/>
    <m/>
    <m/>
    <m/>
    <n v="4160.7900000000009"/>
    <n v="462.30999999999949"/>
    <m/>
    <n v="1"/>
    <n v="4623.1000000000004"/>
    <d v="2026-08-25T00:00:00"/>
    <n v="1"/>
    <n v="4623.1000000000004"/>
    <d v="2026-08-27T00:00:00"/>
    <n v="1"/>
    <n v="4623.1000000000004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3"/>
    <s v="V17566-SKXD-7128"/>
    <s v="SK3-4"/>
    <s v="SHELL PLATE"/>
    <n v="1"/>
    <n v="3412.8"/>
    <n v="3412.8"/>
    <s v="(3488x2435x12189)"/>
    <m/>
    <m/>
    <m/>
    <m/>
    <m/>
    <m/>
    <m/>
    <m/>
    <m/>
    <m/>
    <m/>
    <m/>
    <m/>
    <n v="3071.5200000000004"/>
    <n v="341.27999999999975"/>
    <m/>
    <n v="1"/>
    <n v="3412.8"/>
    <d v="2026-08-31T00:00:00"/>
    <n v="1"/>
    <n v="3412.8"/>
    <d v="2026-09-07T00:00:00"/>
    <n v="1"/>
    <n v="3412.8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3"/>
    <s v="V17566-SKXD-7132"/>
    <s v="SK4-1"/>
    <s v="SHELL PLATE"/>
    <n v="1"/>
    <n v="3463.5"/>
    <n v="3463.5"/>
    <s v="(3488x2434x10233)"/>
    <m/>
    <m/>
    <m/>
    <m/>
    <m/>
    <m/>
    <m/>
    <m/>
    <m/>
    <m/>
    <m/>
    <m/>
    <m/>
    <n v="3463.5"/>
    <n v="0"/>
    <m/>
    <n v="1"/>
    <n v="3463.5"/>
    <d v="2026-08-20T00:00:00"/>
    <n v="1"/>
    <n v="3463.5"/>
    <d v="2026-08-25T00:00:00"/>
    <n v="1"/>
    <n v="3463.5"/>
    <m/>
    <m/>
    <n v="0"/>
    <s v="U284-007-1"/>
    <d v="2026-09-24T00:00:00"/>
    <n v="1"/>
    <n v="3463.5"/>
    <d v="2026-09-30T00:00:00"/>
    <n v="1"/>
    <n v="3463.5"/>
    <s v="PAC"/>
    <s v="U284-003"/>
  </r>
  <r>
    <n v="148"/>
    <x v="0"/>
    <s v="Shipment 2 Outlet Stack"/>
    <x v="0"/>
    <x v="1"/>
    <m/>
    <d v="2026-07-01T00:00:00"/>
    <s v="HRSG"/>
    <s v="HSG05"/>
    <s v="S3"/>
    <s v="V17566-SKXD-7136"/>
    <s v="SK4-2"/>
    <s v="SHELL PLATE"/>
    <n v="1"/>
    <n v="1816.7"/>
    <n v="1816.7"/>
    <s v="(3491x2553x9928)"/>
    <m/>
    <m/>
    <m/>
    <m/>
    <m/>
    <m/>
    <m/>
    <m/>
    <m/>
    <m/>
    <m/>
    <m/>
    <m/>
    <n v="1635.0300000000002"/>
    <n v="181.66999999999985"/>
    <m/>
    <n v="1"/>
    <n v="1816.7"/>
    <d v="2026-08-24T00:00:00"/>
    <n v="1"/>
    <n v="1816.7"/>
    <d v="2026-08-29T00:00:00"/>
    <n v="1"/>
    <n v="1816.7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3"/>
    <s v="V17566-SKXD-7139"/>
    <s v="SK4-3"/>
    <s v="SHELL PLATE"/>
    <n v="1"/>
    <n v="1004.9"/>
    <n v="1004.9"/>
    <s v="(3488x2434x2290)"/>
    <m/>
    <m/>
    <m/>
    <m/>
    <m/>
    <m/>
    <m/>
    <m/>
    <m/>
    <m/>
    <m/>
    <m/>
    <m/>
    <n v="1004.9000000000001"/>
    <n v="0"/>
    <m/>
    <n v="1"/>
    <n v="1004.9"/>
    <d v="2026-08-21T00:00:00"/>
    <n v="1"/>
    <n v="1004.9"/>
    <d v="2026-08-25T00:00:00"/>
    <n v="1"/>
    <n v="1004.9"/>
    <m/>
    <m/>
    <n v="0"/>
    <s v="U284-007"/>
    <d v="2026-09-24T00:00:00"/>
    <n v="1"/>
    <n v="1004.9"/>
    <d v="2026-09-28T00:00:00"/>
    <n v="1"/>
    <n v="1004.9"/>
    <s v="PAC"/>
    <s v="U284-007"/>
  </r>
  <r>
    <n v="148"/>
    <x v="0"/>
    <s v="Shipment 2 Outlet Stack"/>
    <x v="0"/>
    <x v="1"/>
    <m/>
    <d v="2026-07-01T00:00:00"/>
    <s v="HRSG"/>
    <s v="HSG05"/>
    <s v="S3"/>
    <s v="V17566-SKXD-7142"/>
    <s v="SK4-4"/>
    <s v="SHELL PLATE"/>
    <n v="1"/>
    <n v="2119.8000000000002"/>
    <n v="2119.8000000000002"/>
    <s v="(3488x2434x9928)"/>
    <m/>
    <m/>
    <m/>
    <m/>
    <m/>
    <m/>
    <m/>
    <m/>
    <m/>
    <m/>
    <m/>
    <m/>
    <m/>
    <n v="1907.8200000000002"/>
    <n v="211.98000000000002"/>
    <m/>
    <n v="1"/>
    <n v="2119.8000000000002"/>
    <d v="2026-08-21T00:00:00"/>
    <n v="1"/>
    <n v="2119.8000000000002"/>
    <d v="2026-08-30T00:00:00"/>
    <n v="1"/>
    <n v="2119.8000000000002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3"/>
    <s v="V17566-SKXD-7145"/>
    <s v="SK4-5"/>
    <s v="SHELL PLATE"/>
    <n v="1"/>
    <n v="3149.8"/>
    <n v="3149.8"/>
    <s v="(3488x2498x10233)"/>
    <m/>
    <m/>
    <m/>
    <m/>
    <m/>
    <m/>
    <m/>
    <m/>
    <m/>
    <m/>
    <m/>
    <m/>
    <m/>
    <n v="2834.82"/>
    <n v="314.98"/>
    <m/>
    <n v="1"/>
    <n v="3149.8"/>
    <d v="2026-08-27T00:00:00"/>
    <n v="1"/>
    <n v="3149.8"/>
    <d v="2026-09-04T00:00:00"/>
    <n v="1"/>
    <n v="3149.8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49"/>
    <s v="SK5-1"/>
    <s v="SHELL PLATE"/>
    <n v="1"/>
    <n v="2513.3000000000002"/>
    <n v="2513.3000000000002"/>
    <s v="(3488x2433x10538)"/>
    <m/>
    <m/>
    <m/>
    <m/>
    <m/>
    <m/>
    <m/>
    <m/>
    <m/>
    <m/>
    <m/>
    <m/>
    <m/>
    <n v="2261.9700000000003"/>
    <n v="251.32999999999993"/>
    <m/>
    <n v="1"/>
    <n v="2513.3000000000002"/>
    <d v="2026-09-06T00:00:00"/>
    <n v="1"/>
    <n v="2513.3000000000002"/>
    <d v="2026-09-09T00:00:00"/>
    <n v="1"/>
    <n v="2513.3000000000002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51"/>
    <s v="SK5-2"/>
    <s v="SHELL PLATE"/>
    <n v="1"/>
    <n v="2513.3000000000002"/>
    <n v="2513.3000000000002"/>
    <s v="(3488x2433x10538)"/>
    <m/>
    <m/>
    <m/>
    <m/>
    <m/>
    <m/>
    <m/>
    <m/>
    <m/>
    <m/>
    <m/>
    <m/>
    <m/>
    <n v="2261.9700000000003"/>
    <n v="251.32999999999993"/>
    <m/>
    <n v="1"/>
    <n v="2513.3000000000002"/>
    <d v="2026-09-07T00:00:00"/>
    <n v="1"/>
    <n v="2513.3000000000002"/>
    <d v="2026-09-10T00:00:00"/>
    <n v="1"/>
    <n v="2513.3000000000002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53"/>
    <s v="SK5-3"/>
    <s v="SHELL PLATE"/>
    <n v="2"/>
    <n v="2513.1999999999998"/>
    <n v="5026.3999999999996"/>
    <s v="(3488x2433x10538)"/>
    <m/>
    <m/>
    <m/>
    <m/>
    <m/>
    <m/>
    <m/>
    <m/>
    <m/>
    <m/>
    <m/>
    <m/>
    <m/>
    <n v="4523.76"/>
    <n v="502.63999999999942"/>
    <m/>
    <n v="1"/>
    <n v="5026.3999999999996"/>
    <d v="2026-09-08T00:00:00"/>
    <n v="2"/>
    <n v="5026.3999999999996"/>
    <d v="2026-09-12T00:00:00"/>
    <n v="2"/>
    <n v="5026.3999999999996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55"/>
    <s v="SK5-4"/>
    <s v="SHELL PLATE"/>
    <n v="1"/>
    <n v="2872.7"/>
    <n v="2872.7"/>
    <s v="(3488x2433x10538)"/>
    <m/>
    <m/>
    <m/>
    <m/>
    <m/>
    <m/>
    <m/>
    <m/>
    <m/>
    <m/>
    <m/>
    <m/>
    <m/>
    <n v="2585.4299999999998"/>
    <n v="287.27"/>
    <m/>
    <n v="1"/>
    <n v="2872.7"/>
    <d v="2026-09-08T00:00:00"/>
    <n v="1"/>
    <n v="2872.7"/>
    <d v="2026-09-19T00:00:00"/>
    <n v="1"/>
    <n v="2872.7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60"/>
    <s v="SK6-1"/>
    <s v="SHELL PLATE"/>
    <n v="1"/>
    <n v="2963.6"/>
    <n v="2963.6"/>
    <s v="(3488x2441x10487)"/>
    <m/>
    <m/>
    <m/>
    <m/>
    <m/>
    <m/>
    <m/>
    <m/>
    <m/>
    <m/>
    <m/>
    <m/>
    <m/>
    <n v="2667.24"/>
    <n v="296.36000000000013"/>
    <m/>
    <n v="1"/>
    <n v="2963.6"/>
    <d v="2026-09-17T00:00:00"/>
    <n v="1"/>
    <n v="2963.6"/>
    <d v="2026-09-24T00:00:00"/>
    <n v="1"/>
    <n v="2963.6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64"/>
    <s v="SK6-2"/>
    <s v="SHELL PLATE"/>
    <n v="1"/>
    <n v="2900.7"/>
    <n v="2900.7"/>
    <s v="(3488x2772x10182)"/>
    <m/>
    <m/>
    <m/>
    <m/>
    <m/>
    <m/>
    <m/>
    <m/>
    <m/>
    <m/>
    <m/>
    <m/>
    <m/>
    <n v="2610.63"/>
    <n v="290.06999999999971"/>
    <m/>
    <n v="1"/>
    <n v="2900.7"/>
    <d v="2026-09-22T00:00:00"/>
    <n v="1"/>
    <n v="2900.7"/>
    <d v="2026-09-26T00:00:00"/>
    <n v="1"/>
    <n v="2900.7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68"/>
    <s v="SK6-3"/>
    <s v="SHELL PLATE"/>
    <n v="1"/>
    <n v="2847.6"/>
    <n v="2847.6"/>
    <s v="(3754x4742x10182)"/>
    <m/>
    <m/>
    <m/>
    <m/>
    <m/>
    <m/>
    <m/>
    <m/>
    <m/>
    <m/>
    <m/>
    <m/>
    <m/>
    <n v="2562.84"/>
    <n v="284.75999999999976"/>
    <m/>
    <n v="1"/>
    <n v="2847.6"/>
    <d v="2026-09-25T00:00:00"/>
    <n v="1"/>
    <n v="2847.6"/>
    <d v="2026-09-28T00:00:00"/>
    <n v="1"/>
    <n v="2847.6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71"/>
    <s v="SK6-4"/>
    <s v="SHELL PLATE"/>
    <n v="1"/>
    <n v="2822.4"/>
    <n v="2822.4"/>
    <s v="(3488x2473x10182)"/>
    <m/>
    <m/>
    <m/>
    <m/>
    <m/>
    <m/>
    <m/>
    <m/>
    <m/>
    <m/>
    <m/>
    <m/>
    <m/>
    <n v="2540.16"/>
    <n v="282.24000000000024"/>
    <m/>
    <n v="1"/>
    <n v="2822.4"/>
    <d v="2026-09-26T00:00:00"/>
    <n v="1"/>
    <n v="2822.4"/>
    <d v="2026-09-28T00:00:00"/>
    <n v="1"/>
    <n v="2822.4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4"/>
    <s v="V17566-SKXD-7174"/>
    <s v="SK6-5"/>
    <s v="SHELL PLATE"/>
    <n v="1"/>
    <n v="3064.1"/>
    <n v="3064.1"/>
    <s v="(3822x2433x10487)"/>
    <m/>
    <m/>
    <m/>
    <m/>
    <m/>
    <m/>
    <m/>
    <m/>
    <m/>
    <m/>
    <m/>
    <m/>
    <m/>
    <n v="2757.69"/>
    <n v="306.40999999999985"/>
    <m/>
    <n v="1"/>
    <n v="3064.1"/>
    <d v="2026-09-18T00:00:00"/>
    <n v="1"/>
    <n v="3064.1"/>
    <d v="2026-09-26T00:00:00"/>
    <n v="1"/>
    <n v="3064.1"/>
    <m/>
    <m/>
    <n v="0"/>
    <m/>
    <m/>
    <m/>
    <n v="0"/>
    <m/>
    <m/>
    <n v="0"/>
    <s v="PAC"/>
    <m/>
  </r>
  <r>
    <n v="148"/>
    <x v="0"/>
    <s v="Shipment 2 Outlet Stack"/>
    <x v="0"/>
    <x v="1"/>
    <m/>
    <d v="2026-07-01T00:00:00"/>
    <s v="HRSG"/>
    <s v="HSG05"/>
    <s v="S3"/>
    <s v="V17566-SKXD-7186"/>
    <s v="SK7-1"/>
    <s v="SHELL PLATE"/>
    <n v="1"/>
    <n v="677.6"/>
    <n v="677.6"/>
    <s v="(3531x2386x1651)"/>
    <m/>
    <m/>
    <m/>
    <m/>
    <m/>
    <m/>
    <m/>
    <m/>
    <m/>
    <m/>
    <m/>
    <m/>
    <m/>
    <n v="677.6"/>
    <n v="0"/>
    <m/>
    <n v="1"/>
    <n v="677.6"/>
    <d v="2026-08-20T00:00:00"/>
    <n v="1"/>
    <n v="677.6"/>
    <d v="2026-08-22T00:00:00"/>
    <n v="1"/>
    <n v="677.6"/>
    <m/>
    <m/>
    <n v="0"/>
    <s v="U284-007"/>
    <d v="2026-09-24T00:00:00"/>
    <n v="1"/>
    <n v="677.6"/>
    <d v="2026-09-28T00:00:00"/>
    <n v="1"/>
    <n v="677.6"/>
    <s v="PAC"/>
    <s v="U284-007"/>
  </r>
  <r>
    <n v="148"/>
    <x v="0"/>
    <s v="Shipment 2 Outlet Stack"/>
    <x v="0"/>
    <x v="1"/>
    <m/>
    <d v="2026-07-01T00:00:00"/>
    <s v="HRSG"/>
    <s v="HSG05"/>
    <s v="S3"/>
    <s v="V17566-SKXD-7188"/>
    <s v="SK7-2"/>
    <s v="SHELL PLATE"/>
    <n v="1"/>
    <n v="482.4"/>
    <n v="482.4"/>
    <s v="(3445x2386x1651)"/>
    <m/>
    <m/>
    <m/>
    <m/>
    <m/>
    <m/>
    <m/>
    <m/>
    <m/>
    <m/>
    <m/>
    <m/>
    <m/>
    <n v="482.4"/>
    <n v="0"/>
    <m/>
    <n v="1"/>
    <n v="482.4"/>
    <d v="2026-08-20T00:00:00"/>
    <n v="1"/>
    <n v="482.4"/>
    <d v="2026-08-22T00:00:00"/>
    <n v="1"/>
    <n v="482.4"/>
    <m/>
    <m/>
    <n v="0"/>
    <s v="U284-002"/>
    <d v="2026-09-08T00:00:00"/>
    <n v="1"/>
    <n v="482.4"/>
    <d v="2026-09-16T00:00:00"/>
    <n v="1"/>
    <n v="482.4"/>
    <s v="PAC"/>
    <s v="U284-001"/>
  </r>
  <r>
    <n v="148"/>
    <x v="0"/>
    <s v="Shipment 2 Outlet Stack"/>
    <x v="0"/>
    <x v="1"/>
    <m/>
    <d v="2026-07-01T00:00:00"/>
    <s v="HRSG"/>
    <s v="HSG05"/>
    <s v="S3"/>
    <s v="V17566-SKXD-7190"/>
    <s v="SK7-3"/>
    <s v="SHELL PLATE"/>
    <n v="2"/>
    <n v="482.45"/>
    <n v="964.9"/>
    <s v="(3445x2385x1651)"/>
    <m/>
    <m/>
    <m/>
    <m/>
    <m/>
    <m/>
    <m/>
    <m/>
    <m/>
    <m/>
    <m/>
    <m/>
    <m/>
    <n v="964.90000000000009"/>
    <n v="0"/>
    <m/>
    <n v="1"/>
    <n v="964.9"/>
    <d v="2026-08-20T00:00:00"/>
    <n v="2"/>
    <n v="964.9"/>
    <d v="2026-08-22T00:00:00"/>
    <n v="2"/>
    <n v="964.9"/>
    <m/>
    <m/>
    <n v="0"/>
    <s v="U284-002"/>
    <d v="2026-09-08T00:00:00"/>
    <n v="2"/>
    <n v="964.9"/>
    <d v="2026-09-16T00:00:00"/>
    <n v="2"/>
    <n v="964.9"/>
    <s v="PAC"/>
    <s v="U284-001"/>
  </r>
  <r>
    <n v="148"/>
    <x v="0"/>
    <s v="Shipment 2 Outlet Stack"/>
    <x v="0"/>
    <x v="1"/>
    <m/>
    <d v="2026-07-01T00:00:00"/>
    <s v="HRSG"/>
    <s v="HSG05"/>
    <s v="S3"/>
    <s v="V17566-SKXD-7192"/>
    <s v="SK7-4"/>
    <s v="SHELL PLATE"/>
    <n v="1"/>
    <n v="500.3"/>
    <n v="500.3"/>
    <s v="(3445x2385x1651)"/>
    <m/>
    <m/>
    <m/>
    <m/>
    <m/>
    <m/>
    <m/>
    <m/>
    <m/>
    <m/>
    <m/>
    <m/>
    <m/>
    <n v="500.29999999999995"/>
    <n v="0"/>
    <m/>
    <n v="1"/>
    <n v="500.3"/>
    <d v="2026-08-20T00:00:00"/>
    <n v="1"/>
    <n v="500.3"/>
    <d v="2026-08-24T00:00:00"/>
    <n v="1"/>
    <n v="500.3"/>
    <m/>
    <m/>
    <n v="0"/>
    <s v="U284-002"/>
    <d v="2026-09-08T00:00:00"/>
    <n v="1"/>
    <n v="500.3"/>
    <d v="2026-09-16T00:00:00"/>
    <n v="1"/>
    <n v="500.3"/>
    <s v="PAC"/>
    <s v="U284-001"/>
  </r>
  <r>
    <n v="148"/>
    <x v="0"/>
    <s v="Shipment 2 Outlet Stack"/>
    <x v="0"/>
    <x v="1"/>
    <s v="Bracing"/>
    <d v="2026-07-01T00:00:00"/>
    <s v="HRSG"/>
    <s v="HSG05"/>
    <s v="S3"/>
    <s v="V17566-SKXD-AS-OS-BR-1"/>
    <s v="OS-BR-1"/>
    <s v="CV"/>
    <n v="5"/>
    <n v="16.8"/>
    <n v="84.2"/>
    <s v="(2146x10x100)"/>
    <m/>
    <s v="Bracing"/>
    <m/>
    <m/>
    <m/>
    <m/>
    <m/>
    <m/>
    <m/>
    <m/>
    <m/>
    <m/>
    <m/>
    <n v="75.78"/>
    <n v="8.4200000000000017"/>
    <m/>
    <n v="1"/>
    <n v="84.2"/>
    <d v="2026-09-12T00:00:00"/>
    <n v="5"/>
    <n v="84.2"/>
    <d v="2026-09-14T00:00:00"/>
    <n v="5"/>
    <n v="84.2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"/>
    <s v="OS-BR-2"/>
    <s v="CV"/>
    <n v="28"/>
    <n v="37.700000000000003"/>
    <n v="1055.5999999999999"/>
    <s v="(3378x8x1981)"/>
    <m/>
    <s v="Bracing"/>
    <m/>
    <m/>
    <m/>
    <m/>
    <m/>
    <m/>
    <m/>
    <m/>
    <m/>
    <m/>
    <m/>
    <n v="950.04"/>
    <n v="105.55999999999995"/>
    <m/>
    <n v="1"/>
    <n v="1055.5999999999999"/>
    <d v="2026-09-12T00:00:00"/>
    <n v="28"/>
    <n v="1055.5999999999999"/>
    <d v="2026-09-14T00:00:00"/>
    <n v="28"/>
    <n v="1055.5999999999999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3"/>
    <s v="OS-BR-3"/>
    <s v="CV"/>
    <n v="10"/>
    <n v="11"/>
    <n v="109.9"/>
    <s v="(1400x10x100)"/>
    <m/>
    <s v="Bracing"/>
    <m/>
    <m/>
    <m/>
    <m/>
    <m/>
    <m/>
    <m/>
    <m/>
    <m/>
    <m/>
    <m/>
    <n v="98.910000000000011"/>
    <n v="10.989999999999995"/>
    <m/>
    <n v="1"/>
    <n v="109.9"/>
    <d v="2026-09-12T00:00:00"/>
    <n v="10"/>
    <n v="109.9"/>
    <d v="2026-09-14T00:00:00"/>
    <n v="10"/>
    <n v="109.9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4"/>
    <s v="OS-BR-4"/>
    <s v="CV"/>
    <n v="25"/>
    <n v="76.900000000000006"/>
    <n v="1923.2"/>
    <s v="(9800x10x100)"/>
    <m/>
    <s v="Bracing"/>
    <m/>
    <m/>
    <m/>
    <m/>
    <m/>
    <m/>
    <m/>
    <m/>
    <m/>
    <m/>
    <m/>
    <n v="1730.88"/>
    <n v="192.31999999999994"/>
    <m/>
    <n v="1"/>
    <n v="1923.2"/>
    <d v="2026-09-12T00:00:00"/>
    <n v="25"/>
    <n v="1923.2"/>
    <d v="2026-09-14T00:00:00"/>
    <n v="25"/>
    <n v="1923.2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5"/>
    <s v="OS-BR-5"/>
    <s v="CV"/>
    <n v="10"/>
    <n v="38.9"/>
    <n v="388.6"/>
    <s v="(3371x8x2185)"/>
    <m/>
    <s v="Bracing"/>
    <m/>
    <m/>
    <m/>
    <m/>
    <m/>
    <m/>
    <m/>
    <m/>
    <m/>
    <m/>
    <m/>
    <n v="349.74"/>
    <n v="38.860000000000014"/>
    <m/>
    <n v="1"/>
    <n v="388.6"/>
    <d v="2026-09-12T00:00:00"/>
    <n v="10"/>
    <n v="388.6"/>
    <d v="2026-09-14T00:00:00"/>
    <n v="10"/>
    <n v="388.6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6"/>
    <s v="OS-BR-6"/>
    <s v="CV"/>
    <n v="3"/>
    <n v="11.8"/>
    <n v="35.4"/>
    <s v="(1263x8x313)"/>
    <m/>
    <s v="Bracing"/>
    <m/>
    <m/>
    <m/>
    <m/>
    <m/>
    <m/>
    <m/>
    <m/>
    <m/>
    <m/>
    <m/>
    <n v="31.86"/>
    <n v="3.5399999999999991"/>
    <m/>
    <n v="1"/>
    <n v="35.4"/>
    <d v="2026-09-12T00:00:00"/>
    <n v="3"/>
    <n v="35.4"/>
    <d v="2026-09-14T00:00:00"/>
    <n v="3"/>
    <n v="35.4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7"/>
    <s v="OS-BR-7"/>
    <s v="CV"/>
    <n v="1"/>
    <n v="57.3"/>
    <n v="57.3"/>
    <s v="(8554x60x100)"/>
    <m/>
    <s v="Bracing"/>
    <m/>
    <m/>
    <m/>
    <m/>
    <m/>
    <m/>
    <m/>
    <m/>
    <m/>
    <m/>
    <m/>
    <n v="51.57"/>
    <n v="5.7299999999999969"/>
    <m/>
    <n v="1"/>
    <n v="57.3"/>
    <d v="2026-09-12T00:00:00"/>
    <n v="1"/>
    <n v="57.3"/>
    <d v="2026-09-14T00:00:00"/>
    <n v="1"/>
    <n v="57.3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8"/>
    <s v="OS-BR-8"/>
    <s v="CV"/>
    <n v="8"/>
    <n v="50.2"/>
    <n v="401.9"/>
    <s v="(6400x10x100)"/>
    <m/>
    <s v="Bracing"/>
    <m/>
    <m/>
    <m/>
    <m/>
    <m/>
    <m/>
    <m/>
    <m/>
    <m/>
    <m/>
    <m/>
    <n v="361.71"/>
    <n v="40.19"/>
    <m/>
    <n v="1"/>
    <n v="401.9"/>
    <d v="2026-09-12T00:00:00"/>
    <n v="8"/>
    <n v="401.9"/>
    <d v="2026-09-14T00:00:00"/>
    <n v="8"/>
    <n v="401.9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9"/>
    <s v="OS-BR-9"/>
    <s v="CV"/>
    <n v="1"/>
    <n v="34.4"/>
    <n v="34.4"/>
    <s v="(5120x60x100)"/>
    <m/>
    <s v="Bracing"/>
    <m/>
    <m/>
    <m/>
    <m/>
    <m/>
    <m/>
    <m/>
    <m/>
    <m/>
    <m/>
    <m/>
    <n v="30.96"/>
    <n v="3.4399999999999977"/>
    <m/>
    <n v="1"/>
    <n v="34.4"/>
    <d v="2026-09-12T00:00:00"/>
    <n v="1"/>
    <n v="34.4"/>
    <d v="2026-09-14T00:00:00"/>
    <n v="1"/>
    <n v="34.4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0"/>
    <s v="OS-BR-10"/>
    <s v="CV"/>
    <n v="1"/>
    <n v="28.3"/>
    <n v="28.3"/>
    <s v="(2756x8x1239)"/>
    <m/>
    <s v="Bracing"/>
    <m/>
    <m/>
    <m/>
    <m/>
    <m/>
    <m/>
    <m/>
    <m/>
    <m/>
    <m/>
    <m/>
    <n v="25.47"/>
    <n v="2.8300000000000018"/>
    <m/>
    <n v="1"/>
    <n v="28.3"/>
    <d v="2026-09-12T00:00:00"/>
    <n v="1"/>
    <n v="28.3"/>
    <d v="2026-09-14T00:00:00"/>
    <n v="1"/>
    <n v="28.3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1"/>
    <s v="OS-BR-11"/>
    <s v="CV"/>
    <n v="2"/>
    <n v="14.2"/>
    <n v="28.4"/>
    <s v="(1810x10x100)"/>
    <m/>
    <s v="Bracing"/>
    <m/>
    <m/>
    <m/>
    <m/>
    <m/>
    <m/>
    <m/>
    <m/>
    <m/>
    <m/>
    <m/>
    <n v="25.56"/>
    <n v="2.84"/>
    <m/>
    <n v="1"/>
    <n v="28.4"/>
    <d v="2026-09-12T00:00:00"/>
    <n v="2"/>
    <n v="28.4"/>
    <d v="2026-09-14T00:00:00"/>
    <n v="2"/>
    <n v="28.4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2"/>
    <s v="OS-BR-12"/>
    <s v="CV"/>
    <n v="1"/>
    <n v="22.1"/>
    <n v="22.1"/>
    <s v="(2242x8x830)"/>
    <m/>
    <s v="Bracing"/>
    <m/>
    <m/>
    <m/>
    <m/>
    <m/>
    <m/>
    <m/>
    <m/>
    <m/>
    <m/>
    <m/>
    <n v="19.89"/>
    <n v="2.2100000000000009"/>
    <m/>
    <n v="1"/>
    <n v="22.1"/>
    <d v="2026-09-12T00:00:00"/>
    <n v="1"/>
    <n v="22.1"/>
    <d v="2026-09-14T00:00:00"/>
    <n v="1"/>
    <n v="22.1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3"/>
    <s v="OS-BR-13"/>
    <s v="CV"/>
    <n v="3"/>
    <n v="17"/>
    <n v="51.1"/>
    <s v="(1788x8x516)"/>
    <m/>
    <s v="Bracing"/>
    <m/>
    <m/>
    <m/>
    <m/>
    <m/>
    <m/>
    <m/>
    <m/>
    <m/>
    <m/>
    <m/>
    <n v="45.99"/>
    <n v="5.1099999999999994"/>
    <m/>
    <n v="1"/>
    <n v="51.1"/>
    <d v="2026-09-12T00:00:00"/>
    <n v="3"/>
    <n v="51.1"/>
    <d v="2026-09-14T00:00:00"/>
    <n v="3"/>
    <n v="51.1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4"/>
    <s v="OS-BR-14"/>
    <s v="CV"/>
    <n v="1"/>
    <n v="62.8"/>
    <n v="62.8"/>
    <s v="(8000x10x100)"/>
    <m/>
    <s v="Bracing"/>
    <m/>
    <m/>
    <m/>
    <m/>
    <m/>
    <m/>
    <m/>
    <m/>
    <m/>
    <m/>
    <m/>
    <n v="56.519999999999996"/>
    <n v="6.2800000000000011"/>
    <m/>
    <n v="1"/>
    <n v="62.8"/>
    <d v="2026-09-12T00:00:00"/>
    <n v="1"/>
    <n v="62.8"/>
    <d v="2026-09-14T00:00:00"/>
    <n v="1"/>
    <n v="62.8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5"/>
    <s v="OS-BR-15"/>
    <s v="CV"/>
    <n v="1"/>
    <n v="56.1"/>
    <n v="56.1"/>
    <s v="(8375x60x100)"/>
    <m/>
    <s v="Bracing"/>
    <m/>
    <m/>
    <m/>
    <m/>
    <m/>
    <m/>
    <m/>
    <m/>
    <m/>
    <m/>
    <m/>
    <n v="50.49"/>
    <n v="5.6099999999999994"/>
    <m/>
    <n v="1"/>
    <n v="56.1"/>
    <d v="2026-09-12T00:00:00"/>
    <n v="1"/>
    <n v="56.1"/>
    <d v="2026-09-14T00:00:00"/>
    <n v="1"/>
    <n v="56.1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6"/>
    <s v="OS-BR-16"/>
    <s v="CV"/>
    <n v="1"/>
    <n v="32.5"/>
    <n v="32.5"/>
    <s v="(3069x8x1526)"/>
    <m/>
    <s v="Bracing"/>
    <m/>
    <m/>
    <m/>
    <m/>
    <m/>
    <m/>
    <m/>
    <m/>
    <m/>
    <m/>
    <m/>
    <n v="29.25"/>
    <n v="3.25"/>
    <m/>
    <n v="1"/>
    <n v="32.5"/>
    <d v="2026-09-12T00:00:00"/>
    <n v="1"/>
    <n v="32.5"/>
    <d v="2026-09-14T00:00:00"/>
    <n v="1"/>
    <n v="32.5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8"/>
    <s v="OS-BR-18"/>
    <s v="CV"/>
    <n v="4"/>
    <n v="94.2"/>
    <n v="376.8"/>
    <s v="(12000x10x100)"/>
    <m/>
    <s v="Bracing"/>
    <m/>
    <m/>
    <m/>
    <m/>
    <m/>
    <m/>
    <m/>
    <m/>
    <m/>
    <m/>
    <m/>
    <n v="339.12"/>
    <n v="37.680000000000007"/>
    <m/>
    <n v="1"/>
    <n v="376.8"/>
    <d v="2026-09-12T00:00:00"/>
    <n v="4"/>
    <n v="376.8"/>
    <d v="2026-09-14T00:00:00"/>
    <n v="4"/>
    <n v="376.8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19"/>
    <s v="OS-BR-19"/>
    <s v="CV"/>
    <n v="2"/>
    <n v="31"/>
    <n v="61.9"/>
    <s v="(2901x8x1535)"/>
    <m/>
    <s v="Bracing"/>
    <m/>
    <m/>
    <m/>
    <m/>
    <m/>
    <m/>
    <m/>
    <m/>
    <m/>
    <m/>
    <m/>
    <n v="55.71"/>
    <n v="6.1899999999999977"/>
    <m/>
    <n v="1"/>
    <n v="61.9"/>
    <d v="2026-09-12T00:00:00"/>
    <n v="2"/>
    <n v="61.9"/>
    <d v="2026-09-14T00:00:00"/>
    <n v="2"/>
    <n v="61.9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0"/>
    <s v="OS-BR-20"/>
    <s v="CV"/>
    <n v="2"/>
    <n v="53.8"/>
    <n v="107.5"/>
    <s v="(6850x10x100)"/>
    <m/>
    <s v="Bracing"/>
    <m/>
    <m/>
    <m/>
    <m/>
    <m/>
    <m/>
    <m/>
    <m/>
    <m/>
    <m/>
    <m/>
    <n v="96.75"/>
    <n v="10.75"/>
    <m/>
    <n v="1"/>
    <n v="107.5"/>
    <d v="2026-09-12T00:00:00"/>
    <n v="2"/>
    <n v="107.5"/>
    <d v="2026-09-14T00:00:00"/>
    <n v="2"/>
    <n v="107.5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1"/>
    <s v="OS-BR-21"/>
    <s v="CV"/>
    <n v="1"/>
    <n v="42.7"/>
    <n v="42.7"/>
    <s v="(6364x60x100)"/>
    <m/>
    <s v="Bracing"/>
    <m/>
    <m/>
    <m/>
    <m/>
    <m/>
    <m/>
    <m/>
    <m/>
    <m/>
    <m/>
    <m/>
    <n v="38.430000000000007"/>
    <n v="4.269999999999996"/>
    <m/>
    <n v="1"/>
    <n v="42.7"/>
    <d v="2026-09-12T00:00:00"/>
    <n v="1"/>
    <n v="42.7"/>
    <d v="2026-09-14T00:00:00"/>
    <n v="1"/>
    <n v="42.7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3"/>
    <s v="OS-BR-23"/>
    <s v="CV"/>
    <n v="2"/>
    <n v="247.4"/>
    <n v="494.7"/>
    <s v="(7005x150x2529)"/>
    <m/>
    <s v="Bracing"/>
    <m/>
    <m/>
    <m/>
    <m/>
    <m/>
    <m/>
    <m/>
    <m/>
    <m/>
    <m/>
    <m/>
    <n v="445.23"/>
    <n v="49.46999999999997"/>
    <m/>
    <n v="1"/>
    <n v="494.7"/>
    <d v="2026-09-12T00:00:00"/>
    <n v="2"/>
    <n v="494.7"/>
    <d v="2026-09-14T00:00:00"/>
    <n v="2"/>
    <n v="494.7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4"/>
    <s v="OS-BR-24"/>
    <s v="CV"/>
    <n v="1"/>
    <n v="232"/>
    <n v="232"/>
    <s v="(7005x150x3404)"/>
    <m/>
    <s v="Bracing"/>
    <m/>
    <m/>
    <m/>
    <m/>
    <m/>
    <m/>
    <m/>
    <m/>
    <m/>
    <m/>
    <m/>
    <n v="208.8"/>
    <n v="23.199999999999989"/>
    <m/>
    <n v="1"/>
    <n v="232"/>
    <d v="2026-09-12T00:00:00"/>
    <n v="1"/>
    <n v="232"/>
    <d v="2026-09-14T00:00:00"/>
    <n v="1"/>
    <n v="232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5"/>
    <s v="OS-BR-25"/>
    <s v="CV"/>
    <n v="1"/>
    <n v="232"/>
    <n v="232"/>
    <s v="(7017x150x3404)"/>
    <m/>
    <s v="Bracing"/>
    <m/>
    <m/>
    <m/>
    <m/>
    <m/>
    <m/>
    <m/>
    <m/>
    <m/>
    <m/>
    <m/>
    <n v="208.8"/>
    <n v="23.199999999999989"/>
    <m/>
    <n v="1"/>
    <n v="232"/>
    <d v="2026-09-12T00:00:00"/>
    <n v="1"/>
    <n v="232"/>
    <d v="2026-09-14T00:00:00"/>
    <n v="1"/>
    <n v="232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6"/>
    <s v="OS-BR-26"/>
    <s v="CV"/>
    <n v="1"/>
    <n v="82.2"/>
    <n v="82.2"/>
    <s v="(5468x737x220)"/>
    <m/>
    <s v="Bracing"/>
    <m/>
    <m/>
    <m/>
    <m/>
    <m/>
    <m/>
    <m/>
    <m/>
    <m/>
    <m/>
    <m/>
    <n v="73.98"/>
    <n v="8.2199999999999989"/>
    <m/>
    <n v="1"/>
    <n v="82.2"/>
    <d v="2026-09-12T00:00:00"/>
    <n v="1"/>
    <n v="82.2"/>
    <d v="2026-09-14T00:00:00"/>
    <n v="1"/>
    <n v="82.2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7"/>
    <s v="OS-BR-27"/>
    <s v="CV"/>
    <n v="1"/>
    <n v="84.2"/>
    <n v="84.2"/>
    <s v="(8564x60x100)"/>
    <m/>
    <s v="Bracing"/>
    <m/>
    <m/>
    <m/>
    <m/>
    <m/>
    <m/>
    <m/>
    <m/>
    <m/>
    <m/>
    <m/>
    <n v="75.78"/>
    <n v="8.4200000000000017"/>
    <m/>
    <n v="1"/>
    <n v="84.2"/>
    <d v="2026-09-12T00:00:00"/>
    <n v="1"/>
    <n v="84.2"/>
    <d v="2026-09-14T00:00:00"/>
    <n v="1"/>
    <n v="84.2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BR-28"/>
    <s v="OS-BR-28"/>
    <s v="CV"/>
    <n v="2"/>
    <n v="94.2"/>
    <n v="188.4"/>
    <s v="(12000x10x100)"/>
    <m/>
    <s v="Bracing"/>
    <m/>
    <m/>
    <m/>
    <m/>
    <m/>
    <m/>
    <m/>
    <m/>
    <m/>
    <m/>
    <m/>
    <n v="169.56"/>
    <n v="18.840000000000003"/>
    <m/>
    <n v="1"/>
    <n v="188.4"/>
    <d v="2026-09-12T00:00:00"/>
    <n v="2"/>
    <n v="188.4"/>
    <d v="2026-09-14T00:00:00"/>
    <n v="2"/>
    <n v="188.4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LT-3"/>
    <s v="OS-LT-3"/>
    <s v="LIFTTING LUG"/>
    <n v="2"/>
    <n v="6.4"/>
    <n v="12.9"/>
    <s v="(250x25x150)"/>
    <m/>
    <s v="Bracing"/>
    <m/>
    <m/>
    <m/>
    <m/>
    <m/>
    <m/>
    <m/>
    <m/>
    <m/>
    <m/>
    <m/>
    <n v="11.61"/>
    <n v="1.2900000000000009"/>
    <m/>
    <n v="1"/>
    <n v="12.9"/>
    <d v="2026-09-24T00:00:00"/>
    <n v="2"/>
    <n v="12.9"/>
    <d v="2026-09-24T00:00:00"/>
    <n v="2"/>
    <n v="12.9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LT-4"/>
    <s v="OS-LT-4"/>
    <s v="LIFTTING LUG"/>
    <n v="55"/>
    <n v="4.4000000000000004"/>
    <n v="241.7"/>
    <s v="(220x101x200)"/>
    <m/>
    <s v="Bracing"/>
    <m/>
    <m/>
    <m/>
    <m/>
    <m/>
    <m/>
    <m/>
    <m/>
    <m/>
    <m/>
    <m/>
    <n v="217.53"/>
    <n v="24.169999999999987"/>
    <m/>
    <n v="1"/>
    <n v="241.7"/>
    <d v="2026-09-24T00:00:00"/>
    <n v="55"/>
    <n v="241.7"/>
    <d v="2026-09-24T00:00:00"/>
    <n v="55"/>
    <n v="241.7"/>
    <m/>
    <m/>
    <n v="0"/>
    <m/>
    <m/>
    <m/>
    <n v="0"/>
    <m/>
    <m/>
    <n v="0"/>
    <s v="PAC"/>
    <m/>
  </r>
  <r>
    <n v="148"/>
    <x v="0"/>
    <s v="Shipment 2 Outlet Stack"/>
    <x v="0"/>
    <x v="1"/>
    <s v="Bracing"/>
    <d v="2026-07-01T00:00:00"/>
    <s v="HRSG"/>
    <s v="HSG05"/>
    <s v="S3"/>
    <s v="V17566-SKXD-AS-OS-LT-5"/>
    <s v="OS-LT-5"/>
    <s v="LIFTTING LUG"/>
    <n v="2"/>
    <n v="4.4000000000000004"/>
    <n v="8.8000000000000007"/>
    <s v="(220x101x200)"/>
    <m/>
    <s v="Bracing"/>
    <m/>
    <m/>
    <m/>
    <m/>
    <m/>
    <m/>
    <m/>
    <m/>
    <m/>
    <m/>
    <m/>
    <n v="7.9200000000000008"/>
    <n v="0.87999999999999989"/>
    <m/>
    <n v="1"/>
    <n v="8.8000000000000007"/>
    <d v="2026-09-24T00:00:00"/>
    <n v="2"/>
    <n v="8.8000000000000007"/>
    <d v="2026-09-24T00:00:00"/>
    <n v="2"/>
    <n v="8.8000000000000007"/>
    <m/>
    <m/>
    <n v="0"/>
    <m/>
    <m/>
    <m/>
    <n v="0"/>
    <m/>
    <m/>
    <n v="0"/>
    <s v="PAC"/>
    <m/>
  </r>
  <r>
    <s v=""/>
    <x v="1"/>
    <s v=" "/>
    <x v="1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2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8" firstHeaderRow="0" firstDataRow="1" firstDataCol="1"/>
  <pivotFields count="53">
    <pivotField showAll="0"/>
    <pivotField axis="axisRow" showAll="0">
      <items count="3">
        <item h="1"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5">
    <i>
      <x v="1"/>
    </i>
    <i r="1">
      <x v="1"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384"/>
  <sheetViews>
    <sheetView tabSelected="1" zoomScale="70" zoomScaleNormal="70" workbookViewId="0">
      <pane xSplit="18" ySplit="3" topLeftCell="AM4" activePane="bottomRight" state="frozen"/>
      <selection pane="topRight" activeCell="S1" sqref="S1"/>
      <selection pane="bottomLeft" activeCell="A4" sqref="A4"/>
      <selection pane="bottomRight" activeCell="AS85" sqref="AS85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18.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ÁN:U284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46312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SUBTOTAL(9,AK4:AK384)</f>
        <v>246</v>
      </c>
      <c r="AL2" s="68">
        <f>SUBTOTAL(9,AL4:AL384)</f>
        <v>1316.6358823529417</v>
      </c>
      <c r="AM2" s="15"/>
      <c r="AN2" s="67">
        <f>SUBTOTAL(9,AN4:AN384)</f>
        <v>246</v>
      </c>
      <c r="AO2" s="68">
        <f>SUBTOTAL(9,AO4:AO384)</f>
        <v>1316.6358823529417</v>
      </c>
      <c r="AP2" s="15"/>
      <c r="AQ2" s="67">
        <f>SUBTOTAL(9,AQ4:AQ384)</f>
        <v>0</v>
      </c>
      <c r="AR2" s="68">
        <f>SUBTOTAL(9,AR4:AR384)</f>
        <v>0</v>
      </c>
      <c r="AS2" s="16" t="str">
        <f>SUBSTITUTE(A1,"DỰ ÁN:","")&amp;"-"</f>
        <v>U284-</v>
      </c>
      <c r="AT2" s="17"/>
      <c r="AU2" s="67">
        <f>SUBTOTAL(9,AU4:AU384)</f>
        <v>246</v>
      </c>
      <c r="AV2" s="68">
        <f>SUBTOTAL(9,AV4:AV384)</f>
        <v>1316.6358823529417</v>
      </c>
      <c r="AW2" s="16"/>
      <c r="AX2" s="67">
        <f>SUBTOTAL(9,AX4:AX384)</f>
        <v>0</v>
      </c>
      <c r="AY2" s="67">
        <f>SUBTOTAL(9,AY4:AY384)</f>
        <v>0</v>
      </c>
      <c r="AZ2" s="17"/>
      <c r="BA2" s="18" t="str">
        <f>SUBSTITUTE(A1,"DỰ ÁN:","")&amp;"-"</f>
        <v>U284-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x14ac:dyDescent="0.25">
      <c r="A4" s="24">
        <f>IF(B4="","",SUBTOTAL(3,$B$4:B4))</f>
        <v>1</v>
      </c>
      <c r="B4" s="25" t="s">
        <v>439</v>
      </c>
      <c r="C4" s="25" t="str">
        <f>D4&amp;" "&amp;E4</f>
        <v>Shipment 2 CO-SCR Duct</v>
      </c>
      <c r="D4" s="25" t="s">
        <v>441</v>
      </c>
      <c r="E4" s="25" t="s">
        <v>442</v>
      </c>
      <c r="F4" s="25"/>
      <c r="G4" s="65">
        <v>46204</v>
      </c>
      <c r="H4" s="25" t="s">
        <v>443</v>
      </c>
      <c r="I4" s="25" t="s">
        <v>444</v>
      </c>
      <c r="J4" s="26" t="s">
        <v>447</v>
      </c>
      <c r="K4" s="27" t="s">
        <v>69</v>
      </c>
      <c r="L4" s="28" t="s">
        <v>70</v>
      </c>
      <c r="M4" s="28" t="s">
        <v>71</v>
      </c>
      <c r="N4" s="25">
        <v>2</v>
      </c>
      <c r="O4" s="29">
        <v>8.35</v>
      </c>
      <c r="P4" s="29">
        <v>16.7</v>
      </c>
      <c r="Q4" s="25" t="s">
        <v>356</v>
      </c>
      <c r="R4" s="25"/>
      <c r="S4" s="26" t="s">
        <v>350</v>
      </c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16.7</v>
      </c>
      <c r="AF4" s="32">
        <f>+P4-AE4</f>
        <v>0</v>
      </c>
      <c r="AG4" s="30"/>
      <c r="AH4" s="33"/>
      <c r="AI4" s="34">
        <f>+AH4*P4</f>
        <v>0</v>
      </c>
      <c r="AJ4" s="35">
        <v>46312</v>
      </c>
      <c r="AK4" s="30">
        <v>2</v>
      </c>
      <c r="AL4" s="36">
        <f>IFERROR(AK4*$P4/$N4,0)</f>
        <v>16.7</v>
      </c>
      <c r="AM4" s="35">
        <v>46312</v>
      </c>
      <c r="AN4" s="30">
        <v>2</v>
      </c>
      <c r="AO4" s="36">
        <f>IFERROR(AN4*$P4/$N4,0)</f>
        <v>16.7</v>
      </c>
      <c r="AP4" s="35"/>
      <c r="AQ4" s="30"/>
      <c r="AR4" s="36">
        <f>IFERROR(AQ4*$P4/$N4,0)</f>
        <v>0</v>
      </c>
      <c r="AS4" s="27" t="s">
        <v>967</v>
      </c>
      <c r="AT4" s="37">
        <v>46312</v>
      </c>
      <c r="AU4" s="30">
        <v>2</v>
      </c>
      <c r="AV4" s="36">
        <f>IFERROR(AU4*$P4/$N4,0)</f>
        <v>16.7</v>
      </c>
      <c r="AW4" s="35"/>
      <c r="AX4" s="30"/>
      <c r="AY4" s="32">
        <f>IFERROR(AX4*$P4/$N4,0)</f>
        <v>0</v>
      </c>
      <c r="AZ4" s="30" t="s">
        <v>440</v>
      </c>
      <c r="BA4" s="63"/>
      <c r="BB4" s="71"/>
      <c r="BC4" s="71" t="s">
        <v>70</v>
      </c>
      <c r="BD4" s="71"/>
      <c r="BF4" s="59" t="s">
        <v>439</v>
      </c>
      <c r="BG4" s="72">
        <v>270909.30000000005</v>
      </c>
      <c r="BH4" s="70">
        <v>261627.49999999997</v>
      </c>
    </row>
    <row r="5" spans="1:60" x14ac:dyDescent="0.25">
      <c r="A5" s="24">
        <f>IF(B5="","",SUBTOTAL(3,$B$4:B5))</f>
        <v>2</v>
      </c>
      <c r="B5" s="25" t="s">
        <v>439</v>
      </c>
      <c r="C5" s="25" t="str">
        <f t="shared" ref="C5:C384" si="0">D5&amp;" "&amp;E5</f>
        <v>Shipment 2 CO-SCR Duct</v>
      </c>
      <c r="D5" s="25" t="s">
        <v>441</v>
      </c>
      <c r="E5" s="25" t="s">
        <v>442</v>
      </c>
      <c r="F5" s="25"/>
      <c r="G5" s="65">
        <v>46204</v>
      </c>
      <c r="H5" s="25" t="s">
        <v>443</v>
      </c>
      <c r="I5" s="25" t="s">
        <v>444</v>
      </c>
      <c r="J5" s="26" t="s">
        <v>447</v>
      </c>
      <c r="K5" s="27" t="s">
        <v>72</v>
      </c>
      <c r="L5" s="28" t="s">
        <v>73</v>
      </c>
      <c r="M5" s="28" t="s">
        <v>71</v>
      </c>
      <c r="N5" s="25">
        <v>2</v>
      </c>
      <c r="O5" s="29">
        <v>9.15</v>
      </c>
      <c r="P5" s="29">
        <v>18.3</v>
      </c>
      <c r="Q5" s="25" t="s">
        <v>357</v>
      </c>
      <c r="R5" s="25"/>
      <c r="S5" s="26" t="s">
        <v>350</v>
      </c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384" si="1">+AL5*0.5+AO5*0.4+AV5*0.1</f>
        <v>18.299999999999997</v>
      </c>
      <c r="AF5" s="32">
        <f t="shared" ref="AF5:AF384" si="2">+P5-AE5</f>
        <v>0</v>
      </c>
      <c r="AG5" s="30"/>
      <c r="AH5" s="33"/>
      <c r="AI5" s="34">
        <f t="shared" ref="AI5:AI384" si="3">+AH5*P5</f>
        <v>0</v>
      </c>
      <c r="AJ5" s="35">
        <v>46312</v>
      </c>
      <c r="AK5" s="30">
        <v>2</v>
      </c>
      <c r="AL5" s="36">
        <f t="shared" ref="AL5:AL118" si="4">IFERROR(AK5*$P5/$N5,0)</f>
        <v>18.3</v>
      </c>
      <c r="AM5" s="35">
        <v>46312</v>
      </c>
      <c r="AN5" s="30">
        <v>2</v>
      </c>
      <c r="AO5" s="36">
        <f t="shared" ref="AO5:AO384" si="5">IFERROR(AN5*$P5/$N5,0)</f>
        <v>18.3</v>
      </c>
      <c r="AP5" s="35"/>
      <c r="AQ5" s="30"/>
      <c r="AR5" s="36">
        <f t="shared" ref="AR5:AR384" si="6">IFERROR(AQ5*$P5/$N5,0)</f>
        <v>0</v>
      </c>
      <c r="AS5" s="27" t="s">
        <v>967</v>
      </c>
      <c r="AT5" s="37">
        <v>46312</v>
      </c>
      <c r="AU5" s="30">
        <v>2</v>
      </c>
      <c r="AV5" s="36">
        <f t="shared" ref="AV5:AV384" si="7">IFERROR(AU5*$P5/$N5,0)</f>
        <v>18.3</v>
      </c>
      <c r="AW5" s="35"/>
      <c r="AX5" s="30"/>
      <c r="AY5" s="32">
        <f t="shared" ref="AY5:AY384" si="8">IFERROR(AX5*$P5/$N5,0)</f>
        <v>0</v>
      </c>
      <c r="AZ5" s="30" t="s">
        <v>440</v>
      </c>
      <c r="BA5" s="63"/>
      <c r="BB5" s="71"/>
      <c r="BC5" s="71" t="s">
        <v>73</v>
      </c>
      <c r="BD5" s="71"/>
      <c r="BF5" s="60" t="s">
        <v>441</v>
      </c>
      <c r="BG5" s="72">
        <v>270909.30000000005</v>
      </c>
      <c r="BH5" s="70">
        <v>261627.49999999997</v>
      </c>
    </row>
    <row r="6" spans="1:60" x14ac:dyDescent="0.25">
      <c r="A6" s="24">
        <f>IF(B6="","",SUBTOTAL(3,$B$4:B6))</f>
        <v>3</v>
      </c>
      <c r="B6" s="25" t="s">
        <v>439</v>
      </c>
      <c r="C6" s="25" t="str">
        <f t="shared" si="0"/>
        <v>Shipment 2 CO-SCR Duct</v>
      </c>
      <c r="D6" s="25" t="s">
        <v>441</v>
      </c>
      <c r="E6" s="25" t="s">
        <v>442</v>
      </c>
      <c r="F6" s="25"/>
      <c r="G6" s="65">
        <v>46204</v>
      </c>
      <c r="H6" s="25" t="s">
        <v>443</v>
      </c>
      <c r="I6" s="25" t="s">
        <v>444</v>
      </c>
      <c r="J6" s="26" t="s">
        <v>447</v>
      </c>
      <c r="K6" s="27" t="s">
        <v>74</v>
      </c>
      <c r="L6" s="28" t="s">
        <v>75</v>
      </c>
      <c r="M6" s="28" t="s">
        <v>71</v>
      </c>
      <c r="N6" s="25">
        <v>4</v>
      </c>
      <c r="O6" s="29">
        <v>2.7250000000000001</v>
      </c>
      <c r="P6" s="29">
        <v>10.9</v>
      </c>
      <c r="Q6" s="25" t="s">
        <v>358</v>
      </c>
      <c r="R6" s="25"/>
      <c r="S6" s="26" t="s">
        <v>350</v>
      </c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10.9</v>
      </c>
      <c r="AF6" s="32">
        <f t="shared" si="2"/>
        <v>0</v>
      </c>
      <c r="AG6" s="30"/>
      <c r="AH6" s="33"/>
      <c r="AI6" s="34">
        <f t="shared" si="3"/>
        <v>0</v>
      </c>
      <c r="AJ6" s="35">
        <v>46312</v>
      </c>
      <c r="AK6" s="30">
        <v>4</v>
      </c>
      <c r="AL6" s="36">
        <f t="shared" si="4"/>
        <v>10.9</v>
      </c>
      <c r="AM6" s="35">
        <v>46312</v>
      </c>
      <c r="AN6" s="30">
        <v>4</v>
      </c>
      <c r="AO6" s="36">
        <f t="shared" si="5"/>
        <v>10.9</v>
      </c>
      <c r="AP6" s="35"/>
      <c r="AQ6" s="30"/>
      <c r="AR6" s="36">
        <f t="shared" si="6"/>
        <v>0</v>
      </c>
      <c r="AS6" s="27" t="s">
        <v>967</v>
      </c>
      <c r="AT6" s="37">
        <v>46312</v>
      </c>
      <c r="AU6" s="30">
        <v>4</v>
      </c>
      <c r="AV6" s="36">
        <f t="shared" si="7"/>
        <v>10.9</v>
      </c>
      <c r="AW6" s="35"/>
      <c r="AX6" s="30"/>
      <c r="AY6" s="32">
        <f t="shared" si="8"/>
        <v>0</v>
      </c>
      <c r="AZ6" s="30" t="s">
        <v>440</v>
      </c>
      <c r="BA6" s="63"/>
      <c r="BB6" s="71"/>
      <c r="BC6" s="71" t="s">
        <v>75</v>
      </c>
      <c r="BD6" s="71"/>
      <c r="BF6" s="61" t="s">
        <v>442</v>
      </c>
      <c r="BG6" s="72">
        <v>141143.20000000001</v>
      </c>
      <c r="BH6" s="70">
        <v>136778.69999999998</v>
      </c>
    </row>
    <row r="7" spans="1:60" x14ac:dyDescent="0.25">
      <c r="A7" s="24">
        <f>IF(B7="","",SUBTOTAL(3,$B$4:B7))</f>
        <v>4</v>
      </c>
      <c r="B7" s="25" t="s">
        <v>439</v>
      </c>
      <c r="C7" s="25" t="str">
        <f t="shared" si="0"/>
        <v>Shipment 2 CO-SCR Duct</v>
      </c>
      <c r="D7" s="25" t="s">
        <v>441</v>
      </c>
      <c r="E7" s="25" t="s">
        <v>442</v>
      </c>
      <c r="F7" s="25"/>
      <c r="G7" s="65">
        <v>46204</v>
      </c>
      <c r="H7" s="25" t="s">
        <v>443</v>
      </c>
      <c r="I7" s="25" t="s">
        <v>444</v>
      </c>
      <c r="J7" s="26" t="s">
        <v>447</v>
      </c>
      <c r="K7" s="27" t="s">
        <v>76</v>
      </c>
      <c r="L7" s="28" t="s">
        <v>879</v>
      </c>
      <c r="M7" s="28" t="s">
        <v>71</v>
      </c>
      <c r="N7" s="25">
        <v>1</v>
      </c>
      <c r="O7" s="29">
        <v>8.745000000000001</v>
      </c>
      <c r="P7" s="29">
        <v>8.745000000000001</v>
      </c>
      <c r="Q7" s="25" t="s">
        <v>359</v>
      </c>
      <c r="R7" s="25"/>
      <c r="S7" s="26" t="s">
        <v>350</v>
      </c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8.745000000000001</v>
      </c>
      <c r="AF7" s="32">
        <f t="shared" si="2"/>
        <v>0</v>
      </c>
      <c r="AG7" s="30"/>
      <c r="AH7" s="33"/>
      <c r="AI7" s="34">
        <f t="shared" si="3"/>
        <v>0</v>
      </c>
      <c r="AJ7" s="35">
        <v>46312</v>
      </c>
      <c r="AK7" s="30">
        <v>1</v>
      </c>
      <c r="AL7" s="36">
        <f t="shared" si="4"/>
        <v>8.745000000000001</v>
      </c>
      <c r="AM7" s="35">
        <v>46312</v>
      </c>
      <c r="AN7" s="30">
        <v>1</v>
      </c>
      <c r="AO7" s="36">
        <f t="shared" si="5"/>
        <v>8.745000000000001</v>
      </c>
      <c r="AP7" s="35"/>
      <c r="AQ7" s="30"/>
      <c r="AR7" s="36">
        <f t="shared" si="6"/>
        <v>0</v>
      </c>
      <c r="AS7" s="27" t="s">
        <v>967</v>
      </c>
      <c r="AT7" s="37">
        <v>46312</v>
      </c>
      <c r="AU7" s="30">
        <v>1</v>
      </c>
      <c r="AV7" s="36">
        <f t="shared" si="7"/>
        <v>8.745000000000001</v>
      </c>
      <c r="AW7" s="35"/>
      <c r="AX7" s="30"/>
      <c r="AY7" s="32">
        <f t="shared" si="8"/>
        <v>0</v>
      </c>
      <c r="AZ7" s="30" t="s">
        <v>440</v>
      </c>
      <c r="BA7" s="63"/>
      <c r="BB7" s="71"/>
      <c r="BC7" s="71" t="s">
        <v>77</v>
      </c>
      <c r="BD7" s="71"/>
      <c r="BF7" s="61" t="s">
        <v>775</v>
      </c>
      <c r="BG7" s="72">
        <v>129766.10000000003</v>
      </c>
      <c r="BH7" s="70">
        <v>124848.79999999999</v>
      </c>
    </row>
    <row r="8" spans="1:60" x14ac:dyDescent="0.25">
      <c r="A8" s="24">
        <f>IF(B8="","",SUBTOTAL(3,$B$4:B8))</f>
        <v>5</v>
      </c>
      <c r="B8" s="25" t="s">
        <v>439</v>
      </c>
      <c r="C8" s="25" t="str">
        <f t="shared" ref="C8:C26" si="9">D8&amp;" "&amp;E8</f>
        <v>Shipment 2 CO-SCR Duct</v>
      </c>
      <c r="D8" s="25" t="s">
        <v>441</v>
      </c>
      <c r="E8" s="25" t="s">
        <v>442</v>
      </c>
      <c r="F8" s="25"/>
      <c r="G8" s="65">
        <v>46204</v>
      </c>
      <c r="H8" s="25" t="s">
        <v>443</v>
      </c>
      <c r="I8" s="25" t="s">
        <v>444</v>
      </c>
      <c r="J8" s="26" t="s">
        <v>447</v>
      </c>
      <c r="K8" s="27" t="s">
        <v>76</v>
      </c>
      <c r="L8" s="28" t="s">
        <v>880</v>
      </c>
      <c r="M8" s="28" t="s">
        <v>71</v>
      </c>
      <c r="N8" s="25">
        <v>1</v>
      </c>
      <c r="O8" s="29">
        <v>8.745000000000001</v>
      </c>
      <c r="P8" s="29">
        <v>8.745000000000001</v>
      </c>
      <c r="Q8" s="25" t="s">
        <v>359</v>
      </c>
      <c r="R8" s="25"/>
      <c r="S8" s="26" t="s">
        <v>350</v>
      </c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ref="AE8:AE26" si="10">+AL8*0.5+AO8*0.4+AV8*0.1</f>
        <v>8.745000000000001</v>
      </c>
      <c r="AF8" s="32">
        <f t="shared" ref="AF8:AF26" si="11">+P8-AE8</f>
        <v>0</v>
      </c>
      <c r="AG8" s="30"/>
      <c r="AH8" s="33"/>
      <c r="AI8" s="34">
        <f t="shared" ref="AI8:AI26" si="12">+AH8*P8</f>
        <v>0</v>
      </c>
      <c r="AJ8" s="35">
        <v>46312</v>
      </c>
      <c r="AK8" s="30">
        <v>1</v>
      </c>
      <c r="AL8" s="36">
        <f t="shared" si="4"/>
        <v>8.745000000000001</v>
      </c>
      <c r="AM8" s="35">
        <v>46312</v>
      </c>
      <c r="AN8" s="30">
        <v>1</v>
      </c>
      <c r="AO8" s="36">
        <f t="shared" ref="AO8:AO26" si="13">IFERROR(AN8*$P8/$N8,0)</f>
        <v>8.745000000000001</v>
      </c>
      <c r="AP8" s="35"/>
      <c r="AQ8" s="30"/>
      <c r="AR8" s="36">
        <f t="shared" ref="AR8:AR26" si="14">IFERROR(AQ8*$P8/$N8,0)</f>
        <v>0</v>
      </c>
      <c r="AS8" s="27" t="s">
        <v>967</v>
      </c>
      <c r="AT8" s="37">
        <v>46312</v>
      </c>
      <c r="AU8" s="30">
        <v>1</v>
      </c>
      <c r="AV8" s="36">
        <f t="shared" ref="AV8:AV26" si="15">IFERROR(AU8*$P8/$N8,0)</f>
        <v>8.745000000000001</v>
      </c>
      <c r="AW8" s="35"/>
      <c r="AX8" s="30"/>
      <c r="AY8" s="32">
        <f t="shared" ref="AY8:AY26" si="16">IFERROR(AX8*$P8/$N8,0)</f>
        <v>0</v>
      </c>
      <c r="AZ8" s="30" t="s">
        <v>440</v>
      </c>
      <c r="BA8" s="63"/>
      <c r="BB8" s="71"/>
      <c r="BC8" s="71" t="s">
        <v>77</v>
      </c>
      <c r="BD8" s="71"/>
      <c r="BF8" s="59" t="s">
        <v>50</v>
      </c>
      <c r="BG8" s="72">
        <v>270909.30000000005</v>
      </c>
      <c r="BH8" s="70">
        <v>261627.49999999997</v>
      </c>
    </row>
    <row r="9" spans="1:60" x14ac:dyDescent="0.25">
      <c r="A9" s="24">
        <f>IF(B9="","",SUBTOTAL(3,$B$4:B9))</f>
        <v>6</v>
      </c>
      <c r="B9" s="25" t="s">
        <v>439</v>
      </c>
      <c r="C9" s="25" t="str">
        <f t="shared" si="9"/>
        <v>Shipment 2 CO-SCR Duct</v>
      </c>
      <c r="D9" s="25" t="s">
        <v>441</v>
      </c>
      <c r="E9" s="25" t="s">
        <v>442</v>
      </c>
      <c r="F9" s="25"/>
      <c r="G9" s="65">
        <v>46204</v>
      </c>
      <c r="H9" s="25" t="s">
        <v>443</v>
      </c>
      <c r="I9" s="25" t="s">
        <v>444</v>
      </c>
      <c r="J9" s="26" t="s">
        <v>447</v>
      </c>
      <c r="K9" s="27" t="s">
        <v>76</v>
      </c>
      <c r="L9" s="28" t="s">
        <v>881</v>
      </c>
      <c r="M9" s="28" t="s">
        <v>71</v>
      </c>
      <c r="N9" s="25">
        <v>1</v>
      </c>
      <c r="O9" s="29">
        <v>8.745000000000001</v>
      </c>
      <c r="P9" s="29">
        <v>8.745000000000001</v>
      </c>
      <c r="Q9" s="25" t="s">
        <v>359</v>
      </c>
      <c r="R9" s="25"/>
      <c r="S9" s="26" t="s">
        <v>350</v>
      </c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0"/>
        <v>8.745000000000001</v>
      </c>
      <c r="AF9" s="32">
        <f t="shared" si="11"/>
        <v>0</v>
      </c>
      <c r="AG9" s="30"/>
      <c r="AH9" s="33"/>
      <c r="AI9" s="34">
        <f t="shared" si="12"/>
        <v>0</v>
      </c>
      <c r="AJ9" s="35">
        <v>46312</v>
      </c>
      <c r="AK9" s="30">
        <v>1</v>
      </c>
      <c r="AL9" s="36">
        <f t="shared" si="4"/>
        <v>8.745000000000001</v>
      </c>
      <c r="AM9" s="35">
        <v>46312</v>
      </c>
      <c r="AN9" s="30">
        <v>1</v>
      </c>
      <c r="AO9" s="36">
        <f t="shared" si="13"/>
        <v>8.745000000000001</v>
      </c>
      <c r="AP9" s="35"/>
      <c r="AQ9" s="30"/>
      <c r="AR9" s="36">
        <f t="shared" si="14"/>
        <v>0</v>
      </c>
      <c r="AS9" s="27" t="s">
        <v>967</v>
      </c>
      <c r="AT9" s="37">
        <v>46312</v>
      </c>
      <c r="AU9" s="30">
        <v>1</v>
      </c>
      <c r="AV9" s="36">
        <f t="shared" si="15"/>
        <v>8.745000000000001</v>
      </c>
      <c r="AW9" s="35"/>
      <c r="AX9" s="30"/>
      <c r="AY9" s="32">
        <f t="shared" si="16"/>
        <v>0</v>
      </c>
      <c r="AZ9" s="30" t="s">
        <v>440</v>
      </c>
      <c r="BA9" s="63"/>
      <c r="BB9" s="71"/>
      <c r="BC9" s="71" t="s">
        <v>77</v>
      </c>
      <c r="BD9" s="71"/>
      <c r="BF9" s="59"/>
      <c r="BH9" s="70"/>
    </row>
    <row r="10" spans="1:60" x14ac:dyDescent="0.25">
      <c r="A10" s="24">
        <f>IF(B10="","",SUBTOTAL(3,$B$4:B10))</f>
        <v>7</v>
      </c>
      <c r="B10" s="25" t="s">
        <v>439</v>
      </c>
      <c r="C10" s="25" t="str">
        <f t="shared" si="9"/>
        <v>Shipment 2 CO-SCR Duct</v>
      </c>
      <c r="D10" s="25" t="s">
        <v>441</v>
      </c>
      <c r="E10" s="25" t="s">
        <v>442</v>
      </c>
      <c r="F10" s="25"/>
      <c r="G10" s="65">
        <v>46204</v>
      </c>
      <c r="H10" s="25" t="s">
        <v>443</v>
      </c>
      <c r="I10" s="25" t="s">
        <v>444</v>
      </c>
      <c r="J10" s="26" t="s">
        <v>447</v>
      </c>
      <c r="K10" s="27" t="s">
        <v>76</v>
      </c>
      <c r="L10" s="28" t="s">
        <v>882</v>
      </c>
      <c r="M10" s="28" t="s">
        <v>71</v>
      </c>
      <c r="N10" s="25">
        <v>1</v>
      </c>
      <c r="O10" s="29">
        <v>8.745000000000001</v>
      </c>
      <c r="P10" s="29">
        <v>8.745000000000001</v>
      </c>
      <c r="Q10" s="25" t="s">
        <v>359</v>
      </c>
      <c r="R10" s="25"/>
      <c r="S10" s="26" t="s">
        <v>350</v>
      </c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0"/>
        <v>8.745000000000001</v>
      </c>
      <c r="AF10" s="32">
        <f t="shared" si="11"/>
        <v>0</v>
      </c>
      <c r="AG10" s="30"/>
      <c r="AH10" s="33"/>
      <c r="AI10" s="34">
        <f t="shared" si="12"/>
        <v>0</v>
      </c>
      <c r="AJ10" s="35">
        <v>46312</v>
      </c>
      <c r="AK10" s="30">
        <v>1</v>
      </c>
      <c r="AL10" s="36">
        <f t="shared" si="4"/>
        <v>8.745000000000001</v>
      </c>
      <c r="AM10" s="35">
        <v>46312</v>
      </c>
      <c r="AN10" s="30">
        <v>1</v>
      </c>
      <c r="AO10" s="36">
        <f t="shared" si="13"/>
        <v>8.745000000000001</v>
      </c>
      <c r="AP10" s="35"/>
      <c r="AQ10" s="30"/>
      <c r="AR10" s="36">
        <f t="shared" si="14"/>
        <v>0</v>
      </c>
      <c r="AS10" s="27" t="s">
        <v>967</v>
      </c>
      <c r="AT10" s="37">
        <v>46312</v>
      </c>
      <c r="AU10" s="30">
        <v>1</v>
      </c>
      <c r="AV10" s="36">
        <f t="shared" si="15"/>
        <v>8.745000000000001</v>
      </c>
      <c r="AW10" s="35"/>
      <c r="AX10" s="30"/>
      <c r="AY10" s="32">
        <f t="shared" si="16"/>
        <v>0</v>
      </c>
      <c r="AZ10" s="30" t="s">
        <v>440</v>
      </c>
      <c r="BA10" s="63"/>
      <c r="BB10" s="71"/>
      <c r="BC10" s="71" t="s">
        <v>77</v>
      </c>
      <c r="BD10" s="71"/>
      <c r="BF10" s="59"/>
      <c r="BH10" s="70"/>
    </row>
    <row r="11" spans="1:60" x14ac:dyDescent="0.25">
      <c r="A11" s="24">
        <f>IF(B11="","",SUBTOTAL(3,$B$4:B11))</f>
        <v>8</v>
      </c>
      <c r="B11" s="25" t="s">
        <v>439</v>
      </c>
      <c r="C11" s="25" t="str">
        <f t="shared" si="9"/>
        <v>Shipment 2 CO-SCR Duct</v>
      </c>
      <c r="D11" s="25" t="s">
        <v>441</v>
      </c>
      <c r="E11" s="25" t="s">
        <v>442</v>
      </c>
      <c r="F11" s="25"/>
      <c r="G11" s="65">
        <v>46204</v>
      </c>
      <c r="H11" s="25" t="s">
        <v>443</v>
      </c>
      <c r="I11" s="25" t="s">
        <v>444</v>
      </c>
      <c r="J11" s="26" t="s">
        <v>447</v>
      </c>
      <c r="K11" s="27" t="s">
        <v>76</v>
      </c>
      <c r="L11" s="28" t="s">
        <v>883</v>
      </c>
      <c r="M11" s="28" t="s">
        <v>71</v>
      </c>
      <c r="N11" s="25">
        <v>1</v>
      </c>
      <c r="O11" s="29">
        <v>8.745000000000001</v>
      </c>
      <c r="P11" s="29">
        <v>8.745000000000001</v>
      </c>
      <c r="Q11" s="25" t="s">
        <v>359</v>
      </c>
      <c r="R11" s="25"/>
      <c r="S11" s="26" t="s">
        <v>350</v>
      </c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0"/>
        <v>8.745000000000001</v>
      </c>
      <c r="AF11" s="32">
        <f t="shared" si="11"/>
        <v>0</v>
      </c>
      <c r="AG11" s="30"/>
      <c r="AH11" s="33"/>
      <c r="AI11" s="34">
        <f t="shared" si="12"/>
        <v>0</v>
      </c>
      <c r="AJ11" s="35">
        <v>46312</v>
      </c>
      <c r="AK11" s="30">
        <v>1</v>
      </c>
      <c r="AL11" s="36">
        <f t="shared" si="4"/>
        <v>8.745000000000001</v>
      </c>
      <c r="AM11" s="35">
        <v>46312</v>
      </c>
      <c r="AN11" s="30">
        <v>1</v>
      </c>
      <c r="AO11" s="36">
        <f t="shared" si="13"/>
        <v>8.745000000000001</v>
      </c>
      <c r="AP11" s="35"/>
      <c r="AQ11" s="30"/>
      <c r="AR11" s="36">
        <f t="shared" si="14"/>
        <v>0</v>
      </c>
      <c r="AS11" s="27" t="s">
        <v>967</v>
      </c>
      <c r="AT11" s="37">
        <v>46312</v>
      </c>
      <c r="AU11" s="30">
        <v>1</v>
      </c>
      <c r="AV11" s="36">
        <f t="shared" si="15"/>
        <v>8.745000000000001</v>
      </c>
      <c r="AW11" s="35"/>
      <c r="AX11" s="30"/>
      <c r="AY11" s="32">
        <f t="shared" si="16"/>
        <v>0</v>
      </c>
      <c r="AZ11" s="30" t="s">
        <v>440</v>
      </c>
      <c r="BA11" s="63"/>
      <c r="BB11" s="71"/>
      <c r="BC11" s="71" t="s">
        <v>77</v>
      </c>
      <c r="BD11" s="71"/>
      <c r="BF11" s="59"/>
      <c r="BH11" s="70"/>
    </row>
    <row r="12" spans="1:60" x14ac:dyDescent="0.25">
      <c r="A12" s="24">
        <f>IF(B12="","",SUBTOTAL(3,$B$4:B12))</f>
        <v>9</v>
      </c>
      <c r="B12" s="25" t="s">
        <v>439</v>
      </c>
      <c r="C12" s="25" t="str">
        <f t="shared" si="9"/>
        <v>Shipment 2 CO-SCR Duct</v>
      </c>
      <c r="D12" s="25" t="s">
        <v>441</v>
      </c>
      <c r="E12" s="25" t="s">
        <v>442</v>
      </c>
      <c r="F12" s="25"/>
      <c r="G12" s="65">
        <v>46204</v>
      </c>
      <c r="H12" s="25" t="s">
        <v>443</v>
      </c>
      <c r="I12" s="25" t="s">
        <v>444</v>
      </c>
      <c r="J12" s="26" t="s">
        <v>447</v>
      </c>
      <c r="K12" s="27" t="s">
        <v>76</v>
      </c>
      <c r="L12" s="28" t="s">
        <v>884</v>
      </c>
      <c r="M12" s="28" t="s">
        <v>71</v>
      </c>
      <c r="N12" s="25">
        <v>1</v>
      </c>
      <c r="O12" s="29">
        <v>8.745000000000001</v>
      </c>
      <c r="P12" s="29">
        <v>8.745000000000001</v>
      </c>
      <c r="Q12" s="25" t="s">
        <v>359</v>
      </c>
      <c r="R12" s="25"/>
      <c r="S12" s="26" t="s">
        <v>350</v>
      </c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0"/>
        <v>8.745000000000001</v>
      </c>
      <c r="AF12" s="32">
        <f t="shared" si="11"/>
        <v>0</v>
      </c>
      <c r="AG12" s="30"/>
      <c r="AH12" s="33"/>
      <c r="AI12" s="34">
        <f t="shared" si="12"/>
        <v>0</v>
      </c>
      <c r="AJ12" s="35">
        <v>46312</v>
      </c>
      <c r="AK12" s="30">
        <v>1</v>
      </c>
      <c r="AL12" s="36">
        <f t="shared" si="4"/>
        <v>8.745000000000001</v>
      </c>
      <c r="AM12" s="35">
        <v>46312</v>
      </c>
      <c r="AN12" s="30">
        <v>1</v>
      </c>
      <c r="AO12" s="36">
        <f t="shared" si="13"/>
        <v>8.745000000000001</v>
      </c>
      <c r="AP12" s="35"/>
      <c r="AQ12" s="30"/>
      <c r="AR12" s="36">
        <f t="shared" si="14"/>
        <v>0</v>
      </c>
      <c r="AS12" s="27" t="s">
        <v>967</v>
      </c>
      <c r="AT12" s="37">
        <v>46312</v>
      </c>
      <c r="AU12" s="30">
        <v>1</v>
      </c>
      <c r="AV12" s="36">
        <f t="shared" si="15"/>
        <v>8.745000000000001</v>
      </c>
      <c r="AW12" s="35"/>
      <c r="AX12" s="30"/>
      <c r="AY12" s="32">
        <f t="shared" si="16"/>
        <v>0</v>
      </c>
      <c r="AZ12" s="30" t="s">
        <v>440</v>
      </c>
      <c r="BA12" s="63"/>
      <c r="BB12" s="71"/>
      <c r="BC12" s="71" t="s">
        <v>77</v>
      </c>
      <c r="BD12" s="71"/>
      <c r="BF12" s="59"/>
      <c r="BH12" s="70"/>
    </row>
    <row r="13" spans="1:60" x14ac:dyDescent="0.25">
      <c r="A13" s="24">
        <f>IF(B13="","",SUBTOTAL(3,$B$4:B13))</f>
        <v>10</v>
      </c>
      <c r="B13" s="25" t="s">
        <v>439</v>
      </c>
      <c r="C13" s="25" t="str">
        <f t="shared" si="9"/>
        <v>Shipment 2 CO-SCR Duct</v>
      </c>
      <c r="D13" s="25" t="s">
        <v>441</v>
      </c>
      <c r="E13" s="25" t="s">
        <v>442</v>
      </c>
      <c r="F13" s="25"/>
      <c r="G13" s="65">
        <v>46204</v>
      </c>
      <c r="H13" s="25" t="s">
        <v>443</v>
      </c>
      <c r="I13" s="25" t="s">
        <v>444</v>
      </c>
      <c r="J13" s="26" t="s">
        <v>447</v>
      </c>
      <c r="K13" s="27" t="s">
        <v>76</v>
      </c>
      <c r="L13" s="28" t="s">
        <v>885</v>
      </c>
      <c r="M13" s="28" t="s">
        <v>71</v>
      </c>
      <c r="N13" s="25">
        <v>1</v>
      </c>
      <c r="O13" s="29">
        <v>8.745000000000001</v>
      </c>
      <c r="P13" s="29">
        <v>8.745000000000001</v>
      </c>
      <c r="Q13" s="25" t="s">
        <v>359</v>
      </c>
      <c r="R13" s="25"/>
      <c r="S13" s="26" t="s">
        <v>350</v>
      </c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0"/>
        <v>8.745000000000001</v>
      </c>
      <c r="AF13" s="32">
        <f t="shared" si="11"/>
        <v>0</v>
      </c>
      <c r="AG13" s="30"/>
      <c r="AH13" s="33"/>
      <c r="AI13" s="34">
        <f t="shared" si="12"/>
        <v>0</v>
      </c>
      <c r="AJ13" s="35">
        <v>46312</v>
      </c>
      <c r="AK13" s="30">
        <v>1</v>
      </c>
      <c r="AL13" s="36">
        <f t="shared" si="4"/>
        <v>8.745000000000001</v>
      </c>
      <c r="AM13" s="35">
        <v>46312</v>
      </c>
      <c r="AN13" s="30">
        <v>1</v>
      </c>
      <c r="AO13" s="36">
        <f t="shared" si="13"/>
        <v>8.745000000000001</v>
      </c>
      <c r="AP13" s="35"/>
      <c r="AQ13" s="30"/>
      <c r="AR13" s="36">
        <f t="shared" si="14"/>
        <v>0</v>
      </c>
      <c r="AS13" s="27" t="s">
        <v>967</v>
      </c>
      <c r="AT13" s="37">
        <v>46312</v>
      </c>
      <c r="AU13" s="30">
        <v>1</v>
      </c>
      <c r="AV13" s="36">
        <f t="shared" si="15"/>
        <v>8.745000000000001</v>
      </c>
      <c r="AW13" s="35"/>
      <c r="AX13" s="30"/>
      <c r="AY13" s="32">
        <f t="shared" si="16"/>
        <v>0</v>
      </c>
      <c r="AZ13" s="30" t="s">
        <v>440</v>
      </c>
      <c r="BA13" s="63"/>
      <c r="BB13" s="71"/>
      <c r="BC13" s="71" t="s">
        <v>77</v>
      </c>
      <c r="BD13" s="71"/>
      <c r="BF13" s="59"/>
      <c r="BH13" s="70"/>
    </row>
    <row r="14" spans="1:60" x14ac:dyDescent="0.25">
      <c r="A14" s="24">
        <f>IF(B14="","",SUBTOTAL(3,$B$4:B14))</f>
        <v>11</v>
      </c>
      <c r="B14" s="25" t="s">
        <v>439</v>
      </c>
      <c r="C14" s="25" t="str">
        <f t="shared" si="9"/>
        <v>Shipment 2 CO-SCR Duct</v>
      </c>
      <c r="D14" s="25" t="s">
        <v>441</v>
      </c>
      <c r="E14" s="25" t="s">
        <v>442</v>
      </c>
      <c r="F14" s="25"/>
      <c r="G14" s="65">
        <v>46204</v>
      </c>
      <c r="H14" s="25" t="s">
        <v>443</v>
      </c>
      <c r="I14" s="25" t="s">
        <v>444</v>
      </c>
      <c r="J14" s="26" t="s">
        <v>447</v>
      </c>
      <c r="K14" s="27" t="s">
        <v>76</v>
      </c>
      <c r="L14" s="28" t="s">
        <v>886</v>
      </c>
      <c r="M14" s="28" t="s">
        <v>71</v>
      </c>
      <c r="N14" s="25">
        <v>1</v>
      </c>
      <c r="O14" s="29">
        <v>8.745000000000001</v>
      </c>
      <c r="P14" s="29">
        <v>8.745000000000001</v>
      </c>
      <c r="Q14" s="25" t="s">
        <v>359</v>
      </c>
      <c r="R14" s="25"/>
      <c r="S14" s="26" t="s">
        <v>350</v>
      </c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0"/>
        <v>8.745000000000001</v>
      </c>
      <c r="AF14" s="32">
        <f t="shared" si="11"/>
        <v>0</v>
      </c>
      <c r="AG14" s="30"/>
      <c r="AH14" s="33"/>
      <c r="AI14" s="34">
        <f t="shared" si="12"/>
        <v>0</v>
      </c>
      <c r="AJ14" s="35">
        <v>46312</v>
      </c>
      <c r="AK14" s="30">
        <v>1</v>
      </c>
      <c r="AL14" s="36">
        <f t="shared" si="4"/>
        <v>8.745000000000001</v>
      </c>
      <c r="AM14" s="35">
        <v>46312</v>
      </c>
      <c r="AN14" s="30">
        <v>1</v>
      </c>
      <c r="AO14" s="36">
        <f t="shared" si="13"/>
        <v>8.745000000000001</v>
      </c>
      <c r="AP14" s="35"/>
      <c r="AQ14" s="30"/>
      <c r="AR14" s="36">
        <f t="shared" si="14"/>
        <v>0</v>
      </c>
      <c r="AS14" s="27" t="s">
        <v>967</v>
      </c>
      <c r="AT14" s="37">
        <v>46312</v>
      </c>
      <c r="AU14" s="30">
        <v>1</v>
      </c>
      <c r="AV14" s="36">
        <f t="shared" si="15"/>
        <v>8.745000000000001</v>
      </c>
      <c r="AW14" s="35"/>
      <c r="AX14" s="30"/>
      <c r="AY14" s="32">
        <f t="shared" si="16"/>
        <v>0</v>
      </c>
      <c r="AZ14" s="30" t="s">
        <v>440</v>
      </c>
      <c r="BA14" s="63"/>
      <c r="BB14" s="71"/>
      <c r="BC14" s="71" t="s">
        <v>77</v>
      </c>
      <c r="BD14" s="71"/>
      <c r="BF14" s="59"/>
      <c r="BH14" s="70"/>
    </row>
    <row r="15" spans="1:60" x14ac:dyDescent="0.25">
      <c r="A15" s="24">
        <f>IF(B15="","",SUBTOTAL(3,$B$4:B15))</f>
        <v>12</v>
      </c>
      <c r="B15" s="25" t="s">
        <v>439</v>
      </c>
      <c r="C15" s="25" t="str">
        <f t="shared" si="9"/>
        <v>Shipment 2 CO-SCR Duct</v>
      </c>
      <c r="D15" s="25" t="s">
        <v>441</v>
      </c>
      <c r="E15" s="25" t="s">
        <v>442</v>
      </c>
      <c r="F15" s="25"/>
      <c r="G15" s="65">
        <v>46204</v>
      </c>
      <c r="H15" s="25" t="s">
        <v>443</v>
      </c>
      <c r="I15" s="25" t="s">
        <v>444</v>
      </c>
      <c r="J15" s="26" t="s">
        <v>447</v>
      </c>
      <c r="K15" s="27" t="s">
        <v>76</v>
      </c>
      <c r="L15" s="28" t="s">
        <v>887</v>
      </c>
      <c r="M15" s="28" t="s">
        <v>71</v>
      </c>
      <c r="N15" s="25">
        <v>1</v>
      </c>
      <c r="O15" s="29">
        <v>8.745000000000001</v>
      </c>
      <c r="P15" s="29">
        <v>8.745000000000001</v>
      </c>
      <c r="Q15" s="25" t="s">
        <v>359</v>
      </c>
      <c r="R15" s="25"/>
      <c r="S15" s="26" t="s">
        <v>350</v>
      </c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0"/>
        <v>8.745000000000001</v>
      </c>
      <c r="AF15" s="32">
        <f t="shared" si="11"/>
        <v>0</v>
      </c>
      <c r="AG15" s="30"/>
      <c r="AH15" s="33"/>
      <c r="AI15" s="34">
        <f t="shared" si="12"/>
        <v>0</v>
      </c>
      <c r="AJ15" s="35">
        <v>46312</v>
      </c>
      <c r="AK15" s="30">
        <v>1</v>
      </c>
      <c r="AL15" s="36">
        <f t="shared" si="4"/>
        <v>8.745000000000001</v>
      </c>
      <c r="AM15" s="35">
        <v>46312</v>
      </c>
      <c r="AN15" s="30">
        <v>1</v>
      </c>
      <c r="AO15" s="36">
        <f t="shared" si="13"/>
        <v>8.745000000000001</v>
      </c>
      <c r="AP15" s="35"/>
      <c r="AQ15" s="30"/>
      <c r="AR15" s="36">
        <f t="shared" si="14"/>
        <v>0</v>
      </c>
      <c r="AS15" s="27" t="s">
        <v>967</v>
      </c>
      <c r="AT15" s="37">
        <v>46312</v>
      </c>
      <c r="AU15" s="30">
        <v>1</v>
      </c>
      <c r="AV15" s="36">
        <f t="shared" si="15"/>
        <v>8.745000000000001</v>
      </c>
      <c r="AW15" s="35"/>
      <c r="AX15" s="30"/>
      <c r="AY15" s="32">
        <f t="shared" si="16"/>
        <v>0</v>
      </c>
      <c r="AZ15" s="30" t="s">
        <v>440</v>
      </c>
      <c r="BA15" s="63"/>
      <c r="BB15" s="71"/>
      <c r="BC15" s="71" t="s">
        <v>77</v>
      </c>
      <c r="BD15" s="71"/>
      <c r="BF15" s="59"/>
      <c r="BH15" s="70"/>
    </row>
    <row r="16" spans="1:60" x14ac:dyDescent="0.25">
      <c r="A16" s="24">
        <f>IF(B16="","",SUBTOTAL(3,$B$4:B16))</f>
        <v>13</v>
      </c>
      <c r="B16" s="25" t="s">
        <v>439</v>
      </c>
      <c r="C16" s="25" t="str">
        <f t="shared" si="9"/>
        <v>Shipment 2 CO-SCR Duct</v>
      </c>
      <c r="D16" s="25" t="s">
        <v>441</v>
      </c>
      <c r="E16" s="25" t="s">
        <v>442</v>
      </c>
      <c r="F16" s="25"/>
      <c r="G16" s="65">
        <v>46204</v>
      </c>
      <c r="H16" s="25" t="s">
        <v>443</v>
      </c>
      <c r="I16" s="25" t="s">
        <v>444</v>
      </c>
      <c r="J16" s="26" t="s">
        <v>447</v>
      </c>
      <c r="K16" s="27" t="s">
        <v>76</v>
      </c>
      <c r="L16" s="28" t="s">
        <v>888</v>
      </c>
      <c r="M16" s="28" t="s">
        <v>71</v>
      </c>
      <c r="N16" s="25">
        <v>1</v>
      </c>
      <c r="O16" s="29">
        <v>8.745000000000001</v>
      </c>
      <c r="P16" s="29">
        <v>8.745000000000001</v>
      </c>
      <c r="Q16" s="25" t="s">
        <v>359</v>
      </c>
      <c r="R16" s="25"/>
      <c r="S16" s="26" t="s">
        <v>350</v>
      </c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0"/>
        <v>8.745000000000001</v>
      </c>
      <c r="AF16" s="32">
        <f t="shared" si="11"/>
        <v>0</v>
      </c>
      <c r="AG16" s="30"/>
      <c r="AH16" s="33"/>
      <c r="AI16" s="34">
        <f t="shared" si="12"/>
        <v>0</v>
      </c>
      <c r="AJ16" s="35">
        <v>46312</v>
      </c>
      <c r="AK16" s="30">
        <v>1</v>
      </c>
      <c r="AL16" s="36">
        <f t="shared" si="4"/>
        <v>8.745000000000001</v>
      </c>
      <c r="AM16" s="35">
        <v>46312</v>
      </c>
      <c r="AN16" s="30">
        <v>1</v>
      </c>
      <c r="AO16" s="36">
        <f t="shared" si="13"/>
        <v>8.745000000000001</v>
      </c>
      <c r="AP16" s="35"/>
      <c r="AQ16" s="30"/>
      <c r="AR16" s="36">
        <f t="shared" si="14"/>
        <v>0</v>
      </c>
      <c r="AS16" s="27" t="s">
        <v>967</v>
      </c>
      <c r="AT16" s="37">
        <v>46312</v>
      </c>
      <c r="AU16" s="30">
        <v>1</v>
      </c>
      <c r="AV16" s="36">
        <f t="shared" si="15"/>
        <v>8.745000000000001</v>
      </c>
      <c r="AW16" s="35"/>
      <c r="AX16" s="30"/>
      <c r="AY16" s="32">
        <f t="shared" si="16"/>
        <v>0</v>
      </c>
      <c r="AZ16" s="30" t="s">
        <v>440</v>
      </c>
      <c r="BA16" s="63"/>
      <c r="BB16" s="71"/>
      <c r="BC16" s="71" t="s">
        <v>77</v>
      </c>
      <c r="BD16" s="71"/>
      <c r="BF16" s="59"/>
      <c r="BH16" s="70"/>
    </row>
    <row r="17" spans="1:60" x14ac:dyDescent="0.25">
      <c r="A17" s="24">
        <f>IF(B17="","",SUBTOTAL(3,$B$4:B17))</f>
        <v>14</v>
      </c>
      <c r="B17" s="25" t="s">
        <v>439</v>
      </c>
      <c r="C17" s="25" t="str">
        <f t="shared" si="9"/>
        <v>Shipment 2 CO-SCR Duct</v>
      </c>
      <c r="D17" s="25" t="s">
        <v>441</v>
      </c>
      <c r="E17" s="25" t="s">
        <v>442</v>
      </c>
      <c r="F17" s="25"/>
      <c r="G17" s="65">
        <v>46204</v>
      </c>
      <c r="H17" s="25" t="s">
        <v>443</v>
      </c>
      <c r="I17" s="25" t="s">
        <v>444</v>
      </c>
      <c r="J17" s="26" t="s">
        <v>447</v>
      </c>
      <c r="K17" s="27" t="s">
        <v>76</v>
      </c>
      <c r="L17" s="28" t="s">
        <v>889</v>
      </c>
      <c r="M17" s="28" t="s">
        <v>71</v>
      </c>
      <c r="N17" s="25">
        <v>1</v>
      </c>
      <c r="O17" s="29">
        <v>8.745000000000001</v>
      </c>
      <c r="P17" s="29">
        <v>8.745000000000001</v>
      </c>
      <c r="Q17" s="25" t="s">
        <v>359</v>
      </c>
      <c r="R17" s="25"/>
      <c r="S17" s="26" t="s">
        <v>350</v>
      </c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0"/>
        <v>8.745000000000001</v>
      </c>
      <c r="AF17" s="32">
        <f t="shared" si="11"/>
        <v>0</v>
      </c>
      <c r="AG17" s="30"/>
      <c r="AH17" s="33"/>
      <c r="AI17" s="34">
        <f t="shared" si="12"/>
        <v>0</v>
      </c>
      <c r="AJ17" s="35">
        <v>46312</v>
      </c>
      <c r="AK17" s="30">
        <v>1</v>
      </c>
      <c r="AL17" s="36">
        <f t="shared" si="4"/>
        <v>8.745000000000001</v>
      </c>
      <c r="AM17" s="35">
        <v>46312</v>
      </c>
      <c r="AN17" s="30">
        <v>1</v>
      </c>
      <c r="AO17" s="36">
        <f t="shared" si="13"/>
        <v>8.745000000000001</v>
      </c>
      <c r="AP17" s="35"/>
      <c r="AQ17" s="30"/>
      <c r="AR17" s="36">
        <f t="shared" si="14"/>
        <v>0</v>
      </c>
      <c r="AS17" s="27" t="s">
        <v>967</v>
      </c>
      <c r="AT17" s="37">
        <v>46312</v>
      </c>
      <c r="AU17" s="30">
        <v>1</v>
      </c>
      <c r="AV17" s="36">
        <f t="shared" si="15"/>
        <v>8.745000000000001</v>
      </c>
      <c r="AW17" s="35"/>
      <c r="AX17" s="30"/>
      <c r="AY17" s="32">
        <f t="shared" si="16"/>
        <v>0</v>
      </c>
      <c r="AZ17" s="30" t="s">
        <v>440</v>
      </c>
      <c r="BA17" s="63"/>
      <c r="BB17" s="71"/>
      <c r="BC17" s="71" t="s">
        <v>77</v>
      </c>
      <c r="BD17" s="71"/>
      <c r="BF17" s="59"/>
      <c r="BH17" s="70"/>
    </row>
    <row r="18" spans="1:60" x14ac:dyDescent="0.25">
      <c r="A18" s="24">
        <f>IF(B18="","",SUBTOTAL(3,$B$4:B18))</f>
        <v>15</v>
      </c>
      <c r="B18" s="25" t="s">
        <v>439</v>
      </c>
      <c r="C18" s="25" t="str">
        <f t="shared" si="9"/>
        <v>Shipment 2 CO-SCR Duct</v>
      </c>
      <c r="D18" s="25" t="s">
        <v>441</v>
      </c>
      <c r="E18" s="25" t="s">
        <v>442</v>
      </c>
      <c r="F18" s="25"/>
      <c r="G18" s="65">
        <v>46204</v>
      </c>
      <c r="H18" s="25" t="s">
        <v>443</v>
      </c>
      <c r="I18" s="25" t="s">
        <v>444</v>
      </c>
      <c r="J18" s="26" t="s">
        <v>447</v>
      </c>
      <c r="K18" s="27" t="s">
        <v>76</v>
      </c>
      <c r="L18" s="28" t="s">
        <v>890</v>
      </c>
      <c r="M18" s="28" t="s">
        <v>71</v>
      </c>
      <c r="N18" s="25">
        <v>1</v>
      </c>
      <c r="O18" s="29">
        <v>8.745000000000001</v>
      </c>
      <c r="P18" s="29">
        <v>8.745000000000001</v>
      </c>
      <c r="Q18" s="25" t="s">
        <v>359</v>
      </c>
      <c r="R18" s="25"/>
      <c r="S18" s="26" t="s">
        <v>350</v>
      </c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0"/>
        <v>8.745000000000001</v>
      </c>
      <c r="AF18" s="32">
        <f t="shared" si="11"/>
        <v>0</v>
      </c>
      <c r="AG18" s="30"/>
      <c r="AH18" s="33"/>
      <c r="AI18" s="34">
        <f t="shared" si="12"/>
        <v>0</v>
      </c>
      <c r="AJ18" s="35">
        <v>46312</v>
      </c>
      <c r="AK18" s="30">
        <v>1</v>
      </c>
      <c r="AL18" s="36">
        <f t="shared" si="4"/>
        <v>8.745000000000001</v>
      </c>
      <c r="AM18" s="35">
        <v>46312</v>
      </c>
      <c r="AN18" s="30">
        <v>1</v>
      </c>
      <c r="AO18" s="36">
        <f t="shared" si="13"/>
        <v>8.745000000000001</v>
      </c>
      <c r="AP18" s="35"/>
      <c r="AQ18" s="30"/>
      <c r="AR18" s="36">
        <f t="shared" si="14"/>
        <v>0</v>
      </c>
      <c r="AS18" s="27" t="s">
        <v>967</v>
      </c>
      <c r="AT18" s="37">
        <v>46312</v>
      </c>
      <c r="AU18" s="30">
        <v>1</v>
      </c>
      <c r="AV18" s="36">
        <f t="shared" si="15"/>
        <v>8.745000000000001</v>
      </c>
      <c r="AW18" s="35"/>
      <c r="AX18" s="30"/>
      <c r="AY18" s="32">
        <f t="shared" si="16"/>
        <v>0</v>
      </c>
      <c r="AZ18" s="30" t="s">
        <v>440</v>
      </c>
      <c r="BA18" s="63"/>
      <c r="BB18" s="71"/>
      <c r="BC18" s="71" t="s">
        <v>77</v>
      </c>
      <c r="BD18" s="71"/>
      <c r="BF18" s="59"/>
      <c r="BH18" s="70"/>
    </row>
    <row r="19" spans="1:60" x14ac:dyDescent="0.25">
      <c r="A19" s="24">
        <f>IF(B19="","",SUBTOTAL(3,$B$4:B19))</f>
        <v>16</v>
      </c>
      <c r="B19" s="25" t="s">
        <v>439</v>
      </c>
      <c r="C19" s="25" t="str">
        <f t="shared" si="9"/>
        <v>Shipment 2 CO-SCR Duct</v>
      </c>
      <c r="D19" s="25" t="s">
        <v>441</v>
      </c>
      <c r="E19" s="25" t="s">
        <v>442</v>
      </c>
      <c r="F19" s="25"/>
      <c r="G19" s="65">
        <v>46204</v>
      </c>
      <c r="H19" s="25" t="s">
        <v>443</v>
      </c>
      <c r="I19" s="25" t="s">
        <v>444</v>
      </c>
      <c r="J19" s="26" t="s">
        <v>447</v>
      </c>
      <c r="K19" s="27" t="s">
        <v>76</v>
      </c>
      <c r="L19" s="28" t="s">
        <v>891</v>
      </c>
      <c r="M19" s="28" t="s">
        <v>71</v>
      </c>
      <c r="N19" s="25">
        <v>1</v>
      </c>
      <c r="O19" s="29">
        <v>8.745000000000001</v>
      </c>
      <c r="P19" s="29">
        <v>8.745000000000001</v>
      </c>
      <c r="Q19" s="25" t="s">
        <v>359</v>
      </c>
      <c r="R19" s="25"/>
      <c r="S19" s="26" t="s">
        <v>350</v>
      </c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0"/>
        <v>8.745000000000001</v>
      </c>
      <c r="AF19" s="32">
        <f t="shared" si="11"/>
        <v>0</v>
      </c>
      <c r="AG19" s="30"/>
      <c r="AH19" s="33"/>
      <c r="AI19" s="34">
        <f t="shared" si="12"/>
        <v>0</v>
      </c>
      <c r="AJ19" s="35">
        <v>46312</v>
      </c>
      <c r="AK19" s="30">
        <v>1</v>
      </c>
      <c r="AL19" s="36">
        <f t="shared" si="4"/>
        <v>8.745000000000001</v>
      </c>
      <c r="AM19" s="35">
        <v>46312</v>
      </c>
      <c r="AN19" s="30">
        <v>1</v>
      </c>
      <c r="AO19" s="36">
        <f t="shared" si="13"/>
        <v>8.745000000000001</v>
      </c>
      <c r="AP19" s="35"/>
      <c r="AQ19" s="30"/>
      <c r="AR19" s="36">
        <f t="shared" si="14"/>
        <v>0</v>
      </c>
      <c r="AS19" s="27" t="s">
        <v>967</v>
      </c>
      <c r="AT19" s="37">
        <v>46312</v>
      </c>
      <c r="AU19" s="30">
        <v>1</v>
      </c>
      <c r="AV19" s="36">
        <f t="shared" si="15"/>
        <v>8.745000000000001</v>
      </c>
      <c r="AW19" s="35"/>
      <c r="AX19" s="30"/>
      <c r="AY19" s="32">
        <f t="shared" si="16"/>
        <v>0</v>
      </c>
      <c r="AZ19" s="30" t="s">
        <v>440</v>
      </c>
      <c r="BA19" s="63"/>
      <c r="BB19" s="71"/>
      <c r="BC19" s="71" t="s">
        <v>77</v>
      </c>
      <c r="BD19" s="71"/>
      <c r="BF19" s="59"/>
      <c r="BH19" s="70"/>
    </row>
    <row r="20" spans="1:60" x14ac:dyDescent="0.25">
      <c r="A20" s="24">
        <f>IF(B20="","",SUBTOTAL(3,$B$4:B20))</f>
        <v>17</v>
      </c>
      <c r="B20" s="25" t="s">
        <v>439</v>
      </c>
      <c r="C20" s="25" t="str">
        <f t="shared" si="9"/>
        <v>Shipment 2 CO-SCR Duct</v>
      </c>
      <c r="D20" s="25" t="s">
        <v>441</v>
      </c>
      <c r="E20" s="25" t="s">
        <v>442</v>
      </c>
      <c r="F20" s="25"/>
      <c r="G20" s="65">
        <v>46204</v>
      </c>
      <c r="H20" s="25" t="s">
        <v>443</v>
      </c>
      <c r="I20" s="25" t="s">
        <v>444</v>
      </c>
      <c r="J20" s="26" t="s">
        <v>447</v>
      </c>
      <c r="K20" s="27" t="s">
        <v>76</v>
      </c>
      <c r="L20" s="28" t="s">
        <v>892</v>
      </c>
      <c r="M20" s="28" t="s">
        <v>71</v>
      </c>
      <c r="N20" s="25">
        <v>1</v>
      </c>
      <c r="O20" s="29">
        <v>8.745000000000001</v>
      </c>
      <c r="P20" s="29">
        <v>8.745000000000001</v>
      </c>
      <c r="Q20" s="25" t="s">
        <v>359</v>
      </c>
      <c r="R20" s="25"/>
      <c r="S20" s="26" t="s">
        <v>350</v>
      </c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0"/>
        <v>8.745000000000001</v>
      </c>
      <c r="AF20" s="32">
        <f t="shared" si="11"/>
        <v>0</v>
      </c>
      <c r="AG20" s="30"/>
      <c r="AH20" s="33"/>
      <c r="AI20" s="34">
        <f t="shared" si="12"/>
        <v>0</v>
      </c>
      <c r="AJ20" s="35">
        <v>46312</v>
      </c>
      <c r="AK20" s="30">
        <v>1</v>
      </c>
      <c r="AL20" s="36">
        <f t="shared" si="4"/>
        <v>8.745000000000001</v>
      </c>
      <c r="AM20" s="35">
        <v>46312</v>
      </c>
      <c r="AN20" s="30">
        <v>1</v>
      </c>
      <c r="AO20" s="36">
        <f t="shared" si="13"/>
        <v>8.745000000000001</v>
      </c>
      <c r="AP20" s="35"/>
      <c r="AQ20" s="30"/>
      <c r="AR20" s="36">
        <f t="shared" si="14"/>
        <v>0</v>
      </c>
      <c r="AS20" s="27" t="s">
        <v>967</v>
      </c>
      <c r="AT20" s="37">
        <v>46312</v>
      </c>
      <c r="AU20" s="30">
        <v>1</v>
      </c>
      <c r="AV20" s="36">
        <f t="shared" si="15"/>
        <v>8.745000000000001</v>
      </c>
      <c r="AW20" s="35"/>
      <c r="AX20" s="30"/>
      <c r="AY20" s="32">
        <f t="shared" si="16"/>
        <v>0</v>
      </c>
      <c r="AZ20" s="30" t="s">
        <v>440</v>
      </c>
      <c r="BA20" s="63"/>
      <c r="BB20" s="71"/>
      <c r="BC20" s="71" t="s">
        <v>77</v>
      </c>
      <c r="BD20" s="71"/>
      <c r="BF20" s="59"/>
      <c r="BH20" s="70"/>
    </row>
    <row r="21" spans="1:60" x14ac:dyDescent="0.25">
      <c r="A21" s="24">
        <f>IF(B21="","",SUBTOTAL(3,$B$4:B21))</f>
        <v>18</v>
      </c>
      <c r="B21" s="25" t="s">
        <v>439</v>
      </c>
      <c r="C21" s="25" t="str">
        <f t="shared" si="9"/>
        <v>Shipment 2 CO-SCR Duct</v>
      </c>
      <c r="D21" s="25" t="s">
        <v>441</v>
      </c>
      <c r="E21" s="25" t="s">
        <v>442</v>
      </c>
      <c r="F21" s="25"/>
      <c r="G21" s="65">
        <v>46204</v>
      </c>
      <c r="H21" s="25" t="s">
        <v>443</v>
      </c>
      <c r="I21" s="25" t="s">
        <v>444</v>
      </c>
      <c r="J21" s="26" t="s">
        <v>447</v>
      </c>
      <c r="K21" s="27" t="s">
        <v>76</v>
      </c>
      <c r="L21" s="28" t="s">
        <v>893</v>
      </c>
      <c r="M21" s="28" t="s">
        <v>71</v>
      </c>
      <c r="N21" s="25">
        <v>1</v>
      </c>
      <c r="O21" s="29">
        <v>8.745000000000001</v>
      </c>
      <c r="P21" s="29">
        <v>8.745000000000001</v>
      </c>
      <c r="Q21" s="25" t="s">
        <v>359</v>
      </c>
      <c r="R21" s="25"/>
      <c r="S21" s="26" t="s">
        <v>350</v>
      </c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0"/>
        <v>8.745000000000001</v>
      </c>
      <c r="AF21" s="32">
        <f t="shared" si="11"/>
        <v>0</v>
      </c>
      <c r="AG21" s="30"/>
      <c r="AH21" s="33"/>
      <c r="AI21" s="34">
        <f t="shared" si="12"/>
        <v>0</v>
      </c>
      <c r="AJ21" s="35">
        <v>46312</v>
      </c>
      <c r="AK21" s="30">
        <v>1</v>
      </c>
      <c r="AL21" s="36">
        <f t="shared" si="4"/>
        <v>8.745000000000001</v>
      </c>
      <c r="AM21" s="35">
        <v>46312</v>
      </c>
      <c r="AN21" s="30">
        <v>1</v>
      </c>
      <c r="AO21" s="36">
        <f t="shared" si="13"/>
        <v>8.745000000000001</v>
      </c>
      <c r="AP21" s="35"/>
      <c r="AQ21" s="30"/>
      <c r="AR21" s="36">
        <f t="shared" si="14"/>
        <v>0</v>
      </c>
      <c r="AS21" s="27" t="s">
        <v>967</v>
      </c>
      <c r="AT21" s="37">
        <v>46312</v>
      </c>
      <c r="AU21" s="30">
        <v>1</v>
      </c>
      <c r="AV21" s="36">
        <f t="shared" si="15"/>
        <v>8.745000000000001</v>
      </c>
      <c r="AW21" s="35"/>
      <c r="AX21" s="30"/>
      <c r="AY21" s="32">
        <f t="shared" si="16"/>
        <v>0</v>
      </c>
      <c r="AZ21" s="30" t="s">
        <v>440</v>
      </c>
      <c r="BA21" s="63"/>
      <c r="BB21" s="71"/>
      <c r="BC21" s="71" t="s">
        <v>77</v>
      </c>
      <c r="BD21" s="71"/>
      <c r="BF21" s="59"/>
      <c r="BH21" s="70"/>
    </row>
    <row r="22" spans="1:60" x14ac:dyDescent="0.25">
      <c r="A22" s="24">
        <f>IF(B22="","",SUBTOTAL(3,$B$4:B22))</f>
        <v>19</v>
      </c>
      <c r="B22" s="25" t="s">
        <v>439</v>
      </c>
      <c r="C22" s="25" t="str">
        <f t="shared" si="9"/>
        <v>Shipment 2 CO-SCR Duct</v>
      </c>
      <c r="D22" s="25" t="s">
        <v>441</v>
      </c>
      <c r="E22" s="25" t="s">
        <v>442</v>
      </c>
      <c r="F22" s="25"/>
      <c r="G22" s="65">
        <v>46204</v>
      </c>
      <c r="H22" s="25" t="s">
        <v>443</v>
      </c>
      <c r="I22" s="25" t="s">
        <v>444</v>
      </c>
      <c r="J22" s="26" t="s">
        <v>447</v>
      </c>
      <c r="K22" s="27" t="s">
        <v>76</v>
      </c>
      <c r="L22" s="28" t="s">
        <v>894</v>
      </c>
      <c r="M22" s="28" t="s">
        <v>71</v>
      </c>
      <c r="N22" s="25">
        <v>1</v>
      </c>
      <c r="O22" s="29">
        <v>8.745000000000001</v>
      </c>
      <c r="P22" s="29">
        <v>8.745000000000001</v>
      </c>
      <c r="Q22" s="25" t="s">
        <v>359</v>
      </c>
      <c r="R22" s="25"/>
      <c r="S22" s="26" t="s">
        <v>350</v>
      </c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0"/>
        <v>8.745000000000001</v>
      </c>
      <c r="AF22" s="32">
        <f t="shared" si="11"/>
        <v>0</v>
      </c>
      <c r="AG22" s="30"/>
      <c r="AH22" s="33"/>
      <c r="AI22" s="34">
        <f t="shared" si="12"/>
        <v>0</v>
      </c>
      <c r="AJ22" s="35">
        <v>46312</v>
      </c>
      <c r="AK22" s="30">
        <v>1</v>
      </c>
      <c r="AL22" s="36">
        <f t="shared" si="4"/>
        <v>8.745000000000001</v>
      </c>
      <c r="AM22" s="35">
        <v>46312</v>
      </c>
      <c r="AN22" s="30">
        <v>1</v>
      </c>
      <c r="AO22" s="36">
        <f t="shared" si="13"/>
        <v>8.745000000000001</v>
      </c>
      <c r="AP22" s="35"/>
      <c r="AQ22" s="30"/>
      <c r="AR22" s="36">
        <f t="shared" si="14"/>
        <v>0</v>
      </c>
      <c r="AS22" s="27" t="s">
        <v>967</v>
      </c>
      <c r="AT22" s="37">
        <v>46312</v>
      </c>
      <c r="AU22" s="30">
        <v>1</v>
      </c>
      <c r="AV22" s="36">
        <f t="shared" si="15"/>
        <v>8.745000000000001</v>
      </c>
      <c r="AW22" s="35"/>
      <c r="AX22" s="30"/>
      <c r="AY22" s="32">
        <f t="shared" si="16"/>
        <v>0</v>
      </c>
      <c r="AZ22" s="30" t="s">
        <v>440</v>
      </c>
      <c r="BA22" s="63"/>
      <c r="BB22" s="71"/>
      <c r="BC22" s="71" t="s">
        <v>77</v>
      </c>
      <c r="BD22" s="71"/>
      <c r="BF22" s="59"/>
      <c r="BH22" s="70"/>
    </row>
    <row r="23" spans="1:60" x14ac:dyDescent="0.25">
      <c r="A23" s="24">
        <f>IF(B23="","",SUBTOTAL(3,$B$4:B23))</f>
        <v>20</v>
      </c>
      <c r="B23" s="25" t="s">
        <v>439</v>
      </c>
      <c r="C23" s="25" t="str">
        <f t="shared" si="9"/>
        <v>Shipment 2 CO-SCR Duct</v>
      </c>
      <c r="D23" s="25" t="s">
        <v>441</v>
      </c>
      <c r="E23" s="25" t="s">
        <v>442</v>
      </c>
      <c r="F23" s="25"/>
      <c r="G23" s="65">
        <v>46204</v>
      </c>
      <c r="H23" s="25" t="s">
        <v>443</v>
      </c>
      <c r="I23" s="25" t="s">
        <v>444</v>
      </c>
      <c r="J23" s="26" t="s">
        <v>447</v>
      </c>
      <c r="K23" s="27" t="s">
        <v>76</v>
      </c>
      <c r="L23" s="28" t="s">
        <v>895</v>
      </c>
      <c r="M23" s="28" t="s">
        <v>71</v>
      </c>
      <c r="N23" s="25">
        <v>1</v>
      </c>
      <c r="O23" s="29">
        <v>8.745000000000001</v>
      </c>
      <c r="P23" s="29">
        <v>8.745000000000001</v>
      </c>
      <c r="Q23" s="25" t="s">
        <v>359</v>
      </c>
      <c r="R23" s="25"/>
      <c r="S23" s="26" t="s">
        <v>350</v>
      </c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0"/>
        <v>8.745000000000001</v>
      </c>
      <c r="AF23" s="32">
        <f t="shared" si="11"/>
        <v>0</v>
      </c>
      <c r="AG23" s="30"/>
      <c r="AH23" s="33"/>
      <c r="AI23" s="34">
        <f t="shared" si="12"/>
        <v>0</v>
      </c>
      <c r="AJ23" s="35">
        <v>46312</v>
      </c>
      <c r="AK23" s="30">
        <v>1</v>
      </c>
      <c r="AL23" s="36">
        <f t="shared" si="4"/>
        <v>8.745000000000001</v>
      </c>
      <c r="AM23" s="35">
        <v>46312</v>
      </c>
      <c r="AN23" s="30">
        <v>1</v>
      </c>
      <c r="AO23" s="36">
        <f t="shared" si="13"/>
        <v>8.745000000000001</v>
      </c>
      <c r="AP23" s="35"/>
      <c r="AQ23" s="30"/>
      <c r="AR23" s="36">
        <f t="shared" si="14"/>
        <v>0</v>
      </c>
      <c r="AS23" s="27" t="s">
        <v>967</v>
      </c>
      <c r="AT23" s="37">
        <v>46312</v>
      </c>
      <c r="AU23" s="30">
        <v>1</v>
      </c>
      <c r="AV23" s="36">
        <f t="shared" si="15"/>
        <v>8.745000000000001</v>
      </c>
      <c r="AW23" s="35"/>
      <c r="AX23" s="30"/>
      <c r="AY23" s="32">
        <f t="shared" si="16"/>
        <v>0</v>
      </c>
      <c r="AZ23" s="30" t="s">
        <v>440</v>
      </c>
      <c r="BA23" s="63"/>
      <c r="BB23" s="71"/>
      <c r="BC23" s="71" t="s">
        <v>77</v>
      </c>
      <c r="BD23" s="71"/>
      <c r="BF23" s="59"/>
      <c r="BH23" s="70"/>
    </row>
    <row r="24" spans="1:60" x14ac:dyDescent="0.25">
      <c r="A24" s="24">
        <f>IF(B24="","",SUBTOTAL(3,$B$4:B24))</f>
        <v>21</v>
      </c>
      <c r="B24" s="25" t="s">
        <v>439</v>
      </c>
      <c r="C24" s="25" t="str">
        <f t="shared" si="9"/>
        <v>Shipment 2 CO-SCR Duct</v>
      </c>
      <c r="D24" s="25" t="s">
        <v>441</v>
      </c>
      <c r="E24" s="25" t="s">
        <v>442</v>
      </c>
      <c r="F24" s="25"/>
      <c r="G24" s="65">
        <v>46204</v>
      </c>
      <c r="H24" s="25" t="s">
        <v>443</v>
      </c>
      <c r="I24" s="25" t="s">
        <v>444</v>
      </c>
      <c r="J24" s="26" t="s">
        <v>447</v>
      </c>
      <c r="K24" s="27" t="s">
        <v>76</v>
      </c>
      <c r="L24" s="28" t="s">
        <v>896</v>
      </c>
      <c r="M24" s="28" t="s">
        <v>71</v>
      </c>
      <c r="N24" s="25">
        <v>1</v>
      </c>
      <c r="O24" s="29">
        <v>8.745000000000001</v>
      </c>
      <c r="P24" s="29">
        <v>8.745000000000001</v>
      </c>
      <c r="Q24" s="25" t="s">
        <v>359</v>
      </c>
      <c r="R24" s="25"/>
      <c r="S24" s="26" t="s">
        <v>350</v>
      </c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0"/>
        <v>8.745000000000001</v>
      </c>
      <c r="AF24" s="32">
        <f t="shared" si="11"/>
        <v>0</v>
      </c>
      <c r="AG24" s="30"/>
      <c r="AH24" s="33"/>
      <c r="AI24" s="34">
        <f t="shared" si="12"/>
        <v>0</v>
      </c>
      <c r="AJ24" s="35">
        <v>46312</v>
      </c>
      <c r="AK24" s="30">
        <v>1</v>
      </c>
      <c r="AL24" s="36">
        <f t="shared" si="4"/>
        <v>8.745000000000001</v>
      </c>
      <c r="AM24" s="35">
        <v>46312</v>
      </c>
      <c r="AN24" s="30">
        <v>1</v>
      </c>
      <c r="AO24" s="36">
        <f t="shared" si="13"/>
        <v>8.745000000000001</v>
      </c>
      <c r="AP24" s="35"/>
      <c r="AQ24" s="30"/>
      <c r="AR24" s="36">
        <f t="shared" si="14"/>
        <v>0</v>
      </c>
      <c r="AS24" s="27" t="s">
        <v>967</v>
      </c>
      <c r="AT24" s="37">
        <v>46312</v>
      </c>
      <c r="AU24" s="30">
        <v>1</v>
      </c>
      <c r="AV24" s="36">
        <f t="shared" si="15"/>
        <v>8.745000000000001</v>
      </c>
      <c r="AW24" s="35"/>
      <c r="AX24" s="30"/>
      <c r="AY24" s="32">
        <f t="shared" si="16"/>
        <v>0</v>
      </c>
      <c r="AZ24" s="30" t="s">
        <v>440</v>
      </c>
      <c r="BA24" s="63"/>
      <c r="BB24" s="71"/>
      <c r="BC24" s="71" t="s">
        <v>77</v>
      </c>
      <c r="BD24" s="71"/>
      <c r="BF24" s="59"/>
      <c r="BH24" s="70"/>
    </row>
    <row r="25" spans="1:60" x14ac:dyDescent="0.25">
      <c r="A25" s="24">
        <f>IF(B25="","",SUBTOTAL(3,$B$4:B25))</f>
        <v>22</v>
      </c>
      <c r="B25" s="25" t="s">
        <v>439</v>
      </c>
      <c r="C25" s="25" t="str">
        <f t="shared" si="9"/>
        <v>Shipment 2 CO-SCR Duct</v>
      </c>
      <c r="D25" s="25" t="s">
        <v>441</v>
      </c>
      <c r="E25" s="25" t="s">
        <v>442</v>
      </c>
      <c r="F25" s="25"/>
      <c r="G25" s="65">
        <v>46204</v>
      </c>
      <c r="H25" s="25" t="s">
        <v>443</v>
      </c>
      <c r="I25" s="25" t="s">
        <v>444</v>
      </c>
      <c r="J25" s="26" t="s">
        <v>447</v>
      </c>
      <c r="K25" s="27" t="s">
        <v>76</v>
      </c>
      <c r="L25" s="28" t="s">
        <v>897</v>
      </c>
      <c r="M25" s="28" t="s">
        <v>71</v>
      </c>
      <c r="N25" s="25">
        <v>1</v>
      </c>
      <c r="O25" s="29">
        <v>8.745000000000001</v>
      </c>
      <c r="P25" s="29">
        <v>8.745000000000001</v>
      </c>
      <c r="Q25" s="25" t="s">
        <v>359</v>
      </c>
      <c r="R25" s="25"/>
      <c r="S25" s="26" t="s">
        <v>350</v>
      </c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0"/>
        <v>8.745000000000001</v>
      </c>
      <c r="AF25" s="32">
        <f t="shared" si="11"/>
        <v>0</v>
      </c>
      <c r="AG25" s="30"/>
      <c r="AH25" s="33"/>
      <c r="AI25" s="34">
        <f t="shared" si="12"/>
        <v>0</v>
      </c>
      <c r="AJ25" s="35">
        <v>46312</v>
      </c>
      <c r="AK25" s="30">
        <v>1</v>
      </c>
      <c r="AL25" s="36">
        <f t="shared" si="4"/>
        <v>8.745000000000001</v>
      </c>
      <c r="AM25" s="35">
        <v>46312</v>
      </c>
      <c r="AN25" s="30">
        <v>1</v>
      </c>
      <c r="AO25" s="36">
        <f t="shared" si="13"/>
        <v>8.745000000000001</v>
      </c>
      <c r="AP25" s="35"/>
      <c r="AQ25" s="30"/>
      <c r="AR25" s="36">
        <f t="shared" si="14"/>
        <v>0</v>
      </c>
      <c r="AS25" s="27" t="s">
        <v>967</v>
      </c>
      <c r="AT25" s="37">
        <v>46312</v>
      </c>
      <c r="AU25" s="30">
        <v>1</v>
      </c>
      <c r="AV25" s="36">
        <f t="shared" si="15"/>
        <v>8.745000000000001</v>
      </c>
      <c r="AW25" s="35"/>
      <c r="AX25" s="30"/>
      <c r="AY25" s="32">
        <f t="shared" si="16"/>
        <v>0</v>
      </c>
      <c r="AZ25" s="30" t="s">
        <v>440</v>
      </c>
      <c r="BA25" s="63"/>
      <c r="BB25" s="71"/>
      <c r="BC25" s="71" t="s">
        <v>77</v>
      </c>
      <c r="BD25" s="71"/>
      <c r="BF25" s="59"/>
      <c r="BH25" s="70"/>
    </row>
    <row r="26" spans="1:60" hidden="1" x14ac:dyDescent="0.25">
      <c r="A26" s="24">
        <f>IF(B26="","",SUBTOTAL(3,$B$4:B26))</f>
        <v>22</v>
      </c>
      <c r="B26" s="25" t="s">
        <v>439</v>
      </c>
      <c r="C26" s="25" t="str">
        <f t="shared" si="9"/>
        <v>Shipment 2 CO-SCR Duct</v>
      </c>
      <c r="D26" s="25" t="s">
        <v>441</v>
      </c>
      <c r="E26" s="25" t="s">
        <v>442</v>
      </c>
      <c r="F26" s="25"/>
      <c r="G26" s="65">
        <v>46204</v>
      </c>
      <c r="H26" s="25" t="s">
        <v>443</v>
      </c>
      <c r="I26" s="25" t="s">
        <v>444</v>
      </c>
      <c r="J26" s="26" t="s">
        <v>447</v>
      </c>
      <c r="K26" s="27" t="s">
        <v>76</v>
      </c>
      <c r="L26" s="28" t="s">
        <v>898</v>
      </c>
      <c r="M26" s="28" t="s">
        <v>71</v>
      </c>
      <c r="N26" s="25">
        <v>1</v>
      </c>
      <c r="O26" s="29">
        <v>8.745000000000001</v>
      </c>
      <c r="P26" s="29">
        <v>8.745000000000001</v>
      </c>
      <c r="Q26" s="25" t="s">
        <v>359</v>
      </c>
      <c r="R26" s="25"/>
      <c r="S26" s="26" t="s">
        <v>350</v>
      </c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0"/>
        <v>7.8705000000000016</v>
      </c>
      <c r="AF26" s="32">
        <f t="shared" si="11"/>
        <v>0.87449999999999939</v>
      </c>
      <c r="AG26" s="30"/>
      <c r="AH26" s="33"/>
      <c r="AI26" s="34">
        <f t="shared" si="12"/>
        <v>0</v>
      </c>
      <c r="AJ26" s="35">
        <v>46312</v>
      </c>
      <c r="AK26" s="30">
        <v>1</v>
      </c>
      <c r="AL26" s="36">
        <f t="shared" si="4"/>
        <v>8.745000000000001</v>
      </c>
      <c r="AM26" s="35">
        <v>46312</v>
      </c>
      <c r="AN26" s="30">
        <v>1</v>
      </c>
      <c r="AO26" s="36">
        <f t="shared" si="13"/>
        <v>8.745000000000001</v>
      </c>
      <c r="AP26" s="35"/>
      <c r="AQ26" s="30"/>
      <c r="AR26" s="36">
        <f t="shared" si="14"/>
        <v>0</v>
      </c>
      <c r="AS26" s="27"/>
      <c r="AT26" s="37"/>
      <c r="AU26" s="30"/>
      <c r="AV26" s="36">
        <f t="shared" si="15"/>
        <v>0</v>
      </c>
      <c r="AW26" s="35"/>
      <c r="AX26" s="30"/>
      <c r="AY26" s="32">
        <f t="shared" si="16"/>
        <v>0</v>
      </c>
      <c r="AZ26" s="30" t="s">
        <v>440</v>
      </c>
      <c r="BA26" s="63"/>
      <c r="BB26" s="71"/>
      <c r="BC26" s="71" t="s">
        <v>77</v>
      </c>
      <c r="BD26" s="71"/>
      <c r="BF26" s="59"/>
      <c r="BH26" s="70"/>
    </row>
    <row r="27" spans="1:60" x14ac:dyDescent="0.25">
      <c r="A27" s="24">
        <f>IF(B27="","",SUBTOTAL(3,$B$4:B27))</f>
        <v>23</v>
      </c>
      <c r="B27" s="25" t="s">
        <v>439</v>
      </c>
      <c r="C27" s="25" t="str">
        <f t="shared" si="0"/>
        <v>Shipment 2 CO-SCR Duct</v>
      </c>
      <c r="D27" s="25" t="s">
        <v>441</v>
      </c>
      <c r="E27" s="25" t="s">
        <v>442</v>
      </c>
      <c r="F27" s="25"/>
      <c r="G27" s="65">
        <v>46204</v>
      </c>
      <c r="H27" s="25" t="s">
        <v>443</v>
      </c>
      <c r="I27" s="25" t="s">
        <v>444</v>
      </c>
      <c r="J27" s="26" t="s">
        <v>447</v>
      </c>
      <c r="K27" s="27" t="s">
        <v>78</v>
      </c>
      <c r="L27" s="28" t="s">
        <v>79</v>
      </c>
      <c r="M27" s="28" t="s">
        <v>71</v>
      </c>
      <c r="N27" s="25">
        <v>1</v>
      </c>
      <c r="O27" s="29">
        <v>8.6999999999999993</v>
      </c>
      <c r="P27" s="29">
        <v>8.6999999999999993</v>
      </c>
      <c r="Q27" s="25" t="s">
        <v>359</v>
      </c>
      <c r="R27" s="25"/>
      <c r="S27" s="26" t="s">
        <v>350</v>
      </c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"/>
        <v>8.6999999999999993</v>
      </c>
      <c r="AF27" s="32">
        <f t="shared" si="2"/>
        <v>0</v>
      </c>
      <c r="AG27" s="30"/>
      <c r="AH27" s="33"/>
      <c r="AI27" s="34">
        <f t="shared" si="3"/>
        <v>0</v>
      </c>
      <c r="AJ27" s="35">
        <v>46312</v>
      </c>
      <c r="AK27" s="30">
        <v>1</v>
      </c>
      <c r="AL27" s="36">
        <f t="shared" si="4"/>
        <v>8.6999999999999993</v>
      </c>
      <c r="AM27" s="35">
        <v>46312</v>
      </c>
      <c r="AN27" s="30">
        <v>1</v>
      </c>
      <c r="AO27" s="36">
        <f t="shared" si="5"/>
        <v>8.6999999999999993</v>
      </c>
      <c r="AP27" s="35"/>
      <c r="AQ27" s="30"/>
      <c r="AR27" s="36">
        <f t="shared" si="6"/>
        <v>0</v>
      </c>
      <c r="AS27" s="27" t="s">
        <v>967</v>
      </c>
      <c r="AT27" s="37">
        <v>46312</v>
      </c>
      <c r="AU27" s="30">
        <v>1</v>
      </c>
      <c r="AV27" s="36">
        <f t="shared" si="7"/>
        <v>8.6999999999999993</v>
      </c>
      <c r="AW27" s="35"/>
      <c r="AX27" s="30"/>
      <c r="AY27" s="32">
        <f t="shared" si="8"/>
        <v>0</v>
      </c>
      <c r="AZ27" s="30" t="s">
        <v>440</v>
      </c>
      <c r="BA27" s="63"/>
      <c r="BB27" s="71"/>
      <c r="BC27" s="71" t="s">
        <v>79</v>
      </c>
      <c r="BD27" s="71"/>
    </row>
    <row r="28" spans="1:60" x14ac:dyDescent="0.25">
      <c r="A28" s="24">
        <f>IF(B28="","",SUBTOTAL(3,$B$4:B28))</f>
        <v>24</v>
      </c>
      <c r="B28" s="25" t="s">
        <v>439</v>
      </c>
      <c r="C28" s="25" t="str">
        <f t="shared" si="0"/>
        <v>Shipment 2 CO-SCR Duct</v>
      </c>
      <c r="D28" s="25" t="s">
        <v>441</v>
      </c>
      <c r="E28" s="25" t="s">
        <v>442</v>
      </c>
      <c r="F28" s="25"/>
      <c r="G28" s="65">
        <v>46204</v>
      </c>
      <c r="H28" s="25" t="s">
        <v>443</v>
      </c>
      <c r="I28" s="25" t="s">
        <v>444</v>
      </c>
      <c r="J28" s="26" t="s">
        <v>447</v>
      </c>
      <c r="K28" s="27" t="s">
        <v>80</v>
      </c>
      <c r="L28" s="28" t="s">
        <v>81</v>
      </c>
      <c r="M28" s="28" t="s">
        <v>71</v>
      </c>
      <c r="N28" s="25">
        <v>1</v>
      </c>
      <c r="O28" s="29">
        <v>6</v>
      </c>
      <c r="P28" s="29">
        <v>6</v>
      </c>
      <c r="Q28" s="25" t="s">
        <v>360</v>
      </c>
      <c r="R28" s="25"/>
      <c r="S28" s="26" t="s">
        <v>350</v>
      </c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"/>
        <v>6</v>
      </c>
      <c r="AF28" s="32">
        <f t="shared" si="2"/>
        <v>0</v>
      </c>
      <c r="AG28" s="30"/>
      <c r="AH28" s="33"/>
      <c r="AI28" s="34">
        <f t="shared" si="3"/>
        <v>0</v>
      </c>
      <c r="AJ28" s="35">
        <v>46312</v>
      </c>
      <c r="AK28" s="30">
        <v>1</v>
      </c>
      <c r="AL28" s="36">
        <f t="shared" si="4"/>
        <v>6</v>
      </c>
      <c r="AM28" s="35">
        <v>46312</v>
      </c>
      <c r="AN28" s="30">
        <v>1</v>
      </c>
      <c r="AO28" s="36">
        <f t="shared" si="5"/>
        <v>6</v>
      </c>
      <c r="AP28" s="35"/>
      <c r="AQ28" s="30"/>
      <c r="AR28" s="36">
        <f t="shared" si="6"/>
        <v>0</v>
      </c>
      <c r="AS28" s="27" t="s">
        <v>967</v>
      </c>
      <c r="AT28" s="37">
        <v>46312</v>
      </c>
      <c r="AU28" s="30">
        <v>1</v>
      </c>
      <c r="AV28" s="36">
        <f t="shared" si="7"/>
        <v>6</v>
      </c>
      <c r="AW28" s="35"/>
      <c r="AX28" s="30"/>
      <c r="AY28" s="32">
        <f t="shared" si="8"/>
        <v>0</v>
      </c>
      <c r="AZ28" s="30" t="s">
        <v>440</v>
      </c>
      <c r="BA28" s="63"/>
      <c r="BB28" s="71"/>
      <c r="BC28" s="71" t="s">
        <v>81</v>
      </c>
      <c r="BD28" s="71"/>
    </row>
    <row r="29" spans="1:60" x14ac:dyDescent="0.25">
      <c r="A29" s="24">
        <f>IF(B29="","",SUBTOTAL(3,$B$4:B29))</f>
        <v>25</v>
      </c>
      <c r="B29" s="25" t="s">
        <v>439</v>
      </c>
      <c r="C29" s="25" t="str">
        <f t="shared" si="0"/>
        <v>Shipment 2 CO-SCR Duct</v>
      </c>
      <c r="D29" s="25" t="s">
        <v>441</v>
      </c>
      <c r="E29" s="25" t="s">
        <v>442</v>
      </c>
      <c r="F29" s="25"/>
      <c r="G29" s="65">
        <v>46204</v>
      </c>
      <c r="H29" s="25" t="s">
        <v>443</v>
      </c>
      <c r="I29" s="25" t="s">
        <v>444</v>
      </c>
      <c r="J29" s="26" t="s">
        <v>447</v>
      </c>
      <c r="K29" s="27" t="s">
        <v>82</v>
      </c>
      <c r="L29" s="28" t="s">
        <v>83</v>
      </c>
      <c r="M29" s="28" t="s">
        <v>71</v>
      </c>
      <c r="N29" s="25">
        <v>1</v>
      </c>
      <c r="O29" s="29">
        <v>8.6999999999999993</v>
      </c>
      <c r="P29" s="29">
        <v>8.6999999999999993</v>
      </c>
      <c r="Q29" s="25" t="s">
        <v>359</v>
      </c>
      <c r="R29" s="25"/>
      <c r="S29" s="26" t="s">
        <v>350</v>
      </c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"/>
        <v>8.6999999999999993</v>
      </c>
      <c r="AF29" s="32">
        <f t="shared" si="2"/>
        <v>0</v>
      </c>
      <c r="AG29" s="30"/>
      <c r="AH29" s="33"/>
      <c r="AI29" s="34">
        <f t="shared" si="3"/>
        <v>0</v>
      </c>
      <c r="AJ29" s="35">
        <v>46312</v>
      </c>
      <c r="AK29" s="30">
        <v>1</v>
      </c>
      <c r="AL29" s="36">
        <f t="shared" si="4"/>
        <v>8.6999999999999993</v>
      </c>
      <c r="AM29" s="35">
        <v>46312</v>
      </c>
      <c r="AN29" s="30">
        <v>1</v>
      </c>
      <c r="AO29" s="36">
        <f t="shared" si="5"/>
        <v>8.6999999999999993</v>
      </c>
      <c r="AP29" s="35"/>
      <c r="AQ29" s="30"/>
      <c r="AR29" s="36">
        <f t="shared" si="6"/>
        <v>0</v>
      </c>
      <c r="AS29" s="27" t="s">
        <v>967</v>
      </c>
      <c r="AT29" s="37">
        <v>46312</v>
      </c>
      <c r="AU29" s="30">
        <v>1</v>
      </c>
      <c r="AV29" s="36">
        <f t="shared" si="7"/>
        <v>8.6999999999999993</v>
      </c>
      <c r="AW29" s="35"/>
      <c r="AX29" s="30"/>
      <c r="AY29" s="32">
        <f t="shared" si="8"/>
        <v>0</v>
      </c>
      <c r="AZ29" s="30" t="s">
        <v>440</v>
      </c>
      <c r="BA29" s="63"/>
      <c r="BB29" s="71"/>
      <c r="BC29" s="71" t="s">
        <v>83</v>
      </c>
      <c r="BD29" s="71"/>
    </row>
    <row r="30" spans="1:60" x14ac:dyDescent="0.25">
      <c r="A30" s="24">
        <f>IF(B30="","",SUBTOTAL(3,$B$4:B30))</f>
        <v>26</v>
      </c>
      <c r="B30" s="25" t="s">
        <v>439</v>
      </c>
      <c r="C30" s="25" t="str">
        <f t="shared" si="0"/>
        <v>Shipment 2 CO-SCR Duct</v>
      </c>
      <c r="D30" s="25" t="s">
        <v>441</v>
      </c>
      <c r="E30" s="25" t="s">
        <v>442</v>
      </c>
      <c r="F30" s="25"/>
      <c r="G30" s="65">
        <v>46204</v>
      </c>
      <c r="H30" s="25" t="s">
        <v>443</v>
      </c>
      <c r="I30" s="25" t="s">
        <v>444</v>
      </c>
      <c r="J30" s="26" t="s">
        <v>447</v>
      </c>
      <c r="K30" s="27" t="s">
        <v>84</v>
      </c>
      <c r="L30" s="28" t="s">
        <v>85</v>
      </c>
      <c r="M30" s="28" t="s">
        <v>71</v>
      </c>
      <c r="N30" s="25">
        <v>2</v>
      </c>
      <c r="O30" s="29">
        <v>4.45</v>
      </c>
      <c r="P30" s="29">
        <v>8.9</v>
      </c>
      <c r="Q30" s="25" t="s">
        <v>361</v>
      </c>
      <c r="R30" s="25"/>
      <c r="S30" s="26" t="s">
        <v>350</v>
      </c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"/>
        <v>8.9000000000000021</v>
      </c>
      <c r="AF30" s="32">
        <f t="shared" si="2"/>
        <v>0</v>
      </c>
      <c r="AG30" s="30"/>
      <c r="AH30" s="33"/>
      <c r="AI30" s="34">
        <f t="shared" si="3"/>
        <v>0</v>
      </c>
      <c r="AJ30" s="35">
        <v>46312</v>
      </c>
      <c r="AK30" s="30">
        <v>2</v>
      </c>
      <c r="AL30" s="36">
        <f t="shared" si="4"/>
        <v>8.9</v>
      </c>
      <c r="AM30" s="35">
        <v>46312</v>
      </c>
      <c r="AN30" s="30">
        <v>2</v>
      </c>
      <c r="AO30" s="36">
        <f t="shared" si="5"/>
        <v>8.9</v>
      </c>
      <c r="AP30" s="35"/>
      <c r="AQ30" s="30"/>
      <c r="AR30" s="36">
        <f t="shared" si="6"/>
        <v>0</v>
      </c>
      <c r="AS30" s="27" t="s">
        <v>967</v>
      </c>
      <c r="AT30" s="37">
        <v>46312</v>
      </c>
      <c r="AU30" s="30">
        <v>2</v>
      </c>
      <c r="AV30" s="36">
        <f t="shared" si="7"/>
        <v>8.9</v>
      </c>
      <c r="AW30" s="35"/>
      <c r="AX30" s="30"/>
      <c r="AY30" s="32">
        <f t="shared" si="8"/>
        <v>0</v>
      </c>
      <c r="AZ30" s="30" t="s">
        <v>440</v>
      </c>
      <c r="BA30" s="63"/>
      <c r="BB30" s="71"/>
      <c r="BC30" s="71" t="s">
        <v>85</v>
      </c>
      <c r="BD30" s="71"/>
    </row>
    <row r="31" spans="1:60" x14ac:dyDescent="0.25">
      <c r="A31" s="24">
        <f>IF(B31="","",SUBTOTAL(3,$B$4:B31))</f>
        <v>27</v>
      </c>
      <c r="B31" s="25" t="s">
        <v>439</v>
      </c>
      <c r="C31" s="25" t="str">
        <f t="shared" si="0"/>
        <v>Shipment 2 CO-SCR Duct</v>
      </c>
      <c r="D31" s="25" t="s">
        <v>441</v>
      </c>
      <c r="E31" s="25" t="s">
        <v>442</v>
      </c>
      <c r="F31" s="25"/>
      <c r="G31" s="65">
        <v>46204</v>
      </c>
      <c r="H31" s="25" t="s">
        <v>443</v>
      </c>
      <c r="I31" s="25" t="s">
        <v>444</v>
      </c>
      <c r="J31" s="26" t="s">
        <v>447</v>
      </c>
      <c r="K31" s="27" t="s">
        <v>86</v>
      </c>
      <c r="L31" s="28" t="s">
        <v>899</v>
      </c>
      <c r="M31" s="28" t="s">
        <v>71</v>
      </c>
      <c r="N31" s="25">
        <v>1</v>
      </c>
      <c r="O31" s="29">
        <v>8.7455882352941181</v>
      </c>
      <c r="P31" s="29">
        <v>8.7455882352941181</v>
      </c>
      <c r="Q31" s="25" t="s">
        <v>359</v>
      </c>
      <c r="R31" s="25"/>
      <c r="S31" s="26" t="s">
        <v>350</v>
      </c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"/>
        <v>8.7455882352941181</v>
      </c>
      <c r="AF31" s="32">
        <f t="shared" si="2"/>
        <v>0</v>
      </c>
      <c r="AG31" s="30"/>
      <c r="AH31" s="33"/>
      <c r="AI31" s="34">
        <f t="shared" si="3"/>
        <v>0</v>
      </c>
      <c r="AJ31" s="35">
        <v>46312</v>
      </c>
      <c r="AK31" s="30">
        <v>1</v>
      </c>
      <c r="AL31" s="36">
        <f t="shared" si="4"/>
        <v>8.7455882352941181</v>
      </c>
      <c r="AM31" s="35">
        <v>46312</v>
      </c>
      <c r="AN31" s="30">
        <v>1</v>
      </c>
      <c r="AO31" s="36">
        <f t="shared" si="5"/>
        <v>8.7455882352941181</v>
      </c>
      <c r="AP31" s="35"/>
      <c r="AQ31" s="30"/>
      <c r="AR31" s="36">
        <f t="shared" si="6"/>
        <v>0</v>
      </c>
      <c r="AS31" s="27" t="s">
        <v>967</v>
      </c>
      <c r="AT31" s="37">
        <v>46312</v>
      </c>
      <c r="AU31" s="30">
        <v>1</v>
      </c>
      <c r="AV31" s="36">
        <f t="shared" si="7"/>
        <v>8.7455882352941181</v>
      </c>
      <c r="AW31" s="35"/>
      <c r="AX31" s="30"/>
      <c r="AY31" s="32">
        <f t="shared" si="8"/>
        <v>0</v>
      </c>
      <c r="AZ31" s="30" t="s">
        <v>440</v>
      </c>
      <c r="BA31" s="63"/>
      <c r="BB31" s="71"/>
      <c r="BC31" s="71" t="s">
        <v>87</v>
      </c>
      <c r="BD31" s="71"/>
    </row>
    <row r="32" spans="1:60" x14ac:dyDescent="0.25">
      <c r="A32" s="24">
        <f>IF(B32="","",SUBTOTAL(3,$B$4:B32))</f>
        <v>28</v>
      </c>
      <c r="B32" s="25" t="s">
        <v>439</v>
      </c>
      <c r="C32" s="25" t="str">
        <f t="shared" ref="C32:C95" si="17">D32&amp;" "&amp;E32</f>
        <v>Shipment 2 CO-SCR Duct</v>
      </c>
      <c r="D32" s="25" t="s">
        <v>441</v>
      </c>
      <c r="E32" s="25" t="s">
        <v>442</v>
      </c>
      <c r="F32" s="25"/>
      <c r="G32" s="65">
        <v>46204</v>
      </c>
      <c r="H32" s="25" t="s">
        <v>443</v>
      </c>
      <c r="I32" s="25" t="s">
        <v>444</v>
      </c>
      <c r="J32" s="26" t="s">
        <v>447</v>
      </c>
      <c r="K32" s="27" t="s">
        <v>86</v>
      </c>
      <c r="L32" s="28" t="s">
        <v>900</v>
      </c>
      <c r="M32" s="28" t="s">
        <v>71</v>
      </c>
      <c r="N32" s="25">
        <v>1</v>
      </c>
      <c r="O32" s="29">
        <v>8.7455882352941181</v>
      </c>
      <c r="P32" s="29">
        <v>8.7455882352941181</v>
      </c>
      <c r="Q32" s="25" t="s">
        <v>359</v>
      </c>
      <c r="R32" s="25"/>
      <c r="S32" s="26" t="s">
        <v>350</v>
      </c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ref="AE32:AE95" si="18">+AL32*0.5+AO32*0.4+AV32*0.1</f>
        <v>8.7455882352941181</v>
      </c>
      <c r="AF32" s="32">
        <f t="shared" ref="AF32:AF95" si="19">+P32-AE32</f>
        <v>0</v>
      </c>
      <c r="AG32" s="30"/>
      <c r="AH32" s="33"/>
      <c r="AI32" s="34">
        <f t="shared" ref="AI32:AI95" si="20">+AH32*P32</f>
        <v>0</v>
      </c>
      <c r="AJ32" s="35">
        <v>46312</v>
      </c>
      <c r="AK32" s="30">
        <v>1</v>
      </c>
      <c r="AL32" s="36">
        <f t="shared" si="4"/>
        <v>8.7455882352941181</v>
      </c>
      <c r="AM32" s="35">
        <v>46312</v>
      </c>
      <c r="AN32" s="30">
        <v>1</v>
      </c>
      <c r="AO32" s="36">
        <f t="shared" ref="AO32:AO95" si="21">IFERROR(AN32*$P32/$N32,0)</f>
        <v>8.7455882352941181</v>
      </c>
      <c r="AP32" s="35"/>
      <c r="AQ32" s="30"/>
      <c r="AR32" s="36">
        <f t="shared" ref="AR32:AR95" si="22">IFERROR(AQ32*$P32/$N32,0)</f>
        <v>0</v>
      </c>
      <c r="AS32" s="27" t="s">
        <v>967</v>
      </c>
      <c r="AT32" s="37">
        <v>46312</v>
      </c>
      <c r="AU32" s="30">
        <v>1</v>
      </c>
      <c r="AV32" s="36">
        <f t="shared" ref="AV32:AV95" si="23">IFERROR(AU32*$P32/$N32,0)</f>
        <v>8.7455882352941181</v>
      </c>
      <c r="AW32" s="35"/>
      <c r="AX32" s="30"/>
      <c r="AY32" s="32">
        <f t="shared" ref="AY32:AY95" si="24">IFERROR(AX32*$P32/$N32,0)</f>
        <v>0</v>
      </c>
      <c r="AZ32" s="30" t="s">
        <v>440</v>
      </c>
      <c r="BA32" s="63"/>
      <c r="BB32" s="71"/>
      <c r="BC32" s="71" t="s">
        <v>87</v>
      </c>
      <c r="BD32" s="71"/>
    </row>
    <row r="33" spans="1:56" x14ac:dyDescent="0.25">
      <c r="A33" s="24">
        <f>IF(B33="","",SUBTOTAL(3,$B$4:B33))</f>
        <v>29</v>
      </c>
      <c r="B33" s="25" t="s">
        <v>439</v>
      </c>
      <c r="C33" s="25" t="str">
        <f t="shared" si="17"/>
        <v>Shipment 2 CO-SCR Duct</v>
      </c>
      <c r="D33" s="25" t="s">
        <v>441</v>
      </c>
      <c r="E33" s="25" t="s">
        <v>442</v>
      </c>
      <c r="F33" s="25"/>
      <c r="G33" s="65">
        <v>46204</v>
      </c>
      <c r="H33" s="25" t="s">
        <v>443</v>
      </c>
      <c r="I33" s="25" t="s">
        <v>444</v>
      </c>
      <c r="J33" s="26" t="s">
        <v>447</v>
      </c>
      <c r="K33" s="27" t="s">
        <v>86</v>
      </c>
      <c r="L33" s="28" t="s">
        <v>901</v>
      </c>
      <c r="M33" s="28" t="s">
        <v>71</v>
      </c>
      <c r="N33" s="25">
        <v>1</v>
      </c>
      <c r="O33" s="29">
        <v>8.7455882352941181</v>
      </c>
      <c r="P33" s="29">
        <v>8.7455882352941181</v>
      </c>
      <c r="Q33" s="25" t="s">
        <v>359</v>
      </c>
      <c r="R33" s="25"/>
      <c r="S33" s="26" t="s">
        <v>350</v>
      </c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8"/>
        <v>8.7455882352941181</v>
      </c>
      <c r="AF33" s="32">
        <f t="shared" si="19"/>
        <v>0</v>
      </c>
      <c r="AG33" s="30"/>
      <c r="AH33" s="33"/>
      <c r="AI33" s="34">
        <f t="shared" si="20"/>
        <v>0</v>
      </c>
      <c r="AJ33" s="35">
        <v>46312</v>
      </c>
      <c r="AK33" s="30">
        <v>1</v>
      </c>
      <c r="AL33" s="36">
        <f t="shared" si="4"/>
        <v>8.7455882352941181</v>
      </c>
      <c r="AM33" s="35">
        <v>46312</v>
      </c>
      <c r="AN33" s="30">
        <v>1</v>
      </c>
      <c r="AO33" s="36">
        <f t="shared" si="21"/>
        <v>8.7455882352941181</v>
      </c>
      <c r="AP33" s="35"/>
      <c r="AQ33" s="30"/>
      <c r="AR33" s="36">
        <f t="shared" si="22"/>
        <v>0</v>
      </c>
      <c r="AS33" s="27" t="s">
        <v>967</v>
      </c>
      <c r="AT33" s="37">
        <v>46312</v>
      </c>
      <c r="AU33" s="30">
        <v>1</v>
      </c>
      <c r="AV33" s="36">
        <f t="shared" si="23"/>
        <v>8.7455882352941181</v>
      </c>
      <c r="AW33" s="35"/>
      <c r="AX33" s="30"/>
      <c r="AY33" s="32">
        <f t="shared" si="24"/>
        <v>0</v>
      </c>
      <c r="AZ33" s="30" t="s">
        <v>440</v>
      </c>
      <c r="BA33" s="63"/>
      <c r="BB33" s="71"/>
      <c r="BC33" s="71" t="s">
        <v>87</v>
      </c>
      <c r="BD33" s="71"/>
    </row>
    <row r="34" spans="1:56" x14ac:dyDescent="0.25">
      <c r="A34" s="24">
        <f>IF(B34="","",SUBTOTAL(3,$B$4:B34))</f>
        <v>30</v>
      </c>
      <c r="B34" s="25" t="s">
        <v>439</v>
      </c>
      <c r="C34" s="25" t="str">
        <f t="shared" si="17"/>
        <v>Shipment 2 CO-SCR Duct</v>
      </c>
      <c r="D34" s="25" t="s">
        <v>441</v>
      </c>
      <c r="E34" s="25" t="s">
        <v>442</v>
      </c>
      <c r="F34" s="25"/>
      <c r="G34" s="65">
        <v>46204</v>
      </c>
      <c r="H34" s="25" t="s">
        <v>443</v>
      </c>
      <c r="I34" s="25" t="s">
        <v>444</v>
      </c>
      <c r="J34" s="26" t="s">
        <v>447</v>
      </c>
      <c r="K34" s="27" t="s">
        <v>86</v>
      </c>
      <c r="L34" s="28" t="s">
        <v>902</v>
      </c>
      <c r="M34" s="28" t="s">
        <v>71</v>
      </c>
      <c r="N34" s="25">
        <v>1</v>
      </c>
      <c r="O34" s="29">
        <v>8.7455882352941181</v>
      </c>
      <c r="P34" s="29">
        <v>8.7455882352941181</v>
      </c>
      <c r="Q34" s="25" t="s">
        <v>359</v>
      </c>
      <c r="R34" s="25"/>
      <c r="S34" s="26" t="s">
        <v>350</v>
      </c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8"/>
        <v>8.7455882352941181</v>
      </c>
      <c r="AF34" s="32">
        <f t="shared" si="19"/>
        <v>0</v>
      </c>
      <c r="AG34" s="30"/>
      <c r="AH34" s="33"/>
      <c r="AI34" s="34">
        <f t="shared" si="20"/>
        <v>0</v>
      </c>
      <c r="AJ34" s="35">
        <v>46312</v>
      </c>
      <c r="AK34" s="30">
        <v>1</v>
      </c>
      <c r="AL34" s="36">
        <f t="shared" si="4"/>
        <v>8.7455882352941181</v>
      </c>
      <c r="AM34" s="35">
        <v>46312</v>
      </c>
      <c r="AN34" s="30">
        <v>1</v>
      </c>
      <c r="AO34" s="36">
        <f t="shared" si="21"/>
        <v>8.7455882352941181</v>
      </c>
      <c r="AP34" s="35"/>
      <c r="AQ34" s="30"/>
      <c r="AR34" s="36">
        <f t="shared" si="22"/>
        <v>0</v>
      </c>
      <c r="AS34" s="27" t="s">
        <v>967</v>
      </c>
      <c r="AT34" s="37">
        <v>46312</v>
      </c>
      <c r="AU34" s="30">
        <v>1</v>
      </c>
      <c r="AV34" s="36">
        <f t="shared" si="23"/>
        <v>8.7455882352941181</v>
      </c>
      <c r="AW34" s="35"/>
      <c r="AX34" s="30"/>
      <c r="AY34" s="32">
        <f t="shared" si="24"/>
        <v>0</v>
      </c>
      <c r="AZ34" s="30" t="s">
        <v>440</v>
      </c>
      <c r="BA34" s="63"/>
      <c r="BB34" s="71"/>
      <c r="BC34" s="71" t="s">
        <v>87</v>
      </c>
      <c r="BD34" s="71"/>
    </row>
    <row r="35" spans="1:56" x14ac:dyDescent="0.25">
      <c r="A35" s="24">
        <f>IF(B35="","",SUBTOTAL(3,$B$4:B35))</f>
        <v>31</v>
      </c>
      <c r="B35" s="25" t="s">
        <v>439</v>
      </c>
      <c r="C35" s="25" t="str">
        <f t="shared" si="17"/>
        <v>Shipment 2 CO-SCR Duct</v>
      </c>
      <c r="D35" s="25" t="s">
        <v>441</v>
      </c>
      <c r="E35" s="25" t="s">
        <v>442</v>
      </c>
      <c r="F35" s="25"/>
      <c r="G35" s="65">
        <v>46204</v>
      </c>
      <c r="H35" s="25" t="s">
        <v>443</v>
      </c>
      <c r="I35" s="25" t="s">
        <v>444</v>
      </c>
      <c r="J35" s="26" t="s">
        <v>447</v>
      </c>
      <c r="K35" s="27" t="s">
        <v>86</v>
      </c>
      <c r="L35" s="28" t="s">
        <v>903</v>
      </c>
      <c r="M35" s="28" t="s">
        <v>71</v>
      </c>
      <c r="N35" s="25">
        <v>1</v>
      </c>
      <c r="O35" s="29">
        <v>8.7455882352941181</v>
      </c>
      <c r="P35" s="29">
        <v>8.7455882352941181</v>
      </c>
      <c r="Q35" s="25" t="s">
        <v>359</v>
      </c>
      <c r="R35" s="25"/>
      <c r="S35" s="26" t="s">
        <v>350</v>
      </c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8"/>
        <v>8.7455882352941181</v>
      </c>
      <c r="AF35" s="32">
        <f t="shared" si="19"/>
        <v>0</v>
      </c>
      <c r="AG35" s="30"/>
      <c r="AH35" s="33"/>
      <c r="AI35" s="34">
        <f t="shared" si="20"/>
        <v>0</v>
      </c>
      <c r="AJ35" s="35">
        <v>46312</v>
      </c>
      <c r="AK35" s="30">
        <v>1</v>
      </c>
      <c r="AL35" s="36">
        <f t="shared" si="4"/>
        <v>8.7455882352941181</v>
      </c>
      <c r="AM35" s="35">
        <v>46312</v>
      </c>
      <c r="AN35" s="30">
        <v>1</v>
      </c>
      <c r="AO35" s="36">
        <f t="shared" si="21"/>
        <v>8.7455882352941181</v>
      </c>
      <c r="AP35" s="35"/>
      <c r="AQ35" s="30"/>
      <c r="AR35" s="36">
        <f t="shared" si="22"/>
        <v>0</v>
      </c>
      <c r="AS35" s="27" t="s">
        <v>967</v>
      </c>
      <c r="AT35" s="37">
        <v>46312</v>
      </c>
      <c r="AU35" s="30">
        <v>1</v>
      </c>
      <c r="AV35" s="36">
        <f t="shared" si="23"/>
        <v>8.7455882352941181</v>
      </c>
      <c r="AW35" s="35"/>
      <c r="AX35" s="30"/>
      <c r="AY35" s="32">
        <f t="shared" si="24"/>
        <v>0</v>
      </c>
      <c r="AZ35" s="30" t="s">
        <v>440</v>
      </c>
      <c r="BA35" s="63"/>
      <c r="BB35" s="71"/>
      <c r="BC35" s="71" t="s">
        <v>87</v>
      </c>
      <c r="BD35" s="71"/>
    </row>
    <row r="36" spans="1:56" x14ac:dyDescent="0.25">
      <c r="A36" s="24">
        <f>IF(B36="","",SUBTOTAL(3,$B$4:B36))</f>
        <v>32</v>
      </c>
      <c r="B36" s="25" t="s">
        <v>439</v>
      </c>
      <c r="C36" s="25" t="str">
        <f t="shared" si="17"/>
        <v>Shipment 2 CO-SCR Duct</v>
      </c>
      <c r="D36" s="25" t="s">
        <v>441</v>
      </c>
      <c r="E36" s="25" t="s">
        <v>442</v>
      </c>
      <c r="F36" s="25"/>
      <c r="G36" s="65">
        <v>46204</v>
      </c>
      <c r="H36" s="25" t="s">
        <v>443</v>
      </c>
      <c r="I36" s="25" t="s">
        <v>444</v>
      </c>
      <c r="J36" s="26" t="s">
        <v>447</v>
      </c>
      <c r="K36" s="27" t="s">
        <v>86</v>
      </c>
      <c r="L36" s="28" t="s">
        <v>904</v>
      </c>
      <c r="M36" s="28" t="s">
        <v>71</v>
      </c>
      <c r="N36" s="25">
        <v>1</v>
      </c>
      <c r="O36" s="29">
        <v>8.7455882352941181</v>
      </c>
      <c r="P36" s="29">
        <v>8.7455882352941181</v>
      </c>
      <c r="Q36" s="25" t="s">
        <v>359</v>
      </c>
      <c r="R36" s="25"/>
      <c r="S36" s="26" t="s">
        <v>350</v>
      </c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8"/>
        <v>8.7455882352941181</v>
      </c>
      <c r="AF36" s="32">
        <f t="shared" si="19"/>
        <v>0</v>
      </c>
      <c r="AG36" s="30"/>
      <c r="AH36" s="33"/>
      <c r="AI36" s="34">
        <f t="shared" si="20"/>
        <v>0</v>
      </c>
      <c r="AJ36" s="35">
        <v>46312</v>
      </c>
      <c r="AK36" s="30">
        <v>1</v>
      </c>
      <c r="AL36" s="36">
        <f t="shared" si="4"/>
        <v>8.7455882352941181</v>
      </c>
      <c r="AM36" s="35">
        <v>46312</v>
      </c>
      <c r="AN36" s="30">
        <v>1</v>
      </c>
      <c r="AO36" s="36">
        <f t="shared" si="21"/>
        <v>8.7455882352941181</v>
      </c>
      <c r="AP36" s="35"/>
      <c r="AQ36" s="30"/>
      <c r="AR36" s="36">
        <f t="shared" si="22"/>
        <v>0</v>
      </c>
      <c r="AS36" s="27" t="s">
        <v>967</v>
      </c>
      <c r="AT36" s="37">
        <v>46312</v>
      </c>
      <c r="AU36" s="30">
        <v>1</v>
      </c>
      <c r="AV36" s="36">
        <f t="shared" si="23"/>
        <v>8.7455882352941181</v>
      </c>
      <c r="AW36" s="35"/>
      <c r="AX36" s="30"/>
      <c r="AY36" s="32">
        <f t="shared" si="24"/>
        <v>0</v>
      </c>
      <c r="AZ36" s="30" t="s">
        <v>440</v>
      </c>
      <c r="BA36" s="63"/>
      <c r="BB36" s="71"/>
      <c r="BC36" s="71" t="s">
        <v>87</v>
      </c>
      <c r="BD36" s="71"/>
    </row>
    <row r="37" spans="1:56" x14ac:dyDescent="0.25">
      <c r="A37" s="24">
        <f>IF(B37="","",SUBTOTAL(3,$B$4:B37))</f>
        <v>33</v>
      </c>
      <c r="B37" s="25" t="s">
        <v>439</v>
      </c>
      <c r="C37" s="25" t="str">
        <f t="shared" si="17"/>
        <v>Shipment 2 CO-SCR Duct</v>
      </c>
      <c r="D37" s="25" t="s">
        <v>441</v>
      </c>
      <c r="E37" s="25" t="s">
        <v>442</v>
      </c>
      <c r="F37" s="25"/>
      <c r="G37" s="65">
        <v>46204</v>
      </c>
      <c r="H37" s="25" t="s">
        <v>443</v>
      </c>
      <c r="I37" s="25" t="s">
        <v>444</v>
      </c>
      <c r="J37" s="26" t="s">
        <v>447</v>
      </c>
      <c r="K37" s="27" t="s">
        <v>86</v>
      </c>
      <c r="L37" s="28" t="s">
        <v>905</v>
      </c>
      <c r="M37" s="28" t="s">
        <v>71</v>
      </c>
      <c r="N37" s="25">
        <v>1</v>
      </c>
      <c r="O37" s="29">
        <v>8.7455882352941181</v>
      </c>
      <c r="P37" s="29">
        <v>8.7455882352941181</v>
      </c>
      <c r="Q37" s="25" t="s">
        <v>359</v>
      </c>
      <c r="R37" s="25"/>
      <c r="S37" s="26" t="s">
        <v>350</v>
      </c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8"/>
        <v>8.7455882352941181</v>
      </c>
      <c r="AF37" s="32">
        <f t="shared" si="19"/>
        <v>0</v>
      </c>
      <c r="AG37" s="30"/>
      <c r="AH37" s="33"/>
      <c r="AI37" s="34">
        <f t="shared" si="20"/>
        <v>0</v>
      </c>
      <c r="AJ37" s="35">
        <v>46312</v>
      </c>
      <c r="AK37" s="30">
        <v>1</v>
      </c>
      <c r="AL37" s="36">
        <f t="shared" si="4"/>
        <v>8.7455882352941181</v>
      </c>
      <c r="AM37" s="35">
        <v>46312</v>
      </c>
      <c r="AN37" s="30">
        <v>1</v>
      </c>
      <c r="AO37" s="36">
        <f t="shared" si="21"/>
        <v>8.7455882352941181</v>
      </c>
      <c r="AP37" s="35"/>
      <c r="AQ37" s="30"/>
      <c r="AR37" s="36">
        <f t="shared" si="22"/>
        <v>0</v>
      </c>
      <c r="AS37" s="27" t="s">
        <v>967</v>
      </c>
      <c r="AT37" s="37">
        <v>46312</v>
      </c>
      <c r="AU37" s="30">
        <v>1</v>
      </c>
      <c r="AV37" s="36">
        <f t="shared" si="23"/>
        <v>8.7455882352941181</v>
      </c>
      <c r="AW37" s="35"/>
      <c r="AX37" s="30"/>
      <c r="AY37" s="32">
        <f t="shared" si="24"/>
        <v>0</v>
      </c>
      <c r="AZ37" s="30" t="s">
        <v>440</v>
      </c>
      <c r="BA37" s="63"/>
      <c r="BB37" s="71"/>
      <c r="BC37" s="71" t="s">
        <v>87</v>
      </c>
      <c r="BD37" s="71"/>
    </row>
    <row r="38" spans="1:56" x14ac:dyDescent="0.25">
      <c r="A38" s="24">
        <f>IF(B38="","",SUBTOTAL(3,$B$4:B38))</f>
        <v>34</v>
      </c>
      <c r="B38" s="25" t="s">
        <v>439</v>
      </c>
      <c r="C38" s="25" t="str">
        <f t="shared" si="17"/>
        <v>Shipment 2 CO-SCR Duct</v>
      </c>
      <c r="D38" s="25" t="s">
        <v>441</v>
      </c>
      <c r="E38" s="25" t="s">
        <v>442</v>
      </c>
      <c r="F38" s="25"/>
      <c r="G38" s="65">
        <v>46204</v>
      </c>
      <c r="H38" s="25" t="s">
        <v>443</v>
      </c>
      <c r="I38" s="25" t="s">
        <v>444</v>
      </c>
      <c r="J38" s="26" t="s">
        <v>447</v>
      </c>
      <c r="K38" s="27" t="s">
        <v>86</v>
      </c>
      <c r="L38" s="28" t="s">
        <v>906</v>
      </c>
      <c r="M38" s="28" t="s">
        <v>71</v>
      </c>
      <c r="N38" s="25">
        <v>1</v>
      </c>
      <c r="O38" s="29">
        <v>8.7455882352941181</v>
      </c>
      <c r="P38" s="29">
        <v>8.7455882352941181</v>
      </c>
      <c r="Q38" s="25" t="s">
        <v>359</v>
      </c>
      <c r="R38" s="25"/>
      <c r="S38" s="26" t="s">
        <v>350</v>
      </c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8"/>
        <v>8.7455882352941181</v>
      </c>
      <c r="AF38" s="32">
        <f t="shared" si="19"/>
        <v>0</v>
      </c>
      <c r="AG38" s="30"/>
      <c r="AH38" s="33"/>
      <c r="AI38" s="34">
        <f t="shared" si="20"/>
        <v>0</v>
      </c>
      <c r="AJ38" s="35">
        <v>46312</v>
      </c>
      <c r="AK38" s="30">
        <v>1</v>
      </c>
      <c r="AL38" s="36">
        <f t="shared" si="4"/>
        <v>8.7455882352941181</v>
      </c>
      <c r="AM38" s="35">
        <v>46312</v>
      </c>
      <c r="AN38" s="30">
        <v>1</v>
      </c>
      <c r="AO38" s="36">
        <f t="shared" si="21"/>
        <v>8.7455882352941181</v>
      </c>
      <c r="AP38" s="35"/>
      <c r="AQ38" s="30"/>
      <c r="AR38" s="36">
        <f t="shared" si="22"/>
        <v>0</v>
      </c>
      <c r="AS38" s="27" t="s">
        <v>967</v>
      </c>
      <c r="AT38" s="37">
        <v>46312</v>
      </c>
      <c r="AU38" s="30">
        <v>1</v>
      </c>
      <c r="AV38" s="36">
        <f t="shared" si="23"/>
        <v>8.7455882352941181</v>
      </c>
      <c r="AW38" s="35"/>
      <c r="AX38" s="30"/>
      <c r="AY38" s="32">
        <f t="shared" si="24"/>
        <v>0</v>
      </c>
      <c r="AZ38" s="30" t="s">
        <v>440</v>
      </c>
      <c r="BA38" s="63"/>
      <c r="BB38" s="71"/>
      <c r="BC38" s="71" t="s">
        <v>87</v>
      </c>
      <c r="BD38" s="71"/>
    </row>
    <row r="39" spans="1:56" x14ac:dyDescent="0.25">
      <c r="A39" s="24">
        <f>IF(B39="","",SUBTOTAL(3,$B$4:B39))</f>
        <v>35</v>
      </c>
      <c r="B39" s="25" t="s">
        <v>439</v>
      </c>
      <c r="C39" s="25" t="str">
        <f t="shared" si="17"/>
        <v>Shipment 2 CO-SCR Duct</v>
      </c>
      <c r="D39" s="25" t="s">
        <v>441</v>
      </c>
      <c r="E39" s="25" t="s">
        <v>442</v>
      </c>
      <c r="F39" s="25"/>
      <c r="G39" s="65">
        <v>46204</v>
      </c>
      <c r="H39" s="25" t="s">
        <v>443</v>
      </c>
      <c r="I39" s="25" t="s">
        <v>444</v>
      </c>
      <c r="J39" s="26" t="s">
        <v>447</v>
      </c>
      <c r="K39" s="27" t="s">
        <v>86</v>
      </c>
      <c r="L39" s="28" t="s">
        <v>907</v>
      </c>
      <c r="M39" s="28" t="s">
        <v>71</v>
      </c>
      <c r="N39" s="25">
        <v>1</v>
      </c>
      <c r="O39" s="29">
        <v>8.7455882352941181</v>
      </c>
      <c r="P39" s="29">
        <v>8.7455882352941181</v>
      </c>
      <c r="Q39" s="25" t="s">
        <v>359</v>
      </c>
      <c r="R39" s="25"/>
      <c r="S39" s="26" t="s">
        <v>350</v>
      </c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8"/>
        <v>8.7455882352941181</v>
      </c>
      <c r="AF39" s="32">
        <f t="shared" si="19"/>
        <v>0</v>
      </c>
      <c r="AG39" s="30"/>
      <c r="AH39" s="33"/>
      <c r="AI39" s="34">
        <f t="shared" si="20"/>
        <v>0</v>
      </c>
      <c r="AJ39" s="35">
        <v>46312</v>
      </c>
      <c r="AK39" s="30">
        <v>1</v>
      </c>
      <c r="AL39" s="36">
        <f t="shared" si="4"/>
        <v>8.7455882352941181</v>
      </c>
      <c r="AM39" s="35">
        <v>46312</v>
      </c>
      <c r="AN39" s="30">
        <v>1</v>
      </c>
      <c r="AO39" s="36">
        <f t="shared" si="21"/>
        <v>8.7455882352941181</v>
      </c>
      <c r="AP39" s="35"/>
      <c r="AQ39" s="30"/>
      <c r="AR39" s="36">
        <f t="shared" si="22"/>
        <v>0</v>
      </c>
      <c r="AS39" s="27" t="s">
        <v>967</v>
      </c>
      <c r="AT39" s="37">
        <v>46312</v>
      </c>
      <c r="AU39" s="30">
        <v>1</v>
      </c>
      <c r="AV39" s="36">
        <f t="shared" si="23"/>
        <v>8.7455882352941181</v>
      </c>
      <c r="AW39" s="35"/>
      <c r="AX39" s="30"/>
      <c r="AY39" s="32">
        <f t="shared" si="24"/>
        <v>0</v>
      </c>
      <c r="AZ39" s="30" t="s">
        <v>440</v>
      </c>
      <c r="BA39" s="63"/>
      <c r="BB39" s="71"/>
      <c r="BC39" s="71" t="s">
        <v>87</v>
      </c>
      <c r="BD39" s="71"/>
    </row>
    <row r="40" spans="1:56" x14ac:dyDescent="0.25">
      <c r="A40" s="24">
        <f>IF(B40="","",SUBTOTAL(3,$B$4:B40))</f>
        <v>36</v>
      </c>
      <c r="B40" s="25" t="s">
        <v>439</v>
      </c>
      <c r="C40" s="25" t="str">
        <f t="shared" si="17"/>
        <v>Shipment 2 CO-SCR Duct</v>
      </c>
      <c r="D40" s="25" t="s">
        <v>441</v>
      </c>
      <c r="E40" s="25" t="s">
        <v>442</v>
      </c>
      <c r="F40" s="25"/>
      <c r="G40" s="65">
        <v>46204</v>
      </c>
      <c r="H40" s="25" t="s">
        <v>443</v>
      </c>
      <c r="I40" s="25" t="s">
        <v>444</v>
      </c>
      <c r="J40" s="26" t="s">
        <v>447</v>
      </c>
      <c r="K40" s="27" t="s">
        <v>86</v>
      </c>
      <c r="L40" s="28" t="s">
        <v>908</v>
      </c>
      <c r="M40" s="28" t="s">
        <v>71</v>
      </c>
      <c r="N40" s="25">
        <v>1</v>
      </c>
      <c r="O40" s="29">
        <v>8.7455882352941181</v>
      </c>
      <c r="P40" s="29">
        <v>8.7455882352941181</v>
      </c>
      <c r="Q40" s="25" t="s">
        <v>359</v>
      </c>
      <c r="R40" s="25"/>
      <c r="S40" s="26" t="s">
        <v>350</v>
      </c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8"/>
        <v>8.7455882352941181</v>
      </c>
      <c r="AF40" s="32">
        <f t="shared" si="19"/>
        <v>0</v>
      </c>
      <c r="AG40" s="30"/>
      <c r="AH40" s="33"/>
      <c r="AI40" s="34">
        <f t="shared" si="20"/>
        <v>0</v>
      </c>
      <c r="AJ40" s="35">
        <v>46312</v>
      </c>
      <c r="AK40" s="30">
        <v>1</v>
      </c>
      <c r="AL40" s="36">
        <f t="shared" si="4"/>
        <v>8.7455882352941181</v>
      </c>
      <c r="AM40" s="35">
        <v>46312</v>
      </c>
      <c r="AN40" s="30">
        <v>1</v>
      </c>
      <c r="AO40" s="36">
        <f t="shared" si="21"/>
        <v>8.7455882352941181</v>
      </c>
      <c r="AP40" s="35"/>
      <c r="AQ40" s="30"/>
      <c r="AR40" s="36">
        <f t="shared" si="22"/>
        <v>0</v>
      </c>
      <c r="AS40" s="27" t="s">
        <v>967</v>
      </c>
      <c r="AT40" s="37">
        <v>46312</v>
      </c>
      <c r="AU40" s="30">
        <v>1</v>
      </c>
      <c r="AV40" s="36">
        <f t="shared" si="23"/>
        <v>8.7455882352941181</v>
      </c>
      <c r="AW40" s="35"/>
      <c r="AX40" s="30"/>
      <c r="AY40" s="32">
        <f t="shared" si="24"/>
        <v>0</v>
      </c>
      <c r="AZ40" s="30" t="s">
        <v>440</v>
      </c>
      <c r="BA40" s="63"/>
      <c r="BB40" s="71"/>
      <c r="BC40" s="71" t="s">
        <v>87</v>
      </c>
      <c r="BD40" s="71"/>
    </row>
    <row r="41" spans="1:56" x14ac:dyDescent="0.25">
      <c r="A41" s="24">
        <f>IF(B41="","",SUBTOTAL(3,$B$4:B41))</f>
        <v>37</v>
      </c>
      <c r="B41" s="25" t="s">
        <v>439</v>
      </c>
      <c r="C41" s="25" t="str">
        <f t="shared" si="17"/>
        <v>Shipment 2 CO-SCR Duct</v>
      </c>
      <c r="D41" s="25" t="s">
        <v>441</v>
      </c>
      <c r="E41" s="25" t="s">
        <v>442</v>
      </c>
      <c r="F41" s="25"/>
      <c r="G41" s="65">
        <v>46204</v>
      </c>
      <c r="H41" s="25" t="s">
        <v>443</v>
      </c>
      <c r="I41" s="25" t="s">
        <v>444</v>
      </c>
      <c r="J41" s="26" t="s">
        <v>447</v>
      </c>
      <c r="K41" s="27" t="s">
        <v>86</v>
      </c>
      <c r="L41" s="28" t="s">
        <v>909</v>
      </c>
      <c r="M41" s="28" t="s">
        <v>71</v>
      </c>
      <c r="N41" s="25">
        <v>1</v>
      </c>
      <c r="O41" s="29">
        <v>8.7455882352941181</v>
      </c>
      <c r="P41" s="29">
        <v>8.7455882352941181</v>
      </c>
      <c r="Q41" s="25" t="s">
        <v>359</v>
      </c>
      <c r="R41" s="25"/>
      <c r="S41" s="26" t="s">
        <v>350</v>
      </c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8"/>
        <v>8.7455882352941181</v>
      </c>
      <c r="AF41" s="32">
        <f t="shared" si="19"/>
        <v>0</v>
      </c>
      <c r="AG41" s="30"/>
      <c r="AH41" s="33"/>
      <c r="AI41" s="34">
        <f t="shared" si="20"/>
        <v>0</v>
      </c>
      <c r="AJ41" s="35">
        <v>46312</v>
      </c>
      <c r="AK41" s="30">
        <v>1</v>
      </c>
      <c r="AL41" s="36">
        <f t="shared" si="4"/>
        <v>8.7455882352941181</v>
      </c>
      <c r="AM41" s="35">
        <v>46312</v>
      </c>
      <c r="AN41" s="30">
        <v>1</v>
      </c>
      <c r="AO41" s="36">
        <f t="shared" si="21"/>
        <v>8.7455882352941181</v>
      </c>
      <c r="AP41" s="35"/>
      <c r="AQ41" s="30"/>
      <c r="AR41" s="36">
        <f t="shared" si="22"/>
        <v>0</v>
      </c>
      <c r="AS41" s="27" t="s">
        <v>967</v>
      </c>
      <c r="AT41" s="37">
        <v>46312</v>
      </c>
      <c r="AU41" s="30">
        <v>1</v>
      </c>
      <c r="AV41" s="36">
        <f t="shared" si="23"/>
        <v>8.7455882352941181</v>
      </c>
      <c r="AW41" s="35"/>
      <c r="AX41" s="30"/>
      <c r="AY41" s="32">
        <f t="shared" si="24"/>
        <v>0</v>
      </c>
      <c r="AZ41" s="30" t="s">
        <v>440</v>
      </c>
      <c r="BA41" s="63"/>
      <c r="BB41" s="71"/>
      <c r="BC41" s="71" t="s">
        <v>87</v>
      </c>
      <c r="BD41" s="71"/>
    </row>
    <row r="42" spans="1:56" x14ac:dyDescent="0.25">
      <c r="A42" s="24">
        <f>IF(B42="","",SUBTOTAL(3,$B$4:B42))</f>
        <v>38</v>
      </c>
      <c r="B42" s="25" t="s">
        <v>439</v>
      </c>
      <c r="C42" s="25" t="str">
        <f t="shared" si="17"/>
        <v>Shipment 2 CO-SCR Duct</v>
      </c>
      <c r="D42" s="25" t="s">
        <v>441</v>
      </c>
      <c r="E42" s="25" t="s">
        <v>442</v>
      </c>
      <c r="F42" s="25"/>
      <c r="G42" s="65">
        <v>46204</v>
      </c>
      <c r="H42" s="25" t="s">
        <v>443</v>
      </c>
      <c r="I42" s="25" t="s">
        <v>444</v>
      </c>
      <c r="J42" s="26" t="s">
        <v>447</v>
      </c>
      <c r="K42" s="27" t="s">
        <v>86</v>
      </c>
      <c r="L42" s="28" t="s">
        <v>910</v>
      </c>
      <c r="M42" s="28" t="s">
        <v>71</v>
      </c>
      <c r="N42" s="25">
        <v>1</v>
      </c>
      <c r="O42" s="29">
        <v>8.7455882352941181</v>
      </c>
      <c r="P42" s="29">
        <v>8.7455882352941181</v>
      </c>
      <c r="Q42" s="25" t="s">
        <v>359</v>
      </c>
      <c r="R42" s="25"/>
      <c r="S42" s="26" t="s">
        <v>350</v>
      </c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8"/>
        <v>8.7455882352941181</v>
      </c>
      <c r="AF42" s="32">
        <f t="shared" si="19"/>
        <v>0</v>
      </c>
      <c r="AG42" s="30"/>
      <c r="AH42" s="33"/>
      <c r="AI42" s="34">
        <f t="shared" si="20"/>
        <v>0</v>
      </c>
      <c r="AJ42" s="35">
        <v>46312</v>
      </c>
      <c r="AK42" s="30">
        <v>1</v>
      </c>
      <c r="AL42" s="36">
        <f t="shared" si="4"/>
        <v>8.7455882352941181</v>
      </c>
      <c r="AM42" s="35">
        <v>46312</v>
      </c>
      <c r="AN42" s="30">
        <v>1</v>
      </c>
      <c r="AO42" s="36">
        <f t="shared" si="21"/>
        <v>8.7455882352941181</v>
      </c>
      <c r="AP42" s="35"/>
      <c r="AQ42" s="30"/>
      <c r="AR42" s="36">
        <f t="shared" si="22"/>
        <v>0</v>
      </c>
      <c r="AS42" s="27" t="s">
        <v>967</v>
      </c>
      <c r="AT42" s="37">
        <v>46312</v>
      </c>
      <c r="AU42" s="30">
        <v>1</v>
      </c>
      <c r="AV42" s="36">
        <f t="shared" si="23"/>
        <v>8.7455882352941181</v>
      </c>
      <c r="AW42" s="35"/>
      <c r="AX42" s="30"/>
      <c r="AY42" s="32">
        <f t="shared" si="24"/>
        <v>0</v>
      </c>
      <c r="AZ42" s="30" t="s">
        <v>440</v>
      </c>
      <c r="BA42" s="63"/>
      <c r="BB42" s="71"/>
      <c r="BC42" s="71" t="s">
        <v>87</v>
      </c>
      <c r="BD42" s="71"/>
    </row>
    <row r="43" spans="1:56" x14ac:dyDescent="0.25">
      <c r="A43" s="24">
        <f>IF(B43="","",SUBTOTAL(3,$B$4:B43))</f>
        <v>39</v>
      </c>
      <c r="B43" s="25" t="s">
        <v>439</v>
      </c>
      <c r="C43" s="25" t="str">
        <f t="shared" si="17"/>
        <v>Shipment 2 CO-SCR Duct</v>
      </c>
      <c r="D43" s="25" t="s">
        <v>441</v>
      </c>
      <c r="E43" s="25" t="s">
        <v>442</v>
      </c>
      <c r="F43" s="25"/>
      <c r="G43" s="65">
        <v>46204</v>
      </c>
      <c r="H43" s="25" t="s">
        <v>443</v>
      </c>
      <c r="I43" s="25" t="s">
        <v>444</v>
      </c>
      <c r="J43" s="26" t="s">
        <v>447</v>
      </c>
      <c r="K43" s="27" t="s">
        <v>86</v>
      </c>
      <c r="L43" s="28" t="s">
        <v>911</v>
      </c>
      <c r="M43" s="28" t="s">
        <v>71</v>
      </c>
      <c r="N43" s="25">
        <v>1</v>
      </c>
      <c r="O43" s="29">
        <v>8.7455882352941181</v>
      </c>
      <c r="P43" s="29">
        <v>8.7455882352941181</v>
      </c>
      <c r="Q43" s="25" t="s">
        <v>359</v>
      </c>
      <c r="R43" s="25"/>
      <c r="S43" s="26" t="s">
        <v>350</v>
      </c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8"/>
        <v>8.7455882352941181</v>
      </c>
      <c r="AF43" s="32">
        <f t="shared" si="19"/>
        <v>0</v>
      </c>
      <c r="AG43" s="30"/>
      <c r="AH43" s="33"/>
      <c r="AI43" s="34">
        <f t="shared" si="20"/>
        <v>0</v>
      </c>
      <c r="AJ43" s="35">
        <v>46312</v>
      </c>
      <c r="AK43" s="30">
        <v>1</v>
      </c>
      <c r="AL43" s="36">
        <f t="shared" si="4"/>
        <v>8.7455882352941181</v>
      </c>
      <c r="AM43" s="35">
        <v>46312</v>
      </c>
      <c r="AN43" s="30">
        <v>1</v>
      </c>
      <c r="AO43" s="36">
        <f t="shared" si="21"/>
        <v>8.7455882352941181</v>
      </c>
      <c r="AP43" s="35"/>
      <c r="AQ43" s="30"/>
      <c r="AR43" s="36">
        <f t="shared" si="22"/>
        <v>0</v>
      </c>
      <c r="AS43" s="27" t="s">
        <v>967</v>
      </c>
      <c r="AT43" s="37">
        <v>46312</v>
      </c>
      <c r="AU43" s="30">
        <v>1</v>
      </c>
      <c r="AV43" s="36">
        <f t="shared" si="23"/>
        <v>8.7455882352941181</v>
      </c>
      <c r="AW43" s="35"/>
      <c r="AX43" s="30"/>
      <c r="AY43" s="32">
        <f t="shared" si="24"/>
        <v>0</v>
      </c>
      <c r="AZ43" s="30" t="s">
        <v>440</v>
      </c>
      <c r="BA43" s="63"/>
      <c r="BB43" s="71"/>
      <c r="BC43" s="71" t="s">
        <v>87</v>
      </c>
      <c r="BD43" s="71"/>
    </row>
    <row r="44" spans="1:56" x14ac:dyDescent="0.25">
      <c r="A44" s="24">
        <f>IF(B44="","",SUBTOTAL(3,$B$4:B44))</f>
        <v>40</v>
      </c>
      <c r="B44" s="25" t="s">
        <v>439</v>
      </c>
      <c r="C44" s="25" t="str">
        <f t="shared" si="17"/>
        <v>Shipment 2 CO-SCR Duct</v>
      </c>
      <c r="D44" s="25" t="s">
        <v>441</v>
      </c>
      <c r="E44" s="25" t="s">
        <v>442</v>
      </c>
      <c r="F44" s="25"/>
      <c r="G44" s="65">
        <v>46204</v>
      </c>
      <c r="H44" s="25" t="s">
        <v>443</v>
      </c>
      <c r="I44" s="25" t="s">
        <v>444</v>
      </c>
      <c r="J44" s="26" t="s">
        <v>447</v>
      </c>
      <c r="K44" s="27" t="s">
        <v>86</v>
      </c>
      <c r="L44" s="28" t="s">
        <v>912</v>
      </c>
      <c r="M44" s="28" t="s">
        <v>71</v>
      </c>
      <c r="N44" s="25">
        <v>1</v>
      </c>
      <c r="O44" s="29">
        <v>8.7455882352941181</v>
      </c>
      <c r="P44" s="29">
        <v>8.7455882352941181</v>
      </c>
      <c r="Q44" s="25" t="s">
        <v>359</v>
      </c>
      <c r="R44" s="25"/>
      <c r="S44" s="26" t="s">
        <v>350</v>
      </c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8"/>
        <v>8.7455882352941181</v>
      </c>
      <c r="AF44" s="32">
        <f t="shared" si="19"/>
        <v>0</v>
      </c>
      <c r="AG44" s="30"/>
      <c r="AH44" s="33"/>
      <c r="AI44" s="34">
        <f t="shared" si="20"/>
        <v>0</v>
      </c>
      <c r="AJ44" s="35">
        <v>46312</v>
      </c>
      <c r="AK44" s="30">
        <v>1</v>
      </c>
      <c r="AL44" s="36">
        <f t="shared" si="4"/>
        <v>8.7455882352941181</v>
      </c>
      <c r="AM44" s="35">
        <v>46312</v>
      </c>
      <c r="AN44" s="30">
        <v>1</v>
      </c>
      <c r="AO44" s="36">
        <f t="shared" si="21"/>
        <v>8.7455882352941181</v>
      </c>
      <c r="AP44" s="35"/>
      <c r="AQ44" s="30"/>
      <c r="AR44" s="36">
        <f t="shared" si="22"/>
        <v>0</v>
      </c>
      <c r="AS44" s="27" t="s">
        <v>967</v>
      </c>
      <c r="AT44" s="37">
        <v>46312</v>
      </c>
      <c r="AU44" s="30">
        <v>1</v>
      </c>
      <c r="AV44" s="36">
        <f t="shared" si="23"/>
        <v>8.7455882352941181</v>
      </c>
      <c r="AW44" s="35"/>
      <c r="AX44" s="30"/>
      <c r="AY44" s="32">
        <f t="shared" si="24"/>
        <v>0</v>
      </c>
      <c r="AZ44" s="30" t="s">
        <v>440</v>
      </c>
      <c r="BA44" s="63"/>
      <c r="BB44" s="71"/>
      <c r="BC44" s="71" t="s">
        <v>87</v>
      </c>
      <c r="BD44" s="71"/>
    </row>
    <row r="45" spans="1:56" x14ac:dyDescent="0.25">
      <c r="A45" s="24">
        <f>IF(B45="","",SUBTOTAL(3,$B$4:B45))</f>
        <v>41</v>
      </c>
      <c r="B45" s="25" t="s">
        <v>439</v>
      </c>
      <c r="C45" s="25" t="str">
        <f t="shared" si="17"/>
        <v>Shipment 2 CO-SCR Duct</v>
      </c>
      <c r="D45" s="25" t="s">
        <v>441</v>
      </c>
      <c r="E45" s="25" t="s">
        <v>442</v>
      </c>
      <c r="F45" s="25"/>
      <c r="G45" s="65">
        <v>46204</v>
      </c>
      <c r="H45" s="25" t="s">
        <v>443</v>
      </c>
      <c r="I45" s="25" t="s">
        <v>444</v>
      </c>
      <c r="J45" s="26" t="s">
        <v>447</v>
      </c>
      <c r="K45" s="27" t="s">
        <v>86</v>
      </c>
      <c r="L45" s="28" t="s">
        <v>913</v>
      </c>
      <c r="M45" s="28" t="s">
        <v>71</v>
      </c>
      <c r="N45" s="25">
        <v>1</v>
      </c>
      <c r="O45" s="29">
        <v>8.7455882352941181</v>
      </c>
      <c r="P45" s="29">
        <v>8.7455882352941181</v>
      </c>
      <c r="Q45" s="25" t="s">
        <v>359</v>
      </c>
      <c r="R45" s="25"/>
      <c r="S45" s="26" t="s">
        <v>350</v>
      </c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8"/>
        <v>8.7455882352941181</v>
      </c>
      <c r="AF45" s="32">
        <f t="shared" si="19"/>
        <v>0</v>
      </c>
      <c r="AG45" s="30"/>
      <c r="AH45" s="33"/>
      <c r="AI45" s="34">
        <f t="shared" si="20"/>
        <v>0</v>
      </c>
      <c r="AJ45" s="35">
        <v>46312</v>
      </c>
      <c r="AK45" s="30">
        <v>1</v>
      </c>
      <c r="AL45" s="36">
        <f t="shared" si="4"/>
        <v>8.7455882352941181</v>
      </c>
      <c r="AM45" s="35">
        <v>46312</v>
      </c>
      <c r="AN45" s="30">
        <v>1</v>
      </c>
      <c r="AO45" s="36">
        <f t="shared" si="21"/>
        <v>8.7455882352941181</v>
      </c>
      <c r="AP45" s="35"/>
      <c r="AQ45" s="30"/>
      <c r="AR45" s="36">
        <f t="shared" si="22"/>
        <v>0</v>
      </c>
      <c r="AS45" s="27" t="s">
        <v>967</v>
      </c>
      <c r="AT45" s="37">
        <v>46312</v>
      </c>
      <c r="AU45" s="30">
        <v>1</v>
      </c>
      <c r="AV45" s="36">
        <f t="shared" si="23"/>
        <v>8.7455882352941181</v>
      </c>
      <c r="AW45" s="35"/>
      <c r="AX45" s="30"/>
      <c r="AY45" s="32">
        <f t="shared" si="24"/>
        <v>0</v>
      </c>
      <c r="AZ45" s="30" t="s">
        <v>440</v>
      </c>
      <c r="BA45" s="63"/>
      <c r="BB45" s="71"/>
      <c r="BC45" s="71" t="s">
        <v>87</v>
      </c>
      <c r="BD45" s="71"/>
    </row>
    <row r="46" spans="1:56" x14ac:dyDescent="0.25">
      <c r="A46" s="24">
        <f>IF(B46="","",SUBTOTAL(3,$B$4:B46))</f>
        <v>42</v>
      </c>
      <c r="B46" s="25" t="s">
        <v>439</v>
      </c>
      <c r="C46" s="25" t="str">
        <f t="shared" si="17"/>
        <v>Shipment 2 CO-SCR Duct</v>
      </c>
      <c r="D46" s="25" t="s">
        <v>441</v>
      </c>
      <c r="E46" s="25" t="s">
        <v>442</v>
      </c>
      <c r="F46" s="25"/>
      <c r="G46" s="65">
        <v>46204</v>
      </c>
      <c r="H46" s="25" t="s">
        <v>443</v>
      </c>
      <c r="I46" s="25" t="s">
        <v>444</v>
      </c>
      <c r="J46" s="26" t="s">
        <v>447</v>
      </c>
      <c r="K46" s="27" t="s">
        <v>86</v>
      </c>
      <c r="L46" s="28" t="s">
        <v>914</v>
      </c>
      <c r="M46" s="28" t="s">
        <v>71</v>
      </c>
      <c r="N46" s="25">
        <v>1</v>
      </c>
      <c r="O46" s="29">
        <v>8.7455882352941181</v>
      </c>
      <c r="P46" s="29">
        <v>8.7455882352941181</v>
      </c>
      <c r="Q46" s="25" t="s">
        <v>359</v>
      </c>
      <c r="R46" s="25"/>
      <c r="S46" s="26" t="s">
        <v>350</v>
      </c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8"/>
        <v>8.7455882352941181</v>
      </c>
      <c r="AF46" s="32">
        <f t="shared" si="19"/>
        <v>0</v>
      </c>
      <c r="AG46" s="30"/>
      <c r="AH46" s="33"/>
      <c r="AI46" s="34">
        <f t="shared" si="20"/>
        <v>0</v>
      </c>
      <c r="AJ46" s="35">
        <v>46312</v>
      </c>
      <c r="AK46" s="30">
        <v>1</v>
      </c>
      <c r="AL46" s="36">
        <f t="shared" si="4"/>
        <v>8.7455882352941181</v>
      </c>
      <c r="AM46" s="35">
        <v>46312</v>
      </c>
      <c r="AN46" s="30">
        <v>1</v>
      </c>
      <c r="AO46" s="36">
        <f t="shared" si="21"/>
        <v>8.7455882352941181</v>
      </c>
      <c r="AP46" s="35"/>
      <c r="AQ46" s="30"/>
      <c r="AR46" s="36">
        <f t="shared" si="22"/>
        <v>0</v>
      </c>
      <c r="AS46" s="27" t="s">
        <v>967</v>
      </c>
      <c r="AT46" s="37">
        <v>46312</v>
      </c>
      <c r="AU46" s="30">
        <v>1</v>
      </c>
      <c r="AV46" s="36">
        <f t="shared" si="23"/>
        <v>8.7455882352941181</v>
      </c>
      <c r="AW46" s="35"/>
      <c r="AX46" s="30"/>
      <c r="AY46" s="32">
        <f t="shared" si="24"/>
        <v>0</v>
      </c>
      <c r="AZ46" s="30" t="s">
        <v>440</v>
      </c>
      <c r="BA46" s="63"/>
      <c r="BB46" s="71"/>
      <c r="BC46" s="71" t="s">
        <v>87</v>
      </c>
      <c r="BD46" s="71"/>
    </row>
    <row r="47" spans="1:56" x14ac:dyDescent="0.25">
      <c r="A47" s="24">
        <f>IF(B47="","",SUBTOTAL(3,$B$4:B47))</f>
        <v>43</v>
      </c>
      <c r="B47" s="25" t="s">
        <v>439</v>
      </c>
      <c r="C47" s="25" t="str">
        <f t="shared" si="17"/>
        <v>Shipment 2 CO-SCR Duct</v>
      </c>
      <c r="D47" s="25" t="s">
        <v>441</v>
      </c>
      <c r="E47" s="25" t="s">
        <v>442</v>
      </c>
      <c r="F47" s="25"/>
      <c r="G47" s="65">
        <v>46204</v>
      </c>
      <c r="H47" s="25" t="s">
        <v>443</v>
      </c>
      <c r="I47" s="25" t="s">
        <v>444</v>
      </c>
      <c r="J47" s="26" t="s">
        <v>447</v>
      </c>
      <c r="K47" s="27" t="s">
        <v>86</v>
      </c>
      <c r="L47" s="28" t="s">
        <v>915</v>
      </c>
      <c r="M47" s="28" t="s">
        <v>71</v>
      </c>
      <c r="N47" s="25">
        <v>1</v>
      </c>
      <c r="O47" s="29">
        <v>8.7455882352941181</v>
      </c>
      <c r="P47" s="29">
        <v>8.7455882352941181</v>
      </c>
      <c r="Q47" s="25" t="s">
        <v>359</v>
      </c>
      <c r="R47" s="25"/>
      <c r="S47" s="26" t="s">
        <v>350</v>
      </c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8"/>
        <v>8.7455882352941181</v>
      </c>
      <c r="AF47" s="32">
        <f t="shared" si="19"/>
        <v>0</v>
      </c>
      <c r="AG47" s="30"/>
      <c r="AH47" s="33"/>
      <c r="AI47" s="34">
        <f t="shared" si="20"/>
        <v>0</v>
      </c>
      <c r="AJ47" s="35">
        <v>46312</v>
      </c>
      <c r="AK47" s="30">
        <v>1</v>
      </c>
      <c r="AL47" s="36">
        <f t="shared" si="4"/>
        <v>8.7455882352941181</v>
      </c>
      <c r="AM47" s="35">
        <v>46312</v>
      </c>
      <c r="AN47" s="30">
        <v>1</v>
      </c>
      <c r="AO47" s="36">
        <f t="shared" si="21"/>
        <v>8.7455882352941181</v>
      </c>
      <c r="AP47" s="35"/>
      <c r="AQ47" s="30"/>
      <c r="AR47" s="36">
        <f t="shared" si="22"/>
        <v>0</v>
      </c>
      <c r="AS47" s="27" t="s">
        <v>967</v>
      </c>
      <c r="AT47" s="37">
        <v>46312</v>
      </c>
      <c r="AU47" s="30">
        <v>1</v>
      </c>
      <c r="AV47" s="36">
        <f t="shared" si="23"/>
        <v>8.7455882352941181</v>
      </c>
      <c r="AW47" s="35"/>
      <c r="AX47" s="30"/>
      <c r="AY47" s="32">
        <f t="shared" si="24"/>
        <v>0</v>
      </c>
      <c r="AZ47" s="30" t="s">
        <v>440</v>
      </c>
      <c r="BA47" s="63"/>
      <c r="BB47" s="71"/>
      <c r="BC47" s="71" t="s">
        <v>87</v>
      </c>
      <c r="BD47" s="71"/>
    </row>
    <row r="48" spans="1:56" x14ac:dyDescent="0.25">
      <c r="A48" s="24">
        <f>IF(B48="","",SUBTOTAL(3,$B$4:B48))</f>
        <v>44</v>
      </c>
      <c r="B48" s="25" t="s">
        <v>439</v>
      </c>
      <c r="C48" s="25" t="str">
        <f t="shared" si="17"/>
        <v>Shipment 2 CO-SCR Duct</v>
      </c>
      <c r="D48" s="25" t="s">
        <v>441</v>
      </c>
      <c r="E48" s="25" t="s">
        <v>442</v>
      </c>
      <c r="F48" s="25"/>
      <c r="G48" s="65">
        <v>46204</v>
      </c>
      <c r="H48" s="25" t="s">
        <v>443</v>
      </c>
      <c r="I48" s="25" t="s">
        <v>444</v>
      </c>
      <c r="J48" s="26" t="s">
        <v>447</v>
      </c>
      <c r="K48" s="27" t="s">
        <v>86</v>
      </c>
      <c r="L48" s="28" t="s">
        <v>916</v>
      </c>
      <c r="M48" s="28" t="s">
        <v>71</v>
      </c>
      <c r="N48" s="25">
        <v>1</v>
      </c>
      <c r="O48" s="29">
        <v>8.7455882352941181</v>
      </c>
      <c r="P48" s="29">
        <v>8.7455882352941181</v>
      </c>
      <c r="Q48" s="25" t="s">
        <v>359</v>
      </c>
      <c r="R48" s="25"/>
      <c r="S48" s="26" t="s">
        <v>350</v>
      </c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8"/>
        <v>8.7455882352941181</v>
      </c>
      <c r="AF48" s="32">
        <f t="shared" si="19"/>
        <v>0</v>
      </c>
      <c r="AG48" s="30"/>
      <c r="AH48" s="33"/>
      <c r="AI48" s="34">
        <f t="shared" si="20"/>
        <v>0</v>
      </c>
      <c r="AJ48" s="35">
        <v>46312</v>
      </c>
      <c r="AK48" s="30">
        <v>1</v>
      </c>
      <c r="AL48" s="36">
        <f t="shared" si="4"/>
        <v>8.7455882352941181</v>
      </c>
      <c r="AM48" s="35">
        <v>46312</v>
      </c>
      <c r="AN48" s="30">
        <v>1</v>
      </c>
      <c r="AO48" s="36">
        <f t="shared" si="21"/>
        <v>8.7455882352941181</v>
      </c>
      <c r="AP48" s="35"/>
      <c r="AQ48" s="30"/>
      <c r="AR48" s="36">
        <f t="shared" si="22"/>
        <v>0</v>
      </c>
      <c r="AS48" s="27" t="s">
        <v>967</v>
      </c>
      <c r="AT48" s="37">
        <v>46312</v>
      </c>
      <c r="AU48" s="30">
        <v>1</v>
      </c>
      <c r="AV48" s="36">
        <f t="shared" si="23"/>
        <v>8.7455882352941181</v>
      </c>
      <c r="AW48" s="35"/>
      <c r="AX48" s="30"/>
      <c r="AY48" s="32">
        <f t="shared" si="24"/>
        <v>0</v>
      </c>
      <c r="AZ48" s="30" t="s">
        <v>440</v>
      </c>
      <c r="BA48" s="63"/>
      <c r="BB48" s="71"/>
      <c r="BC48" s="71" t="s">
        <v>87</v>
      </c>
      <c r="BD48" s="71"/>
    </row>
    <row r="49" spans="1:56" x14ac:dyDescent="0.25">
      <c r="A49" s="24">
        <f>IF(B49="","",SUBTOTAL(3,$B$4:B49))</f>
        <v>45</v>
      </c>
      <c r="B49" s="25" t="s">
        <v>439</v>
      </c>
      <c r="C49" s="25" t="str">
        <f t="shared" si="17"/>
        <v>Shipment 2 CO-SCR Duct</v>
      </c>
      <c r="D49" s="25" t="s">
        <v>441</v>
      </c>
      <c r="E49" s="25" t="s">
        <v>442</v>
      </c>
      <c r="F49" s="25"/>
      <c r="G49" s="65">
        <v>46204</v>
      </c>
      <c r="H49" s="25" t="s">
        <v>443</v>
      </c>
      <c r="I49" s="25" t="s">
        <v>444</v>
      </c>
      <c r="J49" s="26" t="s">
        <v>447</v>
      </c>
      <c r="K49" s="27" t="s">
        <v>86</v>
      </c>
      <c r="L49" s="28" t="s">
        <v>917</v>
      </c>
      <c r="M49" s="28" t="s">
        <v>71</v>
      </c>
      <c r="N49" s="25">
        <v>1</v>
      </c>
      <c r="O49" s="29">
        <v>8.7455882352941181</v>
      </c>
      <c r="P49" s="29">
        <v>8.7455882352941181</v>
      </c>
      <c r="Q49" s="25" t="s">
        <v>359</v>
      </c>
      <c r="R49" s="25"/>
      <c r="S49" s="26" t="s">
        <v>350</v>
      </c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8"/>
        <v>8.7455882352941181</v>
      </c>
      <c r="AF49" s="32">
        <f t="shared" si="19"/>
        <v>0</v>
      </c>
      <c r="AG49" s="30"/>
      <c r="AH49" s="33"/>
      <c r="AI49" s="34">
        <f t="shared" si="20"/>
        <v>0</v>
      </c>
      <c r="AJ49" s="35">
        <v>46312</v>
      </c>
      <c r="AK49" s="30">
        <v>1</v>
      </c>
      <c r="AL49" s="36">
        <f t="shared" si="4"/>
        <v>8.7455882352941181</v>
      </c>
      <c r="AM49" s="35">
        <v>46312</v>
      </c>
      <c r="AN49" s="30">
        <v>1</v>
      </c>
      <c r="AO49" s="36">
        <f t="shared" si="21"/>
        <v>8.7455882352941181</v>
      </c>
      <c r="AP49" s="35"/>
      <c r="AQ49" s="30"/>
      <c r="AR49" s="36">
        <f t="shared" si="22"/>
        <v>0</v>
      </c>
      <c r="AS49" s="27" t="s">
        <v>967</v>
      </c>
      <c r="AT49" s="37">
        <v>46312</v>
      </c>
      <c r="AU49" s="30">
        <v>1</v>
      </c>
      <c r="AV49" s="36">
        <f t="shared" si="23"/>
        <v>8.7455882352941181</v>
      </c>
      <c r="AW49" s="35"/>
      <c r="AX49" s="30"/>
      <c r="AY49" s="32">
        <f t="shared" si="24"/>
        <v>0</v>
      </c>
      <c r="AZ49" s="30" t="s">
        <v>440</v>
      </c>
      <c r="BA49" s="63"/>
      <c r="BB49" s="71"/>
      <c r="BC49" s="71" t="s">
        <v>87</v>
      </c>
      <c r="BD49" s="71"/>
    </row>
    <row r="50" spans="1:56" x14ac:dyDescent="0.25">
      <c r="A50" s="24">
        <f>IF(B50="","",SUBTOTAL(3,$B$4:B50))</f>
        <v>46</v>
      </c>
      <c r="B50" s="25" t="s">
        <v>439</v>
      </c>
      <c r="C50" s="25" t="str">
        <f t="shared" si="17"/>
        <v>Shipment 2 CO-SCR Duct</v>
      </c>
      <c r="D50" s="25" t="s">
        <v>441</v>
      </c>
      <c r="E50" s="25" t="s">
        <v>442</v>
      </c>
      <c r="F50" s="25"/>
      <c r="G50" s="65">
        <v>46204</v>
      </c>
      <c r="H50" s="25" t="s">
        <v>443</v>
      </c>
      <c r="I50" s="25" t="s">
        <v>444</v>
      </c>
      <c r="J50" s="26" t="s">
        <v>447</v>
      </c>
      <c r="K50" s="27" t="s">
        <v>86</v>
      </c>
      <c r="L50" s="28" t="s">
        <v>918</v>
      </c>
      <c r="M50" s="28" t="s">
        <v>71</v>
      </c>
      <c r="N50" s="25">
        <v>1</v>
      </c>
      <c r="O50" s="29">
        <v>8.7455882352941181</v>
      </c>
      <c r="P50" s="29">
        <v>8.7455882352941181</v>
      </c>
      <c r="Q50" s="25" t="s">
        <v>359</v>
      </c>
      <c r="R50" s="25"/>
      <c r="S50" s="26" t="s">
        <v>350</v>
      </c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8"/>
        <v>8.7455882352941181</v>
      </c>
      <c r="AF50" s="32">
        <f t="shared" si="19"/>
        <v>0</v>
      </c>
      <c r="AG50" s="30"/>
      <c r="AH50" s="33"/>
      <c r="AI50" s="34">
        <f t="shared" si="20"/>
        <v>0</v>
      </c>
      <c r="AJ50" s="35">
        <v>46312</v>
      </c>
      <c r="AK50" s="30">
        <v>1</v>
      </c>
      <c r="AL50" s="36">
        <f t="shared" si="4"/>
        <v>8.7455882352941181</v>
      </c>
      <c r="AM50" s="35">
        <v>46312</v>
      </c>
      <c r="AN50" s="30">
        <v>1</v>
      </c>
      <c r="AO50" s="36">
        <f t="shared" si="21"/>
        <v>8.7455882352941181</v>
      </c>
      <c r="AP50" s="35"/>
      <c r="AQ50" s="30"/>
      <c r="AR50" s="36">
        <f t="shared" si="22"/>
        <v>0</v>
      </c>
      <c r="AS50" s="27" t="s">
        <v>967</v>
      </c>
      <c r="AT50" s="37">
        <v>46312</v>
      </c>
      <c r="AU50" s="30">
        <v>1</v>
      </c>
      <c r="AV50" s="36">
        <f t="shared" si="23"/>
        <v>8.7455882352941181</v>
      </c>
      <c r="AW50" s="35"/>
      <c r="AX50" s="30"/>
      <c r="AY50" s="32">
        <f t="shared" si="24"/>
        <v>0</v>
      </c>
      <c r="AZ50" s="30" t="s">
        <v>440</v>
      </c>
      <c r="BA50" s="63"/>
      <c r="BB50" s="71"/>
      <c r="BC50" s="71" t="s">
        <v>87</v>
      </c>
      <c r="BD50" s="71"/>
    </row>
    <row r="51" spans="1:56" x14ac:dyDescent="0.25">
      <c r="A51" s="24">
        <f>IF(B51="","",SUBTOTAL(3,$B$4:B51))</f>
        <v>47</v>
      </c>
      <c r="B51" s="25" t="s">
        <v>439</v>
      </c>
      <c r="C51" s="25" t="str">
        <f t="shared" si="17"/>
        <v>Shipment 2 CO-SCR Duct</v>
      </c>
      <c r="D51" s="25" t="s">
        <v>441</v>
      </c>
      <c r="E51" s="25" t="s">
        <v>442</v>
      </c>
      <c r="F51" s="25"/>
      <c r="G51" s="65">
        <v>46204</v>
      </c>
      <c r="H51" s="25" t="s">
        <v>443</v>
      </c>
      <c r="I51" s="25" t="s">
        <v>444</v>
      </c>
      <c r="J51" s="26" t="s">
        <v>447</v>
      </c>
      <c r="K51" s="27" t="s">
        <v>86</v>
      </c>
      <c r="L51" s="28" t="s">
        <v>919</v>
      </c>
      <c r="M51" s="28" t="s">
        <v>71</v>
      </c>
      <c r="N51" s="25">
        <v>1</v>
      </c>
      <c r="O51" s="29">
        <v>8.7455882352941181</v>
      </c>
      <c r="P51" s="29">
        <v>8.7455882352941181</v>
      </c>
      <c r="Q51" s="25" t="s">
        <v>359</v>
      </c>
      <c r="R51" s="25"/>
      <c r="S51" s="26" t="s">
        <v>350</v>
      </c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8"/>
        <v>8.7455882352941181</v>
      </c>
      <c r="AF51" s="32">
        <f t="shared" si="19"/>
        <v>0</v>
      </c>
      <c r="AG51" s="30"/>
      <c r="AH51" s="33"/>
      <c r="AI51" s="34">
        <f t="shared" si="20"/>
        <v>0</v>
      </c>
      <c r="AJ51" s="35">
        <v>46312</v>
      </c>
      <c r="AK51" s="30">
        <v>1</v>
      </c>
      <c r="AL51" s="36">
        <f t="shared" si="4"/>
        <v>8.7455882352941181</v>
      </c>
      <c r="AM51" s="35">
        <v>46312</v>
      </c>
      <c r="AN51" s="30">
        <v>1</v>
      </c>
      <c r="AO51" s="36">
        <f t="shared" si="21"/>
        <v>8.7455882352941181</v>
      </c>
      <c r="AP51" s="35"/>
      <c r="AQ51" s="30"/>
      <c r="AR51" s="36">
        <f t="shared" si="22"/>
        <v>0</v>
      </c>
      <c r="AS51" s="27" t="s">
        <v>967</v>
      </c>
      <c r="AT51" s="37">
        <v>46312</v>
      </c>
      <c r="AU51" s="30">
        <v>1</v>
      </c>
      <c r="AV51" s="36">
        <f t="shared" si="23"/>
        <v>8.7455882352941181</v>
      </c>
      <c r="AW51" s="35"/>
      <c r="AX51" s="30"/>
      <c r="AY51" s="32">
        <f t="shared" si="24"/>
        <v>0</v>
      </c>
      <c r="AZ51" s="30" t="s">
        <v>440</v>
      </c>
      <c r="BA51" s="63"/>
      <c r="BB51" s="71"/>
      <c r="BC51" s="71" t="s">
        <v>87</v>
      </c>
      <c r="BD51" s="71"/>
    </row>
    <row r="52" spans="1:56" x14ac:dyDescent="0.25">
      <c r="A52" s="24">
        <f>IF(B52="","",SUBTOTAL(3,$B$4:B52))</f>
        <v>48</v>
      </c>
      <c r="B52" s="25" t="s">
        <v>439</v>
      </c>
      <c r="C52" s="25" t="str">
        <f t="shared" si="17"/>
        <v>Shipment 2 CO-SCR Duct</v>
      </c>
      <c r="D52" s="25" t="s">
        <v>441</v>
      </c>
      <c r="E52" s="25" t="s">
        <v>442</v>
      </c>
      <c r="F52" s="25"/>
      <c r="G52" s="65">
        <v>46204</v>
      </c>
      <c r="H52" s="25" t="s">
        <v>443</v>
      </c>
      <c r="I52" s="25" t="s">
        <v>444</v>
      </c>
      <c r="J52" s="26" t="s">
        <v>447</v>
      </c>
      <c r="K52" s="27" t="s">
        <v>86</v>
      </c>
      <c r="L52" s="28" t="s">
        <v>920</v>
      </c>
      <c r="M52" s="28" t="s">
        <v>71</v>
      </c>
      <c r="N52" s="25">
        <v>1</v>
      </c>
      <c r="O52" s="29">
        <v>8.7455882352941181</v>
      </c>
      <c r="P52" s="29">
        <v>8.7455882352941181</v>
      </c>
      <c r="Q52" s="25" t="s">
        <v>359</v>
      </c>
      <c r="R52" s="25"/>
      <c r="S52" s="26" t="s">
        <v>350</v>
      </c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8"/>
        <v>8.7455882352941181</v>
      </c>
      <c r="AF52" s="32">
        <f t="shared" si="19"/>
        <v>0</v>
      </c>
      <c r="AG52" s="30"/>
      <c r="AH52" s="33"/>
      <c r="AI52" s="34">
        <f t="shared" si="20"/>
        <v>0</v>
      </c>
      <c r="AJ52" s="35">
        <v>46312</v>
      </c>
      <c r="AK52" s="30">
        <v>1</v>
      </c>
      <c r="AL52" s="36">
        <f t="shared" si="4"/>
        <v>8.7455882352941181</v>
      </c>
      <c r="AM52" s="35">
        <v>46312</v>
      </c>
      <c r="AN52" s="30">
        <v>1</v>
      </c>
      <c r="AO52" s="36">
        <f t="shared" si="21"/>
        <v>8.7455882352941181</v>
      </c>
      <c r="AP52" s="35"/>
      <c r="AQ52" s="30"/>
      <c r="AR52" s="36">
        <f t="shared" si="22"/>
        <v>0</v>
      </c>
      <c r="AS52" s="27" t="s">
        <v>967</v>
      </c>
      <c r="AT52" s="37">
        <v>46312</v>
      </c>
      <c r="AU52" s="30">
        <v>1</v>
      </c>
      <c r="AV52" s="36">
        <f t="shared" si="23"/>
        <v>8.7455882352941181</v>
      </c>
      <c r="AW52" s="35"/>
      <c r="AX52" s="30"/>
      <c r="AY52" s="32">
        <f t="shared" si="24"/>
        <v>0</v>
      </c>
      <c r="AZ52" s="30" t="s">
        <v>440</v>
      </c>
      <c r="BA52" s="63"/>
      <c r="BB52" s="71"/>
      <c r="BC52" s="71" t="s">
        <v>87</v>
      </c>
      <c r="BD52" s="71"/>
    </row>
    <row r="53" spans="1:56" x14ac:dyDescent="0.25">
      <c r="A53" s="24">
        <f>IF(B53="","",SUBTOTAL(3,$B$4:B53))</f>
        <v>49</v>
      </c>
      <c r="B53" s="25" t="s">
        <v>439</v>
      </c>
      <c r="C53" s="25" t="str">
        <f t="shared" si="17"/>
        <v>Shipment 2 CO-SCR Duct</v>
      </c>
      <c r="D53" s="25" t="s">
        <v>441</v>
      </c>
      <c r="E53" s="25" t="s">
        <v>442</v>
      </c>
      <c r="F53" s="25"/>
      <c r="G53" s="65">
        <v>46204</v>
      </c>
      <c r="H53" s="25" t="s">
        <v>443</v>
      </c>
      <c r="I53" s="25" t="s">
        <v>444</v>
      </c>
      <c r="J53" s="26" t="s">
        <v>447</v>
      </c>
      <c r="K53" s="27" t="s">
        <v>86</v>
      </c>
      <c r="L53" s="28" t="s">
        <v>921</v>
      </c>
      <c r="M53" s="28" t="s">
        <v>71</v>
      </c>
      <c r="N53" s="25">
        <v>1</v>
      </c>
      <c r="O53" s="29">
        <v>8.7455882352941181</v>
      </c>
      <c r="P53" s="29">
        <v>8.7455882352941181</v>
      </c>
      <c r="Q53" s="25" t="s">
        <v>359</v>
      </c>
      <c r="R53" s="25"/>
      <c r="S53" s="26" t="s">
        <v>350</v>
      </c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8"/>
        <v>8.7455882352941181</v>
      </c>
      <c r="AF53" s="32">
        <f t="shared" si="19"/>
        <v>0</v>
      </c>
      <c r="AG53" s="30"/>
      <c r="AH53" s="33"/>
      <c r="AI53" s="34">
        <f t="shared" si="20"/>
        <v>0</v>
      </c>
      <c r="AJ53" s="35">
        <v>46312</v>
      </c>
      <c r="AK53" s="30">
        <v>1</v>
      </c>
      <c r="AL53" s="36">
        <f t="shared" si="4"/>
        <v>8.7455882352941181</v>
      </c>
      <c r="AM53" s="35">
        <v>46312</v>
      </c>
      <c r="AN53" s="30">
        <v>1</v>
      </c>
      <c r="AO53" s="36">
        <f t="shared" si="21"/>
        <v>8.7455882352941181</v>
      </c>
      <c r="AP53" s="35"/>
      <c r="AQ53" s="30"/>
      <c r="AR53" s="36">
        <f t="shared" si="22"/>
        <v>0</v>
      </c>
      <c r="AS53" s="27" t="s">
        <v>967</v>
      </c>
      <c r="AT53" s="37">
        <v>46312</v>
      </c>
      <c r="AU53" s="30">
        <v>1</v>
      </c>
      <c r="AV53" s="36">
        <f t="shared" si="23"/>
        <v>8.7455882352941181</v>
      </c>
      <c r="AW53" s="35"/>
      <c r="AX53" s="30"/>
      <c r="AY53" s="32">
        <f t="shared" si="24"/>
        <v>0</v>
      </c>
      <c r="AZ53" s="30" t="s">
        <v>440</v>
      </c>
      <c r="BA53" s="63"/>
      <c r="BB53" s="71"/>
      <c r="BC53" s="71" t="s">
        <v>87</v>
      </c>
      <c r="BD53" s="71"/>
    </row>
    <row r="54" spans="1:56" x14ac:dyDescent="0.25">
      <c r="A54" s="24">
        <f>IF(B54="","",SUBTOTAL(3,$B$4:B54))</f>
        <v>50</v>
      </c>
      <c r="B54" s="25" t="s">
        <v>439</v>
      </c>
      <c r="C54" s="25" t="str">
        <f t="shared" si="17"/>
        <v>Shipment 2 CO-SCR Duct</v>
      </c>
      <c r="D54" s="25" t="s">
        <v>441</v>
      </c>
      <c r="E54" s="25" t="s">
        <v>442</v>
      </c>
      <c r="F54" s="25"/>
      <c r="G54" s="65">
        <v>46204</v>
      </c>
      <c r="H54" s="25" t="s">
        <v>443</v>
      </c>
      <c r="I54" s="25" t="s">
        <v>444</v>
      </c>
      <c r="J54" s="26" t="s">
        <v>447</v>
      </c>
      <c r="K54" s="27" t="s">
        <v>86</v>
      </c>
      <c r="L54" s="28" t="s">
        <v>922</v>
      </c>
      <c r="M54" s="28" t="s">
        <v>71</v>
      </c>
      <c r="N54" s="25">
        <v>1</v>
      </c>
      <c r="O54" s="29">
        <v>8.7455882352941181</v>
      </c>
      <c r="P54" s="29">
        <v>8.7455882352941181</v>
      </c>
      <c r="Q54" s="25" t="s">
        <v>359</v>
      </c>
      <c r="R54" s="25"/>
      <c r="S54" s="26" t="s">
        <v>350</v>
      </c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8"/>
        <v>8.7455882352941181</v>
      </c>
      <c r="AF54" s="32">
        <f t="shared" si="19"/>
        <v>0</v>
      </c>
      <c r="AG54" s="30"/>
      <c r="AH54" s="33"/>
      <c r="AI54" s="34">
        <f t="shared" si="20"/>
        <v>0</v>
      </c>
      <c r="AJ54" s="35">
        <v>46312</v>
      </c>
      <c r="AK54" s="30">
        <v>1</v>
      </c>
      <c r="AL54" s="36">
        <f t="shared" si="4"/>
        <v>8.7455882352941181</v>
      </c>
      <c r="AM54" s="35">
        <v>46312</v>
      </c>
      <c r="AN54" s="30">
        <v>1</v>
      </c>
      <c r="AO54" s="36">
        <f t="shared" si="21"/>
        <v>8.7455882352941181</v>
      </c>
      <c r="AP54" s="35"/>
      <c r="AQ54" s="30"/>
      <c r="AR54" s="36">
        <f t="shared" si="22"/>
        <v>0</v>
      </c>
      <c r="AS54" s="27" t="s">
        <v>967</v>
      </c>
      <c r="AT54" s="37">
        <v>46312</v>
      </c>
      <c r="AU54" s="30">
        <v>1</v>
      </c>
      <c r="AV54" s="36">
        <f t="shared" si="23"/>
        <v>8.7455882352941181</v>
      </c>
      <c r="AW54" s="35"/>
      <c r="AX54" s="30"/>
      <c r="AY54" s="32">
        <f t="shared" si="24"/>
        <v>0</v>
      </c>
      <c r="AZ54" s="30" t="s">
        <v>440</v>
      </c>
      <c r="BA54" s="63"/>
      <c r="BB54" s="71"/>
      <c r="BC54" s="71" t="s">
        <v>87</v>
      </c>
      <c r="BD54" s="71"/>
    </row>
    <row r="55" spans="1:56" x14ac:dyDescent="0.25">
      <c r="A55" s="24">
        <f>IF(B55="","",SUBTOTAL(3,$B$4:B55))</f>
        <v>51</v>
      </c>
      <c r="B55" s="25" t="s">
        <v>439</v>
      </c>
      <c r="C55" s="25" t="str">
        <f t="shared" si="17"/>
        <v>Shipment 2 CO-SCR Duct</v>
      </c>
      <c r="D55" s="25" t="s">
        <v>441</v>
      </c>
      <c r="E55" s="25" t="s">
        <v>442</v>
      </c>
      <c r="F55" s="25"/>
      <c r="G55" s="65">
        <v>46204</v>
      </c>
      <c r="H55" s="25" t="s">
        <v>443</v>
      </c>
      <c r="I55" s="25" t="s">
        <v>444</v>
      </c>
      <c r="J55" s="26" t="s">
        <v>447</v>
      </c>
      <c r="K55" s="27" t="s">
        <v>86</v>
      </c>
      <c r="L55" s="28" t="s">
        <v>923</v>
      </c>
      <c r="M55" s="28" t="s">
        <v>71</v>
      </c>
      <c r="N55" s="25">
        <v>1</v>
      </c>
      <c r="O55" s="29">
        <v>8.7455882352941181</v>
      </c>
      <c r="P55" s="29">
        <v>8.7455882352941181</v>
      </c>
      <c r="Q55" s="25" t="s">
        <v>359</v>
      </c>
      <c r="R55" s="25"/>
      <c r="S55" s="26" t="s">
        <v>350</v>
      </c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8"/>
        <v>8.7455882352941181</v>
      </c>
      <c r="AF55" s="32">
        <f t="shared" si="19"/>
        <v>0</v>
      </c>
      <c r="AG55" s="30"/>
      <c r="AH55" s="33"/>
      <c r="AI55" s="34">
        <f t="shared" si="20"/>
        <v>0</v>
      </c>
      <c r="AJ55" s="35">
        <v>46312</v>
      </c>
      <c r="AK55" s="30">
        <v>1</v>
      </c>
      <c r="AL55" s="36">
        <f t="shared" si="4"/>
        <v>8.7455882352941181</v>
      </c>
      <c r="AM55" s="35">
        <v>46312</v>
      </c>
      <c r="AN55" s="30">
        <v>1</v>
      </c>
      <c r="AO55" s="36">
        <f t="shared" si="21"/>
        <v>8.7455882352941181</v>
      </c>
      <c r="AP55" s="35"/>
      <c r="AQ55" s="30"/>
      <c r="AR55" s="36">
        <f t="shared" si="22"/>
        <v>0</v>
      </c>
      <c r="AS55" s="27" t="s">
        <v>967</v>
      </c>
      <c r="AT55" s="37">
        <v>46312</v>
      </c>
      <c r="AU55" s="30">
        <v>1</v>
      </c>
      <c r="AV55" s="36">
        <f t="shared" si="23"/>
        <v>8.7455882352941181</v>
      </c>
      <c r="AW55" s="35"/>
      <c r="AX55" s="30"/>
      <c r="AY55" s="32">
        <f t="shared" si="24"/>
        <v>0</v>
      </c>
      <c r="AZ55" s="30" t="s">
        <v>440</v>
      </c>
      <c r="BA55" s="63"/>
      <c r="BB55" s="71"/>
      <c r="BC55" s="71" t="s">
        <v>87</v>
      </c>
      <c r="BD55" s="71"/>
    </row>
    <row r="56" spans="1:56" x14ac:dyDescent="0.25">
      <c r="A56" s="24">
        <f>IF(B56="","",SUBTOTAL(3,$B$4:B56))</f>
        <v>52</v>
      </c>
      <c r="B56" s="25" t="s">
        <v>439</v>
      </c>
      <c r="C56" s="25" t="str">
        <f t="shared" si="17"/>
        <v>Shipment 2 CO-SCR Duct</v>
      </c>
      <c r="D56" s="25" t="s">
        <v>441</v>
      </c>
      <c r="E56" s="25" t="s">
        <v>442</v>
      </c>
      <c r="F56" s="25"/>
      <c r="G56" s="65">
        <v>46204</v>
      </c>
      <c r="H56" s="25" t="s">
        <v>443</v>
      </c>
      <c r="I56" s="25" t="s">
        <v>444</v>
      </c>
      <c r="J56" s="26" t="s">
        <v>447</v>
      </c>
      <c r="K56" s="27" t="s">
        <v>86</v>
      </c>
      <c r="L56" s="28" t="s">
        <v>924</v>
      </c>
      <c r="M56" s="28" t="s">
        <v>71</v>
      </c>
      <c r="N56" s="25">
        <v>1</v>
      </c>
      <c r="O56" s="29">
        <v>8.7455882352941181</v>
      </c>
      <c r="P56" s="29">
        <v>8.7455882352941181</v>
      </c>
      <c r="Q56" s="25" t="s">
        <v>359</v>
      </c>
      <c r="R56" s="25"/>
      <c r="S56" s="26" t="s">
        <v>350</v>
      </c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8"/>
        <v>8.7455882352941181</v>
      </c>
      <c r="AF56" s="32">
        <f t="shared" si="19"/>
        <v>0</v>
      </c>
      <c r="AG56" s="30"/>
      <c r="AH56" s="33"/>
      <c r="AI56" s="34">
        <f t="shared" si="20"/>
        <v>0</v>
      </c>
      <c r="AJ56" s="35">
        <v>46312</v>
      </c>
      <c r="AK56" s="30">
        <v>1</v>
      </c>
      <c r="AL56" s="36">
        <f t="shared" si="4"/>
        <v>8.7455882352941181</v>
      </c>
      <c r="AM56" s="35">
        <v>46312</v>
      </c>
      <c r="AN56" s="30">
        <v>1</v>
      </c>
      <c r="AO56" s="36">
        <f t="shared" si="21"/>
        <v>8.7455882352941181</v>
      </c>
      <c r="AP56" s="35"/>
      <c r="AQ56" s="30"/>
      <c r="AR56" s="36">
        <f t="shared" si="22"/>
        <v>0</v>
      </c>
      <c r="AS56" s="27" t="s">
        <v>967</v>
      </c>
      <c r="AT56" s="37">
        <v>46312</v>
      </c>
      <c r="AU56" s="30">
        <v>1</v>
      </c>
      <c r="AV56" s="36">
        <f t="shared" si="23"/>
        <v>8.7455882352941181</v>
      </c>
      <c r="AW56" s="35"/>
      <c r="AX56" s="30"/>
      <c r="AY56" s="32">
        <f t="shared" si="24"/>
        <v>0</v>
      </c>
      <c r="AZ56" s="30" t="s">
        <v>440</v>
      </c>
      <c r="BA56" s="63"/>
      <c r="BB56" s="71"/>
      <c r="BC56" s="71" t="s">
        <v>87</v>
      </c>
      <c r="BD56" s="71"/>
    </row>
    <row r="57" spans="1:56" x14ac:dyDescent="0.25">
      <c r="A57" s="24">
        <f>IF(B57="","",SUBTOTAL(3,$B$4:B57))</f>
        <v>53</v>
      </c>
      <c r="B57" s="25" t="s">
        <v>439</v>
      </c>
      <c r="C57" s="25" t="str">
        <f t="shared" si="17"/>
        <v>Shipment 2 CO-SCR Duct</v>
      </c>
      <c r="D57" s="25" t="s">
        <v>441</v>
      </c>
      <c r="E57" s="25" t="s">
        <v>442</v>
      </c>
      <c r="F57" s="25"/>
      <c r="G57" s="65">
        <v>46204</v>
      </c>
      <c r="H57" s="25" t="s">
        <v>443</v>
      </c>
      <c r="I57" s="25" t="s">
        <v>444</v>
      </c>
      <c r="J57" s="26" t="s">
        <v>447</v>
      </c>
      <c r="K57" s="27" t="s">
        <v>86</v>
      </c>
      <c r="L57" s="28" t="s">
        <v>925</v>
      </c>
      <c r="M57" s="28" t="s">
        <v>71</v>
      </c>
      <c r="N57" s="25">
        <v>1</v>
      </c>
      <c r="O57" s="29">
        <v>8.7455882352941181</v>
      </c>
      <c r="P57" s="29">
        <v>8.7455882352941181</v>
      </c>
      <c r="Q57" s="25" t="s">
        <v>359</v>
      </c>
      <c r="R57" s="25"/>
      <c r="S57" s="26" t="s">
        <v>350</v>
      </c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8"/>
        <v>8.7455882352941181</v>
      </c>
      <c r="AF57" s="32">
        <f t="shared" si="19"/>
        <v>0</v>
      </c>
      <c r="AG57" s="30"/>
      <c r="AH57" s="33"/>
      <c r="AI57" s="34">
        <f t="shared" si="20"/>
        <v>0</v>
      </c>
      <c r="AJ57" s="35">
        <v>46312</v>
      </c>
      <c r="AK57" s="30">
        <v>1</v>
      </c>
      <c r="AL57" s="36">
        <f t="shared" si="4"/>
        <v>8.7455882352941181</v>
      </c>
      <c r="AM57" s="35">
        <v>46312</v>
      </c>
      <c r="AN57" s="30">
        <v>1</v>
      </c>
      <c r="AO57" s="36">
        <f t="shared" si="21"/>
        <v>8.7455882352941181</v>
      </c>
      <c r="AP57" s="35"/>
      <c r="AQ57" s="30"/>
      <c r="AR57" s="36">
        <f t="shared" si="22"/>
        <v>0</v>
      </c>
      <c r="AS57" s="27" t="s">
        <v>967</v>
      </c>
      <c r="AT57" s="37">
        <v>46312</v>
      </c>
      <c r="AU57" s="30">
        <v>1</v>
      </c>
      <c r="AV57" s="36">
        <f t="shared" si="23"/>
        <v>8.7455882352941181</v>
      </c>
      <c r="AW57" s="35"/>
      <c r="AX57" s="30"/>
      <c r="AY57" s="32">
        <f t="shared" si="24"/>
        <v>0</v>
      </c>
      <c r="AZ57" s="30" t="s">
        <v>440</v>
      </c>
      <c r="BA57" s="63"/>
      <c r="BB57" s="71"/>
      <c r="BC57" s="71" t="s">
        <v>87</v>
      </c>
      <c r="BD57" s="71"/>
    </row>
    <row r="58" spans="1:56" x14ac:dyDescent="0.25">
      <c r="A58" s="24">
        <f>IF(B58="","",SUBTOTAL(3,$B$4:B58))</f>
        <v>54</v>
      </c>
      <c r="B58" s="25" t="s">
        <v>439</v>
      </c>
      <c r="C58" s="25" t="str">
        <f t="shared" si="17"/>
        <v>Shipment 2 CO-SCR Duct</v>
      </c>
      <c r="D58" s="25" t="s">
        <v>441</v>
      </c>
      <c r="E58" s="25" t="s">
        <v>442</v>
      </c>
      <c r="F58" s="25"/>
      <c r="G58" s="65">
        <v>46204</v>
      </c>
      <c r="H58" s="25" t="s">
        <v>443</v>
      </c>
      <c r="I58" s="25" t="s">
        <v>444</v>
      </c>
      <c r="J58" s="26" t="s">
        <v>447</v>
      </c>
      <c r="K58" s="27" t="s">
        <v>86</v>
      </c>
      <c r="L58" s="28" t="s">
        <v>926</v>
      </c>
      <c r="M58" s="28" t="s">
        <v>71</v>
      </c>
      <c r="N58" s="25">
        <v>1</v>
      </c>
      <c r="O58" s="29">
        <v>8.7455882352941181</v>
      </c>
      <c r="P58" s="29">
        <v>8.7455882352941181</v>
      </c>
      <c r="Q58" s="25" t="s">
        <v>359</v>
      </c>
      <c r="R58" s="25"/>
      <c r="S58" s="26" t="s">
        <v>350</v>
      </c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8"/>
        <v>8.7455882352941181</v>
      </c>
      <c r="AF58" s="32">
        <f t="shared" si="19"/>
        <v>0</v>
      </c>
      <c r="AG58" s="30"/>
      <c r="AH58" s="33"/>
      <c r="AI58" s="34">
        <f t="shared" si="20"/>
        <v>0</v>
      </c>
      <c r="AJ58" s="35">
        <v>46312</v>
      </c>
      <c r="AK58" s="30">
        <v>1</v>
      </c>
      <c r="AL58" s="36">
        <f t="shared" si="4"/>
        <v>8.7455882352941181</v>
      </c>
      <c r="AM58" s="35">
        <v>46312</v>
      </c>
      <c r="AN58" s="30">
        <v>1</v>
      </c>
      <c r="AO58" s="36">
        <f t="shared" si="21"/>
        <v>8.7455882352941181</v>
      </c>
      <c r="AP58" s="35"/>
      <c r="AQ58" s="30"/>
      <c r="AR58" s="36">
        <f t="shared" si="22"/>
        <v>0</v>
      </c>
      <c r="AS58" s="27" t="s">
        <v>967</v>
      </c>
      <c r="AT58" s="37">
        <v>46312</v>
      </c>
      <c r="AU58" s="30">
        <v>1</v>
      </c>
      <c r="AV58" s="36">
        <f t="shared" si="23"/>
        <v>8.7455882352941181</v>
      </c>
      <c r="AW58" s="35"/>
      <c r="AX58" s="30"/>
      <c r="AY58" s="32">
        <f t="shared" si="24"/>
        <v>0</v>
      </c>
      <c r="AZ58" s="30" t="s">
        <v>440</v>
      </c>
      <c r="BA58" s="63"/>
      <c r="BB58" s="71"/>
      <c r="BC58" s="71" t="s">
        <v>87</v>
      </c>
      <c r="BD58" s="71"/>
    </row>
    <row r="59" spans="1:56" x14ac:dyDescent="0.25">
      <c r="A59" s="24">
        <f>IF(B59="","",SUBTOTAL(3,$B$4:B59))</f>
        <v>55</v>
      </c>
      <c r="B59" s="25" t="s">
        <v>439</v>
      </c>
      <c r="C59" s="25" t="str">
        <f t="shared" si="17"/>
        <v>Shipment 2 CO-SCR Duct</v>
      </c>
      <c r="D59" s="25" t="s">
        <v>441</v>
      </c>
      <c r="E59" s="25" t="s">
        <v>442</v>
      </c>
      <c r="F59" s="25"/>
      <c r="G59" s="65">
        <v>46204</v>
      </c>
      <c r="H59" s="25" t="s">
        <v>443</v>
      </c>
      <c r="I59" s="25" t="s">
        <v>444</v>
      </c>
      <c r="J59" s="26" t="s">
        <v>447</v>
      </c>
      <c r="K59" s="27" t="s">
        <v>86</v>
      </c>
      <c r="L59" s="28" t="s">
        <v>927</v>
      </c>
      <c r="M59" s="28" t="s">
        <v>71</v>
      </c>
      <c r="N59" s="25">
        <v>1</v>
      </c>
      <c r="O59" s="29">
        <v>8.7455882352941181</v>
      </c>
      <c r="P59" s="29">
        <v>8.7455882352941181</v>
      </c>
      <c r="Q59" s="25" t="s">
        <v>359</v>
      </c>
      <c r="R59" s="25"/>
      <c r="S59" s="26" t="s">
        <v>350</v>
      </c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8"/>
        <v>8.7455882352941181</v>
      </c>
      <c r="AF59" s="32">
        <f t="shared" si="19"/>
        <v>0</v>
      </c>
      <c r="AG59" s="30"/>
      <c r="AH59" s="33"/>
      <c r="AI59" s="34">
        <f t="shared" si="20"/>
        <v>0</v>
      </c>
      <c r="AJ59" s="35">
        <v>46312</v>
      </c>
      <c r="AK59" s="30">
        <v>1</v>
      </c>
      <c r="AL59" s="36">
        <f t="shared" si="4"/>
        <v>8.7455882352941181</v>
      </c>
      <c r="AM59" s="35">
        <v>46312</v>
      </c>
      <c r="AN59" s="30">
        <v>1</v>
      </c>
      <c r="AO59" s="36">
        <f t="shared" si="21"/>
        <v>8.7455882352941181</v>
      </c>
      <c r="AP59" s="35"/>
      <c r="AQ59" s="30"/>
      <c r="AR59" s="36">
        <f t="shared" si="22"/>
        <v>0</v>
      </c>
      <c r="AS59" s="27" t="s">
        <v>967</v>
      </c>
      <c r="AT59" s="37">
        <v>46312</v>
      </c>
      <c r="AU59" s="30">
        <v>1</v>
      </c>
      <c r="AV59" s="36">
        <f t="shared" si="23"/>
        <v>8.7455882352941181</v>
      </c>
      <c r="AW59" s="35"/>
      <c r="AX59" s="30"/>
      <c r="AY59" s="32">
        <f t="shared" si="24"/>
        <v>0</v>
      </c>
      <c r="AZ59" s="30" t="s">
        <v>440</v>
      </c>
      <c r="BA59" s="63"/>
      <c r="BB59" s="71"/>
      <c r="BC59" s="71" t="s">
        <v>87</v>
      </c>
      <c r="BD59" s="71"/>
    </row>
    <row r="60" spans="1:56" x14ac:dyDescent="0.25">
      <c r="A60" s="24">
        <f>IF(B60="","",SUBTOTAL(3,$B$4:B60))</f>
        <v>56</v>
      </c>
      <c r="B60" s="25" t="s">
        <v>439</v>
      </c>
      <c r="C60" s="25" t="str">
        <f t="shared" si="17"/>
        <v>Shipment 2 CO-SCR Duct</v>
      </c>
      <c r="D60" s="25" t="s">
        <v>441</v>
      </c>
      <c r="E60" s="25" t="s">
        <v>442</v>
      </c>
      <c r="F60" s="25"/>
      <c r="G60" s="65">
        <v>46204</v>
      </c>
      <c r="H60" s="25" t="s">
        <v>443</v>
      </c>
      <c r="I60" s="25" t="s">
        <v>444</v>
      </c>
      <c r="J60" s="26" t="s">
        <v>447</v>
      </c>
      <c r="K60" s="27" t="s">
        <v>86</v>
      </c>
      <c r="L60" s="28" t="s">
        <v>928</v>
      </c>
      <c r="M60" s="28" t="s">
        <v>71</v>
      </c>
      <c r="N60" s="25">
        <v>1</v>
      </c>
      <c r="O60" s="29">
        <v>8.7455882352941181</v>
      </c>
      <c r="P60" s="29">
        <v>8.7455882352941181</v>
      </c>
      <c r="Q60" s="25" t="s">
        <v>359</v>
      </c>
      <c r="R60" s="25"/>
      <c r="S60" s="26" t="s">
        <v>350</v>
      </c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8"/>
        <v>8.7455882352941181</v>
      </c>
      <c r="AF60" s="32">
        <f t="shared" si="19"/>
        <v>0</v>
      </c>
      <c r="AG60" s="30"/>
      <c r="AH60" s="33"/>
      <c r="AI60" s="34">
        <f t="shared" si="20"/>
        <v>0</v>
      </c>
      <c r="AJ60" s="35">
        <v>46312</v>
      </c>
      <c r="AK60" s="30">
        <v>1</v>
      </c>
      <c r="AL60" s="36">
        <f t="shared" si="4"/>
        <v>8.7455882352941181</v>
      </c>
      <c r="AM60" s="35">
        <v>46312</v>
      </c>
      <c r="AN60" s="30">
        <v>1</v>
      </c>
      <c r="AO60" s="36">
        <f t="shared" si="21"/>
        <v>8.7455882352941181</v>
      </c>
      <c r="AP60" s="35"/>
      <c r="AQ60" s="30"/>
      <c r="AR60" s="36">
        <f t="shared" si="22"/>
        <v>0</v>
      </c>
      <c r="AS60" s="27" t="s">
        <v>967</v>
      </c>
      <c r="AT60" s="37">
        <v>46312</v>
      </c>
      <c r="AU60" s="30">
        <v>1</v>
      </c>
      <c r="AV60" s="36">
        <f t="shared" si="23"/>
        <v>8.7455882352941181</v>
      </c>
      <c r="AW60" s="35"/>
      <c r="AX60" s="30"/>
      <c r="AY60" s="32">
        <f t="shared" si="24"/>
        <v>0</v>
      </c>
      <c r="AZ60" s="30" t="s">
        <v>440</v>
      </c>
      <c r="BA60" s="63"/>
      <c r="BB60" s="71"/>
      <c r="BC60" s="71" t="s">
        <v>87</v>
      </c>
      <c r="BD60" s="71"/>
    </row>
    <row r="61" spans="1:56" x14ac:dyDescent="0.25">
      <c r="A61" s="24">
        <f>IF(B61="","",SUBTOTAL(3,$B$4:B61))</f>
        <v>57</v>
      </c>
      <c r="B61" s="25" t="s">
        <v>439</v>
      </c>
      <c r="C61" s="25" t="str">
        <f t="shared" si="17"/>
        <v>Shipment 2 CO-SCR Duct</v>
      </c>
      <c r="D61" s="25" t="s">
        <v>441</v>
      </c>
      <c r="E61" s="25" t="s">
        <v>442</v>
      </c>
      <c r="F61" s="25"/>
      <c r="G61" s="65">
        <v>46204</v>
      </c>
      <c r="H61" s="25" t="s">
        <v>443</v>
      </c>
      <c r="I61" s="25" t="s">
        <v>444</v>
      </c>
      <c r="J61" s="26" t="s">
        <v>447</v>
      </c>
      <c r="K61" s="27" t="s">
        <v>86</v>
      </c>
      <c r="L61" s="28" t="s">
        <v>929</v>
      </c>
      <c r="M61" s="28" t="s">
        <v>71</v>
      </c>
      <c r="N61" s="25">
        <v>1</v>
      </c>
      <c r="O61" s="29">
        <v>8.7455882352941181</v>
      </c>
      <c r="P61" s="29">
        <v>8.7455882352941181</v>
      </c>
      <c r="Q61" s="25" t="s">
        <v>359</v>
      </c>
      <c r="R61" s="25"/>
      <c r="S61" s="26" t="s">
        <v>350</v>
      </c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8"/>
        <v>8.7455882352941181</v>
      </c>
      <c r="AF61" s="32">
        <f t="shared" si="19"/>
        <v>0</v>
      </c>
      <c r="AG61" s="30"/>
      <c r="AH61" s="33"/>
      <c r="AI61" s="34">
        <f t="shared" si="20"/>
        <v>0</v>
      </c>
      <c r="AJ61" s="35">
        <v>46312</v>
      </c>
      <c r="AK61" s="30">
        <v>1</v>
      </c>
      <c r="AL61" s="36">
        <f t="shared" si="4"/>
        <v>8.7455882352941181</v>
      </c>
      <c r="AM61" s="35">
        <v>46312</v>
      </c>
      <c r="AN61" s="30">
        <v>1</v>
      </c>
      <c r="AO61" s="36">
        <f t="shared" si="21"/>
        <v>8.7455882352941181</v>
      </c>
      <c r="AP61" s="35"/>
      <c r="AQ61" s="30"/>
      <c r="AR61" s="36">
        <f t="shared" si="22"/>
        <v>0</v>
      </c>
      <c r="AS61" s="27" t="s">
        <v>967</v>
      </c>
      <c r="AT61" s="37">
        <v>46312</v>
      </c>
      <c r="AU61" s="30">
        <v>1</v>
      </c>
      <c r="AV61" s="36">
        <f t="shared" si="23"/>
        <v>8.7455882352941181</v>
      </c>
      <c r="AW61" s="35"/>
      <c r="AX61" s="30"/>
      <c r="AY61" s="32">
        <f t="shared" si="24"/>
        <v>0</v>
      </c>
      <c r="AZ61" s="30" t="s">
        <v>440</v>
      </c>
      <c r="BA61" s="63"/>
      <c r="BB61" s="71"/>
      <c r="BC61" s="71" t="s">
        <v>87</v>
      </c>
      <c r="BD61" s="71"/>
    </row>
    <row r="62" spans="1:56" x14ac:dyDescent="0.25">
      <c r="A62" s="24">
        <f>IF(B62="","",SUBTOTAL(3,$B$4:B62))</f>
        <v>58</v>
      </c>
      <c r="B62" s="25" t="s">
        <v>439</v>
      </c>
      <c r="C62" s="25" t="str">
        <f t="shared" si="17"/>
        <v>Shipment 2 CO-SCR Duct</v>
      </c>
      <c r="D62" s="25" t="s">
        <v>441</v>
      </c>
      <c r="E62" s="25" t="s">
        <v>442</v>
      </c>
      <c r="F62" s="25"/>
      <c r="G62" s="65">
        <v>46204</v>
      </c>
      <c r="H62" s="25" t="s">
        <v>443</v>
      </c>
      <c r="I62" s="25" t="s">
        <v>444</v>
      </c>
      <c r="J62" s="26" t="s">
        <v>447</v>
      </c>
      <c r="K62" s="27" t="s">
        <v>86</v>
      </c>
      <c r="L62" s="28" t="s">
        <v>930</v>
      </c>
      <c r="M62" s="28" t="s">
        <v>71</v>
      </c>
      <c r="N62" s="25">
        <v>1</v>
      </c>
      <c r="O62" s="29">
        <v>8.7455882352941181</v>
      </c>
      <c r="P62" s="29">
        <v>8.7455882352941181</v>
      </c>
      <c r="Q62" s="25" t="s">
        <v>359</v>
      </c>
      <c r="R62" s="25"/>
      <c r="S62" s="26" t="s">
        <v>350</v>
      </c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8"/>
        <v>8.7455882352941181</v>
      </c>
      <c r="AF62" s="32">
        <f t="shared" si="19"/>
        <v>0</v>
      </c>
      <c r="AG62" s="30"/>
      <c r="AH62" s="33"/>
      <c r="AI62" s="34">
        <f t="shared" si="20"/>
        <v>0</v>
      </c>
      <c r="AJ62" s="35">
        <v>46312</v>
      </c>
      <c r="AK62" s="30">
        <v>1</v>
      </c>
      <c r="AL62" s="36">
        <f t="shared" si="4"/>
        <v>8.7455882352941181</v>
      </c>
      <c r="AM62" s="35">
        <v>46312</v>
      </c>
      <c r="AN62" s="30">
        <v>1</v>
      </c>
      <c r="AO62" s="36">
        <f t="shared" si="21"/>
        <v>8.7455882352941181</v>
      </c>
      <c r="AP62" s="35"/>
      <c r="AQ62" s="30"/>
      <c r="AR62" s="36">
        <f t="shared" si="22"/>
        <v>0</v>
      </c>
      <c r="AS62" s="27" t="s">
        <v>967</v>
      </c>
      <c r="AT62" s="37">
        <v>46312</v>
      </c>
      <c r="AU62" s="30">
        <v>1</v>
      </c>
      <c r="AV62" s="36">
        <f t="shared" si="23"/>
        <v>8.7455882352941181</v>
      </c>
      <c r="AW62" s="35"/>
      <c r="AX62" s="30"/>
      <c r="AY62" s="32">
        <f t="shared" si="24"/>
        <v>0</v>
      </c>
      <c r="AZ62" s="30" t="s">
        <v>440</v>
      </c>
      <c r="BA62" s="63"/>
      <c r="BB62" s="71"/>
      <c r="BC62" s="71" t="s">
        <v>87</v>
      </c>
      <c r="BD62" s="71"/>
    </row>
    <row r="63" spans="1:56" x14ac:dyDescent="0.25">
      <c r="A63" s="24">
        <f>IF(B63="","",SUBTOTAL(3,$B$4:B63))</f>
        <v>59</v>
      </c>
      <c r="B63" s="25" t="s">
        <v>439</v>
      </c>
      <c r="C63" s="25" t="str">
        <f t="shared" si="17"/>
        <v>Shipment 2 CO-SCR Duct</v>
      </c>
      <c r="D63" s="25" t="s">
        <v>441</v>
      </c>
      <c r="E63" s="25" t="s">
        <v>442</v>
      </c>
      <c r="F63" s="25"/>
      <c r="G63" s="65">
        <v>46204</v>
      </c>
      <c r="H63" s="25" t="s">
        <v>443</v>
      </c>
      <c r="I63" s="25" t="s">
        <v>444</v>
      </c>
      <c r="J63" s="26" t="s">
        <v>447</v>
      </c>
      <c r="K63" s="27" t="s">
        <v>86</v>
      </c>
      <c r="L63" s="28" t="s">
        <v>931</v>
      </c>
      <c r="M63" s="28" t="s">
        <v>71</v>
      </c>
      <c r="N63" s="25">
        <v>1</v>
      </c>
      <c r="O63" s="29">
        <v>8.7455882352941181</v>
      </c>
      <c r="P63" s="29">
        <v>8.7455882352941181</v>
      </c>
      <c r="Q63" s="25" t="s">
        <v>359</v>
      </c>
      <c r="R63" s="25"/>
      <c r="S63" s="26" t="s">
        <v>350</v>
      </c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8"/>
        <v>8.7455882352941181</v>
      </c>
      <c r="AF63" s="32">
        <f t="shared" si="19"/>
        <v>0</v>
      </c>
      <c r="AG63" s="30"/>
      <c r="AH63" s="33"/>
      <c r="AI63" s="34">
        <f t="shared" si="20"/>
        <v>0</v>
      </c>
      <c r="AJ63" s="35">
        <v>46312</v>
      </c>
      <c r="AK63" s="30">
        <v>1</v>
      </c>
      <c r="AL63" s="36">
        <f t="shared" si="4"/>
        <v>8.7455882352941181</v>
      </c>
      <c r="AM63" s="35">
        <v>46312</v>
      </c>
      <c r="AN63" s="30">
        <v>1</v>
      </c>
      <c r="AO63" s="36">
        <f t="shared" si="21"/>
        <v>8.7455882352941181</v>
      </c>
      <c r="AP63" s="35"/>
      <c r="AQ63" s="30"/>
      <c r="AR63" s="36">
        <f t="shared" si="22"/>
        <v>0</v>
      </c>
      <c r="AS63" s="27" t="s">
        <v>967</v>
      </c>
      <c r="AT63" s="37">
        <v>46312</v>
      </c>
      <c r="AU63" s="30">
        <v>1</v>
      </c>
      <c r="AV63" s="36">
        <f t="shared" si="23"/>
        <v>8.7455882352941181</v>
      </c>
      <c r="AW63" s="35"/>
      <c r="AX63" s="30"/>
      <c r="AY63" s="32">
        <f t="shared" si="24"/>
        <v>0</v>
      </c>
      <c r="AZ63" s="30" t="s">
        <v>440</v>
      </c>
      <c r="BA63" s="63"/>
      <c r="BB63" s="71"/>
      <c r="BC63" s="71" t="s">
        <v>87</v>
      </c>
      <c r="BD63" s="71"/>
    </row>
    <row r="64" spans="1:56" x14ac:dyDescent="0.25">
      <c r="A64" s="24">
        <f>IF(B64="","",SUBTOTAL(3,$B$4:B64))</f>
        <v>60</v>
      </c>
      <c r="B64" s="25" t="s">
        <v>439</v>
      </c>
      <c r="C64" s="25" t="str">
        <f t="shared" si="17"/>
        <v>Shipment 2 CO-SCR Duct</v>
      </c>
      <c r="D64" s="25" t="s">
        <v>441</v>
      </c>
      <c r="E64" s="25" t="s">
        <v>442</v>
      </c>
      <c r="F64" s="25"/>
      <c r="G64" s="65">
        <v>46204</v>
      </c>
      <c r="H64" s="25" t="s">
        <v>443</v>
      </c>
      <c r="I64" s="25" t="s">
        <v>444</v>
      </c>
      <c r="J64" s="26" t="s">
        <v>447</v>
      </c>
      <c r="K64" s="27" t="s">
        <v>86</v>
      </c>
      <c r="L64" s="28" t="s">
        <v>932</v>
      </c>
      <c r="M64" s="28" t="s">
        <v>71</v>
      </c>
      <c r="N64" s="25">
        <v>1</v>
      </c>
      <c r="O64" s="29">
        <v>8.7455882352941181</v>
      </c>
      <c r="P64" s="29">
        <v>8.7455882352941181</v>
      </c>
      <c r="Q64" s="25" t="s">
        <v>359</v>
      </c>
      <c r="R64" s="25"/>
      <c r="S64" s="26" t="s">
        <v>350</v>
      </c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8"/>
        <v>8.7455882352941181</v>
      </c>
      <c r="AF64" s="32">
        <f t="shared" si="19"/>
        <v>0</v>
      </c>
      <c r="AG64" s="30"/>
      <c r="AH64" s="33"/>
      <c r="AI64" s="34">
        <f t="shared" si="20"/>
        <v>0</v>
      </c>
      <c r="AJ64" s="35">
        <v>46312</v>
      </c>
      <c r="AK64" s="30">
        <v>1</v>
      </c>
      <c r="AL64" s="36">
        <f t="shared" si="4"/>
        <v>8.7455882352941181</v>
      </c>
      <c r="AM64" s="35">
        <v>46312</v>
      </c>
      <c r="AN64" s="30">
        <v>1</v>
      </c>
      <c r="AO64" s="36">
        <f t="shared" si="21"/>
        <v>8.7455882352941181</v>
      </c>
      <c r="AP64" s="35"/>
      <c r="AQ64" s="30"/>
      <c r="AR64" s="36">
        <f t="shared" si="22"/>
        <v>0</v>
      </c>
      <c r="AS64" s="27" t="s">
        <v>967</v>
      </c>
      <c r="AT64" s="37">
        <v>46312</v>
      </c>
      <c r="AU64" s="30">
        <v>1</v>
      </c>
      <c r="AV64" s="36">
        <f t="shared" si="23"/>
        <v>8.7455882352941181</v>
      </c>
      <c r="AW64" s="35"/>
      <c r="AX64" s="30"/>
      <c r="AY64" s="32">
        <f t="shared" si="24"/>
        <v>0</v>
      </c>
      <c r="AZ64" s="30" t="s">
        <v>440</v>
      </c>
      <c r="BA64" s="63"/>
      <c r="BB64" s="71"/>
      <c r="BC64" s="71" t="s">
        <v>87</v>
      </c>
      <c r="BD64" s="71"/>
    </row>
    <row r="65" spans="1:56" x14ac:dyDescent="0.25">
      <c r="A65" s="24">
        <f>IF(B65="","",SUBTOTAL(3,$B$4:B65))</f>
        <v>61</v>
      </c>
      <c r="B65" s="25" t="s">
        <v>439</v>
      </c>
      <c r="C65" s="25" t="str">
        <f t="shared" si="17"/>
        <v>Shipment 2 CO-SCR Duct</v>
      </c>
      <c r="D65" s="25" t="s">
        <v>441</v>
      </c>
      <c r="E65" s="25" t="s">
        <v>442</v>
      </c>
      <c r="F65" s="25"/>
      <c r="G65" s="65">
        <v>46204</v>
      </c>
      <c r="H65" s="25" t="s">
        <v>443</v>
      </c>
      <c r="I65" s="25" t="s">
        <v>444</v>
      </c>
      <c r="J65" s="26" t="s">
        <v>447</v>
      </c>
      <c r="K65" s="27" t="s">
        <v>86</v>
      </c>
      <c r="L65" s="28" t="s">
        <v>933</v>
      </c>
      <c r="M65" s="28" t="s">
        <v>71</v>
      </c>
      <c r="N65" s="25">
        <v>1</v>
      </c>
      <c r="O65" s="29">
        <v>8.7455882352941181</v>
      </c>
      <c r="P65" s="29">
        <v>8.7455882352941181</v>
      </c>
      <c r="Q65" s="25" t="s">
        <v>359</v>
      </c>
      <c r="R65" s="25"/>
      <c r="S65" s="26" t="s">
        <v>350</v>
      </c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8"/>
        <v>8.7455882352941181</v>
      </c>
      <c r="AF65" s="32">
        <f t="shared" si="19"/>
        <v>0</v>
      </c>
      <c r="AG65" s="30"/>
      <c r="AH65" s="33"/>
      <c r="AI65" s="34">
        <f t="shared" si="20"/>
        <v>0</v>
      </c>
      <c r="AJ65" s="35">
        <v>46312</v>
      </c>
      <c r="AK65" s="30">
        <v>1</v>
      </c>
      <c r="AL65" s="36">
        <f t="shared" si="4"/>
        <v>8.7455882352941181</v>
      </c>
      <c r="AM65" s="35">
        <v>46312</v>
      </c>
      <c r="AN65" s="30">
        <v>1</v>
      </c>
      <c r="AO65" s="36">
        <f t="shared" si="21"/>
        <v>8.7455882352941181</v>
      </c>
      <c r="AP65" s="35"/>
      <c r="AQ65" s="30"/>
      <c r="AR65" s="36">
        <f t="shared" si="22"/>
        <v>0</v>
      </c>
      <c r="AS65" s="27" t="s">
        <v>967</v>
      </c>
      <c r="AT65" s="37">
        <v>46312</v>
      </c>
      <c r="AU65" s="30">
        <v>1</v>
      </c>
      <c r="AV65" s="36">
        <f t="shared" si="23"/>
        <v>8.7455882352941181</v>
      </c>
      <c r="AW65" s="35"/>
      <c r="AX65" s="30"/>
      <c r="AY65" s="32">
        <f t="shared" si="24"/>
        <v>0</v>
      </c>
      <c r="AZ65" s="30" t="s">
        <v>440</v>
      </c>
      <c r="BA65" s="63"/>
      <c r="BB65" s="71"/>
      <c r="BC65" s="71" t="s">
        <v>87</v>
      </c>
      <c r="BD65" s="71"/>
    </row>
    <row r="66" spans="1:56" x14ac:dyDescent="0.25">
      <c r="A66" s="24">
        <f>IF(B66="","",SUBTOTAL(3,$B$4:B66))</f>
        <v>62</v>
      </c>
      <c r="B66" s="25" t="s">
        <v>439</v>
      </c>
      <c r="C66" s="25" t="str">
        <f t="shared" si="17"/>
        <v>Shipment 2 CO-SCR Duct</v>
      </c>
      <c r="D66" s="25" t="s">
        <v>441</v>
      </c>
      <c r="E66" s="25" t="s">
        <v>442</v>
      </c>
      <c r="F66" s="25"/>
      <c r="G66" s="65">
        <v>46204</v>
      </c>
      <c r="H66" s="25" t="s">
        <v>443</v>
      </c>
      <c r="I66" s="25" t="s">
        <v>444</v>
      </c>
      <c r="J66" s="26" t="s">
        <v>447</v>
      </c>
      <c r="K66" s="27" t="s">
        <v>86</v>
      </c>
      <c r="L66" s="28" t="s">
        <v>934</v>
      </c>
      <c r="M66" s="28" t="s">
        <v>71</v>
      </c>
      <c r="N66" s="25">
        <v>1</v>
      </c>
      <c r="O66" s="29">
        <v>8.7455882352941181</v>
      </c>
      <c r="P66" s="29">
        <v>8.7455882352941181</v>
      </c>
      <c r="Q66" s="25" t="s">
        <v>359</v>
      </c>
      <c r="R66" s="25"/>
      <c r="S66" s="26" t="s">
        <v>350</v>
      </c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8"/>
        <v>8.7455882352941181</v>
      </c>
      <c r="AF66" s="32">
        <f t="shared" si="19"/>
        <v>0</v>
      </c>
      <c r="AG66" s="30"/>
      <c r="AH66" s="33"/>
      <c r="AI66" s="34">
        <f t="shared" si="20"/>
        <v>0</v>
      </c>
      <c r="AJ66" s="35">
        <v>46312</v>
      </c>
      <c r="AK66" s="30">
        <v>1</v>
      </c>
      <c r="AL66" s="36">
        <f t="shared" si="4"/>
        <v>8.7455882352941181</v>
      </c>
      <c r="AM66" s="35">
        <v>46312</v>
      </c>
      <c r="AN66" s="30">
        <v>1</v>
      </c>
      <c r="AO66" s="36">
        <f t="shared" si="21"/>
        <v>8.7455882352941181</v>
      </c>
      <c r="AP66" s="35"/>
      <c r="AQ66" s="30"/>
      <c r="AR66" s="36">
        <f t="shared" si="22"/>
        <v>0</v>
      </c>
      <c r="AS66" s="27" t="s">
        <v>967</v>
      </c>
      <c r="AT66" s="37">
        <v>46312</v>
      </c>
      <c r="AU66" s="30">
        <v>1</v>
      </c>
      <c r="AV66" s="36">
        <f t="shared" si="23"/>
        <v>8.7455882352941181</v>
      </c>
      <c r="AW66" s="35"/>
      <c r="AX66" s="30"/>
      <c r="AY66" s="32">
        <f t="shared" si="24"/>
        <v>0</v>
      </c>
      <c r="AZ66" s="30" t="s">
        <v>440</v>
      </c>
      <c r="BA66" s="63"/>
      <c r="BB66" s="71"/>
      <c r="BC66" s="71" t="s">
        <v>87</v>
      </c>
      <c r="BD66" s="71"/>
    </row>
    <row r="67" spans="1:56" x14ac:dyDescent="0.25">
      <c r="A67" s="24">
        <f>IF(B67="","",SUBTOTAL(3,$B$4:B67))</f>
        <v>63</v>
      </c>
      <c r="B67" s="25" t="s">
        <v>439</v>
      </c>
      <c r="C67" s="25" t="str">
        <f t="shared" si="17"/>
        <v>Shipment 2 CO-SCR Duct</v>
      </c>
      <c r="D67" s="25" t="s">
        <v>441</v>
      </c>
      <c r="E67" s="25" t="s">
        <v>442</v>
      </c>
      <c r="F67" s="25"/>
      <c r="G67" s="65">
        <v>46204</v>
      </c>
      <c r="H67" s="25" t="s">
        <v>443</v>
      </c>
      <c r="I67" s="25" t="s">
        <v>444</v>
      </c>
      <c r="J67" s="26" t="s">
        <v>447</v>
      </c>
      <c r="K67" s="27" t="s">
        <v>86</v>
      </c>
      <c r="L67" s="28" t="s">
        <v>935</v>
      </c>
      <c r="M67" s="28" t="s">
        <v>71</v>
      </c>
      <c r="N67" s="25">
        <v>1</v>
      </c>
      <c r="O67" s="29">
        <v>8.7455882352941181</v>
      </c>
      <c r="P67" s="29">
        <v>8.7455882352941181</v>
      </c>
      <c r="Q67" s="25" t="s">
        <v>359</v>
      </c>
      <c r="R67" s="25"/>
      <c r="S67" s="26" t="s">
        <v>350</v>
      </c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8"/>
        <v>8.7455882352941181</v>
      </c>
      <c r="AF67" s="32">
        <f t="shared" si="19"/>
        <v>0</v>
      </c>
      <c r="AG67" s="30"/>
      <c r="AH67" s="33"/>
      <c r="AI67" s="34">
        <f t="shared" si="20"/>
        <v>0</v>
      </c>
      <c r="AJ67" s="35">
        <v>46312</v>
      </c>
      <c r="AK67" s="30">
        <v>1</v>
      </c>
      <c r="AL67" s="36">
        <f t="shared" si="4"/>
        <v>8.7455882352941181</v>
      </c>
      <c r="AM67" s="35">
        <v>46312</v>
      </c>
      <c r="AN67" s="30">
        <v>1</v>
      </c>
      <c r="AO67" s="36">
        <f t="shared" si="21"/>
        <v>8.7455882352941181</v>
      </c>
      <c r="AP67" s="35"/>
      <c r="AQ67" s="30"/>
      <c r="AR67" s="36">
        <f t="shared" si="22"/>
        <v>0</v>
      </c>
      <c r="AS67" s="27" t="s">
        <v>967</v>
      </c>
      <c r="AT67" s="37">
        <v>46312</v>
      </c>
      <c r="AU67" s="30">
        <v>1</v>
      </c>
      <c r="AV67" s="36">
        <f t="shared" si="23"/>
        <v>8.7455882352941181</v>
      </c>
      <c r="AW67" s="35"/>
      <c r="AX67" s="30"/>
      <c r="AY67" s="32">
        <f t="shared" si="24"/>
        <v>0</v>
      </c>
      <c r="AZ67" s="30" t="s">
        <v>440</v>
      </c>
      <c r="BA67" s="63"/>
      <c r="BB67" s="71"/>
      <c r="BC67" s="71" t="s">
        <v>87</v>
      </c>
      <c r="BD67" s="71"/>
    </row>
    <row r="68" spans="1:56" x14ac:dyDescent="0.25">
      <c r="A68" s="24">
        <f>IF(B68="","",SUBTOTAL(3,$B$4:B68))</f>
        <v>64</v>
      </c>
      <c r="B68" s="25" t="s">
        <v>439</v>
      </c>
      <c r="C68" s="25" t="str">
        <f t="shared" si="17"/>
        <v>Shipment 2 CO-SCR Duct</v>
      </c>
      <c r="D68" s="25" t="s">
        <v>441</v>
      </c>
      <c r="E68" s="25" t="s">
        <v>442</v>
      </c>
      <c r="F68" s="25"/>
      <c r="G68" s="65">
        <v>46204</v>
      </c>
      <c r="H68" s="25" t="s">
        <v>443</v>
      </c>
      <c r="I68" s="25" t="s">
        <v>444</v>
      </c>
      <c r="J68" s="26" t="s">
        <v>447</v>
      </c>
      <c r="K68" s="27" t="s">
        <v>86</v>
      </c>
      <c r="L68" s="28" t="s">
        <v>936</v>
      </c>
      <c r="M68" s="28" t="s">
        <v>71</v>
      </c>
      <c r="N68" s="25">
        <v>1</v>
      </c>
      <c r="O68" s="29">
        <v>8.7455882352941181</v>
      </c>
      <c r="P68" s="29">
        <v>8.7455882352941181</v>
      </c>
      <c r="Q68" s="25" t="s">
        <v>359</v>
      </c>
      <c r="R68" s="25"/>
      <c r="S68" s="26" t="s">
        <v>350</v>
      </c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8"/>
        <v>8.7455882352941181</v>
      </c>
      <c r="AF68" s="32">
        <f t="shared" si="19"/>
        <v>0</v>
      </c>
      <c r="AG68" s="30"/>
      <c r="AH68" s="33"/>
      <c r="AI68" s="34">
        <f t="shared" si="20"/>
        <v>0</v>
      </c>
      <c r="AJ68" s="35">
        <v>46312</v>
      </c>
      <c r="AK68" s="30">
        <v>1</v>
      </c>
      <c r="AL68" s="36">
        <f t="shared" si="4"/>
        <v>8.7455882352941181</v>
      </c>
      <c r="AM68" s="35">
        <v>46312</v>
      </c>
      <c r="AN68" s="30">
        <v>1</v>
      </c>
      <c r="AO68" s="36">
        <f t="shared" si="21"/>
        <v>8.7455882352941181</v>
      </c>
      <c r="AP68" s="35"/>
      <c r="AQ68" s="30"/>
      <c r="AR68" s="36">
        <f t="shared" si="22"/>
        <v>0</v>
      </c>
      <c r="AS68" s="27" t="s">
        <v>967</v>
      </c>
      <c r="AT68" s="37">
        <v>46312</v>
      </c>
      <c r="AU68" s="30">
        <v>1</v>
      </c>
      <c r="AV68" s="36">
        <f t="shared" si="23"/>
        <v>8.7455882352941181</v>
      </c>
      <c r="AW68" s="35"/>
      <c r="AX68" s="30"/>
      <c r="AY68" s="32">
        <f t="shared" si="24"/>
        <v>0</v>
      </c>
      <c r="AZ68" s="30" t="s">
        <v>440</v>
      </c>
      <c r="BA68" s="63"/>
      <c r="BB68" s="71"/>
      <c r="BC68" s="71" t="s">
        <v>87</v>
      </c>
      <c r="BD68" s="71"/>
    </row>
    <row r="69" spans="1:56" x14ac:dyDescent="0.25">
      <c r="A69" s="24">
        <f>IF(B69="","",SUBTOTAL(3,$B$4:B69))</f>
        <v>65</v>
      </c>
      <c r="B69" s="25" t="s">
        <v>439</v>
      </c>
      <c r="C69" s="25" t="str">
        <f t="shared" si="17"/>
        <v>Shipment 2 CO-SCR Duct</v>
      </c>
      <c r="D69" s="25" t="s">
        <v>441</v>
      </c>
      <c r="E69" s="25" t="s">
        <v>442</v>
      </c>
      <c r="F69" s="25"/>
      <c r="G69" s="65">
        <v>46204</v>
      </c>
      <c r="H69" s="25" t="s">
        <v>443</v>
      </c>
      <c r="I69" s="25" t="s">
        <v>444</v>
      </c>
      <c r="J69" s="26" t="s">
        <v>447</v>
      </c>
      <c r="K69" s="27" t="s">
        <v>86</v>
      </c>
      <c r="L69" s="28" t="s">
        <v>937</v>
      </c>
      <c r="M69" s="28" t="s">
        <v>71</v>
      </c>
      <c r="N69" s="25">
        <v>1</v>
      </c>
      <c r="O69" s="29">
        <v>8.7455882352941181</v>
      </c>
      <c r="P69" s="29">
        <v>8.7455882352941181</v>
      </c>
      <c r="Q69" s="25" t="s">
        <v>359</v>
      </c>
      <c r="R69" s="25"/>
      <c r="S69" s="26" t="s">
        <v>350</v>
      </c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8"/>
        <v>8.7455882352941181</v>
      </c>
      <c r="AF69" s="32">
        <f t="shared" si="19"/>
        <v>0</v>
      </c>
      <c r="AG69" s="30"/>
      <c r="AH69" s="33"/>
      <c r="AI69" s="34">
        <f t="shared" si="20"/>
        <v>0</v>
      </c>
      <c r="AJ69" s="35">
        <v>46312</v>
      </c>
      <c r="AK69" s="30">
        <v>1</v>
      </c>
      <c r="AL69" s="36">
        <f t="shared" si="4"/>
        <v>8.7455882352941181</v>
      </c>
      <c r="AM69" s="35">
        <v>46312</v>
      </c>
      <c r="AN69" s="30">
        <v>1</v>
      </c>
      <c r="AO69" s="36">
        <f t="shared" si="21"/>
        <v>8.7455882352941181</v>
      </c>
      <c r="AP69" s="35"/>
      <c r="AQ69" s="30"/>
      <c r="AR69" s="36">
        <f t="shared" si="22"/>
        <v>0</v>
      </c>
      <c r="AS69" s="27" t="s">
        <v>967</v>
      </c>
      <c r="AT69" s="37">
        <v>46312</v>
      </c>
      <c r="AU69" s="30">
        <v>1</v>
      </c>
      <c r="AV69" s="36">
        <f t="shared" si="23"/>
        <v>8.7455882352941181</v>
      </c>
      <c r="AW69" s="35"/>
      <c r="AX69" s="30"/>
      <c r="AY69" s="32">
        <f t="shared" si="24"/>
        <v>0</v>
      </c>
      <c r="AZ69" s="30" t="s">
        <v>440</v>
      </c>
      <c r="BA69" s="63"/>
      <c r="BB69" s="71"/>
      <c r="BC69" s="71" t="s">
        <v>87</v>
      </c>
      <c r="BD69" s="71"/>
    </row>
    <row r="70" spans="1:56" x14ac:dyDescent="0.25">
      <c r="A70" s="24">
        <f>IF(B70="","",SUBTOTAL(3,$B$4:B70))</f>
        <v>66</v>
      </c>
      <c r="B70" s="25" t="s">
        <v>439</v>
      </c>
      <c r="C70" s="25" t="str">
        <f t="shared" si="17"/>
        <v>Shipment 2 CO-SCR Duct</v>
      </c>
      <c r="D70" s="25" t="s">
        <v>441</v>
      </c>
      <c r="E70" s="25" t="s">
        <v>442</v>
      </c>
      <c r="F70" s="25"/>
      <c r="G70" s="65">
        <v>46204</v>
      </c>
      <c r="H70" s="25" t="s">
        <v>443</v>
      </c>
      <c r="I70" s="25" t="s">
        <v>444</v>
      </c>
      <c r="J70" s="26" t="s">
        <v>447</v>
      </c>
      <c r="K70" s="27" t="s">
        <v>86</v>
      </c>
      <c r="L70" s="28" t="s">
        <v>938</v>
      </c>
      <c r="M70" s="28" t="s">
        <v>71</v>
      </c>
      <c r="N70" s="25">
        <v>1</v>
      </c>
      <c r="O70" s="29">
        <v>8.7455882352941181</v>
      </c>
      <c r="P70" s="29">
        <v>8.7455882352941181</v>
      </c>
      <c r="Q70" s="25" t="s">
        <v>359</v>
      </c>
      <c r="R70" s="25"/>
      <c r="S70" s="26" t="s">
        <v>350</v>
      </c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8"/>
        <v>8.7455882352941181</v>
      </c>
      <c r="AF70" s="32">
        <f t="shared" si="19"/>
        <v>0</v>
      </c>
      <c r="AG70" s="30"/>
      <c r="AH70" s="33"/>
      <c r="AI70" s="34">
        <f t="shared" si="20"/>
        <v>0</v>
      </c>
      <c r="AJ70" s="35">
        <v>46312</v>
      </c>
      <c r="AK70" s="30">
        <v>1</v>
      </c>
      <c r="AL70" s="36">
        <f t="shared" si="4"/>
        <v>8.7455882352941181</v>
      </c>
      <c r="AM70" s="35">
        <v>46312</v>
      </c>
      <c r="AN70" s="30">
        <v>1</v>
      </c>
      <c r="AO70" s="36">
        <f t="shared" si="21"/>
        <v>8.7455882352941181</v>
      </c>
      <c r="AP70" s="35"/>
      <c r="AQ70" s="30"/>
      <c r="AR70" s="36">
        <f t="shared" si="22"/>
        <v>0</v>
      </c>
      <c r="AS70" s="27" t="s">
        <v>967</v>
      </c>
      <c r="AT70" s="37">
        <v>46312</v>
      </c>
      <c r="AU70" s="30">
        <v>1</v>
      </c>
      <c r="AV70" s="36">
        <f t="shared" si="23"/>
        <v>8.7455882352941181</v>
      </c>
      <c r="AW70" s="35"/>
      <c r="AX70" s="30"/>
      <c r="AY70" s="32">
        <f t="shared" si="24"/>
        <v>0</v>
      </c>
      <c r="AZ70" s="30" t="s">
        <v>440</v>
      </c>
      <c r="BA70" s="63"/>
      <c r="BB70" s="71"/>
      <c r="BC70" s="71" t="s">
        <v>87</v>
      </c>
      <c r="BD70" s="71"/>
    </row>
    <row r="71" spans="1:56" x14ac:dyDescent="0.25">
      <c r="A71" s="24">
        <f>IF(B71="","",SUBTOTAL(3,$B$4:B71))</f>
        <v>67</v>
      </c>
      <c r="B71" s="25" t="s">
        <v>439</v>
      </c>
      <c r="C71" s="25" t="str">
        <f t="shared" si="17"/>
        <v>Shipment 2 CO-SCR Duct</v>
      </c>
      <c r="D71" s="25" t="s">
        <v>441</v>
      </c>
      <c r="E71" s="25" t="s">
        <v>442</v>
      </c>
      <c r="F71" s="25"/>
      <c r="G71" s="65">
        <v>46204</v>
      </c>
      <c r="H71" s="25" t="s">
        <v>443</v>
      </c>
      <c r="I71" s="25" t="s">
        <v>444</v>
      </c>
      <c r="J71" s="26" t="s">
        <v>447</v>
      </c>
      <c r="K71" s="27" t="s">
        <v>86</v>
      </c>
      <c r="L71" s="28" t="s">
        <v>939</v>
      </c>
      <c r="M71" s="28" t="s">
        <v>71</v>
      </c>
      <c r="N71" s="25">
        <v>1</v>
      </c>
      <c r="O71" s="29">
        <v>8.7455882352941181</v>
      </c>
      <c r="P71" s="29">
        <v>8.7455882352941181</v>
      </c>
      <c r="Q71" s="25" t="s">
        <v>359</v>
      </c>
      <c r="R71" s="25"/>
      <c r="S71" s="26" t="s">
        <v>350</v>
      </c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8"/>
        <v>8.7455882352941181</v>
      </c>
      <c r="AF71" s="32">
        <f t="shared" si="19"/>
        <v>0</v>
      </c>
      <c r="AG71" s="30"/>
      <c r="AH71" s="33"/>
      <c r="AI71" s="34">
        <f t="shared" si="20"/>
        <v>0</v>
      </c>
      <c r="AJ71" s="35">
        <v>46312</v>
      </c>
      <c r="AK71" s="30">
        <v>1</v>
      </c>
      <c r="AL71" s="36">
        <f t="shared" si="4"/>
        <v>8.7455882352941181</v>
      </c>
      <c r="AM71" s="35">
        <v>46312</v>
      </c>
      <c r="AN71" s="30">
        <v>1</v>
      </c>
      <c r="AO71" s="36">
        <f t="shared" si="21"/>
        <v>8.7455882352941181</v>
      </c>
      <c r="AP71" s="35"/>
      <c r="AQ71" s="30"/>
      <c r="AR71" s="36">
        <f t="shared" si="22"/>
        <v>0</v>
      </c>
      <c r="AS71" s="27" t="s">
        <v>967</v>
      </c>
      <c r="AT71" s="37">
        <v>46312</v>
      </c>
      <c r="AU71" s="30">
        <v>1</v>
      </c>
      <c r="AV71" s="36">
        <f t="shared" si="23"/>
        <v>8.7455882352941181</v>
      </c>
      <c r="AW71" s="35"/>
      <c r="AX71" s="30"/>
      <c r="AY71" s="32">
        <f t="shared" si="24"/>
        <v>0</v>
      </c>
      <c r="AZ71" s="30" t="s">
        <v>440</v>
      </c>
      <c r="BA71" s="63"/>
      <c r="BB71" s="71"/>
      <c r="BC71" s="71" t="s">
        <v>87</v>
      </c>
      <c r="BD71" s="71"/>
    </row>
    <row r="72" spans="1:56" x14ac:dyDescent="0.25">
      <c r="A72" s="24">
        <f>IF(B72="","",SUBTOTAL(3,$B$4:B72))</f>
        <v>68</v>
      </c>
      <c r="B72" s="25" t="s">
        <v>439</v>
      </c>
      <c r="C72" s="25" t="str">
        <f t="shared" si="17"/>
        <v>Shipment 2 CO-SCR Duct</v>
      </c>
      <c r="D72" s="25" t="s">
        <v>441</v>
      </c>
      <c r="E72" s="25" t="s">
        <v>442</v>
      </c>
      <c r="F72" s="25"/>
      <c r="G72" s="65">
        <v>46204</v>
      </c>
      <c r="H72" s="25" t="s">
        <v>443</v>
      </c>
      <c r="I72" s="25" t="s">
        <v>444</v>
      </c>
      <c r="J72" s="26" t="s">
        <v>447</v>
      </c>
      <c r="K72" s="27" t="s">
        <v>86</v>
      </c>
      <c r="L72" s="28" t="s">
        <v>940</v>
      </c>
      <c r="M72" s="28" t="s">
        <v>71</v>
      </c>
      <c r="N72" s="25">
        <v>1</v>
      </c>
      <c r="O72" s="29">
        <v>8.7455882352941181</v>
      </c>
      <c r="P72" s="29">
        <v>8.7455882352941181</v>
      </c>
      <c r="Q72" s="25" t="s">
        <v>359</v>
      </c>
      <c r="R72" s="25"/>
      <c r="S72" s="26" t="s">
        <v>350</v>
      </c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8"/>
        <v>8.7455882352941181</v>
      </c>
      <c r="AF72" s="32">
        <f t="shared" si="19"/>
        <v>0</v>
      </c>
      <c r="AG72" s="30"/>
      <c r="AH72" s="33"/>
      <c r="AI72" s="34">
        <f t="shared" si="20"/>
        <v>0</v>
      </c>
      <c r="AJ72" s="35">
        <v>46312</v>
      </c>
      <c r="AK72" s="30">
        <v>1</v>
      </c>
      <c r="AL72" s="36">
        <f t="shared" si="4"/>
        <v>8.7455882352941181</v>
      </c>
      <c r="AM72" s="35">
        <v>46312</v>
      </c>
      <c r="AN72" s="30">
        <v>1</v>
      </c>
      <c r="AO72" s="36">
        <f t="shared" si="21"/>
        <v>8.7455882352941181</v>
      </c>
      <c r="AP72" s="35"/>
      <c r="AQ72" s="30"/>
      <c r="AR72" s="36">
        <f t="shared" si="22"/>
        <v>0</v>
      </c>
      <c r="AS72" s="27" t="s">
        <v>967</v>
      </c>
      <c r="AT72" s="37">
        <v>46312</v>
      </c>
      <c r="AU72" s="30">
        <v>1</v>
      </c>
      <c r="AV72" s="36">
        <f t="shared" si="23"/>
        <v>8.7455882352941181</v>
      </c>
      <c r="AW72" s="35"/>
      <c r="AX72" s="30"/>
      <c r="AY72" s="32">
        <f t="shared" si="24"/>
        <v>0</v>
      </c>
      <c r="AZ72" s="30" t="s">
        <v>440</v>
      </c>
      <c r="BA72" s="63"/>
      <c r="BB72" s="71"/>
      <c r="BC72" s="71" t="s">
        <v>87</v>
      </c>
      <c r="BD72" s="71"/>
    </row>
    <row r="73" spans="1:56" x14ac:dyDescent="0.25">
      <c r="A73" s="24">
        <f>IF(B73="","",SUBTOTAL(3,$B$4:B73))</f>
        <v>69</v>
      </c>
      <c r="B73" s="25" t="s">
        <v>439</v>
      </c>
      <c r="C73" s="25" t="str">
        <f t="shared" si="17"/>
        <v>Shipment 2 CO-SCR Duct</v>
      </c>
      <c r="D73" s="25" t="s">
        <v>441</v>
      </c>
      <c r="E73" s="25" t="s">
        <v>442</v>
      </c>
      <c r="F73" s="25"/>
      <c r="G73" s="65">
        <v>46204</v>
      </c>
      <c r="H73" s="25" t="s">
        <v>443</v>
      </c>
      <c r="I73" s="25" t="s">
        <v>444</v>
      </c>
      <c r="J73" s="26" t="s">
        <v>447</v>
      </c>
      <c r="K73" s="27" t="s">
        <v>86</v>
      </c>
      <c r="L73" s="28" t="s">
        <v>941</v>
      </c>
      <c r="M73" s="28" t="s">
        <v>71</v>
      </c>
      <c r="N73" s="25">
        <v>1</v>
      </c>
      <c r="O73" s="29">
        <v>8.7455882352941181</v>
      </c>
      <c r="P73" s="29">
        <v>8.7455882352941181</v>
      </c>
      <c r="Q73" s="25" t="s">
        <v>359</v>
      </c>
      <c r="R73" s="25"/>
      <c r="S73" s="26" t="s">
        <v>350</v>
      </c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8"/>
        <v>8.7455882352941181</v>
      </c>
      <c r="AF73" s="32">
        <f t="shared" si="19"/>
        <v>0</v>
      </c>
      <c r="AG73" s="30"/>
      <c r="AH73" s="33"/>
      <c r="AI73" s="34">
        <f t="shared" si="20"/>
        <v>0</v>
      </c>
      <c r="AJ73" s="35">
        <v>46312</v>
      </c>
      <c r="AK73" s="30">
        <v>1</v>
      </c>
      <c r="AL73" s="36">
        <f t="shared" si="4"/>
        <v>8.7455882352941181</v>
      </c>
      <c r="AM73" s="35">
        <v>46312</v>
      </c>
      <c r="AN73" s="30">
        <v>1</v>
      </c>
      <c r="AO73" s="36">
        <f t="shared" si="21"/>
        <v>8.7455882352941181</v>
      </c>
      <c r="AP73" s="35"/>
      <c r="AQ73" s="30"/>
      <c r="AR73" s="36">
        <f t="shared" si="22"/>
        <v>0</v>
      </c>
      <c r="AS73" s="27" t="s">
        <v>967</v>
      </c>
      <c r="AT73" s="37">
        <v>46312</v>
      </c>
      <c r="AU73" s="30">
        <v>1</v>
      </c>
      <c r="AV73" s="36">
        <f t="shared" si="23"/>
        <v>8.7455882352941181</v>
      </c>
      <c r="AW73" s="35"/>
      <c r="AX73" s="30"/>
      <c r="AY73" s="32">
        <f t="shared" si="24"/>
        <v>0</v>
      </c>
      <c r="AZ73" s="30" t="s">
        <v>440</v>
      </c>
      <c r="BA73" s="63"/>
      <c r="BB73" s="71"/>
      <c r="BC73" s="71" t="s">
        <v>87</v>
      </c>
      <c r="BD73" s="71"/>
    </row>
    <row r="74" spans="1:56" x14ac:dyDescent="0.25">
      <c r="A74" s="24">
        <f>IF(B74="","",SUBTOTAL(3,$B$4:B74))</f>
        <v>70</v>
      </c>
      <c r="B74" s="25" t="s">
        <v>439</v>
      </c>
      <c r="C74" s="25" t="str">
        <f t="shared" si="17"/>
        <v>Shipment 2 CO-SCR Duct</v>
      </c>
      <c r="D74" s="25" t="s">
        <v>441</v>
      </c>
      <c r="E74" s="25" t="s">
        <v>442</v>
      </c>
      <c r="F74" s="25"/>
      <c r="G74" s="65">
        <v>46204</v>
      </c>
      <c r="H74" s="25" t="s">
        <v>443</v>
      </c>
      <c r="I74" s="25" t="s">
        <v>444</v>
      </c>
      <c r="J74" s="26" t="s">
        <v>447</v>
      </c>
      <c r="K74" s="27" t="s">
        <v>86</v>
      </c>
      <c r="L74" s="28" t="s">
        <v>942</v>
      </c>
      <c r="M74" s="28" t="s">
        <v>71</v>
      </c>
      <c r="N74" s="25">
        <v>1</v>
      </c>
      <c r="O74" s="29">
        <v>8.7455882352941181</v>
      </c>
      <c r="P74" s="29">
        <v>8.7455882352941181</v>
      </c>
      <c r="Q74" s="25" t="s">
        <v>359</v>
      </c>
      <c r="R74" s="25"/>
      <c r="S74" s="26" t="s">
        <v>350</v>
      </c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8"/>
        <v>8.7455882352941181</v>
      </c>
      <c r="AF74" s="32">
        <f t="shared" si="19"/>
        <v>0</v>
      </c>
      <c r="AG74" s="30"/>
      <c r="AH74" s="33"/>
      <c r="AI74" s="34">
        <f t="shared" si="20"/>
        <v>0</v>
      </c>
      <c r="AJ74" s="35">
        <v>46312</v>
      </c>
      <c r="AK74" s="30">
        <v>1</v>
      </c>
      <c r="AL74" s="36">
        <f t="shared" si="4"/>
        <v>8.7455882352941181</v>
      </c>
      <c r="AM74" s="35">
        <v>46312</v>
      </c>
      <c r="AN74" s="30">
        <v>1</v>
      </c>
      <c r="AO74" s="36">
        <f t="shared" si="21"/>
        <v>8.7455882352941181</v>
      </c>
      <c r="AP74" s="35"/>
      <c r="AQ74" s="30"/>
      <c r="AR74" s="36">
        <f t="shared" si="22"/>
        <v>0</v>
      </c>
      <c r="AS74" s="27" t="s">
        <v>967</v>
      </c>
      <c r="AT74" s="37">
        <v>46312</v>
      </c>
      <c r="AU74" s="30">
        <v>1</v>
      </c>
      <c r="AV74" s="36">
        <f t="shared" si="23"/>
        <v>8.7455882352941181</v>
      </c>
      <c r="AW74" s="35"/>
      <c r="AX74" s="30"/>
      <c r="AY74" s="32">
        <f t="shared" si="24"/>
        <v>0</v>
      </c>
      <c r="AZ74" s="30" t="s">
        <v>440</v>
      </c>
      <c r="BA74" s="63"/>
      <c r="BB74" s="71"/>
      <c r="BC74" s="71" t="s">
        <v>87</v>
      </c>
      <c r="BD74" s="71"/>
    </row>
    <row r="75" spans="1:56" x14ac:dyDescent="0.25">
      <c r="A75" s="24">
        <f>IF(B75="","",SUBTOTAL(3,$B$4:B75))</f>
        <v>71</v>
      </c>
      <c r="B75" s="25" t="s">
        <v>439</v>
      </c>
      <c r="C75" s="25" t="str">
        <f t="shared" si="17"/>
        <v>Shipment 2 CO-SCR Duct</v>
      </c>
      <c r="D75" s="25" t="s">
        <v>441</v>
      </c>
      <c r="E75" s="25" t="s">
        <v>442</v>
      </c>
      <c r="F75" s="25"/>
      <c r="G75" s="65">
        <v>46204</v>
      </c>
      <c r="H75" s="25" t="s">
        <v>443</v>
      </c>
      <c r="I75" s="25" t="s">
        <v>444</v>
      </c>
      <c r="J75" s="26" t="s">
        <v>447</v>
      </c>
      <c r="K75" s="27" t="s">
        <v>86</v>
      </c>
      <c r="L75" s="28" t="s">
        <v>943</v>
      </c>
      <c r="M75" s="28" t="s">
        <v>71</v>
      </c>
      <c r="N75" s="25">
        <v>1</v>
      </c>
      <c r="O75" s="29">
        <v>8.7455882352941181</v>
      </c>
      <c r="P75" s="29">
        <v>8.7455882352941181</v>
      </c>
      <c r="Q75" s="25" t="s">
        <v>359</v>
      </c>
      <c r="R75" s="25"/>
      <c r="S75" s="26" t="s">
        <v>350</v>
      </c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8"/>
        <v>8.7455882352941181</v>
      </c>
      <c r="AF75" s="32">
        <f t="shared" si="19"/>
        <v>0</v>
      </c>
      <c r="AG75" s="30"/>
      <c r="AH75" s="33"/>
      <c r="AI75" s="34">
        <f t="shared" si="20"/>
        <v>0</v>
      </c>
      <c r="AJ75" s="35">
        <v>46312</v>
      </c>
      <c r="AK75" s="30">
        <v>1</v>
      </c>
      <c r="AL75" s="36">
        <f t="shared" si="4"/>
        <v>8.7455882352941181</v>
      </c>
      <c r="AM75" s="35">
        <v>46312</v>
      </c>
      <c r="AN75" s="30">
        <v>1</v>
      </c>
      <c r="AO75" s="36">
        <f t="shared" si="21"/>
        <v>8.7455882352941181</v>
      </c>
      <c r="AP75" s="35"/>
      <c r="AQ75" s="30"/>
      <c r="AR75" s="36">
        <f t="shared" si="22"/>
        <v>0</v>
      </c>
      <c r="AS75" s="27" t="s">
        <v>967</v>
      </c>
      <c r="AT75" s="37">
        <v>46312</v>
      </c>
      <c r="AU75" s="30">
        <v>1</v>
      </c>
      <c r="AV75" s="36">
        <f t="shared" si="23"/>
        <v>8.7455882352941181</v>
      </c>
      <c r="AW75" s="35"/>
      <c r="AX75" s="30"/>
      <c r="AY75" s="32">
        <f t="shared" si="24"/>
        <v>0</v>
      </c>
      <c r="AZ75" s="30" t="s">
        <v>440</v>
      </c>
      <c r="BA75" s="63"/>
      <c r="BB75" s="71"/>
      <c r="BC75" s="71" t="s">
        <v>87</v>
      </c>
      <c r="BD75" s="71"/>
    </row>
    <row r="76" spans="1:56" x14ac:dyDescent="0.25">
      <c r="A76" s="24">
        <f>IF(B76="","",SUBTOTAL(3,$B$4:B76))</f>
        <v>72</v>
      </c>
      <c r="B76" s="25" t="s">
        <v>439</v>
      </c>
      <c r="C76" s="25" t="str">
        <f t="shared" si="17"/>
        <v>Shipment 2 CO-SCR Duct</v>
      </c>
      <c r="D76" s="25" t="s">
        <v>441</v>
      </c>
      <c r="E76" s="25" t="s">
        <v>442</v>
      </c>
      <c r="F76" s="25"/>
      <c r="G76" s="65">
        <v>46204</v>
      </c>
      <c r="H76" s="25" t="s">
        <v>443</v>
      </c>
      <c r="I76" s="25" t="s">
        <v>444</v>
      </c>
      <c r="J76" s="26" t="s">
        <v>447</v>
      </c>
      <c r="K76" s="27" t="s">
        <v>86</v>
      </c>
      <c r="L76" s="28" t="s">
        <v>944</v>
      </c>
      <c r="M76" s="28" t="s">
        <v>71</v>
      </c>
      <c r="N76" s="25">
        <v>1</v>
      </c>
      <c r="O76" s="29">
        <v>8.7455882352941181</v>
      </c>
      <c r="P76" s="29">
        <v>8.7455882352941181</v>
      </c>
      <c r="Q76" s="25" t="s">
        <v>359</v>
      </c>
      <c r="R76" s="25"/>
      <c r="S76" s="26" t="s">
        <v>350</v>
      </c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8"/>
        <v>8.7455882352941181</v>
      </c>
      <c r="AF76" s="32">
        <f t="shared" si="19"/>
        <v>0</v>
      </c>
      <c r="AG76" s="30"/>
      <c r="AH76" s="33"/>
      <c r="AI76" s="34">
        <f t="shared" si="20"/>
        <v>0</v>
      </c>
      <c r="AJ76" s="35">
        <v>46312</v>
      </c>
      <c r="AK76" s="30">
        <v>1</v>
      </c>
      <c r="AL76" s="36">
        <f t="shared" si="4"/>
        <v>8.7455882352941181</v>
      </c>
      <c r="AM76" s="35">
        <v>46312</v>
      </c>
      <c r="AN76" s="30">
        <v>1</v>
      </c>
      <c r="AO76" s="36">
        <f t="shared" si="21"/>
        <v>8.7455882352941181</v>
      </c>
      <c r="AP76" s="35"/>
      <c r="AQ76" s="30"/>
      <c r="AR76" s="36">
        <f t="shared" si="22"/>
        <v>0</v>
      </c>
      <c r="AS76" s="27" t="s">
        <v>967</v>
      </c>
      <c r="AT76" s="37">
        <v>46312</v>
      </c>
      <c r="AU76" s="30">
        <v>1</v>
      </c>
      <c r="AV76" s="36">
        <f t="shared" si="23"/>
        <v>8.7455882352941181</v>
      </c>
      <c r="AW76" s="35"/>
      <c r="AX76" s="30"/>
      <c r="AY76" s="32">
        <f t="shared" si="24"/>
        <v>0</v>
      </c>
      <c r="AZ76" s="30" t="s">
        <v>440</v>
      </c>
      <c r="BA76" s="63"/>
      <c r="BB76" s="71"/>
      <c r="BC76" s="71" t="s">
        <v>87</v>
      </c>
      <c r="BD76" s="71"/>
    </row>
    <row r="77" spans="1:56" x14ac:dyDescent="0.25">
      <c r="A77" s="24">
        <f>IF(B77="","",SUBTOTAL(3,$B$4:B77))</f>
        <v>73</v>
      </c>
      <c r="B77" s="25" t="s">
        <v>439</v>
      </c>
      <c r="C77" s="25" t="str">
        <f t="shared" si="17"/>
        <v>Shipment 2 CO-SCR Duct</v>
      </c>
      <c r="D77" s="25" t="s">
        <v>441</v>
      </c>
      <c r="E77" s="25" t="s">
        <v>442</v>
      </c>
      <c r="F77" s="25"/>
      <c r="G77" s="65">
        <v>46204</v>
      </c>
      <c r="H77" s="25" t="s">
        <v>443</v>
      </c>
      <c r="I77" s="25" t="s">
        <v>444</v>
      </c>
      <c r="J77" s="26" t="s">
        <v>447</v>
      </c>
      <c r="K77" s="27" t="s">
        <v>86</v>
      </c>
      <c r="L77" s="28" t="s">
        <v>945</v>
      </c>
      <c r="M77" s="28" t="s">
        <v>71</v>
      </c>
      <c r="N77" s="25">
        <v>1</v>
      </c>
      <c r="O77" s="29">
        <v>8.7455882352941181</v>
      </c>
      <c r="P77" s="29">
        <v>8.7455882352941181</v>
      </c>
      <c r="Q77" s="25" t="s">
        <v>359</v>
      </c>
      <c r="R77" s="25"/>
      <c r="S77" s="26" t="s">
        <v>350</v>
      </c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8"/>
        <v>8.7455882352941181</v>
      </c>
      <c r="AF77" s="32">
        <f t="shared" si="19"/>
        <v>0</v>
      </c>
      <c r="AG77" s="30"/>
      <c r="AH77" s="33"/>
      <c r="AI77" s="34">
        <f t="shared" si="20"/>
        <v>0</v>
      </c>
      <c r="AJ77" s="35">
        <v>46312</v>
      </c>
      <c r="AK77" s="30">
        <v>1</v>
      </c>
      <c r="AL77" s="36">
        <f t="shared" si="4"/>
        <v>8.7455882352941181</v>
      </c>
      <c r="AM77" s="35">
        <v>46312</v>
      </c>
      <c r="AN77" s="30">
        <v>1</v>
      </c>
      <c r="AO77" s="36">
        <f t="shared" si="21"/>
        <v>8.7455882352941181</v>
      </c>
      <c r="AP77" s="35"/>
      <c r="AQ77" s="30"/>
      <c r="AR77" s="36">
        <f t="shared" si="22"/>
        <v>0</v>
      </c>
      <c r="AS77" s="27" t="s">
        <v>967</v>
      </c>
      <c r="AT77" s="37">
        <v>46312</v>
      </c>
      <c r="AU77" s="30">
        <v>1</v>
      </c>
      <c r="AV77" s="36">
        <f t="shared" si="23"/>
        <v>8.7455882352941181</v>
      </c>
      <c r="AW77" s="35"/>
      <c r="AX77" s="30"/>
      <c r="AY77" s="32">
        <f t="shared" si="24"/>
        <v>0</v>
      </c>
      <c r="AZ77" s="30" t="s">
        <v>440</v>
      </c>
      <c r="BA77" s="63"/>
      <c r="BB77" s="71"/>
      <c r="BC77" s="71" t="s">
        <v>87</v>
      </c>
      <c r="BD77" s="71"/>
    </row>
    <row r="78" spans="1:56" x14ac:dyDescent="0.25">
      <c r="A78" s="24">
        <f>IF(B78="","",SUBTOTAL(3,$B$4:B78))</f>
        <v>74</v>
      </c>
      <c r="B78" s="25" t="s">
        <v>439</v>
      </c>
      <c r="C78" s="25" t="str">
        <f t="shared" si="17"/>
        <v>Shipment 2 CO-SCR Duct</v>
      </c>
      <c r="D78" s="25" t="s">
        <v>441</v>
      </c>
      <c r="E78" s="25" t="s">
        <v>442</v>
      </c>
      <c r="F78" s="25"/>
      <c r="G78" s="65">
        <v>46204</v>
      </c>
      <c r="H78" s="25" t="s">
        <v>443</v>
      </c>
      <c r="I78" s="25" t="s">
        <v>444</v>
      </c>
      <c r="J78" s="26" t="s">
        <v>447</v>
      </c>
      <c r="K78" s="27" t="s">
        <v>86</v>
      </c>
      <c r="L78" s="28" t="s">
        <v>946</v>
      </c>
      <c r="M78" s="28" t="s">
        <v>71</v>
      </c>
      <c r="N78" s="25">
        <v>1</v>
      </c>
      <c r="O78" s="29">
        <v>8.7455882352941181</v>
      </c>
      <c r="P78" s="29">
        <v>8.7455882352941181</v>
      </c>
      <c r="Q78" s="25" t="s">
        <v>359</v>
      </c>
      <c r="R78" s="25"/>
      <c r="S78" s="26" t="s">
        <v>350</v>
      </c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18"/>
        <v>8.7455882352941181</v>
      </c>
      <c r="AF78" s="32">
        <f t="shared" si="19"/>
        <v>0</v>
      </c>
      <c r="AG78" s="30"/>
      <c r="AH78" s="33"/>
      <c r="AI78" s="34">
        <f t="shared" si="20"/>
        <v>0</v>
      </c>
      <c r="AJ78" s="35">
        <v>46312</v>
      </c>
      <c r="AK78" s="30">
        <v>1</v>
      </c>
      <c r="AL78" s="36">
        <f t="shared" si="4"/>
        <v>8.7455882352941181</v>
      </c>
      <c r="AM78" s="35">
        <v>46312</v>
      </c>
      <c r="AN78" s="30">
        <v>1</v>
      </c>
      <c r="AO78" s="36">
        <f t="shared" si="21"/>
        <v>8.7455882352941181</v>
      </c>
      <c r="AP78" s="35"/>
      <c r="AQ78" s="30"/>
      <c r="AR78" s="36">
        <f t="shared" si="22"/>
        <v>0</v>
      </c>
      <c r="AS78" s="27" t="s">
        <v>967</v>
      </c>
      <c r="AT78" s="37">
        <v>46312</v>
      </c>
      <c r="AU78" s="30">
        <v>1</v>
      </c>
      <c r="AV78" s="36">
        <f t="shared" si="23"/>
        <v>8.7455882352941181</v>
      </c>
      <c r="AW78" s="35"/>
      <c r="AX78" s="30"/>
      <c r="AY78" s="32">
        <f t="shared" si="24"/>
        <v>0</v>
      </c>
      <c r="AZ78" s="30" t="s">
        <v>440</v>
      </c>
      <c r="BA78" s="63"/>
      <c r="BB78" s="71"/>
      <c r="BC78" s="71" t="s">
        <v>87</v>
      </c>
      <c r="BD78" s="71"/>
    </row>
    <row r="79" spans="1:56" x14ac:dyDescent="0.25">
      <c r="A79" s="24">
        <f>IF(B79="","",SUBTOTAL(3,$B$4:B79))</f>
        <v>75</v>
      </c>
      <c r="B79" s="25" t="s">
        <v>439</v>
      </c>
      <c r="C79" s="25" t="str">
        <f t="shared" si="17"/>
        <v>Shipment 2 CO-SCR Duct</v>
      </c>
      <c r="D79" s="25" t="s">
        <v>441</v>
      </c>
      <c r="E79" s="25" t="s">
        <v>442</v>
      </c>
      <c r="F79" s="25"/>
      <c r="G79" s="65">
        <v>46204</v>
      </c>
      <c r="H79" s="25" t="s">
        <v>443</v>
      </c>
      <c r="I79" s="25" t="s">
        <v>444</v>
      </c>
      <c r="J79" s="26" t="s">
        <v>447</v>
      </c>
      <c r="K79" s="27" t="s">
        <v>86</v>
      </c>
      <c r="L79" s="28" t="s">
        <v>947</v>
      </c>
      <c r="M79" s="28" t="s">
        <v>71</v>
      </c>
      <c r="N79" s="25">
        <v>1</v>
      </c>
      <c r="O79" s="29">
        <v>8.7455882352941181</v>
      </c>
      <c r="P79" s="29">
        <v>8.7455882352941181</v>
      </c>
      <c r="Q79" s="25" t="s">
        <v>359</v>
      </c>
      <c r="R79" s="25"/>
      <c r="S79" s="26" t="s">
        <v>350</v>
      </c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18"/>
        <v>8.7455882352941181</v>
      </c>
      <c r="AF79" s="32">
        <f t="shared" si="19"/>
        <v>0</v>
      </c>
      <c r="AG79" s="30"/>
      <c r="AH79" s="33"/>
      <c r="AI79" s="34">
        <f t="shared" si="20"/>
        <v>0</v>
      </c>
      <c r="AJ79" s="35">
        <v>46312</v>
      </c>
      <c r="AK79" s="30">
        <v>1</v>
      </c>
      <c r="AL79" s="36">
        <f t="shared" si="4"/>
        <v>8.7455882352941181</v>
      </c>
      <c r="AM79" s="35">
        <v>46312</v>
      </c>
      <c r="AN79" s="30">
        <v>1</v>
      </c>
      <c r="AO79" s="36">
        <f t="shared" si="21"/>
        <v>8.7455882352941181</v>
      </c>
      <c r="AP79" s="35"/>
      <c r="AQ79" s="30"/>
      <c r="AR79" s="36">
        <f t="shared" si="22"/>
        <v>0</v>
      </c>
      <c r="AS79" s="27" t="s">
        <v>967</v>
      </c>
      <c r="AT79" s="37">
        <v>46312</v>
      </c>
      <c r="AU79" s="30">
        <v>1</v>
      </c>
      <c r="AV79" s="36">
        <f t="shared" si="23"/>
        <v>8.7455882352941181</v>
      </c>
      <c r="AW79" s="35"/>
      <c r="AX79" s="30"/>
      <c r="AY79" s="32">
        <f t="shared" si="24"/>
        <v>0</v>
      </c>
      <c r="AZ79" s="30" t="s">
        <v>440</v>
      </c>
      <c r="BA79" s="63"/>
      <c r="BB79" s="71"/>
      <c r="BC79" s="71" t="s">
        <v>87</v>
      </c>
      <c r="BD79" s="71"/>
    </row>
    <row r="80" spans="1:56" x14ac:dyDescent="0.25">
      <c r="A80" s="24">
        <f>IF(B80="","",SUBTOTAL(3,$B$4:B80))</f>
        <v>76</v>
      </c>
      <c r="B80" s="25" t="s">
        <v>439</v>
      </c>
      <c r="C80" s="25" t="str">
        <f t="shared" si="17"/>
        <v>Shipment 2 CO-SCR Duct</v>
      </c>
      <c r="D80" s="25" t="s">
        <v>441</v>
      </c>
      <c r="E80" s="25" t="s">
        <v>442</v>
      </c>
      <c r="F80" s="25"/>
      <c r="G80" s="65">
        <v>46204</v>
      </c>
      <c r="H80" s="25" t="s">
        <v>443</v>
      </c>
      <c r="I80" s="25" t="s">
        <v>444</v>
      </c>
      <c r="J80" s="26" t="s">
        <v>447</v>
      </c>
      <c r="K80" s="27" t="s">
        <v>86</v>
      </c>
      <c r="L80" s="28" t="s">
        <v>948</v>
      </c>
      <c r="M80" s="28" t="s">
        <v>71</v>
      </c>
      <c r="N80" s="25">
        <v>1</v>
      </c>
      <c r="O80" s="29">
        <v>8.7455882352941181</v>
      </c>
      <c r="P80" s="29">
        <v>8.7455882352941181</v>
      </c>
      <c r="Q80" s="25" t="s">
        <v>359</v>
      </c>
      <c r="R80" s="25"/>
      <c r="S80" s="26" t="s">
        <v>350</v>
      </c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18"/>
        <v>8.7455882352941181</v>
      </c>
      <c r="AF80" s="32">
        <f t="shared" si="19"/>
        <v>0</v>
      </c>
      <c r="AG80" s="30"/>
      <c r="AH80" s="33"/>
      <c r="AI80" s="34">
        <f t="shared" si="20"/>
        <v>0</v>
      </c>
      <c r="AJ80" s="35">
        <v>46312</v>
      </c>
      <c r="AK80" s="30">
        <v>1</v>
      </c>
      <c r="AL80" s="36">
        <f t="shared" si="4"/>
        <v>8.7455882352941181</v>
      </c>
      <c r="AM80" s="35">
        <v>46312</v>
      </c>
      <c r="AN80" s="30">
        <v>1</v>
      </c>
      <c r="AO80" s="36">
        <f t="shared" si="21"/>
        <v>8.7455882352941181</v>
      </c>
      <c r="AP80" s="35"/>
      <c r="AQ80" s="30"/>
      <c r="AR80" s="36">
        <f t="shared" si="22"/>
        <v>0</v>
      </c>
      <c r="AS80" s="27" t="s">
        <v>967</v>
      </c>
      <c r="AT80" s="37">
        <v>46312</v>
      </c>
      <c r="AU80" s="30">
        <v>1</v>
      </c>
      <c r="AV80" s="36">
        <f t="shared" si="23"/>
        <v>8.7455882352941181</v>
      </c>
      <c r="AW80" s="35"/>
      <c r="AX80" s="30"/>
      <c r="AY80" s="32">
        <f t="shared" si="24"/>
        <v>0</v>
      </c>
      <c r="AZ80" s="30" t="s">
        <v>440</v>
      </c>
      <c r="BA80" s="63"/>
      <c r="BB80" s="71"/>
      <c r="BC80" s="71" t="s">
        <v>87</v>
      </c>
      <c r="BD80" s="71"/>
    </row>
    <row r="81" spans="1:56" x14ac:dyDescent="0.25">
      <c r="A81" s="24">
        <f>IF(B81="","",SUBTOTAL(3,$B$4:B81))</f>
        <v>77</v>
      </c>
      <c r="B81" s="25" t="s">
        <v>439</v>
      </c>
      <c r="C81" s="25" t="str">
        <f t="shared" si="17"/>
        <v>Shipment 2 CO-SCR Duct</v>
      </c>
      <c r="D81" s="25" t="s">
        <v>441</v>
      </c>
      <c r="E81" s="25" t="s">
        <v>442</v>
      </c>
      <c r="F81" s="25"/>
      <c r="G81" s="65">
        <v>46204</v>
      </c>
      <c r="H81" s="25" t="s">
        <v>443</v>
      </c>
      <c r="I81" s="25" t="s">
        <v>444</v>
      </c>
      <c r="J81" s="26" t="s">
        <v>447</v>
      </c>
      <c r="K81" s="27" t="s">
        <v>86</v>
      </c>
      <c r="L81" s="28" t="s">
        <v>949</v>
      </c>
      <c r="M81" s="28" t="s">
        <v>71</v>
      </c>
      <c r="N81" s="25">
        <v>1</v>
      </c>
      <c r="O81" s="29">
        <v>8.7455882352941181</v>
      </c>
      <c r="P81" s="29">
        <v>8.7455882352941181</v>
      </c>
      <c r="Q81" s="25" t="s">
        <v>359</v>
      </c>
      <c r="R81" s="25"/>
      <c r="S81" s="26" t="s">
        <v>350</v>
      </c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18"/>
        <v>8.7455882352941181</v>
      </c>
      <c r="AF81" s="32">
        <f t="shared" si="19"/>
        <v>0</v>
      </c>
      <c r="AG81" s="30"/>
      <c r="AH81" s="33"/>
      <c r="AI81" s="34">
        <f t="shared" si="20"/>
        <v>0</v>
      </c>
      <c r="AJ81" s="35">
        <v>46312</v>
      </c>
      <c r="AK81" s="30">
        <v>1</v>
      </c>
      <c r="AL81" s="36">
        <f t="shared" si="4"/>
        <v>8.7455882352941181</v>
      </c>
      <c r="AM81" s="35">
        <v>46312</v>
      </c>
      <c r="AN81" s="30">
        <v>1</v>
      </c>
      <c r="AO81" s="36">
        <f t="shared" si="21"/>
        <v>8.7455882352941181</v>
      </c>
      <c r="AP81" s="35"/>
      <c r="AQ81" s="30"/>
      <c r="AR81" s="36">
        <f t="shared" si="22"/>
        <v>0</v>
      </c>
      <c r="AS81" s="27" t="s">
        <v>967</v>
      </c>
      <c r="AT81" s="37">
        <v>46312</v>
      </c>
      <c r="AU81" s="30">
        <v>1</v>
      </c>
      <c r="AV81" s="36">
        <f t="shared" si="23"/>
        <v>8.7455882352941181</v>
      </c>
      <c r="AW81" s="35"/>
      <c r="AX81" s="30"/>
      <c r="AY81" s="32">
        <f t="shared" si="24"/>
        <v>0</v>
      </c>
      <c r="AZ81" s="30" t="s">
        <v>440</v>
      </c>
      <c r="BA81" s="63"/>
      <c r="BB81" s="71"/>
      <c r="BC81" s="71" t="s">
        <v>87</v>
      </c>
      <c r="BD81" s="71"/>
    </row>
    <row r="82" spans="1:56" x14ac:dyDescent="0.25">
      <c r="A82" s="24">
        <f>IF(B82="","",SUBTOTAL(3,$B$4:B82))</f>
        <v>78</v>
      </c>
      <c r="B82" s="25" t="s">
        <v>439</v>
      </c>
      <c r="C82" s="25" t="str">
        <f t="shared" si="17"/>
        <v>Shipment 2 CO-SCR Duct</v>
      </c>
      <c r="D82" s="25" t="s">
        <v>441</v>
      </c>
      <c r="E82" s="25" t="s">
        <v>442</v>
      </c>
      <c r="F82" s="25"/>
      <c r="G82" s="65">
        <v>46204</v>
      </c>
      <c r="H82" s="25" t="s">
        <v>443</v>
      </c>
      <c r="I82" s="25" t="s">
        <v>444</v>
      </c>
      <c r="J82" s="26" t="s">
        <v>447</v>
      </c>
      <c r="K82" s="27" t="s">
        <v>86</v>
      </c>
      <c r="L82" s="28" t="s">
        <v>950</v>
      </c>
      <c r="M82" s="28" t="s">
        <v>71</v>
      </c>
      <c r="N82" s="25">
        <v>1</v>
      </c>
      <c r="O82" s="29">
        <v>8.7455882352941181</v>
      </c>
      <c r="P82" s="29">
        <v>8.7455882352941181</v>
      </c>
      <c r="Q82" s="25" t="s">
        <v>359</v>
      </c>
      <c r="R82" s="25"/>
      <c r="S82" s="26" t="s">
        <v>350</v>
      </c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18"/>
        <v>8.7455882352941181</v>
      </c>
      <c r="AF82" s="32">
        <f t="shared" si="19"/>
        <v>0</v>
      </c>
      <c r="AG82" s="30"/>
      <c r="AH82" s="33"/>
      <c r="AI82" s="34">
        <f t="shared" si="20"/>
        <v>0</v>
      </c>
      <c r="AJ82" s="35">
        <v>46312</v>
      </c>
      <c r="AK82" s="30">
        <v>1</v>
      </c>
      <c r="AL82" s="36">
        <f t="shared" si="4"/>
        <v>8.7455882352941181</v>
      </c>
      <c r="AM82" s="35">
        <v>46312</v>
      </c>
      <c r="AN82" s="30">
        <v>1</v>
      </c>
      <c r="AO82" s="36">
        <f t="shared" si="21"/>
        <v>8.7455882352941181</v>
      </c>
      <c r="AP82" s="35"/>
      <c r="AQ82" s="30"/>
      <c r="AR82" s="36">
        <f t="shared" si="22"/>
        <v>0</v>
      </c>
      <c r="AS82" s="27" t="s">
        <v>967</v>
      </c>
      <c r="AT82" s="37">
        <v>46312</v>
      </c>
      <c r="AU82" s="30">
        <v>1</v>
      </c>
      <c r="AV82" s="36">
        <f t="shared" si="23"/>
        <v>8.7455882352941181</v>
      </c>
      <c r="AW82" s="35"/>
      <c r="AX82" s="30"/>
      <c r="AY82" s="32">
        <f t="shared" si="24"/>
        <v>0</v>
      </c>
      <c r="AZ82" s="30" t="s">
        <v>440</v>
      </c>
      <c r="BA82" s="63"/>
      <c r="BB82" s="71"/>
      <c r="BC82" s="71" t="s">
        <v>87</v>
      </c>
      <c r="BD82" s="71"/>
    </row>
    <row r="83" spans="1:56" x14ac:dyDescent="0.25">
      <c r="A83" s="24">
        <f>IF(B83="","",SUBTOTAL(3,$B$4:B83))</f>
        <v>79</v>
      </c>
      <c r="B83" s="25" t="s">
        <v>439</v>
      </c>
      <c r="C83" s="25" t="str">
        <f t="shared" si="17"/>
        <v>Shipment 2 CO-SCR Duct</v>
      </c>
      <c r="D83" s="25" t="s">
        <v>441</v>
      </c>
      <c r="E83" s="25" t="s">
        <v>442</v>
      </c>
      <c r="F83" s="25"/>
      <c r="G83" s="65">
        <v>46204</v>
      </c>
      <c r="H83" s="25" t="s">
        <v>443</v>
      </c>
      <c r="I83" s="25" t="s">
        <v>444</v>
      </c>
      <c r="J83" s="26" t="s">
        <v>447</v>
      </c>
      <c r="K83" s="27" t="s">
        <v>86</v>
      </c>
      <c r="L83" s="28" t="s">
        <v>951</v>
      </c>
      <c r="M83" s="28" t="s">
        <v>71</v>
      </c>
      <c r="N83" s="25">
        <v>1</v>
      </c>
      <c r="O83" s="29">
        <v>8.7455882352941181</v>
      </c>
      <c r="P83" s="29">
        <v>8.7455882352941181</v>
      </c>
      <c r="Q83" s="25" t="s">
        <v>359</v>
      </c>
      <c r="R83" s="25"/>
      <c r="S83" s="26" t="s">
        <v>350</v>
      </c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18"/>
        <v>8.7455882352941181</v>
      </c>
      <c r="AF83" s="32">
        <f t="shared" si="19"/>
        <v>0</v>
      </c>
      <c r="AG83" s="30"/>
      <c r="AH83" s="33"/>
      <c r="AI83" s="34">
        <f t="shared" si="20"/>
        <v>0</v>
      </c>
      <c r="AJ83" s="35">
        <v>46312</v>
      </c>
      <c r="AK83" s="30">
        <v>1</v>
      </c>
      <c r="AL83" s="36">
        <f t="shared" si="4"/>
        <v>8.7455882352941181</v>
      </c>
      <c r="AM83" s="35">
        <v>46312</v>
      </c>
      <c r="AN83" s="30">
        <v>1</v>
      </c>
      <c r="AO83" s="36">
        <f t="shared" si="21"/>
        <v>8.7455882352941181</v>
      </c>
      <c r="AP83" s="35"/>
      <c r="AQ83" s="30"/>
      <c r="AR83" s="36">
        <f t="shared" si="22"/>
        <v>0</v>
      </c>
      <c r="AS83" s="27" t="s">
        <v>967</v>
      </c>
      <c r="AT83" s="37">
        <v>46312</v>
      </c>
      <c r="AU83" s="30">
        <v>1</v>
      </c>
      <c r="AV83" s="36">
        <f t="shared" si="23"/>
        <v>8.7455882352941181</v>
      </c>
      <c r="AW83" s="35"/>
      <c r="AX83" s="30"/>
      <c r="AY83" s="32">
        <f t="shared" si="24"/>
        <v>0</v>
      </c>
      <c r="AZ83" s="30" t="s">
        <v>440</v>
      </c>
      <c r="BA83" s="63"/>
      <c r="BB83" s="71"/>
      <c r="BC83" s="71" t="s">
        <v>87</v>
      </c>
      <c r="BD83" s="71"/>
    </row>
    <row r="84" spans="1:56" x14ac:dyDescent="0.25">
      <c r="A84" s="24">
        <f>IF(B84="","",SUBTOTAL(3,$B$4:B84))</f>
        <v>80</v>
      </c>
      <c r="B84" s="25" t="s">
        <v>439</v>
      </c>
      <c r="C84" s="25" t="str">
        <f t="shared" si="17"/>
        <v>Shipment 2 CO-SCR Duct</v>
      </c>
      <c r="D84" s="25" t="s">
        <v>441</v>
      </c>
      <c r="E84" s="25" t="s">
        <v>442</v>
      </c>
      <c r="F84" s="25"/>
      <c r="G84" s="65">
        <v>46204</v>
      </c>
      <c r="H84" s="25" t="s">
        <v>443</v>
      </c>
      <c r="I84" s="25" t="s">
        <v>444</v>
      </c>
      <c r="J84" s="26" t="s">
        <v>447</v>
      </c>
      <c r="K84" s="27" t="s">
        <v>86</v>
      </c>
      <c r="L84" s="28" t="s">
        <v>952</v>
      </c>
      <c r="M84" s="28" t="s">
        <v>71</v>
      </c>
      <c r="N84" s="25">
        <v>1</v>
      </c>
      <c r="O84" s="29">
        <v>8.7455882352941181</v>
      </c>
      <c r="P84" s="29">
        <v>8.7455882352941181</v>
      </c>
      <c r="Q84" s="25" t="s">
        <v>359</v>
      </c>
      <c r="R84" s="25"/>
      <c r="S84" s="26" t="s">
        <v>350</v>
      </c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18"/>
        <v>8.7455882352941181</v>
      </c>
      <c r="AF84" s="32">
        <f t="shared" si="19"/>
        <v>0</v>
      </c>
      <c r="AG84" s="30"/>
      <c r="AH84" s="33"/>
      <c r="AI84" s="34">
        <f t="shared" si="20"/>
        <v>0</v>
      </c>
      <c r="AJ84" s="35">
        <v>46312</v>
      </c>
      <c r="AK84" s="30">
        <v>1</v>
      </c>
      <c r="AL84" s="36">
        <f t="shared" si="4"/>
        <v>8.7455882352941181</v>
      </c>
      <c r="AM84" s="35">
        <v>46312</v>
      </c>
      <c r="AN84" s="30">
        <v>1</v>
      </c>
      <c r="AO84" s="36">
        <f t="shared" si="21"/>
        <v>8.7455882352941181</v>
      </c>
      <c r="AP84" s="35"/>
      <c r="AQ84" s="30"/>
      <c r="AR84" s="36">
        <f t="shared" si="22"/>
        <v>0</v>
      </c>
      <c r="AS84" s="27" t="s">
        <v>967</v>
      </c>
      <c r="AT84" s="37">
        <v>46312</v>
      </c>
      <c r="AU84" s="30">
        <v>1</v>
      </c>
      <c r="AV84" s="36">
        <f t="shared" si="23"/>
        <v>8.7455882352941181</v>
      </c>
      <c r="AW84" s="35"/>
      <c r="AX84" s="30"/>
      <c r="AY84" s="32">
        <f t="shared" si="24"/>
        <v>0</v>
      </c>
      <c r="AZ84" s="30" t="s">
        <v>440</v>
      </c>
      <c r="BA84" s="63"/>
      <c r="BB84" s="71"/>
      <c r="BC84" s="71" t="s">
        <v>87</v>
      </c>
      <c r="BD84" s="71"/>
    </row>
    <row r="85" spans="1:56" x14ac:dyDescent="0.25">
      <c r="A85" s="24">
        <f>IF(B85="","",SUBTOTAL(3,$B$4:B85))</f>
        <v>81</v>
      </c>
      <c r="B85" s="25" t="s">
        <v>439</v>
      </c>
      <c r="C85" s="25" t="str">
        <f t="shared" si="17"/>
        <v>Shipment 2 CO-SCR Duct</v>
      </c>
      <c r="D85" s="25" t="s">
        <v>441</v>
      </c>
      <c r="E85" s="25" t="s">
        <v>442</v>
      </c>
      <c r="F85" s="25"/>
      <c r="G85" s="65">
        <v>46204</v>
      </c>
      <c r="H85" s="25" t="s">
        <v>443</v>
      </c>
      <c r="I85" s="25" t="s">
        <v>444</v>
      </c>
      <c r="J85" s="26" t="s">
        <v>447</v>
      </c>
      <c r="K85" s="27" t="s">
        <v>86</v>
      </c>
      <c r="L85" s="28" t="s">
        <v>953</v>
      </c>
      <c r="M85" s="28" t="s">
        <v>71</v>
      </c>
      <c r="N85" s="25">
        <v>1</v>
      </c>
      <c r="O85" s="29">
        <v>8.7455882352941181</v>
      </c>
      <c r="P85" s="29">
        <v>8.7455882352941181</v>
      </c>
      <c r="Q85" s="25" t="s">
        <v>359</v>
      </c>
      <c r="R85" s="25"/>
      <c r="S85" s="26" t="s">
        <v>350</v>
      </c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18"/>
        <v>8.7455882352941181</v>
      </c>
      <c r="AF85" s="32">
        <f t="shared" si="19"/>
        <v>0</v>
      </c>
      <c r="AG85" s="30"/>
      <c r="AH85" s="33"/>
      <c r="AI85" s="34">
        <f t="shared" si="20"/>
        <v>0</v>
      </c>
      <c r="AJ85" s="35">
        <v>46312</v>
      </c>
      <c r="AK85" s="30">
        <v>1</v>
      </c>
      <c r="AL85" s="36">
        <f t="shared" si="4"/>
        <v>8.7455882352941181</v>
      </c>
      <c r="AM85" s="35">
        <v>46312</v>
      </c>
      <c r="AN85" s="30">
        <v>1</v>
      </c>
      <c r="AO85" s="36">
        <f t="shared" si="21"/>
        <v>8.7455882352941181</v>
      </c>
      <c r="AP85" s="35"/>
      <c r="AQ85" s="30"/>
      <c r="AR85" s="36">
        <f t="shared" si="22"/>
        <v>0</v>
      </c>
      <c r="AS85" s="27" t="s">
        <v>967</v>
      </c>
      <c r="AT85" s="37">
        <v>46312</v>
      </c>
      <c r="AU85" s="30">
        <v>1</v>
      </c>
      <c r="AV85" s="36">
        <f t="shared" si="23"/>
        <v>8.7455882352941181</v>
      </c>
      <c r="AW85" s="35"/>
      <c r="AX85" s="30"/>
      <c r="AY85" s="32">
        <f t="shared" si="24"/>
        <v>0</v>
      </c>
      <c r="AZ85" s="30" t="s">
        <v>440</v>
      </c>
      <c r="BA85" s="63"/>
      <c r="BB85" s="71"/>
      <c r="BC85" s="71" t="s">
        <v>87</v>
      </c>
      <c r="BD85" s="71"/>
    </row>
    <row r="86" spans="1:56" x14ac:dyDescent="0.25">
      <c r="A86" s="24">
        <f>IF(B86="","",SUBTOTAL(3,$B$4:B86))</f>
        <v>82</v>
      </c>
      <c r="B86" s="25" t="s">
        <v>439</v>
      </c>
      <c r="C86" s="25" t="str">
        <f t="shared" si="17"/>
        <v>Shipment 2 CO-SCR Duct</v>
      </c>
      <c r="D86" s="25" t="s">
        <v>441</v>
      </c>
      <c r="E86" s="25" t="s">
        <v>442</v>
      </c>
      <c r="F86" s="25"/>
      <c r="G86" s="65">
        <v>46204</v>
      </c>
      <c r="H86" s="25" t="s">
        <v>443</v>
      </c>
      <c r="I86" s="25" t="s">
        <v>444</v>
      </c>
      <c r="J86" s="26" t="s">
        <v>447</v>
      </c>
      <c r="K86" s="27" t="s">
        <v>86</v>
      </c>
      <c r="L86" s="28" t="s">
        <v>954</v>
      </c>
      <c r="M86" s="28" t="s">
        <v>71</v>
      </c>
      <c r="N86" s="25">
        <v>1</v>
      </c>
      <c r="O86" s="29">
        <v>8.7455882352941181</v>
      </c>
      <c r="P86" s="29">
        <v>8.7455882352941181</v>
      </c>
      <c r="Q86" s="25" t="s">
        <v>359</v>
      </c>
      <c r="R86" s="25"/>
      <c r="S86" s="26" t="s">
        <v>350</v>
      </c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18"/>
        <v>8.7455882352941181</v>
      </c>
      <c r="AF86" s="32">
        <f t="shared" si="19"/>
        <v>0</v>
      </c>
      <c r="AG86" s="30"/>
      <c r="AH86" s="33"/>
      <c r="AI86" s="34">
        <f t="shared" si="20"/>
        <v>0</v>
      </c>
      <c r="AJ86" s="35">
        <v>46312</v>
      </c>
      <c r="AK86" s="30">
        <v>1</v>
      </c>
      <c r="AL86" s="36">
        <f t="shared" si="4"/>
        <v>8.7455882352941181</v>
      </c>
      <c r="AM86" s="35">
        <v>46312</v>
      </c>
      <c r="AN86" s="30">
        <v>1</v>
      </c>
      <c r="AO86" s="36">
        <f t="shared" si="21"/>
        <v>8.7455882352941181</v>
      </c>
      <c r="AP86" s="35"/>
      <c r="AQ86" s="30"/>
      <c r="AR86" s="36">
        <f t="shared" si="22"/>
        <v>0</v>
      </c>
      <c r="AS86" s="27" t="s">
        <v>967</v>
      </c>
      <c r="AT86" s="37">
        <v>46312</v>
      </c>
      <c r="AU86" s="30">
        <v>1</v>
      </c>
      <c r="AV86" s="36">
        <f t="shared" si="23"/>
        <v>8.7455882352941181</v>
      </c>
      <c r="AW86" s="35"/>
      <c r="AX86" s="30"/>
      <c r="AY86" s="32">
        <f t="shared" si="24"/>
        <v>0</v>
      </c>
      <c r="AZ86" s="30" t="s">
        <v>440</v>
      </c>
      <c r="BA86" s="63"/>
      <c r="BB86" s="71"/>
      <c r="BC86" s="71" t="s">
        <v>87</v>
      </c>
      <c r="BD86" s="71"/>
    </row>
    <row r="87" spans="1:56" x14ac:dyDescent="0.25">
      <c r="A87" s="24">
        <f>IF(B87="","",SUBTOTAL(3,$B$4:B87))</f>
        <v>83</v>
      </c>
      <c r="B87" s="25" t="s">
        <v>439</v>
      </c>
      <c r="C87" s="25" t="str">
        <f t="shared" si="17"/>
        <v>Shipment 2 CO-SCR Duct</v>
      </c>
      <c r="D87" s="25" t="s">
        <v>441</v>
      </c>
      <c r="E87" s="25" t="s">
        <v>442</v>
      </c>
      <c r="F87" s="25"/>
      <c r="G87" s="65">
        <v>46204</v>
      </c>
      <c r="H87" s="25" t="s">
        <v>443</v>
      </c>
      <c r="I87" s="25" t="s">
        <v>444</v>
      </c>
      <c r="J87" s="26" t="s">
        <v>447</v>
      </c>
      <c r="K87" s="27" t="s">
        <v>86</v>
      </c>
      <c r="L87" s="28" t="s">
        <v>955</v>
      </c>
      <c r="M87" s="28" t="s">
        <v>71</v>
      </c>
      <c r="N87" s="25">
        <v>1</v>
      </c>
      <c r="O87" s="29">
        <v>8.7455882352941181</v>
      </c>
      <c r="P87" s="29">
        <v>8.7455882352941181</v>
      </c>
      <c r="Q87" s="25" t="s">
        <v>359</v>
      </c>
      <c r="R87" s="25"/>
      <c r="S87" s="26" t="s">
        <v>350</v>
      </c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18"/>
        <v>8.7455882352941181</v>
      </c>
      <c r="AF87" s="32">
        <f t="shared" si="19"/>
        <v>0</v>
      </c>
      <c r="AG87" s="30"/>
      <c r="AH87" s="33"/>
      <c r="AI87" s="34">
        <f t="shared" si="20"/>
        <v>0</v>
      </c>
      <c r="AJ87" s="35">
        <v>46312</v>
      </c>
      <c r="AK87" s="30">
        <v>1</v>
      </c>
      <c r="AL87" s="36">
        <f t="shared" si="4"/>
        <v>8.7455882352941181</v>
      </c>
      <c r="AM87" s="35">
        <v>46312</v>
      </c>
      <c r="AN87" s="30">
        <v>1</v>
      </c>
      <c r="AO87" s="36">
        <f t="shared" si="21"/>
        <v>8.7455882352941181</v>
      </c>
      <c r="AP87" s="35"/>
      <c r="AQ87" s="30"/>
      <c r="AR87" s="36">
        <f t="shared" si="22"/>
        <v>0</v>
      </c>
      <c r="AS87" s="27" t="s">
        <v>967</v>
      </c>
      <c r="AT87" s="37">
        <v>46312</v>
      </c>
      <c r="AU87" s="30">
        <v>1</v>
      </c>
      <c r="AV87" s="36">
        <f t="shared" si="23"/>
        <v>8.7455882352941181</v>
      </c>
      <c r="AW87" s="35"/>
      <c r="AX87" s="30"/>
      <c r="AY87" s="32">
        <f t="shared" si="24"/>
        <v>0</v>
      </c>
      <c r="AZ87" s="30" t="s">
        <v>440</v>
      </c>
      <c r="BA87" s="63"/>
      <c r="BB87" s="71"/>
      <c r="BC87" s="71" t="s">
        <v>87</v>
      </c>
      <c r="BD87" s="71"/>
    </row>
    <row r="88" spans="1:56" x14ac:dyDescent="0.25">
      <c r="A88" s="24">
        <f>IF(B88="","",SUBTOTAL(3,$B$4:B88))</f>
        <v>84</v>
      </c>
      <c r="B88" s="25" t="s">
        <v>439</v>
      </c>
      <c r="C88" s="25" t="str">
        <f t="shared" si="17"/>
        <v>Shipment 2 CO-SCR Duct</v>
      </c>
      <c r="D88" s="25" t="s">
        <v>441</v>
      </c>
      <c r="E88" s="25" t="s">
        <v>442</v>
      </c>
      <c r="F88" s="25"/>
      <c r="G88" s="65">
        <v>46204</v>
      </c>
      <c r="H88" s="25" t="s">
        <v>443</v>
      </c>
      <c r="I88" s="25" t="s">
        <v>444</v>
      </c>
      <c r="J88" s="26" t="s">
        <v>447</v>
      </c>
      <c r="K88" s="27" t="s">
        <v>86</v>
      </c>
      <c r="L88" s="28" t="s">
        <v>956</v>
      </c>
      <c r="M88" s="28" t="s">
        <v>71</v>
      </c>
      <c r="N88" s="25">
        <v>1</v>
      </c>
      <c r="O88" s="29">
        <v>8.7455882352941181</v>
      </c>
      <c r="P88" s="29">
        <v>8.7455882352941181</v>
      </c>
      <c r="Q88" s="25" t="s">
        <v>359</v>
      </c>
      <c r="R88" s="25"/>
      <c r="S88" s="26" t="s">
        <v>350</v>
      </c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18"/>
        <v>8.7455882352941181</v>
      </c>
      <c r="AF88" s="32">
        <f t="shared" si="19"/>
        <v>0</v>
      </c>
      <c r="AG88" s="30"/>
      <c r="AH88" s="33"/>
      <c r="AI88" s="34">
        <f t="shared" si="20"/>
        <v>0</v>
      </c>
      <c r="AJ88" s="35">
        <v>46312</v>
      </c>
      <c r="AK88" s="30">
        <v>1</v>
      </c>
      <c r="AL88" s="36">
        <f t="shared" si="4"/>
        <v>8.7455882352941181</v>
      </c>
      <c r="AM88" s="35">
        <v>46312</v>
      </c>
      <c r="AN88" s="30">
        <v>1</v>
      </c>
      <c r="AO88" s="36">
        <f t="shared" si="21"/>
        <v>8.7455882352941181</v>
      </c>
      <c r="AP88" s="35"/>
      <c r="AQ88" s="30"/>
      <c r="AR88" s="36">
        <f t="shared" si="22"/>
        <v>0</v>
      </c>
      <c r="AS88" s="27" t="s">
        <v>967</v>
      </c>
      <c r="AT88" s="37">
        <v>46312</v>
      </c>
      <c r="AU88" s="30">
        <v>1</v>
      </c>
      <c r="AV88" s="36">
        <f t="shared" si="23"/>
        <v>8.7455882352941181</v>
      </c>
      <c r="AW88" s="35"/>
      <c r="AX88" s="30"/>
      <c r="AY88" s="32">
        <f t="shared" si="24"/>
        <v>0</v>
      </c>
      <c r="AZ88" s="30" t="s">
        <v>440</v>
      </c>
      <c r="BA88" s="63"/>
      <c r="BB88" s="71"/>
      <c r="BC88" s="71" t="s">
        <v>87</v>
      </c>
      <c r="BD88" s="71"/>
    </row>
    <row r="89" spans="1:56" x14ac:dyDescent="0.25">
      <c r="A89" s="24">
        <f>IF(B89="","",SUBTOTAL(3,$B$4:B89))</f>
        <v>85</v>
      </c>
      <c r="B89" s="25" t="s">
        <v>439</v>
      </c>
      <c r="C89" s="25" t="str">
        <f t="shared" si="17"/>
        <v>Shipment 2 CO-SCR Duct</v>
      </c>
      <c r="D89" s="25" t="s">
        <v>441</v>
      </c>
      <c r="E89" s="25" t="s">
        <v>442</v>
      </c>
      <c r="F89" s="25"/>
      <c r="G89" s="65">
        <v>46204</v>
      </c>
      <c r="H89" s="25" t="s">
        <v>443</v>
      </c>
      <c r="I89" s="25" t="s">
        <v>444</v>
      </c>
      <c r="J89" s="26" t="s">
        <v>447</v>
      </c>
      <c r="K89" s="27" t="s">
        <v>86</v>
      </c>
      <c r="L89" s="28" t="s">
        <v>957</v>
      </c>
      <c r="M89" s="28" t="s">
        <v>71</v>
      </c>
      <c r="N89" s="25">
        <v>1</v>
      </c>
      <c r="O89" s="29">
        <v>8.7455882352941181</v>
      </c>
      <c r="P89" s="29">
        <v>8.7455882352941181</v>
      </c>
      <c r="Q89" s="25" t="s">
        <v>359</v>
      </c>
      <c r="R89" s="25"/>
      <c r="S89" s="26" t="s">
        <v>350</v>
      </c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18"/>
        <v>8.7455882352941181</v>
      </c>
      <c r="AF89" s="32">
        <f t="shared" si="19"/>
        <v>0</v>
      </c>
      <c r="AG89" s="30"/>
      <c r="AH89" s="33"/>
      <c r="AI89" s="34">
        <f t="shared" si="20"/>
        <v>0</v>
      </c>
      <c r="AJ89" s="35">
        <v>46312</v>
      </c>
      <c r="AK89" s="30">
        <v>1</v>
      </c>
      <c r="AL89" s="36">
        <f t="shared" si="4"/>
        <v>8.7455882352941181</v>
      </c>
      <c r="AM89" s="35">
        <v>46312</v>
      </c>
      <c r="AN89" s="30">
        <v>1</v>
      </c>
      <c r="AO89" s="36">
        <f t="shared" si="21"/>
        <v>8.7455882352941181</v>
      </c>
      <c r="AP89" s="35"/>
      <c r="AQ89" s="30"/>
      <c r="AR89" s="36">
        <f t="shared" si="22"/>
        <v>0</v>
      </c>
      <c r="AS89" s="27" t="s">
        <v>967</v>
      </c>
      <c r="AT89" s="37">
        <v>46312</v>
      </c>
      <c r="AU89" s="30">
        <v>1</v>
      </c>
      <c r="AV89" s="36">
        <f t="shared" si="23"/>
        <v>8.7455882352941181</v>
      </c>
      <c r="AW89" s="35"/>
      <c r="AX89" s="30"/>
      <c r="AY89" s="32">
        <f t="shared" si="24"/>
        <v>0</v>
      </c>
      <c r="AZ89" s="30" t="s">
        <v>440</v>
      </c>
      <c r="BA89" s="63"/>
      <c r="BB89" s="71"/>
      <c r="BC89" s="71" t="s">
        <v>87</v>
      </c>
      <c r="BD89" s="71"/>
    </row>
    <row r="90" spans="1:56" x14ac:dyDescent="0.25">
      <c r="A90" s="24">
        <f>IF(B90="","",SUBTOTAL(3,$B$4:B90))</f>
        <v>86</v>
      </c>
      <c r="B90" s="25" t="s">
        <v>439</v>
      </c>
      <c r="C90" s="25" t="str">
        <f t="shared" si="17"/>
        <v>Shipment 2 CO-SCR Duct</v>
      </c>
      <c r="D90" s="25" t="s">
        <v>441</v>
      </c>
      <c r="E90" s="25" t="s">
        <v>442</v>
      </c>
      <c r="F90" s="25"/>
      <c r="G90" s="65">
        <v>46204</v>
      </c>
      <c r="H90" s="25" t="s">
        <v>443</v>
      </c>
      <c r="I90" s="25" t="s">
        <v>444</v>
      </c>
      <c r="J90" s="26" t="s">
        <v>447</v>
      </c>
      <c r="K90" s="27" t="s">
        <v>86</v>
      </c>
      <c r="L90" s="28" t="s">
        <v>958</v>
      </c>
      <c r="M90" s="28" t="s">
        <v>71</v>
      </c>
      <c r="N90" s="25">
        <v>1</v>
      </c>
      <c r="O90" s="29">
        <v>8.7455882352941181</v>
      </c>
      <c r="P90" s="29">
        <v>8.7455882352941181</v>
      </c>
      <c r="Q90" s="25" t="s">
        <v>359</v>
      </c>
      <c r="R90" s="25"/>
      <c r="S90" s="26" t="s">
        <v>350</v>
      </c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18"/>
        <v>8.7455882352941181</v>
      </c>
      <c r="AF90" s="32">
        <f t="shared" si="19"/>
        <v>0</v>
      </c>
      <c r="AG90" s="30"/>
      <c r="AH90" s="33"/>
      <c r="AI90" s="34">
        <f t="shared" si="20"/>
        <v>0</v>
      </c>
      <c r="AJ90" s="35">
        <v>46312</v>
      </c>
      <c r="AK90" s="30">
        <v>1</v>
      </c>
      <c r="AL90" s="36">
        <f t="shared" si="4"/>
        <v>8.7455882352941181</v>
      </c>
      <c r="AM90" s="35">
        <v>46312</v>
      </c>
      <c r="AN90" s="30">
        <v>1</v>
      </c>
      <c r="AO90" s="36">
        <f t="shared" si="21"/>
        <v>8.7455882352941181</v>
      </c>
      <c r="AP90" s="35"/>
      <c r="AQ90" s="30"/>
      <c r="AR90" s="36">
        <f t="shared" si="22"/>
        <v>0</v>
      </c>
      <c r="AS90" s="27" t="s">
        <v>967</v>
      </c>
      <c r="AT90" s="37">
        <v>46312</v>
      </c>
      <c r="AU90" s="30">
        <v>1</v>
      </c>
      <c r="AV90" s="36">
        <f t="shared" si="23"/>
        <v>8.7455882352941181</v>
      </c>
      <c r="AW90" s="35"/>
      <c r="AX90" s="30"/>
      <c r="AY90" s="32">
        <f t="shared" si="24"/>
        <v>0</v>
      </c>
      <c r="AZ90" s="30" t="s">
        <v>440</v>
      </c>
      <c r="BA90" s="63"/>
      <c r="BB90" s="71"/>
      <c r="BC90" s="71" t="s">
        <v>87</v>
      </c>
      <c r="BD90" s="71"/>
    </row>
    <row r="91" spans="1:56" x14ac:dyDescent="0.25">
      <c r="A91" s="24">
        <f>IF(B91="","",SUBTOTAL(3,$B$4:B91))</f>
        <v>87</v>
      </c>
      <c r="B91" s="25" t="s">
        <v>439</v>
      </c>
      <c r="C91" s="25" t="str">
        <f t="shared" si="17"/>
        <v>Shipment 2 CO-SCR Duct</v>
      </c>
      <c r="D91" s="25" t="s">
        <v>441</v>
      </c>
      <c r="E91" s="25" t="s">
        <v>442</v>
      </c>
      <c r="F91" s="25"/>
      <c r="G91" s="65">
        <v>46204</v>
      </c>
      <c r="H91" s="25" t="s">
        <v>443</v>
      </c>
      <c r="I91" s="25" t="s">
        <v>444</v>
      </c>
      <c r="J91" s="26" t="s">
        <v>447</v>
      </c>
      <c r="K91" s="27" t="s">
        <v>86</v>
      </c>
      <c r="L91" s="28" t="s">
        <v>959</v>
      </c>
      <c r="M91" s="28" t="s">
        <v>71</v>
      </c>
      <c r="N91" s="25">
        <v>1</v>
      </c>
      <c r="O91" s="29">
        <v>8.7455882352941181</v>
      </c>
      <c r="P91" s="29">
        <v>8.7455882352941181</v>
      </c>
      <c r="Q91" s="25" t="s">
        <v>359</v>
      </c>
      <c r="R91" s="25"/>
      <c r="S91" s="26" t="s">
        <v>350</v>
      </c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18"/>
        <v>8.7455882352941181</v>
      </c>
      <c r="AF91" s="32">
        <f t="shared" si="19"/>
        <v>0</v>
      </c>
      <c r="AG91" s="30"/>
      <c r="AH91" s="33"/>
      <c r="AI91" s="34">
        <f t="shared" si="20"/>
        <v>0</v>
      </c>
      <c r="AJ91" s="35">
        <v>46312</v>
      </c>
      <c r="AK91" s="30">
        <v>1</v>
      </c>
      <c r="AL91" s="36">
        <f t="shared" si="4"/>
        <v>8.7455882352941181</v>
      </c>
      <c r="AM91" s="35">
        <v>46312</v>
      </c>
      <c r="AN91" s="30">
        <v>1</v>
      </c>
      <c r="AO91" s="36">
        <f t="shared" si="21"/>
        <v>8.7455882352941181</v>
      </c>
      <c r="AP91" s="35"/>
      <c r="AQ91" s="30"/>
      <c r="AR91" s="36">
        <f t="shared" si="22"/>
        <v>0</v>
      </c>
      <c r="AS91" s="27" t="s">
        <v>967</v>
      </c>
      <c r="AT91" s="37">
        <v>46312</v>
      </c>
      <c r="AU91" s="30">
        <v>1</v>
      </c>
      <c r="AV91" s="36">
        <f t="shared" si="23"/>
        <v>8.7455882352941181</v>
      </c>
      <c r="AW91" s="35"/>
      <c r="AX91" s="30"/>
      <c r="AY91" s="32">
        <f t="shared" si="24"/>
        <v>0</v>
      </c>
      <c r="AZ91" s="30" t="s">
        <v>440</v>
      </c>
      <c r="BA91" s="63"/>
      <c r="BB91" s="71"/>
      <c r="BC91" s="71" t="s">
        <v>87</v>
      </c>
      <c r="BD91" s="71"/>
    </row>
    <row r="92" spans="1:56" hidden="1" x14ac:dyDescent="0.25">
      <c r="A92" s="24">
        <f>IF(B92="","",SUBTOTAL(3,$B$4:B92))</f>
        <v>87</v>
      </c>
      <c r="B92" s="25" t="s">
        <v>439</v>
      </c>
      <c r="C92" s="25" t="str">
        <f t="shared" si="17"/>
        <v>Shipment 2 CO-SCR Duct</v>
      </c>
      <c r="D92" s="25" t="s">
        <v>441</v>
      </c>
      <c r="E92" s="25" t="s">
        <v>442</v>
      </c>
      <c r="F92" s="25"/>
      <c r="G92" s="65">
        <v>46204</v>
      </c>
      <c r="H92" s="25" t="s">
        <v>443</v>
      </c>
      <c r="I92" s="25" t="s">
        <v>444</v>
      </c>
      <c r="J92" s="26" t="s">
        <v>447</v>
      </c>
      <c r="K92" s="27" t="s">
        <v>86</v>
      </c>
      <c r="L92" s="28" t="s">
        <v>960</v>
      </c>
      <c r="M92" s="28" t="s">
        <v>71</v>
      </c>
      <c r="N92" s="25">
        <v>1</v>
      </c>
      <c r="O92" s="29">
        <v>8.7455882352941181</v>
      </c>
      <c r="P92" s="29">
        <v>8.7455882352941181</v>
      </c>
      <c r="Q92" s="25" t="s">
        <v>359</v>
      </c>
      <c r="R92" s="25"/>
      <c r="S92" s="26" t="s">
        <v>350</v>
      </c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si="18"/>
        <v>7.8710294117647059</v>
      </c>
      <c r="AF92" s="32">
        <f t="shared" si="19"/>
        <v>0.87455882352941217</v>
      </c>
      <c r="AG92" s="30"/>
      <c r="AH92" s="33"/>
      <c r="AI92" s="34">
        <f t="shared" si="20"/>
        <v>0</v>
      </c>
      <c r="AJ92" s="35">
        <v>46312</v>
      </c>
      <c r="AK92" s="30">
        <v>1</v>
      </c>
      <c r="AL92" s="36">
        <f t="shared" si="4"/>
        <v>8.7455882352941181</v>
      </c>
      <c r="AM92" s="35">
        <v>46312</v>
      </c>
      <c r="AN92" s="30">
        <v>1</v>
      </c>
      <c r="AO92" s="36">
        <f t="shared" si="21"/>
        <v>8.7455882352941181</v>
      </c>
      <c r="AP92" s="35"/>
      <c r="AQ92" s="30"/>
      <c r="AR92" s="36">
        <f t="shared" si="22"/>
        <v>0</v>
      </c>
      <c r="AS92" s="27"/>
      <c r="AT92" s="37"/>
      <c r="AU92" s="30"/>
      <c r="AV92" s="36">
        <f t="shared" si="23"/>
        <v>0</v>
      </c>
      <c r="AW92" s="35"/>
      <c r="AX92" s="30"/>
      <c r="AY92" s="32">
        <f t="shared" si="24"/>
        <v>0</v>
      </c>
      <c r="AZ92" s="30" t="s">
        <v>440</v>
      </c>
      <c r="BA92" s="63"/>
      <c r="BB92" s="71"/>
      <c r="BC92" s="71" t="s">
        <v>87</v>
      </c>
      <c r="BD92" s="71"/>
    </row>
    <row r="93" spans="1:56" hidden="1" x14ac:dyDescent="0.25">
      <c r="A93" s="24">
        <f>IF(B93="","",SUBTOTAL(3,$B$4:B93))</f>
        <v>87</v>
      </c>
      <c r="B93" s="25" t="s">
        <v>439</v>
      </c>
      <c r="C93" s="25" t="str">
        <f t="shared" si="17"/>
        <v>Shipment 2 CO-SCR Duct</v>
      </c>
      <c r="D93" s="25" t="s">
        <v>441</v>
      </c>
      <c r="E93" s="25" t="s">
        <v>442</v>
      </c>
      <c r="F93" s="25"/>
      <c r="G93" s="65">
        <v>46204</v>
      </c>
      <c r="H93" s="25" t="s">
        <v>443</v>
      </c>
      <c r="I93" s="25" t="s">
        <v>444</v>
      </c>
      <c r="J93" s="26" t="s">
        <v>447</v>
      </c>
      <c r="K93" s="27" t="s">
        <v>86</v>
      </c>
      <c r="L93" s="28" t="s">
        <v>961</v>
      </c>
      <c r="M93" s="28" t="s">
        <v>71</v>
      </c>
      <c r="N93" s="25">
        <v>1</v>
      </c>
      <c r="O93" s="29">
        <v>8.7455882352941181</v>
      </c>
      <c r="P93" s="29">
        <v>8.7455882352941181</v>
      </c>
      <c r="Q93" s="25" t="s">
        <v>359</v>
      </c>
      <c r="R93" s="25"/>
      <c r="S93" s="26" t="s">
        <v>350</v>
      </c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18"/>
        <v>7.8710294117647059</v>
      </c>
      <c r="AF93" s="32">
        <f t="shared" si="19"/>
        <v>0.87455882352941217</v>
      </c>
      <c r="AG93" s="30"/>
      <c r="AH93" s="33"/>
      <c r="AI93" s="34">
        <f t="shared" si="20"/>
        <v>0</v>
      </c>
      <c r="AJ93" s="35">
        <v>46312</v>
      </c>
      <c r="AK93" s="30">
        <v>1</v>
      </c>
      <c r="AL93" s="36">
        <f t="shared" si="4"/>
        <v>8.7455882352941181</v>
      </c>
      <c r="AM93" s="35">
        <v>46312</v>
      </c>
      <c r="AN93" s="30">
        <v>1</v>
      </c>
      <c r="AO93" s="36">
        <f t="shared" si="21"/>
        <v>8.7455882352941181</v>
      </c>
      <c r="AP93" s="35"/>
      <c r="AQ93" s="30"/>
      <c r="AR93" s="36">
        <f t="shared" si="22"/>
        <v>0</v>
      </c>
      <c r="AS93" s="27"/>
      <c r="AT93" s="37"/>
      <c r="AU93" s="30"/>
      <c r="AV93" s="36">
        <f t="shared" si="23"/>
        <v>0</v>
      </c>
      <c r="AW93" s="35"/>
      <c r="AX93" s="30"/>
      <c r="AY93" s="32">
        <f t="shared" si="24"/>
        <v>0</v>
      </c>
      <c r="AZ93" s="30" t="s">
        <v>440</v>
      </c>
      <c r="BA93" s="63"/>
      <c r="BB93" s="71"/>
      <c r="BC93" s="71" t="s">
        <v>87</v>
      </c>
      <c r="BD93" s="71"/>
    </row>
    <row r="94" spans="1:56" hidden="1" x14ac:dyDescent="0.25">
      <c r="A94" s="24">
        <f>IF(B94="","",SUBTOTAL(3,$B$4:B94))</f>
        <v>87</v>
      </c>
      <c r="B94" s="25" t="s">
        <v>439</v>
      </c>
      <c r="C94" s="25" t="str">
        <f t="shared" si="17"/>
        <v>Shipment 2 CO-SCR Duct</v>
      </c>
      <c r="D94" s="25" t="s">
        <v>441</v>
      </c>
      <c r="E94" s="25" t="s">
        <v>442</v>
      </c>
      <c r="F94" s="25"/>
      <c r="G94" s="65">
        <v>46204</v>
      </c>
      <c r="H94" s="25" t="s">
        <v>443</v>
      </c>
      <c r="I94" s="25" t="s">
        <v>444</v>
      </c>
      <c r="J94" s="26" t="s">
        <v>447</v>
      </c>
      <c r="K94" s="27" t="s">
        <v>86</v>
      </c>
      <c r="L94" s="28" t="s">
        <v>962</v>
      </c>
      <c r="M94" s="28" t="s">
        <v>71</v>
      </c>
      <c r="N94" s="25">
        <v>1</v>
      </c>
      <c r="O94" s="29">
        <v>8.7455882352941181</v>
      </c>
      <c r="P94" s="29">
        <v>8.7455882352941181</v>
      </c>
      <c r="Q94" s="25" t="s">
        <v>359</v>
      </c>
      <c r="R94" s="25"/>
      <c r="S94" s="26" t="s">
        <v>350</v>
      </c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18"/>
        <v>7.8710294117647059</v>
      </c>
      <c r="AF94" s="32">
        <f t="shared" si="19"/>
        <v>0.87455882352941217</v>
      </c>
      <c r="AG94" s="30"/>
      <c r="AH94" s="33"/>
      <c r="AI94" s="34">
        <f t="shared" si="20"/>
        <v>0</v>
      </c>
      <c r="AJ94" s="35">
        <v>46312</v>
      </c>
      <c r="AK94" s="30">
        <v>1</v>
      </c>
      <c r="AL94" s="36">
        <f t="shared" si="4"/>
        <v>8.7455882352941181</v>
      </c>
      <c r="AM94" s="35">
        <v>46312</v>
      </c>
      <c r="AN94" s="30">
        <v>1</v>
      </c>
      <c r="AO94" s="36">
        <f t="shared" si="21"/>
        <v>8.7455882352941181</v>
      </c>
      <c r="AP94" s="35"/>
      <c r="AQ94" s="30"/>
      <c r="AR94" s="36">
        <f t="shared" si="22"/>
        <v>0</v>
      </c>
      <c r="AS94" s="27"/>
      <c r="AT94" s="37"/>
      <c r="AU94" s="30"/>
      <c r="AV94" s="36">
        <f t="shared" si="23"/>
        <v>0</v>
      </c>
      <c r="AW94" s="35"/>
      <c r="AX94" s="30"/>
      <c r="AY94" s="32">
        <f t="shared" si="24"/>
        <v>0</v>
      </c>
      <c r="AZ94" s="30" t="s">
        <v>440</v>
      </c>
      <c r="BA94" s="63"/>
      <c r="BB94" s="71"/>
      <c r="BC94" s="71" t="s">
        <v>87</v>
      </c>
      <c r="BD94" s="71"/>
    </row>
    <row r="95" spans="1:56" hidden="1" x14ac:dyDescent="0.25">
      <c r="A95" s="24">
        <f>IF(B95="","",SUBTOTAL(3,$B$4:B95))</f>
        <v>87</v>
      </c>
      <c r="B95" s="25" t="s">
        <v>439</v>
      </c>
      <c r="C95" s="25" t="str">
        <f t="shared" si="17"/>
        <v>Shipment 2 CO-SCR Duct</v>
      </c>
      <c r="D95" s="25" t="s">
        <v>441</v>
      </c>
      <c r="E95" s="25" t="s">
        <v>442</v>
      </c>
      <c r="F95" s="25"/>
      <c r="G95" s="65">
        <v>46204</v>
      </c>
      <c r="H95" s="25" t="s">
        <v>443</v>
      </c>
      <c r="I95" s="25" t="s">
        <v>444</v>
      </c>
      <c r="J95" s="26" t="s">
        <v>447</v>
      </c>
      <c r="K95" s="27" t="s">
        <v>86</v>
      </c>
      <c r="L95" s="28" t="s">
        <v>963</v>
      </c>
      <c r="M95" s="28" t="s">
        <v>71</v>
      </c>
      <c r="N95" s="25">
        <v>1</v>
      </c>
      <c r="O95" s="29">
        <v>8.7455882352941181</v>
      </c>
      <c r="P95" s="29">
        <v>8.7455882352941181</v>
      </c>
      <c r="Q95" s="25" t="s">
        <v>359</v>
      </c>
      <c r="R95" s="25"/>
      <c r="S95" s="26" t="s">
        <v>350</v>
      </c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18"/>
        <v>7.8710294117647059</v>
      </c>
      <c r="AF95" s="32">
        <f t="shared" si="19"/>
        <v>0.87455882352941217</v>
      </c>
      <c r="AG95" s="30"/>
      <c r="AH95" s="33"/>
      <c r="AI95" s="34">
        <f t="shared" si="20"/>
        <v>0</v>
      </c>
      <c r="AJ95" s="35">
        <v>46312</v>
      </c>
      <c r="AK95" s="30">
        <v>1</v>
      </c>
      <c r="AL95" s="36">
        <f t="shared" si="4"/>
        <v>8.7455882352941181</v>
      </c>
      <c r="AM95" s="35">
        <v>46312</v>
      </c>
      <c r="AN95" s="30">
        <v>1</v>
      </c>
      <c r="AO95" s="36">
        <f t="shared" si="21"/>
        <v>8.7455882352941181</v>
      </c>
      <c r="AP95" s="35"/>
      <c r="AQ95" s="30"/>
      <c r="AR95" s="36">
        <f t="shared" si="22"/>
        <v>0</v>
      </c>
      <c r="AS95" s="27"/>
      <c r="AT95" s="37"/>
      <c r="AU95" s="30"/>
      <c r="AV95" s="36">
        <f t="shared" si="23"/>
        <v>0</v>
      </c>
      <c r="AW95" s="35"/>
      <c r="AX95" s="30"/>
      <c r="AY95" s="32">
        <f t="shared" si="24"/>
        <v>0</v>
      </c>
      <c r="AZ95" s="30" t="s">
        <v>440</v>
      </c>
      <c r="BA95" s="63"/>
      <c r="BB95" s="71"/>
      <c r="BC95" s="71" t="s">
        <v>87</v>
      </c>
      <c r="BD95" s="71"/>
    </row>
    <row r="96" spans="1:56" hidden="1" x14ac:dyDescent="0.25">
      <c r="A96" s="24">
        <f>IF(B96="","",SUBTOTAL(3,$B$4:B96))</f>
        <v>87</v>
      </c>
      <c r="B96" s="25" t="s">
        <v>439</v>
      </c>
      <c r="C96" s="25" t="str">
        <f t="shared" ref="C96:C98" si="25">D96&amp;" "&amp;E96</f>
        <v>Shipment 2 CO-SCR Duct</v>
      </c>
      <c r="D96" s="25" t="s">
        <v>441</v>
      </c>
      <c r="E96" s="25" t="s">
        <v>442</v>
      </c>
      <c r="F96" s="25"/>
      <c r="G96" s="65">
        <v>46204</v>
      </c>
      <c r="H96" s="25" t="s">
        <v>443</v>
      </c>
      <c r="I96" s="25" t="s">
        <v>444</v>
      </c>
      <c r="J96" s="26" t="s">
        <v>447</v>
      </c>
      <c r="K96" s="27" t="s">
        <v>86</v>
      </c>
      <c r="L96" s="28" t="s">
        <v>964</v>
      </c>
      <c r="M96" s="28" t="s">
        <v>71</v>
      </c>
      <c r="N96" s="25">
        <v>1</v>
      </c>
      <c r="O96" s="29">
        <v>8.7455882352941181</v>
      </c>
      <c r="P96" s="29">
        <v>8.7455882352941181</v>
      </c>
      <c r="Q96" s="25" t="s">
        <v>359</v>
      </c>
      <c r="R96" s="25"/>
      <c r="S96" s="26" t="s">
        <v>350</v>
      </c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ref="AE96:AE98" si="26">+AL96*0.5+AO96*0.4+AV96*0.1</f>
        <v>7.8710294117647059</v>
      </c>
      <c r="AF96" s="32">
        <f t="shared" ref="AF96:AF98" si="27">+P96-AE96</f>
        <v>0.87455882352941217</v>
      </c>
      <c r="AG96" s="30"/>
      <c r="AH96" s="33"/>
      <c r="AI96" s="34">
        <f t="shared" ref="AI96:AI98" si="28">+AH96*P96</f>
        <v>0</v>
      </c>
      <c r="AJ96" s="35">
        <v>46312</v>
      </c>
      <c r="AK96" s="30">
        <v>1</v>
      </c>
      <c r="AL96" s="36">
        <f t="shared" si="4"/>
        <v>8.7455882352941181</v>
      </c>
      <c r="AM96" s="35">
        <v>46312</v>
      </c>
      <c r="AN96" s="30">
        <v>1</v>
      </c>
      <c r="AO96" s="36">
        <f t="shared" ref="AO96:AO98" si="29">IFERROR(AN96*$P96/$N96,0)</f>
        <v>8.7455882352941181</v>
      </c>
      <c r="AP96" s="35"/>
      <c r="AQ96" s="30"/>
      <c r="AR96" s="36">
        <f t="shared" ref="AR96:AR98" si="30">IFERROR(AQ96*$P96/$N96,0)</f>
        <v>0</v>
      </c>
      <c r="AS96" s="27"/>
      <c r="AT96" s="37"/>
      <c r="AU96" s="30"/>
      <c r="AV96" s="36">
        <f t="shared" ref="AV96:AV98" si="31">IFERROR(AU96*$P96/$N96,0)</f>
        <v>0</v>
      </c>
      <c r="AW96" s="35"/>
      <c r="AX96" s="30"/>
      <c r="AY96" s="32">
        <f t="shared" ref="AY96:AY98" si="32">IFERROR(AX96*$P96/$N96,0)</f>
        <v>0</v>
      </c>
      <c r="AZ96" s="30" t="s">
        <v>440</v>
      </c>
      <c r="BA96" s="63"/>
      <c r="BB96" s="71"/>
      <c r="BC96" s="71" t="s">
        <v>87</v>
      </c>
      <c r="BD96" s="71"/>
    </row>
    <row r="97" spans="1:56" hidden="1" x14ac:dyDescent="0.25">
      <c r="A97" s="24">
        <f>IF(B97="","",SUBTOTAL(3,$B$4:B97))</f>
        <v>87</v>
      </c>
      <c r="B97" s="25" t="s">
        <v>439</v>
      </c>
      <c r="C97" s="25" t="str">
        <f t="shared" si="25"/>
        <v>Shipment 2 CO-SCR Duct</v>
      </c>
      <c r="D97" s="25" t="s">
        <v>441</v>
      </c>
      <c r="E97" s="25" t="s">
        <v>442</v>
      </c>
      <c r="F97" s="25"/>
      <c r="G97" s="65">
        <v>46204</v>
      </c>
      <c r="H97" s="25" t="s">
        <v>443</v>
      </c>
      <c r="I97" s="25" t="s">
        <v>444</v>
      </c>
      <c r="J97" s="26" t="s">
        <v>447</v>
      </c>
      <c r="K97" s="27" t="s">
        <v>86</v>
      </c>
      <c r="L97" s="28" t="s">
        <v>965</v>
      </c>
      <c r="M97" s="28" t="s">
        <v>71</v>
      </c>
      <c r="N97" s="25">
        <v>1</v>
      </c>
      <c r="O97" s="29">
        <v>8.7455882352941181</v>
      </c>
      <c r="P97" s="29">
        <v>8.7455882352941181</v>
      </c>
      <c r="Q97" s="25" t="s">
        <v>359</v>
      </c>
      <c r="R97" s="25"/>
      <c r="S97" s="26" t="s">
        <v>350</v>
      </c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26"/>
        <v>7.8710294117647059</v>
      </c>
      <c r="AF97" s="32">
        <f t="shared" si="27"/>
        <v>0.87455882352941217</v>
      </c>
      <c r="AG97" s="30"/>
      <c r="AH97" s="33"/>
      <c r="AI97" s="34">
        <f t="shared" si="28"/>
        <v>0</v>
      </c>
      <c r="AJ97" s="35">
        <v>46312</v>
      </c>
      <c r="AK97" s="30">
        <v>1</v>
      </c>
      <c r="AL97" s="36">
        <f t="shared" si="4"/>
        <v>8.7455882352941181</v>
      </c>
      <c r="AM97" s="35">
        <v>46312</v>
      </c>
      <c r="AN97" s="30">
        <v>1</v>
      </c>
      <c r="AO97" s="36">
        <f t="shared" si="29"/>
        <v>8.7455882352941181</v>
      </c>
      <c r="AP97" s="35"/>
      <c r="AQ97" s="30"/>
      <c r="AR97" s="36">
        <f t="shared" si="30"/>
        <v>0</v>
      </c>
      <c r="AS97" s="27"/>
      <c r="AT97" s="37"/>
      <c r="AU97" s="30"/>
      <c r="AV97" s="36">
        <f t="shared" si="31"/>
        <v>0</v>
      </c>
      <c r="AW97" s="35"/>
      <c r="AX97" s="30"/>
      <c r="AY97" s="32">
        <f t="shared" si="32"/>
        <v>0</v>
      </c>
      <c r="AZ97" s="30" t="s">
        <v>440</v>
      </c>
      <c r="BA97" s="63"/>
      <c r="BB97" s="71"/>
      <c r="BC97" s="71" t="s">
        <v>87</v>
      </c>
      <c r="BD97" s="71"/>
    </row>
    <row r="98" spans="1:56" hidden="1" x14ac:dyDescent="0.25">
      <c r="A98" s="24">
        <f>IF(B98="","",SUBTOTAL(3,$B$4:B98))</f>
        <v>87</v>
      </c>
      <c r="B98" s="25" t="s">
        <v>439</v>
      </c>
      <c r="C98" s="25" t="str">
        <f t="shared" si="25"/>
        <v>Shipment 2 CO-SCR Duct</v>
      </c>
      <c r="D98" s="25" t="s">
        <v>441</v>
      </c>
      <c r="E98" s="25" t="s">
        <v>442</v>
      </c>
      <c r="F98" s="25"/>
      <c r="G98" s="65">
        <v>46204</v>
      </c>
      <c r="H98" s="25" t="s">
        <v>443</v>
      </c>
      <c r="I98" s="25" t="s">
        <v>444</v>
      </c>
      <c r="J98" s="26" t="s">
        <v>447</v>
      </c>
      <c r="K98" s="27" t="s">
        <v>86</v>
      </c>
      <c r="L98" s="28" t="s">
        <v>966</v>
      </c>
      <c r="M98" s="28" t="s">
        <v>71</v>
      </c>
      <c r="N98" s="25">
        <v>1</v>
      </c>
      <c r="O98" s="29">
        <v>8.7455882352941181</v>
      </c>
      <c r="P98" s="29">
        <v>8.7455882352941181</v>
      </c>
      <c r="Q98" s="25" t="s">
        <v>359</v>
      </c>
      <c r="R98" s="25"/>
      <c r="S98" s="26" t="s">
        <v>350</v>
      </c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26"/>
        <v>7.8710294117647059</v>
      </c>
      <c r="AF98" s="32">
        <f t="shared" si="27"/>
        <v>0.87455882352941217</v>
      </c>
      <c r="AG98" s="30"/>
      <c r="AH98" s="33"/>
      <c r="AI98" s="34">
        <f t="shared" si="28"/>
        <v>0</v>
      </c>
      <c r="AJ98" s="35">
        <v>46312</v>
      </c>
      <c r="AK98" s="30">
        <v>1</v>
      </c>
      <c r="AL98" s="36">
        <f t="shared" si="4"/>
        <v>8.7455882352941181</v>
      </c>
      <c r="AM98" s="35">
        <v>46312</v>
      </c>
      <c r="AN98" s="30">
        <v>1</v>
      </c>
      <c r="AO98" s="36">
        <f t="shared" si="29"/>
        <v>8.7455882352941181</v>
      </c>
      <c r="AP98" s="35"/>
      <c r="AQ98" s="30"/>
      <c r="AR98" s="36">
        <f t="shared" si="30"/>
        <v>0</v>
      </c>
      <c r="AS98" s="27"/>
      <c r="AT98" s="37"/>
      <c r="AU98" s="30"/>
      <c r="AV98" s="36">
        <f t="shared" si="31"/>
        <v>0</v>
      </c>
      <c r="AW98" s="35"/>
      <c r="AX98" s="30"/>
      <c r="AY98" s="32">
        <f t="shared" si="32"/>
        <v>0</v>
      </c>
      <c r="AZ98" s="30" t="s">
        <v>440</v>
      </c>
      <c r="BA98" s="63"/>
      <c r="BB98" s="71"/>
      <c r="BC98" s="71" t="s">
        <v>87</v>
      </c>
      <c r="BD98" s="71"/>
    </row>
    <row r="99" spans="1:56" x14ac:dyDescent="0.25">
      <c r="A99" s="24">
        <f>IF(B99="","",SUBTOTAL(3,$B$4:B99))</f>
        <v>88</v>
      </c>
      <c r="B99" s="25" t="s">
        <v>439</v>
      </c>
      <c r="C99" s="25" t="str">
        <f t="shared" ref="C99:C162" si="33">D99&amp;" "&amp;E99</f>
        <v>Shipment 2 CO-SCR Duct</v>
      </c>
      <c r="D99" s="25" t="s">
        <v>441</v>
      </c>
      <c r="E99" s="25" t="s">
        <v>442</v>
      </c>
      <c r="F99" s="25"/>
      <c r="G99" s="65">
        <v>46204</v>
      </c>
      <c r="H99" s="25" t="s">
        <v>443</v>
      </c>
      <c r="I99" s="25" t="s">
        <v>444</v>
      </c>
      <c r="J99" s="26" t="s">
        <v>447</v>
      </c>
      <c r="K99" s="27" t="s">
        <v>88</v>
      </c>
      <c r="L99" s="28" t="s">
        <v>89</v>
      </c>
      <c r="M99" s="28" t="s">
        <v>71</v>
      </c>
      <c r="N99" s="25">
        <v>4</v>
      </c>
      <c r="O99" s="29">
        <v>6.2750000000000004</v>
      </c>
      <c r="P99" s="29">
        <v>25.1</v>
      </c>
      <c r="Q99" s="25" t="s">
        <v>362</v>
      </c>
      <c r="R99" s="25"/>
      <c r="S99" s="26" t="s">
        <v>350</v>
      </c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ref="AE99:AE162" si="34">+AL99*0.5+AO99*0.4+AV99*0.1</f>
        <v>25.100000000000005</v>
      </c>
      <c r="AF99" s="32">
        <f t="shared" ref="AF99:AF162" si="35">+P99-AE99</f>
        <v>0</v>
      </c>
      <c r="AG99" s="30"/>
      <c r="AH99" s="33"/>
      <c r="AI99" s="34">
        <f t="shared" ref="AI99:AI162" si="36">+AH99*P99</f>
        <v>0</v>
      </c>
      <c r="AJ99" s="35">
        <v>46312</v>
      </c>
      <c r="AK99" s="30">
        <v>4</v>
      </c>
      <c r="AL99" s="36">
        <f t="shared" si="4"/>
        <v>25.1</v>
      </c>
      <c r="AM99" s="35">
        <v>46312</v>
      </c>
      <c r="AN99" s="30">
        <v>4</v>
      </c>
      <c r="AO99" s="36">
        <f t="shared" ref="AO99:AO162" si="37">IFERROR(AN99*$P99/$N99,0)</f>
        <v>25.1</v>
      </c>
      <c r="AP99" s="35"/>
      <c r="AQ99" s="30"/>
      <c r="AR99" s="36">
        <f t="shared" ref="AR99:AR162" si="38">IFERROR(AQ99*$P99/$N99,0)</f>
        <v>0</v>
      </c>
      <c r="AS99" s="27" t="s">
        <v>967</v>
      </c>
      <c r="AT99" s="37">
        <v>46312</v>
      </c>
      <c r="AU99" s="30">
        <v>4</v>
      </c>
      <c r="AV99" s="36">
        <f t="shared" ref="AV99:AV162" si="39">IFERROR(AU99*$P99/$N99,0)</f>
        <v>25.1</v>
      </c>
      <c r="AW99" s="35"/>
      <c r="AX99" s="30"/>
      <c r="AY99" s="32">
        <f t="shared" ref="AY99:AY162" si="40">IFERROR(AX99*$P99/$N99,0)</f>
        <v>0</v>
      </c>
      <c r="AZ99" s="30" t="s">
        <v>440</v>
      </c>
      <c r="BA99" s="63"/>
      <c r="BB99" s="71"/>
      <c r="BC99" s="71" t="s">
        <v>89</v>
      </c>
      <c r="BD99" s="71"/>
    </row>
    <row r="100" spans="1:56" x14ac:dyDescent="0.25">
      <c r="A100" s="24">
        <f>IF(B100="","",SUBTOTAL(3,$B$4:B100))</f>
        <v>89</v>
      </c>
      <c r="B100" s="25" t="s">
        <v>439</v>
      </c>
      <c r="C100" s="25" t="str">
        <f t="shared" si="33"/>
        <v>Shipment 2 CO-SCR Duct</v>
      </c>
      <c r="D100" s="25" t="s">
        <v>441</v>
      </c>
      <c r="E100" s="25" t="s">
        <v>442</v>
      </c>
      <c r="F100" s="25"/>
      <c r="G100" s="65">
        <v>46204</v>
      </c>
      <c r="H100" s="25" t="s">
        <v>443</v>
      </c>
      <c r="I100" s="25" t="s">
        <v>444</v>
      </c>
      <c r="J100" s="26" t="s">
        <v>447</v>
      </c>
      <c r="K100" s="27" t="s">
        <v>90</v>
      </c>
      <c r="L100" s="28" t="s">
        <v>91</v>
      </c>
      <c r="M100" s="28" t="s">
        <v>71</v>
      </c>
      <c r="N100" s="25">
        <v>1</v>
      </c>
      <c r="O100" s="29">
        <v>10.5</v>
      </c>
      <c r="P100" s="29">
        <v>10.5</v>
      </c>
      <c r="Q100" s="25" t="s">
        <v>363</v>
      </c>
      <c r="R100" s="25"/>
      <c r="S100" s="26" t="s">
        <v>350</v>
      </c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34"/>
        <v>10.5</v>
      </c>
      <c r="AF100" s="32">
        <f t="shared" si="35"/>
        <v>0</v>
      </c>
      <c r="AG100" s="30"/>
      <c r="AH100" s="33"/>
      <c r="AI100" s="34">
        <f t="shared" si="36"/>
        <v>0</v>
      </c>
      <c r="AJ100" s="35">
        <v>46312</v>
      </c>
      <c r="AK100" s="30">
        <v>1</v>
      </c>
      <c r="AL100" s="36">
        <f t="shared" si="4"/>
        <v>10.5</v>
      </c>
      <c r="AM100" s="35">
        <v>46312</v>
      </c>
      <c r="AN100" s="30">
        <v>1</v>
      </c>
      <c r="AO100" s="36">
        <f t="shared" si="37"/>
        <v>10.5</v>
      </c>
      <c r="AP100" s="35"/>
      <c r="AQ100" s="30"/>
      <c r="AR100" s="36">
        <f t="shared" si="38"/>
        <v>0</v>
      </c>
      <c r="AS100" s="27" t="s">
        <v>967</v>
      </c>
      <c r="AT100" s="37">
        <v>46312</v>
      </c>
      <c r="AU100" s="30">
        <v>1</v>
      </c>
      <c r="AV100" s="36">
        <f t="shared" si="39"/>
        <v>10.5</v>
      </c>
      <c r="AW100" s="35"/>
      <c r="AX100" s="30"/>
      <c r="AY100" s="32">
        <f t="shared" si="40"/>
        <v>0</v>
      </c>
      <c r="AZ100" s="30" t="s">
        <v>440</v>
      </c>
      <c r="BA100" s="63"/>
      <c r="BB100" s="71"/>
      <c r="BC100" s="71" t="s">
        <v>91</v>
      </c>
      <c r="BD100" s="71"/>
    </row>
    <row r="101" spans="1:56" x14ac:dyDescent="0.25">
      <c r="A101" s="24">
        <f>IF(B101="","",SUBTOTAL(3,$B$4:B101))</f>
        <v>90</v>
      </c>
      <c r="B101" s="25" t="s">
        <v>439</v>
      </c>
      <c r="C101" s="25" t="str">
        <f t="shared" si="33"/>
        <v>Shipment 2 CO-SCR Duct</v>
      </c>
      <c r="D101" s="25" t="s">
        <v>441</v>
      </c>
      <c r="E101" s="25" t="s">
        <v>442</v>
      </c>
      <c r="F101" s="25"/>
      <c r="G101" s="65">
        <v>46204</v>
      </c>
      <c r="H101" s="25" t="s">
        <v>443</v>
      </c>
      <c r="I101" s="25" t="s">
        <v>444</v>
      </c>
      <c r="J101" s="26" t="s">
        <v>447</v>
      </c>
      <c r="K101" s="27" t="s">
        <v>92</v>
      </c>
      <c r="L101" s="28" t="s">
        <v>93</v>
      </c>
      <c r="M101" s="28" t="s">
        <v>71</v>
      </c>
      <c r="N101" s="25">
        <v>1</v>
      </c>
      <c r="O101" s="29">
        <v>8.6999999999999993</v>
      </c>
      <c r="P101" s="29">
        <v>8.6999999999999993</v>
      </c>
      <c r="Q101" s="25" t="s">
        <v>359</v>
      </c>
      <c r="R101" s="25"/>
      <c r="S101" s="26" t="s">
        <v>350</v>
      </c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34"/>
        <v>8.6999999999999993</v>
      </c>
      <c r="AF101" s="32">
        <f t="shared" si="35"/>
        <v>0</v>
      </c>
      <c r="AG101" s="30"/>
      <c r="AH101" s="33"/>
      <c r="AI101" s="34">
        <f t="shared" si="36"/>
        <v>0</v>
      </c>
      <c r="AJ101" s="35">
        <v>46312</v>
      </c>
      <c r="AK101" s="30">
        <v>1</v>
      </c>
      <c r="AL101" s="36">
        <f t="shared" si="4"/>
        <v>8.6999999999999993</v>
      </c>
      <c r="AM101" s="35">
        <v>46312</v>
      </c>
      <c r="AN101" s="30">
        <v>1</v>
      </c>
      <c r="AO101" s="36">
        <f t="shared" si="37"/>
        <v>8.6999999999999993</v>
      </c>
      <c r="AP101" s="35"/>
      <c r="AQ101" s="30"/>
      <c r="AR101" s="36">
        <f t="shared" si="38"/>
        <v>0</v>
      </c>
      <c r="AS101" s="27" t="s">
        <v>967</v>
      </c>
      <c r="AT101" s="37">
        <v>46312</v>
      </c>
      <c r="AU101" s="30">
        <v>1</v>
      </c>
      <c r="AV101" s="36">
        <f t="shared" si="39"/>
        <v>8.6999999999999993</v>
      </c>
      <c r="AW101" s="35"/>
      <c r="AX101" s="30"/>
      <c r="AY101" s="32">
        <f t="shared" si="40"/>
        <v>0</v>
      </c>
      <c r="AZ101" s="30" t="s">
        <v>440</v>
      </c>
      <c r="BA101" s="63"/>
      <c r="BB101" s="71"/>
      <c r="BC101" s="71" t="s">
        <v>93</v>
      </c>
      <c r="BD101" s="71"/>
    </row>
    <row r="102" spans="1:56" x14ac:dyDescent="0.25">
      <c r="A102" s="24">
        <f>IF(B102="","",SUBTOTAL(3,$B$4:B102))</f>
        <v>91</v>
      </c>
      <c r="B102" s="25" t="s">
        <v>439</v>
      </c>
      <c r="C102" s="25" t="str">
        <f t="shared" si="33"/>
        <v>Shipment 2 CO-SCR Duct</v>
      </c>
      <c r="D102" s="25" t="s">
        <v>441</v>
      </c>
      <c r="E102" s="25" t="s">
        <v>442</v>
      </c>
      <c r="F102" s="25"/>
      <c r="G102" s="65">
        <v>46204</v>
      </c>
      <c r="H102" s="25" t="s">
        <v>443</v>
      </c>
      <c r="I102" s="25" t="s">
        <v>444</v>
      </c>
      <c r="J102" s="26" t="s">
        <v>447</v>
      </c>
      <c r="K102" s="27" t="s">
        <v>94</v>
      </c>
      <c r="L102" s="28" t="s">
        <v>95</v>
      </c>
      <c r="M102" s="28" t="s">
        <v>71</v>
      </c>
      <c r="N102" s="25">
        <v>1</v>
      </c>
      <c r="O102" s="29">
        <v>8.1</v>
      </c>
      <c r="P102" s="29">
        <v>8.1</v>
      </c>
      <c r="Q102" s="25" t="s">
        <v>359</v>
      </c>
      <c r="R102" s="25"/>
      <c r="S102" s="26" t="s">
        <v>350</v>
      </c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34"/>
        <v>8.1</v>
      </c>
      <c r="AF102" s="32">
        <f t="shared" si="35"/>
        <v>0</v>
      </c>
      <c r="AG102" s="30"/>
      <c r="AH102" s="33"/>
      <c r="AI102" s="34">
        <f t="shared" si="36"/>
        <v>0</v>
      </c>
      <c r="AJ102" s="35">
        <v>46312</v>
      </c>
      <c r="AK102" s="30">
        <v>1</v>
      </c>
      <c r="AL102" s="36">
        <f t="shared" si="4"/>
        <v>8.1</v>
      </c>
      <c r="AM102" s="35">
        <v>46312</v>
      </c>
      <c r="AN102" s="30">
        <v>1</v>
      </c>
      <c r="AO102" s="36">
        <f t="shared" si="37"/>
        <v>8.1</v>
      </c>
      <c r="AP102" s="35"/>
      <c r="AQ102" s="30"/>
      <c r="AR102" s="36">
        <f t="shared" si="38"/>
        <v>0</v>
      </c>
      <c r="AS102" s="27" t="s">
        <v>967</v>
      </c>
      <c r="AT102" s="37">
        <v>46312</v>
      </c>
      <c r="AU102" s="30">
        <v>1</v>
      </c>
      <c r="AV102" s="36">
        <f t="shared" si="39"/>
        <v>8.1</v>
      </c>
      <c r="AW102" s="35"/>
      <c r="AX102" s="30"/>
      <c r="AY102" s="32">
        <f t="shared" si="40"/>
        <v>0</v>
      </c>
      <c r="AZ102" s="30" t="s">
        <v>440</v>
      </c>
      <c r="BA102" s="63"/>
      <c r="BB102" s="71"/>
      <c r="BC102" s="71" t="s">
        <v>95</v>
      </c>
      <c r="BD102" s="71"/>
    </row>
    <row r="103" spans="1:56" x14ac:dyDescent="0.25">
      <c r="A103" s="24">
        <f>IF(B103="","",SUBTOTAL(3,$B$4:B103))</f>
        <v>92</v>
      </c>
      <c r="B103" s="25" t="s">
        <v>439</v>
      </c>
      <c r="C103" s="25" t="str">
        <f t="shared" si="33"/>
        <v>Shipment 2 CO-SCR Duct</v>
      </c>
      <c r="D103" s="25" t="s">
        <v>441</v>
      </c>
      <c r="E103" s="25" t="s">
        <v>442</v>
      </c>
      <c r="F103" s="25"/>
      <c r="G103" s="65">
        <v>46204</v>
      </c>
      <c r="H103" s="25" t="s">
        <v>443</v>
      </c>
      <c r="I103" s="25" t="s">
        <v>444</v>
      </c>
      <c r="J103" s="26" t="s">
        <v>447</v>
      </c>
      <c r="K103" s="27" t="s">
        <v>96</v>
      </c>
      <c r="L103" s="28" t="s">
        <v>97</v>
      </c>
      <c r="M103" s="28" t="s">
        <v>71</v>
      </c>
      <c r="N103" s="25">
        <v>1</v>
      </c>
      <c r="O103" s="29">
        <v>8.6</v>
      </c>
      <c r="P103" s="29">
        <v>8.6</v>
      </c>
      <c r="Q103" s="25" t="s">
        <v>359</v>
      </c>
      <c r="R103" s="25"/>
      <c r="S103" s="26" t="s">
        <v>350</v>
      </c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34"/>
        <v>8.6</v>
      </c>
      <c r="AF103" s="32">
        <f t="shared" si="35"/>
        <v>0</v>
      </c>
      <c r="AG103" s="30"/>
      <c r="AH103" s="33"/>
      <c r="AI103" s="34">
        <f t="shared" si="36"/>
        <v>0</v>
      </c>
      <c r="AJ103" s="35">
        <v>46312</v>
      </c>
      <c r="AK103" s="30">
        <v>1</v>
      </c>
      <c r="AL103" s="36">
        <f t="shared" si="4"/>
        <v>8.6</v>
      </c>
      <c r="AM103" s="35">
        <v>46312</v>
      </c>
      <c r="AN103" s="30">
        <v>1</v>
      </c>
      <c r="AO103" s="36">
        <f t="shared" si="37"/>
        <v>8.6</v>
      </c>
      <c r="AP103" s="35"/>
      <c r="AQ103" s="30"/>
      <c r="AR103" s="36">
        <f t="shared" si="38"/>
        <v>0</v>
      </c>
      <c r="AS103" s="27" t="s">
        <v>967</v>
      </c>
      <c r="AT103" s="37">
        <v>46312</v>
      </c>
      <c r="AU103" s="30">
        <v>1</v>
      </c>
      <c r="AV103" s="36">
        <f t="shared" si="39"/>
        <v>8.6</v>
      </c>
      <c r="AW103" s="35"/>
      <c r="AX103" s="30"/>
      <c r="AY103" s="32">
        <f t="shared" si="40"/>
        <v>0</v>
      </c>
      <c r="AZ103" s="30" t="s">
        <v>440</v>
      </c>
      <c r="BA103" s="63"/>
      <c r="BB103" s="71"/>
      <c r="BC103" s="71" t="s">
        <v>97</v>
      </c>
      <c r="BD103" s="71"/>
    </row>
    <row r="104" spans="1:56" x14ac:dyDescent="0.25">
      <c r="A104" s="24">
        <f>IF(B104="","",SUBTOTAL(3,$B$4:B104))</f>
        <v>93</v>
      </c>
      <c r="B104" s="25" t="s">
        <v>439</v>
      </c>
      <c r="C104" s="25" t="str">
        <f t="shared" si="33"/>
        <v>Shipment 2 CO-SCR Duct</v>
      </c>
      <c r="D104" s="25" t="s">
        <v>441</v>
      </c>
      <c r="E104" s="25" t="s">
        <v>442</v>
      </c>
      <c r="F104" s="25"/>
      <c r="G104" s="65">
        <v>46204</v>
      </c>
      <c r="H104" s="25" t="s">
        <v>443</v>
      </c>
      <c r="I104" s="25" t="s">
        <v>444</v>
      </c>
      <c r="J104" s="26" t="s">
        <v>447</v>
      </c>
      <c r="K104" s="27" t="s">
        <v>98</v>
      </c>
      <c r="L104" s="28" t="s">
        <v>99</v>
      </c>
      <c r="M104" s="28" t="s">
        <v>71</v>
      </c>
      <c r="N104" s="25">
        <v>1</v>
      </c>
      <c r="O104" s="29">
        <v>8.6999999999999993</v>
      </c>
      <c r="P104" s="29">
        <v>8.6999999999999993</v>
      </c>
      <c r="Q104" s="25" t="s">
        <v>359</v>
      </c>
      <c r="R104" s="25"/>
      <c r="S104" s="26" t="s">
        <v>350</v>
      </c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34"/>
        <v>8.6999999999999993</v>
      </c>
      <c r="AF104" s="32">
        <f t="shared" si="35"/>
        <v>0</v>
      </c>
      <c r="AG104" s="30"/>
      <c r="AH104" s="33"/>
      <c r="AI104" s="34">
        <f t="shared" si="36"/>
        <v>0</v>
      </c>
      <c r="AJ104" s="35">
        <v>46312</v>
      </c>
      <c r="AK104" s="30">
        <v>1</v>
      </c>
      <c r="AL104" s="36">
        <f t="shared" si="4"/>
        <v>8.6999999999999993</v>
      </c>
      <c r="AM104" s="35">
        <v>46312</v>
      </c>
      <c r="AN104" s="30">
        <v>1</v>
      </c>
      <c r="AO104" s="36">
        <f t="shared" si="37"/>
        <v>8.6999999999999993</v>
      </c>
      <c r="AP104" s="35"/>
      <c r="AQ104" s="30"/>
      <c r="AR104" s="36">
        <f t="shared" si="38"/>
        <v>0</v>
      </c>
      <c r="AS104" s="27" t="s">
        <v>967</v>
      </c>
      <c r="AT104" s="37">
        <v>46312</v>
      </c>
      <c r="AU104" s="30">
        <v>1</v>
      </c>
      <c r="AV104" s="36">
        <f t="shared" si="39"/>
        <v>8.6999999999999993</v>
      </c>
      <c r="AW104" s="35"/>
      <c r="AX104" s="30"/>
      <c r="AY104" s="32">
        <f t="shared" si="40"/>
        <v>0</v>
      </c>
      <c r="AZ104" s="30" t="s">
        <v>440</v>
      </c>
      <c r="BA104" s="63"/>
      <c r="BB104" s="71"/>
      <c r="BC104" s="71" t="s">
        <v>99</v>
      </c>
      <c r="BD104" s="71"/>
    </row>
    <row r="105" spans="1:56" x14ac:dyDescent="0.25">
      <c r="A105" s="24">
        <f>IF(B105="","",SUBTOTAL(3,$B$4:B105))</f>
        <v>94</v>
      </c>
      <c r="B105" s="25" t="s">
        <v>439</v>
      </c>
      <c r="C105" s="25" t="str">
        <f t="shared" si="33"/>
        <v>Shipment 2 CO-SCR Duct</v>
      </c>
      <c r="D105" s="25" t="s">
        <v>441</v>
      </c>
      <c r="E105" s="25" t="s">
        <v>442</v>
      </c>
      <c r="F105" s="25"/>
      <c r="G105" s="65">
        <v>46204</v>
      </c>
      <c r="H105" s="25" t="s">
        <v>443</v>
      </c>
      <c r="I105" s="25" t="s">
        <v>444</v>
      </c>
      <c r="J105" s="26" t="s">
        <v>447</v>
      </c>
      <c r="K105" s="27" t="s">
        <v>100</v>
      </c>
      <c r="L105" s="28" t="s">
        <v>101</v>
      </c>
      <c r="M105" s="28" t="s">
        <v>71</v>
      </c>
      <c r="N105" s="25">
        <v>1</v>
      </c>
      <c r="O105" s="29">
        <v>5.4</v>
      </c>
      <c r="P105" s="29">
        <v>5.4</v>
      </c>
      <c r="Q105" s="25" t="s">
        <v>360</v>
      </c>
      <c r="R105" s="25"/>
      <c r="S105" s="26" t="s">
        <v>350</v>
      </c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34"/>
        <v>5.4</v>
      </c>
      <c r="AF105" s="32">
        <f t="shared" si="35"/>
        <v>0</v>
      </c>
      <c r="AG105" s="30"/>
      <c r="AH105" s="33"/>
      <c r="AI105" s="34">
        <f t="shared" si="36"/>
        <v>0</v>
      </c>
      <c r="AJ105" s="35">
        <v>46312</v>
      </c>
      <c r="AK105" s="30">
        <v>1</v>
      </c>
      <c r="AL105" s="36">
        <f t="shared" si="4"/>
        <v>5.4</v>
      </c>
      <c r="AM105" s="35">
        <v>46312</v>
      </c>
      <c r="AN105" s="30">
        <v>1</v>
      </c>
      <c r="AO105" s="36">
        <f t="shared" si="37"/>
        <v>5.4</v>
      </c>
      <c r="AP105" s="35"/>
      <c r="AQ105" s="30"/>
      <c r="AR105" s="36">
        <f t="shared" si="38"/>
        <v>0</v>
      </c>
      <c r="AS105" s="27" t="s">
        <v>967</v>
      </c>
      <c r="AT105" s="37">
        <v>46312</v>
      </c>
      <c r="AU105" s="30">
        <v>1</v>
      </c>
      <c r="AV105" s="36">
        <f t="shared" si="39"/>
        <v>5.4</v>
      </c>
      <c r="AW105" s="35"/>
      <c r="AX105" s="30"/>
      <c r="AY105" s="32">
        <f t="shared" si="40"/>
        <v>0</v>
      </c>
      <c r="AZ105" s="30" t="s">
        <v>440</v>
      </c>
      <c r="BA105" s="63"/>
      <c r="BB105" s="71"/>
      <c r="BC105" s="71" t="s">
        <v>101</v>
      </c>
      <c r="BD105" s="71"/>
    </row>
    <row r="106" spans="1:56" x14ac:dyDescent="0.25">
      <c r="A106" s="24">
        <f>IF(B106="","",SUBTOTAL(3,$B$4:B106))</f>
        <v>95</v>
      </c>
      <c r="B106" s="25" t="s">
        <v>439</v>
      </c>
      <c r="C106" s="25" t="str">
        <f t="shared" si="33"/>
        <v>Shipment 2 CO-SCR Duct</v>
      </c>
      <c r="D106" s="25" t="s">
        <v>441</v>
      </c>
      <c r="E106" s="25" t="s">
        <v>442</v>
      </c>
      <c r="F106" s="25"/>
      <c r="G106" s="65">
        <v>46204</v>
      </c>
      <c r="H106" s="25" t="s">
        <v>443</v>
      </c>
      <c r="I106" s="25" t="s">
        <v>444</v>
      </c>
      <c r="J106" s="26" t="s">
        <v>447</v>
      </c>
      <c r="K106" s="27" t="s">
        <v>102</v>
      </c>
      <c r="L106" s="28" t="s">
        <v>103</v>
      </c>
      <c r="M106" s="28" t="s">
        <v>71</v>
      </c>
      <c r="N106" s="25">
        <v>1</v>
      </c>
      <c r="O106" s="29">
        <v>10.5</v>
      </c>
      <c r="P106" s="29">
        <v>10.5</v>
      </c>
      <c r="Q106" s="25" t="s">
        <v>363</v>
      </c>
      <c r="R106" s="25"/>
      <c r="S106" s="26" t="s">
        <v>350</v>
      </c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34"/>
        <v>10.5</v>
      </c>
      <c r="AF106" s="32">
        <f t="shared" si="35"/>
        <v>0</v>
      </c>
      <c r="AG106" s="30"/>
      <c r="AH106" s="33"/>
      <c r="AI106" s="34">
        <f t="shared" si="36"/>
        <v>0</v>
      </c>
      <c r="AJ106" s="35">
        <v>46312</v>
      </c>
      <c r="AK106" s="30">
        <v>1</v>
      </c>
      <c r="AL106" s="36">
        <f t="shared" si="4"/>
        <v>10.5</v>
      </c>
      <c r="AM106" s="35">
        <v>46312</v>
      </c>
      <c r="AN106" s="30">
        <v>1</v>
      </c>
      <c r="AO106" s="36">
        <f t="shared" si="37"/>
        <v>10.5</v>
      </c>
      <c r="AP106" s="35"/>
      <c r="AQ106" s="30"/>
      <c r="AR106" s="36">
        <f t="shared" si="38"/>
        <v>0</v>
      </c>
      <c r="AS106" s="27" t="s">
        <v>967</v>
      </c>
      <c r="AT106" s="37">
        <v>46312</v>
      </c>
      <c r="AU106" s="30">
        <v>1</v>
      </c>
      <c r="AV106" s="36">
        <f t="shared" si="39"/>
        <v>10.5</v>
      </c>
      <c r="AW106" s="35"/>
      <c r="AX106" s="30"/>
      <c r="AY106" s="32">
        <f t="shared" si="40"/>
        <v>0</v>
      </c>
      <c r="AZ106" s="30" t="s">
        <v>440</v>
      </c>
      <c r="BA106" s="63"/>
      <c r="BB106" s="71"/>
      <c r="BC106" s="71" t="s">
        <v>103</v>
      </c>
      <c r="BD106" s="71"/>
    </row>
    <row r="107" spans="1:56" x14ac:dyDescent="0.25">
      <c r="A107" s="24">
        <f>IF(B107="","",SUBTOTAL(3,$B$4:B107))</f>
        <v>96</v>
      </c>
      <c r="B107" s="25" t="s">
        <v>439</v>
      </c>
      <c r="C107" s="25" t="str">
        <f t="shared" si="33"/>
        <v>Shipment 2 CO-SCR Duct</v>
      </c>
      <c r="D107" s="25" t="s">
        <v>441</v>
      </c>
      <c r="E107" s="25" t="s">
        <v>442</v>
      </c>
      <c r="F107" s="25"/>
      <c r="G107" s="65">
        <v>46204</v>
      </c>
      <c r="H107" s="25" t="s">
        <v>443</v>
      </c>
      <c r="I107" s="25" t="s">
        <v>444</v>
      </c>
      <c r="J107" s="26" t="s">
        <v>447</v>
      </c>
      <c r="K107" s="27" t="s">
        <v>104</v>
      </c>
      <c r="L107" s="28" t="s">
        <v>105</v>
      </c>
      <c r="M107" s="28" t="s">
        <v>71</v>
      </c>
      <c r="N107" s="25">
        <v>2</v>
      </c>
      <c r="O107" s="29">
        <v>11.95</v>
      </c>
      <c r="P107" s="29">
        <v>23.9</v>
      </c>
      <c r="Q107" s="25" t="s">
        <v>364</v>
      </c>
      <c r="R107" s="25"/>
      <c r="S107" s="26" t="s">
        <v>350</v>
      </c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34"/>
        <v>23.9</v>
      </c>
      <c r="AF107" s="32">
        <f t="shared" si="35"/>
        <v>0</v>
      </c>
      <c r="AG107" s="30"/>
      <c r="AH107" s="33"/>
      <c r="AI107" s="34">
        <f t="shared" si="36"/>
        <v>0</v>
      </c>
      <c r="AJ107" s="35">
        <v>46312</v>
      </c>
      <c r="AK107" s="30">
        <v>2</v>
      </c>
      <c r="AL107" s="36">
        <f t="shared" si="4"/>
        <v>23.9</v>
      </c>
      <c r="AM107" s="35">
        <v>46312</v>
      </c>
      <c r="AN107" s="30">
        <v>2</v>
      </c>
      <c r="AO107" s="36">
        <f t="shared" si="37"/>
        <v>23.9</v>
      </c>
      <c r="AP107" s="35"/>
      <c r="AQ107" s="30"/>
      <c r="AR107" s="36">
        <f t="shared" si="38"/>
        <v>0</v>
      </c>
      <c r="AS107" s="27" t="s">
        <v>967</v>
      </c>
      <c r="AT107" s="37">
        <v>46312</v>
      </c>
      <c r="AU107" s="30">
        <v>2</v>
      </c>
      <c r="AV107" s="36">
        <f t="shared" si="39"/>
        <v>23.9</v>
      </c>
      <c r="AW107" s="35"/>
      <c r="AX107" s="30"/>
      <c r="AY107" s="32">
        <f t="shared" si="40"/>
        <v>0</v>
      </c>
      <c r="AZ107" s="30" t="s">
        <v>440</v>
      </c>
      <c r="BA107" s="63"/>
      <c r="BB107" s="71"/>
      <c r="BC107" s="71" t="s">
        <v>105</v>
      </c>
      <c r="BD107" s="71"/>
    </row>
    <row r="108" spans="1:56" x14ac:dyDescent="0.25">
      <c r="A108" s="24">
        <f>IF(B108="","",SUBTOTAL(3,$B$4:B108))</f>
        <v>97</v>
      </c>
      <c r="B108" s="25" t="s">
        <v>439</v>
      </c>
      <c r="C108" s="25" t="str">
        <f t="shared" si="33"/>
        <v>Shipment 2 CO-SCR Duct</v>
      </c>
      <c r="D108" s="25" t="s">
        <v>441</v>
      </c>
      <c r="E108" s="25" t="s">
        <v>442</v>
      </c>
      <c r="F108" s="25"/>
      <c r="G108" s="65">
        <v>46204</v>
      </c>
      <c r="H108" s="25" t="s">
        <v>443</v>
      </c>
      <c r="I108" s="25" t="s">
        <v>444</v>
      </c>
      <c r="J108" s="26" t="s">
        <v>447</v>
      </c>
      <c r="K108" s="27" t="s">
        <v>106</v>
      </c>
      <c r="L108" s="28" t="s">
        <v>107</v>
      </c>
      <c r="M108" s="28" t="s">
        <v>71</v>
      </c>
      <c r="N108" s="25">
        <v>2</v>
      </c>
      <c r="O108" s="29">
        <v>8.4499999999999993</v>
      </c>
      <c r="P108" s="29">
        <v>16.899999999999999</v>
      </c>
      <c r="Q108" s="25" t="s">
        <v>359</v>
      </c>
      <c r="R108" s="25"/>
      <c r="S108" s="26" t="s">
        <v>350</v>
      </c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34"/>
        <v>16.899999999999999</v>
      </c>
      <c r="AF108" s="32">
        <f t="shared" si="35"/>
        <v>0</v>
      </c>
      <c r="AG108" s="30"/>
      <c r="AH108" s="33"/>
      <c r="AI108" s="34">
        <f t="shared" si="36"/>
        <v>0</v>
      </c>
      <c r="AJ108" s="35">
        <v>46312</v>
      </c>
      <c r="AK108" s="30">
        <v>2</v>
      </c>
      <c r="AL108" s="36">
        <f t="shared" si="4"/>
        <v>16.899999999999999</v>
      </c>
      <c r="AM108" s="35">
        <v>46312</v>
      </c>
      <c r="AN108" s="30">
        <v>2</v>
      </c>
      <c r="AO108" s="36">
        <f t="shared" si="37"/>
        <v>16.899999999999999</v>
      </c>
      <c r="AP108" s="35"/>
      <c r="AQ108" s="30"/>
      <c r="AR108" s="36">
        <f t="shared" si="38"/>
        <v>0</v>
      </c>
      <c r="AS108" s="27" t="s">
        <v>967</v>
      </c>
      <c r="AT108" s="37">
        <v>46312</v>
      </c>
      <c r="AU108" s="30">
        <v>2</v>
      </c>
      <c r="AV108" s="36">
        <f t="shared" si="39"/>
        <v>16.899999999999999</v>
      </c>
      <c r="AW108" s="35"/>
      <c r="AX108" s="30"/>
      <c r="AY108" s="32">
        <f t="shared" si="40"/>
        <v>0</v>
      </c>
      <c r="AZ108" s="30" t="s">
        <v>440</v>
      </c>
      <c r="BA108" s="63"/>
      <c r="BB108" s="71"/>
      <c r="BC108" s="71" t="s">
        <v>107</v>
      </c>
      <c r="BD108" s="71"/>
    </row>
    <row r="109" spans="1:56" x14ac:dyDescent="0.25">
      <c r="A109" s="24">
        <f>IF(B109="","",SUBTOTAL(3,$B$4:B109))</f>
        <v>98</v>
      </c>
      <c r="B109" s="25" t="s">
        <v>439</v>
      </c>
      <c r="C109" s="25" t="str">
        <f t="shared" si="33"/>
        <v>Shipment 2 CO-SCR Duct</v>
      </c>
      <c r="D109" s="25" t="s">
        <v>441</v>
      </c>
      <c r="E109" s="25" t="s">
        <v>442</v>
      </c>
      <c r="F109" s="25"/>
      <c r="G109" s="65">
        <v>46204</v>
      </c>
      <c r="H109" s="25" t="s">
        <v>443</v>
      </c>
      <c r="I109" s="25" t="s">
        <v>444</v>
      </c>
      <c r="J109" s="26" t="s">
        <v>447</v>
      </c>
      <c r="K109" s="27" t="s">
        <v>108</v>
      </c>
      <c r="L109" s="28" t="s">
        <v>109</v>
      </c>
      <c r="M109" s="28" t="s">
        <v>71</v>
      </c>
      <c r="N109" s="25">
        <v>2</v>
      </c>
      <c r="O109" s="29">
        <v>8.4499999999999993</v>
      </c>
      <c r="P109" s="29">
        <v>16.899999999999999</v>
      </c>
      <c r="Q109" s="25" t="s">
        <v>359</v>
      </c>
      <c r="R109" s="25"/>
      <c r="S109" s="26" t="s">
        <v>350</v>
      </c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34"/>
        <v>16.899999999999999</v>
      </c>
      <c r="AF109" s="32">
        <f t="shared" si="35"/>
        <v>0</v>
      </c>
      <c r="AG109" s="30"/>
      <c r="AH109" s="33"/>
      <c r="AI109" s="34">
        <f t="shared" si="36"/>
        <v>0</v>
      </c>
      <c r="AJ109" s="35">
        <v>46312</v>
      </c>
      <c r="AK109" s="30">
        <v>2</v>
      </c>
      <c r="AL109" s="36">
        <f t="shared" si="4"/>
        <v>16.899999999999999</v>
      </c>
      <c r="AM109" s="35">
        <v>46312</v>
      </c>
      <c r="AN109" s="30">
        <v>2</v>
      </c>
      <c r="AO109" s="36">
        <f t="shared" si="37"/>
        <v>16.899999999999999</v>
      </c>
      <c r="AP109" s="35"/>
      <c r="AQ109" s="30"/>
      <c r="AR109" s="36">
        <f t="shared" si="38"/>
        <v>0</v>
      </c>
      <c r="AS109" s="27" t="s">
        <v>967</v>
      </c>
      <c r="AT109" s="37">
        <v>46312</v>
      </c>
      <c r="AU109" s="30">
        <v>2</v>
      </c>
      <c r="AV109" s="36">
        <f t="shared" si="39"/>
        <v>16.899999999999999</v>
      </c>
      <c r="AW109" s="35"/>
      <c r="AX109" s="30"/>
      <c r="AY109" s="32">
        <f t="shared" si="40"/>
        <v>0</v>
      </c>
      <c r="AZ109" s="30" t="s">
        <v>440</v>
      </c>
      <c r="BA109" s="63"/>
      <c r="BB109" s="71"/>
      <c r="BC109" s="71" t="s">
        <v>109</v>
      </c>
      <c r="BD109" s="71"/>
    </row>
    <row r="110" spans="1:56" x14ac:dyDescent="0.25">
      <c r="A110" s="24">
        <f>IF(B110="","",SUBTOTAL(3,$B$4:B110))</f>
        <v>99</v>
      </c>
      <c r="B110" s="25" t="s">
        <v>439</v>
      </c>
      <c r="C110" s="25" t="str">
        <f t="shared" si="33"/>
        <v>Shipment 2 CO-SCR Duct</v>
      </c>
      <c r="D110" s="25" t="s">
        <v>441</v>
      </c>
      <c r="E110" s="25" t="s">
        <v>442</v>
      </c>
      <c r="F110" s="25"/>
      <c r="G110" s="65">
        <v>46204</v>
      </c>
      <c r="H110" s="25" t="s">
        <v>443</v>
      </c>
      <c r="I110" s="25" t="s">
        <v>444</v>
      </c>
      <c r="J110" s="26" t="s">
        <v>447</v>
      </c>
      <c r="K110" s="27" t="s">
        <v>110</v>
      </c>
      <c r="L110" s="28" t="s">
        <v>111</v>
      </c>
      <c r="M110" s="28" t="s">
        <v>71</v>
      </c>
      <c r="N110" s="25">
        <v>2</v>
      </c>
      <c r="O110" s="29">
        <v>8.4499999999999993</v>
      </c>
      <c r="P110" s="29">
        <v>16.899999999999999</v>
      </c>
      <c r="Q110" s="25" t="s">
        <v>359</v>
      </c>
      <c r="R110" s="25"/>
      <c r="S110" s="26" t="s">
        <v>350</v>
      </c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34"/>
        <v>16.899999999999999</v>
      </c>
      <c r="AF110" s="32">
        <f t="shared" si="35"/>
        <v>0</v>
      </c>
      <c r="AG110" s="30"/>
      <c r="AH110" s="33"/>
      <c r="AI110" s="34">
        <f t="shared" si="36"/>
        <v>0</v>
      </c>
      <c r="AJ110" s="35">
        <v>46312</v>
      </c>
      <c r="AK110" s="30">
        <v>2</v>
      </c>
      <c r="AL110" s="36">
        <f t="shared" si="4"/>
        <v>16.899999999999999</v>
      </c>
      <c r="AM110" s="35">
        <v>46312</v>
      </c>
      <c r="AN110" s="30">
        <v>2</v>
      </c>
      <c r="AO110" s="36">
        <f t="shared" si="37"/>
        <v>16.899999999999999</v>
      </c>
      <c r="AP110" s="35"/>
      <c r="AQ110" s="30"/>
      <c r="AR110" s="36">
        <f t="shared" si="38"/>
        <v>0</v>
      </c>
      <c r="AS110" s="27" t="s">
        <v>967</v>
      </c>
      <c r="AT110" s="37">
        <v>46312</v>
      </c>
      <c r="AU110" s="30">
        <v>2</v>
      </c>
      <c r="AV110" s="36">
        <f t="shared" si="39"/>
        <v>16.899999999999999</v>
      </c>
      <c r="AW110" s="35"/>
      <c r="AX110" s="30"/>
      <c r="AY110" s="32">
        <f t="shared" si="40"/>
        <v>0</v>
      </c>
      <c r="AZ110" s="30" t="s">
        <v>440</v>
      </c>
      <c r="BA110" s="63"/>
      <c r="BB110" s="71"/>
      <c r="BC110" s="71" t="s">
        <v>111</v>
      </c>
      <c r="BD110" s="71"/>
    </row>
    <row r="111" spans="1:56" x14ac:dyDescent="0.25">
      <c r="A111" s="24">
        <f>IF(B111="","",SUBTOTAL(3,$B$4:B111))</f>
        <v>100</v>
      </c>
      <c r="B111" s="25" t="s">
        <v>439</v>
      </c>
      <c r="C111" s="25" t="str">
        <f t="shared" si="33"/>
        <v>Shipment 2 CO-SCR Duct</v>
      </c>
      <c r="D111" s="25" t="s">
        <v>441</v>
      </c>
      <c r="E111" s="25" t="s">
        <v>442</v>
      </c>
      <c r="F111" s="25"/>
      <c r="G111" s="65">
        <v>46204</v>
      </c>
      <c r="H111" s="25" t="s">
        <v>443</v>
      </c>
      <c r="I111" s="25" t="s">
        <v>444</v>
      </c>
      <c r="J111" s="26" t="s">
        <v>447</v>
      </c>
      <c r="K111" s="27" t="s">
        <v>112</v>
      </c>
      <c r="L111" s="28" t="s">
        <v>113</v>
      </c>
      <c r="M111" s="28" t="s">
        <v>71</v>
      </c>
      <c r="N111" s="25">
        <v>4</v>
      </c>
      <c r="O111" s="29">
        <v>8.4749999999999996</v>
      </c>
      <c r="P111" s="29">
        <v>33.9</v>
      </c>
      <c r="Q111" s="25" t="s">
        <v>359</v>
      </c>
      <c r="R111" s="25"/>
      <c r="S111" s="26" t="s">
        <v>350</v>
      </c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34"/>
        <v>33.9</v>
      </c>
      <c r="AF111" s="32">
        <f t="shared" si="35"/>
        <v>0</v>
      </c>
      <c r="AG111" s="30"/>
      <c r="AH111" s="33"/>
      <c r="AI111" s="34">
        <f t="shared" si="36"/>
        <v>0</v>
      </c>
      <c r="AJ111" s="35">
        <v>46312</v>
      </c>
      <c r="AK111" s="30">
        <v>4</v>
      </c>
      <c r="AL111" s="36">
        <f t="shared" si="4"/>
        <v>33.9</v>
      </c>
      <c r="AM111" s="35">
        <v>46312</v>
      </c>
      <c r="AN111" s="30">
        <v>4</v>
      </c>
      <c r="AO111" s="36">
        <f t="shared" si="37"/>
        <v>33.9</v>
      </c>
      <c r="AP111" s="35"/>
      <c r="AQ111" s="30"/>
      <c r="AR111" s="36">
        <f t="shared" si="38"/>
        <v>0</v>
      </c>
      <c r="AS111" s="27" t="s">
        <v>967</v>
      </c>
      <c r="AT111" s="37">
        <v>46312</v>
      </c>
      <c r="AU111" s="30">
        <v>4</v>
      </c>
      <c r="AV111" s="36">
        <f t="shared" si="39"/>
        <v>33.9</v>
      </c>
      <c r="AW111" s="35"/>
      <c r="AX111" s="30"/>
      <c r="AY111" s="32">
        <f t="shared" si="40"/>
        <v>0</v>
      </c>
      <c r="AZ111" s="30" t="s">
        <v>440</v>
      </c>
      <c r="BA111" s="63"/>
      <c r="BB111" s="71"/>
      <c r="BC111" s="71" t="s">
        <v>113</v>
      </c>
      <c r="BD111" s="71"/>
    </row>
    <row r="112" spans="1:56" x14ac:dyDescent="0.25">
      <c r="A112" s="24">
        <f>IF(B112="","",SUBTOTAL(3,$B$4:B112))</f>
        <v>101</v>
      </c>
      <c r="B112" s="25" t="s">
        <v>439</v>
      </c>
      <c r="C112" s="25" t="str">
        <f t="shared" si="33"/>
        <v>Shipment 2 CO-SCR Duct</v>
      </c>
      <c r="D112" s="25" t="s">
        <v>441</v>
      </c>
      <c r="E112" s="25" t="s">
        <v>442</v>
      </c>
      <c r="F112" s="25"/>
      <c r="G112" s="65">
        <v>46204</v>
      </c>
      <c r="H112" s="25" t="s">
        <v>443</v>
      </c>
      <c r="I112" s="25" t="s">
        <v>444</v>
      </c>
      <c r="J112" s="26" t="s">
        <v>447</v>
      </c>
      <c r="K112" s="27" t="s">
        <v>114</v>
      </c>
      <c r="L112" s="28" t="s">
        <v>115</v>
      </c>
      <c r="M112" s="28" t="s">
        <v>71</v>
      </c>
      <c r="N112" s="25">
        <v>2</v>
      </c>
      <c r="O112" s="29">
        <v>6.75</v>
      </c>
      <c r="P112" s="29">
        <v>13.5</v>
      </c>
      <c r="Q112" s="25" t="s">
        <v>365</v>
      </c>
      <c r="R112" s="25"/>
      <c r="S112" s="26" t="s">
        <v>350</v>
      </c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34"/>
        <v>13.5</v>
      </c>
      <c r="AF112" s="32">
        <f t="shared" si="35"/>
        <v>0</v>
      </c>
      <c r="AG112" s="30"/>
      <c r="AH112" s="33"/>
      <c r="AI112" s="34">
        <f t="shared" si="36"/>
        <v>0</v>
      </c>
      <c r="AJ112" s="35">
        <v>46312</v>
      </c>
      <c r="AK112" s="30">
        <v>2</v>
      </c>
      <c r="AL112" s="36">
        <f t="shared" si="4"/>
        <v>13.5</v>
      </c>
      <c r="AM112" s="35">
        <v>46312</v>
      </c>
      <c r="AN112" s="30">
        <v>2</v>
      </c>
      <c r="AO112" s="36">
        <f t="shared" si="37"/>
        <v>13.5</v>
      </c>
      <c r="AP112" s="35"/>
      <c r="AQ112" s="30"/>
      <c r="AR112" s="36">
        <f t="shared" si="38"/>
        <v>0</v>
      </c>
      <c r="AS112" s="27" t="s">
        <v>967</v>
      </c>
      <c r="AT112" s="37">
        <v>46312</v>
      </c>
      <c r="AU112" s="30">
        <v>2</v>
      </c>
      <c r="AV112" s="36">
        <f t="shared" si="39"/>
        <v>13.5</v>
      </c>
      <c r="AW112" s="35"/>
      <c r="AX112" s="30"/>
      <c r="AY112" s="32">
        <f t="shared" si="40"/>
        <v>0</v>
      </c>
      <c r="AZ112" s="30" t="s">
        <v>440</v>
      </c>
      <c r="BA112" s="63"/>
      <c r="BB112" s="71"/>
      <c r="BC112" s="71" t="s">
        <v>115</v>
      </c>
      <c r="BD112" s="71"/>
    </row>
    <row r="113" spans="1:56" x14ac:dyDescent="0.25">
      <c r="A113" s="24">
        <f>IF(B113="","",SUBTOTAL(3,$B$4:B113))</f>
        <v>102</v>
      </c>
      <c r="B113" s="25" t="s">
        <v>439</v>
      </c>
      <c r="C113" s="25" t="str">
        <f t="shared" si="33"/>
        <v>Shipment 2 CO-SCR Duct</v>
      </c>
      <c r="D113" s="25" t="s">
        <v>441</v>
      </c>
      <c r="E113" s="25" t="s">
        <v>442</v>
      </c>
      <c r="F113" s="25"/>
      <c r="G113" s="65">
        <v>46204</v>
      </c>
      <c r="H113" s="25" t="s">
        <v>443</v>
      </c>
      <c r="I113" s="25" t="s">
        <v>444</v>
      </c>
      <c r="J113" s="26" t="s">
        <v>447</v>
      </c>
      <c r="K113" s="27" t="s">
        <v>116</v>
      </c>
      <c r="L113" s="28" t="s">
        <v>117</v>
      </c>
      <c r="M113" s="28" t="s">
        <v>71</v>
      </c>
      <c r="N113" s="25">
        <v>2</v>
      </c>
      <c r="O113" s="29">
        <v>8.1999999999999993</v>
      </c>
      <c r="P113" s="29">
        <v>16.399999999999999</v>
      </c>
      <c r="Q113" s="25" t="s">
        <v>366</v>
      </c>
      <c r="R113" s="25"/>
      <c r="S113" s="26" t="s">
        <v>350</v>
      </c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34"/>
        <v>16.399999999999999</v>
      </c>
      <c r="AF113" s="32">
        <f t="shared" si="35"/>
        <v>0</v>
      </c>
      <c r="AG113" s="30"/>
      <c r="AH113" s="33"/>
      <c r="AI113" s="34">
        <f t="shared" si="36"/>
        <v>0</v>
      </c>
      <c r="AJ113" s="35">
        <v>46312</v>
      </c>
      <c r="AK113" s="30">
        <v>2</v>
      </c>
      <c r="AL113" s="36">
        <f t="shared" si="4"/>
        <v>16.399999999999999</v>
      </c>
      <c r="AM113" s="35">
        <v>46312</v>
      </c>
      <c r="AN113" s="30">
        <v>2</v>
      </c>
      <c r="AO113" s="36">
        <f t="shared" si="37"/>
        <v>16.399999999999999</v>
      </c>
      <c r="AP113" s="35"/>
      <c r="AQ113" s="30"/>
      <c r="AR113" s="36">
        <f t="shared" si="38"/>
        <v>0</v>
      </c>
      <c r="AS113" s="27" t="s">
        <v>967</v>
      </c>
      <c r="AT113" s="37">
        <v>46312</v>
      </c>
      <c r="AU113" s="30">
        <v>2</v>
      </c>
      <c r="AV113" s="36">
        <f t="shared" si="39"/>
        <v>16.399999999999999</v>
      </c>
      <c r="AW113" s="35"/>
      <c r="AX113" s="30"/>
      <c r="AY113" s="32">
        <f t="shared" si="40"/>
        <v>0</v>
      </c>
      <c r="AZ113" s="30" t="s">
        <v>440</v>
      </c>
      <c r="BA113" s="63"/>
      <c r="BB113" s="71"/>
      <c r="BC113" s="71" t="s">
        <v>117</v>
      </c>
      <c r="BD113" s="71"/>
    </row>
    <row r="114" spans="1:56" x14ac:dyDescent="0.25">
      <c r="A114" s="24">
        <f>IF(B114="","",SUBTOTAL(3,$B$4:B114))</f>
        <v>103</v>
      </c>
      <c r="B114" s="25" t="s">
        <v>439</v>
      </c>
      <c r="C114" s="25" t="str">
        <f t="shared" si="33"/>
        <v>Shipment 2 CO-SCR Duct</v>
      </c>
      <c r="D114" s="25" t="s">
        <v>441</v>
      </c>
      <c r="E114" s="25" t="s">
        <v>442</v>
      </c>
      <c r="F114" s="25"/>
      <c r="G114" s="65">
        <v>46204</v>
      </c>
      <c r="H114" s="25" t="s">
        <v>443</v>
      </c>
      <c r="I114" s="25" t="s">
        <v>444</v>
      </c>
      <c r="J114" s="26" t="s">
        <v>447</v>
      </c>
      <c r="K114" s="27" t="s">
        <v>118</v>
      </c>
      <c r="L114" s="28" t="s">
        <v>119</v>
      </c>
      <c r="M114" s="28" t="s">
        <v>71</v>
      </c>
      <c r="N114" s="25">
        <v>1</v>
      </c>
      <c r="O114" s="29">
        <v>4</v>
      </c>
      <c r="P114" s="29">
        <v>4</v>
      </c>
      <c r="Q114" s="25" t="s">
        <v>367</v>
      </c>
      <c r="R114" s="25"/>
      <c r="S114" s="26" t="s">
        <v>350</v>
      </c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34"/>
        <v>4</v>
      </c>
      <c r="AF114" s="32">
        <f t="shared" si="35"/>
        <v>0</v>
      </c>
      <c r="AG114" s="30"/>
      <c r="AH114" s="33"/>
      <c r="AI114" s="34">
        <f t="shared" si="36"/>
        <v>0</v>
      </c>
      <c r="AJ114" s="35">
        <v>46312</v>
      </c>
      <c r="AK114" s="30">
        <v>1</v>
      </c>
      <c r="AL114" s="36">
        <f t="shared" si="4"/>
        <v>4</v>
      </c>
      <c r="AM114" s="35">
        <v>46312</v>
      </c>
      <c r="AN114" s="30">
        <v>1</v>
      </c>
      <c r="AO114" s="36">
        <f t="shared" si="37"/>
        <v>4</v>
      </c>
      <c r="AP114" s="35"/>
      <c r="AQ114" s="30"/>
      <c r="AR114" s="36">
        <f t="shared" si="38"/>
        <v>0</v>
      </c>
      <c r="AS114" s="27" t="s">
        <v>967</v>
      </c>
      <c r="AT114" s="37">
        <v>46312</v>
      </c>
      <c r="AU114" s="30">
        <v>1</v>
      </c>
      <c r="AV114" s="36">
        <f t="shared" si="39"/>
        <v>4</v>
      </c>
      <c r="AW114" s="35"/>
      <c r="AX114" s="30"/>
      <c r="AY114" s="32">
        <f t="shared" si="40"/>
        <v>0</v>
      </c>
      <c r="AZ114" s="30" t="s">
        <v>440</v>
      </c>
      <c r="BA114" s="63"/>
      <c r="BB114" s="71"/>
      <c r="BC114" s="71" t="s">
        <v>119</v>
      </c>
      <c r="BD114" s="71"/>
    </row>
    <row r="115" spans="1:56" x14ac:dyDescent="0.25">
      <c r="A115" s="24">
        <f>IF(B115="","",SUBTOTAL(3,$B$4:B115))</f>
        <v>104</v>
      </c>
      <c r="B115" s="25" t="s">
        <v>439</v>
      </c>
      <c r="C115" s="25" t="str">
        <f t="shared" si="33"/>
        <v>Shipment 2 CO-SCR Duct</v>
      </c>
      <c r="D115" s="25" t="s">
        <v>441</v>
      </c>
      <c r="E115" s="25" t="s">
        <v>442</v>
      </c>
      <c r="F115" s="25"/>
      <c r="G115" s="65">
        <v>46204</v>
      </c>
      <c r="H115" s="25" t="s">
        <v>443</v>
      </c>
      <c r="I115" s="25" t="s">
        <v>444</v>
      </c>
      <c r="J115" s="26" t="s">
        <v>447</v>
      </c>
      <c r="K115" s="27" t="s">
        <v>120</v>
      </c>
      <c r="L115" s="28" t="s">
        <v>121</v>
      </c>
      <c r="M115" s="28" t="s">
        <v>71</v>
      </c>
      <c r="N115" s="25">
        <v>2</v>
      </c>
      <c r="O115" s="29">
        <v>4.7</v>
      </c>
      <c r="P115" s="29">
        <v>9.4</v>
      </c>
      <c r="Q115" s="25" t="s">
        <v>368</v>
      </c>
      <c r="R115" s="25"/>
      <c r="S115" s="26" t="s">
        <v>350</v>
      </c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34"/>
        <v>9.4</v>
      </c>
      <c r="AF115" s="32">
        <f t="shared" si="35"/>
        <v>0</v>
      </c>
      <c r="AG115" s="30"/>
      <c r="AH115" s="33"/>
      <c r="AI115" s="34">
        <f t="shared" si="36"/>
        <v>0</v>
      </c>
      <c r="AJ115" s="35">
        <v>46312</v>
      </c>
      <c r="AK115" s="30">
        <v>2</v>
      </c>
      <c r="AL115" s="36">
        <f t="shared" si="4"/>
        <v>9.4</v>
      </c>
      <c r="AM115" s="35">
        <v>46312</v>
      </c>
      <c r="AN115" s="30">
        <v>2</v>
      </c>
      <c r="AO115" s="36">
        <f t="shared" si="37"/>
        <v>9.4</v>
      </c>
      <c r="AP115" s="35"/>
      <c r="AQ115" s="30"/>
      <c r="AR115" s="36">
        <f t="shared" si="38"/>
        <v>0</v>
      </c>
      <c r="AS115" s="27" t="s">
        <v>967</v>
      </c>
      <c r="AT115" s="37">
        <v>46312</v>
      </c>
      <c r="AU115" s="30">
        <v>2</v>
      </c>
      <c r="AV115" s="36">
        <f t="shared" si="39"/>
        <v>9.4</v>
      </c>
      <c r="AW115" s="35"/>
      <c r="AX115" s="30"/>
      <c r="AY115" s="32">
        <f t="shared" si="40"/>
        <v>0</v>
      </c>
      <c r="AZ115" s="30" t="s">
        <v>440</v>
      </c>
      <c r="BA115" s="63"/>
      <c r="BB115" s="71"/>
      <c r="BC115" s="71" t="s">
        <v>121</v>
      </c>
      <c r="BD115" s="71"/>
    </row>
    <row r="116" spans="1:56" x14ac:dyDescent="0.25">
      <c r="A116" s="24">
        <f>IF(B116="","",SUBTOTAL(3,$B$4:B116))</f>
        <v>105</v>
      </c>
      <c r="B116" s="25" t="s">
        <v>439</v>
      </c>
      <c r="C116" s="25" t="str">
        <f t="shared" si="33"/>
        <v>Shipment 2 CO-SCR Duct</v>
      </c>
      <c r="D116" s="25" t="s">
        <v>441</v>
      </c>
      <c r="E116" s="25" t="s">
        <v>442</v>
      </c>
      <c r="F116" s="25"/>
      <c r="G116" s="65">
        <v>46204</v>
      </c>
      <c r="H116" s="25" t="s">
        <v>443</v>
      </c>
      <c r="I116" s="25" t="s">
        <v>444</v>
      </c>
      <c r="J116" s="26" t="s">
        <v>447</v>
      </c>
      <c r="K116" s="27" t="s">
        <v>122</v>
      </c>
      <c r="L116" s="28" t="s">
        <v>123</v>
      </c>
      <c r="M116" s="28" t="s">
        <v>71</v>
      </c>
      <c r="N116" s="25">
        <v>1</v>
      </c>
      <c r="O116" s="29">
        <v>4</v>
      </c>
      <c r="P116" s="29">
        <v>4</v>
      </c>
      <c r="Q116" s="25" t="s">
        <v>367</v>
      </c>
      <c r="R116" s="25"/>
      <c r="S116" s="26" t="s">
        <v>350</v>
      </c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34"/>
        <v>4</v>
      </c>
      <c r="AF116" s="32">
        <f t="shared" si="35"/>
        <v>0</v>
      </c>
      <c r="AG116" s="30"/>
      <c r="AH116" s="33"/>
      <c r="AI116" s="34">
        <f t="shared" si="36"/>
        <v>0</v>
      </c>
      <c r="AJ116" s="35">
        <v>46312</v>
      </c>
      <c r="AK116" s="30">
        <v>1</v>
      </c>
      <c r="AL116" s="36">
        <f t="shared" si="4"/>
        <v>4</v>
      </c>
      <c r="AM116" s="35">
        <v>46312</v>
      </c>
      <c r="AN116" s="30">
        <v>1</v>
      </c>
      <c r="AO116" s="36">
        <f t="shared" si="37"/>
        <v>4</v>
      </c>
      <c r="AP116" s="35"/>
      <c r="AQ116" s="30"/>
      <c r="AR116" s="36">
        <f t="shared" si="38"/>
        <v>0</v>
      </c>
      <c r="AS116" s="27" t="s">
        <v>967</v>
      </c>
      <c r="AT116" s="37">
        <v>46312</v>
      </c>
      <c r="AU116" s="30">
        <v>1</v>
      </c>
      <c r="AV116" s="36">
        <f t="shared" si="39"/>
        <v>4</v>
      </c>
      <c r="AW116" s="35"/>
      <c r="AX116" s="30"/>
      <c r="AY116" s="32">
        <f t="shared" si="40"/>
        <v>0</v>
      </c>
      <c r="AZ116" s="30" t="s">
        <v>440</v>
      </c>
      <c r="BA116" s="63"/>
      <c r="BB116" s="71"/>
      <c r="BC116" s="71" t="s">
        <v>123</v>
      </c>
      <c r="BD116" s="71"/>
    </row>
    <row r="117" spans="1:56" x14ac:dyDescent="0.25">
      <c r="A117" s="24">
        <f>IF(B117="","",SUBTOTAL(3,$B$4:B117))</f>
        <v>106</v>
      </c>
      <c r="B117" s="25" t="s">
        <v>439</v>
      </c>
      <c r="C117" s="25" t="str">
        <f t="shared" si="33"/>
        <v>Shipment 2 CO-SCR Duct</v>
      </c>
      <c r="D117" s="25" t="s">
        <v>441</v>
      </c>
      <c r="E117" s="25" t="s">
        <v>442</v>
      </c>
      <c r="F117" s="25"/>
      <c r="G117" s="65">
        <v>46204</v>
      </c>
      <c r="H117" s="25" t="s">
        <v>443</v>
      </c>
      <c r="I117" s="25" t="s">
        <v>444</v>
      </c>
      <c r="J117" s="26" t="s">
        <v>447</v>
      </c>
      <c r="K117" s="27" t="s">
        <v>124</v>
      </c>
      <c r="L117" s="28" t="s">
        <v>125</v>
      </c>
      <c r="M117" s="28" t="s">
        <v>71</v>
      </c>
      <c r="N117" s="25">
        <v>1</v>
      </c>
      <c r="O117" s="29">
        <v>5</v>
      </c>
      <c r="P117" s="29">
        <v>5</v>
      </c>
      <c r="Q117" s="25" t="s">
        <v>369</v>
      </c>
      <c r="R117" s="25"/>
      <c r="S117" s="26" t="s">
        <v>350</v>
      </c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34"/>
        <v>5</v>
      </c>
      <c r="AF117" s="32">
        <f t="shared" si="35"/>
        <v>0</v>
      </c>
      <c r="AG117" s="30"/>
      <c r="AH117" s="33"/>
      <c r="AI117" s="34">
        <f t="shared" si="36"/>
        <v>0</v>
      </c>
      <c r="AJ117" s="35">
        <v>46312</v>
      </c>
      <c r="AK117" s="30">
        <v>1</v>
      </c>
      <c r="AL117" s="36">
        <f t="shared" si="4"/>
        <v>5</v>
      </c>
      <c r="AM117" s="35">
        <v>46312</v>
      </c>
      <c r="AN117" s="30">
        <v>1</v>
      </c>
      <c r="AO117" s="36">
        <f t="shared" si="37"/>
        <v>5</v>
      </c>
      <c r="AP117" s="35"/>
      <c r="AQ117" s="30"/>
      <c r="AR117" s="36">
        <f t="shared" si="38"/>
        <v>0</v>
      </c>
      <c r="AS117" s="27" t="s">
        <v>967</v>
      </c>
      <c r="AT117" s="37">
        <v>46312</v>
      </c>
      <c r="AU117" s="30">
        <v>1</v>
      </c>
      <c r="AV117" s="36">
        <f t="shared" si="39"/>
        <v>5</v>
      </c>
      <c r="AW117" s="35"/>
      <c r="AX117" s="30"/>
      <c r="AY117" s="32">
        <f t="shared" si="40"/>
        <v>0</v>
      </c>
      <c r="AZ117" s="30" t="s">
        <v>440</v>
      </c>
      <c r="BA117" s="63"/>
      <c r="BB117" s="71"/>
      <c r="BC117" s="71" t="s">
        <v>125</v>
      </c>
      <c r="BD117" s="71"/>
    </row>
    <row r="118" spans="1:56" x14ac:dyDescent="0.25">
      <c r="A118" s="24">
        <f>IF(B118="","",SUBTOTAL(3,$B$4:B118))</f>
        <v>107</v>
      </c>
      <c r="B118" s="25" t="s">
        <v>439</v>
      </c>
      <c r="C118" s="25" t="str">
        <f t="shared" si="33"/>
        <v>Shipment 2 CO-SCR Duct</v>
      </c>
      <c r="D118" s="25" t="s">
        <v>441</v>
      </c>
      <c r="E118" s="25" t="s">
        <v>442</v>
      </c>
      <c r="F118" s="25"/>
      <c r="G118" s="65">
        <v>46204</v>
      </c>
      <c r="H118" s="25" t="s">
        <v>443</v>
      </c>
      <c r="I118" s="25" t="s">
        <v>444</v>
      </c>
      <c r="J118" s="26" t="s">
        <v>447</v>
      </c>
      <c r="K118" s="27" t="s">
        <v>126</v>
      </c>
      <c r="L118" s="28" t="s">
        <v>127</v>
      </c>
      <c r="M118" s="28" t="s">
        <v>71</v>
      </c>
      <c r="N118" s="25">
        <v>1</v>
      </c>
      <c r="O118" s="29">
        <v>5</v>
      </c>
      <c r="P118" s="29">
        <v>5</v>
      </c>
      <c r="Q118" s="25" t="s">
        <v>369</v>
      </c>
      <c r="R118" s="25"/>
      <c r="S118" s="26" t="s">
        <v>350</v>
      </c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34"/>
        <v>5</v>
      </c>
      <c r="AF118" s="32">
        <f t="shared" si="35"/>
        <v>0</v>
      </c>
      <c r="AG118" s="30"/>
      <c r="AH118" s="33"/>
      <c r="AI118" s="34">
        <f t="shared" si="36"/>
        <v>0</v>
      </c>
      <c r="AJ118" s="35">
        <v>46312</v>
      </c>
      <c r="AK118" s="30">
        <v>1</v>
      </c>
      <c r="AL118" s="36">
        <f t="shared" si="4"/>
        <v>5</v>
      </c>
      <c r="AM118" s="35">
        <v>46312</v>
      </c>
      <c r="AN118" s="30">
        <v>1</v>
      </c>
      <c r="AO118" s="36">
        <f t="shared" si="37"/>
        <v>5</v>
      </c>
      <c r="AP118" s="35"/>
      <c r="AQ118" s="30"/>
      <c r="AR118" s="36">
        <f t="shared" si="38"/>
        <v>0</v>
      </c>
      <c r="AS118" s="27" t="s">
        <v>967</v>
      </c>
      <c r="AT118" s="37">
        <v>46312</v>
      </c>
      <c r="AU118" s="30">
        <v>1</v>
      </c>
      <c r="AV118" s="36">
        <f t="shared" si="39"/>
        <v>5</v>
      </c>
      <c r="AW118" s="35"/>
      <c r="AX118" s="30"/>
      <c r="AY118" s="32">
        <f t="shared" si="40"/>
        <v>0</v>
      </c>
      <c r="AZ118" s="30" t="s">
        <v>440</v>
      </c>
      <c r="BA118" s="63"/>
      <c r="BB118" s="71"/>
      <c r="BC118" s="71" t="s">
        <v>127</v>
      </c>
      <c r="BD118" s="71"/>
    </row>
    <row r="119" spans="1:56" hidden="1" x14ac:dyDescent="0.25">
      <c r="A119" s="24">
        <f>IF(B119="","",SUBTOTAL(3,$B$4:B119))</f>
        <v>107</v>
      </c>
      <c r="B119" s="25" t="s">
        <v>439</v>
      </c>
      <c r="C119" s="25" t="str">
        <f t="shared" si="33"/>
        <v>Shipment 2 CO-SCR Duct</v>
      </c>
      <c r="D119" s="25" t="s">
        <v>441</v>
      </c>
      <c r="E119" s="25" t="s">
        <v>442</v>
      </c>
      <c r="F119" s="25"/>
      <c r="G119" s="65">
        <v>46204</v>
      </c>
      <c r="H119" s="25" t="s">
        <v>443</v>
      </c>
      <c r="I119" s="25" t="s">
        <v>444</v>
      </c>
      <c r="J119" s="26" t="s">
        <v>447</v>
      </c>
      <c r="K119" s="27" t="s">
        <v>128</v>
      </c>
      <c r="L119" s="28" t="s">
        <v>129</v>
      </c>
      <c r="M119" s="28" t="s">
        <v>71</v>
      </c>
      <c r="N119" s="25">
        <v>1</v>
      </c>
      <c r="O119" s="29">
        <v>6.8</v>
      </c>
      <c r="P119" s="29">
        <v>6.8</v>
      </c>
      <c r="Q119" s="25" t="s">
        <v>370</v>
      </c>
      <c r="R119" s="25"/>
      <c r="S119" s="26" t="s">
        <v>350</v>
      </c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34"/>
        <v>0</v>
      </c>
      <c r="AF119" s="32">
        <f t="shared" si="35"/>
        <v>6.8</v>
      </c>
      <c r="AG119" s="30"/>
      <c r="AH119" s="33"/>
      <c r="AI119" s="34">
        <f t="shared" si="36"/>
        <v>0</v>
      </c>
      <c r="AJ119" s="35"/>
      <c r="AK119" s="30"/>
      <c r="AL119" s="36">
        <f t="shared" ref="AL119:AL162" si="41">IFERROR(AK119*$P119/$N119,0)</f>
        <v>0</v>
      </c>
      <c r="AM119" s="35"/>
      <c r="AN119" s="30"/>
      <c r="AO119" s="36">
        <f t="shared" si="37"/>
        <v>0</v>
      </c>
      <c r="AP119" s="35"/>
      <c r="AQ119" s="30"/>
      <c r="AR119" s="36">
        <f t="shared" si="38"/>
        <v>0</v>
      </c>
      <c r="AS119" s="27"/>
      <c r="AT119" s="37"/>
      <c r="AU119" s="30"/>
      <c r="AV119" s="36">
        <f t="shared" si="39"/>
        <v>0</v>
      </c>
      <c r="AW119" s="35"/>
      <c r="AX119" s="30"/>
      <c r="AY119" s="32">
        <f t="shared" si="40"/>
        <v>0</v>
      </c>
      <c r="AZ119" s="30" t="s">
        <v>440</v>
      </c>
      <c r="BA119" s="63"/>
      <c r="BB119" s="71" t="e">
        <f>SUMIFS([1]VD001!$G$9:$G$78,[1]VD001!$E$9:$E$78,BC119)</f>
        <v>#VALUE!</v>
      </c>
      <c r="BC119" s="71" t="s">
        <v>129</v>
      </c>
      <c r="BD119" s="71"/>
    </row>
    <row r="120" spans="1:56" hidden="1" x14ac:dyDescent="0.25">
      <c r="A120" s="24">
        <f>IF(B120="","",SUBTOTAL(3,$B$4:B120))</f>
        <v>107</v>
      </c>
      <c r="B120" s="25" t="s">
        <v>439</v>
      </c>
      <c r="C120" s="25" t="str">
        <f t="shared" si="33"/>
        <v>Shipment 2 CO-SCR Duct</v>
      </c>
      <c r="D120" s="25" t="s">
        <v>441</v>
      </c>
      <c r="E120" s="25" t="s">
        <v>442</v>
      </c>
      <c r="F120" s="25"/>
      <c r="G120" s="65">
        <v>46204</v>
      </c>
      <c r="H120" s="25" t="s">
        <v>443</v>
      </c>
      <c r="I120" s="25" t="s">
        <v>444</v>
      </c>
      <c r="J120" s="26" t="s">
        <v>447</v>
      </c>
      <c r="K120" s="27" t="s">
        <v>130</v>
      </c>
      <c r="L120" s="28" t="s">
        <v>131</v>
      </c>
      <c r="M120" s="28" t="s">
        <v>71</v>
      </c>
      <c r="N120" s="25">
        <v>1</v>
      </c>
      <c r="O120" s="29">
        <v>6.8</v>
      </c>
      <c r="P120" s="29">
        <v>6.8</v>
      </c>
      <c r="Q120" s="25" t="s">
        <v>370</v>
      </c>
      <c r="R120" s="25"/>
      <c r="S120" s="26" t="s">
        <v>350</v>
      </c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34"/>
        <v>0</v>
      </c>
      <c r="AF120" s="32">
        <f t="shared" si="35"/>
        <v>6.8</v>
      </c>
      <c r="AG120" s="30"/>
      <c r="AH120" s="33"/>
      <c r="AI120" s="34">
        <f t="shared" si="36"/>
        <v>0</v>
      </c>
      <c r="AJ120" s="35"/>
      <c r="AK120" s="30"/>
      <c r="AL120" s="36">
        <f t="shared" si="41"/>
        <v>0</v>
      </c>
      <c r="AM120" s="35"/>
      <c r="AN120" s="30"/>
      <c r="AO120" s="36">
        <f t="shared" si="37"/>
        <v>0</v>
      </c>
      <c r="AP120" s="35"/>
      <c r="AQ120" s="30"/>
      <c r="AR120" s="36">
        <f t="shared" si="38"/>
        <v>0</v>
      </c>
      <c r="AS120" s="27"/>
      <c r="AT120" s="37"/>
      <c r="AU120" s="30"/>
      <c r="AV120" s="36">
        <f t="shared" si="39"/>
        <v>0</v>
      </c>
      <c r="AW120" s="35"/>
      <c r="AX120" s="30"/>
      <c r="AY120" s="32">
        <f t="shared" si="40"/>
        <v>0</v>
      </c>
      <c r="AZ120" s="30" t="s">
        <v>440</v>
      </c>
      <c r="BA120" s="63"/>
      <c r="BB120" s="71" t="e">
        <f>SUMIFS([1]VD001!$G$9:$G$78,[1]VD001!$E$9:$E$78,BC120)</f>
        <v>#VALUE!</v>
      </c>
      <c r="BC120" s="71" t="s">
        <v>131</v>
      </c>
      <c r="BD120" s="71"/>
    </row>
    <row r="121" spans="1:56" x14ac:dyDescent="0.25">
      <c r="A121" s="24">
        <f>IF(B121="","",SUBTOTAL(3,$B$4:B121))</f>
        <v>108</v>
      </c>
      <c r="B121" s="25" t="s">
        <v>439</v>
      </c>
      <c r="C121" s="25" t="str">
        <f t="shared" si="33"/>
        <v>Shipment 2 CO-SCR Duct</v>
      </c>
      <c r="D121" s="25" t="s">
        <v>441</v>
      </c>
      <c r="E121" s="25" t="s">
        <v>442</v>
      </c>
      <c r="F121" s="25"/>
      <c r="G121" s="65">
        <v>46204</v>
      </c>
      <c r="H121" s="25" t="s">
        <v>443</v>
      </c>
      <c r="I121" s="25" t="s">
        <v>444</v>
      </c>
      <c r="J121" s="26" t="s">
        <v>447</v>
      </c>
      <c r="K121" s="27" t="s">
        <v>132</v>
      </c>
      <c r="L121" s="28" t="s">
        <v>133</v>
      </c>
      <c r="M121" s="28" t="s">
        <v>71</v>
      </c>
      <c r="N121" s="25">
        <v>1</v>
      </c>
      <c r="O121" s="29">
        <v>5.0999999999999996</v>
      </c>
      <c r="P121" s="29">
        <v>5.0999999999999996</v>
      </c>
      <c r="Q121" s="25" t="s">
        <v>371</v>
      </c>
      <c r="R121" s="25"/>
      <c r="S121" s="26" t="s">
        <v>350</v>
      </c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34"/>
        <v>5.0999999999999996</v>
      </c>
      <c r="AF121" s="32">
        <f t="shared" si="35"/>
        <v>0</v>
      </c>
      <c r="AG121" s="30"/>
      <c r="AH121" s="33"/>
      <c r="AI121" s="34">
        <f t="shared" si="36"/>
        <v>0</v>
      </c>
      <c r="AJ121" s="35">
        <v>46312</v>
      </c>
      <c r="AK121" s="30">
        <v>1</v>
      </c>
      <c r="AL121" s="36">
        <f t="shared" si="41"/>
        <v>5.0999999999999996</v>
      </c>
      <c r="AM121" s="35">
        <v>46312</v>
      </c>
      <c r="AN121" s="30">
        <v>1</v>
      </c>
      <c r="AO121" s="36">
        <f t="shared" si="37"/>
        <v>5.0999999999999996</v>
      </c>
      <c r="AP121" s="35"/>
      <c r="AQ121" s="30"/>
      <c r="AR121" s="36">
        <f t="shared" si="38"/>
        <v>0</v>
      </c>
      <c r="AS121" s="27" t="s">
        <v>967</v>
      </c>
      <c r="AT121" s="37">
        <v>46312</v>
      </c>
      <c r="AU121" s="30">
        <v>1</v>
      </c>
      <c r="AV121" s="36">
        <f t="shared" si="39"/>
        <v>5.0999999999999996</v>
      </c>
      <c r="AW121" s="35"/>
      <c r="AX121" s="30"/>
      <c r="AY121" s="32">
        <f t="shared" si="40"/>
        <v>0</v>
      </c>
      <c r="AZ121" s="30" t="s">
        <v>440</v>
      </c>
      <c r="BA121" s="63"/>
      <c r="BB121" s="71"/>
      <c r="BC121" s="71" t="s">
        <v>133</v>
      </c>
      <c r="BD121" s="71"/>
    </row>
    <row r="122" spans="1:56" x14ac:dyDescent="0.25">
      <c r="A122" s="24">
        <f>IF(B122="","",SUBTOTAL(3,$B$4:B122))</f>
        <v>109</v>
      </c>
      <c r="B122" s="25" t="s">
        <v>439</v>
      </c>
      <c r="C122" s="25" t="str">
        <f t="shared" si="33"/>
        <v>Shipment 2 CO-SCR Duct</v>
      </c>
      <c r="D122" s="25" t="s">
        <v>441</v>
      </c>
      <c r="E122" s="25" t="s">
        <v>442</v>
      </c>
      <c r="F122" s="25"/>
      <c r="G122" s="65">
        <v>46204</v>
      </c>
      <c r="H122" s="25" t="s">
        <v>443</v>
      </c>
      <c r="I122" s="25" t="s">
        <v>444</v>
      </c>
      <c r="J122" s="26" t="s">
        <v>447</v>
      </c>
      <c r="K122" s="27" t="s">
        <v>134</v>
      </c>
      <c r="L122" s="28" t="s">
        <v>135</v>
      </c>
      <c r="M122" s="28" t="s">
        <v>71</v>
      </c>
      <c r="N122" s="25">
        <v>1</v>
      </c>
      <c r="O122" s="29">
        <v>5.0999999999999996</v>
      </c>
      <c r="P122" s="29">
        <v>5.0999999999999996</v>
      </c>
      <c r="Q122" s="25" t="s">
        <v>371</v>
      </c>
      <c r="R122" s="25"/>
      <c r="S122" s="26" t="s">
        <v>350</v>
      </c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34"/>
        <v>5.0999999999999996</v>
      </c>
      <c r="AF122" s="32">
        <f t="shared" si="35"/>
        <v>0</v>
      </c>
      <c r="AG122" s="30"/>
      <c r="AH122" s="33"/>
      <c r="AI122" s="34">
        <f t="shared" si="36"/>
        <v>0</v>
      </c>
      <c r="AJ122" s="35">
        <v>46312</v>
      </c>
      <c r="AK122" s="30">
        <v>1</v>
      </c>
      <c r="AL122" s="36">
        <f t="shared" si="41"/>
        <v>5.0999999999999996</v>
      </c>
      <c r="AM122" s="35">
        <v>46312</v>
      </c>
      <c r="AN122" s="30">
        <v>1</v>
      </c>
      <c r="AO122" s="36">
        <f t="shared" si="37"/>
        <v>5.0999999999999996</v>
      </c>
      <c r="AP122" s="35"/>
      <c r="AQ122" s="30"/>
      <c r="AR122" s="36">
        <f t="shared" si="38"/>
        <v>0</v>
      </c>
      <c r="AS122" s="27" t="s">
        <v>967</v>
      </c>
      <c r="AT122" s="37">
        <v>46312</v>
      </c>
      <c r="AU122" s="30">
        <v>1</v>
      </c>
      <c r="AV122" s="36">
        <f t="shared" si="39"/>
        <v>5.0999999999999996</v>
      </c>
      <c r="AW122" s="35"/>
      <c r="AX122" s="30"/>
      <c r="AY122" s="32">
        <f t="shared" si="40"/>
        <v>0</v>
      </c>
      <c r="AZ122" s="30" t="s">
        <v>440</v>
      </c>
      <c r="BA122" s="63"/>
      <c r="BB122" s="71"/>
      <c r="BC122" s="71" t="s">
        <v>135</v>
      </c>
      <c r="BD122" s="71"/>
    </row>
    <row r="123" spans="1:56" x14ac:dyDescent="0.25">
      <c r="A123" s="24">
        <f>IF(B123="","",SUBTOTAL(3,$B$4:B123))</f>
        <v>110</v>
      </c>
      <c r="B123" s="25" t="s">
        <v>439</v>
      </c>
      <c r="C123" s="25" t="str">
        <f t="shared" si="33"/>
        <v>Shipment 2 CO-SCR Duct</v>
      </c>
      <c r="D123" s="25" t="s">
        <v>441</v>
      </c>
      <c r="E123" s="25" t="s">
        <v>442</v>
      </c>
      <c r="F123" s="25"/>
      <c r="G123" s="65">
        <v>46204</v>
      </c>
      <c r="H123" s="25" t="s">
        <v>443</v>
      </c>
      <c r="I123" s="25" t="s">
        <v>444</v>
      </c>
      <c r="J123" s="26" t="s">
        <v>447</v>
      </c>
      <c r="K123" s="27" t="s">
        <v>136</v>
      </c>
      <c r="L123" s="28" t="s">
        <v>137</v>
      </c>
      <c r="M123" s="28" t="s">
        <v>71</v>
      </c>
      <c r="N123" s="25">
        <v>1</v>
      </c>
      <c r="O123" s="29">
        <v>7.3</v>
      </c>
      <c r="P123" s="29">
        <v>7.3</v>
      </c>
      <c r="Q123" s="25" t="s">
        <v>372</v>
      </c>
      <c r="R123" s="25"/>
      <c r="S123" s="26" t="s">
        <v>350</v>
      </c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34"/>
        <v>7.3000000000000007</v>
      </c>
      <c r="AF123" s="32">
        <f t="shared" si="35"/>
        <v>0</v>
      </c>
      <c r="AG123" s="30"/>
      <c r="AH123" s="33"/>
      <c r="AI123" s="34">
        <f t="shared" si="36"/>
        <v>0</v>
      </c>
      <c r="AJ123" s="35">
        <v>46312</v>
      </c>
      <c r="AK123" s="30">
        <v>1</v>
      </c>
      <c r="AL123" s="36">
        <f t="shared" si="41"/>
        <v>7.3</v>
      </c>
      <c r="AM123" s="35">
        <v>46312</v>
      </c>
      <c r="AN123" s="30">
        <v>1</v>
      </c>
      <c r="AO123" s="36">
        <f t="shared" si="37"/>
        <v>7.3</v>
      </c>
      <c r="AP123" s="35"/>
      <c r="AQ123" s="30"/>
      <c r="AR123" s="36">
        <f t="shared" si="38"/>
        <v>0</v>
      </c>
      <c r="AS123" s="27" t="s">
        <v>967</v>
      </c>
      <c r="AT123" s="37">
        <v>46312</v>
      </c>
      <c r="AU123" s="30">
        <v>1</v>
      </c>
      <c r="AV123" s="36">
        <f t="shared" si="39"/>
        <v>7.3</v>
      </c>
      <c r="AW123" s="35"/>
      <c r="AX123" s="30"/>
      <c r="AY123" s="32">
        <f t="shared" si="40"/>
        <v>0</v>
      </c>
      <c r="AZ123" s="30" t="s">
        <v>440</v>
      </c>
      <c r="BA123" s="63"/>
      <c r="BB123" s="71"/>
      <c r="BC123" s="71" t="s">
        <v>137</v>
      </c>
      <c r="BD123" s="71"/>
    </row>
    <row r="124" spans="1:56" x14ac:dyDescent="0.25">
      <c r="A124" s="24">
        <f>IF(B124="","",SUBTOTAL(3,$B$4:B124))</f>
        <v>111</v>
      </c>
      <c r="B124" s="25" t="s">
        <v>439</v>
      </c>
      <c r="C124" s="25" t="str">
        <f t="shared" si="33"/>
        <v>Shipment 2 CO-SCR Duct</v>
      </c>
      <c r="D124" s="25" t="s">
        <v>441</v>
      </c>
      <c r="E124" s="25" t="s">
        <v>442</v>
      </c>
      <c r="F124" s="25"/>
      <c r="G124" s="65">
        <v>46204</v>
      </c>
      <c r="H124" s="25" t="s">
        <v>443</v>
      </c>
      <c r="I124" s="25" t="s">
        <v>444</v>
      </c>
      <c r="J124" s="26" t="s">
        <v>447</v>
      </c>
      <c r="K124" s="27" t="s">
        <v>138</v>
      </c>
      <c r="L124" s="28" t="s">
        <v>139</v>
      </c>
      <c r="M124" s="28" t="s">
        <v>71</v>
      </c>
      <c r="N124" s="25">
        <v>1</v>
      </c>
      <c r="O124" s="29">
        <v>7.3</v>
      </c>
      <c r="P124" s="29">
        <v>7.3</v>
      </c>
      <c r="Q124" s="25" t="s">
        <v>372</v>
      </c>
      <c r="R124" s="25"/>
      <c r="S124" s="26" t="s">
        <v>350</v>
      </c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34"/>
        <v>7.3000000000000007</v>
      </c>
      <c r="AF124" s="32">
        <f t="shared" si="35"/>
        <v>0</v>
      </c>
      <c r="AG124" s="30"/>
      <c r="AH124" s="33"/>
      <c r="AI124" s="34">
        <f t="shared" si="36"/>
        <v>0</v>
      </c>
      <c r="AJ124" s="35">
        <v>46312</v>
      </c>
      <c r="AK124" s="30">
        <v>1</v>
      </c>
      <c r="AL124" s="36">
        <f t="shared" si="41"/>
        <v>7.3</v>
      </c>
      <c r="AM124" s="35">
        <v>46312</v>
      </c>
      <c r="AN124" s="30">
        <v>1</v>
      </c>
      <c r="AO124" s="36">
        <f t="shared" si="37"/>
        <v>7.3</v>
      </c>
      <c r="AP124" s="35"/>
      <c r="AQ124" s="30"/>
      <c r="AR124" s="36">
        <f t="shared" si="38"/>
        <v>0</v>
      </c>
      <c r="AS124" s="27" t="s">
        <v>967</v>
      </c>
      <c r="AT124" s="37">
        <v>46312</v>
      </c>
      <c r="AU124" s="30">
        <v>1</v>
      </c>
      <c r="AV124" s="36">
        <f t="shared" si="39"/>
        <v>7.3</v>
      </c>
      <c r="AW124" s="35"/>
      <c r="AX124" s="30"/>
      <c r="AY124" s="32">
        <f t="shared" si="40"/>
        <v>0</v>
      </c>
      <c r="AZ124" s="30" t="s">
        <v>440</v>
      </c>
      <c r="BA124" s="63"/>
      <c r="BB124" s="71"/>
      <c r="BC124" s="71" t="s">
        <v>139</v>
      </c>
      <c r="BD124" s="71"/>
    </row>
    <row r="125" spans="1:56" x14ac:dyDescent="0.25">
      <c r="A125" s="24">
        <f>IF(B125="","",SUBTOTAL(3,$B$4:B125))</f>
        <v>112</v>
      </c>
      <c r="B125" s="25" t="s">
        <v>439</v>
      </c>
      <c r="C125" s="25" t="str">
        <f t="shared" si="33"/>
        <v>Shipment 2 CO-SCR Duct</v>
      </c>
      <c r="D125" s="25" t="s">
        <v>441</v>
      </c>
      <c r="E125" s="25" t="s">
        <v>442</v>
      </c>
      <c r="F125" s="25"/>
      <c r="G125" s="65">
        <v>46204</v>
      </c>
      <c r="H125" s="25" t="s">
        <v>443</v>
      </c>
      <c r="I125" s="25" t="s">
        <v>444</v>
      </c>
      <c r="J125" s="26" t="s">
        <v>447</v>
      </c>
      <c r="K125" s="27" t="s">
        <v>140</v>
      </c>
      <c r="L125" s="28" t="s">
        <v>141</v>
      </c>
      <c r="M125" s="28" t="s">
        <v>71</v>
      </c>
      <c r="N125" s="25">
        <v>1</v>
      </c>
      <c r="O125" s="29">
        <v>6.4</v>
      </c>
      <c r="P125" s="29">
        <v>6.4</v>
      </c>
      <c r="Q125" s="25" t="s">
        <v>373</v>
      </c>
      <c r="R125" s="25"/>
      <c r="S125" s="26" t="s">
        <v>350</v>
      </c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34"/>
        <v>6.4</v>
      </c>
      <c r="AF125" s="32">
        <f t="shared" si="35"/>
        <v>0</v>
      </c>
      <c r="AG125" s="30"/>
      <c r="AH125" s="33"/>
      <c r="AI125" s="34">
        <f t="shared" si="36"/>
        <v>0</v>
      </c>
      <c r="AJ125" s="35">
        <v>46312</v>
      </c>
      <c r="AK125" s="30">
        <v>1</v>
      </c>
      <c r="AL125" s="36">
        <f t="shared" si="41"/>
        <v>6.4</v>
      </c>
      <c r="AM125" s="35">
        <v>46312</v>
      </c>
      <c r="AN125" s="30">
        <v>1</v>
      </c>
      <c r="AO125" s="36">
        <f t="shared" si="37"/>
        <v>6.4</v>
      </c>
      <c r="AP125" s="35"/>
      <c r="AQ125" s="30"/>
      <c r="AR125" s="36">
        <f t="shared" si="38"/>
        <v>0</v>
      </c>
      <c r="AS125" s="27" t="s">
        <v>967</v>
      </c>
      <c r="AT125" s="37">
        <v>46312</v>
      </c>
      <c r="AU125" s="30">
        <v>1</v>
      </c>
      <c r="AV125" s="36">
        <f t="shared" si="39"/>
        <v>6.4</v>
      </c>
      <c r="AW125" s="35"/>
      <c r="AX125" s="30"/>
      <c r="AY125" s="32">
        <f t="shared" si="40"/>
        <v>0</v>
      </c>
      <c r="AZ125" s="30" t="s">
        <v>440</v>
      </c>
      <c r="BA125" s="63"/>
      <c r="BB125" s="71"/>
      <c r="BC125" s="71" t="s">
        <v>141</v>
      </c>
      <c r="BD125" s="71"/>
    </row>
    <row r="126" spans="1:56" x14ac:dyDescent="0.25">
      <c r="A126" s="24">
        <f>IF(B126="","",SUBTOTAL(3,$B$4:B126))</f>
        <v>113</v>
      </c>
      <c r="B126" s="25" t="s">
        <v>439</v>
      </c>
      <c r="C126" s="25" t="str">
        <f t="shared" si="33"/>
        <v>Shipment 2 CO-SCR Duct</v>
      </c>
      <c r="D126" s="25" t="s">
        <v>441</v>
      </c>
      <c r="E126" s="25" t="s">
        <v>442</v>
      </c>
      <c r="F126" s="25"/>
      <c r="G126" s="65">
        <v>46204</v>
      </c>
      <c r="H126" s="25" t="s">
        <v>443</v>
      </c>
      <c r="I126" s="25" t="s">
        <v>444</v>
      </c>
      <c r="J126" s="26" t="s">
        <v>447</v>
      </c>
      <c r="K126" s="27" t="s">
        <v>142</v>
      </c>
      <c r="L126" s="28" t="s">
        <v>143</v>
      </c>
      <c r="M126" s="28" t="s">
        <v>71</v>
      </c>
      <c r="N126" s="25">
        <v>1</v>
      </c>
      <c r="O126" s="29">
        <v>6.4</v>
      </c>
      <c r="P126" s="29">
        <v>6.4</v>
      </c>
      <c r="Q126" s="25" t="s">
        <v>373</v>
      </c>
      <c r="R126" s="25"/>
      <c r="S126" s="26" t="s">
        <v>350</v>
      </c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34"/>
        <v>6.4</v>
      </c>
      <c r="AF126" s="32">
        <f t="shared" si="35"/>
        <v>0</v>
      </c>
      <c r="AG126" s="30"/>
      <c r="AH126" s="33"/>
      <c r="AI126" s="34">
        <f t="shared" si="36"/>
        <v>0</v>
      </c>
      <c r="AJ126" s="35">
        <v>46312</v>
      </c>
      <c r="AK126" s="30">
        <v>1</v>
      </c>
      <c r="AL126" s="36">
        <f t="shared" si="41"/>
        <v>6.4</v>
      </c>
      <c r="AM126" s="35">
        <v>46312</v>
      </c>
      <c r="AN126" s="30">
        <v>1</v>
      </c>
      <c r="AO126" s="36">
        <f t="shared" si="37"/>
        <v>6.4</v>
      </c>
      <c r="AP126" s="35"/>
      <c r="AQ126" s="30"/>
      <c r="AR126" s="36">
        <f t="shared" si="38"/>
        <v>0</v>
      </c>
      <c r="AS126" s="27" t="s">
        <v>967</v>
      </c>
      <c r="AT126" s="37">
        <v>46312</v>
      </c>
      <c r="AU126" s="30">
        <v>1</v>
      </c>
      <c r="AV126" s="36">
        <f t="shared" si="39"/>
        <v>6.4</v>
      </c>
      <c r="AW126" s="35"/>
      <c r="AX126" s="30"/>
      <c r="AY126" s="32">
        <f t="shared" si="40"/>
        <v>0</v>
      </c>
      <c r="AZ126" s="30" t="s">
        <v>440</v>
      </c>
      <c r="BA126" s="63"/>
      <c r="BB126" s="71"/>
      <c r="BC126" s="71" t="s">
        <v>143</v>
      </c>
      <c r="BD126" s="71"/>
    </row>
    <row r="127" spans="1:56" x14ac:dyDescent="0.25">
      <c r="A127" s="24">
        <f>IF(B127="","",SUBTOTAL(3,$B$4:B127))</f>
        <v>114</v>
      </c>
      <c r="B127" s="25" t="s">
        <v>439</v>
      </c>
      <c r="C127" s="25" t="str">
        <f t="shared" si="33"/>
        <v>Shipment 2 CO-SCR Duct</v>
      </c>
      <c r="D127" s="25" t="s">
        <v>441</v>
      </c>
      <c r="E127" s="25" t="s">
        <v>442</v>
      </c>
      <c r="F127" s="25"/>
      <c r="G127" s="65">
        <v>46204</v>
      </c>
      <c r="H127" s="25" t="s">
        <v>443</v>
      </c>
      <c r="I127" s="25" t="s">
        <v>444</v>
      </c>
      <c r="J127" s="26" t="s">
        <v>447</v>
      </c>
      <c r="K127" s="27" t="s">
        <v>144</v>
      </c>
      <c r="L127" s="28" t="s">
        <v>145</v>
      </c>
      <c r="M127" s="28" t="s">
        <v>71</v>
      </c>
      <c r="N127" s="25">
        <v>1</v>
      </c>
      <c r="O127" s="29">
        <v>5</v>
      </c>
      <c r="P127" s="29">
        <v>5</v>
      </c>
      <c r="Q127" s="25" t="s">
        <v>374</v>
      </c>
      <c r="R127" s="25"/>
      <c r="S127" s="26" t="s">
        <v>350</v>
      </c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34"/>
        <v>5</v>
      </c>
      <c r="AF127" s="32">
        <f t="shared" si="35"/>
        <v>0</v>
      </c>
      <c r="AG127" s="30"/>
      <c r="AH127" s="33"/>
      <c r="AI127" s="34">
        <f t="shared" si="36"/>
        <v>0</v>
      </c>
      <c r="AJ127" s="35">
        <v>46312</v>
      </c>
      <c r="AK127" s="30">
        <v>1</v>
      </c>
      <c r="AL127" s="36">
        <f t="shared" si="41"/>
        <v>5</v>
      </c>
      <c r="AM127" s="35">
        <v>46312</v>
      </c>
      <c r="AN127" s="30">
        <v>1</v>
      </c>
      <c r="AO127" s="36">
        <f t="shared" si="37"/>
        <v>5</v>
      </c>
      <c r="AP127" s="35"/>
      <c r="AQ127" s="30"/>
      <c r="AR127" s="36">
        <f t="shared" si="38"/>
        <v>0</v>
      </c>
      <c r="AS127" s="27" t="s">
        <v>967</v>
      </c>
      <c r="AT127" s="37">
        <v>46312</v>
      </c>
      <c r="AU127" s="30">
        <v>1</v>
      </c>
      <c r="AV127" s="36">
        <f t="shared" si="39"/>
        <v>5</v>
      </c>
      <c r="AW127" s="35"/>
      <c r="AX127" s="30"/>
      <c r="AY127" s="32">
        <f t="shared" si="40"/>
        <v>0</v>
      </c>
      <c r="AZ127" s="30" t="s">
        <v>440</v>
      </c>
      <c r="BA127" s="63"/>
      <c r="BB127" s="71"/>
      <c r="BC127" s="71" t="s">
        <v>145</v>
      </c>
      <c r="BD127" s="71"/>
    </row>
    <row r="128" spans="1:56" x14ac:dyDescent="0.25">
      <c r="A128" s="24">
        <f>IF(B128="","",SUBTOTAL(3,$B$4:B128))</f>
        <v>115</v>
      </c>
      <c r="B128" s="25" t="s">
        <v>439</v>
      </c>
      <c r="C128" s="25" t="str">
        <f t="shared" si="33"/>
        <v>Shipment 2 CO-SCR Duct</v>
      </c>
      <c r="D128" s="25" t="s">
        <v>441</v>
      </c>
      <c r="E128" s="25" t="s">
        <v>442</v>
      </c>
      <c r="F128" s="25"/>
      <c r="G128" s="65">
        <v>46204</v>
      </c>
      <c r="H128" s="25" t="s">
        <v>443</v>
      </c>
      <c r="I128" s="25" t="s">
        <v>444</v>
      </c>
      <c r="J128" s="26" t="s">
        <v>447</v>
      </c>
      <c r="K128" s="27" t="s">
        <v>146</v>
      </c>
      <c r="L128" s="28" t="s">
        <v>147</v>
      </c>
      <c r="M128" s="28" t="s">
        <v>71</v>
      </c>
      <c r="N128" s="25">
        <v>1</v>
      </c>
      <c r="O128" s="29">
        <v>5</v>
      </c>
      <c r="P128" s="29">
        <v>5</v>
      </c>
      <c r="Q128" s="25" t="s">
        <v>374</v>
      </c>
      <c r="R128" s="25"/>
      <c r="S128" s="26" t="s">
        <v>350</v>
      </c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34"/>
        <v>5</v>
      </c>
      <c r="AF128" s="32">
        <f t="shared" si="35"/>
        <v>0</v>
      </c>
      <c r="AG128" s="30"/>
      <c r="AH128" s="33"/>
      <c r="AI128" s="34">
        <f t="shared" si="36"/>
        <v>0</v>
      </c>
      <c r="AJ128" s="35">
        <v>46312</v>
      </c>
      <c r="AK128" s="30">
        <v>1</v>
      </c>
      <c r="AL128" s="36">
        <f t="shared" si="41"/>
        <v>5</v>
      </c>
      <c r="AM128" s="35">
        <v>46312</v>
      </c>
      <c r="AN128" s="30">
        <v>1</v>
      </c>
      <c r="AO128" s="36">
        <f t="shared" si="37"/>
        <v>5</v>
      </c>
      <c r="AP128" s="35"/>
      <c r="AQ128" s="30"/>
      <c r="AR128" s="36">
        <f t="shared" si="38"/>
        <v>0</v>
      </c>
      <c r="AS128" s="27" t="s">
        <v>967</v>
      </c>
      <c r="AT128" s="37">
        <v>46312</v>
      </c>
      <c r="AU128" s="30">
        <v>1</v>
      </c>
      <c r="AV128" s="36">
        <f t="shared" si="39"/>
        <v>5</v>
      </c>
      <c r="AW128" s="35"/>
      <c r="AX128" s="30"/>
      <c r="AY128" s="32">
        <f t="shared" si="40"/>
        <v>0</v>
      </c>
      <c r="AZ128" s="30" t="s">
        <v>440</v>
      </c>
      <c r="BA128" s="63"/>
      <c r="BB128" s="71"/>
      <c r="BC128" s="71" t="s">
        <v>147</v>
      </c>
      <c r="BD128" s="71"/>
    </row>
    <row r="129" spans="1:56" x14ac:dyDescent="0.25">
      <c r="A129" s="24">
        <f>IF(B129="","",SUBTOTAL(3,$B$4:B129))</f>
        <v>116</v>
      </c>
      <c r="B129" s="25" t="s">
        <v>439</v>
      </c>
      <c r="C129" s="25" t="str">
        <f t="shared" si="33"/>
        <v>Shipment 2 CO-SCR Duct</v>
      </c>
      <c r="D129" s="25" t="s">
        <v>441</v>
      </c>
      <c r="E129" s="25" t="s">
        <v>442</v>
      </c>
      <c r="F129" s="25"/>
      <c r="G129" s="65">
        <v>46204</v>
      </c>
      <c r="H129" s="25" t="s">
        <v>443</v>
      </c>
      <c r="I129" s="25" t="s">
        <v>444</v>
      </c>
      <c r="J129" s="26" t="s">
        <v>447</v>
      </c>
      <c r="K129" s="27" t="s">
        <v>148</v>
      </c>
      <c r="L129" s="28" t="s">
        <v>149</v>
      </c>
      <c r="M129" s="28" t="s">
        <v>71</v>
      </c>
      <c r="N129" s="25">
        <v>1</v>
      </c>
      <c r="O129" s="29">
        <v>5.8</v>
      </c>
      <c r="P129" s="29">
        <v>5.8</v>
      </c>
      <c r="Q129" s="25" t="s">
        <v>375</v>
      </c>
      <c r="R129" s="25"/>
      <c r="S129" s="26" t="s">
        <v>350</v>
      </c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34"/>
        <v>5.8</v>
      </c>
      <c r="AF129" s="32">
        <f t="shared" si="35"/>
        <v>0</v>
      </c>
      <c r="AG129" s="30"/>
      <c r="AH129" s="33"/>
      <c r="AI129" s="34">
        <f t="shared" si="36"/>
        <v>0</v>
      </c>
      <c r="AJ129" s="35">
        <v>46312</v>
      </c>
      <c r="AK129" s="30">
        <v>1</v>
      </c>
      <c r="AL129" s="36">
        <f t="shared" si="41"/>
        <v>5.8</v>
      </c>
      <c r="AM129" s="35">
        <v>46312</v>
      </c>
      <c r="AN129" s="30">
        <v>1</v>
      </c>
      <c r="AO129" s="36">
        <f t="shared" si="37"/>
        <v>5.8</v>
      </c>
      <c r="AP129" s="35"/>
      <c r="AQ129" s="30"/>
      <c r="AR129" s="36">
        <f t="shared" si="38"/>
        <v>0</v>
      </c>
      <c r="AS129" s="27" t="s">
        <v>967</v>
      </c>
      <c r="AT129" s="37">
        <v>46312</v>
      </c>
      <c r="AU129" s="30">
        <v>1</v>
      </c>
      <c r="AV129" s="36">
        <f t="shared" si="39"/>
        <v>5.8</v>
      </c>
      <c r="AW129" s="35"/>
      <c r="AX129" s="30"/>
      <c r="AY129" s="32">
        <f t="shared" si="40"/>
        <v>0</v>
      </c>
      <c r="AZ129" s="30" t="s">
        <v>440</v>
      </c>
      <c r="BA129" s="63"/>
      <c r="BB129" s="71"/>
      <c r="BC129" s="71" t="s">
        <v>149</v>
      </c>
      <c r="BD129" s="71"/>
    </row>
    <row r="130" spans="1:56" x14ac:dyDescent="0.25">
      <c r="A130" s="24">
        <f>IF(B130="","",SUBTOTAL(3,$B$4:B130))</f>
        <v>117</v>
      </c>
      <c r="B130" s="25" t="s">
        <v>439</v>
      </c>
      <c r="C130" s="25" t="str">
        <f t="shared" si="33"/>
        <v>Shipment 2 CO-SCR Duct</v>
      </c>
      <c r="D130" s="25" t="s">
        <v>441</v>
      </c>
      <c r="E130" s="25" t="s">
        <v>442</v>
      </c>
      <c r="F130" s="25"/>
      <c r="G130" s="65">
        <v>46204</v>
      </c>
      <c r="H130" s="25" t="s">
        <v>443</v>
      </c>
      <c r="I130" s="25" t="s">
        <v>444</v>
      </c>
      <c r="J130" s="26" t="s">
        <v>447</v>
      </c>
      <c r="K130" s="27" t="s">
        <v>150</v>
      </c>
      <c r="L130" s="28" t="s">
        <v>151</v>
      </c>
      <c r="M130" s="28" t="s">
        <v>71</v>
      </c>
      <c r="N130" s="25">
        <v>1</v>
      </c>
      <c r="O130" s="29">
        <v>5.8</v>
      </c>
      <c r="P130" s="29">
        <v>5.8</v>
      </c>
      <c r="Q130" s="25" t="s">
        <v>375</v>
      </c>
      <c r="R130" s="25"/>
      <c r="S130" s="26" t="s">
        <v>350</v>
      </c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34"/>
        <v>5.8</v>
      </c>
      <c r="AF130" s="32">
        <f t="shared" si="35"/>
        <v>0</v>
      </c>
      <c r="AG130" s="30"/>
      <c r="AH130" s="33"/>
      <c r="AI130" s="34">
        <f t="shared" si="36"/>
        <v>0</v>
      </c>
      <c r="AJ130" s="35">
        <v>46312</v>
      </c>
      <c r="AK130" s="30">
        <v>1</v>
      </c>
      <c r="AL130" s="36">
        <f t="shared" si="41"/>
        <v>5.8</v>
      </c>
      <c r="AM130" s="35">
        <v>46312</v>
      </c>
      <c r="AN130" s="30">
        <v>1</v>
      </c>
      <c r="AO130" s="36">
        <f t="shared" si="37"/>
        <v>5.8</v>
      </c>
      <c r="AP130" s="35"/>
      <c r="AQ130" s="30"/>
      <c r="AR130" s="36">
        <f t="shared" si="38"/>
        <v>0</v>
      </c>
      <c r="AS130" s="27" t="s">
        <v>967</v>
      </c>
      <c r="AT130" s="37">
        <v>46312</v>
      </c>
      <c r="AU130" s="30">
        <v>1</v>
      </c>
      <c r="AV130" s="36">
        <f t="shared" si="39"/>
        <v>5.8</v>
      </c>
      <c r="AW130" s="35"/>
      <c r="AX130" s="30"/>
      <c r="AY130" s="32">
        <f t="shared" si="40"/>
        <v>0</v>
      </c>
      <c r="AZ130" s="30" t="s">
        <v>440</v>
      </c>
      <c r="BA130" s="63"/>
      <c r="BB130" s="71"/>
      <c r="BC130" s="71" t="s">
        <v>151</v>
      </c>
      <c r="BD130" s="71"/>
    </row>
    <row r="131" spans="1:56" x14ac:dyDescent="0.25">
      <c r="A131" s="24">
        <f>IF(B131="","",SUBTOTAL(3,$B$4:B131))</f>
        <v>118</v>
      </c>
      <c r="B131" s="25" t="s">
        <v>439</v>
      </c>
      <c r="C131" s="25" t="str">
        <f t="shared" si="33"/>
        <v>Shipment 2 CO-SCR Duct</v>
      </c>
      <c r="D131" s="25" t="s">
        <v>441</v>
      </c>
      <c r="E131" s="25" t="s">
        <v>442</v>
      </c>
      <c r="F131" s="25"/>
      <c r="G131" s="65">
        <v>46204</v>
      </c>
      <c r="H131" s="25" t="s">
        <v>443</v>
      </c>
      <c r="I131" s="25" t="s">
        <v>444</v>
      </c>
      <c r="J131" s="26" t="s">
        <v>447</v>
      </c>
      <c r="K131" s="27" t="s">
        <v>152</v>
      </c>
      <c r="L131" s="28" t="s">
        <v>153</v>
      </c>
      <c r="M131" s="28" t="s">
        <v>71</v>
      </c>
      <c r="N131" s="25">
        <v>1</v>
      </c>
      <c r="O131" s="29">
        <v>4.4000000000000004</v>
      </c>
      <c r="P131" s="29">
        <v>4.4000000000000004</v>
      </c>
      <c r="Q131" s="25" t="s">
        <v>376</v>
      </c>
      <c r="R131" s="25"/>
      <c r="S131" s="26" t="s">
        <v>350</v>
      </c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si="34"/>
        <v>4.4000000000000004</v>
      </c>
      <c r="AF131" s="32">
        <f t="shared" si="35"/>
        <v>0</v>
      </c>
      <c r="AG131" s="30"/>
      <c r="AH131" s="33"/>
      <c r="AI131" s="34">
        <f t="shared" si="36"/>
        <v>0</v>
      </c>
      <c r="AJ131" s="35">
        <v>46312</v>
      </c>
      <c r="AK131" s="30">
        <v>1</v>
      </c>
      <c r="AL131" s="36">
        <f t="shared" si="41"/>
        <v>4.4000000000000004</v>
      </c>
      <c r="AM131" s="35">
        <v>46312</v>
      </c>
      <c r="AN131" s="30">
        <v>1</v>
      </c>
      <c r="AO131" s="36">
        <f t="shared" si="37"/>
        <v>4.4000000000000004</v>
      </c>
      <c r="AP131" s="35"/>
      <c r="AQ131" s="30"/>
      <c r="AR131" s="36">
        <f t="shared" si="38"/>
        <v>0</v>
      </c>
      <c r="AS131" s="27" t="s">
        <v>967</v>
      </c>
      <c r="AT131" s="37">
        <v>46312</v>
      </c>
      <c r="AU131" s="30">
        <v>1</v>
      </c>
      <c r="AV131" s="36">
        <f t="shared" si="39"/>
        <v>4.4000000000000004</v>
      </c>
      <c r="AW131" s="35"/>
      <c r="AX131" s="30"/>
      <c r="AY131" s="32">
        <f t="shared" si="40"/>
        <v>0</v>
      </c>
      <c r="AZ131" s="30" t="s">
        <v>440</v>
      </c>
      <c r="BA131" s="63"/>
      <c r="BB131" s="71"/>
      <c r="BC131" s="71" t="s">
        <v>153</v>
      </c>
      <c r="BD131" s="71"/>
    </row>
    <row r="132" spans="1:56" x14ac:dyDescent="0.25">
      <c r="A132" s="24">
        <f>IF(B132="","",SUBTOTAL(3,$B$4:B132))</f>
        <v>119</v>
      </c>
      <c r="B132" s="25" t="s">
        <v>439</v>
      </c>
      <c r="C132" s="25" t="str">
        <f t="shared" si="33"/>
        <v>Shipment 2 CO-SCR Duct</v>
      </c>
      <c r="D132" s="25" t="s">
        <v>441</v>
      </c>
      <c r="E132" s="25" t="s">
        <v>442</v>
      </c>
      <c r="F132" s="25"/>
      <c r="G132" s="65">
        <v>46204</v>
      </c>
      <c r="H132" s="25" t="s">
        <v>443</v>
      </c>
      <c r="I132" s="25" t="s">
        <v>444</v>
      </c>
      <c r="J132" s="26" t="s">
        <v>447</v>
      </c>
      <c r="K132" s="27" t="s">
        <v>154</v>
      </c>
      <c r="L132" s="28" t="s">
        <v>155</v>
      </c>
      <c r="M132" s="28" t="s">
        <v>71</v>
      </c>
      <c r="N132" s="25">
        <v>1</v>
      </c>
      <c r="O132" s="29">
        <v>4.4000000000000004</v>
      </c>
      <c r="P132" s="29">
        <v>4.4000000000000004</v>
      </c>
      <c r="Q132" s="25" t="s">
        <v>376</v>
      </c>
      <c r="R132" s="25"/>
      <c r="S132" s="26" t="s">
        <v>350</v>
      </c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34"/>
        <v>4.4000000000000004</v>
      </c>
      <c r="AF132" s="32">
        <f t="shared" si="35"/>
        <v>0</v>
      </c>
      <c r="AG132" s="30"/>
      <c r="AH132" s="33"/>
      <c r="AI132" s="34">
        <f t="shared" si="36"/>
        <v>0</v>
      </c>
      <c r="AJ132" s="35">
        <v>46312</v>
      </c>
      <c r="AK132" s="30">
        <v>1</v>
      </c>
      <c r="AL132" s="36">
        <f t="shared" si="41"/>
        <v>4.4000000000000004</v>
      </c>
      <c r="AM132" s="35">
        <v>46312</v>
      </c>
      <c r="AN132" s="30">
        <v>1</v>
      </c>
      <c r="AO132" s="36">
        <f t="shared" si="37"/>
        <v>4.4000000000000004</v>
      </c>
      <c r="AP132" s="35"/>
      <c r="AQ132" s="30"/>
      <c r="AR132" s="36">
        <f t="shared" si="38"/>
        <v>0</v>
      </c>
      <c r="AS132" s="27" t="s">
        <v>967</v>
      </c>
      <c r="AT132" s="37">
        <v>46312</v>
      </c>
      <c r="AU132" s="30">
        <v>1</v>
      </c>
      <c r="AV132" s="36">
        <f t="shared" si="39"/>
        <v>4.4000000000000004</v>
      </c>
      <c r="AW132" s="35"/>
      <c r="AX132" s="30"/>
      <c r="AY132" s="32">
        <f t="shared" si="40"/>
        <v>0</v>
      </c>
      <c r="AZ132" s="30" t="s">
        <v>440</v>
      </c>
      <c r="BA132" s="63"/>
      <c r="BB132" s="71"/>
      <c r="BC132" s="71" t="s">
        <v>155</v>
      </c>
      <c r="BD132" s="71"/>
    </row>
    <row r="133" spans="1:56" x14ac:dyDescent="0.25">
      <c r="A133" s="24">
        <f>IF(B133="","",SUBTOTAL(3,$B$4:B133))</f>
        <v>120</v>
      </c>
      <c r="B133" s="25" t="s">
        <v>439</v>
      </c>
      <c r="C133" s="25" t="str">
        <f t="shared" si="33"/>
        <v>Shipment 2 CO-SCR Duct</v>
      </c>
      <c r="D133" s="25" t="s">
        <v>441</v>
      </c>
      <c r="E133" s="25" t="s">
        <v>442</v>
      </c>
      <c r="F133" s="25"/>
      <c r="G133" s="65">
        <v>46204</v>
      </c>
      <c r="H133" s="25" t="s">
        <v>443</v>
      </c>
      <c r="I133" s="25" t="s">
        <v>444</v>
      </c>
      <c r="J133" s="26" t="s">
        <v>447</v>
      </c>
      <c r="K133" s="27" t="s">
        <v>156</v>
      </c>
      <c r="L133" s="28" t="s">
        <v>157</v>
      </c>
      <c r="M133" s="28" t="s">
        <v>71</v>
      </c>
      <c r="N133" s="25">
        <v>1</v>
      </c>
      <c r="O133" s="29">
        <v>5.4</v>
      </c>
      <c r="P133" s="29">
        <v>5.4</v>
      </c>
      <c r="Q133" s="25" t="s">
        <v>377</v>
      </c>
      <c r="R133" s="25"/>
      <c r="S133" s="26" t="s">
        <v>350</v>
      </c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34"/>
        <v>5.4</v>
      </c>
      <c r="AF133" s="32">
        <f t="shared" si="35"/>
        <v>0</v>
      </c>
      <c r="AG133" s="30"/>
      <c r="AH133" s="33"/>
      <c r="AI133" s="34">
        <f t="shared" si="36"/>
        <v>0</v>
      </c>
      <c r="AJ133" s="35">
        <v>46312</v>
      </c>
      <c r="AK133" s="30">
        <v>1</v>
      </c>
      <c r="AL133" s="36">
        <f t="shared" si="41"/>
        <v>5.4</v>
      </c>
      <c r="AM133" s="35">
        <v>46312</v>
      </c>
      <c r="AN133" s="30">
        <v>1</v>
      </c>
      <c r="AO133" s="36">
        <f t="shared" si="37"/>
        <v>5.4</v>
      </c>
      <c r="AP133" s="35"/>
      <c r="AQ133" s="30"/>
      <c r="AR133" s="36">
        <f t="shared" si="38"/>
        <v>0</v>
      </c>
      <c r="AS133" s="27" t="s">
        <v>967</v>
      </c>
      <c r="AT133" s="37">
        <v>46312</v>
      </c>
      <c r="AU133" s="30">
        <v>1</v>
      </c>
      <c r="AV133" s="36">
        <f t="shared" si="39"/>
        <v>5.4</v>
      </c>
      <c r="AW133" s="35"/>
      <c r="AX133" s="30"/>
      <c r="AY133" s="32">
        <f t="shared" si="40"/>
        <v>0</v>
      </c>
      <c r="AZ133" s="30" t="s">
        <v>440</v>
      </c>
      <c r="BA133" s="63"/>
      <c r="BB133" s="71"/>
      <c r="BC133" s="71" t="s">
        <v>157</v>
      </c>
      <c r="BD133" s="71"/>
    </row>
    <row r="134" spans="1:56" x14ac:dyDescent="0.25">
      <c r="A134" s="24">
        <f>IF(B134="","",SUBTOTAL(3,$B$4:B134))</f>
        <v>121</v>
      </c>
      <c r="B134" s="25" t="s">
        <v>439</v>
      </c>
      <c r="C134" s="25" t="str">
        <f t="shared" si="33"/>
        <v>Shipment 2 CO-SCR Duct</v>
      </c>
      <c r="D134" s="25" t="s">
        <v>441</v>
      </c>
      <c r="E134" s="25" t="s">
        <v>442</v>
      </c>
      <c r="F134" s="25"/>
      <c r="G134" s="65">
        <v>46204</v>
      </c>
      <c r="H134" s="25" t="s">
        <v>443</v>
      </c>
      <c r="I134" s="25" t="s">
        <v>444</v>
      </c>
      <c r="J134" s="26" t="s">
        <v>447</v>
      </c>
      <c r="K134" s="27" t="s">
        <v>158</v>
      </c>
      <c r="L134" s="28" t="s">
        <v>159</v>
      </c>
      <c r="M134" s="28" t="s">
        <v>71</v>
      </c>
      <c r="N134" s="25">
        <v>1</v>
      </c>
      <c r="O134" s="29">
        <v>5.4</v>
      </c>
      <c r="P134" s="29">
        <v>5.4</v>
      </c>
      <c r="Q134" s="25" t="s">
        <v>377</v>
      </c>
      <c r="R134" s="25"/>
      <c r="S134" s="26" t="s">
        <v>350</v>
      </c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34"/>
        <v>5.4</v>
      </c>
      <c r="AF134" s="32">
        <f t="shared" si="35"/>
        <v>0</v>
      </c>
      <c r="AG134" s="30"/>
      <c r="AH134" s="33"/>
      <c r="AI134" s="34">
        <f t="shared" si="36"/>
        <v>0</v>
      </c>
      <c r="AJ134" s="35">
        <v>46312</v>
      </c>
      <c r="AK134" s="30">
        <v>1</v>
      </c>
      <c r="AL134" s="36">
        <f t="shared" si="41"/>
        <v>5.4</v>
      </c>
      <c r="AM134" s="35">
        <v>46312</v>
      </c>
      <c r="AN134" s="30">
        <v>1</v>
      </c>
      <c r="AO134" s="36">
        <f t="shared" si="37"/>
        <v>5.4</v>
      </c>
      <c r="AP134" s="35"/>
      <c r="AQ134" s="30"/>
      <c r="AR134" s="36">
        <f t="shared" si="38"/>
        <v>0</v>
      </c>
      <c r="AS134" s="27" t="s">
        <v>967</v>
      </c>
      <c r="AT134" s="37">
        <v>46312</v>
      </c>
      <c r="AU134" s="30">
        <v>1</v>
      </c>
      <c r="AV134" s="36">
        <f t="shared" si="39"/>
        <v>5.4</v>
      </c>
      <c r="AW134" s="35"/>
      <c r="AX134" s="30"/>
      <c r="AY134" s="32">
        <f t="shared" si="40"/>
        <v>0</v>
      </c>
      <c r="AZ134" s="30" t="s">
        <v>440</v>
      </c>
      <c r="BA134" s="63"/>
      <c r="BB134" s="71"/>
      <c r="BC134" s="71" t="s">
        <v>159</v>
      </c>
      <c r="BD134" s="71"/>
    </row>
    <row r="135" spans="1:56" hidden="1" x14ac:dyDescent="0.25">
      <c r="A135" s="24">
        <f>IF(B135="","",SUBTOTAL(3,$B$4:B135))</f>
        <v>121</v>
      </c>
      <c r="B135" s="25" t="s">
        <v>439</v>
      </c>
      <c r="C135" s="25" t="str">
        <f t="shared" si="33"/>
        <v>Shipment 2 CO-SCR Duct</v>
      </c>
      <c r="D135" s="25" t="s">
        <v>441</v>
      </c>
      <c r="E135" s="25" t="s">
        <v>442</v>
      </c>
      <c r="F135" s="25"/>
      <c r="G135" s="65">
        <v>46204</v>
      </c>
      <c r="H135" s="25" t="s">
        <v>443</v>
      </c>
      <c r="I135" s="25" t="s">
        <v>444</v>
      </c>
      <c r="J135" s="26" t="s">
        <v>447</v>
      </c>
      <c r="K135" s="27" t="s">
        <v>160</v>
      </c>
      <c r="L135" s="28" t="s">
        <v>161</v>
      </c>
      <c r="M135" s="28" t="s">
        <v>71</v>
      </c>
      <c r="N135" s="25">
        <v>1</v>
      </c>
      <c r="O135" s="29">
        <v>8.4</v>
      </c>
      <c r="P135" s="29">
        <v>8.4</v>
      </c>
      <c r="Q135" s="25" t="s">
        <v>378</v>
      </c>
      <c r="R135" s="25"/>
      <c r="S135" s="26" t="s">
        <v>350</v>
      </c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34"/>
        <v>0</v>
      </c>
      <c r="AF135" s="32">
        <f t="shared" si="35"/>
        <v>8.4</v>
      </c>
      <c r="AG135" s="30"/>
      <c r="AH135" s="33"/>
      <c r="AI135" s="34">
        <f t="shared" si="36"/>
        <v>0</v>
      </c>
      <c r="AJ135" s="35"/>
      <c r="AK135" s="30"/>
      <c r="AL135" s="36">
        <f t="shared" si="41"/>
        <v>0</v>
      </c>
      <c r="AM135" s="35"/>
      <c r="AN135" s="30"/>
      <c r="AO135" s="36">
        <f t="shared" si="37"/>
        <v>0</v>
      </c>
      <c r="AP135" s="35"/>
      <c r="AQ135" s="30"/>
      <c r="AR135" s="36">
        <f t="shared" si="38"/>
        <v>0</v>
      </c>
      <c r="AS135" s="27"/>
      <c r="AT135" s="37"/>
      <c r="AU135" s="30"/>
      <c r="AV135" s="36">
        <f t="shared" si="39"/>
        <v>0</v>
      </c>
      <c r="AW135" s="35"/>
      <c r="AX135" s="30"/>
      <c r="AY135" s="32">
        <f t="shared" si="40"/>
        <v>0</v>
      </c>
      <c r="AZ135" s="30" t="s">
        <v>440</v>
      </c>
      <c r="BA135" s="63"/>
      <c r="BB135" s="71" t="e">
        <f>SUMIFS([1]VD001!$G$9:$G$78,[1]VD001!$E$9:$E$78,BC135)</f>
        <v>#VALUE!</v>
      </c>
      <c r="BC135" s="71" t="s">
        <v>161</v>
      </c>
      <c r="BD135" s="71"/>
    </row>
    <row r="136" spans="1:56" hidden="1" x14ac:dyDescent="0.25">
      <c r="A136" s="24">
        <f>IF(B136="","",SUBTOTAL(3,$B$4:B136))</f>
        <v>121</v>
      </c>
      <c r="B136" s="25" t="s">
        <v>439</v>
      </c>
      <c r="C136" s="25" t="str">
        <f t="shared" si="33"/>
        <v>Shipment 2 CO-SCR Duct</v>
      </c>
      <c r="D136" s="25" t="s">
        <v>441</v>
      </c>
      <c r="E136" s="25" t="s">
        <v>442</v>
      </c>
      <c r="F136" s="25"/>
      <c r="G136" s="65">
        <v>46204</v>
      </c>
      <c r="H136" s="25" t="s">
        <v>443</v>
      </c>
      <c r="I136" s="25" t="s">
        <v>444</v>
      </c>
      <c r="J136" s="26" t="s">
        <v>447</v>
      </c>
      <c r="K136" s="27" t="s">
        <v>162</v>
      </c>
      <c r="L136" s="28" t="s">
        <v>163</v>
      </c>
      <c r="M136" s="28" t="s">
        <v>71</v>
      </c>
      <c r="N136" s="25">
        <v>1</v>
      </c>
      <c r="O136" s="29">
        <v>8.4</v>
      </c>
      <c r="P136" s="29">
        <v>8.4</v>
      </c>
      <c r="Q136" s="25" t="s">
        <v>378</v>
      </c>
      <c r="R136" s="25"/>
      <c r="S136" s="26" t="s">
        <v>350</v>
      </c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34"/>
        <v>0</v>
      </c>
      <c r="AF136" s="32">
        <f t="shared" si="35"/>
        <v>8.4</v>
      </c>
      <c r="AG136" s="30"/>
      <c r="AH136" s="33"/>
      <c r="AI136" s="34">
        <f t="shared" si="36"/>
        <v>0</v>
      </c>
      <c r="AJ136" s="35"/>
      <c r="AK136" s="30"/>
      <c r="AL136" s="36">
        <f t="shared" si="41"/>
        <v>0</v>
      </c>
      <c r="AM136" s="35"/>
      <c r="AN136" s="30"/>
      <c r="AO136" s="36">
        <f t="shared" si="37"/>
        <v>0</v>
      </c>
      <c r="AP136" s="35"/>
      <c r="AQ136" s="30"/>
      <c r="AR136" s="36">
        <f t="shared" si="38"/>
        <v>0</v>
      </c>
      <c r="AS136" s="27"/>
      <c r="AT136" s="37"/>
      <c r="AU136" s="30"/>
      <c r="AV136" s="36">
        <f t="shared" si="39"/>
        <v>0</v>
      </c>
      <c r="AW136" s="35"/>
      <c r="AX136" s="30"/>
      <c r="AY136" s="32">
        <f t="shared" si="40"/>
        <v>0</v>
      </c>
      <c r="AZ136" s="30" t="s">
        <v>440</v>
      </c>
      <c r="BA136" s="63"/>
      <c r="BB136" s="71" t="e">
        <f>SUMIFS([1]VD001!$G$9:$G$78,[1]VD001!$E$9:$E$78,BC136)</f>
        <v>#VALUE!</v>
      </c>
      <c r="BC136" s="71" t="s">
        <v>163</v>
      </c>
      <c r="BD136" s="71"/>
    </row>
    <row r="137" spans="1:56" hidden="1" x14ac:dyDescent="0.25">
      <c r="A137" s="24">
        <f>IF(B137="","",SUBTOTAL(3,$B$4:B137))</f>
        <v>121</v>
      </c>
      <c r="B137" s="25" t="s">
        <v>439</v>
      </c>
      <c r="C137" s="25" t="str">
        <f t="shared" si="33"/>
        <v>Shipment 2 CO-SCR Duct</v>
      </c>
      <c r="D137" s="25" t="s">
        <v>441</v>
      </c>
      <c r="E137" s="25" t="s">
        <v>442</v>
      </c>
      <c r="F137" s="25"/>
      <c r="G137" s="65">
        <v>46204</v>
      </c>
      <c r="H137" s="25" t="s">
        <v>443</v>
      </c>
      <c r="I137" s="25" t="s">
        <v>444</v>
      </c>
      <c r="J137" s="26" t="s">
        <v>447</v>
      </c>
      <c r="K137" s="27" t="s">
        <v>164</v>
      </c>
      <c r="L137" s="28" t="s">
        <v>165</v>
      </c>
      <c r="M137" s="28" t="s">
        <v>71</v>
      </c>
      <c r="N137" s="25">
        <v>1</v>
      </c>
      <c r="O137" s="29">
        <v>2.2999999999999998</v>
      </c>
      <c r="P137" s="29">
        <v>2.2999999999999998</v>
      </c>
      <c r="Q137" s="25" t="s">
        <v>379</v>
      </c>
      <c r="R137" s="25"/>
      <c r="S137" s="26" t="s">
        <v>350</v>
      </c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34"/>
        <v>0</v>
      </c>
      <c r="AF137" s="32">
        <f t="shared" si="35"/>
        <v>2.2999999999999998</v>
      </c>
      <c r="AG137" s="30"/>
      <c r="AH137" s="33"/>
      <c r="AI137" s="34">
        <f t="shared" si="36"/>
        <v>0</v>
      </c>
      <c r="AJ137" s="35"/>
      <c r="AK137" s="30"/>
      <c r="AL137" s="36">
        <f t="shared" si="41"/>
        <v>0</v>
      </c>
      <c r="AM137" s="35"/>
      <c r="AN137" s="30"/>
      <c r="AO137" s="36">
        <f t="shared" si="37"/>
        <v>0</v>
      </c>
      <c r="AP137" s="35"/>
      <c r="AQ137" s="30"/>
      <c r="AR137" s="36">
        <f t="shared" si="38"/>
        <v>0</v>
      </c>
      <c r="AS137" s="27"/>
      <c r="AT137" s="37"/>
      <c r="AU137" s="30"/>
      <c r="AV137" s="36">
        <f t="shared" si="39"/>
        <v>0</v>
      </c>
      <c r="AW137" s="35"/>
      <c r="AX137" s="30"/>
      <c r="AY137" s="32">
        <f t="shared" si="40"/>
        <v>0</v>
      </c>
      <c r="AZ137" s="30" t="s">
        <v>440</v>
      </c>
      <c r="BA137" s="63"/>
      <c r="BB137" s="71" t="e">
        <f>SUMIFS([1]VD001!$G$9:$G$78,[1]VD001!$E$9:$E$78,BC137)</f>
        <v>#VALUE!</v>
      </c>
      <c r="BC137" s="71" t="s">
        <v>165</v>
      </c>
      <c r="BD137" s="71"/>
    </row>
    <row r="138" spans="1:56" hidden="1" x14ac:dyDescent="0.25">
      <c r="A138" s="24">
        <f>IF(B138="","",SUBTOTAL(3,$B$4:B138))</f>
        <v>121</v>
      </c>
      <c r="B138" s="25" t="s">
        <v>439</v>
      </c>
      <c r="C138" s="25" t="str">
        <f t="shared" si="33"/>
        <v>Shipment 2 CO-SCR Duct</v>
      </c>
      <c r="D138" s="25" t="s">
        <v>441</v>
      </c>
      <c r="E138" s="25" t="s">
        <v>442</v>
      </c>
      <c r="F138" s="25"/>
      <c r="G138" s="65">
        <v>46204</v>
      </c>
      <c r="H138" s="25" t="s">
        <v>443</v>
      </c>
      <c r="I138" s="25" t="s">
        <v>444</v>
      </c>
      <c r="J138" s="26" t="s">
        <v>447</v>
      </c>
      <c r="K138" s="27" t="s">
        <v>166</v>
      </c>
      <c r="L138" s="28" t="s">
        <v>167</v>
      </c>
      <c r="M138" s="28" t="s">
        <v>71</v>
      </c>
      <c r="N138" s="25">
        <v>1</v>
      </c>
      <c r="O138" s="29">
        <v>2.2999999999999998</v>
      </c>
      <c r="P138" s="29">
        <v>2.2999999999999998</v>
      </c>
      <c r="Q138" s="25" t="s">
        <v>379</v>
      </c>
      <c r="R138" s="25"/>
      <c r="S138" s="26" t="s">
        <v>350</v>
      </c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34"/>
        <v>0</v>
      </c>
      <c r="AF138" s="32">
        <f t="shared" si="35"/>
        <v>2.2999999999999998</v>
      </c>
      <c r="AG138" s="30"/>
      <c r="AH138" s="33"/>
      <c r="AI138" s="34">
        <f t="shared" si="36"/>
        <v>0</v>
      </c>
      <c r="AJ138" s="35"/>
      <c r="AK138" s="30"/>
      <c r="AL138" s="36">
        <f t="shared" si="41"/>
        <v>0</v>
      </c>
      <c r="AM138" s="35"/>
      <c r="AN138" s="30"/>
      <c r="AO138" s="36">
        <f t="shared" si="37"/>
        <v>0</v>
      </c>
      <c r="AP138" s="35"/>
      <c r="AQ138" s="30"/>
      <c r="AR138" s="36">
        <f t="shared" si="38"/>
        <v>0</v>
      </c>
      <c r="AS138" s="27"/>
      <c r="AT138" s="37"/>
      <c r="AU138" s="30"/>
      <c r="AV138" s="36">
        <f t="shared" si="39"/>
        <v>0</v>
      </c>
      <c r="AW138" s="35"/>
      <c r="AX138" s="30"/>
      <c r="AY138" s="32">
        <f t="shared" si="40"/>
        <v>0</v>
      </c>
      <c r="AZ138" s="30" t="s">
        <v>440</v>
      </c>
      <c r="BA138" s="63"/>
      <c r="BB138" s="71" t="e">
        <f>SUMIFS([1]VD001!$G$9:$G$78,[1]VD001!$E$9:$E$78,BC138)</f>
        <v>#VALUE!</v>
      </c>
      <c r="BC138" s="71" t="s">
        <v>167</v>
      </c>
      <c r="BD138" s="71"/>
    </row>
    <row r="139" spans="1:56" x14ac:dyDescent="0.25">
      <c r="A139" s="24">
        <f>IF(B139="","",SUBTOTAL(3,$B$4:B139))</f>
        <v>122</v>
      </c>
      <c r="B139" s="25" t="s">
        <v>439</v>
      </c>
      <c r="C139" s="25" t="str">
        <f t="shared" si="33"/>
        <v>Shipment 2 CO-SCR Duct</v>
      </c>
      <c r="D139" s="25" t="s">
        <v>441</v>
      </c>
      <c r="E139" s="25" t="s">
        <v>442</v>
      </c>
      <c r="F139" s="25"/>
      <c r="G139" s="65">
        <v>46204</v>
      </c>
      <c r="H139" s="25" t="s">
        <v>443</v>
      </c>
      <c r="I139" s="25" t="s">
        <v>444</v>
      </c>
      <c r="J139" s="26" t="s">
        <v>447</v>
      </c>
      <c r="K139" s="27" t="s">
        <v>168</v>
      </c>
      <c r="L139" s="28" t="s">
        <v>169</v>
      </c>
      <c r="M139" s="28" t="s">
        <v>71</v>
      </c>
      <c r="N139" s="25">
        <v>1</v>
      </c>
      <c r="O139" s="29">
        <v>7.3</v>
      </c>
      <c r="P139" s="29">
        <v>7.3</v>
      </c>
      <c r="Q139" s="25" t="s">
        <v>380</v>
      </c>
      <c r="R139" s="25"/>
      <c r="S139" s="26" t="s">
        <v>350</v>
      </c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34"/>
        <v>7.3000000000000007</v>
      </c>
      <c r="AF139" s="32">
        <f t="shared" si="35"/>
        <v>0</v>
      </c>
      <c r="AG139" s="30"/>
      <c r="AH139" s="33"/>
      <c r="AI139" s="34">
        <f t="shared" si="36"/>
        <v>0</v>
      </c>
      <c r="AJ139" s="35">
        <v>46312</v>
      </c>
      <c r="AK139" s="30">
        <v>1</v>
      </c>
      <c r="AL139" s="36">
        <f t="shared" si="41"/>
        <v>7.3</v>
      </c>
      <c r="AM139" s="35">
        <v>46312</v>
      </c>
      <c r="AN139" s="30">
        <v>1</v>
      </c>
      <c r="AO139" s="36">
        <f t="shared" si="37"/>
        <v>7.3</v>
      </c>
      <c r="AP139" s="35"/>
      <c r="AQ139" s="30"/>
      <c r="AR139" s="36">
        <f t="shared" si="38"/>
        <v>0</v>
      </c>
      <c r="AS139" s="27" t="s">
        <v>967</v>
      </c>
      <c r="AT139" s="37">
        <v>46312</v>
      </c>
      <c r="AU139" s="30">
        <v>1</v>
      </c>
      <c r="AV139" s="36">
        <f t="shared" si="39"/>
        <v>7.3</v>
      </c>
      <c r="AW139" s="35"/>
      <c r="AX139" s="30"/>
      <c r="AY139" s="32">
        <f t="shared" si="40"/>
        <v>0</v>
      </c>
      <c r="AZ139" s="30" t="s">
        <v>440</v>
      </c>
      <c r="BA139" s="63"/>
      <c r="BB139" s="71"/>
      <c r="BC139" s="71" t="s">
        <v>169</v>
      </c>
      <c r="BD139" s="71"/>
    </row>
    <row r="140" spans="1:56" x14ac:dyDescent="0.25">
      <c r="A140" s="24">
        <f>IF(B140="","",SUBTOTAL(3,$B$4:B140))</f>
        <v>123</v>
      </c>
      <c r="B140" s="25" t="s">
        <v>439</v>
      </c>
      <c r="C140" s="25" t="str">
        <f t="shared" si="33"/>
        <v>Shipment 2 CO-SCR Duct</v>
      </c>
      <c r="D140" s="25" t="s">
        <v>441</v>
      </c>
      <c r="E140" s="25" t="s">
        <v>442</v>
      </c>
      <c r="F140" s="25"/>
      <c r="G140" s="65">
        <v>46204</v>
      </c>
      <c r="H140" s="25" t="s">
        <v>443</v>
      </c>
      <c r="I140" s="25" t="s">
        <v>444</v>
      </c>
      <c r="J140" s="26" t="s">
        <v>447</v>
      </c>
      <c r="K140" s="27" t="s">
        <v>170</v>
      </c>
      <c r="L140" s="28" t="s">
        <v>171</v>
      </c>
      <c r="M140" s="28" t="s">
        <v>71</v>
      </c>
      <c r="N140" s="25">
        <v>1</v>
      </c>
      <c r="O140" s="29">
        <v>6.2</v>
      </c>
      <c r="P140" s="29">
        <v>6.2</v>
      </c>
      <c r="Q140" s="25" t="s">
        <v>380</v>
      </c>
      <c r="R140" s="25"/>
      <c r="S140" s="26" t="s">
        <v>350</v>
      </c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34"/>
        <v>6.2</v>
      </c>
      <c r="AF140" s="32">
        <f t="shared" si="35"/>
        <v>0</v>
      </c>
      <c r="AG140" s="30"/>
      <c r="AH140" s="33"/>
      <c r="AI140" s="34">
        <f t="shared" si="36"/>
        <v>0</v>
      </c>
      <c r="AJ140" s="35">
        <v>46312</v>
      </c>
      <c r="AK140" s="30">
        <v>1</v>
      </c>
      <c r="AL140" s="36">
        <f t="shared" si="41"/>
        <v>6.2</v>
      </c>
      <c r="AM140" s="35">
        <v>46312</v>
      </c>
      <c r="AN140" s="30">
        <v>1</v>
      </c>
      <c r="AO140" s="36">
        <f t="shared" si="37"/>
        <v>6.2</v>
      </c>
      <c r="AP140" s="35"/>
      <c r="AQ140" s="30"/>
      <c r="AR140" s="36">
        <f t="shared" si="38"/>
        <v>0</v>
      </c>
      <c r="AS140" s="27" t="s">
        <v>967</v>
      </c>
      <c r="AT140" s="37">
        <v>46312</v>
      </c>
      <c r="AU140" s="30">
        <v>1</v>
      </c>
      <c r="AV140" s="36">
        <f t="shared" si="39"/>
        <v>6.2</v>
      </c>
      <c r="AW140" s="35"/>
      <c r="AX140" s="30"/>
      <c r="AY140" s="32">
        <f t="shared" si="40"/>
        <v>0</v>
      </c>
      <c r="AZ140" s="30" t="s">
        <v>440</v>
      </c>
      <c r="BA140" s="63"/>
      <c r="BB140" s="71"/>
      <c r="BC140" s="71" t="s">
        <v>171</v>
      </c>
      <c r="BD140" s="71"/>
    </row>
    <row r="141" spans="1:56" hidden="1" x14ac:dyDescent="0.25">
      <c r="A141" s="24">
        <f>IF(B141="","",SUBTOTAL(3,$B$4:B141))</f>
        <v>123</v>
      </c>
      <c r="B141" s="25" t="s">
        <v>439</v>
      </c>
      <c r="C141" s="25" t="str">
        <f t="shared" si="33"/>
        <v>Shipment 2 CO-SCR Duct</v>
      </c>
      <c r="D141" s="25" t="s">
        <v>441</v>
      </c>
      <c r="E141" s="25" t="s">
        <v>442</v>
      </c>
      <c r="F141" s="25"/>
      <c r="G141" s="65">
        <v>46204</v>
      </c>
      <c r="H141" s="25" t="s">
        <v>443</v>
      </c>
      <c r="I141" s="25" t="s">
        <v>444</v>
      </c>
      <c r="J141" s="26" t="s">
        <v>447</v>
      </c>
      <c r="K141" s="27" t="s">
        <v>172</v>
      </c>
      <c r="L141" s="28" t="s">
        <v>173</v>
      </c>
      <c r="M141" s="28" t="s">
        <v>71</v>
      </c>
      <c r="N141" s="25">
        <v>1</v>
      </c>
      <c r="O141" s="29">
        <v>7.3</v>
      </c>
      <c r="P141" s="29">
        <v>7.3</v>
      </c>
      <c r="Q141" s="25" t="s">
        <v>380</v>
      </c>
      <c r="R141" s="25"/>
      <c r="S141" s="26" t="s">
        <v>350</v>
      </c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34"/>
        <v>0</v>
      </c>
      <c r="AF141" s="32">
        <f t="shared" si="35"/>
        <v>7.3</v>
      </c>
      <c r="AG141" s="30"/>
      <c r="AH141" s="33"/>
      <c r="AI141" s="34">
        <f t="shared" si="36"/>
        <v>0</v>
      </c>
      <c r="AJ141" s="35"/>
      <c r="AK141" s="30"/>
      <c r="AL141" s="36">
        <f t="shared" si="41"/>
        <v>0</v>
      </c>
      <c r="AM141" s="35"/>
      <c r="AN141" s="30"/>
      <c r="AO141" s="36">
        <f t="shared" si="37"/>
        <v>0</v>
      </c>
      <c r="AP141" s="35"/>
      <c r="AQ141" s="30"/>
      <c r="AR141" s="36">
        <f t="shared" si="38"/>
        <v>0</v>
      </c>
      <c r="AS141" s="27"/>
      <c r="AT141" s="37"/>
      <c r="AU141" s="30"/>
      <c r="AV141" s="36">
        <f t="shared" si="39"/>
        <v>0</v>
      </c>
      <c r="AW141" s="35"/>
      <c r="AX141" s="30"/>
      <c r="AY141" s="32">
        <f t="shared" si="40"/>
        <v>0</v>
      </c>
      <c r="AZ141" s="30" t="s">
        <v>440</v>
      </c>
      <c r="BA141" s="63"/>
      <c r="BB141" s="71" t="e">
        <f>SUMIFS([1]VD001!$G$9:$G$78,[1]VD001!$E$9:$E$78,BC141)</f>
        <v>#VALUE!</v>
      </c>
      <c r="BC141" s="71" t="s">
        <v>173</v>
      </c>
      <c r="BD141" s="71"/>
    </row>
    <row r="142" spans="1:56" x14ac:dyDescent="0.25">
      <c r="A142" s="24">
        <f>IF(B142="","",SUBTOTAL(3,$B$4:B142))</f>
        <v>124</v>
      </c>
      <c r="B142" s="25" t="s">
        <v>439</v>
      </c>
      <c r="C142" s="25" t="str">
        <f t="shared" si="33"/>
        <v>Shipment 2 CO-SCR Duct</v>
      </c>
      <c r="D142" s="25" t="s">
        <v>441</v>
      </c>
      <c r="E142" s="25" t="s">
        <v>442</v>
      </c>
      <c r="F142" s="25"/>
      <c r="G142" s="65">
        <v>46204</v>
      </c>
      <c r="H142" s="25" t="s">
        <v>443</v>
      </c>
      <c r="I142" s="25" t="s">
        <v>444</v>
      </c>
      <c r="J142" s="26" t="s">
        <v>447</v>
      </c>
      <c r="K142" s="27" t="s">
        <v>174</v>
      </c>
      <c r="L142" s="28" t="s">
        <v>175</v>
      </c>
      <c r="M142" s="28" t="s">
        <v>71</v>
      </c>
      <c r="N142" s="25">
        <v>1</v>
      </c>
      <c r="O142" s="29">
        <v>6.2</v>
      </c>
      <c r="P142" s="29">
        <v>6.2</v>
      </c>
      <c r="Q142" s="25" t="s">
        <v>380</v>
      </c>
      <c r="R142" s="25"/>
      <c r="S142" s="26" t="s">
        <v>350</v>
      </c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34"/>
        <v>6.2</v>
      </c>
      <c r="AF142" s="32">
        <f t="shared" si="35"/>
        <v>0</v>
      </c>
      <c r="AG142" s="30"/>
      <c r="AH142" s="33"/>
      <c r="AI142" s="34">
        <f t="shared" si="36"/>
        <v>0</v>
      </c>
      <c r="AJ142" s="35">
        <v>46312</v>
      </c>
      <c r="AK142" s="30">
        <v>1</v>
      </c>
      <c r="AL142" s="36">
        <f>IFERROR(AK142*$P142/$N142,0)</f>
        <v>6.2</v>
      </c>
      <c r="AM142" s="35">
        <v>46312</v>
      </c>
      <c r="AN142" s="30">
        <v>1</v>
      </c>
      <c r="AO142" s="36">
        <f t="shared" si="37"/>
        <v>6.2</v>
      </c>
      <c r="AP142" s="35"/>
      <c r="AQ142" s="30"/>
      <c r="AR142" s="36">
        <f t="shared" si="38"/>
        <v>0</v>
      </c>
      <c r="AS142" s="27" t="s">
        <v>967</v>
      </c>
      <c r="AT142" s="37">
        <v>46312</v>
      </c>
      <c r="AU142" s="30">
        <v>1</v>
      </c>
      <c r="AV142" s="36">
        <f t="shared" si="39"/>
        <v>6.2</v>
      </c>
      <c r="AW142" s="35"/>
      <c r="AX142" s="30"/>
      <c r="AY142" s="32">
        <f t="shared" si="40"/>
        <v>0</v>
      </c>
      <c r="AZ142" s="30" t="s">
        <v>440</v>
      </c>
      <c r="BA142" s="63"/>
      <c r="BB142" s="71"/>
      <c r="BC142" s="71" t="s">
        <v>175</v>
      </c>
      <c r="BD142" s="71"/>
    </row>
    <row r="143" spans="1:56" hidden="1" x14ac:dyDescent="0.25">
      <c r="A143" s="24">
        <f>IF(B143="","",SUBTOTAL(3,$B$4:B143))</f>
        <v>124</v>
      </c>
      <c r="B143" s="25" t="s">
        <v>439</v>
      </c>
      <c r="C143" s="25" t="str">
        <f t="shared" si="33"/>
        <v>Shipment 2 CO-SCR Duct</v>
      </c>
      <c r="D143" s="25" t="s">
        <v>441</v>
      </c>
      <c r="E143" s="25" t="s">
        <v>442</v>
      </c>
      <c r="F143" s="25"/>
      <c r="G143" s="65">
        <v>46204</v>
      </c>
      <c r="H143" s="25" t="s">
        <v>443</v>
      </c>
      <c r="I143" s="25" t="s">
        <v>444</v>
      </c>
      <c r="J143" s="26" t="s">
        <v>447</v>
      </c>
      <c r="K143" s="27" t="s">
        <v>176</v>
      </c>
      <c r="L143" s="28" t="s">
        <v>177</v>
      </c>
      <c r="M143" s="28" t="s">
        <v>71</v>
      </c>
      <c r="N143" s="25">
        <v>1</v>
      </c>
      <c r="O143" s="29">
        <v>3.6</v>
      </c>
      <c r="P143" s="29">
        <v>3.6</v>
      </c>
      <c r="Q143" s="25" t="s">
        <v>381</v>
      </c>
      <c r="R143" s="25"/>
      <c r="S143" s="26" t="s">
        <v>350</v>
      </c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34"/>
        <v>0</v>
      </c>
      <c r="AF143" s="32">
        <f t="shared" si="35"/>
        <v>3.6</v>
      </c>
      <c r="AG143" s="30"/>
      <c r="AH143" s="33"/>
      <c r="AI143" s="34">
        <f t="shared" si="36"/>
        <v>0</v>
      </c>
      <c r="AJ143" s="35"/>
      <c r="AK143" s="30"/>
      <c r="AL143" s="36">
        <f t="shared" si="41"/>
        <v>0</v>
      </c>
      <c r="AM143" s="35"/>
      <c r="AN143" s="30"/>
      <c r="AO143" s="36">
        <f t="shared" si="37"/>
        <v>0</v>
      </c>
      <c r="AP143" s="35"/>
      <c r="AQ143" s="30"/>
      <c r="AR143" s="36">
        <f t="shared" si="38"/>
        <v>0</v>
      </c>
      <c r="AS143" s="27"/>
      <c r="AT143" s="37"/>
      <c r="AU143" s="30"/>
      <c r="AV143" s="36">
        <f t="shared" si="39"/>
        <v>0</v>
      </c>
      <c r="AW143" s="35"/>
      <c r="AX143" s="30"/>
      <c r="AY143" s="32">
        <f t="shared" si="40"/>
        <v>0</v>
      </c>
      <c r="AZ143" s="30" t="s">
        <v>440</v>
      </c>
      <c r="BA143" s="63"/>
      <c r="BB143" s="71" t="e">
        <f>SUMIFS([1]VD001!$G$9:$G$78,[1]VD001!$E$9:$E$78,BC143)</f>
        <v>#VALUE!</v>
      </c>
      <c r="BC143" s="71" t="s">
        <v>177</v>
      </c>
      <c r="BD143" s="71"/>
    </row>
    <row r="144" spans="1:56" x14ac:dyDescent="0.25">
      <c r="A144" s="24">
        <f>IF(B144="","",SUBTOTAL(3,$B$4:B144))</f>
        <v>125</v>
      </c>
      <c r="B144" s="25" t="s">
        <v>439</v>
      </c>
      <c r="C144" s="25" t="str">
        <f t="shared" si="33"/>
        <v>Shipment 2 CO-SCR Duct</v>
      </c>
      <c r="D144" s="25" t="s">
        <v>441</v>
      </c>
      <c r="E144" s="25" t="s">
        <v>442</v>
      </c>
      <c r="F144" s="25"/>
      <c r="G144" s="65">
        <v>46204</v>
      </c>
      <c r="H144" s="25" t="s">
        <v>443</v>
      </c>
      <c r="I144" s="25" t="s">
        <v>444</v>
      </c>
      <c r="J144" s="26" t="s">
        <v>447</v>
      </c>
      <c r="K144" s="27" t="s">
        <v>178</v>
      </c>
      <c r="L144" s="28" t="s">
        <v>179</v>
      </c>
      <c r="M144" s="28" t="s">
        <v>71</v>
      </c>
      <c r="N144" s="25">
        <v>2</v>
      </c>
      <c r="O144" s="29">
        <v>3.6</v>
      </c>
      <c r="P144" s="29">
        <v>7.2</v>
      </c>
      <c r="Q144" s="25" t="s">
        <v>381</v>
      </c>
      <c r="R144" s="25"/>
      <c r="S144" s="26" t="s">
        <v>350</v>
      </c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34"/>
        <v>7.2</v>
      </c>
      <c r="AF144" s="32">
        <f t="shared" si="35"/>
        <v>0</v>
      </c>
      <c r="AG144" s="30"/>
      <c r="AH144" s="33"/>
      <c r="AI144" s="34">
        <f t="shared" si="36"/>
        <v>0</v>
      </c>
      <c r="AJ144" s="35">
        <v>46312</v>
      </c>
      <c r="AK144" s="30">
        <v>2</v>
      </c>
      <c r="AL144" s="36">
        <f t="shared" si="41"/>
        <v>7.2</v>
      </c>
      <c r="AM144" s="35">
        <v>46312</v>
      </c>
      <c r="AN144" s="30">
        <v>2</v>
      </c>
      <c r="AO144" s="36">
        <f t="shared" si="37"/>
        <v>7.2</v>
      </c>
      <c r="AP144" s="35"/>
      <c r="AQ144" s="30"/>
      <c r="AR144" s="36">
        <f t="shared" si="38"/>
        <v>0</v>
      </c>
      <c r="AS144" s="27" t="s">
        <v>967</v>
      </c>
      <c r="AT144" s="37">
        <v>46312</v>
      </c>
      <c r="AU144" s="30">
        <v>2</v>
      </c>
      <c r="AV144" s="36">
        <f t="shared" si="39"/>
        <v>7.2</v>
      </c>
      <c r="AW144" s="35"/>
      <c r="AX144" s="30"/>
      <c r="AY144" s="32">
        <f t="shared" si="40"/>
        <v>0</v>
      </c>
      <c r="AZ144" s="30" t="s">
        <v>440</v>
      </c>
      <c r="BA144" s="63"/>
      <c r="BB144" s="71"/>
      <c r="BC144" s="71" t="s">
        <v>179</v>
      </c>
      <c r="BD144" s="71"/>
    </row>
    <row r="145" spans="1:56" x14ac:dyDescent="0.25">
      <c r="A145" s="24">
        <f>IF(B145="","",SUBTOTAL(3,$B$4:B145))</f>
        <v>126</v>
      </c>
      <c r="B145" s="25" t="s">
        <v>439</v>
      </c>
      <c r="C145" s="25" t="str">
        <f t="shared" si="33"/>
        <v>Shipment 2 CO-SCR Duct</v>
      </c>
      <c r="D145" s="25" t="s">
        <v>441</v>
      </c>
      <c r="E145" s="25" t="s">
        <v>442</v>
      </c>
      <c r="F145" s="25"/>
      <c r="G145" s="65">
        <v>46204</v>
      </c>
      <c r="H145" s="25" t="s">
        <v>443</v>
      </c>
      <c r="I145" s="25" t="s">
        <v>444</v>
      </c>
      <c r="J145" s="26" t="s">
        <v>447</v>
      </c>
      <c r="K145" s="27" t="s">
        <v>180</v>
      </c>
      <c r="L145" s="28" t="s">
        <v>181</v>
      </c>
      <c r="M145" s="28" t="s">
        <v>71</v>
      </c>
      <c r="N145" s="25">
        <v>1</v>
      </c>
      <c r="O145" s="29">
        <v>3.6</v>
      </c>
      <c r="P145" s="29">
        <v>3.6</v>
      </c>
      <c r="Q145" s="25" t="s">
        <v>381</v>
      </c>
      <c r="R145" s="25"/>
      <c r="S145" s="26" t="s">
        <v>350</v>
      </c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34"/>
        <v>3.6</v>
      </c>
      <c r="AF145" s="32">
        <f t="shared" si="35"/>
        <v>0</v>
      </c>
      <c r="AG145" s="30"/>
      <c r="AH145" s="33"/>
      <c r="AI145" s="34">
        <f t="shared" si="36"/>
        <v>0</v>
      </c>
      <c r="AJ145" s="35">
        <v>46312</v>
      </c>
      <c r="AK145" s="30">
        <v>1</v>
      </c>
      <c r="AL145" s="36">
        <f t="shared" si="41"/>
        <v>3.6</v>
      </c>
      <c r="AM145" s="35">
        <v>46312</v>
      </c>
      <c r="AN145" s="30">
        <v>1</v>
      </c>
      <c r="AO145" s="36">
        <f t="shared" si="37"/>
        <v>3.6</v>
      </c>
      <c r="AP145" s="35"/>
      <c r="AQ145" s="30"/>
      <c r="AR145" s="36">
        <f t="shared" si="38"/>
        <v>0</v>
      </c>
      <c r="AS145" s="27" t="s">
        <v>967</v>
      </c>
      <c r="AT145" s="37">
        <v>46312</v>
      </c>
      <c r="AU145" s="30">
        <v>1</v>
      </c>
      <c r="AV145" s="36">
        <f t="shared" si="39"/>
        <v>3.6</v>
      </c>
      <c r="AW145" s="35"/>
      <c r="AX145" s="30"/>
      <c r="AY145" s="32">
        <f t="shared" si="40"/>
        <v>0</v>
      </c>
      <c r="AZ145" s="30" t="s">
        <v>440</v>
      </c>
      <c r="BA145" s="63"/>
      <c r="BB145" s="71"/>
      <c r="BC145" s="71" t="s">
        <v>181</v>
      </c>
      <c r="BD145" s="71"/>
    </row>
    <row r="146" spans="1:56" hidden="1" x14ac:dyDescent="0.25">
      <c r="A146" s="24">
        <f>IF(B146="","",SUBTOTAL(3,$B$4:B146))</f>
        <v>126</v>
      </c>
      <c r="B146" s="25" t="s">
        <v>439</v>
      </c>
      <c r="C146" s="25" t="str">
        <f t="shared" si="33"/>
        <v>Shipment 2 CO-SCR Duct</v>
      </c>
      <c r="D146" s="25" t="s">
        <v>441</v>
      </c>
      <c r="E146" s="25" t="s">
        <v>442</v>
      </c>
      <c r="F146" s="25"/>
      <c r="G146" s="65">
        <v>46204</v>
      </c>
      <c r="H146" s="25" t="s">
        <v>443</v>
      </c>
      <c r="I146" s="25" t="s">
        <v>444</v>
      </c>
      <c r="J146" s="26" t="s">
        <v>447</v>
      </c>
      <c r="K146" s="27" t="s">
        <v>182</v>
      </c>
      <c r="L146" s="28" t="s">
        <v>183</v>
      </c>
      <c r="M146" s="28" t="s">
        <v>184</v>
      </c>
      <c r="N146" s="25">
        <v>6</v>
      </c>
      <c r="O146" s="29">
        <v>4.9999999999999996E-2</v>
      </c>
      <c r="P146" s="29">
        <v>0.3</v>
      </c>
      <c r="Q146" s="25" t="s">
        <v>382</v>
      </c>
      <c r="R146" s="25"/>
      <c r="S146" s="26" t="s">
        <v>351</v>
      </c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34"/>
        <v>0</v>
      </c>
      <c r="AF146" s="32">
        <f t="shared" si="35"/>
        <v>0.3</v>
      </c>
      <c r="AG146" s="30"/>
      <c r="AH146" s="33"/>
      <c r="AI146" s="34">
        <f t="shared" si="36"/>
        <v>0</v>
      </c>
      <c r="AJ146" s="35"/>
      <c r="AK146" s="30"/>
      <c r="AL146" s="36">
        <f t="shared" si="41"/>
        <v>0</v>
      </c>
      <c r="AM146" s="35"/>
      <c r="AN146" s="30"/>
      <c r="AO146" s="36">
        <f t="shared" si="37"/>
        <v>0</v>
      </c>
      <c r="AP146" s="35"/>
      <c r="AQ146" s="30"/>
      <c r="AR146" s="36">
        <f t="shared" si="38"/>
        <v>0</v>
      </c>
      <c r="AS146" s="27"/>
      <c r="AT146" s="37"/>
      <c r="AU146" s="30"/>
      <c r="AV146" s="36">
        <f t="shared" si="39"/>
        <v>0</v>
      </c>
      <c r="AW146" s="35"/>
      <c r="AX146" s="30"/>
      <c r="AY146" s="32">
        <f t="shared" si="40"/>
        <v>0</v>
      </c>
      <c r="AZ146" s="30" t="s">
        <v>440</v>
      </c>
      <c r="BA146" s="63"/>
      <c r="BB146" s="71" t="e">
        <f>SUMIFS([1]VD001!$G$9:$G$78,[1]VD001!$E$9:$E$78,BC146)</f>
        <v>#VALUE!</v>
      </c>
      <c r="BC146" s="71" t="s">
        <v>183</v>
      </c>
      <c r="BD146" s="71"/>
    </row>
    <row r="147" spans="1:56" x14ac:dyDescent="0.25">
      <c r="A147" s="24">
        <f>IF(B147="","",SUBTOTAL(3,$B$4:B147))</f>
        <v>127</v>
      </c>
      <c r="B147" s="25" t="s">
        <v>439</v>
      </c>
      <c r="C147" s="25" t="str">
        <f t="shared" si="33"/>
        <v>Shipment 2 CO-SCR Duct</v>
      </c>
      <c r="D147" s="25" t="s">
        <v>441</v>
      </c>
      <c r="E147" s="25" t="s">
        <v>442</v>
      </c>
      <c r="F147" s="25"/>
      <c r="G147" s="65">
        <v>46204</v>
      </c>
      <c r="H147" s="25" t="s">
        <v>443</v>
      </c>
      <c r="I147" s="25" t="s">
        <v>444</v>
      </c>
      <c r="J147" s="26" t="s">
        <v>447</v>
      </c>
      <c r="K147" s="27" t="s">
        <v>185</v>
      </c>
      <c r="L147" s="28" t="s">
        <v>186</v>
      </c>
      <c r="M147" s="28" t="s">
        <v>187</v>
      </c>
      <c r="N147" s="25">
        <v>4</v>
      </c>
      <c r="O147" s="29">
        <v>0.45</v>
      </c>
      <c r="P147" s="29">
        <v>1.8</v>
      </c>
      <c r="Q147" s="25" t="s">
        <v>383</v>
      </c>
      <c r="R147" s="25"/>
      <c r="S147" s="26" t="s">
        <v>352</v>
      </c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34"/>
        <v>1.8</v>
      </c>
      <c r="AF147" s="32">
        <f t="shared" si="35"/>
        <v>0</v>
      </c>
      <c r="AG147" s="30"/>
      <c r="AH147" s="33"/>
      <c r="AI147" s="34">
        <f t="shared" si="36"/>
        <v>0</v>
      </c>
      <c r="AJ147" s="35">
        <v>46312</v>
      </c>
      <c r="AK147" s="30">
        <v>4</v>
      </c>
      <c r="AL147" s="36">
        <f>IFERROR(AK147*$P147/$N147,0)</f>
        <v>1.8</v>
      </c>
      <c r="AM147" s="35">
        <v>46312</v>
      </c>
      <c r="AN147" s="30">
        <v>4</v>
      </c>
      <c r="AO147" s="36">
        <f t="shared" si="37"/>
        <v>1.8</v>
      </c>
      <c r="AP147" s="35"/>
      <c r="AQ147" s="30"/>
      <c r="AR147" s="36">
        <f t="shared" si="38"/>
        <v>0</v>
      </c>
      <c r="AS147" s="27" t="s">
        <v>967</v>
      </c>
      <c r="AT147" s="37">
        <v>46312</v>
      </c>
      <c r="AU147" s="30">
        <v>4</v>
      </c>
      <c r="AV147" s="36">
        <f t="shared" si="39"/>
        <v>1.8</v>
      </c>
      <c r="AW147" s="35"/>
      <c r="AX147" s="30"/>
      <c r="AY147" s="32">
        <f t="shared" si="40"/>
        <v>0</v>
      </c>
      <c r="AZ147" s="30" t="s">
        <v>440</v>
      </c>
      <c r="BA147" s="63"/>
      <c r="BB147" s="71"/>
      <c r="BC147" s="71" t="s">
        <v>186</v>
      </c>
      <c r="BD147" s="71"/>
    </row>
    <row r="148" spans="1:56" hidden="1" x14ac:dyDescent="0.25">
      <c r="A148" s="24">
        <f>IF(B148="","",SUBTOTAL(3,$B$4:B148))</f>
        <v>127</v>
      </c>
      <c r="B148" s="25" t="s">
        <v>439</v>
      </c>
      <c r="C148" s="25" t="str">
        <f t="shared" si="33"/>
        <v>Shipment 2 CO-SCR Duct</v>
      </c>
      <c r="D148" s="25" t="s">
        <v>441</v>
      </c>
      <c r="E148" s="25" t="s">
        <v>442</v>
      </c>
      <c r="F148" s="25"/>
      <c r="G148" s="65">
        <v>46204</v>
      </c>
      <c r="H148" s="25" t="s">
        <v>443</v>
      </c>
      <c r="I148" s="25" t="s">
        <v>444</v>
      </c>
      <c r="J148" s="26" t="s">
        <v>447</v>
      </c>
      <c r="K148" s="27" t="s">
        <v>188</v>
      </c>
      <c r="L148" s="28" t="s">
        <v>189</v>
      </c>
      <c r="M148" s="28" t="s">
        <v>184</v>
      </c>
      <c r="N148" s="25">
        <v>14</v>
      </c>
      <c r="O148" s="29">
        <v>2.5071428571428571</v>
      </c>
      <c r="P148" s="29">
        <v>35.1</v>
      </c>
      <c r="Q148" s="25" t="s">
        <v>384</v>
      </c>
      <c r="R148" s="25"/>
      <c r="S148" s="26" t="s">
        <v>352</v>
      </c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34"/>
        <v>0</v>
      </c>
      <c r="AF148" s="32">
        <f t="shared" si="35"/>
        <v>35.1</v>
      </c>
      <c r="AG148" s="30"/>
      <c r="AH148" s="33"/>
      <c r="AI148" s="34">
        <f t="shared" si="36"/>
        <v>0</v>
      </c>
      <c r="AJ148" s="35"/>
      <c r="AK148" s="30"/>
      <c r="AL148" s="36">
        <f t="shared" si="41"/>
        <v>0</v>
      </c>
      <c r="AM148" s="35"/>
      <c r="AN148" s="30"/>
      <c r="AO148" s="36">
        <f t="shared" si="37"/>
        <v>0</v>
      </c>
      <c r="AP148" s="35"/>
      <c r="AQ148" s="30"/>
      <c r="AR148" s="36">
        <f t="shared" si="38"/>
        <v>0</v>
      </c>
      <c r="AS148" s="27"/>
      <c r="AT148" s="37"/>
      <c r="AU148" s="30"/>
      <c r="AV148" s="36">
        <f t="shared" si="39"/>
        <v>0</v>
      </c>
      <c r="AW148" s="35"/>
      <c r="AX148" s="30"/>
      <c r="AY148" s="32">
        <f t="shared" si="40"/>
        <v>0</v>
      </c>
      <c r="AZ148" s="30" t="s">
        <v>440</v>
      </c>
      <c r="BA148" s="63"/>
      <c r="BB148" s="71" t="e">
        <f>SUMIFS([1]VD001!$G$9:$G$78,[1]VD001!$E$9:$E$78,BC148)</f>
        <v>#VALUE!</v>
      </c>
      <c r="BC148" s="71" t="s">
        <v>189</v>
      </c>
      <c r="BD148" s="71"/>
    </row>
    <row r="149" spans="1:56" hidden="1" x14ac:dyDescent="0.25">
      <c r="A149" s="24">
        <f>IF(B149="","",SUBTOTAL(3,$B$4:B149))</f>
        <v>127</v>
      </c>
      <c r="B149" s="25" t="s">
        <v>439</v>
      </c>
      <c r="C149" s="25" t="str">
        <f t="shared" si="33"/>
        <v>Shipment 2 CO-SCR Duct</v>
      </c>
      <c r="D149" s="25" t="s">
        <v>441</v>
      </c>
      <c r="E149" s="25" t="s">
        <v>442</v>
      </c>
      <c r="F149" s="25"/>
      <c r="G149" s="65">
        <v>46204</v>
      </c>
      <c r="H149" s="25" t="s">
        <v>443</v>
      </c>
      <c r="I149" s="25" t="s">
        <v>444</v>
      </c>
      <c r="J149" s="26" t="s">
        <v>447</v>
      </c>
      <c r="K149" s="27" t="s">
        <v>190</v>
      </c>
      <c r="L149" s="28" t="s">
        <v>191</v>
      </c>
      <c r="M149" s="28" t="s">
        <v>184</v>
      </c>
      <c r="N149" s="25">
        <v>21</v>
      </c>
      <c r="O149" s="29">
        <v>0.74285714285714288</v>
      </c>
      <c r="P149" s="29">
        <v>15.6</v>
      </c>
      <c r="Q149" s="25" t="s">
        <v>385</v>
      </c>
      <c r="R149" s="25"/>
      <c r="S149" s="26" t="s">
        <v>352</v>
      </c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34"/>
        <v>0</v>
      </c>
      <c r="AF149" s="32">
        <f t="shared" si="35"/>
        <v>15.6</v>
      </c>
      <c r="AG149" s="30"/>
      <c r="AH149" s="33"/>
      <c r="AI149" s="34">
        <f t="shared" si="36"/>
        <v>0</v>
      </c>
      <c r="AJ149" s="35"/>
      <c r="AK149" s="30"/>
      <c r="AL149" s="36">
        <f t="shared" si="41"/>
        <v>0</v>
      </c>
      <c r="AM149" s="35"/>
      <c r="AN149" s="30"/>
      <c r="AO149" s="36">
        <f t="shared" si="37"/>
        <v>0</v>
      </c>
      <c r="AP149" s="35"/>
      <c r="AQ149" s="30"/>
      <c r="AR149" s="36">
        <f t="shared" si="38"/>
        <v>0</v>
      </c>
      <c r="AS149" s="27"/>
      <c r="AT149" s="37"/>
      <c r="AU149" s="30"/>
      <c r="AV149" s="36">
        <f t="shared" si="39"/>
        <v>0</v>
      </c>
      <c r="AW149" s="35"/>
      <c r="AX149" s="30"/>
      <c r="AY149" s="32">
        <f t="shared" si="40"/>
        <v>0</v>
      </c>
      <c r="AZ149" s="30" t="s">
        <v>440</v>
      </c>
      <c r="BA149" s="63"/>
      <c r="BB149" s="71" t="e">
        <f>SUMIFS([1]VD001!$G$9:$G$78,[1]VD001!$E$9:$E$78,BC149)</f>
        <v>#VALUE!</v>
      </c>
      <c r="BC149" s="71" t="s">
        <v>191</v>
      </c>
      <c r="BD149" s="71"/>
    </row>
    <row r="150" spans="1:56" hidden="1" x14ac:dyDescent="0.25">
      <c r="A150" s="24">
        <f>IF(B150="","",SUBTOTAL(3,$B$4:B150))</f>
        <v>127</v>
      </c>
      <c r="B150" s="25" t="s">
        <v>439</v>
      </c>
      <c r="C150" s="25" t="str">
        <f t="shared" si="33"/>
        <v>Shipment 2 CO-SCR Duct</v>
      </c>
      <c r="D150" s="25" t="s">
        <v>441</v>
      </c>
      <c r="E150" s="25" t="s">
        <v>442</v>
      </c>
      <c r="F150" s="25"/>
      <c r="G150" s="65">
        <v>46204</v>
      </c>
      <c r="H150" s="25" t="s">
        <v>443</v>
      </c>
      <c r="I150" s="25" t="s">
        <v>444</v>
      </c>
      <c r="J150" s="26" t="s">
        <v>447</v>
      </c>
      <c r="K150" s="27" t="s">
        <v>192</v>
      </c>
      <c r="L150" s="28" t="s">
        <v>193</v>
      </c>
      <c r="M150" s="28" t="s">
        <v>184</v>
      </c>
      <c r="N150" s="25">
        <v>74</v>
      </c>
      <c r="O150" s="29">
        <v>1.1054054054054054</v>
      </c>
      <c r="P150" s="29">
        <v>81.8</v>
      </c>
      <c r="Q150" s="25" t="s">
        <v>386</v>
      </c>
      <c r="R150" s="25"/>
      <c r="S150" s="26" t="s">
        <v>352</v>
      </c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34"/>
        <v>0</v>
      </c>
      <c r="AF150" s="32">
        <f t="shared" si="35"/>
        <v>81.8</v>
      </c>
      <c r="AG150" s="30"/>
      <c r="AH150" s="33"/>
      <c r="AI150" s="34">
        <f t="shared" si="36"/>
        <v>0</v>
      </c>
      <c r="AJ150" s="35"/>
      <c r="AK150" s="30"/>
      <c r="AL150" s="36">
        <f t="shared" si="41"/>
        <v>0</v>
      </c>
      <c r="AM150" s="35"/>
      <c r="AN150" s="30"/>
      <c r="AO150" s="36">
        <f t="shared" si="37"/>
        <v>0</v>
      </c>
      <c r="AP150" s="35"/>
      <c r="AQ150" s="30"/>
      <c r="AR150" s="36">
        <f t="shared" si="38"/>
        <v>0</v>
      </c>
      <c r="AS150" s="27"/>
      <c r="AT150" s="37"/>
      <c r="AU150" s="30"/>
      <c r="AV150" s="36">
        <f t="shared" si="39"/>
        <v>0</v>
      </c>
      <c r="AW150" s="35"/>
      <c r="AX150" s="30"/>
      <c r="AY150" s="32">
        <f t="shared" si="40"/>
        <v>0</v>
      </c>
      <c r="AZ150" s="30" t="s">
        <v>440</v>
      </c>
      <c r="BA150" s="63"/>
      <c r="BB150" s="71" t="e">
        <f>SUMIFS([1]VD001!$G$9:$G$78,[1]VD001!$E$9:$E$78,BC150)</f>
        <v>#VALUE!</v>
      </c>
      <c r="BC150" s="71" t="s">
        <v>193</v>
      </c>
      <c r="BD150" s="71"/>
    </row>
    <row r="151" spans="1:56" x14ac:dyDescent="0.25">
      <c r="A151" s="24">
        <f>IF(B151="","",SUBTOTAL(3,$B$4:B151))</f>
        <v>128</v>
      </c>
      <c r="B151" s="25" t="s">
        <v>439</v>
      </c>
      <c r="C151" s="25" t="str">
        <f t="shared" si="33"/>
        <v>Shipment 2 CO-SCR Duct</v>
      </c>
      <c r="D151" s="25" t="s">
        <v>441</v>
      </c>
      <c r="E151" s="25" t="s">
        <v>442</v>
      </c>
      <c r="F151" s="25"/>
      <c r="G151" s="65">
        <v>46204</v>
      </c>
      <c r="H151" s="25" t="s">
        <v>443</v>
      </c>
      <c r="I151" s="25" t="s">
        <v>444</v>
      </c>
      <c r="J151" s="26" t="s">
        <v>447</v>
      </c>
      <c r="K151" s="27" t="s">
        <v>194</v>
      </c>
      <c r="L151" s="28" t="s">
        <v>195</v>
      </c>
      <c r="M151" s="28" t="s">
        <v>184</v>
      </c>
      <c r="N151" s="25">
        <v>2</v>
      </c>
      <c r="O151" s="29">
        <v>20.3</v>
      </c>
      <c r="P151" s="29">
        <v>40.6</v>
      </c>
      <c r="Q151" s="25" t="s">
        <v>387</v>
      </c>
      <c r="R151" s="25"/>
      <c r="S151" s="26" t="s">
        <v>352</v>
      </c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34"/>
        <v>40.600000000000009</v>
      </c>
      <c r="AF151" s="32">
        <f t="shared" si="35"/>
        <v>0</v>
      </c>
      <c r="AG151" s="30"/>
      <c r="AH151" s="33"/>
      <c r="AI151" s="34">
        <f t="shared" si="36"/>
        <v>0</v>
      </c>
      <c r="AJ151" s="35">
        <v>46312</v>
      </c>
      <c r="AK151" s="30">
        <v>2</v>
      </c>
      <c r="AL151" s="36">
        <f t="shared" si="41"/>
        <v>40.6</v>
      </c>
      <c r="AM151" s="35">
        <v>46312</v>
      </c>
      <c r="AN151" s="30">
        <v>2</v>
      </c>
      <c r="AO151" s="36">
        <f t="shared" si="37"/>
        <v>40.6</v>
      </c>
      <c r="AP151" s="35"/>
      <c r="AQ151" s="30"/>
      <c r="AR151" s="36">
        <f t="shared" si="38"/>
        <v>0</v>
      </c>
      <c r="AS151" s="27" t="s">
        <v>967</v>
      </c>
      <c r="AT151" s="37">
        <v>46312</v>
      </c>
      <c r="AU151" s="30">
        <v>2</v>
      </c>
      <c r="AV151" s="36">
        <f t="shared" si="39"/>
        <v>40.6</v>
      </c>
      <c r="AW151" s="35"/>
      <c r="AX151" s="30"/>
      <c r="AY151" s="32">
        <f t="shared" si="40"/>
        <v>0</v>
      </c>
      <c r="AZ151" s="30" t="s">
        <v>440</v>
      </c>
      <c r="BA151" s="63"/>
      <c r="BB151" s="71"/>
      <c r="BC151" s="71" t="s">
        <v>195</v>
      </c>
      <c r="BD151" s="71"/>
    </row>
    <row r="152" spans="1:56" x14ac:dyDescent="0.25">
      <c r="A152" s="24">
        <f>IF(B152="","",SUBTOTAL(3,$B$4:B152))</f>
        <v>129</v>
      </c>
      <c r="B152" s="25" t="s">
        <v>439</v>
      </c>
      <c r="C152" s="25" t="str">
        <f t="shared" si="33"/>
        <v>Shipment 2 CO-SCR Duct</v>
      </c>
      <c r="D152" s="25" t="s">
        <v>441</v>
      </c>
      <c r="E152" s="25" t="s">
        <v>442</v>
      </c>
      <c r="F152" s="25"/>
      <c r="G152" s="65">
        <v>46204</v>
      </c>
      <c r="H152" s="25" t="s">
        <v>443</v>
      </c>
      <c r="I152" s="25" t="s">
        <v>444</v>
      </c>
      <c r="J152" s="26" t="s">
        <v>447</v>
      </c>
      <c r="K152" s="27" t="s">
        <v>196</v>
      </c>
      <c r="L152" s="28" t="s">
        <v>197</v>
      </c>
      <c r="M152" s="28" t="s">
        <v>198</v>
      </c>
      <c r="N152" s="25">
        <v>2</v>
      </c>
      <c r="O152" s="29">
        <v>0.5</v>
      </c>
      <c r="P152" s="29">
        <v>1</v>
      </c>
      <c r="Q152" s="25" t="s">
        <v>388</v>
      </c>
      <c r="R152" s="25"/>
      <c r="S152" s="26" t="s">
        <v>352</v>
      </c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34"/>
        <v>1</v>
      </c>
      <c r="AF152" s="32">
        <f t="shared" si="35"/>
        <v>0</v>
      </c>
      <c r="AG152" s="30"/>
      <c r="AH152" s="33"/>
      <c r="AI152" s="34">
        <f t="shared" si="36"/>
        <v>0</v>
      </c>
      <c r="AJ152" s="35">
        <v>46312</v>
      </c>
      <c r="AK152" s="30">
        <v>2</v>
      </c>
      <c r="AL152" s="36">
        <f t="shared" si="41"/>
        <v>1</v>
      </c>
      <c r="AM152" s="35">
        <v>46312</v>
      </c>
      <c r="AN152" s="30">
        <v>2</v>
      </c>
      <c r="AO152" s="36">
        <f t="shared" si="37"/>
        <v>1</v>
      </c>
      <c r="AP152" s="35"/>
      <c r="AQ152" s="30"/>
      <c r="AR152" s="36">
        <f t="shared" si="38"/>
        <v>0</v>
      </c>
      <c r="AS152" s="27" t="s">
        <v>967</v>
      </c>
      <c r="AT152" s="37">
        <v>46312</v>
      </c>
      <c r="AU152" s="30">
        <v>2</v>
      </c>
      <c r="AV152" s="36">
        <f t="shared" si="39"/>
        <v>1</v>
      </c>
      <c r="AW152" s="35"/>
      <c r="AX152" s="30"/>
      <c r="AY152" s="32">
        <f t="shared" si="40"/>
        <v>0</v>
      </c>
      <c r="AZ152" s="30" t="s">
        <v>440</v>
      </c>
      <c r="BA152" s="63"/>
      <c r="BB152" s="71"/>
      <c r="BC152" s="71" t="s">
        <v>197</v>
      </c>
      <c r="BD152" s="71"/>
    </row>
    <row r="153" spans="1:56" x14ac:dyDescent="0.25">
      <c r="A153" s="24">
        <f>IF(B153="","",SUBTOTAL(3,$B$4:B153))</f>
        <v>130</v>
      </c>
      <c r="B153" s="25" t="s">
        <v>439</v>
      </c>
      <c r="C153" s="25" t="str">
        <f t="shared" si="33"/>
        <v>Shipment 2 CO-SCR Duct</v>
      </c>
      <c r="D153" s="25" t="s">
        <v>441</v>
      </c>
      <c r="E153" s="25" t="s">
        <v>442</v>
      </c>
      <c r="F153" s="25"/>
      <c r="G153" s="65">
        <v>46204</v>
      </c>
      <c r="H153" s="25" t="s">
        <v>443</v>
      </c>
      <c r="I153" s="25" t="s">
        <v>444</v>
      </c>
      <c r="J153" s="26" t="s">
        <v>447</v>
      </c>
      <c r="K153" s="27" t="s">
        <v>199</v>
      </c>
      <c r="L153" s="28" t="s">
        <v>200</v>
      </c>
      <c r="M153" s="28" t="s">
        <v>198</v>
      </c>
      <c r="N153" s="25">
        <v>2</v>
      </c>
      <c r="O153" s="29">
        <v>0.5</v>
      </c>
      <c r="P153" s="29">
        <v>1</v>
      </c>
      <c r="Q153" s="25" t="s">
        <v>389</v>
      </c>
      <c r="R153" s="25"/>
      <c r="S153" s="26" t="s">
        <v>352</v>
      </c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34"/>
        <v>1</v>
      </c>
      <c r="AF153" s="32">
        <f t="shared" si="35"/>
        <v>0</v>
      </c>
      <c r="AG153" s="30"/>
      <c r="AH153" s="33"/>
      <c r="AI153" s="34">
        <f t="shared" si="36"/>
        <v>0</v>
      </c>
      <c r="AJ153" s="35">
        <v>46312</v>
      </c>
      <c r="AK153" s="30">
        <v>2</v>
      </c>
      <c r="AL153" s="36">
        <f t="shared" si="41"/>
        <v>1</v>
      </c>
      <c r="AM153" s="35">
        <v>46312</v>
      </c>
      <c r="AN153" s="30">
        <v>2</v>
      </c>
      <c r="AO153" s="36">
        <f t="shared" si="37"/>
        <v>1</v>
      </c>
      <c r="AP153" s="35"/>
      <c r="AQ153" s="30"/>
      <c r="AR153" s="36">
        <f t="shared" si="38"/>
        <v>0</v>
      </c>
      <c r="AS153" s="27" t="s">
        <v>967</v>
      </c>
      <c r="AT153" s="37">
        <v>46312</v>
      </c>
      <c r="AU153" s="30">
        <v>2</v>
      </c>
      <c r="AV153" s="36">
        <f t="shared" si="39"/>
        <v>1</v>
      </c>
      <c r="AW153" s="35"/>
      <c r="AX153" s="30"/>
      <c r="AY153" s="32">
        <f t="shared" si="40"/>
        <v>0</v>
      </c>
      <c r="AZ153" s="30" t="s">
        <v>440</v>
      </c>
      <c r="BA153" s="63"/>
      <c r="BB153" s="71"/>
      <c r="BC153" s="71" t="s">
        <v>200</v>
      </c>
      <c r="BD153" s="71"/>
    </row>
    <row r="154" spans="1:56" hidden="1" x14ac:dyDescent="0.25">
      <c r="A154" s="24">
        <f>IF(B154="","",SUBTOTAL(3,$B$4:B154))</f>
        <v>130</v>
      </c>
      <c r="B154" s="25" t="s">
        <v>439</v>
      </c>
      <c r="C154" s="25" t="str">
        <f t="shared" si="33"/>
        <v>Shipment 2 CO-SCR Duct</v>
      </c>
      <c r="D154" s="25" t="s">
        <v>441</v>
      </c>
      <c r="E154" s="25" t="s">
        <v>442</v>
      </c>
      <c r="F154" s="25"/>
      <c r="G154" s="65">
        <v>46204</v>
      </c>
      <c r="H154" s="25" t="s">
        <v>443</v>
      </c>
      <c r="I154" s="25" t="s">
        <v>444</v>
      </c>
      <c r="J154" s="26" t="s">
        <v>447</v>
      </c>
      <c r="K154" s="27" t="s">
        <v>201</v>
      </c>
      <c r="L154" s="28" t="s">
        <v>202</v>
      </c>
      <c r="M154" s="28" t="s">
        <v>184</v>
      </c>
      <c r="N154" s="25">
        <v>2</v>
      </c>
      <c r="O154" s="29">
        <v>0.1</v>
      </c>
      <c r="P154" s="29">
        <v>0.2</v>
      </c>
      <c r="Q154" s="25" t="s">
        <v>390</v>
      </c>
      <c r="R154" s="25"/>
      <c r="S154" s="26" t="s">
        <v>352</v>
      </c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34"/>
        <v>0</v>
      </c>
      <c r="AF154" s="32">
        <f t="shared" si="35"/>
        <v>0.2</v>
      </c>
      <c r="AG154" s="30"/>
      <c r="AH154" s="33"/>
      <c r="AI154" s="34">
        <f t="shared" si="36"/>
        <v>0</v>
      </c>
      <c r="AJ154" s="35"/>
      <c r="AK154" s="30"/>
      <c r="AL154" s="36">
        <f t="shared" si="41"/>
        <v>0</v>
      </c>
      <c r="AM154" s="35"/>
      <c r="AN154" s="30"/>
      <c r="AO154" s="36">
        <f t="shared" si="37"/>
        <v>0</v>
      </c>
      <c r="AP154" s="35"/>
      <c r="AQ154" s="30"/>
      <c r="AR154" s="36">
        <f t="shared" si="38"/>
        <v>0</v>
      </c>
      <c r="AS154" s="27"/>
      <c r="AT154" s="37"/>
      <c r="AU154" s="30"/>
      <c r="AV154" s="36">
        <f t="shared" si="39"/>
        <v>0</v>
      </c>
      <c r="AW154" s="35"/>
      <c r="AX154" s="30"/>
      <c r="AY154" s="32">
        <f t="shared" si="40"/>
        <v>0</v>
      </c>
      <c r="AZ154" s="30" t="s">
        <v>440</v>
      </c>
      <c r="BA154" s="63"/>
      <c r="BB154" s="71" t="e">
        <f>SUMIFS([1]VD001!$G$9:$G$78,[1]VD001!$E$9:$E$78,BC154)</f>
        <v>#VALUE!</v>
      </c>
      <c r="BC154" s="71" t="s">
        <v>202</v>
      </c>
      <c r="BD154" s="71"/>
    </row>
    <row r="155" spans="1:56" x14ac:dyDescent="0.25">
      <c r="A155" s="24">
        <f>IF(B155="","",SUBTOTAL(3,$B$4:B155))</f>
        <v>131</v>
      </c>
      <c r="B155" s="25" t="s">
        <v>439</v>
      </c>
      <c r="C155" s="25" t="str">
        <f t="shared" si="33"/>
        <v>Shipment 2 CO-SCR Duct</v>
      </c>
      <c r="D155" s="25" t="s">
        <v>441</v>
      </c>
      <c r="E155" s="25" t="s">
        <v>442</v>
      </c>
      <c r="F155" s="25"/>
      <c r="G155" s="65">
        <v>46204</v>
      </c>
      <c r="H155" s="25" t="s">
        <v>443</v>
      </c>
      <c r="I155" s="25" t="s">
        <v>444</v>
      </c>
      <c r="J155" s="26" t="s">
        <v>447</v>
      </c>
      <c r="K155" s="27" t="s">
        <v>203</v>
      </c>
      <c r="L155" s="28" t="s">
        <v>204</v>
      </c>
      <c r="M155" s="28" t="s">
        <v>187</v>
      </c>
      <c r="N155" s="25">
        <v>5</v>
      </c>
      <c r="O155" s="29">
        <v>0.45999999999999996</v>
      </c>
      <c r="P155" s="29">
        <v>2.2999999999999998</v>
      </c>
      <c r="Q155" s="25" t="s">
        <v>383</v>
      </c>
      <c r="R155" s="25"/>
      <c r="S155" s="26" t="s">
        <v>352</v>
      </c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34"/>
        <v>2.2999999999999998</v>
      </c>
      <c r="AF155" s="32">
        <f t="shared" si="35"/>
        <v>0</v>
      </c>
      <c r="AG155" s="30"/>
      <c r="AH155" s="33"/>
      <c r="AI155" s="34">
        <f t="shared" si="36"/>
        <v>0</v>
      </c>
      <c r="AJ155" s="35">
        <v>46312</v>
      </c>
      <c r="AK155" s="30">
        <v>5</v>
      </c>
      <c r="AL155" s="36">
        <f t="shared" si="41"/>
        <v>2.2999999999999998</v>
      </c>
      <c r="AM155" s="35">
        <v>46312</v>
      </c>
      <c r="AN155" s="30">
        <v>5</v>
      </c>
      <c r="AO155" s="36">
        <f t="shared" si="37"/>
        <v>2.2999999999999998</v>
      </c>
      <c r="AP155" s="35"/>
      <c r="AQ155" s="30"/>
      <c r="AR155" s="36">
        <f t="shared" si="38"/>
        <v>0</v>
      </c>
      <c r="AS155" s="27" t="s">
        <v>967</v>
      </c>
      <c r="AT155" s="37">
        <v>46312</v>
      </c>
      <c r="AU155" s="30">
        <v>5</v>
      </c>
      <c r="AV155" s="36">
        <f t="shared" si="39"/>
        <v>2.2999999999999998</v>
      </c>
      <c r="AW155" s="35"/>
      <c r="AX155" s="30"/>
      <c r="AY155" s="32">
        <f t="shared" si="40"/>
        <v>0</v>
      </c>
      <c r="AZ155" s="30" t="s">
        <v>440</v>
      </c>
      <c r="BA155" s="63"/>
      <c r="BB155" s="71"/>
      <c r="BC155" s="71" t="s">
        <v>204</v>
      </c>
      <c r="BD155" s="71"/>
    </row>
    <row r="156" spans="1:56" x14ac:dyDescent="0.25">
      <c r="A156" s="24">
        <f>IF(B156="","",SUBTOTAL(3,$B$4:B156))</f>
        <v>132</v>
      </c>
      <c r="B156" s="25" t="s">
        <v>439</v>
      </c>
      <c r="C156" s="25" t="str">
        <f t="shared" si="33"/>
        <v>Shipment 2 CO-SCR Duct</v>
      </c>
      <c r="D156" s="25" t="s">
        <v>441</v>
      </c>
      <c r="E156" s="25" t="s">
        <v>442</v>
      </c>
      <c r="F156" s="25"/>
      <c r="G156" s="65">
        <v>46204</v>
      </c>
      <c r="H156" s="25" t="s">
        <v>443</v>
      </c>
      <c r="I156" s="25" t="s">
        <v>444</v>
      </c>
      <c r="J156" s="26" t="s">
        <v>447</v>
      </c>
      <c r="K156" s="27" t="s">
        <v>205</v>
      </c>
      <c r="L156" s="28" t="s">
        <v>206</v>
      </c>
      <c r="M156" s="28" t="s">
        <v>187</v>
      </c>
      <c r="N156" s="25">
        <v>1</v>
      </c>
      <c r="O156" s="29">
        <v>0.5</v>
      </c>
      <c r="P156" s="29">
        <v>0.5</v>
      </c>
      <c r="Q156" s="25" t="s">
        <v>383</v>
      </c>
      <c r="R156" s="25"/>
      <c r="S156" s="26" t="s">
        <v>352</v>
      </c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si="34"/>
        <v>0.5</v>
      </c>
      <c r="AF156" s="32">
        <f t="shared" si="35"/>
        <v>0</v>
      </c>
      <c r="AG156" s="30"/>
      <c r="AH156" s="33"/>
      <c r="AI156" s="34">
        <f t="shared" si="36"/>
        <v>0</v>
      </c>
      <c r="AJ156" s="35">
        <v>46312</v>
      </c>
      <c r="AK156" s="30">
        <v>1</v>
      </c>
      <c r="AL156" s="36">
        <f t="shared" si="41"/>
        <v>0.5</v>
      </c>
      <c r="AM156" s="35">
        <v>46312</v>
      </c>
      <c r="AN156" s="30">
        <v>1</v>
      </c>
      <c r="AO156" s="36">
        <f t="shared" si="37"/>
        <v>0.5</v>
      </c>
      <c r="AP156" s="35"/>
      <c r="AQ156" s="30"/>
      <c r="AR156" s="36">
        <f t="shared" si="38"/>
        <v>0</v>
      </c>
      <c r="AS156" s="27" t="s">
        <v>967</v>
      </c>
      <c r="AT156" s="37">
        <v>46312</v>
      </c>
      <c r="AU156" s="30">
        <v>1</v>
      </c>
      <c r="AV156" s="36">
        <f t="shared" si="39"/>
        <v>0.5</v>
      </c>
      <c r="AW156" s="35"/>
      <c r="AX156" s="30"/>
      <c r="AY156" s="32">
        <f t="shared" si="40"/>
        <v>0</v>
      </c>
      <c r="AZ156" s="30" t="s">
        <v>440</v>
      </c>
      <c r="BA156" s="63"/>
      <c r="BB156" s="71"/>
      <c r="BC156" s="71" t="s">
        <v>206</v>
      </c>
      <c r="BD156" s="71"/>
    </row>
    <row r="157" spans="1:56" x14ac:dyDescent="0.25">
      <c r="A157" s="24">
        <f>IF(B157="","",SUBTOTAL(3,$B$4:B157))</f>
        <v>133</v>
      </c>
      <c r="B157" s="25" t="s">
        <v>439</v>
      </c>
      <c r="C157" s="25" t="str">
        <f t="shared" si="33"/>
        <v>Shipment 2 CO-SCR Duct</v>
      </c>
      <c r="D157" s="25" t="s">
        <v>441</v>
      </c>
      <c r="E157" s="25" t="s">
        <v>442</v>
      </c>
      <c r="F157" s="25"/>
      <c r="G157" s="65">
        <v>46204</v>
      </c>
      <c r="H157" s="25" t="s">
        <v>443</v>
      </c>
      <c r="I157" s="25" t="s">
        <v>444</v>
      </c>
      <c r="J157" s="26" t="s">
        <v>447</v>
      </c>
      <c r="K157" s="27" t="s">
        <v>207</v>
      </c>
      <c r="L157" s="28" t="s">
        <v>208</v>
      </c>
      <c r="M157" s="28" t="s">
        <v>209</v>
      </c>
      <c r="N157" s="25">
        <v>4</v>
      </c>
      <c r="O157" s="29">
        <v>0.52500000000000002</v>
      </c>
      <c r="P157" s="29">
        <v>2.1</v>
      </c>
      <c r="Q157" s="25" t="s">
        <v>391</v>
      </c>
      <c r="R157" s="25"/>
      <c r="S157" s="26" t="s">
        <v>352</v>
      </c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34"/>
        <v>2.1</v>
      </c>
      <c r="AF157" s="32">
        <f t="shared" si="35"/>
        <v>0</v>
      </c>
      <c r="AG157" s="30"/>
      <c r="AH157" s="33"/>
      <c r="AI157" s="34">
        <f t="shared" si="36"/>
        <v>0</v>
      </c>
      <c r="AJ157" s="35">
        <v>46312</v>
      </c>
      <c r="AK157" s="30">
        <v>4</v>
      </c>
      <c r="AL157" s="36">
        <f t="shared" si="41"/>
        <v>2.1</v>
      </c>
      <c r="AM157" s="35">
        <v>46312</v>
      </c>
      <c r="AN157" s="30">
        <v>4</v>
      </c>
      <c r="AO157" s="36">
        <f t="shared" si="37"/>
        <v>2.1</v>
      </c>
      <c r="AP157" s="35"/>
      <c r="AQ157" s="30"/>
      <c r="AR157" s="36">
        <f t="shared" si="38"/>
        <v>0</v>
      </c>
      <c r="AS157" s="27" t="s">
        <v>967</v>
      </c>
      <c r="AT157" s="37">
        <v>46312</v>
      </c>
      <c r="AU157" s="30">
        <v>4</v>
      </c>
      <c r="AV157" s="36">
        <f t="shared" si="39"/>
        <v>2.1</v>
      </c>
      <c r="AW157" s="35"/>
      <c r="AX157" s="30"/>
      <c r="AY157" s="32">
        <f t="shared" si="40"/>
        <v>0</v>
      </c>
      <c r="AZ157" s="30" t="s">
        <v>440</v>
      </c>
      <c r="BA157" s="63"/>
      <c r="BB157" s="71"/>
      <c r="BC157" s="71" t="s">
        <v>208</v>
      </c>
      <c r="BD157" s="71"/>
    </row>
    <row r="158" spans="1:56" x14ac:dyDescent="0.25">
      <c r="A158" s="24">
        <f>IF(B158="","",SUBTOTAL(3,$B$4:B158))</f>
        <v>134</v>
      </c>
      <c r="B158" s="25" t="s">
        <v>439</v>
      </c>
      <c r="C158" s="25" t="str">
        <f t="shared" si="33"/>
        <v>Shipment 2 CO-SCR Duct</v>
      </c>
      <c r="D158" s="25" t="s">
        <v>441</v>
      </c>
      <c r="E158" s="25" t="s">
        <v>442</v>
      </c>
      <c r="F158" s="25"/>
      <c r="G158" s="65">
        <v>46204</v>
      </c>
      <c r="H158" s="25" t="s">
        <v>443</v>
      </c>
      <c r="I158" s="25" t="s">
        <v>444</v>
      </c>
      <c r="J158" s="26" t="s">
        <v>447</v>
      </c>
      <c r="K158" s="27" t="s">
        <v>210</v>
      </c>
      <c r="L158" s="28" t="s">
        <v>211</v>
      </c>
      <c r="M158" s="28" t="s">
        <v>209</v>
      </c>
      <c r="N158" s="25">
        <v>8</v>
      </c>
      <c r="O158" s="29">
        <v>0.4</v>
      </c>
      <c r="P158" s="29">
        <v>3.2</v>
      </c>
      <c r="Q158" s="25" t="s">
        <v>392</v>
      </c>
      <c r="R158" s="25"/>
      <c r="S158" s="26" t="s">
        <v>352</v>
      </c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si="34"/>
        <v>3.2</v>
      </c>
      <c r="AF158" s="32">
        <f t="shared" si="35"/>
        <v>0</v>
      </c>
      <c r="AG158" s="30"/>
      <c r="AH158" s="33"/>
      <c r="AI158" s="34">
        <f t="shared" si="36"/>
        <v>0</v>
      </c>
      <c r="AJ158" s="35">
        <v>46312</v>
      </c>
      <c r="AK158" s="30">
        <v>8</v>
      </c>
      <c r="AL158" s="36">
        <f t="shared" si="41"/>
        <v>3.2</v>
      </c>
      <c r="AM158" s="35">
        <v>46312</v>
      </c>
      <c r="AN158" s="30">
        <v>8</v>
      </c>
      <c r="AO158" s="36">
        <f t="shared" si="37"/>
        <v>3.2</v>
      </c>
      <c r="AP158" s="35"/>
      <c r="AQ158" s="30"/>
      <c r="AR158" s="36">
        <f t="shared" si="38"/>
        <v>0</v>
      </c>
      <c r="AS158" s="27" t="s">
        <v>967</v>
      </c>
      <c r="AT158" s="37">
        <v>46312</v>
      </c>
      <c r="AU158" s="30">
        <v>8</v>
      </c>
      <c r="AV158" s="36">
        <f t="shared" si="39"/>
        <v>3.2</v>
      </c>
      <c r="AW158" s="35"/>
      <c r="AX158" s="30"/>
      <c r="AY158" s="32">
        <f t="shared" si="40"/>
        <v>0</v>
      </c>
      <c r="AZ158" s="30" t="s">
        <v>440</v>
      </c>
      <c r="BA158" s="63"/>
      <c r="BB158" s="71"/>
      <c r="BC158" s="71" t="s">
        <v>211</v>
      </c>
      <c r="BD158" s="71"/>
    </row>
    <row r="159" spans="1:56" x14ac:dyDescent="0.25">
      <c r="A159" s="24">
        <f>IF(B159="","",SUBTOTAL(3,$B$4:B159))</f>
        <v>135</v>
      </c>
      <c r="B159" s="25" t="s">
        <v>439</v>
      </c>
      <c r="C159" s="25" t="str">
        <f t="shared" si="33"/>
        <v>Shipment 2 CO-SCR Duct</v>
      </c>
      <c r="D159" s="25" t="s">
        <v>441</v>
      </c>
      <c r="E159" s="25" t="s">
        <v>442</v>
      </c>
      <c r="F159" s="25"/>
      <c r="G159" s="65">
        <v>46204</v>
      </c>
      <c r="H159" s="25" t="s">
        <v>443</v>
      </c>
      <c r="I159" s="25" t="s">
        <v>444</v>
      </c>
      <c r="J159" s="26" t="s">
        <v>447</v>
      </c>
      <c r="K159" s="27" t="s">
        <v>212</v>
      </c>
      <c r="L159" s="28" t="s">
        <v>213</v>
      </c>
      <c r="M159" s="28" t="s">
        <v>209</v>
      </c>
      <c r="N159" s="25">
        <v>8</v>
      </c>
      <c r="O159" s="29">
        <v>0.51249999999999996</v>
      </c>
      <c r="P159" s="29">
        <v>4.0999999999999996</v>
      </c>
      <c r="Q159" s="25" t="s">
        <v>388</v>
      </c>
      <c r="R159" s="25"/>
      <c r="S159" s="26" t="s">
        <v>352</v>
      </c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34"/>
        <v>4.0999999999999996</v>
      </c>
      <c r="AF159" s="32">
        <f t="shared" si="35"/>
        <v>0</v>
      </c>
      <c r="AG159" s="30"/>
      <c r="AH159" s="33"/>
      <c r="AI159" s="34">
        <f t="shared" si="36"/>
        <v>0</v>
      </c>
      <c r="AJ159" s="35">
        <v>46312</v>
      </c>
      <c r="AK159" s="30">
        <v>8</v>
      </c>
      <c r="AL159" s="36">
        <f t="shared" si="41"/>
        <v>4.0999999999999996</v>
      </c>
      <c r="AM159" s="35">
        <v>46312</v>
      </c>
      <c r="AN159" s="30">
        <v>8</v>
      </c>
      <c r="AO159" s="36">
        <f t="shared" si="37"/>
        <v>4.0999999999999996</v>
      </c>
      <c r="AP159" s="35"/>
      <c r="AQ159" s="30"/>
      <c r="AR159" s="36">
        <f t="shared" si="38"/>
        <v>0</v>
      </c>
      <c r="AS159" s="27" t="s">
        <v>967</v>
      </c>
      <c r="AT159" s="37">
        <v>46312</v>
      </c>
      <c r="AU159" s="30">
        <v>8</v>
      </c>
      <c r="AV159" s="36">
        <f t="shared" si="39"/>
        <v>4.0999999999999996</v>
      </c>
      <c r="AW159" s="35"/>
      <c r="AX159" s="30"/>
      <c r="AY159" s="32">
        <f t="shared" si="40"/>
        <v>0</v>
      </c>
      <c r="AZ159" s="30" t="s">
        <v>440</v>
      </c>
      <c r="BA159" s="63"/>
      <c r="BB159" s="71"/>
      <c r="BC159" s="71" t="s">
        <v>213</v>
      </c>
      <c r="BD159" s="71"/>
    </row>
    <row r="160" spans="1:56" x14ac:dyDescent="0.25">
      <c r="A160" s="24">
        <f>IF(B160="","",SUBTOTAL(3,$B$4:B160))</f>
        <v>136</v>
      </c>
      <c r="B160" s="25" t="s">
        <v>439</v>
      </c>
      <c r="C160" s="25" t="str">
        <f t="shared" si="33"/>
        <v>Shipment 2 CO-SCR Duct</v>
      </c>
      <c r="D160" s="25" t="s">
        <v>441</v>
      </c>
      <c r="E160" s="25" t="s">
        <v>442</v>
      </c>
      <c r="F160" s="25"/>
      <c r="G160" s="65">
        <v>46204</v>
      </c>
      <c r="H160" s="25" t="s">
        <v>443</v>
      </c>
      <c r="I160" s="25" t="s">
        <v>444</v>
      </c>
      <c r="J160" s="26" t="s">
        <v>447</v>
      </c>
      <c r="K160" s="27" t="s">
        <v>214</v>
      </c>
      <c r="L160" s="28" t="s">
        <v>215</v>
      </c>
      <c r="M160" s="28" t="s">
        <v>209</v>
      </c>
      <c r="N160" s="25">
        <v>4</v>
      </c>
      <c r="O160" s="29">
        <v>0.72499999999999998</v>
      </c>
      <c r="P160" s="29">
        <v>2.9</v>
      </c>
      <c r="Q160" s="25" t="s">
        <v>393</v>
      </c>
      <c r="R160" s="25"/>
      <c r="S160" s="26" t="s">
        <v>352</v>
      </c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34"/>
        <v>2.9</v>
      </c>
      <c r="AF160" s="32">
        <f t="shared" si="35"/>
        <v>0</v>
      </c>
      <c r="AG160" s="30"/>
      <c r="AH160" s="33"/>
      <c r="AI160" s="34">
        <f t="shared" si="36"/>
        <v>0</v>
      </c>
      <c r="AJ160" s="35">
        <v>46312</v>
      </c>
      <c r="AK160" s="30">
        <v>4</v>
      </c>
      <c r="AL160" s="36">
        <f t="shared" si="41"/>
        <v>2.9</v>
      </c>
      <c r="AM160" s="35">
        <v>46312</v>
      </c>
      <c r="AN160" s="30">
        <v>4</v>
      </c>
      <c r="AO160" s="36">
        <f t="shared" si="37"/>
        <v>2.9</v>
      </c>
      <c r="AP160" s="35"/>
      <c r="AQ160" s="30"/>
      <c r="AR160" s="36">
        <f t="shared" si="38"/>
        <v>0</v>
      </c>
      <c r="AS160" s="27" t="s">
        <v>967</v>
      </c>
      <c r="AT160" s="37">
        <v>46312</v>
      </c>
      <c r="AU160" s="30">
        <v>4</v>
      </c>
      <c r="AV160" s="36">
        <f t="shared" si="39"/>
        <v>2.9</v>
      </c>
      <c r="AW160" s="35"/>
      <c r="AX160" s="30"/>
      <c r="AY160" s="32">
        <f t="shared" si="40"/>
        <v>0</v>
      </c>
      <c r="AZ160" s="30" t="s">
        <v>440</v>
      </c>
      <c r="BA160" s="63"/>
      <c r="BB160" s="71"/>
      <c r="BC160" s="71" t="s">
        <v>215</v>
      </c>
      <c r="BD160" s="71"/>
    </row>
    <row r="161" spans="1:56" x14ac:dyDescent="0.25">
      <c r="A161" s="24">
        <f>IF(B161="","",SUBTOTAL(3,$B$4:B161))</f>
        <v>137</v>
      </c>
      <c r="B161" s="25" t="s">
        <v>439</v>
      </c>
      <c r="C161" s="25" t="str">
        <f t="shared" si="33"/>
        <v>Shipment 2 CO-SCR Duct</v>
      </c>
      <c r="D161" s="25" t="s">
        <v>441</v>
      </c>
      <c r="E161" s="25" t="s">
        <v>442</v>
      </c>
      <c r="F161" s="25"/>
      <c r="G161" s="65">
        <v>46204</v>
      </c>
      <c r="H161" s="25" t="s">
        <v>443</v>
      </c>
      <c r="I161" s="25" t="s">
        <v>444</v>
      </c>
      <c r="J161" s="26" t="s">
        <v>447</v>
      </c>
      <c r="K161" s="27" t="s">
        <v>216</v>
      </c>
      <c r="L161" s="28" t="s">
        <v>217</v>
      </c>
      <c r="M161" s="28" t="s">
        <v>209</v>
      </c>
      <c r="N161" s="25">
        <v>4</v>
      </c>
      <c r="O161" s="29">
        <v>0.72499999999999998</v>
      </c>
      <c r="P161" s="29">
        <v>2.9</v>
      </c>
      <c r="Q161" s="25" t="s">
        <v>394</v>
      </c>
      <c r="R161" s="25"/>
      <c r="S161" s="26" t="s">
        <v>352</v>
      </c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34"/>
        <v>2.9</v>
      </c>
      <c r="AF161" s="32">
        <f t="shared" si="35"/>
        <v>0</v>
      </c>
      <c r="AG161" s="30"/>
      <c r="AH161" s="33"/>
      <c r="AI161" s="34">
        <f t="shared" si="36"/>
        <v>0</v>
      </c>
      <c r="AJ161" s="35">
        <v>46312</v>
      </c>
      <c r="AK161" s="30">
        <v>4</v>
      </c>
      <c r="AL161" s="36">
        <f t="shared" si="41"/>
        <v>2.9</v>
      </c>
      <c r="AM161" s="35">
        <v>46312</v>
      </c>
      <c r="AN161" s="30">
        <v>4</v>
      </c>
      <c r="AO161" s="36">
        <f t="shared" si="37"/>
        <v>2.9</v>
      </c>
      <c r="AP161" s="35"/>
      <c r="AQ161" s="30"/>
      <c r="AR161" s="36">
        <f t="shared" si="38"/>
        <v>0</v>
      </c>
      <c r="AS161" s="27" t="s">
        <v>967</v>
      </c>
      <c r="AT161" s="37">
        <v>46312</v>
      </c>
      <c r="AU161" s="30">
        <v>4</v>
      </c>
      <c r="AV161" s="36">
        <f t="shared" si="39"/>
        <v>2.9</v>
      </c>
      <c r="AW161" s="35"/>
      <c r="AX161" s="30"/>
      <c r="AY161" s="32">
        <f t="shared" si="40"/>
        <v>0</v>
      </c>
      <c r="AZ161" s="30" t="s">
        <v>440</v>
      </c>
      <c r="BA161" s="63"/>
      <c r="BB161" s="71"/>
      <c r="BC161" s="71" t="s">
        <v>217</v>
      </c>
      <c r="BD161" s="71"/>
    </row>
    <row r="162" spans="1:56" x14ac:dyDescent="0.25">
      <c r="A162" s="24">
        <f>IF(B162="","",SUBTOTAL(3,$B$4:B162))</f>
        <v>138</v>
      </c>
      <c r="B162" s="25" t="s">
        <v>439</v>
      </c>
      <c r="C162" s="25" t="str">
        <f t="shared" si="33"/>
        <v>Shipment 2 CO-SCR Duct</v>
      </c>
      <c r="D162" s="25" t="s">
        <v>441</v>
      </c>
      <c r="E162" s="25" t="s">
        <v>442</v>
      </c>
      <c r="F162" s="25"/>
      <c r="G162" s="65">
        <v>46204</v>
      </c>
      <c r="H162" s="25" t="s">
        <v>443</v>
      </c>
      <c r="I162" s="25" t="s">
        <v>444</v>
      </c>
      <c r="J162" s="26" t="s">
        <v>447</v>
      </c>
      <c r="K162" s="27" t="s">
        <v>218</v>
      </c>
      <c r="L162" s="28" t="s">
        <v>219</v>
      </c>
      <c r="M162" s="28" t="s">
        <v>209</v>
      </c>
      <c r="N162" s="25">
        <v>8</v>
      </c>
      <c r="O162" s="29">
        <v>0.48749999999999999</v>
      </c>
      <c r="P162" s="29">
        <v>3.9</v>
      </c>
      <c r="Q162" s="25" t="s">
        <v>389</v>
      </c>
      <c r="R162" s="25"/>
      <c r="S162" s="26" t="s">
        <v>352</v>
      </c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34"/>
        <v>3.9</v>
      </c>
      <c r="AF162" s="32">
        <f t="shared" si="35"/>
        <v>0</v>
      </c>
      <c r="AG162" s="30"/>
      <c r="AH162" s="33"/>
      <c r="AI162" s="34">
        <f t="shared" si="36"/>
        <v>0</v>
      </c>
      <c r="AJ162" s="35">
        <v>46312</v>
      </c>
      <c r="AK162" s="30">
        <v>8</v>
      </c>
      <c r="AL162" s="36">
        <f t="shared" si="41"/>
        <v>3.9</v>
      </c>
      <c r="AM162" s="35">
        <v>46312</v>
      </c>
      <c r="AN162" s="30">
        <v>8</v>
      </c>
      <c r="AO162" s="36">
        <f t="shared" si="37"/>
        <v>3.9</v>
      </c>
      <c r="AP162" s="35"/>
      <c r="AQ162" s="30"/>
      <c r="AR162" s="36">
        <f t="shared" si="38"/>
        <v>0</v>
      </c>
      <c r="AS162" s="27" t="s">
        <v>967</v>
      </c>
      <c r="AT162" s="37">
        <v>46312</v>
      </c>
      <c r="AU162" s="30">
        <v>8</v>
      </c>
      <c r="AV162" s="36">
        <f t="shared" si="39"/>
        <v>3.9</v>
      </c>
      <c r="AW162" s="35"/>
      <c r="AX162" s="30"/>
      <c r="AY162" s="32">
        <f t="shared" si="40"/>
        <v>0</v>
      </c>
      <c r="AZ162" s="30" t="s">
        <v>440</v>
      </c>
      <c r="BA162" s="63"/>
      <c r="BB162" s="71"/>
      <c r="BC162" s="71" t="s">
        <v>219</v>
      </c>
      <c r="BD162" s="71"/>
    </row>
    <row r="163" spans="1:56" hidden="1" x14ac:dyDescent="0.25">
      <c r="A163" s="24">
        <f>IF(B163="","",SUBTOTAL(3,$B$4:B163))</f>
        <v>138</v>
      </c>
      <c r="B163" s="25" t="s">
        <v>439</v>
      </c>
      <c r="C163" s="25" t="str">
        <f t="shared" ref="C163:C223" si="42">D163&amp;" "&amp;E163</f>
        <v>Shipment 2 CO-SCR Duct</v>
      </c>
      <c r="D163" s="25" t="s">
        <v>441</v>
      </c>
      <c r="E163" s="25" t="s">
        <v>442</v>
      </c>
      <c r="F163" s="25"/>
      <c r="G163" s="65">
        <v>46204</v>
      </c>
      <c r="H163" s="25" t="s">
        <v>443</v>
      </c>
      <c r="I163" s="25" t="s">
        <v>444</v>
      </c>
      <c r="J163" s="26" t="s">
        <v>447</v>
      </c>
      <c r="K163" s="27" t="s">
        <v>220</v>
      </c>
      <c r="L163" s="28" t="s">
        <v>221</v>
      </c>
      <c r="M163" s="28" t="s">
        <v>187</v>
      </c>
      <c r="N163" s="25">
        <v>4</v>
      </c>
      <c r="O163" s="29">
        <v>0.22500000000000001</v>
      </c>
      <c r="P163" s="29">
        <v>0.9</v>
      </c>
      <c r="Q163" s="25" t="s">
        <v>395</v>
      </c>
      <c r="R163" s="25"/>
      <c r="S163" s="26" t="s">
        <v>352</v>
      </c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ref="AE163:AE223" si="43">+AL163*0.5+AO163*0.4+AV163*0.1</f>
        <v>0</v>
      </c>
      <c r="AF163" s="32">
        <f t="shared" ref="AF163:AF223" si="44">+P163-AE163</f>
        <v>0.9</v>
      </c>
      <c r="AG163" s="30"/>
      <c r="AH163" s="33"/>
      <c r="AI163" s="34">
        <f t="shared" ref="AI163:AI223" si="45">+AH163*P163</f>
        <v>0</v>
      </c>
      <c r="AJ163" s="35"/>
      <c r="AK163" s="30"/>
      <c r="AL163" s="36">
        <f t="shared" ref="AL163:AL223" si="46">IFERROR(AK163*$P163/$N163,0)</f>
        <v>0</v>
      </c>
      <c r="AM163" s="35"/>
      <c r="AN163" s="30"/>
      <c r="AO163" s="36">
        <f t="shared" ref="AO163:AO223" si="47">IFERROR(AN163*$P163/$N163,0)</f>
        <v>0</v>
      </c>
      <c r="AP163" s="35"/>
      <c r="AQ163" s="30"/>
      <c r="AR163" s="36">
        <f t="shared" ref="AR163:AR223" si="48">IFERROR(AQ163*$P163/$N163,0)</f>
        <v>0</v>
      </c>
      <c r="AS163" s="27"/>
      <c r="AT163" s="37"/>
      <c r="AU163" s="30"/>
      <c r="AV163" s="36">
        <f t="shared" ref="AV163:AV223" si="49">IFERROR(AU163*$P163/$N163,0)</f>
        <v>0</v>
      </c>
      <c r="AW163" s="35"/>
      <c r="AX163" s="30"/>
      <c r="AY163" s="32">
        <f t="shared" ref="AY163:AY223" si="50">IFERROR(AX163*$P163/$N163,0)</f>
        <v>0</v>
      </c>
      <c r="AZ163" s="30" t="s">
        <v>440</v>
      </c>
      <c r="BA163" s="63"/>
      <c r="BB163" s="71" t="e">
        <f>SUMIFS([1]VD001!$G$9:$G$78,[1]VD001!$E$9:$E$78,BC163)</f>
        <v>#VALUE!</v>
      </c>
      <c r="BC163" s="71" t="s">
        <v>221</v>
      </c>
      <c r="BD163" s="71"/>
    </row>
    <row r="164" spans="1:56" hidden="1" x14ac:dyDescent="0.25">
      <c r="A164" s="24">
        <f>IF(B164="","",SUBTOTAL(3,$B$4:B164))</f>
        <v>138</v>
      </c>
      <c r="B164" s="25" t="s">
        <v>439</v>
      </c>
      <c r="C164" s="25" t="str">
        <f t="shared" si="42"/>
        <v>Shipment 2 CO-SCR Duct</v>
      </c>
      <c r="D164" s="25" t="s">
        <v>441</v>
      </c>
      <c r="E164" s="25" t="s">
        <v>442</v>
      </c>
      <c r="F164" s="25"/>
      <c r="G164" s="65">
        <v>46204</v>
      </c>
      <c r="H164" s="25" t="s">
        <v>443</v>
      </c>
      <c r="I164" s="25" t="s">
        <v>444</v>
      </c>
      <c r="J164" s="26" t="s">
        <v>447</v>
      </c>
      <c r="K164" s="27" t="s">
        <v>222</v>
      </c>
      <c r="L164" s="28" t="s">
        <v>223</v>
      </c>
      <c r="M164" s="28" t="s">
        <v>209</v>
      </c>
      <c r="N164" s="25">
        <v>2</v>
      </c>
      <c r="O164" s="29">
        <v>0.5</v>
      </c>
      <c r="P164" s="29">
        <v>1</v>
      </c>
      <c r="Q164" s="25" t="s">
        <v>396</v>
      </c>
      <c r="R164" s="25"/>
      <c r="S164" s="26" t="s">
        <v>875</v>
      </c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43"/>
        <v>0</v>
      </c>
      <c r="AF164" s="32">
        <f t="shared" si="44"/>
        <v>1</v>
      </c>
      <c r="AG164" s="30"/>
      <c r="AH164" s="33"/>
      <c r="AI164" s="34">
        <f t="shared" si="45"/>
        <v>0</v>
      </c>
      <c r="AJ164" s="35"/>
      <c r="AK164" s="30"/>
      <c r="AL164" s="36">
        <f t="shared" si="46"/>
        <v>0</v>
      </c>
      <c r="AM164" s="35"/>
      <c r="AN164" s="30"/>
      <c r="AO164" s="36">
        <f t="shared" si="47"/>
        <v>0</v>
      </c>
      <c r="AP164" s="35"/>
      <c r="AQ164" s="30"/>
      <c r="AR164" s="36">
        <f t="shared" si="48"/>
        <v>0</v>
      </c>
      <c r="AS164" s="27"/>
      <c r="AT164" s="37"/>
      <c r="AU164" s="30"/>
      <c r="AV164" s="36">
        <f t="shared" si="49"/>
        <v>0</v>
      </c>
      <c r="AW164" s="35"/>
      <c r="AX164" s="30"/>
      <c r="AY164" s="32">
        <f t="shared" si="50"/>
        <v>0</v>
      </c>
      <c r="AZ164" s="30" t="s">
        <v>440</v>
      </c>
      <c r="BA164" s="63"/>
      <c r="BB164" s="71" t="e">
        <f>SUMIFS([1]VD001!$G$9:$G$78,[1]VD001!$E$9:$E$78,BC164)</f>
        <v>#VALUE!</v>
      </c>
      <c r="BC164" s="71" t="s">
        <v>223</v>
      </c>
      <c r="BD164" s="71"/>
    </row>
    <row r="165" spans="1:56" hidden="1" x14ac:dyDescent="0.25">
      <c r="A165" s="24">
        <f>IF(B165="","",SUBTOTAL(3,$B$4:B165))</f>
        <v>138</v>
      </c>
      <c r="B165" s="25" t="s">
        <v>439</v>
      </c>
      <c r="C165" s="25" t="str">
        <f t="shared" si="42"/>
        <v>Shipment 2 CO-SCR Duct</v>
      </c>
      <c r="D165" s="25" t="s">
        <v>441</v>
      </c>
      <c r="E165" s="25" t="s">
        <v>442</v>
      </c>
      <c r="F165" s="25"/>
      <c r="G165" s="65">
        <v>46204</v>
      </c>
      <c r="H165" s="25" t="s">
        <v>443</v>
      </c>
      <c r="I165" s="25" t="s">
        <v>444</v>
      </c>
      <c r="J165" s="26" t="s">
        <v>447</v>
      </c>
      <c r="K165" s="27" t="s">
        <v>224</v>
      </c>
      <c r="L165" s="28" t="s">
        <v>225</v>
      </c>
      <c r="M165" s="28" t="s">
        <v>226</v>
      </c>
      <c r="N165" s="25">
        <v>10</v>
      </c>
      <c r="O165" s="29">
        <v>0.11000000000000001</v>
      </c>
      <c r="P165" s="29">
        <v>1.1000000000000001</v>
      </c>
      <c r="Q165" s="25" t="s">
        <v>397</v>
      </c>
      <c r="R165" s="25"/>
      <c r="S165" s="26" t="s">
        <v>352</v>
      </c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43"/>
        <v>0</v>
      </c>
      <c r="AF165" s="32">
        <f t="shared" si="44"/>
        <v>1.1000000000000001</v>
      </c>
      <c r="AG165" s="30"/>
      <c r="AH165" s="33"/>
      <c r="AI165" s="34">
        <f t="shared" si="45"/>
        <v>0</v>
      </c>
      <c r="AJ165" s="35"/>
      <c r="AK165" s="30"/>
      <c r="AL165" s="36">
        <f t="shared" si="46"/>
        <v>0</v>
      </c>
      <c r="AM165" s="35"/>
      <c r="AN165" s="30"/>
      <c r="AO165" s="36">
        <f t="shared" si="47"/>
        <v>0</v>
      </c>
      <c r="AP165" s="35"/>
      <c r="AQ165" s="30"/>
      <c r="AR165" s="36">
        <f t="shared" si="48"/>
        <v>0</v>
      </c>
      <c r="AS165" s="27"/>
      <c r="AT165" s="37"/>
      <c r="AU165" s="30"/>
      <c r="AV165" s="36">
        <f t="shared" si="49"/>
        <v>0</v>
      </c>
      <c r="AW165" s="35"/>
      <c r="AX165" s="30"/>
      <c r="AY165" s="32">
        <f t="shared" si="50"/>
        <v>0</v>
      </c>
      <c r="AZ165" s="30" t="s">
        <v>440</v>
      </c>
      <c r="BA165" s="63"/>
      <c r="BB165" s="71" t="e">
        <f>SUMIFS([1]VD001!$G$9:$G$78,[1]VD001!$E$9:$E$78,BC165)</f>
        <v>#VALUE!</v>
      </c>
      <c r="BC165" s="71" t="s">
        <v>225</v>
      </c>
      <c r="BD165" s="71"/>
    </row>
    <row r="166" spans="1:56" hidden="1" x14ac:dyDescent="0.25">
      <c r="A166" s="24">
        <f>IF(B166="","",SUBTOTAL(3,$B$4:B166))</f>
        <v>138</v>
      </c>
      <c r="B166" s="25" t="s">
        <v>439</v>
      </c>
      <c r="C166" s="25" t="str">
        <f t="shared" si="42"/>
        <v>Shipment 2 CO-SCR Duct</v>
      </c>
      <c r="D166" s="25" t="s">
        <v>441</v>
      </c>
      <c r="E166" s="25" t="s">
        <v>442</v>
      </c>
      <c r="F166" s="25"/>
      <c r="G166" s="65">
        <v>46204</v>
      </c>
      <c r="H166" s="25" t="s">
        <v>443</v>
      </c>
      <c r="I166" s="25" t="s">
        <v>444</v>
      </c>
      <c r="J166" s="26" t="s">
        <v>447</v>
      </c>
      <c r="K166" s="27" t="s">
        <v>227</v>
      </c>
      <c r="L166" s="28" t="s">
        <v>228</v>
      </c>
      <c r="M166" s="28" t="s">
        <v>226</v>
      </c>
      <c r="N166" s="25">
        <v>2</v>
      </c>
      <c r="O166" s="29">
        <v>0.1</v>
      </c>
      <c r="P166" s="29">
        <v>0.2</v>
      </c>
      <c r="Q166" s="25" t="s">
        <v>397</v>
      </c>
      <c r="R166" s="25"/>
      <c r="S166" s="26" t="s">
        <v>352</v>
      </c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43"/>
        <v>0</v>
      </c>
      <c r="AF166" s="32">
        <f t="shared" si="44"/>
        <v>0.2</v>
      </c>
      <c r="AG166" s="30"/>
      <c r="AH166" s="33"/>
      <c r="AI166" s="34">
        <f t="shared" si="45"/>
        <v>0</v>
      </c>
      <c r="AJ166" s="35"/>
      <c r="AK166" s="30"/>
      <c r="AL166" s="36">
        <f t="shared" si="46"/>
        <v>0</v>
      </c>
      <c r="AM166" s="35"/>
      <c r="AN166" s="30"/>
      <c r="AO166" s="36">
        <f t="shared" si="47"/>
        <v>0</v>
      </c>
      <c r="AP166" s="35"/>
      <c r="AQ166" s="30"/>
      <c r="AR166" s="36">
        <f t="shared" si="48"/>
        <v>0</v>
      </c>
      <c r="AS166" s="27"/>
      <c r="AT166" s="37"/>
      <c r="AU166" s="30"/>
      <c r="AV166" s="36">
        <f t="shared" si="49"/>
        <v>0</v>
      </c>
      <c r="AW166" s="35"/>
      <c r="AX166" s="30"/>
      <c r="AY166" s="32">
        <f t="shared" si="50"/>
        <v>0</v>
      </c>
      <c r="AZ166" s="30" t="s">
        <v>440</v>
      </c>
      <c r="BA166" s="63"/>
      <c r="BB166" s="71" t="e">
        <f>SUMIFS([1]VD001!$G$9:$G$78,[1]VD001!$E$9:$E$78,BC166)</f>
        <v>#VALUE!</v>
      </c>
      <c r="BC166" s="71" t="s">
        <v>228</v>
      </c>
      <c r="BD166" s="71"/>
    </row>
    <row r="167" spans="1:56" hidden="1" x14ac:dyDescent="0.25">
      <c r="A167" s="24">
        <f>IF(B167="","",SUBTOTAL(3,$B$4:B167))</f>
        <v>138</v>
      </c>
      <c r="B167" s="25" t="s">
        <v>439</v>
      </c>
      <c r="C167" s="25" t="str">
        <f t="shared" si="42"/>
        <v>Shipment 2 CO-SCR Duct</v>
      </c>
      <c r="D167" s="25" t="s">
        <v>441</v>
      </c>
      <c r="E167" s="25" t="s">
        <v>442</v>
      </c>
      <c r="F167" s="25"/>
      <c r="G167" s="65">
        <v>46204</v>
      </c>
      <c r="H167" s="25" t="s">
        <v>443</v>
      </c>
      <c r="I167" s="25" t="s">
        <v>444</v>
      </c>
      <c r="J167" s="26" t="s">
        <v>447</v>
      </c>
      <c r="K167" s="27" t="s">
        <v>283</v>
      </c>
      <c r="L167" s="28" t="s">
        <v>229</v>
      </c>
      <c r="M167" s="28" t="s">
        <v>226</v>
      </c>
      <c r="N167" s="25">
        <v>8</v>
      </c>
      <c r="O167" s="29">
        <v>0.1125</v>
      </c>
      <c r="P167" s="29">
        <v>0.9</v>
      </c>
      <c r="Q167" s="25" t="s">
        <v>397</v>
      </c>
      <c r="R167" s="25"/>
      <c r="S167" s="26" t="s">
        <v>352</v>
      </c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43"/>
        <v>0</v>
      </c>
      <c r="AF167" s="32">
        <f t="shared" si="44"/>
        <v>0.9</v>
      </c>
      <c r="AG167" s="30"/>
      <c r="AH167" s="33"/>
      <c r="AI167" s="34">
        <f t="shared" si="45"/>
        <v>0</v>
      </c>
      <c r="AJ167" s="35"/>
      <c r="AK167" s="30"/>
      <c r="AL167" s="36">
        <f t="shared" si="46"/>
        <v>0</v>
      </c>
      <c r="AM167" s="35"/>
      <c r="AN167" s="30"/>
      <c r="AO167" s="36">
        <f t="shared" si="47"/>
        <v>0</v>
      </c>
      <c r="AP167" s="35"/>
      <c r="AQ167" s="30"/>
      <c r="AR167" s="36">
        <f t="shared" si="48"/>
        <v>0</v>
      </c>
      <c r="AS167" s="27"/>
      <c r="AT167" s="37"/>
      <c r="AU167" s="30"/>
      <c r="AV167" s="36">
        <f t="shared" si="49"/>
        <v>0</v>
      </c>
      <c r="AW167" s="35"/>
      <c r="AX167" s="30"/>
      <c r="AY167" s="32">
        <f t="shared" si="50"/>
        <v>0</v>
      </c>
      <c r="AZ167" s="30" t="s">
        <v>440</v>
      </c>
      <c r="BA167" s="63"/>
      <c r="BB167" s="71" t="e">
        <f>SUMIFS([1]VD001!$G$9:$G$78,[1]VD001!$E$9:$E$78,BC167)</f>
        <v>#VALUE!</v>
      </c>
      <c r="BC167" s="71" t="s">
        <v>229</v>
      </c>
      <c r="BD167" s="71"/>
    </row>
    <row r="168" spans="1:56" hidden="1" x14ac:dyDescent="0.25">
      <c r="A168" s="24">
        <f>IF(B168="","",SUBTOTAL(3,$B$4:B168))</f>
        <v>138</v>
      </c>
      <c r="B168" s="25" t="s">
        <v>439</v>
      </c>
      <c r="C168" s="25" t="str">
        <f t="shared" si="42"/>
        <v>Shipment 2 CO-SCR Duct</v>
      </c>
      <c r="D168" s="25" t="s">
        <v>441</v>
      </c>
      <c r="E168" s="25" t="s">
        <v>442</v>
      </c>
      <c r="F168" s="25"/>
      <c r="G168" s="65">
        <v>46204</v>
      </c>
      <c r="H168" s="25" t="s">
        <v>443</v>
      </c>
      <c r="I168" s="25" t="s">
        <v>444</v>
      </c>
      <c r="J168" s="26" t="s">
        <v>447</v>
      </c>
      <c r="K168" s="27" t="s">
        <v>230</v>
      </c>
      <c r="L168" s="28" t="s">
        <v>231</v>
      </c>
      <c r="M168" s="28" t="s">
        <v>232</v>
      </c>
      <c r="N168" s="25">
        <v>4</v>
      </c>
      <c r="O168" s="29">
        <v>31.9</v>
      </c>
      <c r="P168" s="29">
        <v>127.6</v>
      </c>
      <c r="Q168" s="25" t="s">
        <v>398</v>
      </c>
      <c r="R168" s="25"/>
      <c r="S168" s="26" t="s">
        <v>352</v>
      </c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43"/>
        <v>0</v>
      </c>
      <c r="AF168" s="32">
        <f t="shared" si="44"/>
        <v>127.6</v>
      </c>
      <c r="AG168" s="30"/>
      <c r="AH168" s="33"/>
      <c r="AI168" s="34">
        <f t="shared" si="45"/>
        <v>0</v>
      </c>
      <c r="AJ168" s="35"/>
      <c r="AK168" s="30"/>
      <c r="AL168" s="36">
        <f t="shared" si="46"/>
        <v>0</v>
      </c>
      <c r="AM168" s="35"/>
      <c r="AN168" s="30"/>
      <c r="AO168" s="36">
        <f t="shared" si="47"/>
        <v>0</v>
      </c>
      <c r="AP168" s="35"/>
      <c r="AQ168" s="30"/>
      <c r="AR168" s="36">
        <f t="shared" si="48"/>
        <v>0</v>
      </c>
      <c r="AS168" s="27"/>
      <c r="AT168" s="37"/>
      <c r="AU168" s="30"/>
      <c r="AV168" s="36">
        <f t="shared" si="49"/>
        <v>0</v>
      </c>
      <c r="AW168" s="35"/>
      <c r="AX168" s="30"/>
      <c r="AY168" s="32">
        <f t="shared" si="50"/>
        <v>0</v>
      </c>
      <c r="AZ168" s="30" t="s">
        <v>440</v>
      </c>
      <c r="BA168" s="63"/>
      <c r="BB168" s="71" t="e">
        <f>SUMIFS([1]VD001!$G$9:$G$78,[1]VD001!$E$9:$E$78,BC168)</f>
        <v>#VALUE!</v>
      </c>
      <c r="BC168" s="71" t="s">
        <v>231</v>
      </c>
      <c r="BD168" s="71"/>
    </row>
    <row r="169" spans="1:56" hidden="1" x14ac:dyDescent="0.25">
      <c r="A169" s="24">
        <f>IF(B169="","",SUBTOTAL(3,$B$4:B169))</f>
        <v>138</v>
      </c>
      <c r="B169" s="25" t="s">
        <v>439</v>
      </c>
      <c r="C169" s="25" t="str">
        <f t="shared" si="42"/>
        <v>Shipment 2 CO-SCR Duct</v>
      </c>
      <c r="D169" s="25" t="s">
        <v>441</v>
      </c>
      <c r="E169" s="25" t="s">
        <v>442</v>
      </c>
      <c r="F169" s="25"/>
      <c r="G169" s="65">
        <v>46204</v>
      </c>
      <c r="H169" s="25" t="s">
        <v>443</v>
      </c>
      <c r="I169" s="25" t="s">
        <v>445</v>
      </c>
      <c r="J169" s="26" t="s">
        <v>447</v>
      </c>
      <c r="K169" s="27" t="s">
        <v>233</v>
      </c>
      <c r="L169" s="28" t="s">
        <v>234</v>
      </c>
      <c r="M169" s="28" t="s">
        <v>235</v>
      </c>
      <c r="N169" s="25">
        <v>1</v>
      </c>
      <c r="O169" s="29">
        <v>12022.800000000003</v>
      </c>
      <c r="P169" s="29">
        <v>12022.800000000003</v>
      </c>
      <c r="Q169" s="25" t="s">
        <v>399</v>
      </c>
      <c r="R169" s="25"/>
      <c r="S169" s="26" t="s">
        <v>353</v>
      </c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43"/>
        <v>12022.800000000005</v>
      </c>
      <c r="AF169" s="32">
        <f t="shared" si="44"/>
        <v>0</v>
      </c>
      <c r="AG169" s="30"/>
      <c r="AH169" s="33">
        <v>1</v>
      </c>
      <c r="AI169" s="34">
        <f t="shared" si="45"/>
        <v>12022.800000000003</v>
      </c>
      <c r="AJ169" s="35">
        <v>46249</v>
      </c>
      <c r="AK169" s="30">
        <v>1</v>
      </c>
      <c r="AL169" s="36">
        <f t="shared" si="46"/>
        <v>12022.800000000003</v>
      </c>
      <c r="AM169" s="35">
        <v>46255</v>
      </c>
      <c r="AN169" s="30">
        <v>1</v>
      </c>
      <c r="AO169" s="36">
        <f t="shared" si="47"/>
        <v>12022.800000000003</v>
      </c>
      <c r="AP169" s="35">
        <v>46312</v>
      </c>
      <c r="AQ169" s="30">
        <v>1</v>
      </c>
      <c r="AR169" s="36">
        <f t="shared" si="48"/>
        <v>12022.800000000003</v>
      </c>
      <c r="AS169" s="27" t="s">
        <v>876</v>
      </c>
      <c r="AT169" s="37">
        <v>46312</v>
      </c>
      <c r="AU169" s="30">
        <v>1</v>
      </c>
      <c r="AV169" s="36">
        <f t="shared" si="49"/>
        <v>12022.800000000003</v>
      </c>
      <c r="AW169" s="35"/>
      <c r="AX169" s="30"/>
      <c r="AY169" s="32">
        <f t="shared" si="50"/>
        <v>0</v>
      </c>
      <c r="AZ169" s="30" t="s">
        <v>440</v>
      </c>
      <c r="BA169" s="63"/>
      <c r="BB169" s="71" t="e">
        <f>SUMIFS([1]VD001!$G$9:$G$78,[1]VD001!$E$9:$E$78,BC169)</f>
        <v>#VALUE!</v>
      </c>
      <c r="BC169" s="71" t="s">
        <v>234</v>
      </c>
      <c r="BD169" s="71"/>
    </row>
    <row r="170" spans="1:56" hidden="1" x14ac:dyDescent="0.25">
      <c r="A170" s="24">
        <f>IF(B170="","",SUBTOTAL(3,$B$4:B170))</f>
        <v>138</v>
      </c>
      <c r="B170" s="25" t="s">
        <v>439</v>
      </c>
      <c r="C170" s="25" t="str">
        <f t="shared" si="42"/>
        <v>Shipment 2 CO-SCR Duct</v>
      </c>
      <c r="D170" s="25" t="s">
        <v>441</v>
      </c>
      <c r="E170" s="25" t="s">
        <v>442</v>
      </c>
      <c r="F170" s="25"/>
      <c r="G170" s="65">
        <v>46204</v>
      </c>
      <c r="H170" s="25" t="s">
        <v>443</v>
      </c>
      <c r="I170" s="25" t="s">
        <v>445</v>
      </c>
      <c r="J170" s="26" t="s">
        <v>447</v>
      </c>
      <c r="K170" s="27" t="s">
        <v>236</v>
      </c>
      <c r="L170" s="28" t="s">
        <v>237</v>
      </c>
      <c r="M170" s="28" t="s">
        <v>235</v>
      </c>
      <c r="N170" s="25">
        <v>1</v>
      </c>
      <c r="O170" s="29">
        <v>1189.2999999999997</v>
      </c>
      <c r="P170" s="29">
        <v>1189.2999999999997</v>
      </c>
      <c r="Q170" s="25" t="s">
        <v>400</v>
      </c>
      <c r="R170" s="25"/>
      <c r="S170" s="26" t="s">
        <v>353</v>
      </c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43"/>
        <v>1070.3699999999999</v>
      </c>
      <c r="AF170" s="32">
        <f t="shared" si="44"/>
        <v>118.92999999999984</v>
      </c>
      <c r="AG170" s="30"/>
      <c r="AH170" s="33">
        <v>1</v>
      </c>
      <c r="AI170" s="34">
        <f t="shared" si="45"/>
        <v>1189.2999999999997</v>
      </c>
      <c r="AJ170" s="35">
        <v>46251</v>
      </c>
      <c r="AK170" s="30">
        <v>1</v>
      </c>
      <c r="AL170" s="36">
        <f t="shared" si="46"/>
        <v>1189.2999999999997</v>
      </c>
      <c r="AM170" s="35">
        <v>46254</v>
      </c>
      <c r="AN170" s="30">
        <v>1</v>
      </c>
      <c r="AO170" s="36">
        <f t="shared" si="47"/>
        <v>1189.2999999999997</v>
      </c>
      <c r="AP170" s="35">
        <v>46312</v>
      </c>
      <c r="AQ170" s="30">
        <v>1</v>
      </c>
      <c r="AR170" s="36">
        <f t="shared" si="48"/>
        <v>1189.2999999999997</v>
      </c>
      <c r="AS170" s="27"/>
      <c r="AT170" s="37"/>
      <c r="AU170" s="30"/>
      <c r="AV170" s="36">
        <f t="shared" si="49"/>
        <v>0</v>
      </c>
      <c r="AW170" s="35"/>
      <c r="AX170" s="30"/>
      <c r="AY170" s="32">
        <f t="shared" si="50"/>
        <v>0</v>
      </c>
      <c r="AZ170" s="30" t="s">
        <v>440</v>
      </c>
      <c r="BA170" s="63"/>
      <c r="BB170" s="71" t="e">
        <f>SUMIFS([1]VD001!$G$9:$G$78,[1]VD001!$E$9:$E$78,BC170)</f>
        <v>#VALUE!</v>
      </c>
      <c r="BC170" s="71" t="s">
        <v>237</v>
      </c>
      <c r="BD170" s="71"/>
    </row>
    <row r="171" spans="1:56" hidden="1" x14ac:dyDescent="0.25">
      <c r="A171" s="24">
        <f>IF(B171="","",SUBTOTAL(3,$B$4:B171))</f>
        <v>138</v>
      </c>
      <c r="B171" s="25" t="s">
        <v>439</v>
      </c>
      <c r="C171" s="25" t="str">
        <f t="shared" si="42"/>
        <v>Shipment 2 CO-SCR Duct</v>
      </c>
      <c r="D171" s="25" t="s">
        <v>441</v>
      </c>
      <c r="E171" s="25" t="s">
        <v>442</v>
      </c>
      <c r="F171" s="25"/>
      <c r="G171" s="65">
        <v>46204</v>
      </c>
      <c r="H171" s="25" t="s">
        <v>443</v>
      </c>
      <c r="I171" s="25" t="s">
        <v>445</v>
      </c>
      <c r="J171" s="26" t="s">
        <v>447</v>
      </c>
      <c r="K171" s="27" t="s">
        <v>238</v>
      </c>
      <c r="L171" s="28" t="s">
        <v>239</v>
      </c>
      <c r="M171" s="28" t="s">
        <v>235</v>
      </c>
      <c r="N171" s="25">
        <v>1</v>
      </c>
      <c r="O171" s="29">
        <v>3279.5</v>
      </c>
      <c r="P171" s="29">
        <v>3279.5</v>
      </c>
      <c r="Q171" s="25" t="s">
        <v>401</v>
      </c>
      <c r="R171" s="25"/>
      <c r="S171" s="26" t="s">
        <v>353</v>
      </c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43"/>
        <v>2951.55</v>
      </c>
      <c r="AF171" s="32">
        <f t="shared" si="44"/>
        <v>327.94999999999982</v>
      </c>
      <c r="AG171" s="30"/>
      <c r="AH171" s="33">
        <v>1</v>
      </c>
      <c r="AI171" s="34">
        <f t="shared" si="45"/>
        <v>3279.5</v>
      </c>
      <c r="AJ171" s="35">
        <v>46248</v>
      </c>
      <c r="AK171" s="30">
        <v>1</v>
      </c>
      <c r="AL171" s="36">
        <f t="shared" si="46"/>
        <v>3279.5</v>
      </c>
      <c r="AM171" s="35">
        <v>46253</v>
      </c>
      <c r="AN171" s="30">
        <v>1</v>
      </c>
      <c r="AO171" s="36">
        <f t="shared" si="47"/>
        <v>3279.5</v>
      </c>
      <c r="AP171" s="35">
        <v>46312</v>
      </c>
      <c r="AQ171" s="30">
        <v>1</v>
      </c>
      <c r="AR171" s="36">
        <f t="shared" si="48"/>
        <v>3279.5</v>
      </c>
      <c r="AS171" s="27"/>
      <c r="AT171" s="37"/>
      <c r="AU171" s="30"/>
      <c r="AV171" s="36">
        <f t="shared" si="49"/>
        <v>0</v>
      </c>
      <c r="AW171" s="35"/>
      <c r="AX171" s="30"/>
      <c r="AY171" s="32">
        <f t="shared" si="50"/>
        <v>0</v>
      </c>
      <c r="AZ171" s="30" t="s">
        <v>440</v>
      </c>
      <c r="BA171" s="63"/>
      <c r="BB171" s="71" t="e">
        <f>SUMIFS([1]VD001!$G$9:$G$78,[1]VD001!$E$9:$E$78,BC171)</f>
        <v>#VALUE!</v>
      </c>
      <c r="BC171" s="71" t="s">
        <v>239</v>
      </c>
      <c r="BD171" s="71"/>
    </row>
    <row r="172" spans="1:56" hidden="1" x14ac:dyDescent="0.25">
      <c r="A172" s="24">
        <f>IF(B172="","",SUBTOTAL(3,$B$4:B172))</f>
        <v>138</v>
      </c>
      <c r="B172" s="25" t="s">
        <v>439</v>
      </c>
      <c r="C172" s="25" t="str">
        <f t="shared" si="42"/>
        <v>Shipment 2 CO-SCR Duct</v>
      </c>
      <c r="D172" s="25" t="s">
        <v>441</v>
      </c>
      <c r="E172" s="25" t="s">
        <v>442</v>
      </c>
      <c r="F172" s="25"/>
      <c r="G172" s="65">
        <v>46204</v>
      </c>
      <c r="H172" s="25" t="s">
        <v>443</v>
      </c>
      <c r="I172" s="25" t="s">
        <v>445</v>
      </c>
      <c r="J172" s="26" t="s">
        <v>446</v>
      </c>
      <c r="K172" s="27" t="s">
        <v>240</v>
      </c>
      <c r="L172" s="28" t="s">
        <v>241</v>
      </c>
      <c r="M172" s="28" t="s">
        <v>242</v>
      </c>
      <c r="N172" s="25">
        <v>1</v>
      </c>
      <c r="O172" s="29">
        <v>4245.5</v>
      </c>
      <c r="P172" s="29">
        <v>4245.5</v>
      </c>
      <c r="Q172" s="25" t="s">
        <v>402</v>
      </c>
      <c r="R172" s="25"/>
      <c r="S172" s="26" t="s">
        <v>353</v>
      </c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43"/>
        <v>3820.95</v>
      </c>
      <c r="AF172" s="32">
        <f t="shared" si="44"/>
        <v>424.55000000000018</v>
      </c>
      <c r="AG172" s="30"/>
      <c r="AH172" s="33">
        <v>1</v>
      </c>
      <c r="AI172" s="34">
        <f t="shared" si="45"/>
        <v>4245.5</v>
      </c>
      <c r="AJ172" s="35">
        <v>46232</v>
      </c>
      <c r="AK172" s="30">
        <v>1</v>
      </c>
      <c r="AL172" s="36">
        <f t="shared" si="46"/>
        <v>4245.5</v>
      </c>
      <c r="AM172" s="35">
        <v>46240</v>
      </c>
      <c r="AN172" s="30">
        <v>1</v>
      </c>
      <c r="AO172" s="36">
        <f t="shared" si="47"/>
        <v>4245.5</v>
      </c>
      <c r="AP172" s="35"/>
      <c r="AQ172" s="30"/>
      <c r="AR172" s="36">
        <f t="shared" si="48"/>
        <v>0</v>
      </c>
      <c r="AS172" s="27"/>
      <c r="AT172" s="37"/>
      <c r="AU172" s="30"/>
      <c r="AV172" s="36">
        <f t="shared" si="49"/>
        <v>0</v>
      </c>
      <c r="AW172" s="35"/>
      <c r="AX172" s="30"/>
      <c r="AY172" s="32">
        <f t="shared" si="50"/>
        <v>0</v>
      </c>
      <c r="AZ172" s="30" t="s">
        <v>440</v>
      </c>
      <c r="BA172" s="63"/>
      <c r="BB172" s="71" t="e">
        <f>SUMIFS([1]VD001!$G$9:$G$78,[1]VD001!$E$9:$E$78,BC172)</f>
        <v>#VALUE!</v>
      </c>
      <c r="BC172" s="71" t="s">
        <v>241</v>
      </c>
      <c r="BD172" s="71"/>
    </row>
    <row r="173" spans="1:56" hidden="1" x14ac:dyDescent="0.25">
      <c r="A173" s="24">
        <f>IF(B173="","",SUBTOTAL(3,$B$4:B173))</f>
        <v>138</v>
      </c>
      <c r="B173" s="25" t="s">
        <v>439</v>
      </c>
      <c r="C173" s="25" t="str">
        <f t="shared" si="42"/>
        <v>Shipment 2 CO-SCR Duct</v>
      </c>
      <c r="D173" s="25" t="s">
        <v>441</v>
      </c>
      <c r="E173" s="25" t="s">
        <v>442</v>
      </c>
      <c r="F173" s="25"/>
      <c r="G173" s="65">
        <v>46204</v>
      </c>
      <c r="H173" s="25" t="s">
        <v>443</v>
      </c>
      <c r="I173" s="25" t="s">
        <v>445</v>
      </c>
      <c r="J173" s="26" t="s">
        <v>446</v>
      </c>
      <c r="K173" s="27" t="s">
        <v>243</v>
      </c>
      <c r="L173" s="28" t="s">
        <v>244</v>
      </c>
      <c r="M173" s="28"/>
      <c r="N173" s="25">
        <v>1</v>
      </c>
      <c r="O173" s="29">
        <v>272.3</v>
      </c>
      <c r="P173" s="29">
        <v>272.3</v>
      </c>
      <c r="Q173" s="25" t="s">
        <v>403</v>
      </c>
      <c r="R173" s="25"/>
      <c r="S173" s="26" t="s">
        <v>354</v>
      </c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43"/>
        <v>245.07000000000002</v>
      </c>
      <c r="AF173" s="32">
        <f t="shared" si="44"/>
        <v>27.22999999999999</v>
      </c>
      <c r="AG173" s="30"/>
      <c r="AH173" s="33">
        <v>1</v>
      </c>
      <c r="AI173" s="34">
        <f t="shared" si="45"/>
        <v>272.3</v>
      </c>
      <c r="AJ173" s="35">
        <v>46286</v>
      </c>
      <c r="AK173" s="30">
        <v>1</v>
      </c>
      <c r="AL173" s="36">
        <f t="shared" si="46"/>
        <v>272.3</v>
      </c>
      <c r="AM173" s="35">
        <v>46293</v>
      </c>
      <c r="AN173" s="30">
        <v>1</v>
      </c>
      <c r="AO173" s="36">
        <f t="shared" si="47"/>
        <v>272.3</v>
      </c>
      <c r="AP173" s="35"/>
      <c r="AQ173" s="30"/>
      <c r="AR173" s="36">
        <f t="shared" si="48"/>
        <v>0</v>
      </c>
      <c r="AS173" s="27"/>
      <c r="AT173" s="37"/>
      <c r="AU173" s="30"/>
      <c r="AV173" s="36">
        <f t="shared" si="49"/>
        <v>0</v>
      </c>
      <c r="AW173" s="35"/>
      <c r="AX173" s="30"/>
      <c r="AY173" s="32">
        <f t="shared" si="50"/>
        <v>0</v>
      </c>
      <c r="AZ173" s="30" t="s">
        <v>440</v>
      </c>
      <c r="BA173" s="63"/>
      <c r="BB173" s="71" t="e">
        <f>SUMIFS([1]VD001!$G$9:$G$78,[1]VD001!$E$9:$E$78,BC173)</f>
        <v>#VALUE!</v>
      </c>
      <c r="BC173" s="71" t="s">
        <v>244</v>
      </c>
      <c r="BD173" s="71"/>
    </row>
    <row r="174" spans="1:56" hidden="1" x14ac:dyDescent="0.25">
      <c r="A174" s="24">
        <f>IF(B174="","",SUBTOTAL(3,$B$4:B174))</f>
        <v>138</v>
      </c>
      <c r="B174" s="25" t="s">
        <v>439</v>
      </c>
      <c r="C174" s="25" t="str">
        <f t="shared" si="42"/>
        <v>Shipment 2 CO-SCR Duct</v>
      </c>
      <c r="D174" s="25" t="s">
        <v>441</v>
      </c>
      <c r="E174" s="25" t="s">
        <v>442</v>
      </c>
      <c r="F174" s="25"/>
      <c r="G174" s="65">
        <v>46204</v>
      </c>
      <c r="H174" s="25" t="s">
        <v>443</v>
      </c>
      <c r="I174" s="25" t="s">
        <v>445</v>
      </c>
      <c r="J174" s="26" t="s">
        <v>446</v>
      </c>
      <c r="K174" s="27" t="s">
        <v>245</v>
      </c>
      <c r="L174" s="28" t="s">
        <v>246</v>
      </c>
      <c r="M174" s="28" t="s">
        <v>242</v>
      </c>
      <c r="N174" s="25">
        <v>1</v>
      </c>
      <c r="O174" s="29">
        <v>4184.0999999999995</v>
      </c>
      <c r="P174" s="29">
        <v>4184.0999999999995</v>
      </c>
      <c r="Q174" s="25" t="s">
        <v>404</v>
      </c>
      <c r="R174" s="25"/>
      <c r="S174" s="26" t="s">
        <v>353</v>
      </c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43"/>
        <v>3765.6899999999996</v>
      </c>
      <c r="AF174" s="32">
        <f t="shared" si="44"/>
        <v>418.40999999999985</v>
      </c>
      <c r="AG174" s="30"/>
      <c r="AH174" s="33">
        <v>1</v>
      </c>
      <c r="AI174" s="34">
        <f t="shared" si="45"/>
        <v>4184.0999999999995</v>
      </c>
      <c r="AJ174" s="35">
        <v>46251</v>
      </c>
      <c r="AK174" s="30">
        <v>1</v>
      </c>
      <c r="AL174" s="36">
        <f t="shared" si="46"/>
        <v>4184.0999999999995</v>
      </c>
      <c r="AM174" s="35">
        <v>46253</v>
      </c>
      <c r="AN174" s="30">
        <v>1</v>
      </c>
      <c r="AO174" s="36">
        <f t="shared" si="47"/>
        <v>4184.0999999999995</v>
      </c>
      <c r="AP174" s="35"/>
      <c r="AQ174" s="30"/>
      <c r="AR174" s="36">
        <f t="shared" si="48"/>
        <v>0</v>
      </c>
      <c r="AS174" s="27"/>
      <c r="AT174" s="37"/>
      <c r="AU174" s="30"/>
      <c r="AV174" s="36">
        <f t="shared" si="49"/>
        <v>0</v>
      </c>
      <c r="AW174" s="35"/>
      <c r="AX174" s="30"/>
      <c r="AY174" s="32">
        <f t="shared" si="50"/>
        <v>0</v>
      </c>
      <c r="AZ174" s="30" t="s">
        <v>440</v>
      </c>
      <c r="BA174" s="63"/>
      <c r="BB174" s="71" t="e">
        <f>SUMIFS([1]VD001!$G$9:$G$78,[1]VD001!$E$9:$E$78,BC174)</f>
        <v>#VALUE!</v>
      </c>
      <c r="BC174" s="71" t="s">
        <v>246</v>
      </c>
      <c r="BD174" s="71"/>
    </row>
    <row r="175" spans="1:56" hidden="1" x14ac:dyDescent="0.25">
      <c r="A175" s="24">
        <f>IF(B175="","",SUBTOTAL(3,$B$4:B175))</f>
        <v>138</v>
      </c>
      <c r="B175" s="25" t="s">
        <v>439</v>
      </c>
      <c r="C175" s="25" t="str">
        <f t="shared" si="42"/>
        <v>Shipment 2 CO-SCR Duct</v>
      </c>
      <c r="D175" s="25" t="s">
        <v>441</v>
      </c>
      <c r="E175" s="25" t="s">
        <v>442</v>
      </c>
      <c r="F175" s="25"/>
      <c r="G175" s="65">
        <v>46204</v>
      </c>
      <c r="H175" s="25" t="s">
        <v>443</v>
      </c>
      <c r="I175" s="25" t="s">
        <v>445</v>
      </c>
      <c r="J175" s="26" t="s">
        <v>447</v>
      </c>
      <c r="K175" s="27" t="s">
        <v>247</v>
      </c>
      <c r="L175" s="28" t="s">
        <v>248</v>
      </c>
      <c r="M175" s="28" t="s">
        <v>242</v>
      </c>
      <c r="N175" s="25">
        <v>1</v>
      </c>
      <c r="O175" s="29">
        <v>33890.699999999997</v>
      </c>
      <c r="P175" s="29">
        <v>33890.699999999997</v>
      </c>
      <c r="Q175" s="25" t="s">
        <v>405</v>
      </c>
      <c r="R175" s="25"/>
      <c r="S175" s="26" t="s">
        <v>353</v>
      </c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43"/>
        <v>30501.629999999997</v>
      </c>
      <c r="AF175" s="32">
        <f t="shared" si="44"/>
        <v>3389.0699999999997</v>
      </c>
      <c r="AG175" s="30"/>
      <c r="AH175" s="33">
        <v>1</v>
      </c>
      <c r="AI175" s="34">
        <f t="shared" si="45"/>
        <v>33890.699999999997</v>
      </c>
      <c r="AJ175" s="35">
        <v>46252</v>
      </c>
      <c r="AK175" s="30">
        <v>1</v>
      </c>
      <c r="AL175" s="36">
        <f t="shared" si="46"/>
        <v>33890.699999999997</v>
      </c>
      <c r="AM175" s="35">
        <v>46260</v>
      </c>
      <c r="AN175" s="30">
        <v>1</v>
      </c>
      <c r="AO175" s="36">
        <f t="shared" si="47"/>
        <v>33890.699999999997</v>
      </c>
      <c r="AP175" s="35"/>
      <c r="AQ175" s="30"/>
      <c r="AR175" s="36">
        <f t="shared" si="48"/>
        <v>0</v>
      </c>
      <c r="AS175" s="27"/>
      <c r="AT175" s="37"/>
      <c r="AU175" s="30"/>
      <c r="AV175" s="36">
        <f t="shared" si="49"/>
        <v>0</v>
      </c>
      <c r="AW175" s="35"/>
      <c r="AX175" s="30"/>
      <c r="AY175" s="32">
        <f t="shared" si="50"/>
        <v>0</v>
      </c>
      <c r="AZ175" s="30" t="s">
        <v>440</v>
      </c>
      <c r="BA175" s="63"/>
      <c r="BB175" s="71" t="e">
        <f>SUMIFS([1]VD001!$G$9:$G$78,[1]VD001!$E$9:$E$78,BC175)</f>
        <v>#VALUE!</v>
      </c>
      <c r="BC175" s="71" t="s">
        <v>248</v>
      </c>
      <c r="BD175" s="71"/>
    </row>
    <row r="176" spans="1:56" hidden="1" x14ac:dyDescent="0.25">
      <c r="A176" s="24">
        <f>IF(B176="","",SUBTOTAL(3,$B$4:B176))</f>
        <v>138</v>
      </c>
      <c r="B176" s="25" t="s">
        <v>439</v>
      </c>
      <c r="C176" s="25" t="str">
        <f t="shared" si="42"/>
        <v>Shipment 2 CO-SCR Duct</v>
      </c>
      <c r="D176" s="25" t="s">
        <v>441</v>
      </c>
      <c r="E176" s="25" t="s">
        <v>442</v>
      </c>
      <c r="F176" s="25"/>
      <c r="G176" s="65">
        <v>46204</v>
      </c>
      <c r="H176" s="25" t="s">
        <v>443</v>
      </c>
      <c r="I176" s="25" t="s">
        <v>445</v>
      </c>
      <c r="J176" s="26" t="s">
        <v>446</v>
      </c>
      <c r="K176" s="27" t="s">
        <v>243</v>
      </c>
      <c r="L176" s="28" t="s">
        <v>249</v>
      </c>
      <c r="M176" s="28"/>
      <c r="N176" s="25">
        <v>1</v>
      </c>
      <c r="O176" s="29">
        <v>272.3</v>
      </c>
      <c r="P176" s="29">
        <v>272.3</v>
      </c>
      <c r="Q176" s="25" t="s">
        <v>403</v>
      </c>
      <c r="R176" s="25"/>
      <c r="S176" s="26" t="s">
        <v>354</v>
      </c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43"/>
        <v>245.07000000000002</v>
      </c>
      <c r="AF176" s="32">
        <f t="shared" si="44"/>
        <v>27.22999999999999</v>
      </c>
      <c r="AG176" s="30"/>
      <c r="AH176" s="33">
        <v>1</v>
      </c>
      <c r="AI176" s="34">
        <f t="shared" si="45"/>
        <v>272.3</v>
      </c>
      <c r="AJ176" s="35">
        <v>46286</v>
      </c>
      <c r="AK176" s="30">
        <v>1</v>
      </c>
      <c r="AL176" s="36">
        <f t="shared" si="46"/>
        <v>272.3</v>
      </c>
      <c r="AM176" s="35">
        <v>46293</v>
      </c>
      <c r="AN176" s="30">
        <v>1</v>
      </c>
      <c r="AO176" s="36">
        <f t="shared" si="47"/>
        <v>272.3</v>
      </c>
      <c r="AP176" s="35"/>
      <c r="AQ176" s="30"/>
      <c r="AR176" s="36">
        <f t="shared" si="48"/>
        <v>0</v>
      </c>
      <c r="AS176" s="27"/>
      <c r="AT176" s="37"/>
      <c r="AU176" s="30"/>
      <c r="AV176" s="36">
        <f t="shared" si="49"/>
        <v>0</v>
      </c>
      <c r="AW176" s="35"/>
      <c r="AX176" s="30"/>
      <c r="AY176" s="32">
        <f t="shared" si="50"/>
        <v>0</v>
      </c>
      <c r="AZ176" s="30" t="s">
        <v>440</v>
      </c>
      <c r="BA176" s="63"/>
      <c r="BB176" s="71" t="e">
        <f>SUMIFS([1]VD001!$G$9:$G$78,[1]VD001!$E$9:$E$78,BC176)</f>
        <v>#VALUE!</v>
      </c>
      <c r="BC176" s="71" t="s">
        <v>249</v>
      </c>
      <c r="BD176" s="71"/>
    </row>
    <row r="177" spans="1:56" hidden="1" x14ac:dyDescent="0.25">
      <c r="A177" s="24">
        <f>IF(B177="","",SUBTOTAL(3,$B$4:B177))</f>
        <v>138</v>
      </c>
      <c r="B177" s="25" t="s">
        <v>439</v>
      </c>
      <c r="C177" s="25" t="str">
        <f t="shared" si="42"/>
        <v>Shipment 2 CO-SCR Duct</v>
      </c>
      <c r="D177" s="25" t="s">
        <v>441</v>
      </c>
      <c r="E177" s="25" t="s">
        <v>442</v>
      </c>
      <c r="F177" s="25"/>
      <c r="G177" s="65">
        <v>46204</v>
      </c>
      <c r="H177" s="25" t="s">
        <v>443</v>
      </c>
      <c r="I177" s="25" t="s">
        <v>445</v>
      </c>
      <c r="J177" s="26" t="s">
        <v>446</v>
      </c>
      <c r="K177" s="27" t="s">
        <v>250</v>
      </c>
      <c r="L177" s="28" t="s">
        <v>251</v>
      </c>
      <c r="M177" s="28" t="s">
        <v>242</v>
      </c>
      <c r="N177" s="25">
        <v>1</v>
      </c>
      <c r="O177" s="29">
        <v>1802.0999999999997</v>
      </c>
      <c r="P177" s="29">
        <v>1802.0999999999997</v>
      </c>
      <c r="Q177" s="25" t="s">
        <v>406</v>
      </c>
      <c r="R177" s="25"/>
      <c r="S177" s="26" t="s">
        <v>353</v>
      </c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43"/>
        <v>1621.8899999999999</v>
      </c>
      <c r="AF177" s="32">
        <f t="shared" si="44"/>
        <v>180.20999999999981</v>
      </c>
      <c r="AG177" s="30"/>
      <c r="AH177" s="33">
        <v>1</v>
      </c>
      <c r="AI177" s="34">
        <f t="shared" si="45"/>
        <v>1802.0999999999997</v>
      </c>
      <c r="AJ177" s="35">
        <v>46226</v>
      </c>
      <c r="AK177" s="30">
        <v>1</v>
      </c>
      <c r="AL177" s="36">
        <f t="shared" si="46"/>
        <v>1802.0999999999997</v>
      </c>
      <c r="AM177" s="35">
        <v>46238</v>
      </c>
      <c r="AN177" s="30">
        <v>1</v>
      </c>
      <c r="AO177" s="36">
        <f t="shared" si="47"/>
        <v>1802.0999999999997</v>
      </c>
      <c r="AP177" s="35"/>
      <c r="AQ177" s="30"/>
      <c r="AR177" s="36">
        <f t="shared" si="48"/>
        <v>0</v>
      </c>
      <c r="AS177" s="27"/>
      <c r="AT177" s="37"/>
      <c r="AU177" s="30"/>
      <c r="AV177" s="36">
        <f t="shared" si="49"/>
        <v>0</v>
      </c>
      <c r="AW177" s="35"/>
      <c r="AX177" s="30"/>
      <c r="AY177" s="32">
        <f t="shared" si="50"/>
        <v>0</v>
      </c>
      <c r="AZ177" s="30" t="s">
        <v>440</v>
      </c>
      <c r="BA177" s="63"/>
      <c r="BB177" s="71" t="e">
        <f>SUMIFS([1]VD001!$G$9:$G$78,[1]VD001!$E$9:$E$78,BC177)</f>
        <v>#VALUE!</v>
      </c>
      <c r="BC177" s="71" t="s">
        <v>251</v>
      </c>
      <c r="BD177" s="71"/>
    </row>
    <row r="178" spans="1:56" hidden="1" x14ac:dyDescent="0.25">
      <c r="A178" s="24">
        <f>IF(B178="","",SUBTOTAL(3,$B$4:B178))</f>
        <v>138</v>
      </c>
      <c r="B178" s="25" t="s">
        <v>439</v>
      </c>
      <c r="C178" s="25" t="str">
        <f t="shared" si="42"/>
        <v>Shipment 2 CO-SCR Duct</v>
      </c>
      <c r="D178" s="25" t="s">
        <v>441</v>
      </c>
      <c r="E178" s="25" t="s">
        <v>442</v>
      </c>
      <c r="F178" s="25"/>
      <c r="G178" s="65">
        <v>46204</v>
      </c>
      <c r="H178" s="25" t="s">
        <v>443</v>
      </c>
      <c r="I178" s="25" t="s">
        <v>445</v>
      </c>
      <c r="J178" s="26" t="s">
        <v>446</v>
      </c>
      <c r="K178" s="27" t="s">
        <v>243</v>
      </c>
      <c r="L178" s="28" t="s">
        <v>252</v>
      </c>
      <c r="M178" s="28"/>
      <c r="N178" s="25">
        <v>1</v>
      </c>
      <c r="O178" s="29">
        <v>272.3</v>
      </c>
      <c r="P178" s="29">
        <v>272.3</v>
      </c>
      <c r="Q178" s="25" t="s">
        <v>403</v>
      </c>
      <c r="R178" s="25"/>
      <c r="S178" s="26" t="s">
        <v>354</v>
      </c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43"/>
        <v>245.07000000000002</v>
      </c>
      <c r="AF178" s="32">
        <f t="shared" si="44"/>
        <v>27.22999999999999</v>
      </c>
      <c r="AG178" s="30"/>
      <c r="AH178" s="33">
        <v>1</v>
      </c>
      <c r="AI178" s="34">
        <f t="shared" si="45"/>
        <v>272.3</v>
      </c>
      <c r="AJ178" s="35">
        <v>46286</v>
      </c>
      <c r="AK178" s="30">
        <v>1</v>
      </c>
      <c r="AL178" s="36">
        <f t="shared" si="46"/>
        <v>272.3</v>
      </c>
      <c r="AM178" s="35">
        <v>46293</v>
      </c>
      <c r="AN178" s="30">
        <v>1</v>
      </c>
      <c r="AO178" s="36">
        <f t="shared" si="47"/>
        <v>272.3</v>
      </c>
      <c r="AP178" s="35"/>
      <c r="AQ178" s="30"/>
      <c r="AR178" s="36">
        <f t="shared" si="48"/>
        <v>0</v>
      </c>
      <c r="AS178" s="27"/>
      <c r="AT178" s="37"/>
      <c r="AU178" s="30"/>
      <c r="AV178" s="36">
        <f t="shared" si="49"/>
        <v>0</v>
      </c>
      <c r="AW178" s="35"/>
      <c r="AX178" s="30"/>
      <c r="AY178" s="32">
        <f t="shared" si="50"/>
        <v>0</v>
      </c>
      <c r="AZ178" s="30" t="s">
        <v>440</v>
      </c>
      <c r="BA178" s="63"/>
      <c r="BB178" s="71" t="e">
        <f>SUMIFS([1]VD001!$G$9:$G$78,[1]VD001!$E$9:$E$78,BC178)</f>
        <v>#VALUE!</v>
      </c>
      <c r="BC178" s="71" t="s">
        <v>252</v>
      </c>
      <c r="BD178" s="71"/>
    </row>
    <row r="179" spans="1:56" hidden="1" x14ac:dyDescent="0.25">
      <c r="A179" s="24">
        <f>IF(B179="","",SUBTOTAL(3,$B$4:B179))</f>
        <v>138</v>
      </c>
      <c r="B179" s="25" t="s">
        <v>439</v>
      </c>
      <c r="C179" s="25" t="str">
        <f t="shared" si="42"/>
        <v>Shipment 2 CO-SCR Duct</v>
      </c>
      <c r="D179" s="25" t="s">
        <v>441</v>
      </c>
      <c r="E179" s="25" t="s">
        <v>442</v>
      </c>
      <c r="F179" s="25"/>
      <c r="G179" s="65">
        <v>46204</v>
      </c>
      <c r="H179" s="25" t="s">
        <v>443</v>
      </c>
      <c r="I179" s="25" t="s">
        <v>445</v>
      </c>
      <c r="J179" s="26" t="s">
        <v>446</v>
      </c>
      <c r="K179" s="27" t="s">
        <v>253</v>
      </c>
      <c r="L179" s="28" t="s">
        <v>254</v>
      </c>
      <c r="M179" s="28" t="s">
        <v>242</v>
      </c>
      <c r="N179" s="25">
        <v>1</v>
      </c>
      <c r="O179" s="29">
        <v>1735.8000000000002</v>
      </c>
      <c r="P179" s="29">
        <v>1735.8000000000002</v>
      </c>
      <c r="Q179" s="25" t="s">
        <v>407</v>
      </c>
      <c r="R179" s="25"/>
      <c r="S179" s="26" t="s">
        <v>353</v>
      </c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43"/>
        <v>1562.2200000000003</v>
      </c>
      <c r="AF179" s="32">
        <f t="shared" si="44"/>
        <v>173.57999999999993</v>
      </c>
      <c r="AG179" s="30"/>
      <c r="AH179" s="33">
        <v>1</v>
      </c>
      <c r="AI179" s="34">
        <f t="shared" si="45"/>
        <v>1735.8000000000002</v>
      </c>
      <c r="AJ179" s="35">
        <v>46232</v>
      </c>
      <c r="AK179" s="30">
        <v>1</v>
      </c>
      <c r="AL179" s="36">
        <f t="shared" si="46"/>
        <v>1735.8000000000002</v>
      </c>
      <c r="AM179" s="35">
        <v>46243</v>
      </c>
      <c r="AN179" s="30">
        <v>1</v>
      </c>
      <c r="AO179" s="36">
        <f t="shared" si="47"/>
        <v>1735.8000000000002</v>
      </c>
      <c r="AP179" s="35"/>
      <c r="AQ179" s="30"/>
      <c r="AR179" s="36">
        <f t="shared" si="48"/>
        <v>0</v>
      </c>
      <c r="AS179" s="27"/>
      <c r="AT179" s="37"/>
      <c r="AU179" s="30"/>
      <c r="AV179" s="36">
        <f t="shared" si="49"/>
        <v>0</v>
      </c>
      <c r="AW179" s="35"/>
      <c r="AX179" s="30"/>
      <c r="AY179" s="32">
        <f t="shared" si="50"/>
        <v>0</v>
      </c>
      <c r="AZ179" s="30" t="s">
        <v>440</v>
      </c>
      <c r="BA179" s="63"/>
      <c r="BB179" s="71" t="e">
        <f>SUMIFS([1]VD001!$G$9:$G$78,[1]VD001!$E$9:$E$78,BC179)</f>
        <v>#VALUE!</v>
      </c>
      <c r="BC179" s="71" t="s">
        <v>254</v>
      </c>
      <c r="BD179" s="71"/>
    </row>
    <row r="180" spans="1:56" hidden="1" x14ac:dyDescent="0.25">
      <c r="A180" s="24">
        <f>IF(B180="","",SUBTOTAL(3,$B$4:B180))</f>
        <v>138</v>
      </c>
      <c r="B180" s="25" t="s">
        <v>439</v>
      </c>
      <c r="C180" s="25" t="str">
        <f t="shared" si="42"/>
        <v>Shipment 2 CO-SCR Duct</v>
      </c>
      <c r="D180" s="25" t="s">
        <v>441</v>
      </c>
      <c r="E180" s="25" t="s">
        <v>442</v>
      </c>
      <c r="F180" s="25"/>
      <c r="G180" s="65">
        <v>46204</v>
      </c>
      <c r="H180" s="25" t="s">
        <v>443</v>
      </c>
      <c r="I180" s="25" t="s">
        <v>445</v>
      </c>
      <c r="J180" s="26" t="s">
        <v>446</v>
      </c>
      <c r="K180" s="27" t="s">
        <v>255</v>
      </c>
      <c r="L180" s="28" t="s">
        <v>256</v>
      </c>
      <c r="M180" s="28" t="s">
        <v>257</v>
      </c>
      <c r="N180" s="25">
        <v>1</v>
      </c>
      <c r="O180" s="29">
        <v>4245.4999999999991</v>
      </c>
      <c r="P180" s="29">
        <v>4245.4999999999991</v>
      </c>
      <c r="Q180" s="25" t="s">
        <v>402</v>
      </c>
      <c r="R180" s="25"/>
      <c r="S180" s="26" t="s">
        <v>353</v>
      </c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43"/>
        <v>3820.9499999999994</v>
      </c>
      <c r="AF180" s="32">
        <f t="shared" si="44"/>
        <v>424.54999999999973</v>
      </c>
      <c r="AG180" s="30"/>
      <c r="AH180" s="33">
        <v>1</v>
      </c>
      <c r="AI180" s="34">
        <f t="shared" si="45"/>
        <v>4245.4999999999991</v>
      </c>
      <c r="AJ180" s="35">
        <v>46203</v>
      </c>
      <c r="AK180" s="30">
        <v>1</v>
      </c>
      <c r="AL180" s="36">
        <f t="shared" si="46"/>
        <v>4245.4999999999991</v>
      </c>
      <c r="AM180" s="35">
        <v>46206</v>
      </c>
      <c r="AN180" s="30">
        <v>1</v>
      </c>
      <c r="AO180" s="36">
        <f t="shared" si="47"/>
        <v>4245.4999999999991</v>
      </c>
      <c r="AP180" s="35"/>
      <c r="AQ180" s="30"/>
      <c r="AR180" s="36">
        <f t="shared" si="48"/>
        <v>0</v>
      </c>
      <c r="AS180" s="27"/>
      <c r="AT180" s="37"/>
      <c r="AU180" s="30"/>
      <c r="AV180" s="36">
        <f t="shared" si="49"/>
        <v>0</v>
      </c>
      <c r="AW180" s="35"/>
      <c r="AX180" s="30"/>
      <c r="AY180" s="32">
        <f t="shared" si="50"/>
        <v>0</v>
      </c>
      <c r="AZ180" s="30" t="s">
        <v>440</v>
      </c>
      <c r="BA180" s="63"/>
      <c r="BB180" s="71" t="e">
        <f>SUMIFS([1]VD001!$G$9:$G$78,[1]VD001!$E$9:$E$78,BC180)</f>
        <v>#VALUE!</v>
      </c>
      <c r="BC180" s="71" t="s">
        <v>256</v>
      </c>
      <c r="BD180" s="71"/>
    </row>
    <row r="181" spans="1:56" hidden="1" x14ac:dyDescent="0.25">
      <c r="A181" s="24">
        <f>IF(B181="","",SUBTOTAL(3,$B$4:B181))</f>
        <v>138</v>
      </c>
      <c r="B181" s="25" t="s">
        <v>439</v>
      </c>
      <c r="C181" s="25" t="str">
        <f t="shared" si="42"/>
        <v>Shipment 2 CO-SCR Duct</v>
      </c>
      <c r="D181" s="25" t="s">
        <v>441</v>
      </c>
      <c r="E181" s="25" t="s">
        <v>442</v>
      </c>
      <c r="F181" s="25"/>
      <c r="G181" s="65">
        <v>46204</v>
      </c>
      <c r="H181" s="25" t="s">
        <v>443</v>
      </c>
      <c r="I181" s="25" t="s">
        <v>445</v>
      </c>
      <c r="J181" s="26" t="s">
        <v>446</v>
      </c>
      <c r="K181" s="27" t="s">
        <v>243</v>
      </c>
      <c r="L181" s="28" t="s">
        <v>258</v>
      </c>
      <c r="M181" s="28"/>
      <c r="N181" s="25">
        <v>1</v>
      </c>
      <c r="O181" s="29">
        <v>272.3</v>
      </c>
      <c r="P181" s="29">
        <v>272.3</v>
      </c>
      <c r="Q181" s="25" t="s">
        <v>403</v>
      </c>
      <c r="R181" s="25"/>
      <c r="S181" s="26" t="s">
        <v>354</v>
      </c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43"/>
        <v>245.07000000000002</v>
      </c>
      <c r="AF181" s="32">
        <f t="shared" si="44"/>
        <v>27.22999999999999</v>
      </c>
      <c r="AG181" s="30"/>
      <c r="AH181" s="33">
        <v>1</v>
      </c>
      <c r="AI181" s="34">
        <f t="shared" si="45"/>
        <v>272.3</v>
      </c>
      <c r="AJ181" s="35">
        <v>46286</v>
      </c>
      <c r="AK181" s="30">
        <v>1</v>
      </c>
      <c r="AL181" s="36">
        <f t="shared" si="46"/>
        <v>272.3</v>
      </c>
      <c r="AM181" s="35">
        <v>46293</v>
      </c>
      <c r="AN181" s="30">
        <v>1</v>
      </c>
      <c r="AO181" s="36">
        <f t="shared" si="47"/>
        <v>272.3</v>
      </c>
      <c r="AP181" s="35"/>
      <c r="AQ181" s="30"/>
      <c r="AR181" s="36">
        <f t="shared" si="48"/>
        <v>0</v>
      </c>
      <c r="AS181" s="27"/>
      <c r="AT181" s="37"/>
      <c r="AU181" s="30"/>
      <c r="AV181" s="36">
        <f t="shared" si="49"/>
        <v>0</v>
      </c>
      <c r="AW181" s="35"/>
      <c r="AX181" s="30"/>
      <c r="AY181" s="32">
        <f t="shared" si="50"/>
        <v>0</v>
      </c>
      <c r="AZ181" s="30" t="s">
        <v>440</v>
      </c>
      <c r="BA181" s="63"/>
      <c r="BB181" s="71" t="e">
        <f>SUMIFS([1]VD001!$G$9:$G$78,[1]VD001!$E$9:$E$78,BC181)</f>
        <v>#VALUE!</v>
      </c>
      <c r="BC181" s="71" t="s">
        <v>258</v>
      </c>
      <c r="BD181" s="71"/>
    </row>
    <row r="182" spans="1:56" hidden="1" x14ac:dyDescent="0.25">
      <c r="A182" s="24">
        <f>IF(B182="","",SUBTOTAL(3,$B$4:B182))</f>
        <v>138</v>
      </c>
      <c r="B182" s="25" t="s">
        <v>439</v>
      </c>
      <c r="C182" s="25" t="str">
        <f t="shared" si="42"/>
        <v>Shipment 2 CO-SCR Duct</v>
      </c>
      <c r="D182" s="25" t="s">
        <v>441</v>
      </c>
      <c r="E182" s="25" t="s">
        <v>442</v>
      </c>
      <c r="F182" s="25"/>
      <c r="G182" s="65">
        <v>46204</v>
      </c>
      <c r="H182" s="25" t="s">
        <v>443</v>
      </c>
      <c r="I182" s="25" t="s">
        <v>445</v>
      </c>
      <c r="J182" s="26" t="s">
        <v>446</v>
      </c>
      <c r="K182" s="27" t="s">
        <v>259</v>
      </c>
      <c r="L182" s="28" t="s">
        <v>260</v>
      </c>
      <c r="M182" s="28" t="s">
        <v>257</v>
      </c>
      <c r="N182" s="25">
        <v>1</v>
      </c>
      <c r="O182" s="29">
        <v>4182.9999999999991</v>
      </c>
      <c r="P182" s="29">
        <v>4182.9999999999991</v>
      </c>
      <c r="Q182" s="25" t="s">
        <v>404</v>
      </c>
      <c r="R182" s="25"/>
      <c r="S182" s="26" t="s">
        <v>353</v>
      </c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43"/>
        <v>3764.6999999999994</v>
      </c>
      <c r="AF182" s="32">
        <f t="shared" si="44"/>
        <v>418.29999999999973</v>
      </c>
      <c r="AG182" s="30"/>
      <c r="AH182" s="33">
        <v>1</v>
      </c>
      <c r="AI182" s="34">
        <f t="shared" si="45"/>
        <v>4182.9999999999991</v>
      </c>
      <c r="AJ182" s="35">
        <v>46203</v>
      </c>
      <c r="AK182" s="30">
        <v>1</v>
      </c>
      <c r="AL182" s="36">
        <f t="shared" si="46"/>
        <v>4182.9999999999991</v>
      </c>
      <c r="AM182" s="35">
        <v>46212</v>
      </c>
      <c r="AN182" s="30">
        <v>1</v>
      </c>
      <c r="AO182" s="36">
        <f t="shared" si="47"/>
        <v>4182.9999999999991</v>
      </c>
      <c r="AP182" s="35"/>
      <c r="AQ182" s="30"/>
      <c r="AR182" s="36">
        <f t="shared" si="48"/>
        <v>0</v>
      </c>
      <c r="AS182" s="27"/>
      <c r="AT182" s="37"/>
      <c r="AU182" s="30"/>
      <c r="AV182" s="36">
        <f t="shared" si="49"/>
        <v>0</v>
      </c>
      <c r="AW182" s="35"/>
      <c r="AX182" s="30"/>
      <c r="AY182" s="32">
        <f t="shared" si="50"/>
        <v>0</v>
      </c>
      <c r="AZ182" s="30" t="s">
        <v>440</v>
      </c>
      <c r="BA182" s="63"/>
      <c r="BB182" s="71" t="e">
        <f>SUMIFS([1]VD001!$G$9:$G$78,[1]VD001!$E$9:$E$78,BC182)</f>
        <v>#VALUE!</v>
      </c>
      <c r="BC182" s="71" t="s">
        <v>260</v>
      </c>
      <c r="BD182" s="71"/>
    </row>
    <row r="183" spans="1:56" hidden="1" x14ac:dyDescent="0.25">
      <c r="A183" s="24">
        <f>IF(B183="","",SUBTOTAL(3,$B$4:B183))</f>
        <v>138</v>
      </c>
      <c r="B183" s="25" t="s">
        <v>439</v>
      </c>
      <c r="C183" s="25" t="str">
        <f t="shared" si="42"/>
        <v>Shipment 2 CO-SCR Duct</v>
      </c>
      <c r="D183" s="25" t="s">
        <v>441</v>
      </c>
      <c r="E183" s="25" t="s">
        <v>442</v>
      </c>
      <c r="F183" s="25"/>
      <c r="G183" s="65">
        <v>46204</v>
      </c>
      <c r="H183" s="25" t="s">
        <v>443</v>
      </c>
      <c r="I183" s="25" t="s">
        <v>445</v>
      </c>
      <c r="J183" s="26" t="s">
        <v>446</v>
      </c>
      <c r="K183" s="27" t="s">
        <v>261</v>
      </c>
      <c r="L183" s="28" t="s">
        <v>262</v>
      </c>
      <c r="M183" s="28" t="s">
        <v>257</v>
      </c>
      <c r="N183" s="25">
        <v>1</v>
      </c>
      <c r="O183" s="29">
        <v>33888.5</v>
      </c>
      <c r="P183" s="29">
        <v>33888.5</v>
      </c>
      <c r="Q183" s="25" t="s">
        <v>405</v>
      </c>
      <c r="R183" s="25"/>
      <c r="S183" s="26" t="s">
        <v>353</v>
      </c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43"/>
        <v>30499.65</v>
      </c>
      <c r="AF183" s="32">
        <f t="shared" si="44"/>
        <v>3388.8499999999985</v>
      </c>
      <c r="AG183" s="30"/>
      <c r="AH183" s="33">
        <v>1</v>
      </c>
      <c r="AI183" s="34">
        <f t="shared" si="45"/>
        <v>33888.5</v>
      </c>
      <c r="AJ183" s="35">
        <v>46225</v>
      </c>
      <c r="AK183" s="30">
        <v>1</v>
      </c>
      <c r="AL183" s="36">
        <f t="shared" si="46"/>
        <v>33888.5</v>
      </c>
      <c r="AM183" s="35">
        <v>46230</v>
      </c>
      <c r="AN183" s="30">
        <v>1</v>
      </c>
      <c r="AO183" s="36">
        <f t="shared" si="47"/>
        <v>33888.5</v>
      </c>
      <c r="AP183" s="35"/>
      <c r="AQ183" s="30"/>
      <c r="AR183" s="36">
        <f t="shared" si="48"/>
        <v>0</v>
      </c>
      <c r="AS183" s="27"/>
      <c r="AT183" s="37"/>
      <c r="AU183" s="30"/>
      <c r="AV183" s="36">
        <f t="shared" si="49"/>
        <v>0</v>
      </c>
      <c r="AW183" s="35"/>
      <c r="AX183" s="30"/>
      <c r="AY183" s="32">
        <f t="shared" si="50"/>
        <v>0</v>
      </c>
      <c r="AZ183" s="30" t="s">
        <v>440</v>
      </c>
      <c r="BA183" s="63"/>
      <c r="BB183" s="71" t="e">
        <f>SUMIFS([1]VD001!$G$9:$G$78,[1]VD001!$E$9:$E$78,BC183)</f>
        <v>#VALUE!</v>
      </c>
      <c r="BC183" s="71" t="s">
        <v>262</v>
      </c>
      <c r="BD183" s="71"/>
    </row>
    <row r="184" spans="1:56" hidden="1" x14ac:dyDescent="0.25">
      <c r="A184" s="24">
        <f>IF(B184="","",SUBTOTAL(3,$B$4:B184))</f>
        <v>138</v>
      </c>
      <c r="B184" s="25" t="s">
        <v>439</v>
      </c>
      <c r="C184" s="25" t="str">
        <f t="shared" si="42"/>
        <v>Shipment 2 CO-SCR Duct</v>
      </c>
      <c r="D184" s="25" t="s">
        <v>441</v>
      </c>
      <c r="E184" s="25" t="s">
        <v>442</v>
      </c>
      <c r="F184" s="25"/>
      <c r="G184" s="65">
        <v>46204</v>
      </c>
      <c r="H184" s="25" t="s">
        <v>443</v>
      </c>
      <c r="I184" s="25" t="s">
        <v>445</v>
      </c>
      <c r="J184" s="26" t="s">
        <v>446</v>
      </c>
      <c r="K184" s="27" t="s">
        <v>243</v>
      </c>
      <c r="L184" s="28" t="s">
        <v>263</v>
      </c>
      <c r="M184" s="28"/>
      <c r="N184" s="25">
        <v>1</v>
      </c>
      <c r="O184" s="29">
        <v>272.3</v>
      </c>
      <c r="P184" s="29">
        <v>272.3</v>
      </c>
      <c r="Q184" s="25" t="s">
        <v>403</v>
      </c>
      <c r="R184" s="25"/>
      <c r="S184" s="26" t="s">
        <v>354</v>
      </c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43"/>
        <v>245.07000000000002</v>
      </c>
      <c r="AF184" s="32">
        <f t="shared" si="44"/>
        <v>27.22999999999999</v>
      </c>
      <c r="AG184" s="30"/>
      <c r="AH184" s="33">
        <v>1</v>
      </c>
      <c r="AI184" s="34">
        <f t="shared" si="45"/>
        <v>272.3</v>
      </c>
      <c r="AJ184" s="35">
        <v>46286</v>
      </c>
      <c r="AK184" s="30">
        <v>1</v>
      </c>
      <c r="AL184" s="36">
        <f t="shared" si="46"/>
        <v>272.3</v>
      </c>
      <c r="AM184" s="35">
        <v>46293</v>
      </c>
      <c r="AN184" s="30">
        <v>1</v>
      </c>
      <c r="AO184" s="36">
        <f t="shared" si="47"/>
        <v>272.3</v>
      </c>
      <c r="AP184" s="35"/>
      <c r="AQ184" s="30"/>
      <c r="AR184" s="36">
        <f t="shared" si="48"/>
        <v>0</v>
      </c>
      <c r="AS184" s="27"/>
      <c r="AT184" s="37"/>
      <c r="AU184" s="30"/>
      <c r="AV184" s="36">
        <f t="shared" si="49"/>
        <v>0</v>
      </c>
      <c r="AW184" s="35"/>
      <c r="AX184" s="30"/>
      <c r="AY184" s="32">
        <f t="shared" si="50"/>
        <v>0</v>
      </c>
      <c r="AZ184" s="30" t="s">
        <v>440</v>
      </c>
      <c r="BA184" s="63"/>
      <c r="BB184" s="71" t="e">
        <f>SUMIFS([1]VD001!$G$9:$G$78,[1]VD001!$E$9:$E$78,BC184)</f>
        <v>#VALUE!</v>
      </c>
      <c r="BC184" s="71" t="s">
        <v>263</v>
      </c>
      <c r="BD184" s="71"/>
    </row>
    <row r="185" spans="1:56" hidden="1" x14ac:dyDescent="0.25">
      <c r="A185" s="24">
        <f>IF(B185="","",SUBTOTAL(3,$B$4:B185))</f>
        <v>138</v>
      </c>
      <c r="B185" s="25" t="s">
        <v>439</v>
      </c>
      <c r="C185" s="25" t="str">
        <f t="shared" si="42"/>
        <v>Shipment 2 CO-SCR Duct</v>
      </c>
      <c r="D185" s="25" t="s">
        <v>441</v>
      </c>
      <c r="E185" s="25" t="s">
        <v>442</v>
      </c>
      <c r="F185" s="25"/>
      <c r="G185" s="65">
        <v>46204</v>
      </c>
      <c r="H185" s="25" t="s">
        <v>443</v>
      </c>
      <c r="I185" s="25" t="s">
        <v>445</v>
      </c>
      <c r="J185" s="26" t="s">
        <v>446</v>
      </c>
      <c r="K185" s="27" t="s">
        <v>264</v>
      </c>
      <c r="L185" s="28" t="s">
        <v>265</v>
      </c>
      <c r="M185" s="28" t="s">
        <v>257</v>
      </c>
      <c r="N185" s="25">
        <v>1</v>
      </c>
      <c r="O185" s="29">
        <v>1800.9999999999998</v>
      </c>
      <c r="P185" s="29">
        <v>1800.9999999999998</v>
      </c>
      <c r="Q185" s="25" t="s">
        <v>408</v>
      </c>
      <c r="R185" s="25"/>
      <c r="S185" s="26" t="s">
        <v>353</v>
      </c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43"/>
        <v>1620.8999999999999</v>
      </c>
      <c r="AF185" s="32">
        <f t="shared" si="44"/>
        <v>180.09999999999991</v>
      </c>
      <c r="AG185" s="30"/>
      <c r="AH185" s="33">
        <v>1</v>
      </c>
      <c r="AI185" s="34">
        <f t="shared" si="45"/>
        <v>1800.9999999999998</v>
      </c>
      <c r="AJ185" s="35">
        <v>46225</v>
      </c>
      <c r="AK185" s="30">
        <v>1</v>
      </c>
      <c r="AL185" s="36">
        <f t="shared" si="46"/>
        <v>1800.9999999999998</v>
      </c>
      <c r="AM185" s="35">
        <v>46226</v>
      </c>
      <c r="AN185" s="30">
        <v>1</v>
      </c>
      <c r="AO185" s="36">
        <f t="shared" si="47"/>
        <v>1800.9999999999998</v>
      </c>
      <c r="AP185" s="35"/>
      <c r="AQ185" s="30"/>
      <c r="AR185" s="36">
        <f t="shared" si="48"/>
        <v>0</v>
      </c>
      <c r="AS185" s="27"/>
      <c r="AT185" s="37"/>
      <c r="AU185" s="30"/>
      <c r="AV185" s="36">
        <f t="shared" si="49"/>
        <v>0</v>
      </c>
      <c r="AW185" s="35"/>
      <c r="AX185" s="30"/>
      <c r="AY185" s="32">
        <f t="shared" si="50"/>
        <v>0</v>
      </c>
      <c r="AZ185" s="30" t="s">
        <v>440</v>
      </c>
      <c r="BA185" s="63"/>
      <c r="BB185" s="71" t="e">
        <f>SUMIFS([1]VD001!$G$9:$G$78,[1]VD001!$E$9:$E$78,BC185)</f>
        <v>#VALUE!</v>
      </c>
      <c r="BC185" s="71" t="s">
        <v>265</v>
      </c>
      <c r="BD185" s="71"/>
    </row>
    <row r="186" spans="1:56" hidden="1" x14ac:dyDescent="0.25">
      <c r="A186" s="24">
        <f>IF(B186="","",SUBTOTAL(3,$B$4:B186))</f>
        <v>138</v>
      </c>
      <c r="B186" s="25" t="s">
        <v>439</v>
      </c>
      <c r="C186" s="25" t="str">
        <f t="shared" si="42"/>
        <v>Shipment 2 CO-SCR Duct</v>
      </c>
      <c r="D186" s="25" t="s">
        <v>441</v>
      </c>
      <c r="E186" s="25" t="s">
        <v>442</v>
      </c>
      <c r="F186" s="25"/>
      <c r="G186" s="65">
        <v>46204</v>
      </c>
      <c r="H186" s="25" t="s">
        <v>443</v>
      </c>
      <c r="I186" s="25" t="s">
        <v>445</v>
      </c>
      <c r="J186" s="26" t="s">
        <v>446</v>
      </c>
      <c r="K186" s="27" t="s">
        <v>243</v>
      </c>
      <c r="L186" s="28" t="s">
        <v>266</v>
      </c>
      <c r="M186" s="28"/>
      <c r="N186" s="25">
        <v>1</v>
      </c>
      <c r="O186" s="29">
        <v>272.3</v>
      </c>
      <c r="P186" s="29">
        <v>272.3</v>
      </c>
      <c r="Q186" s="25" t="s">
        <v>403</v>
      </c>
      <c r="R186" s="25"/>
      <c r="S186" s="26" t="s">
        <v>354</v>
      </c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43"/>
        <v>245.07000000000002</v>
      </c>
      <c r="AF186" s="32">
        <f t="shared" si="44"/>
        <v>27.22999999999999</v>
      </c>
      <c r="AG186" s="30"/>
      <c r="AH186" s="33">
        <v>1</v>
      </c>
      <c r="AI186" s="34">
        <f t="shared" si="45"/>
        <v>272.3</v>
      </c>
      <c r="AJ186" s="35">
        <v>46286</v>
      </c>
      <c r="AK186" s="30">
        <v>1</v>
      </c>
      <c r="AL186" s="36">
        <f t="shared" si="46"/>
        <v>272.3</v>
      </c>
      <c r="AM186" s="35">
        <v>46293</v>
      </c>
      <c r="AN186" s="30">
        <v>1</v>
      </c>
      <c r="AO186" s="36">
        <f t="shared" si="47"/>
        <v>272.3</v>
      </c>
      <c r="AP186" s="35"/>
      <c r="AQ186" s="30"/>
      <c r="AR186" s="36">
        <f t="shared" si="48"/>
        <v>0</v>
      </c>
      <c r="AS186" s="27"/>
      <c r="AT186" s="37"/>
      <c r="AU186" s="30"/>
      <c r="AV186" s="36">
        <f t="shared" si="49"/>
        <v>0</v>
      </c>
      <c r="AW186" s="35"/>
      <c r="AX186" s="30"/>
      <c r="AY186" s="32">
        <f t="shared" si="50"/>
        <v>0</v>
      </c>
      <c r="AZ186" s="30" t="s">
        <v>440</v>
      </c>
      <c r="BA186" s="63"/>
      <c r="BB186" s="71" t="e">
        <f>SUMIFS([1]VD001!$G$9:$G$78,[1]VD001!$E$9:$E$78,BC186)</f>
        <v>#VALUE!</v>
      </c>
      <c r="BC186" s="71" t="s">
        <v>266</v>
      </c>
      <c r="BD186" s="71"/>
    </row>
    <row r="187" spans="1:56" hidden="1" x14ac:dyDescent="0.25">
      <c r="A187" s="24">
        <f>IF(B187="","",SUBTOTAL(3,$B$4:B187))</f>
        <v>138</v>
      </c>
      <c r="B187" s="25" t="s">
        <v>439</v>
      </c>
      <c r="C187" s="25" t="str">
        <f t="shared" si="42"/>
        <v>Shipment 2 CO-SCR Duct</v>
      </c>
      <c r="D187" s="25" t="s">
        <v>441</v>
      </c>
      <c r="E187" s="25" t="s">
        <v>442</v>
      </c>
      <c r="F187" s="25"/>
      <c r="G187" s="65">
        <v>46204</v>
      </c>
      <c r="H187" s="25" t="s">
        <v>443</v>
      </c>
      <c r="I187" s="25" t="s">
        <v>445</v>
      </c>
      <c r="J187" s="26" t="s">
        <v>446</v>
      </c>
      <c r="K187" s="27" t="s">
        <v>267</v>
      </c>
      <c r="L187" s="28" t="s">
        <v>268</v>
      </c>
      <c r="M187" s="28" t="s">
        <v>257</v>
      </c>
      <c r="N187" s="25">
        <v>1</v>
      </c>
      <c r="O187" s="29">
        <v>1734.6999999999998</v>
      </c>
      <c r="P187" s="29">
        <v>1734.6999999999998</v>
      </c>
      <c r="Q187" s="25" t="s">
        <v>409</v>
      </c>
      <c r="R187" s="25"/>
      <c r="S187" s="26" t="s">
        <v>353</v>
      </c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43"/>
        <v>1561.23</v>
      </c>
      <c r="AF187" s="32">
        <f t="shared" si="44"/>
        <v>173.4699999999998</v>
      </c>
      <c r="AG187" s="30"/>
      <c r="AH187" s="33">
        <v>1</v>
      </c>
      <c r="AI187" s="34">
        <f t="shared" si="45"/>
        <v>1734.6999999999998</v>
      </c>
      <c r="AJ187" s="35">
        <v>46203</v>
      </c>
      <c r="AK187" s="30">
        <v>1</v>
      </c>
      <c r="AL187" s="36">
        <f t="shared" si="46"/>
        <v>1734.6999999999998</v>
      </c>
      <c r="AM187" s="35">
        <v>46226</v>
      </c>
      <c r="AN187" s="30">
        <v>1</v>
      </c>
      <c r="AO187" s="36">
        <f t="shared" si="47"/>
        <v>1734.6999999999998</v>
      </c>
      <c r="AP187" s="35"/>
      <c r="AQ187" s="30"/>
      <c r="AR187" s="36">
        <f t="shared" si="48"/>
        <v>0</v>
      </c>
      <c r="AS187" s="27"/>
      <c r="AT187" s="37"/>
      <c r="AU187" s="30"/>
      <c r="AV187" s="36">
        <f t="shared" si="49"/>
        <v>0</v>
      </c>
      <c r="AW187" s="35"/>
      <c r="AX187" s="30"/>
      <c r="AY187" s="32">
        <f t="shared" si="50"/>
        <v>0</v>
      </c>
      <c r="AZ187" s="30" t="s">
        <v>440</v>
      </c>
      <c r="BA187" s="63"/>
      <c r="BB187" s="71" t="e">
        <f>SUMIFS([1]VD001!$G$9:$G$78,[1]VD001!$E$9:$E$78,BC187)</f>
        <v>#VALUE!</v>
      </c>
      <c r="BC187" s="71" t="s">
        <v>268</v>
      </c>
      <c r="BD187" s="71"/>
    </row>
    <row r="188" spans="1:56" hidden="1" x14ac:dyDescent="0.25">
      <c r="A188" s="24">
        <f>IF(B188="","",SUBTOTAL(3,$B$4:B188))</f>
        <v>138</v>
      </c>
      <c r="B188" s="25" t="s">
        <v>439</v>
      </c>
      <c r="C188" s="25" t="str">
        <f t="shared" si="42"/>
        <v>Shipment 2 CO-SCR Duct</v>
      </c>
      <c r="D188" s="25" t="s">
        <v>441</v>
      </c>
      <c r="E188" s="25" t="s">
        <v>442</v>
      </c>
      <c r="F188" s="25"/>
      <c r="G188" s="65">
        <v>46204</v>
      </c>
      <c r="H188" s="25" t="s">
        <v>443</v>
      </c>
      <c r="I188" s="25" t="s">
        <v>445</v>
      </c>
      <c r="J188" s="26" t="s">
        <v>868</v>
      </c>
      <c r="K188" s="27" t="s">
        <v>269</v>
      </c>
      <c r="L188" s="28" t="s">
        <v>270</v>
      </c>
      <c r="M188" s="28" t="s">
        <v>271</v>
      </c>
      <c r="N188" s="25">
        <v>1</v>
      </c>
      <c r="O188" s="29">
        <v>2290.4</v>
      </c>
      <c r="P188" s="29">
        <v>2290.4</v>
      </c>
      <c r="Q188" s="25" t="s">
        <v>410</v>
      </c>
      <c r="R188" s="25"/>
      <c r="S188" s="26" t="s">
        <v>353</v>
      </c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43"/>
        <v>2061.36</v>
      </c>
      <c r="AF188" s="32">
        <f t="shared" si="44"/>
        <v>229.03999999999996</v>
      </c>
      <c r="AG188" s="30"/>
      <c r="AH188" s="33">
        <v>1</v>
      </c>
      <c r="AI188" s="34">
        <f t="shared" si="45"/>
        <v>2290.4</v>
      </c>
      <c r="AJ188" s="35">
        <v>46284</v>
      </c>
      <c r="AK188" s="30">
        <v>1</v>
      </c>
      <c r="AL188" s="36">
        <f t="shared" si="46"/>
        <v>2290.4</v>
      </c>
      <c r="AM188" s="35">
        <v>46286</v>
      </c>
      <c r="AN188" s="30">
        <v>1</v>
      </c>
      <c r="AO188" s="36">
        <f t="shared" si="47"/>
        <v>2290.4</v>
      </c>
      <c r="AP188" s="35"/>
      <c r="AQ188" s="30"/>
      <c r="AR188" s="36">
        <f t="shared" si="48"/>
        <v>0</v>
      </c>
      <c r="AS188" s="27"/>
      <c r="AT188" s="37"/>
      <c r="AU188" s="30"/>
      <c r="AV188" s="36">
        <f t="shared" si="49"/>
        <v>0</v>
      </c>
      <c r="AW188" s="35"/>
      <c r="AX188" s="30"/>
      <c r="AY188" s="32">
        <f t="shared" si="50"/>
        <v>0</v>
      </c>
      <c r="AZ188" s="30" t="s">
        <v>440</v>
      </c>
      <c r="BA188" s="63"/>
      <c r="BB188" s="71" t="e">
        <f>SUMIFS([1]VD001!$G$9:$G$78,[1]VD001!$E$9:$E$78,BC188)</f>
        <v>#VALUE!</v>
      </c>
      <c r="BC188" s="71" t="s">
        <v>270</v>
      </c>
      <c r="BD188" s="71"/>
    </row>
    <row r="189" spans="1:56" hidden="1" x14ac:dyDescent="0.25">
      <c r="A189" s="24">
        <f>IF(B189="","",SUBTOTAL(3,$B$4:B189))</f>
        <v>138</v>
      </c>
      <c r="B189" s="25" t="s">
        <v>439</v>
      </c>
      <c r="C189" s="25" t="str">
        <f t="shared" si="42"/>
        <v>Shipment 2 CO-SCR Duct</v>
      </c>
      <c r="D189" s="25" t="s">
        <v>441</v>
      </c>
      <c r="E189" s="25" t="s">
        <v>442</v>
      </c>
      <c r="F189" s="25"/>
      <c r="G189" s="65">
        <v>46204</v>
      </c>
      <c r="H189" s="25" t="s">
        <v>443</v>
      </c>
      <c r="I189" s="25" t="s">
        <v>445</v>
      </c>
      <c r="J189" s="26" t="s">
        <v>778</v>
      </c>
      <c r="K189" s="27" t="s">
        <v>272</v>
      </c>
      <c r="L189" s="28" t="s">
        <v>273</v>
      </c>
      <c r="M189" s="28" t="s">
        <v>271</v>
      </c>
      <c r="N189" s="25">
        <v>1</v>
      </c>
      <c r="O189" s="29">
        <v>11207.4</v>
      </c>
      <c r="P189" s="29">
        <v>11207.4</v>
      </c>
      <c r="Q189" s="25" t="s">
        <v>411</v>
      </c>
      <c r="R189" s="25"/>
      <c r="S189" s="26" t="s">
        <v>353</v>
      </c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43"/>
        <v>10086.66</v>
      </c>
      <c r="AF189" s="32">
        <f t="shared" si="44"/>
        <v>1120.7399999999998</v>
      </c>
      <c r="AG189" s="30"/>
      <c r="AH189" s="33">
        <v>1</v>
      </c>
      <c r="AI189" s="34">
        <f t="shared" si="45"/>
        <v>11207.4</v>
      </c>
      <c r="AJ189" s="35">
        <v>46281</v>
      </c>
      <c r="AK189" s="30">
        <v>1</v>
      </c>
      <c r="AL189" s="36">
        <f t="shared" si="46"/>
        <v>11207.4</v>
      </c>
      <c r="AM189" s="35">
        <v>46287</v>
      </c>
      <c r="AN189" s="30">
        <v>1</v>
      </c>
      <c r="AO189" s="36">
        <f t="shared" si="47"/>
        <v>11207.4</v>
      </c>
      <c r="AP189" s="35"/>
      <c r="AQ189" s="30"/>
      <c r="AR189" s="36">
        <f t="shared" si="48"/>
        <v>0</v>
      </c>
      <c r="AS189" s="27"/>
      <c r="AT189" s="37"/>
      <c r="AU189" s="30"/>
      <c r="AV189" s="36">
        <f t="shared" si="49"/>
        <v>0</v>
      </c>
      <c r="AW189" s="35"/>
      <c r="AX189" s="30"/>
      <c r="AY189" s="32">
        <f t="shared" si="50"/>
        <v>0</v>
      </c>
      <c r="AZ189" s="30" t="s">
        <v>440</v>
      </c>
      <c r="BA189" s="63"/>
      <c r="BB189" s="71" t="e">
        <f>SUMIFS([1]VD001!$G$9:$G$78,[1]VD001!$E$9:$E$78,BC189)</f>
        <v>#VALUE!</v>
      </c>
      <c r="BC189" s="71" t="s">
        <v>273</v>
      </c>
      <c r="BD189" s="71"/>
    </row>
    <row r="190" spans="1:56" hidden="1" x14ac:dyDescent="0.25">
      <c r="A190" s="24">
        <f>IF(B190="","",SUBTOTAL(3,$B$4:B190))</f>
        <v>138</v>
      </c>
      <c r="B190" s="25" t="s">
        <v>439</v>
      </c>
      <c r="C190" s="25" t="str">
        <f t="shared" si="42"/>
        <v>Shipment 2 CO-SCR Duct</v>
      </c>
      <c r="D190" s="25" t="s">
        <v>441</v>
      </c>
      <c r="E190" s="25" t="s">
        <v>442</v>
      </c>
      <c r="F190" s="25"/>
      <c r="G190" s="65">
        <v>46204</v>
      </c>
      <c r="H190" s="25" t="s">
        <v>443</v>
      </c>
      <c r="I190" s="25" t="s">
        <v>445</v>
      </c>
      <c r="J190" s="26" t="s">
        <v>447</v>
      </c>
      <c r="K190" s="27" t="s">
        <v>274</v>
      </c>
      <c r="L190" s="28" t="s">
        <v>275</v>
      </c>
      <c r="M190" s="28" t="s">
        <v>276</v>
      </c>
      <c r="N190" s="25">
        <v>1</v>
      </c>
      <c r="O190" s="29">
        <v>618.9</v>
      </c>
      <c r="P190" s="29">
        <v>618.9</v>
      </c>
      <c r="Q190" s="25" t="s">
        <v>412</v>
      </c>
      <c r="R190" s="25"/>
      <c r="S190" s="26" t="s">
        <v>353</v>
      </c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43"/>
        <v>557.01</v>
      </c>
      <c r="AF190" s="32">
        <f t="shared" si="44"/>
        <v>61.889999999999986</v>
      </c>
      <c r="AG190" s="30"/>
      <c r="AH190" s="33">
        <v>1</v>
      </c>
      <c r="AI190" s="34">
        <f t="shared" si="45"/>
        <v>618.9</v>
      </c>
      <c r="AJ190" s="35">
        <v>46286</v>
      </c>
      <c r="AK190" s="30">
        <v>1</v>
      </c>
      <c r="AL190" s="36">
        <f t="shared" si="46"/>
        <v>618.9</v>
      </c>
      <c r="AM190" s="35">
        <v>46293</v>
      </c>
      <c r="AN190" s="30">
        <v>1</v>
      </c>
      <c r="AO190" s="36">
        <f t="shared" si="47"/>
        <v>618.9</v>
      </c>
      <c r="AP190" s="35"/>
      <c r="AQ190" s="30"/>
      <c r="AR190" s="36">
        <f t="shared" si="48"/>
        <v>0</v>
      </c>
      <c r="AS190" s="27"/>
      <c r="AT190" s="37"/>
      <c r="AU190" s="30"/>
      <c r="AV190" s="36">
        <f t="shared" si="49"/>
        <v>0</v>
      </c>
      <c r="AW190" s="35"/>
      <c r="AX190" s="30"/>
      <c r="AY190" s="32">
        <f t="shared" si="50"/>
        <v>0</v>
      </c>
      <c r="AZ190" s="30" t="s">
        <v>440</v>
      </c>
      <c r="BA190" s="63"/>
      <c r="BB190" s="71" t="e">
        <f>SUMIFS([1]VD001!$G$9:$G$78,[1]VD001!$E$9:$E$78,BC190)</f>
        <v>#VALUE!</v>
      </c>
      <c r="BC190" s="71" t="s">
        <v>275</v>
      </c>
      <c r="BD190" s="71"/>
    </row>
    <row r="191" spans="1:56" hidden="1" x14ac:dyDescent="0.25">
      <c r="A191" s="24">
        <f>IF(B191="","",SUBTOTAL(3,$B$4:B191))</f>
        <v>138</v>
      </c>
      <c r="B191" s="25" t="s">
        <v>439</v>
      </c>
      <c r="C191" s="25" t="str">
        <f t="shared" si="42"/>
        <v>Shipment 2 CO-SCR Duct</v>
      </c>
      <c r="D191" s="25" t="s">
        <v>441</v>
      </c>
      <c r="E191" s="25" t="s">
        <v>442</v>
      </c>
      <c r="F191" s="25"/>
      <c r="G191" s="65">
        <v>46204</v>
      </c>
      <c r="H191" s="25" t="s">
        <v>443</v>
      </c>
      <c r="I191" s="25" t="s">
        <v>445</v>
      </c>
      <c r="J191" s="26" t="s">
        <v>778</v>
      </c>
      <c r="K191" s="27" t="s">
        <v>277</v>
      </c>
      <c r="L191" s="28" t="s">
        <v>278</v>
      </c>
      <c r="M191" s="28" t="s">
        <v>276</v>
      </c>
      <c r="N191" s="25">
        <v>1</v>
      </c>
      <c r="O191" s="29">
        <v>669.3</v>
      </c>
      <c r="P191" s="29">
        <v>669.3</v>
      </c>
      <c r="Q191" s="25" t="s">
        <v>413</v>
      </c>
      <c r="R191" s="25"/>
      <c r="S191" s="26" t="s">
        <v>353</v>
      </c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43"/>
        <v>602.36999999999989</v>
      </c>
      <c r="AF191" s="32">
        <f t="shared" si="44"/>
        <v>66.930000000000064</v>
      </c>
      <c r="AG191" s="30"/>
      <c r="AH191" s="33">
        <v>1</v>
      </c>
      <c r="AI191" s="34">
        <f t="shared" si="45"/>
        <v>669.3</v>
      </c>
      <c r="AJ191" s="35">
        <v>46286</v>
      </c>
      <c r="AK191" s="30">
        <v>1</v>
      </c>
      <c r="AL191" s="36">
        <f t="shared" ref="AL191:AL192" si="51">IFERROR(AK191*$P191/$N191,0)</f>
        <v>669.3</v>
      </c>
      <c r="AM191" s="35">
        <v>46287</v>
      </c>
      <c r="AN191" s="30">
        <v>1</v>
      </c>
      <c r="AO191" s="36">
        <f t="shared" si="47"/>
        <v>669.3</v>
      </c>
      <c r="AP191" s="35"/>
      <c r="AQ191" s="30"/>
      <c r="AR191" s="36">
        <f t="shared" si="48"/>
        <v>0</v>
      </c>
      <c r="AS191" s="27"/>
      <c r="AT191" s="37"/>
      <c r="AU191" s="30"/>
      <c r="AV191" s="36">
        <f t="shared" si="49"/>
        <v>0</v>
      </c>
      <c r="AW191" s="35"/>
      <c r="AX191" s="30"/>
      <c r="AY191" s="32">
        <f t="shared" si="50"/>
        <v>0</v>
      </c>
      <c r="AZ191" s="30" t="s">
        <v>440</v>
      </c>
      <c r="BA191" s="63"/>
      <c r="BB191" s="71" t="e">
        <f>SUMIFS([1]VD001!$G$9:$G$78,[1]VD001!$E$9:$E$78,BC191)</f>
        <v>#VALUE!</v>
      </c>
      <c r="BC191" s="71" t="s">
        <v>278</v>
      </c>
      <c r="BD191" s="71"/>
    </row>
    <row r="192" spans="1:56" hidden="1" x14ac:dyDescent="0.25">
      <c r="A192" s="24">
        <f>IF(B192="","",SUBTOTAL(3,$B$4:B192))</f>
        <v>138</v>
      </c>
      <c r="B192" s="25" t="s">
        <v>439</v>
      </c>
      <c r="C192" s="25" t="str">
        <f t="shared" si="42"/>
        <v>Shipment 2 CO-SCR Duct</v>
      </c>
      <c r="D192" s="25" t="s">
        <v>441</v>
      </c>
      <c r="E192" s="25" t="s">
        <v>442</v>
      </c>
      <c r="F192" s="25"/>
      <c r="G192" s="65">
        <v>46204</v>
      </c>
      <c r="H192" s="25" t="s">
        <v>443</v>
      </c>
      <c r="I192" s="25" t="s">
        <v>445</v>
      </c>
      <c r="J192" s="26" t="s">
        <v>778</v>
      </c>
      <c r="K192" s="27" t="s">
        <v>279</v>
      </c>
      <c r="L192" s="28" t="s">
        <v>280</v>
      </c>
      <c r="M192" s="28" t="s">
        <v>276</v>
      </c>
      <c r="N192" s="25">
        <v>1</v>
      </c>
      <c r="O192" s="29">
        <v>618.70000000000005</v>
      </c>
      <c r="P192" s="29">
        <v>618.70000000000005</v>
      </c>
      <c r="Q192" s="25" t="s">
        <v>412</v>
      </c>
      <c r="R192" s="25"/>
      <c r="S192" s="26" t="s">
        <v>353</v>
      </c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43"/>
        <v>556.83000000000004</v>
      </c>
      <c r="AF192" s="32">
        <f t="shared" si="44"/>
        <v>61.870000000000005</v>
      </c>
      <c r="AG192" s="30"/>
      <c r="AH192" s="33">
        <v>1</v>
      </c>
      <c r="AI192" s="34">
        <f t="shared" si="45"/>
        <v>618.70000000000005</v>
      </c>
      <c r="AJ192" s="35">
        <v>46286</v>
      </c>
      <c r="AK192" s="30">
        <v>1</v>
      </c>
      <c r="AL192" s="36">
        <f t="shared" si="51"/>
        <v>618.70000000000005</v>
      </c>
      <c r="AM192" s="35">
        <v>46287</v>
      </c>
      <c r="AN192" s="30">
        <v>1</v>
      </c>
      <c r="AO192" s="36">
        <f t="shared" si="47"/>
        <v>618.70000000000005</v>
      </c>
      <c r="AP192" s="35"/>
      <c r="AQ192" s="30"/>
      <c r="AR192" s="36">
        <f t="shared" si="48"/>
        <v>0</v>
      </c>
      <c r="AS192" s="27"/>
      <c r="AT192" s="37"/>
      <c r="AU192" s="30"/>
      <c r="AV192" s="36">
        <f t="shared" si="49"/>
        <v>0</v>
      </c>
      <c r="AW192" s="35"/>
      <c r="AX192" s="30"/>
      <c r="AY192" s="32">
        <f t="shared" si="50"/>
        <v>0</v>
      </c>
      <c r="AZ192" s="30" t="s">
        <v>440</v>
      </c>
      <c r="BA192" s="63"/>
      <c r="BB192" s="71" t="e">
        <f>SUMIFS([1]VD001!$G$9:$G$78,[1]VD001!$E$9:$E$78,BC192)</f>
        <v>#VALUE!</v>
      </c>
      <c r="BC192" s="71" t="s">
        <v>280</v>
      </c>
      <c r="BD192" s="71"/>
    </row>
    <row r="193" spans="1:56" hidden="1" x14ac:dyDescent="0.25">
      <c r="A193" s="24">
        <f>IF(B193="","",SUBTOTAL(3,$B$4:B193))</f>
        <v>138</v>
      </c>
      <c r="B193" s="25" t="s">
        <v>439</v>
      </c>
      <c r="C193" s="25" t="str">
        <f t="shared" si="42"/>
        <v>Shipment 2 CO-SCR Duct</v>
      </c>
      <c r="D193" s="25" t="s">
        <v>441</v>
      </c>
      <c r="E193" s="25" t="s">
        <v>442</v>
      </c>
      <c r="F193" s="25"/>
      <c r="G193" s="65">
        <v>46204</v>
      </c>
      <c r="H193" s="25" t="s">
        <v>443</v>
      </c>
      <c r="I193" s="25" t="s">
        <v>445</v>
      </c>
      <c r="J193" s="26" t="s">
        <v>447</v>
      </c>
      <c r="K193" s="27" t="s">
        <v>281</v>
      </c>
      <c r="L193" s="28" t="s">
        <v>282</v>
      </c>
      <c r="M193" s="28" t="s">
        <v>271</v>
      </c>
      <c r="N193" s="25">
        <v>1</v>
      </c>
      <c r="O193" s="29">
        <v>1090</v>
      </c>
      <c r="P193" s="29">
        <v>1090</v>
      </c>
      <c r="Q193" s="25" t="s">
        <v>414</v>
      </c>
      <c r="R193" s="25"/>
      <c r="S193" s="26" t="s">
        <v>353</v>
      </c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43"/>
        <v>981</v>
      </c>
      <c r="AF193" s="32">
        <f t="shared" si="44"/>
        <v>109</v>
      </c>
      <c r="AG193" s="30"/>
      <c r="AH193" s="33">
        <v>1</v>
      </c>
      <c r="AI193" s="34">
        <f t="shared" si="45"/>
        <v>1090</v>
      </c>
      <c r="AJ193" s="35">
        <v>46279</v>
      </c>
      <c r="AK193" s="30">
        <v>1</v>
      </c>
      <c r="AL193" s="36">
        <f t="shared" si="46"/>
        <v>1090</v>
      </c>
      <c r="AM193" s="35">
        <v>46295</v>
      </c>
      <c r="AN193" s="30">
        <v>1</v>
      </c>
      <c r="AO193" s="36">
        <f t="shared" si="47"/>
        <v>1090</v>
      </c>
      <c r="AP193" s="35"/>
      <c r="AQ193" s="30"/>
      <c r="AR193" s="36">
        <f t="shared" si="48"/>
        <v>0</v>
      </c>
      <c r="AS193" s="27"/>
      <c r="AT193" s="37"/>
      <c r="AU193" s="30"/>
      <c r="AV193" s="36">
        <f t="shared" si="49"/>
        <v>0</v>
      </c>
      <c r="AW193" s="35"/>
      <c r="AX193" s="30"/>
      <c r="AY193" s="32">
        <f t="shared" si="50"/>
        <v>0</v>
      </c>
      <c r="AZ193" s="30" t="s">
        <v>440</v>
      </c>
      <c r="BA193" s="63"/>
      <c r="BB193" s="71" t="e">
        <f>SUMIFS([1]VD001!$G$9:$G$78,[1]VD001!$E$9:$E$78,BC193)</f>
        <v>#VALUE!</v>
      </c>
      <c r="BC193" s="71" t="s">
        <v>282</v>
      </c>
      <c r="BD193" s="71"/>
    </row>
    <row r="194" spans="1:56" hidden="1" x14ac:dyDescent="0.25">
      <c r="A194" s="24">
        <f>IF(B194="","",SUBTOTAL(3,$B$4:B194))</f>
        <v>138</v>
      </c>
      <c r="B194" s="25" t="s">
        <v>439</v>
      </c>
      <c r="C194" s="25" t="str">
        <f t="shared" si="42"/>
        <v>Shipment 2 CO-SCR Duct</v>
      </c>
      <c r="D194" s="25" t="s">
        <v>441</v>
      </c>
      <c r="E194" s="25" t="s">
        <v>442</v>
      </c>
      <c r="F194" s="25"/>
      <c r="G194" s="65">
        <v>46204</v>
      </c>
      <c r="H194" s="25" t="s">
        <v>443</v>
      </c>
      <c r="I194" s="25" t="s">
        <v>444</v>
      </c>
      <c r="J194" s="26" t="s">
        <v>447</v>
      </c>
      <c r="K194" s="27" t="s">
        <v>283</v>
      </c>
      <c r="L194" s="28" t="s">
        <v>284</v>
      </c>
      <c r="M194" s="28" t="s">
        <v>285</v>
      </c>
      <c r="N194" s="25">
        <v>2</v>
      </c>
      <c r="O194" s="29">
        <v>366.15</v>
      </c>
      <c r="P194" s="29">
        <v>732.3</v>
      </c>
      <c r="Q194" s="25" t="s">
        <v>415</v>
      </c>
      <c r="R194" s="25"/>
      <c r="S194" s="26" t="s">
        <v>355</v>
      </c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43"/>
        <v>0</v>
      </c>
      <c r="AF194" s="32">
        <f t="shared" si="44"/>
        <v>732.3</v>
      </c>
      <c r="AG194" s="30"/>
      <c r="AH194" s="33"/>
      <c r="AI194" s="34">
        <f t="shared" si="45"/>
        <v>0</v>
      </c>
      <c r="AJ194" s="35"/>
      <c r="AK194" s="30"/>
      <c r="AL194" s="36">
        <f t="shared" si="46"/>
        <v>0</v>
      </c>
      <c r="AM194" s="35"/>
      <c r="AN194" s="30"/>
      <c r="AO194" s="36">
        <f t="shared" si="47"/>
        <v>0</v>
      </c>
      <c r="AP194" s="35"/>
      <c r="AQ194" s="30"/>
      <c r="AR194" s="36">
        <f t="shared" si="48"/>
        <v>0</v>
      </c>
      <c r="AS194" s="27"/>
      <c r="AT194" s="37"/>
      <c r="AU194" s="30"/>
      <c r="AV194" s="36">
        <f t="shared" si="49"/>
        <v>0</v>
      </c>
      <c r="AW194" s="35"/>
      <c r="AX194" s="30"/>
      <c r="AY194" s="32">
        <f t="shared" si="50"/>
        <v>0</v>
      </c>
      <c r="AZ194" s="30" t="s">
        <v>440</v>
      </c>
      <c r="BA194" s="63"/>
      <c r="BB194" s="71" t="e">
        <f>SUMIFS([1]VD001!$G$9:$G$78,[1]VD001!$E$9:$E$78,BC194)</f>
        <v>#VALUE!</v>
      </c>
      <c r="BC194" s="71" t="s">
        <v>284</v>
      </c>
      <c r="BD194" s="71"/>
    </row>
    <row r="195" spans="1:56" hidden="1" x14ac:dyDescent="0.25">
      <c r="A195" s="24">
        <f>IF(B195="","",SUBTOTAL(3,$B$4:B195))</f>
        <v>138</v>
      </c>
      <c r="B195" s="25" t="s">
        <v>439</v>
      </c>
      <c r="C195" s="25" t="str">
        <f t="shared" si="42"/>
        <v>Shipment 2 CO-SCR Duct</v>
      </c>
      <c r="D195" s="25" t="s">
        <v>441</v>
      </c>
      <c r="E195" s="25" t="s">
        <v>442</v>
      </c>
      <c r="F195" s="25"/>
      <c r="G195" s="65">
        <v>46204</v>
      </c>
      <c r="H195" s="25" t="s">
        <v>443</v>
      </c>
      <c r="I195" s="25" t="s">
        <v>444</v>
      </c>
      <c r="J195" s="26" t="s">
        <v>447</v>
      </c>
      <c r="K195" s="27" t="s">
        <v>286</v>
      </c>
      <c r="L195" s="28" t="s">
        <v>287</v>
      </c>
      <c r="M195" s="28" t="s">
        <v>288</v>
      </c>
      <c r="N195" s="25">
        <v>1</v>
      </c>
      <c r="O195" s="29">
        <v>2.6</v>
      </c>
      <c r="P195" s="29">
        <v>2.6</v>
      </c>
      <c r="Q195" s="25" t="s">
        <v>416</v>
      </c>
      <c r="R195" s="25"/>
      <c r="S195" s="26" t="s">
        <v>355</v>
      </c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43"/>
        <v>0</v>
      </c>
      <c r="AF195" s="32">
        <f t="shared" si="44"/>
        <v>2.6</v>
      </c>
      <c r="AG195" s="30"/>
      <c r="AH195" s="33"/>
      <c r="AI195" s="34">
        <f t="shared" si="45"/>
        <v>0</v>
      </c>
      <c r="AJ195" s="35"/>
      <c r="AK195" s="30"/>
      <c r="AL195" s="36">
        <f t="shared" si="46"/>
        <v>0</v>
      </c>
      <c r="AM195" s="35"/>
      <c r="AN195" s="30"/>
      <c r="AO195" s="36">
        <f t="shared" si="47"/>
        <v>0</v>
      </c>
      <c r="AP195" s="35"/>
      <c r="AQ195" s="30"/>
      <c r="AR195" s="36">
        <f t="shared" si="48"/>
        <v>0</v>
      </c>
      <c r="AS195" s="27"/>
      <c r="AT195" s="37"/>
      <c r="AU195" s="30"/>
      <c r="AV195" s="36">
        <f t="shared" si="49"/>
        <v>0</v>
      </c>
      <c r="AW195" s="35"/>
      <c r="AX195" s="30"/>
      <c r="AY195" s="32">
        <f t="shared" si="50"/>
        <v>0</v>
      </c>
      <c r="AZ195" s="30" t="s">
        <v>440</v>
      </c>
      <c r="BA195" s="63"/>
      <c r="BB195" s="71" t="e">
        <f>SUMIFS([1]VD001!$G$9:$G$78,[1]VD001!$E$9:$E$78,BC195)</f>
        <v>#VALUE!</v>
      </c>
      <c r="BC195" s="71" t="s">
        <v>287</v>
      </c>
      <c r="BD195" s="71"/>
    </row>
    <row r="196" spans="1:56" x14ac:dyDescent="0.25">
      <c r="A196" s="24">
        <f>IF(B196="","",SUBTOTAL(3,$B$4:B196))</f>
        <v>139</v>
      </c>
      <c r="B196" s="25" t="s">
        <v>439</v>
      </c>
      <c r="C196" s="25" t="str">
        <f t="shared" si="42"/>
        <v>Shipment 2 CO-SCR Duct</v>
      </c>
      <c r="D196" s="25" t="s">
        <v>441</v>
      </c>
      <c r="E196" s="25" t="s">
        <v>442</v>
      </c>
      <c r="F196" s="25"/>
      <c r="G196" s="65">
        <v>46204</v>
      </c>
      <c r="H196" s="25" t="s">
        <v>443</v>
      </c>
      <c r="I196" s="25" t="s">
        <v>444</v>
      </c>
      <c r="J196" s="26" t="s">
        <v>447</v>
      </c>
      <c r="K196" s="27" t="s">
        <v>289</v>
      </c>
      <c r="L196" s="28" t="s">
        <v>290</v>
      </c>
      <c r="M196" s="28" t="s">
        <v>288</v>
      </c>
      <c r="N196" s="25">
        <v>1</v>
      </c>
      <c r="O196" s="29">
        <v>2.6</v>
      </c>
      <c r="P196" s="29">
        <v>2.6</v>
      </c>
      <c r="Q196" s="25" t="s">
        <v>417</v>
      </c>
      <c r="R196" s="25"/>
      <c r="S196" s="26" t="s">
        <v>355</v>
      </c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43"/>
        <v>2.5999999999999996</v>
      </c>
      <c r="AF196" s="32">
        <f t="shared" si="44"/>
        <v>0</v>
      </c>
      <c r="AG196" s="30"/>
      <c r="AH196" s="33"/>
      <c r="AI196" s="34">
        <f t="shared" si="45"/>
        <v>0</v>
      </c>
      <c r="AJ196" s="35">
        <v>46312</v>
      </c>
      <c r="AK196" s="30">
        <v>1</v>
      </c>
      <c r="AL196" s="36">
        <f t="shared" si="46"/>
        <v>2.6</v>
      </c>
      <c r="AM196" s="35">
        <v>46312</v>
      </c>
      <c r="AN196" s="30">
        <v>1</v>
      </c>
      <c r="AO196" s="36">
        <f t="shared" si="47"/>
        <v>2.6</v>
      </c>
      <c r="AP196" s="35"/>
      <c r="AQ196" s="30"/>
      <c r="AR196" s="36">
        <f t="shared" si="48"/>
        <v>0</v>
      </c>
      <c r="AS196" s="27" t="s">
        <v>967</v>
      </c>
      <c r="AT196" s="37">
        <v>46312</v>
      </c>
      <c r="AU196" s="30">
        <v>1</v>
      </c>
      <c r="AV196" s="36">
        <f t="shared" si="49"/>
        <v>2.6</v>
      </c>
      <c r="AW196" s="35"/>
      <c r="AX196" s="30"/>
      <c r="AY196" s="32">
        <f t="shared" si="50"/>
        <v>0</v>
      </c>
      <c r="AZ196" s="30" t="s">
        <v>440</v>
      </c>
      <c r="BA196" s="63"/>
      <c r="BB196" s="71"/>
      <c r="BC196" s="71" t="s">
        <v>290</v>
      </c>
      <c r="BD196" s="71"/>
    </row>
    <row r="197" spans="1:56" x14ac:dyDescent="0.25">
      <c r="A197" s="24">
        <f>IF(B197="","",SUBTOTAL(3,$B$4:B197))</f>
        <v>140</v>
      </c>
      <c r="B197" s="25" t="s">
        <v>439</v>
      </c>
      <c r="C197" s="25" t="str">
        <f t="shared" si="42"/>
        <v>Shipment 2 CO-SCR Duct</v>
      </c>
      <c r="D197" s="25" t="s">
        <v>441</v>
      </c>
      <c r="E197" s="25" t="s">
        <v>442</v>
      </c>
      <c r="F197" s="25"/>
      <c r="G197" s="65">
        <v>46204</v>
      </c>
      <c r="H197" s="25" t="s">
        <v>443</v>
      </c>
      <c r="I197" s="25" t="s">
        <v>444</v>
      </c>
      <c r="J197" s="26" t="s">
        <v>447</v>
      </c>
      <c r="K197" s="27" t="s">
        <v>291</v>
      </c>
      <c r="L197" s="28" t="s">
        <v>292</v>
      </c>
      <c r="M197" s="28" t="s">
        <v>288</v>
      </c>
      <c r="N197" s="25">
        <v>1</v>
      </c>
      <c r="O197" s="29">
        <v>2.6</v>
      </c>
      <c r="P197" s="29">
        <v>2.6</v>
      </c>
      <c r="Q197" s="25" t="s">
        <v>418</v>
      </c>
      <c r="R197" s="25"/>
      <c r="S197" s="26" t="s">
        <v>355</v>
      </c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43"/>
        <v>2.5999999999999996</v>
      </c>
      <c r="AF197" s="32">
        <f t="shared" si="44"/>
        <v>0</v>
      </c>
      <c r="AG197" s="30"/>
      <c r="AH197" s="33"/>
      <c r="AI197" s="34">
        <f t="shared" si="45"/>
        <v>0</v>
      </c>
      <c r="AJ197" s="35">
        <v>46312</v>
      </c>
      <c r="AK197" s="30">
        <v>1</v>
      </c>
      <c r="AL197" s="36">
        <f t="shared" si="46"/>
        <v>2.6</v>
      </c>
      <c r="AM197" s="35">
        <v>46312</v>
      </c>
      <c r="AN197" s="30">
        <v>1</v>
      </c>
      <c r="AO197" s="36">
        <f t="shared" si="47"/>
        <v>2.6</v>
      </c>
      <c r="AP197" s="35"/>
      <c r="AQ197" s="30"/>
      <c r="AR197" s="36">
        <f t="shared" si="48"/>
        <v>0</v>
      </c>
      <c r="AS197" s="27" t="s">
        <v>967</v>
      </c>
      <c r="AT197" s="37">
        <v>46312</v>
      </c>
      <c r="AU197" s="30">
        <v>1</v>
      </c>
      <c r="AV197" s="36">
        <f t="shared" si="49"/>
        <v>2.6</v>
      </c>
      <c r="AW197" s="35"/>
      <c r="AX197" s="30"/>
      <c r="AY197" s="32">
        <f t="shared" si="50"/>
        <v>0</v>
      </c>
      <c r="AZ197" s="30" t="s">
        <v>440</v>
      </c>
      <c r="BA197" s="63"/>
      <c r="BB197" s="71"/>
      <c r="BC197" s="71" t="s">
        <v>292</v>
      </c>
      <c r="BD197" s="71"/>
    </row>
    <row r="198" spans="1:56" x14ac:dyDescent="0.25">
      <c r="A198" s="24">
        <f>IF(B198="","",SUBTOTAL(3,$B$4:B198))</f>
        <v>141</v>
      </c>
      <c r="B198" s="25" t="s">
        <v>439</v>
      </c>
      <c r="C198" s="25" t="str">
        <f t="shared" si="42"/>
        <v>Shipment 2 CO-SCR Duct</v>
      </c>
      <c r="D198" s="25" t="s">
        <v>441</v>
      </c>
      <c r="E198" s="25" t="s">
        <v>442</v>
      </c>
      <c r="F198" s="25"/>
      <c r="G198" s="65">
        <v>46204</v>
      </c>
      <c r="H198" s="25" t="s">
        <v>443</v>
      </c>
      <c r="I198" s="25" t="s">
        <v>444</v>
      </c>
      <c r="J198" s="26" t="s">
        <v>447</v>
      </c>
      <c r="K198" s="27" t="s">
        <v>293</v>
      </c>
      <c r="L198" s="28" t="s">
        <v>294</v>
      </c>
      <c r="M198" s="28" t="s">
        <v>295</v>
      </c>
      <c r="N198" s="25">
        <v>1</v>
      </c>
      <c r="O198" s="29">
        <v>0.5</v>
      </c>
      <c r="P198" s="29">
        <v>0.5</v>
      </c>
      <c r="Q198" s="25" t="s">
        <v>419</v>
      </c>
      <c r="R198" s="25"/>
      <c r="S198" s="26" t="s">
        <v>355</v>
      </c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43"/>
        <v>0.5</v>
      </c>
      <c r="AF198" s="32">
        <f t="shared" si="44"/>
        <v>0</v>
      </c>
      <c r="AG198" s="30"/>
      <c r="AH198" s="33"/>
      <c r="AI198" s="34">
        <f t="shared" si="45"/>
        <v>0</v>
      </c>
      <c r="AJ198" s="35">
        <v>46312</v>
      </c>
      <c r="AK198" s="30">
        <v>1</v>
      </c>
      <c r="AL198" s="36">
        <f t="shared" si="46"/>
        <v>0.5</v>
      </c>
      <c r="AM198" s="35">
        <v>46312</v>
      </c>
      <c r="AN198" s="30">
        <v>1</v>
      </c>
      <c r="AO198" s="36">
        <f t="shared" si="47"/>
        <v>0.5</v>
      </c>
      <c r="AP198" s="35"/>
      <c r="AQ198" s="30"/>
      <c r="AR198" s="36">
        <f t="shared" si="48"/>
        <v>0</v>
      </c>
      <c r="AS198" s="27" t="s">
        <v>967</v>
      </c>
      <c r="AT198" s="37">
        <v>46312</v>
      </c>
      <c r="AU198" s="30">
        <v>1</v>
      </c>
      <c r="AV198" s="36">
        <f t="shared" si="49"/>
        <v>0.5</v>
      </c>
      <c r="AW198" s="35"/>
      <c r="AX198" s="30"/>
      <c r="AY198" s="32">
        <f t="shared" si="50"/>
        <v>0</v>
      </c>
      <c r="AZ198" s="30" t="s">
        <v>440</v>
      </c>
      <c r="BA198" s="63"/>
      <c r="BB198" s="71"/>
      <c r="BC198" s="71" t="s">
        <v>294</v>
      </c>
      <c r="BD198" s="71"/>
    </row>
    <row r="199" spans="1:56" x14ac:dyDescent="0.25">
      <c r="A199" s="24">
        <f>IF(B199="","",SUBTOTAL(3,$B$4:B199))</f>
        <v>142</v>
      </c>
      <c r="B199" s="25" t="s">
        <v>439</v>
      </c>
      <c r="C199" s="25" t="str">
        <f t="shared" si="42"/>
        <v>Shipment 2 CO-SCR Duct</v>
      </c>
      <c r="D199" s="25" t="s">
        <v>441</v>
      </c>
      <c r="E199" s="25" t="s">
        <v>442</v>
      </c>
      <c r="F199" s="25"/>
      <c r="G199" s="65">
        <v>46204</v>
      </c>
      <c r="H199" s="25" t="s">
        <v>443</v>
      </c>
      <c r="I199" s="25" t="s">
        <v>444</v>
      </c>
      <c r="J199" s="26" t="s">
        <v>447</v>
      </c>
      <c r="K199" s="27" t="s">
        <v>296</v>
      </c>
      <c r="L199" s="28" t="s">
        <v>297</v>
      </c>
      <c r="M199" s="28" t="s">
        <v>295</v>
      </c>
      <c r="N199" s="25">
        <v>20</v>
      </c>
      <c r="O199" s="29">
        <v>2.4950000000000001</v>
      </c>
      <c r="P199" s="29">
        <v>49.9</v>
      </c>
      <c r="Q199" s="25" t="s">
        <v>420</v>
      </c>
      <c r="R199" s="25"/>
      <c r="S199" s="26" t="s">
        <v>355</v>
      </c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43"/>
        <v>49.9</v>
      </c>
      <c r="AF199" s="32">
        <f t="shared" si="44"/>
        <v>0</v>
      </c>
      <c r="AG199" s="30"/>
      <c r="AH199" s="33"/>
      <c r="AI199" s="34">
        <f t="shared" si="45"/>
        <v>0</v>
      </c>
      <c r="AJ199" s="35">
        <v>46312</v>
      </c>
      <c r="AK199" s="30">
        <v>20</v>
      </c>
      <c r="AL199" s="36">
        <f t="shared" si="46"/>
        <v>49.9</v>
      </c>
      <c r="AM199" s="35">
        <v>46312</v>
      </c>
      <c r="AN199" s="30">
        <v>20</v>
      </c>
      <c r="AO199" s="36">
        <f t="shared" si="47"/>
        <v>49.9</v>
      </c>
      <c r="AP199" s="35"/>
      <c r="AQ199" s="30"/>
      <c r="AR199" s="36">
        <f t="shared" si="48"/>
        <v>0</v>
      </c>
      <c r="AS199" s="27" t="s">
        <v>967</v>
      </c>
      <c r="AT199" s="37">
        <v>46312</v>
      </c>
      <c r="AU199" s="30">
        <v>20</v>
      </c>
      <c r="AV199" s="36">
        <f t="shared" si="49"/>
        <v>49.9</v>
      </c>
      <c r="AW199" s="35"/>
      <c r="AX199" s="30"/>
      <c r="AY199" s="32">
        <f t="shared" si="50"/>
        <v>0</v>
      </c>
      <c r="AZ199" s="30" t="s">
        <v>440</v>
      </c>
      <c r="BA199" s="63"/>
      <c r="BB199" s="71"/>
      <c r="BC199" s="71" t="s">
        <v>297</v>
      </c>
      <c r="BD199" s="71"/>
    </row>
    <row r="200" spans="1:56" x14ac:dyDescent="0.25">
      <c r="A200" s="24">
        <f>IF(B200="","",SUBTOTAL(3,$B$4:B200))</f>
        <v>143</v>
      </c>
      <c r="B200" s="25" t="s">
        <v>439</v>
      </c>
      <c r="C200" s="25" t="str">
        <f t="shared" si="42"/>
        <v>Shipment 2 CO-SCR Duct</v>
      </c>
      <c r="D200" s="25" t="s">
        <v>441</v>
      </c>
      <c r="E200" s="25" t="s">
        <v>442</v>
      </c>
      <c r="F200" s="25"/>
      <c r="G200" s="65">
        <v>46204</v>
      </c>
      <c r="H200" s="25" t="s">
        <v>443</v>
      </c>
      <c r="I200" s="25" t="s">
        <v>444</v>
      </c>
      <c r="J200" s="26" t="s">
        <v>447</v>
      </c>
      <c r="K200" s="27" t="s">
        <v>298</v>
      </c>
      <c r="L200" s="28" t="s">
        <v>299</v>
      </c>
      <c r="M200" s="28" t="s">
        <v>295</v>
      </c>
      <c r="N200" s="25">
        <v>1</v>
      </c>
      <c r="O200" s="29">
        <v>0.7</v>
      </c>
      <c r="P200" s="29">
        <v>0.7</v>
      </c>
      <c r="Q200" s="25" t="s">
        <v>421</v>
      </c>
      <c r="R200" s="25"/>
      <c r="S200" s="26" t="s">
        <v>355</v>
      </c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43"/>
        <v>0.69999999999999984</v>
      </c>
      <c r="AF200" s="32">
        <f t="shared" si="44"/>
        <v>0</v>
      </c>
      <c r="AG200" s="30"/>
      <c r="AH200" s="33"/>
      <c r="AI200" s="34">
        <f t="shared" si="45"/>
        <v>0</v>
      </c>
      <c r="AJ200" s="35">
        <v>46312</v>
      </c>
      <c r="AK200" s="30">
        <v>1</v>
      </c>
      <c r="AL200" s="36">
        <f t="shared" si="46"/>
        <v>0.7</v>
      </c>
      <c r="AM200" s="35">
        <v>46312</v>
      </c>
      <c r="AN200" s="30">
        <v>1</v>
      </c>
      <c r="AO200" s="36">
        <f t="shared" si="47"/>
        <v>0.7</v>
      </c>
      <c r="AP200" s="35"/>
      <c r="AQ200" s="30"/>
      <c r="AR200" s="36">
        <f t="shared" si="48"/>
        <v>0</v>
      </c>
      <c r="AS200" s="27" t="s">
        <v>967</v>
      </c>
      <c r="AT200" s="37">
        <v>46312</v>
      </c>
      <c r="AU200" s="30">
        <v>1</v>
      </c>
      <c r="AV200" s="36">
        <f t="shared" si="49"/>
        <v>0.7</v>
      </c>
      <c r="AW200" s="35"/>
      <c r="AX200" s="30"/>
      <c r="AY200" s="32">
        <f t="shared" si="50"/>
        <v>0</v>
      </c>
      <c r="AZ200" s="30" t="s">
        <v>440</v>
      </c>
      <c r="BA200" s="63"/>
      <c r="BB200" s="71"/>
      <c r="BC200" s="71" t="s">
        <v>299</v>
      </c>
      <c r="BD200" s="71"/>
    </row>
    <row r="201" spans="1:56" x14ac:dyDescent="0.25">
      <c r="A201" s="24">
        <f>IF(B201="","",SUBTOTAL(3,$B$4:B201))</f>
        <v>144</v>
      </c>
      <c r="B201" s="25" t="s">
        <v>439</v>
      </c>
      <c r="C201" s="25" t="str">
        <f t="shared" si="42"/>
        <v>Shipment 2 CO-SCR Duct</v>
      </c>
      <c r="D201" s="25" t="s">
        <v>441</v>
      </c>
      <c r="E201" s="25" t="s">
        <v>442</v>
      </c>
      <c r="F201" s="25"/>
      <c r="G201" s="65">
        <v>46204</v>
      </c>
      <c r="H201" s="25" t="s">
        <v>443</v>
      </c>
      <c r="I201" s="25" t="s">
        <v>444</v>
      </c>
      <c r="J201" s="26" t="s">
        <v>447</v>
      </c>
      <c r="K201" s="27" t="s">
        <v>300</v>
      </c>
      <c r="L201" s="28" t="s">
        <v>301</v>
      </c>
      <c r="M201" s="28" t="s">
        <v>302</v>
      </c>
      <c r="N201" s="25">
        <v>1</v>
      </c>
      <c r="O201" s="29">
        <v>0.5</v>
      </c>
      <c r="P201" s="29">
        <v>0.5</v>
      </c>
      <c r="Q201" s="25" t="s">
        <v>419</v>
      </c>
      <c r="R201" s="25"/>
      <c r="S201" s="26" t="s">
        <v>355</v>
      </c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43"/>
        <v>0.5</v>
      </c>
      <c r="AF201" s="32">
        <f t="shared" si="44"/>
        <v>0</v>
      </c>
      <c r="AG201" s="30"/>
      <c r="AH201" s="33"/>
      <c r="AI201" s="34">
        <f t="shared" si="45"/>
        <v>0</v>
      </c>
      <c r="AJ201" s="35">
        <v>46312</v>
      </c>
      <c r="AK201" s="30">
        <v>1</v>
      </c>
      <c r="AL201" s="36">
        <f t="shared" si="46"/>
        <v>0.5</v>
      </c>
      <c r="AM201" s="35">
        <v>46312</v>
      </c>
      <c r="AN201" s="30">
        <v>1</v>
      </c>
      <c r="AO201" s="36">
        <f t="shared" si="47"/>
        <v>0.5</v>
      </c>
      <c r="AP201" s="35"/>
      <c r="AQ201" s="30"/>
      <c r="AR201" s="36">
        <f t="shared" si="48"/>
        <v>0</v>
      </c>
      <c r="AS201" s="27" t="s">
        <v>967</v>
      </c>
      <c r="AT201" s="37">
        <v>46312</v>
      </c>
      <c r="AU201" s="30">
        <v>1</v>
      </c>
      <c r="AV201" s="36">
        <f t="shared" si="49"/>
        <v>0.5</v>
      </c>
      <c r="AW201" s="35"/>
      <c r="AX201" s="30"/>
      <c r="AY201" s="32">
        <f t="shared" si="50"/>
        <v>0</v>
      </c>
      <c r="AZ201" s="30" t="s">
        <v>440</v>
      </c>
      <c r="BA201" s="63"/>
      <c r="BB201" s="71"/>
      <c r="BC201" s="71" t="s">
        <v>301</v>
      </c>
      <c r="BD201" s="71"/>
    </row>
    <row r="202" spans="1:56" x14ac:dyDescent="0.25">
      <c r="A202" s="24">
        <f>IF(B202="","",SUBTOTAL(3,$B$4:B202))</f>
        <v>145</v>
      </c>
      <c r="B202" s="25" t="s">
        <v>439</v>
      </c>
      <c r="C202" s="25" t="str">
        <f t="shared" si="42"/>
        <v>Shipment 2 CO-SCR Duct</v>
      </c>
      <c r="D202" s="25" t="s">
        <v>441</v>
      </c>
      <c r="E202" s="25" t="s">
        <v>442</v>
      </c>
      <c r="F202" s="25"/>
      <c r="G202" s="65">
        <v>46204</v>
      </c>
      <c r="H202" s="25" t="s">
        <v>443</v>
      </c>
      <c r="I202" s="25" t="s">
        <v>444</v>
      </c>
      <c r="J202" s="26" t="s">
        <v>447</v>
      </c>
      <c r="K202" s="27" t="s">
        <v>303</v>
      </c>
      <c r="L202" s="28" t="s">
        <v>304</v>
      </c>
      <c r="M202" s="28" t="s">
        <v>302</v>
      </c>
      <c r="N202" s="25">
        <v>20</v>
      </c>
      <c r="O202" s="29">
        <v>2.4950000000000001</v>
      </c>
      <c r="P202" s="29">
        <v>49.9</v>
      </c>
      <c r="Q202" s="25" t="s">
        <v>420</v>
      </c>
      <c r="R202" s="25"/>
      <c r="S202" s="26" t="s">
        <v>355</v>
      </c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43"/>
        <v>49.9</v>
      </c>
      <c r="AF202" s="32">
        <f t="shared" si="44"/>
        <v>0</v>
      </c>
      <c r="AG202" s="30"/>
      <c r="AH202" s="33"/>
      <c r="AI202" s="34">
        <f t="shared" si="45"/>
        <v>0</v>
      </c>
      <c r="AJ202" s="35">
        <v>46312</v>
      </c>
      <c r="AK202" s="30">
        <v>20</v>
      </c>
      <c r="AL202" s="36">
        <f t="shared" si="46"/>
        <v>49.9</v>
      </c>
      <c r="AM202" s="35">
        <v>46312</v>
      </c>
      <c r="AN202" s="30">
        <v>20</v>
      </c>
      <c r="AO202" s="36">
        <f t="shared" si="47"/>
        <v>49.9</v>
      </c>
      <c r="AP202" s="35"/>
      <c r="AQ202" s="30"/>
      <c r="AR202" s="36">
        <f t="shared" si="48"/>
        <v>0</v>
      </c>
      <c r="AS202" s="27" t="s">
        <v>967</v>
      </c>
      <c r="AT202" s="37">
        <v>46312</v>
      </c>
      <c r="AU202" s="30">
        <v>20</v>
      </c>
      <c r="AV202" s="36">
        <f t="shared" si="49"/>
        <v>49.9</v>
      </c>
      <c r="AW202" s="35"/>
      <c r="AX202" s="30"/>
      <c r="AY202" s="32">
        <f t="shared" si="50"/>
        <v>0</v>
      </c>
      <c r="AZ202" s="30" t="s">
        <v>440</v>
      </c>
      <c r="BA202" s="63"/>
      <c r="BB202" s="71"/>
      <c r="BC202" s="71" t="s">
        <v>304</v>
      </c>
      <c r="BD202" s="71"/>
    </row>
    <row r="203" spans="1:56" x14ac:dyDescent="0.25">
      <c r="A203" s="24">
        <f>IF(B203="","",SUBTOTAL(3,$B$4:B203))</f>
        <v>146</v>
      </c>
      <c r="B203" s="25" t="s">
        <v>439</v>
      </c>
      <c r="C203" s="25" t="str">
        <f t="shared" si="42"/>
        <v>Shipment 2 CO-SCR Duct</v>
      </c>
      <c r="D203" s="25" t="s">
        <v>441</v>
      </c>
      <c r="E203" s="25" t="s">
        <v>442</v>
      </c>
      <c r="F203" s="25"/>
      <c r="G203" s="65">
        <v>46204</v>
      </c>
      <c r="H203" s="25" t="s">
        <v>443</v>
      </c>
      <c r="I203" s="25" t="s">
        <v>444</v>
      </c>
      <c r="J203" s="26" t="s">
        <v>447</v>
      </c>
      <c r="K203" s="27" t="s">
        <v>305</v>
      </c>
      <c r="L203" s="28" t="s">
        <v>306</v>
      </c>
      <c r="M203" s="28" t="s">
        <v>302</v>
      </c>
      <c r="N203" s="25">
        <v>1</v>
      </c>
      <c r="O203" s="29">
        <v>0.7</v>
      </c>
      <c r="P203" s="29">
        <v>0.7</v>
      </c>
      <c r="Q203" s="25" t="s">
        <v>421</v>
      </c>
      <c r="R203" s="25"/>
      <c r="S203" s="26" t="s">
        <v>355</v>
      </c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43"/>
        <v>0.69999999999999984</v>
      </c>
      <c r="AF203" s="32">
        <f t="shared" si="44"/>
        <v>0</v>
      </c>
      <c r="AG203" s="30"/>
      <c r="AH203" s="33"/>
      <c r="AI203" s="34">
        <f t="shared" si="45"/>
        <v>0</v>
      </c>
      <c r="AJ203" s="35">
        <v>46312</v>
      </c>
      <c r="AK203" s="30">
        <v>1</v>
      </c>
      <c r="AL203" s="36">
        <f t="shared" si="46"/>
        <v>0.7</v>
      </c>
      <c r="AM203" s="35">
        <v>46312</v>
      </c>
      <c r="AN203" s="30">
        <v>1</v>
      </c>
      <c r="AO203" s="36">
        <f t="shared" si="47"/>
        <v>0.7</v>
      </c>
      <c r="AP203" s="35"/>
      <c r="AQ203" s="30"/>
      <c r="AR203" s="36">
        <f t="shared" si="48"/>
        <v>0</v>
      </c>
      <c r="AS203" s="27" t="s">
        <v>967</v>
      </c>
      <c r="AT203" s="37">
        <v>46312</v>
      </c>
      <c r="AU203" s="30">
        <v>1</v>
      </c>
      <c r="AV203" s="36">
        <f t="shared" si="49"/>
        <v>0.7</v>
      </c>
      <c r="AW203" s="35"/>
      <c r="AX203" s="30"/>
      <c r="AY203" s="32">
        <f t="shared" si="50"/>
        <v>0</v>
      </c>
      <c r="AZ203" s="30" t="s">
        <v>440</v>
      </c>
      <c r="BA203" s="63"/>
      <c r="BB203" s="71"/>
      <c r="BC203" s="71" t="s">
        <v>306</v>
      </c>
      <c r="BD203" s="71"/>
    </row>
    <row r="204" spans="1:56" hidden="1" x14ac:dyDescent="0.25">
      <c r="A204" s="24">
        <f>IF(B204="","",SUBTOTAL(3,$B$4:B204))</f>
        <v>146</v>
      </c>
      <c r="B204" s="25" t="s">
        <v>439</v>
      </c>
      <c r="C204" s="25" t="str">
        <f t="shared" si="42"/>
        <v>Shipment 2 CO-SCR Duct</v>
      </c>
      <c r="D204" s="25" t="s">
        <v>441</v>
      </c>
      <c r="E204" s="25" t="s">
        <v>442</v>
      </c>
      <c r="F204" s="25"/>
      <c r="G204" s="65">
        <v>46204</v>
      </c>
      <c r="H204" s="25" t="s">
        <v>443</v>
      </c>
      <c r="I204" s="25" t="s">
        <v>444</v>
      </c>
      <c r="J204" s="26" t="s">
        <v>447</v>
      </c>
      <c r="K204" s="27" t="s">
        <v>307</v>
      </c>
      <c r="L204" s="28" t="s">
        <v>308</v>
      </c>
      <c r="M204" s="28" t="s">
        <v>309</v>
      </c>
      <c r="N204" s="25">
        <v>156</v>
      </c>
      <c r="O204" s="29">
        <v>1.0089743589743589</v>
      </c>
      <c r="P204" s="29">
        <v>157.4</v>
      </c>
      <c r="Q204" s="25" t="s">
        <v>422</v>
      </c>
      <c r="R204" s="25"/>
      <c r="S204" s="26" t="s">
        <v>355</v>
      </c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43"/>
        <v>0</v>
      </c>
      <c r="AF204" s="32">
        <f t="shared" si="44"/>
        <v>157.4</v>
      </c>
      <c r="AG204" s="30"/>
      <c r="AH204" s="33"/>
      <c r="AI204" s="34">
        <f t="shared" si="45"/>
        <v>0</v>
      </c>
      <c r="AJ204" s="35"/>
      <c r="AK204" s="30"/>
      <c r="AL204" s="36">
        <f t="shared" si="46"/>
        <v>0</v>
      </c>
      <c r="AM204" s="35"/>
      <c r="AN204" s="30"/>
      <c r="AO204" s="36">
        <f t="shared" si="47"/>
        <v>0</v>
      </c>
      <c r="AP204" s="35"/>
      <c r="AQ204" s="30"/>
      <c r="AR204" s="36">
        <f t="shared" si="48"/>
        <v>0</v>
      </c>
      <c r="AS204" s="27"/>
      <c r="AT204" s="37"/>
      <c r="AU204" s="30"/>
      <c r="AV204" s="36">
        <f t="shared" si="49"/>
        <v>0</v>
      </c>
      <c r="AW204" s="35"/>
      <c r="AX204" s="30"/>
      <c r="AY204" s="32">
        <f t="shared" si="50"/>
        <v>0</v>
      </c>
      <c r="AZ204" s="30" t="s">
        <v>440</v>
      </c>
      <c r="BA204" s="63"/>
      <c r="BB204" s="71" t="e">
        <f>SUMIFS([1]VD001!$G$9:$G$78,[1]VD001!$E$9:$E$78,BC204)</f>
        <v>#VALUE!</v>
      </c>
      <c r="BC204" s="71" t="s">
        <v>308</v>
      </c>
      <c r="BD204" s="71"/>
    </row>
    <row r="205" spans="1:56" hidden="1" x14ac:dyDescent="0.25">
      <c r="A205" s="24">
        <f>IF(B205="","",SUBTOTAL(3,$B$4:B205))</f>
        <v>146</v>
      </c>
      <c r="B205" s="25" t="s">
        <v>439</v>
      </c>
      <c r="C205" s="25" t="str">
        <f t="shared" si="42"/>
        <v>Shipment 2 CO-SCR Duct</v>
      </c>
      <c r="D205" s="25" t="s">
        <v>441</v>
      </c>
      <c r="E205" s="25" t="s">
        <v>442</v>
      </c>
      <c r="F205" s="25"/>
      <c r="G205" s="65">
        <v>46204</v>
      </c>
      <c r="H205" s="25" t="s">
        <v>443</v>
      </c>
      <c r="I205" s="25" t="s">
        <v>444</v>
      </c>
      <c r="J205" s="26" t="s">
        <v>447</v>
      </c>
      <c r="K205" s="27" t="s">
        <v>310</v>
      </c>
      <c r="L205" s="28" t="s">
        <v>311</v>
      </c>
      <c r="M205" s="28" t="s">
        <v>288</v>
      </c>
      <c r="N205" s="25">
        <v>1</v>
      </c>
      <c r="O205" s="29">
        <v>0</v>
      </c>
      <c r="P205" s="29">
        <v>0</v>
      </c>
      <c r="Q205" s="25" t="s">
        <v>423</v>
      </c>
      <c r="R205" s="25"/>
      <c r="S205" s="26" t="s">
        <v>355</v>
      </c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43"/>
        <v>0</v>
      </c>
      <c r="AF205" s="32">
        <f t="shared" si="44"/>
        <v>0</v>
      </c>
      <c r="AG205" s="30"/>
      <c r="AH205" s="33"/>
      <c r="AI205" s="34">
        <f t="shared" si="45"/>
        <v>0</v>
      </c>
      <c r="AJ205" s="35"/>
      <c r="AK205" s="30"/>
      <c r="AL205" s="36">
        <f t="shared" si="46"/>
        <v>0</v>
      </c>
      <c r="AM205" s="35"/>
      <c r="AN205" s="30"/>
      <c r="AO205" s="36">
        <f t="shared" si="47"/>
        <v>0</v>
      </c>
      <c r="AP205" s="35"/>
      <c r="AQ205" s="30"/>
      <c r="AR205" s="36">
        <f t="shared" si="48"/>
        <v>0</v>
      </c>
      <c r="AS205" s="27"/>
      <c r="AT205" s="37"/>
      <c r="AU205" s="30"/>
      <c r="AV205" s="36">
        <f t="shared" si="49"/>
        <v>0</v>
      </c>
      <c r="AW205" s="35"/>
      <c r="AX205" s="30"/>
      <c r="AY205" s="32">
        <f t="shared" si="50"/>
        <v>0</v>
      </c>
      <c r="AZ205" s="30" t="s">
        <v>440</v>
      </c>
      <c r="BA205" s="63"/>
      <c r="BB205" s="71" t="e">
        <f>SUMIFS([1]VD001!$G$9:$G$78,[1]VD001!$E$9:$E$78,BC205)</f>
        <v>#VALUE!</v>
      </c>
      <c r="BC205" s="71" t="s">
        <v>311</v>
      </c>
      <c r="BD205" s="71"/>
    </row>
    <row r="206" spans="1:56" hidden="1" x14ac:dyDescent="0.25">
      <c r="A206" s="24">
        <f>IF(B206="","",SUBTOTAL(3,$B$4:B206))</f>
        <v>146</v>
      </c>
      <c r="B206" s="25" t="s">
        <v>439</v>
      </c>
      <c r="C206" s="25" t="str">
        <f t="shared" si="42"/>
        <v>Shipment 2 CO-SCR Duct</v>
      </c>
      <c r="D206" s="25" t="s">
        <v>441</v>
      </c>
      <c r="E206" s="25" t="s">
        <v>442</v>
      </c>
      <c r="F206" s="25"/>
      <c r="G206" s="65">
        <v>46204</v>
      </c>
      <c r="H206" s="25" t="s">
        <v>443</v>
      </c>
      <c r="I206" s="25" t="s">
        <v>444</v>
      </c>
      <c r="J206" s="26" t="s">
        <v>447</v>
      </c>
      <c r="K206" s="27" t="s">
        <v>312</v>
      </c>
      <c r="L206" s="28" t="s">
        <v>313</v>
      </c>
      <c r="M206" s="28" t="s">
        <v>314</v>
      </c>
      <c r="N206" s="25">
        <v>1</v>
      </c>
      <c r="O206" s="29">
        <v>616.29999999999995</v>
      </c>
      <c r="P206" s="29">
        <v>616.29999999999995</v>
      </c>
      <c r="Q206" s="25" t="s">
        <v>424</v>
      </c>
      <c r="R206" s="25"/>
      <c r="S206" s="26" t="s">
        <v>355</v>
      </c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43"/>
        <v>308.14999999999998</v>
      </c>
      <c r="AF206" s="32">
        <f t="shared" si="44"/>
        <v>308.14999999999998</v>
      </c>
      <c r="AG206" s="30"/>
      <c r="AH206" s="33"/>
      <c r="AI206" s="34">
        <f t="shared" si="45"/>
        <v>0</v>
      </c>
      <c r="AJ206" s="35">
        <v>46311</v>
      </c>
      <c r="AK206" s="30">
        <v>1</v>
      </c>
      <c r="AL206" s="36">
        <f t="shared" si="46"/>
        <v>616.29999999999995</v>
      </c>
      <c r="AM206" s="35"/>
      <c r="AN206" s="30"/>
      <c r="AO206" s="36">
        <f t="shared" si="47"/>
        <v>0</v>
      </c>
      <c r="AP206" s="35"/>
      <c r="AQ206" s="30"/>
      <c r="AR206" s="36">
        <f t="shared" si="48"/>
        <v>0</v>
      </c>
      <c r="AS206" s="27"/>
      <c r="AT206" s="37"/>
      <c r="AU206" s="30"/>
      <c r="AV206" s="36">
        <f t="shared" si="49"/>
        <v>0</v>
      </c>
      <c r="AW206" s="35"/>
      <c r="AX206" s="30"/>
      <c r="AY206" s="32">
        <f t="shared" si="50"/>
        <v>0</v>
      </c>
      <c r="AZ206" s="30" t="s">
        <v>440</v>
      </c>
      <c r="BA206" s="63"/>
      <c r="BB206" s="71" t="e">
        <f>SUMIFS([1]VD001!$G$9:$G$78,[1]VD001!$E$9:$E$78,BC206)</f>
        <v>#VALUE!</v>
      </c>
      <c r="BC206" s="71" t="s">
        <v>313</v>
      </c>
      <c r="BD206" s="71"/>
    </row>
    <row r="207" spans="1:56" hidden="1" x14ac:dyDescent="0.25">
      <c r="A207" s="24">
        <f>IF(B207="","",SUBTOTAL(3,$B$4:B207))</f>
        <v>146</v>
      </c>
      <c r="B207" s="25" t="s">
        <v>439</v>
      </c>
      <c r="C207" s="25" t="str">
        <f t="shared" si="42"/>
        <v>Shipment 2 CO-SCR Duct</v>
      </c>
      <c r="D207" s="25" t="s">
        <v>441</v>
      </c>
      <c r="E207" s="25" t="s">
        <v>442</v>
      </c>
      <c r="F207" s="25"/>
      <c r="G207" s="65">
        <v>46204</v>
      </c>
      <c r="H207" s="25" t="s">
        <v>443</v>
      </c>
      <c r="I207" s="25" t="s">
        <v>444</v>
      </c>
      <c r="J207" s="26" t="s">
        <v>447</v>
      </c>
      <c r="K207" s="27" t="s">
        <v>315</v>
      </c>
      <c r="L207" s="28" t="s">
        <v>316</v>
      </c>
      <c r="M207" s="28" t="s">
        <v>314</v>
      </c>
      <c r="N207" s="25">
        <v>1</v>
      </c>
      <c r="O207" s="29">
        <v>757.7</v>
      </c>
      <c r="P207" s="29">
        <v>757.7</v>
      </c>
      <c r="Q207" s="25" t="s">
        <v>425</v>
      </c>
      <c r="R207" s="25"/>
      <c r="S207" s="26" t="s">
        <v>355</v>
      </c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43"/>
        <v>378.85</v>
      </c>
      <c r="AF207" s="32">
        <f t="shared" si="44"/>
        <v>378.85</v>
      </c>
      <c r="AG207" s="30"/>
      <c r="AH207" s="33"/>
      <c r="AI207" s="34">
        <f t="shared" si="45"/>
        <v>0</v>
      </c>
      <c r="AJ207" s="35">
        <v>46311</v>
      </c>
      <c r="AK207" s="30">
        <v>1</v>
      </c>
      <c r="AL207" s="36">
        <f t="shared" ref="AL207:AL210" si="52">IFERROR(AK207*$P207/$N207,0)</f>
        <v>757.7</v>
      </c>
      <c r="AM207" s="35"/>
      <c r="AN207" s="30"/>
      <c r="AO207" s="36">
        <f t="shared" si="47"/>
        <v>0</v>
      </c>
      <c r="AP207" s="35"/>
      <c r="AQ207" s="30"/>
      <c r="AR207" s="36">
        <f t="shared" si="48"/>
        <v>0</v>
      </c>
      <c r="AS207" s="27"/>
      <c r="AT207" s="37"/>
      <c r="AU207" s="30"/>
      <c r="AV207" s="36">
        <f t="shared" si="49"/>
        <v>0</v>
      </c>
      <c r="AW207" s="35"/>
      <c r="AX207" s="30"/>
      <c r="AY207" s="32">
        <f t="shared" si="50"/>
        <v>0</v>
      </c>
      <c r="AZ207" s="30" t="s">
        <v>440</v>
      </c>
      <c r="BA207" s="63"/>
      <c r="BB207" s="71" t="e">
        <f>SUMIFS([1]VD001!$G$9:$G$78,[1]VD001!$E$9:$E$78,BC207)</f>
        <v>#VALUE!</v>
      </c>
      <c r="BC207" s="71" t="s">
        <v>316</v>
      </c>
      <c r="BD207" s="71"/>
    </row>
    <row r="208" spans="1:56" hidden="1" x14ac:dyDescent="0.25">
      <c r="A208" s="24">
        <f>IF(B208="","",SUBTOTAL(3,$B$4:B208))</f>
        <v>146</v>
      </c>
      <c r="B208" s="25" t="s">
        <v>439</v>
      </c>
      <c r="C208" s="25" t="str">
        <f t="shared" si="42"/>
        <v>Shipment 2 CO-SCR Duct</v>
      </c>
      <c r="D208" s="25" t="s">
        <v>441</v>
      </c>
      <c r="E208" s="25" t="s">
        <v>442</v>
      </c>
      <c r="F208" s="25"/>
      <c r="G208" s="65">
        <v>46204</v>
      </c>
      <c r="H208" s="25" t="s">
        <v>443</v>
      </c>
      <c r="I208" s="25" t="s">
        <v>444</v>
      </c>
      <c r="J208" s="26" t="s">
        <v>447</v>
      </c>
      <c r="K208" s="27" t="s">
        <v>317</v>
      </c>
      <c r="L208" s="28" t="s">
        <v>318</v>
      </c>
      <c r="M208" s="28" t="s">
        <v>285</v>
      </c>
      <c r="N208" s="25">
        <v>2</v>
      </c>
      <c r="O208" s="29">
        <v>129</v>
      </c>
      <c r="P208" s="29">
        <v>258</v>
      </c>
      <c r="Q208" s="25" t="s">
        <v>426</v>
      </c>
      <c r="R208" s="25"/>
      <c r="S208" s="26" t="s">
        <v>355</v>
      </c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43"/>
        <v>129</v>
      </c>
      <c r="AF208" s="32">
        <f t="shared" si="44"/>
        <v>129</v>
      </c>
      <c r="AG208" s="30"/>
      <c r="AH208" s="33"/>
      <c r="AI208" s="34">
        <f t="shared" si="45"/>
        <v>0</v>
      </c>
      <c r="AJ208" s="35">
        <v>46311</v>
      </c>
      <c r="AK208" s="30">
        <v>2</v>
      </c>
      <c r="AL208" s="36">
        <f t="shared" si="52"/>
        <v>258</v>
      </c>
      <c r="AM208" s="35"/>
      <c r="AN208" s="30"/>
      <c r="AO208" s="36">
        <f t="shared" si="47"/>
        <v>0</v>
      </c>
      <c r="AP208" s="35"/>
      <c r="AQ208" s="30"/>
      <c r="AR208" s="36">
        <f t="shared" si="48"/>
        <v>0</v>
      </c>
      <c r="AS208" s="27"/>
      <c r="AT208" s="37"/>
      <c r="AU208" s="30"/>
      <c r="AV208" s="36">
        <f t="shared" si="49"/>
        <v>0</v>
      </c>
      <c r="AW208" s="35"/>
      <c r="AX208" s="30"/>
      <c r="AY208" s="32">
        <f t="shared" si="50"/>
        <v>0</v>
      </c>
      <c r="AZ208" s="30" t="s">
        <v>440</v>
      </c>
      <c r="BA208" s="63"/>
      <c r="BB208" s="71" t="e">
        <f>SUMIFS([1]VD001!$G$9:$G$78,[1]VD001!$E$9:$E$78,BC208)</f>
        <v>#VALUE!</v>
      </c>
      <c r="BC208" s="71" t="s">
        <v>318</v>
      </c>
      <c r="BD208" s="71"/>
    </row>
    <row r="209" spans="1:56" hidden="1" x14ac:dyDescent="0.25">
      <c r="A209" s="24">
        <f>IF(B209="","",SUBTOTAL(3,$B$4:B209))</f>
        <v>146</v>
      </c>
      <c r="B209" s="25" t="s">
        <v>439</v>
      </c>
      <c r="C209" s="25" t="str">
        <f t="shared" si="42"/>
        <v>Shipment 2 CO-SCR Duct</v>
      </c>
      <c r="D209" s="25" t="s">
        <v>441</v>
      </c>
      <c r="E209" s="25" t="s">
        <v>442</v>
      </c>
      <c r="F209" s="25"/>
      <c r="G209" s="65">
        <v>46204</v>
      </c>
      <c r="H209" s="25" t="s">
        <v>443</v>
      </c>
      <c r="I209" s="25" t="s">
        <v>444</v>
      </c>
      <c r="J209" s="26" t="s">
        <v>447</v>
      </c>
      <c r="K209" s="27" t="s">
        <v>319</v>
      </c>
      <c r="L209" s="28" t="s">
        <v>320</v>
      </c>
      <c r="M209" s="28" t="s">
        <v>314</v>
      </c>
      <c r="N209" s="25">
        <v>2</v>
      </c>
      <c r="O209" s="29">
        <v>632.6</v>
      </c>
      <c r="P209" s="29">
        <v>1265.2</v>
      </c>
      <c r="Q209" s="25" t="s">
        <v>427</v>
      </c>
      <c r="R209" s="25"/>
      <c r="S209" s="26" t="s">
        <v>355</v>
      </c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43"/>
        <v>632.6</v>
      </c>
      <c r="AF209" s="32">
        <f t="shared" si="44"/>
        <v>632.6</v>
      </c>
      <c r="AG209" s="30"/>
      <c r="AH209" s="33"/>
      <c r="AI209" s="34">
        <f t="shared" si="45"/>
        <v>0</v>
      </c>
      <c r="AJ209" s="35">
        <v>46311</v>
      </c>
      <c r="AK209" s="30">
        <v>2</v>
      </c>
      <c r="AL209" s="36">
        <f t="shared" si="52"/>
        <v>1265.2</v>
      </c>
      <c r="AM209" s="35"/>
      <c r="AN209" s="30"/>
      <c r="AO209" s="36">
        <f t="shared" si="47"/>
        <v>0</v>
      </c>
      <c r="AP209" s="35"/>
      <c r="AQ209" s="30"/>
      <c r="AR209" s="36">
        <f t="shared" si="48"/>
        <v>0</v>
      </c>
      <c r="AS209" s="27"/>
      <c r="AT209" s="37"/>
      <c r="AU209" s="30"/>
      <c r="AV209" s="36">
        <f t="shared" si="49"/>
        <v>0</v>
      </c>
      <c r="AW209" s="35"/>
      <c r="AX209" s="30"/>
      <c r="AY209" s="32">
        <f t="shared" si="50"/>
        <v>0</v>
      </c>
      <c r="AZ209" s="30" t="s">
        <v>440</v>
      </c>
      <c r="BA209" s="63"/>
      <c r="BB209" s="71" t="e">
        <f>SUMIFS([1]VD001!$G$9:$G$78,[1]VD001!$E$9:$E$78,BC209)</f>
        <v>#VALUE!</v>
      </c>
      <c r="BC209" s="71" t="s">
        <v>320</v>
      </c>
      <c r="BD209" s="71"/>
    </row>
    <row r="210" spans="1:56" hidden="1" x14ac:dyDescent="0.25">
      <c r="A210" s="24">
        <f>IF(B210="","",SUBTOTAL(3,$B$4:B210))</f>
        <v>146</v>
      </c>
      <c r="B210" s="25" t="s">
        <v>439</v>
      </c>
      <c r="C210" s="25" t="str">
        <f t="shared" si="42"/>
        <v>Shipment 2 CO-SCR Duct</v>
      </c>
      <c r="D210" s="25" t="s">
        <v>441</v>
      </c>
      <c r="E210" s="25" t="s">
        <v>442</v>
      </c>
      <c r="F210" s="25"/>
      <c r="G210" s="65">
        <v>46204</v>
      </c>
      <c r="H210" s="25" t="s">
        <v>443</v>
      </c>
      <c r="I210" s="25" t="s">
        <v>444</v>
      </c>
      <c r="J210" s="26" t="s">
        <v>447</v>
      </c>
      <c r="K210" s="27" t="s">
        <v>321</v>
      </c>
      <c r="L210" s="28" t="s">
        <v>322</v>
      </c>
      <c r="M210" s="28" t="s">
        <v>314</v>
      </c>
      <c r="N210" s="25">
        <v>2</v>
      </c>
      <c r="O210" s="29">
        <v>785.3</v>
      </c>
      <c r="P210" s="29">
        <v>1570.6</v>
      </c>
      <c r="Q210" s="25" t="s">
        <v>428</v>
      </c>
      <c r="R210" s="25"/>
      <c r="S210" s="26" t="s">
        <v>355</v>
      </c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43"/>
        <v>785.3</v>
      </c>
      <c r="AF210" s="32">
        <f t="shared" si="44"/>
        <v>785.3</v>
      </c>
      <c r="AG210" s="30"/>
      <c r="AH210" s="33"/>
      <c r="AI210" s="34">
        <f t="shared" si="45"/>
        <v>0</v>
      </c>
      <c r="AJ210" s="35">
        <v>46311</v>
      </c>
      <c r="AK210" s="30">
        <v>2</v>
      </c>
      <c r="AL210" s="36">
        <f t="shared" si="52"/>
        <v>1570.6</v>
      </c>
      <c r="AM210" s="35"/>
      <c r="AN210" s="30"/>
      <c r="AO210" s="36">
        <f t="shared" si="47"/>
        <v>0</v>
      </c>
      <c r="AP210" s="35"/>
      <c r="AQ210" s="30"/>
      <c r="AR210" s="36">
        <f t="shared" si="48"/>
        <v>0</v>
      </c>
      <c r="AS210" s="27"/>
      <c r="AT210" s="37"/>
      <c r="AU210" s="30"/>
      <c r="AV210" s="36">
        <f t="shared" si="49"/>
        <v>0</v>
      </c>
      <c r="AW210" s="35"/>
      <c r="AX210" s="30"/>
      <c r="AY210" s="32">
        <f t="shared" si="50"/>
        <v>0</v>
      </c>
      <c r="AZ210" s="30" t="s">
        <v>440</v>
      </c>
      <c r="BA210" s="63"/>
      <c r="BB210" s="71" t="e">
        <f>SUMIFS([1]VD001!$G$9:$G$78,[1]VD001!$E$9:$E$78,BC210)</f>
        <v>#VALUE!</v>
      </c>
      <c r="BC210" s="71" t="s">
        <v>322</v>
      </c>
      <c r="BD210" s="71"/>
    </row>
    <row r="211" spans="1:56" hidden="1" x14ac:dyDescent="0.25">
      <c r="A211" s="24">
        <f>IF(B211="","",SUBTOTAL(3,$B$4:B211))</f>
        <v>146</v>
      </c>
      <c r="B211" s="25" t="s">
        <v>439</v>
      </c>
      <c r="C211" s="25" t="str">
        <f t="shared" si="42"/>
        <v>Shipment 2 CO-SCR Duct</v>
      </c>
      <c r="D211" s="25" t="s">
        <v>441</v>
      </c>
      <c r="E211" s="25" t="s">
        <v>442</v>
      </c>
      <c r="F211" s="25"/>
      <c r="G211" s="65">
        <v>46204</v>
      </c>
      <c r="H211" s="25" t="s">
        <v>443</v>
      </c>
      <c r="I211" s="25" t="s">
        <v>444</v>
      </c>
      <c r="J211" s="26" t="s">
        <v>447</v>
      </c>
      <c r="K211" s="27" t="s">
        <v>323</v>
      </c>
      <c r="L211" s="28" t="s">
        <v>324</v>
      </c>
      <c r="M211" s="28" t="s">
        <v>325</v>
      </c>
      <c r="N211" s="25">
        <v>1</v>
      </c>
      <c r="O211" s="29">
        <v>72.099999999999994</v>
      </c>
      <c r="P211" s="29">
        <v>72.099999999999994</v>
      </c>
      <c r="Q211" s="25" t="s">
        <v>429</v>
      </c>
      <c r="R211" s="25"/>
      <c r="S211" s="26" t="s">
        <v>355</v>
      </c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43"/>
        <v>0</v>
      </c>
      <c r="AF211" s="32">
        <f t="shared" si="44"/>
        <v>72.099999999999994</v>
      </c>
      <c r="AG211" s="30"/>
      <c r="AH211" s="33"/>
      <c r="AI211" s="34">
        <f t="shared" si="45"/>
        <v>0</v>
      </c>
      <c r="AJ211" s="35"/>
      <c r="AK211" s="30"/>
      <c r="AL211" s="36">
        <f t="shared" si="46"/>
        <v>0</v>
      </c>
      <c r="AM211" s="35"/>
      <c r="AN211" s="30"/>
      <c r="AO211" s="36">
        <f t="shared" si="47"/>
        <v>0</v>
      </c>
      <c r="AP211" s="35"/>
      <c r="AQ211" s="30"/>
      <c r="AR211" s="36">
        <f t="shared" si="48"/>
        <v>0</v>
      </c>
      <c r="AS211" s="27"/>
      <c r="AT211" s="37"/>
      <c r="AU211" s="30"/>
      <c r="AV211" s="36">
        <f t="shared" si="49"/>
        <v>0</v>
      </c>
      <c r="AW211" s="35"/>
      <c r="AX211" s="30"/>
      <c r="AY211" s="32">
        <f t="shared" si="50"/>
        <v>0</v>
      </c>
      <c r="AZ211" s="30" t="s">
        <v>440</v>
      </c>
      <c r="BA211" s="63"/>
      <c r="BB211" s="71" t="e">
        <f>SUMIFS([1]VD001!$G$9:$G$78,[1]VD001!$E$9:$E$78,BC211)</f>
        <v>#VALUE!</v>
      </c>
      <c r="BC211" s="71" t="s">
        <v>324</v>
      </c>
      <c r="BD211" s="71"/>
    </row>
    <row r="212" spans="1:56" hidden="1" x14ac:dyDescent="0.25">
      <c r="A212" s="24">
        <f>IF(B212="","",SUBTOTAL(3,$B$4:B212))</f>
        <v>146</v>
      </c>
      <c r="B212" s="25" t="s">
        <v>439</v>
      </c>
      <c r="C212" s="25" t="str">
        <f t="shared" si="42"/>
        <v>Shipment 2 CO-SCR Duct</v>
      </c>
      <c r="D212" s="25" t="s">
        <v>441</v>
      </c>
      <c r="E212" s="25" t="s">
        <v>442</v>
      </c>
      <c r="F212" s="25"/>
      <c r="G212" s="65">
        <v>46204</v>
      </c>
      <c r="H212" s="25" t="s">
        <v>443</v>
      </c>
      <c r="I212" s="25" t="s">
        <v>444</v>
      </c>
      <c r="J212" s="26" t="s">
        <v>447</v>
      </c>
      <c r="K212" s="27" t="s">
        <v>326</v>
      </c>
      <c r="L212" s="28" t="s">
        <v>327</v>
      </c>
      <c r="M212" s="28" t="s">
        <v>325</v>
      </c>
      <c r="N212" s="25">
        <v>1</v>
      </c>
      <c r="O212" s="29">
        <v>74.099999999999994</v>
      </c>
      <c r="P212" s="29">
        <v>74.099999999999994</v>
      </c>
      <c r="Q212" s="25" t="s">
        <v>430</v>
      </c>
      <c r="R212" s="25"/>
      <c r="S212" s="26" t="s">
        <v>355</v>
      </c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43"/>
        <v>0</v>
      </c>
      <c r="AF212" s="32">
        <f t="shared" si="44"/>
        <v>74.099999999999994</v>
      </c>
      <c r="AG212" s="30"/>
      <c r="AH212" s="33"/>
      <c r="AI212" s="34">
        <f t="shared" si="45"/>
        <v>0</v>
      </c>
      <c r="AJ212" s="35"/>
      <c r="AK212" s="30"/>
      <c r="AL212" s="36">
        <f t="shared" si="46"/>
        <v>0</v>
      </c>
      <c r="AM212" s="35"/>
      <c r="AN212" s="30"/>
      <c r="AO212" s="36">
        <f t="shared" si="47"/>
        <v>0</v>
      </c>
      <c r="AP212" s="35"/>
      <c r="AQ212" s="30"/>
      <c r="AR212" s="36">
        <f t="shared" si="48"/>
        <v>0</v>
      </c>
      <c r="AS212" s="27"/>
      <c r="AT212" s="37"/>
      <c r="AU212" s="30"/>
      <c r="AV212" s="36">
        <f t="shared" si="49"/>
        <v>0</v>
      </c>
      <c r="AW212" s="35"/>
      <c r="AX212" s="30"/>
      <c r="AY212" s="32">
        <f t="shared" si="50"/>
        <v>0</v>
      </c>
      <c r="AZ212" s="30" t="s">
        <v>440</v>
      </c>
      <c r="BA212" s="63"/>
      <c r="BB212" s="71" t="e">
        <f>SUMIFS([1]VD001!$G$9:$G$78,[1]VD001!$E$9:$E$78,BC212)</f>
        <v>#VALUE!</v>
      </c>
      <c r="BC212" s="71" t="s">
        <v>327</v>
      </c>
      <c r="BD212" s="71"/>
    </row>
    <row r="213" spans="1:56" hidden="1" x14ac:dyDescent="0.25">
      <c r="A213" s="24">
        <f>IF(B213="","",SUBTOTAL(3,$B$4:B213))</f>
        <v>146</v>
      </c>
      <c r="B213" s="25" t="s">
        <v>439</v>
      </c>
      <c r="C213" s="25" t="str">
        <f t="shared" si="42"/>
        <v>Shipment 2 CO-SCR Duct</v>
      </c>
      <c r="D213" s="25" t="s">
        <v>441</v>
      </c>
      <c r="E213" s="25" t="s">
        <v>442</v>
      </c>
      <c r="F213" s="25"/>
      <c r="G213" s="65">
        <v>46204</v>
      </c>
      <c r="H213" s="25" t="s">
        <v>443</v>
      </c>
      <c r="I213" s="25" t="s">
        <v>444</v>
      </c>
      <c r="J213" s="26" t="s">
        <v>447</v>
      </c>
      <c r="K213" s="27" t="s">
        <v>328</v>
      </c>
      <c r="L213" s="28" t="s">
        <v>329</v>
      </c>
      <c r="M213" s="28" t="s">
        <v>285</v>
      </c>
      <c r="N213" s="25">
        <v>1</v>
      </c>
      <c r="O213" s="29">
        <v>130.30000000000001</v>
      </c>
      <c r="P213" s="29">
        <v>130.30000000000001</v>
      </c>
      <c r="Q213" s="25" t="s">
        <v>431</v>
      </c>
      <c r="R213" s="25"/>
      <c r="S213" s="26" t="s">
        <v>355</v>
      </c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43"/>
        <v>0</v>
      </c>
      <c r="AF213" s="32">
        <f t="shared" si="44"/>
        <v>130.30000000000001</v>
      </c>
      <c r="AG213" s="30"/>
      <c r="AH213" s="33"/>
      <c r="AI213" s="34">
        <f t="shared" si="45"/>
        <v>0</v>
      </c>
      <c r="AJ213" s="35"/>
      <c r="AK213" s="30"/>
      <c r="AL213" s="36">
        <f t="shared" si="46"/>
        <v>0</v>
      </c>
      <c r="AM213" s="35"/>
      <c r="AN213" s="30"/>
      <c r="AO213" s="36">
        <f t="shared" si="47"/>
        <v>0</v>
      </c>
      <c r="AP213" s="35"/>
      <c r="AQ213" s="30"/>
      <c r="AR213" s="36">
        <f t="shared" si="48"/>
        <v>0</v>
      </c>
      <c r="AS213" s="27"/>
      <c r="AT213" s="37"/>
      <c r="AU213" s="30"/>
      <c r="AV213" s="36">
        <f t="shared" si="49"/>
        <v>0</v>
      </c>
      <c r="AW213" s="35"/>
      <c r="AX213" s="30"/>
      <c r="AY213" s="32">
        <f t="shared" si="50"/>
        <v>0</v>
      </c>
      <c r="AZ213" s="30" t="s">
        <v>440</v>
      </c>
      <c r="BA213" s="63"/>
      <c r="BB213" s="71" t="e">
        <f>SUMIFS([1]VD001!$G$9:$G$78,[1]VD001!$E$9:$E$78,BC213)</f>
        <v>#VALUE!</v>
      </c>
      <c r="BC213" s="71" t="s">
        <v>329</v>
      </c>
      <c r="BD213" s="71"/>
    </row>
    <row r="214" spans="1:56" hidden="1" x14ac:dyDescent="0.25">
      <c r="A214" s="24">
        <f>IF(B214="","",SUBTOTAL(3,$B$4:B214))</f>
        <v>146</v>
      </c>
      <c r="B214" s="25" t="s">
        <v>439</v>
      </c>
      <c r="C214" s="25" t="str">
        <f t="shared" si="42"/>
        <v>Shipment 2 CO-SCR Duct</v>
      </c>
      <c r="D214" s="25" t="s">
        <v>441</v>
      </c>
      <c r="E214" s="25" t="s">
        <v>442</v>
      </c>
      <c r="F214" s="25"/>
      <c r="G214" s="65">
        <v>46204</v>
      </c>
      <c r="H214" s="25" t="s">
        <v>443</v>
      </c>
      <c r="I214" s="25" t="s">
        <v>444</v>
      </c>
      <c r="J214" s="26" t="s">
        <v>447</v>
      </c>
      <c r="K214" s="27" t="s">
        <v>330</v>
      </c>
      <c r="L214" s="28" t="s">
        <v>331</v>
      </c>
      <c r="M214" s="28" t="s">
        <v>325</v>
      </c>
      <c r="N214" s="25">
        <v>1</v>
      </c>
      <c r="O214" s="29">
        <v>74.099999999999994</v>
      </c>
      <c r="P214" s="29">
        <v>74.099999999999994</v>
      </c>
      <c r="Q214" s="25" t="s">
        <v>430</v>
      </c>
      <c r="R214" s="25"/>
      <c r="S214" s="26" t="s">
        <v>355</v>
      </c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43"/>
        <v>0</v>
      </c>
      <c r="AF214" s="32">
        <f t="shared" si="44"/>
        <v>74.099999999999994</v>
      </c>
      <c r="AG214" s="30"/>
      <c r="AH214" s="33"/>
      <c r="AI214" s="34">
        <f t="shared" si="45"/>
        <v>0</v>
      </c>
      <c r="AJ214" s="35"/>
      <c r="AK214" s="30"/>
      <c r="AL214" s="36">
        <f t="shared" si="46"/>
        <v>0</v>
      </c>
      <c r="AM214" s="35"/>
      <c r="AN214" s="30"/>
      <c r="AO214" s="36">
        <f t="shared" si="47"/>
        <v>0</v>
      </c>
      <c r="AP214" s="35"/>
      <c r="AQ214" s="30"/>
      <c r="AR214" s="36">
        <f t="shared" si="48"/>
        <v>0</v>
      </c>
      <c r="AS214" s="27"/>
      <c r="AT214" s="37"/>
      <c r="AU214" s="30"/>
      <c r="AV214" s="36">
        <f t="shared" si="49"/>
        <v>0</v>
      </c>
      <c r="AW214" s="35"/>
      <c r="AX214" s="30"/>
      <c r="AY214" s="32">
        <f t="shared" si="50"/>
        <v>0</v>
      </c>
      <c r="AZ214" s="30" t="s">
        <v>440</v>
      </c>
      <c r="BA214" s="63"/>
      <c r="BB214" s="71" t="e">
        <f>SUMIFS([1]VD001!$G$9:$G$78,[1]VD001!$E$9:$E$78,BC214)</f>
        <v>#VALUE!</v>
      </c>
      <c r="BC214" s="71" t="s">
        <v>331</v>
      </c>
      <c r="BD214" s="71"/>
    </row>
    <row r="215" spans="1:56" hidden="1" x14ac:dyDescent="0.25">
      <c r="A215" s="24">
        <f>IF(B215="","",SUBTOTAL(3,$B$4:B215))</f>
        <v>146</v>
      </c>
      <c r="B215" s="25" t="s">
        <v>439</v>
      </c>
      <c r="C215" s="25" t="str">
        <f t="shared" si="42"/>
        <v>Shipment 2 CO-SCR Duct</v>
      </c>
      <c r="D215" s="25" t="s">
        <v>441</v>
      </c>
      <c r="E215" s="25" t="s">
        <v>442</v>
      </c>
      <c r="F215" s="25"/>
      <c r="G215" s="65">
        <v>46204</v>
      </c>
      <c r="H215" s="25" t="s">
        <v>443</v>
      </c>
      <c r="I215" s="25" t="s">
        <v>444</v>
      </c>
      <c r="J215" s="26" t="s">
        <v>447</v>
      </c>
      <c r="K215" s="27" t="s">
        <v>332</v>
      </c>
      <c r="L215" s="28" t="s">
        <v>333</v>
      </c>
      <c r="M215" s="28" t="s">
        <v>314</v>
      </c>
      <c r="N215" s="25">
        <v>1</v>
      </c>
      <c r="O215" s="29">
        <v>616.29999999999995</v>
      </c>
      <c r="P215" s="29">
        <v>616.29999999999995</v>
      </c>
      <c r="Q215" s="25" t="s">
        <v>424</v>
      </c>
      <c r="R215" s="25"/>
      <c r="S215" s="26" t="s">
        <v>355</v>
      </c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43"/>
        <v>308.14999999999998</v>
      </c>
      <c r="AF215" s="32">
        <f t="shared" si="44"/>
        <v>308.14999999999998</v>
      </c>
      <c r="AG215" s="30"/>
      <c r="AH215" s="33"/>
      <c r="AI215" s="34">
        <f t="shared" si="45"/>
        <v>0</v>
      </c>
      <c r="AJ215" s="35">
        <v>46310</v>
      </c>
      <c r="AK215" s="30">
        <v>1</v>
      </c>
      <c r="AL215" s="36">
        <f t="shared" si="46"/>
        <v>616.29999999999995</v>
      </c>
      <c r="AM215" s="35"/>
      <c r="AN215" s="30"/>
      <c r="AO215" s="36">
        <f t="shared" si="47"/>
        <v>0</v>
      </c>
      <c r="AP215" s="35"/>
      <c r="AQ215" s="30"/>
      <c r="AR215" s="36">
        <f t="shared" si="48"/>
        <v>0</v>
      </c>
      <c r="AS215" s="27"/>
      <c r="AT215" s="37"/>
      <c r="AU215" s="30"/>
      <c r="AV215" s="36">
        <f t="shared" si="49"/>
        <v>0</v>
      </c>
      <c r="AW215" s="35"/>
      <c r="AX215" s="30"/>
      <c r="AY215" s="32">
        <f t="shared" si="50"/>
        <v>0</v>
      </c>
      <c r="AZ215" s="30" t="s">
        <v>440</v>
      </c>
      <c r="BA215" s="63"/>
      <c r="BB215" s="71" t="e">
        <f>SUMIFS([1]VD001!$G$9:$G$78,[1]VD001!$E$9:$E$78,BC215)</f>
        <v>#VALUE!</v>
      </c>
      <c r="BC215" s="71" t="s">
        <v>333</v>
      </c>
      <c r="BD215" s="71"/>
    </row>
    <row r="216" spans="1:56" hidden="1" x14ac:dyDescent="0.25">
      <c r="A216" s="24">
        <f>IF(B216="","",SUBTOTAL(3,$B$4:B216))</f>
        <v>146</v>
      </c>
      <c r="B216" s="25" t="s">
        <v>439</v>
      </c>
      <c r="C216" s="25" t="str">
        <f t="shared" si="42"/>
        <v>Shipment 2 CO-SCR Duct</v>
      </c>
      <c r="D216" s="25" t="s">
        <v>441</v>
      </c>
      <c r="E216" s="25" t="s">
        <v>442</v>
      </c>
      <c r="F216" s="25"/>
      <c r="G216" s="65">
        <v>46204</v>
      </c>
      <c r="H216" s="25" t="s">
        <v>443</v>
      </c>
      <c r="I216" s="25" t="s">
        <v>444</v>
      </c>
      <c r="J216" s="26" t="s">
        <v>447</v>
      </c>
      <c r="K216" s="27" t="s">
        <v>334</v>
      </c>
      <c r="L216" s="28" t="s">
        <v>335</v>
      </c>
      <c r="M216" s="28" t="s">
        <v>314</v>
      </c>
      <c r="N216" s="25">
        <v>1</v>
      </c>
      <c r="O216" s="29">
        <v>757.7</v>
      </c>
      <c r="P216" s="29">
        <v>757.7</v>
      </c>
      <c r="Q216" s="25" t="s">
        <v>432</v>
      </c>
      <c r="R216" s="25"/>
      <c r="S216" s="26" t="s">
        <v>355</v>
      </c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43"/>
        <v>378.85</v>
      </c>
      <c r="AF216" s="32">
        <f t="shared" si="44"/>
        <v>378.85</v>
      </c>
      <c r="AG216" s="30"/>
      <c r="AH216" s="33"/>
      <c r="AI216" s="34">
        <f t="shared" si="45"/>
        <v>0</v>
      </c>
      <c r="AJ216" s="35">
        <v>46310</v>
      </c>
      <c r="AK216" s="30">
        <v>1</v>
      </c>
      <c r="AL216" s="36">
        <f t="shared" ref="AL216:AL217" si="53">IFERROR(AK216*$P216/$N216,0)</f>
        <v>757.7</v>
      </c>
      <c r="AM216" s="35"/>
      <c r="AN216" s="30"/>
      <c r="AO216" s="36">
        <f t="shared" si="47"/>
        <v>0</v>
      </c>
      <c r="AP216" s="35"/>
      <c r="AQ216" s="30"/>
      <c r="AR216" s="36">
        <f t="shared" si="48"/>
        <v>0</v>
      </c>
      <c r="AS216" s="27"/>
      <c r="AT216" s="37"/>
      <c r="AU216" s="30"/>
      <c r="AV216" s="36">
        <f t="shared" si="49"/>
        <v>0</v>
      </c>
      <c r="AW216" s="35"/>
      <c r="AX216" s="30"/>
      <c r="AY216" s="32">
        <f t="shared" si="50"/>
        <v>0</v>
      </c>
      <c r="AZ216" s="30" t="s">
        <v>440</v>
      </c>
      <c r="BA216" s="63"/>
      <c r="BB216" s="71" t="e">
        <f>SUMIFS([1]VD001!$G$9:$G$78,[1]VD001!$E$9:$E$78,BC216)</f>
        <v>#VALUE!</v>
      </c>
      <c r="BC216" s="71" t="s">
        <v>335</v>
      </c>
      <c r="BD216" s="71"/>
    </row>
    <row r="217" spans="1:56" hidden="1" x14ac:dyDescent="0.25">
      <c r="A217" s="24">
        <f>IF(B217="","",SUBTOTAL(3,$B$4:B217))</f>
        <v>146</v>
      </c>
      <c r="B217" s="25" t="s">
        <v>439</v>
      </c>
      <c r="C217" s="25" t="str">
        <f t="shared" si="42"/>
        <v>Shipment 2 CO-SCR Duct</v>
      </c>
      <c r="D217" s="25" t="s">
        <v>441</v>
      </c>
      <c r="E217" s="25" t="s">
        <v>442</v>
      </c>
      <c r="F217" s="25"/>
      <c r="G217" s="65">
        <v>46204</v>
      </c>
      <c r="H217" s="25" t="s">
        <v>443</v>
      </c>
      <c r="I217" s="25" t="s">
        <v>444</v>
      </c>
      <c r="J217" s="26" t="s">
        <v>447</v>
      </c>
      <c r="K217" s="27" t="s">
        <v>336</v>
      </c>
      <c r="L217" s="28" t="s">
        <v>337</v>
      </c>
      <c r="M217" s="28" t="s">
        <v>314</v>
      </c>
      <c r="N217" s="25">
        <v>6</v>
      </c>
      <c r="O217" s="29">
        <v>536.54999999999995</v>
      </c>
      <c r="P217" s="29">
        <v>3219.2999999999997</v>
      </c>
      <c r="Q217" s="25" t="s">
        <v>433</v>
      </c>
      <c r="R217" s="25"/>
      <c r="S217" s="26" t="s">
        <v>355</v>
      </c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43"/>
        <v>1609.6499999999999</v>
      </c>
      <c r="AF217" s="32">
        <f t="shared" si="44"/>
        <v>1609.6499999999999</v>
      </c>
      <c r="AG217" s="30"/>
      <c r="AH217" s="33"/>
      <c r="AI217" s="34">
        <f t="shared" si="45"/>
        <v>0</v>
      </c>
      <c r="AJ217" s="35">
        <v>46310</v>
      </c>
      <c r="AK217" s="30">
        <v>6</v>
      </c>
      <c r="AL217" s="36">
        <f t="shared" si="53"/>
        <v>3219.2999999999997</v>
      </c>
      <c r="AM217" s="35"/>
      <c r="AN217" s="30"/>
      <c r="AO217" s="36">
        <f t="shared" si="47"/>
        <v>0</v>
      </c>
      <c r="AP217" s="35"/>
      <c r="AQ217" s="30"/>
      <c r="AR217" s="36">
        <f t="shared" si="48"/>
        <v>0</v>
      </c>
      <c r="AS217" s="27"/>
      <c r="AT217" s="37"/>
      <c r="AU217" s="30"/>
      <c r="AV217" s="36">
        <f t="shared" si="49"/>
        <v>0</v>
      </c>
      <c r="AW217" s="35"/>
      <c r="AX217" s="30"/>
      <c r="AY217" s="32">
        <f t="shared" si="50"/>
        <v>0</v>
      </c>
      <c r="AZ217" s="30" t="s">
        <v>440</v>
      </c>
      <c r="BA217" s="63"/>
      <c r="BB217" s="71" t="e">
        <f>SUMIFS([1]VD001!$G$9:$G$78,[1]VD001!$E$9:$E$78,BC217)</f>
        <v>#VALUE!</v>
      </c>
      <c r="BC217" s="71" t="s">
        <v>337</v>
      </c>
      <c r="BD217" s="71"/>
    </row>
    <row r="218" spans="1:56" hidden="1" x14ac:dyDescent="0.25">
      <c r="A218" s="24">
        <f>IF(B218="","",SUBTOTAL(3,$B$4:B218))</f>
        <v>146</v>
      </c>
      <c r="B218" s="25" t="s">
        <v>439</v>
      </c>
      <c r="C218" s="25" t="str">
        <f t="shared" si="42"/>
        <v>Shipment 2 CO-SCR Duct</v>
      </c>
      <c r="D218" s="25" t="s">
        <v>441</v>
      </c>
      <c r="E218" s="25" t="s">
        <v>442</v>
      </c>
      <c r="F218" s="25"/>
      <c r="G218" s="65">
        <v>46204</v>
      </c>
      <c r="H218" s="25" t="s">
        <v>443</v>
      </c>
      <c r="I218" s="25" t="s">
        <v>444</v>
      </c>
      <c r="J218" s="26" t="s">
        <v>447</v>
      </c>
      <c r="K218" s="27" t="s">
        <v>338</v>
      </c>
      <c r="L218" s="28" t="s">
        <v>339</v>
      </c>
      <c r="M218" s="28" t="s">
        <v>325</v>
      </c>
      <c r="N218" s="25">
        <v>1</v>
      </c>
      <c r="O218" s="29">
        <v>3.6</v>
      </c>
      <c r="P218" s="29">
        <v>3.6</v>
      </c>
      <c r="Q218" s="25" t="s">
        <v>434</v>
      </c>
      <c r="R218" s="25"/>
      <c r="S218" s="26" t="s">
        <v>355</v>
      </c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43"/>
        <v>0</v>
      </c>
      <c r="AF218" s="32">
        <f t="shared" si="44"/>
        <v>3.6</v>
      </c>
      <c r="AG218" s="30"/>
      <c r="AH218" s="33"/>
      <c r="AI218" s="34">
        <f t="shared" si="45"/>
        <v>0</v>
      </c>
      <c r="AJ218" s="35"/>
      <c r="AK218" s="30"/>
      <c r="AL218" s="36">
        <f t="shared" si="46"/>
        <v>0</v>
      </c>
      <c r="AM218" s="35"/>
      <c r="AN218" s="30"/>
      <c r="AO218" s="36">
        <f t="shared" si="47"/>
        <v>0</v>
      </c>
      <c r="AP218" s="35"/>
      <c r="AQ218" s="30"/>
      <c r="AR218" s="36">
        <f t="shared" si="48"/>
        <v>0</v>
      </c>
      <c r="AS218" s="27"/>
      <c r="AT218" s="37"/>
      <c r="AU218" s="30"/>
      <c r="AV218" s="36">
        <f t="shared" si="49"/>
        <v>0</v>
      </c>
      <c r="AW218" s="35"/>
      <c r="AX218" s="30"/>
      <c r="AY218" s="32">
        <f t="shared" si="50"/>
        <v>0</v>
      </c>
      <c r="AZ218" s="30" t="s">
        <v>440</v>
      </c>
      <c r="BA218" s="63"/>
      <c r="BB218" s="71" t="e">
        <f>SUMIFS([1]VD001!$G$9:$G$78,[1]VD001!$E$9:$E$78,BC218)</f>
        <v>#VALUE!</v>
      </c>
      <c r="BC218" s="71" t="s">
        <v>339</v>
      </c>
      <c r="BD218" s="71"/>
    </row>
    <row r="219" spans="1:56" hidden="1" x14ac:dyDescent="0.25">
      <c r="A219" s="24">
        <f>IF(B219="","",SUBTOTAL(3,$B$4:B219))</f>
        <v>146</v>
      </c>
      <c r="B219" s="25" t="s">
        <v>439</v>
      </c>
      <c r="C219" s="25" t="str">
        <f t="shared" si="42"/>
        <v>Shipment 2 CO-SCR Duct</v>
      </c>
      <c r="D219" s="25" t="s">
        <v>441</v>
      </c>
      <c r="E219" s="25" t="s">
        <v>442</v>
      </c>
      <c r="F219" s="25"/>
      <c r="G219" s="65">
        <v>46204</v>
      </c>
      <c r="H219" s="25" t="s">
        <v>443</v>
      </c>
      <c r="I219" s="25" t="s">
        <v>444</v>
      </c>
      <c r="J219" s="26" t="s">
        <v>447</v>
      </c>
      <c r="K219" s="27" t="s">
        <v>340</v>
      </c>
      <c r="L219" s="28" t="s">
        <v>341</v>
      </c>
      <c r="M219" s="28" t="s">
        <v>325</v>
      </c>
      <c r="N219" s="25">
        <v>7</v>
      </c>
      <c r="O219" s="29">
        <v>4.7142857142857144</v>
      </c>
      <c r="P219" s="29">
        <v>33</v>
      </c>
      <c r="Q219" s="25" t="s">
        <v>435</v>
      </c>
      <c r="R219" s="25"/>
      <c r="S219" s="26" t="s">
        <v>355</v>
      </c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43"/>
        <v>0</v>
      </c>
      <c r="AF219" s="32">
        <f t="shared" si="44"/>
        <v>33</v>
      </c>
      <c r="AG219" s="30"/>
      <c r="AH219" s="33"/>
      <c r="AI219" s="34">
        <f t="shared" si="45"/>
        <v>0</v>
      </c>
      <c r="AJ219" s="35"/>
      <c r="AK219" s="30"/>
      <c r="AL219" s="36">
        <f t="shared" si="46"/>
        <v>0</v>
      </c>
      <c r="AM219" s="35"/>
      <c r="AN219" s="30"/>
      <c r="AO219" s="36">
        <f t="shared" si="47"/>
        <v>0</v>
      </c>
      <c r="AP219" s="35"/>
      <c r="AQ219" s="30"/>
      <c r="AR219" s="36">
        <f t="shared" si="48"/>
        <v>0</v>
      </c>
      <c r="AS219" s="27"/>
      <c r="AT219" s="37"/>
      <c r="AU219" s="30"/>
      <c r="AV219" s="36">
        <f t="shared" si="49"/>
        <v>0</v>
      </c>
      <c r="AW219" s="35"/>
      <c r="AX219" s="30"/>
      <c r="AY219" s="32">
        <f t="shared" si="50"/>
        <v>0</v>
      </c>
      <c r="AZ219" s="30" t="s">
        <v>440</v>
      </c>
      <c r="BA219" s="63"/>
      <c r="BB219" s="71" t="e">
        <f>SUMIFS([1]VD001!$G$9:$G$78,[1]VD001!$E$9:$E$78,BC219)</f>
        <v>#VALUE!</v>
      </c>
      <c r="BC219" s="71" t="s">
        <v>341</v>
      </c>
      <c r="BD219" s="71"/>
    </row>
    <row r="220" spans="1:56" hidden="1" x14ac:dyDescent="0.25">
      <c r="A220" s="24">
        <f>IF(B220="","",SUBTOTAL(3,$B$4:B220))</f>
        <v>146</v>
      </c>
      <c r="B220" s="25" t="s">
        <v>439</v>
      </c>
      <c r="C220" s="25" t="str">
        <f t="shared" si="42"/>
        <v>Shipment 2 CO-SCR Duct</v>
      </c>
      <c r="D220" s="25" t="s">
        <v>441</v>
      </c>
      <c r="E220" s="25" t="s">
        <v>442</v>
      </c>
      <c r="F220" s="25"/>
      <c r="G220" s="65">
        <v>46204</v>
      </c>
      <c r="H220" s="25" t="s">
        <v>443</v>
      </c>
      <c r="I220" s="25" t="s">
        <v>444</v>
      </c>
      <c r="J220" s="26" t="s">
        <v>447</v>
      </c>
      <c r="K220" s="27" t="s">
        <v>342</v>
      </c>
      <c r="L220" s="28" t="s">
        <v>343</v>
      </c>
      <c r="M220" s="28" t="s">
        <v>325</v>
      </c>
      <c r="N220" s="25">
        <v>1</v>
      </c>
      <c r="O220" s="29">
        <v>3.4</v>
      </c>
      <c r="P220" s="29">
        <v>3.4</v>
      </c>
      <c r="Q220" s="25" t="s">
        <v>436</v>
      </c>
      <c r="R220" s="25"/>
      <c r="S220" s="26" t="s">
        <v>355</v>
      </c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43"/>
        <v>0</v>
      </c>
      <c r="AF220" s="32">
        <f t="shared" si="44"/>
        <v>3.4</v>
      </c>
      <c r="AG220" s="30"/>
      <c r="AH220" s="33"/>
      <c r="AI220" s="34">
        <f t="shared" si="45"/>
        <v>0</v>
      </c>
      <c r="AJ220" s="35"/>
      <c r="AK220" s="30"/>
      <c r="AL220" s="36">
        <f t="shared" si="46"/>
        <v>0</v>
      </c>
      <c r="AM220" s="35"/>
      <c r="AN220" s="30"/>
      <c r="AO220" s="36">
        <f t="shared" si="47"/>
        <v>0</v>
      </c>
      <c r="AP220" s="35"/>
      <c r="AQ220" s="30"/>
      <c r="AR220" s="36">
        <f t="shared" si="48"/>
        <v>0</v>
      </c>
      <c r="AS220" s="27"/>
      <c r="AT220" s="37"/>
      <c r="AU220" s="30"/>
      <c r="AV220" s="36">
        <f t="shared" si="49"/>
        <v>0</v>
      </c>
      <c r="AW220" s="35"/>
      <c r="AX220" s="30"/>
      <c r="AY220" s="32">
        <f t="shared" si="50"/>
        <v>0</v>
      </c>
      <c r="AZ220" s="30" t="s">
        <v>440</v>
      </c>
      <c r="BA220" s="63"/>
      <c r="BB220" s="71" t="e">
        <f>SUMIFS([1]VD001!$G$9:$G$78,[1]VD001!$E$9:$E$78,BC220)</f>
        <v>#VALUE!</v>
      </c>
      <c r="BC220" s="71" t="s">
        <v>343</v>
      </c>
      <c r="BD220" s="71"/>
    </row>
    <row r="221" spans="1:56" hidden="1" x14ac:dyDescent="0.25">
      <c r="A221" s="24">
        <f>IF(B221="","",SUBTOTAL(3,$B$4:B221))</f>
        <v>146</v>
      </c>
      <c r="B221" s="25" t="s">
        <v>439</v>
      </c>
      <c r="C221" s="25" t="str">
        <f t="shared" si="42"/>
        <v>Shipment 2 CO-SCR Duct</v>
      </c>
      <c r="D221" s="25" t="s">
        <v>441</v>
      </c>
      <c r="E221" s="25" t="s">
        <v>442</v>
      </c>
      <c r="F221" s="25"/>
      <c r="G221" s="65">
        <v>46204</v>
      </c>
      <c r="H221" s="25" t="s">
        <v>443</v>
      </c>
      <c r="I221" s="25" t="s">
        <v>444</v>
      </c>
      <c r="J221" s="26" t="s">
        <v>447</v>
      </c>
      <c r="K221" s="27" t="s">
        <v>344</v>
      </c>
      <c r="L221" s="28" t="s">
        <v>345</v>
      </c>
      <c r="M221" s="28" t="s">
        <v>325</v>
      </c>
      <c r="N221" s="25">
        <v>16</v>
      </c>
      <c r="O221" s="29">
        <v>173.1875</v>
      </c>
      <c r="P221" s="29">
        <v>2771</v>
      </c>
      <c r="Q221" s="25" t="s">
        <v>437</v>
      </c>
      <c r="R221" s="25"/>
      <c r="S221" s="26" t="s">
        <v>355</v>
      </c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43"/>
        <v>0</v>
      </c>
      <c r="AF221" s="32">
        <f t="shared" si="44"/>
        <v>2771</v>
      </c>
      <c r="AG221" s="30"/>
      <c r="AH221" s="33"/>
      <c r="AI221" s="34">
        <f t="shared" si="45"/>
        <v>0</v>
      </c>
      <c r="AJ221" s="35"/>
      <c r="AK221" s="30"/>
      <c r="AL221" s="36">
        <f t="shared" si="46"/>
        <v>0</v>
      </c>
      <c r="AM221" s="35"/>
      <c r="AN221" s="30"/>
      <c r="AO221" s="36">
        <f t="shared" si="47"/>
        <v>0</v>
      </c>
      <c r="AP221" s="35"/>
      <c r="AQ221" s="30"/>
      <c r="AR221" s="36">
        <f t="shared" si="48"/>
        <v>0</v>
      </c>
      <c r="AS221" s="27"/>
      <c r="AT221" s="37"/>
      <c r="AU221" s="30"/>
      <c r="AV221" s="36">
        <f t="shared" si="49"/>
        <v>0</v>
      </c>
      <c r="AW221" s="35"/>
      <c r="AX221" s="30"/>
      <c r="AY221" s="32">
        <f t="shared" si="50"/>
        <v>0</v>
      </c>
      <c r="AZ221" s="30" t="s">
        <v>440</v>
      </c>
      <c r="BA221" s="63"/>
      <c r="BB221" s="71" t="e">
        <f>SUMIFS([1]VD001!$G$9:$G$78,[1]VD001!$E$9:$E$78,BC221)</f>
        <v>#VALUE!</v>
      </c>
      <c r="BC221" s="71" t="s">
        <v>345</v>
      </c>
      <c r="BD221" s="71"/>
    </row>
    <row r="222" spans="1:56" x14ac:dyDescent="0.25">
      <c r="A222" s="24">
        <f>IF(B222="","",SUBTOTAL(3,$B$4:B222))</f>
        <v>147</v>
      </c>
      <c r="B222" s="25" t="s">
        <v>439</v>
      </c>
      <c r="C222" s="25" t="str">
        <f t="shared" si="42"/>
        <v>Shipment 2 CO-SCR Duct</v>
      </c>
      <c r="D222" s="25" t="s">
        <v>441</v>
      </c>
      <c r="E222" s="25" t="s">
        <v>442</v>
      </c>
      <c r="F222" s="25"/>
      <c r="G222" s="65">
        <v>46204</v>
      </c>
      <c r="H222" s="25" t="s">
        <v>443</v>
      </c>
      <c r="I222" s="25" t="s">
        <v>444</v>
      </c>
      <c r="J222" s="26" t="s">
        <v>447</v>
      </c>
      <c r="K222" s="27" t="s">
        <v>346</v>
      </c>
      <c r="L222" s="28" t="s">
        <v>347</v>
      </c>
      <c r="M222" s="28" t="s">
        <v>295</v>
      </c>
      <c r="N222" s="25">
        <v>1</v>
      </c>
      <c r="O222" s="29">
        <v>2.2000000000000002</v>
      </c>
      <c r="P222" s="29">
        <v>2.2000000000000002</v>
      </c>
      <c r="Q222" s="25" t="s">
        <v>438</v>
      </c>
      <c r="R222" s="25"/>
      <c r="S222" s="26" t="s">
        <v>355</v>
      </c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43"/>
        <v>2.2000000000000002</v>
      </c>
      <c r="AF222" s="32">
        <f t="shared" si="44"/>
        <v>0</v>
      </c>
      <c r="AG222" s="30"/>
      <c r="AH222" s="33"/>
      <c r="AI222" s="34">
        <f t="shared" si="45"/>
        <v>0</v>
      </c>
      <c r="AJ222" s="35">
        <v>46312</v>
      </c>
      <c r="AK222" s="30">
        <v>1</v>
      </c>
      <c r="AL222" s="36">
        <f t="shared" si="46"/>
        <v>2.2000000000000002</v>
      </c>
      <c r="AM222" s="35">
        <v>46312</v>
      </c>
      <c r="AN222" s="30">
        <v>1</v>
      </c>
      <c r="AO222" s="36">
        <f t="shared" si="47"/>
        <v>2.2000000000000002</v>
      </c>
      <c r="AP222" s="35"/>
      <c r="AQ222" s="30"/>
      <c r="AR222" s="36">
        <f t="shared" si="48"/>
        <v>0</v>
      </c>
      <c r="AS222" s="27" t="s">
        <v>967</v>
      </c>
      <c r="AT222" s="37">
        <v>46312</v>
      </c>
      <c r="AU222" s="30">
        <v>1</v>
      </c>
      <c r="AV222" s="36">
        <f t="shared" si="49"/>
        <v>2.2000000000000002</v>
      </c>
      <c r="AW222" s="35"/>
      <c r="AX222" s="30"/>
      <c r="AY222" s="32">
        <f t="shared" si="50"/>
        <v>0</v>
      </c>
      <c r="AZ222" s="30" t="s">
        <v>440</v>
      </c>
      <c r="BA222" s="63"/>
      <c r="BB222" s="71"/>
      <c r="BC222" s="71" t="s">
        <v>347</v>
      </c>
      <c r="BD222" s="71"/>
    </row>
    <row r="223" spans="1:56" x14ac:dyDescent="0.25">
      <c r="A223" s="24">
        <f>IF(B223="","",SUBTOTAL(3,$B$4:B223))</f>
        <v>148</v>
      </c>
      <c r="B223" s="25" t="s">
        <v>439</v>
      </c>
      <c r="C223" s="25" t="str">
        <f t="shared" si="42"/>
        <v>Shipment 2 CO-SCR Duct</v>
      </c>
      <c r="D223" s="25" t="s">
        <v>441</v>
      </c>
      <c r="E223" s="25" t="s">
        <v>442</v>
      </c>
      <c r="F223" s="25"/>
      <c r="G223" s="65">
        <v>46204</v>
      </c>
      <c r="H223" s="25" t="s">
        <v>443</v>
      </c>
      <c r="I223" s="25" t="s">
        <v>444</v>
      </c>
      <c r="J223" s="26" t="s">
        <v>447</v>
      </c>
      <c r="K223" s="27" t="s">
        <v>348</v>
      </c>
      <c r="L223" s="28" t="s">
        <v>349</v>
      </c>
      <c r="M223" s="28" t="s">
        <v>302</v>
      </c>
      <c r="N223" s="25">
        <v>1</v>
      </c>
      <c r="O223" s="29">
        <v>2.2000000000000002</v>
      </c>
      <c r="P223" s="29">
        <v>2.2000000000000002</v>
      </c>
      <c r="Q223" s="25" t="s">
        <v>438</v>
      </c>
      <c r="R223" s="25"/>
      <c r="S223" s="26" t="s">
        <v>355</v>
      </c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43"/>
        <v>2.2000000000000002</v>
      </c>
      <c r="AF223" s="32">
        <f t="shared" si="44"/>
        <v>0</v>
      </c>
      <c r="AG223" s="30"/>
      <c r="AH223" s="33"/>
      <c r="AI223" s="34">
        <f t="shared" si="45"/>
        <v>0</v>
      </c>
      <c r="AJ223" s="35">
        <v>46312</v>
      </c>
      <c r="AK223" s="30">
        <v>1</v>
      </c>
      <c r="AL223" s="36">
        <f t="shared" si="46"/>
        <v>2.2000000000000002</v>
      </c>
      <c r="AM223" s="35">
        <v>46312</v>
      </c>
      <c r="AN223" s="30">
        <v>1</v>
      </c>
      <c r="AO223" s="36">
        <f t="shared" si="47"/>
        <v>2.2000000000000002</v>
      </c>
      <c r="AP223" s="35"/>
      <c r="AQ223" s="30"/>
      <c r="AR223" s="36">
        <f t="shared" si="48"/>
        <v>0</v>
      </c>
      <c r="AS223" s="27" t="s">
        <v>967</v>
      </c>
      <c r="AT223" s="37">
        <v>46312</v>
      </c>
      <c r="AU223" s="30">
        <v>1</v>
      </c>
      <c r="AV223" s="36">
        <f t="shared" si="49"/>
        <v>2.2000000000000002</v>
      </c>
      <c r="AW223" s="35"/>
      <c r="AX223" s="30"/>
      <c r="AY223" s="32">
        <f t="shared" si="50"/>
        <v>0</v>
      </c>
      <c r="AZ223" s="30" t="s">
        <v>440</v>
      </c>
      <c r="BA223" s="63"/>
      <c r="BB223" s="71"/>
      <c r="BC223" s="71" t="s">
        <v>349</v>
      </c>
      <c r="BD223" s="71"/>
    </row>
    <row r="224" spans="1:56" hidden="1" x14ac:dyDescent="0.25">
      <c r="A224" s="24">
        <f>IF(B224="","",SUBTOTAL(3,$B$4:B224))</f>
        <v>148</v>
      </c>
      <c r="B224" s="25" t="s">
        <v>439</v>
      </c>
      <c r="C224" s="25" t="str">
        <f t="shared" ref="C224" si="54">D224&amp;" "&amp;E224</f>
        <v>Shipment 2 Outlet Stack</v>
      </c>
      <c r="D224" s="25" t="s">
        <v>441</v>
      </c>
      <c r="E224" s="25" t="s">
        <v>775</v>
      </c>
      <c r="F224" s="25"/>
      <c r="G224" s="65">
        <v>46204</v>
      </c>
      <c r="H224" s="25" t="s">
        <v>443</v>
      </c>
      <c r="I224" s="25" t="s">
        <v>444</v>
      </c>
      <c r="J224" s="26" t="s">
        <v>447</v>
      </c>
      <c r="K224" s="27" t="s">
        <v>448</v>
      </c>
      <c r="L224" s="28" t="s">
        <v>449</v>
      </c>
      <c r="M224" s="28" t="s">
        <v>450</v>
      </c>
      <c r="N224" s="25">
        <v>1</v>
      </c>
      <c r="O224" s="29">
        <v>1141.0999999999999</v>
      </c>
      <c r="P224" s="29">
        <v>1141.0999999999999</v>
      </c>
      <c r="Q224" s="25" t="s">
        <v>708</v>
      </c>
      <c r="R224" s="25"/>
      <c r="S224" s="26"/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ref="AE224:AE229" si="55">+AL224*0.5+AO224*0.4+AV224*0.1</f>
        <v>1026.99</v>
      </c>
      <c r="AF224" s="32">
        <f t="shared" ref="AF224:AF229" si="56">+P224-AE224</f>
        <v>114.1099999999999</v>
      </c>
      <c r="AG224" s="30"/>
      <c r="AH224" s="33"/>
      <c r="AI224" s="34">
        <f t="shared" ref="AI224:AI229" si="57">+AH224*P224</f>
        <v>0</v>
      </c>
      <c r="AJ224" s="35">
        <v>46308</v>
      </c>
      <c r="AK224" s="30">
        <v>1</v>
      </c>
      <c r="AL224" s="36">
        <f t="shared" ref="AL224:AL229" si="58">IFERROR(AK224*$P224/$N224,0)</f>
        <v>1141.0999999999999</v>
      </c>
      <c r="AM224" s="35">
        <v>46310</v>
      </c>
      <c r="AN224" s="30">
        <v>1</v>
      </c>
      <c r="AO224" s="36">
        <f t="shared" ref="AO224:AO229" si="59">IFERROR(AN224*$P224/$N224,0)</f>
        <v>1141.0999999999999</v>
      </c>
      <c r="AP224" s="35"/>
      <c r="AQ224" s="30"/>
      <c r="AR224" s="36">
        <f t="shared" ref="AR224:AR229" si="60">IFERROR(AQ224*$P224/$N224,0)</f>
        <v>0</v>
      </c>
      <c r="AS224" s="27"/>
      <c r="AT224" s="37"/>
      <c r="AU224" s="30"/>
      <c r="AV224" s="36">
        <f t="shared" ref="AV224:AV229" si="61">IFERROR(AU224*$P224/$N224,0)</f>
        <v>0</v>
      </c>
      <c r="AW224" s="35"/>
      <c r="AX224" s="30"/>
      <c r="AY224" s="32">
        <f t="shared" ref="AY224:AY229" si="62">IFERROR(AX224*$P224/$N224,0)</f>
        <v>0</v>
      </c>
      <c r="AZ224" s="30" t="s">
        <v>440</v>
      </c>
      <c r="BA224" s="63"/>
      <c r="BB224" s="71"/>
      <c r="BC224" s="71"/>
      <c r="BD224" s="71"/>
    </row>
    <row r="225" spans="1:56" hidden="1" x14ac:dyDescent="0.25">
      <c r="A225" s="24">
        <f>IF(B225="","",SUBTOTAL(3,$B$4:B225))</f>
        <v>148</v>
      </c>
      <c r="B225" s="25" t="s">
        <v>439</v>
      </c>
      <c r="C225" s="25" t="str">
        <f t="shared" ref="C225:C288" si="63">D225&amp;" "&amp;E225</f>
        <v>Shipment 2 Outlet Stack</v>
      </c>
      <c r="D225" s="25" t="s">
        <v>441</v>
      </c>
      <c r="E225" s="25" t="s">
        <v>775</v>
      </c>
      <c r="F225" s="25"/>
      <c r="G225" s="65">
        <v>46204</v>
      </c>
      <c r="H225" s="25" t="s">
        <v>443</v>
      </c>
      <c r="I225" s="25" t="s">
        <v>444</v>
      </c>
      <c r="J225" s="26" t="s">
        <v>447</v>
      </c>
      <c r="K225" s="27" t="s">
        <v>451</v>
      </c>
      <c r="L225" s="28" t="s">
        <v>452</v>
      </c>
      <c r="M225" s="28" t="s">
        <v>450</v>
      </c>
      <c r="N225" s="25">
        <v>4</v>
      </c>
      <c r="O225" s="29">
        <v>1110.9000000000001</v>
      </c>
      <c r="P225" s="29">
        <v>4443.8</v>
      </c>
      <c r="Q225" s="25" t="s">
        <v>709</v>
      </c>
      <c r="R225" s="25"/>
      <c r="S225" s="26"/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55"/>
        <v>2221.9</v>
      </c>
      <c r="AF225" s="32">
        <f t="shared" si="56"/>
        <v>2221.9</v>
      </c>
      <c r="AG225" s="30"/>
      <c r="AH225" s="33"/>
      <c r="AI225" s="34">
        <f t="shared" si="57"/>
        <v>0</v>
      </c>
      <c r="AJ225" s="35">
        <v>46308</v>
      </c>
      <c r="AK225" s="30">
        <v>4</v>
      </c>
      <c r="AL225" s="36">
        <f t="shared" si="58"/>
        <v>4443.8</v>
      </c>
      <c r="AM225" s="35"/>
      <c r="AN225" s="30"/>
      <c r="AO225" s="36">
        <f t="shared" si="59"/>
        <v>0</v>
      </c>
      <c r="AP225" s="35"/>
      <c r="AQ225" s="30"/>
      <c r="AR225" s="36">
        <f t="shared" si="60"/>
        <v>0</v>
      </c>
      <c r="AS225" s="27"/>
      <c r="AT225" s="37"/>
      <c r="AU225" s="30"/>
      <c r="AV225" s="36">
        <f t="shared" si="61"/>
        <v>0</v>
      </c>
      <c r="AW225" s="35"/>
      <c r="AX225" s="30"/>
      <c r="AY225" s="32">
        <f t="shared" si="62"/>
        <v>0</v>
      </c>
      <c r="AZ225" s="30" t="s">
        <v>440</v>
      </c>
      <c r="BA225" s="63"/>
      <c r="BB225" s="71"/>
      <c r="BC225" s="71"/>
      <c r="BD225" s="71"/>
    </row>
    <row r="226" spans="1:56" hidden="1" x14ac:dyDescent="0.25">
      <c r="A226" s="24">
        <f>IF(B226="","",SUBTOTAL(3,$B$4:B226))</f>
        <v>148</v>
      </c>
      <c r="B226" s="25" t="s">
        <v>439</v>
      </c>
      <c r="C226" s="25" t="str">
        <f t="shared" si="63"/>
        <v>Shipment 2 Outlet Stack</v>
      </c>
      <c r="D226" s="25" t="s">
        <v>441</v>
      </c>
      <c r="E226" s="25" t="s">
        <v>775</v>
      </c>
      <c r="F226" s="25"/>
      <c r="G226" s="65">
        <v>46204</v>
      </c>
      <c r="H226" s="25" t="s">
        <v>443</v>
      </c>
      <c r="I226" s="25" t="s">
        <v>444</v>
      </c>
      <c r="J226" s="26" t="s">
        <v>447</v>
      </c>
      <c r="K226" s="27" t="s">
        <v>453</v>
      </c>
      <c r="L226" s="28" t="s">
        <v>454</v>
      </c>
      <c r="M226" s="28" t="s">
        <v>450</v>
      </c>
      <c r="N226" s="25">
        <v>1</v>
      </c>
      <c r="O226" s="29">
        <v>1141.0999999999999</v>
      </c>
      <c r="P226" s="29">
        <v>1141.0999999999999</v>
      </c>
      <c r="Q226" s="25" t="s">
        <v>708</v>
      </c>
      <c r="R226" s="25"/>
      <c r="S226" s="26"/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55"/>
        <v>570.54999999999995</v>
      </c>
      <c r="AF226" s="32">
        <f t="shared" si="56"/>
        <v>570.54999999999995</v>
      </c>
      <c r="AG226" s="30"/>
      <c r="AH226" s="33"/>
      <c r="AI226" s="34">
        <f t="shared" si="57"/>
        <v>0</v>
      </c>
      <c r="AJ226" s="35">
        <v>46308</v>
      </c>
      <c r="AK226" s="30">
        <v>1</v>
      </c>
      <c r="AL226" s="36">
        <f t="shared" si="58"/>
        <v>1141.0999999999999</v>
      </c>
      <c r="AM226" s="35"/>
      <c r="AN226" s="30"/>
      <c r="AO226" s="36">
        <f t="shared" si="59"/>
        <v>0</v>
      </c>
      <c r="AP226" s="35"/>
      <c r="AQ226" s="30"/>
      <c r="AR226" s="36">
        <f t="shared" si="60"/>
        <v>0</v>
      </c>
      <c r="AS226" s="27"/>
      <c r="AT226" s="37"/>
      <c r="AU226" s="30"/>
      <c r="AV226" s="36">
        <f t="shared" si="61"/>
        <v>0</v>
      </c>
      <c r="AW226" s="35"/>
      <c r="AX226" s="30"/>
      <c r="AY226" s="32">
        <f t="shared" si="62"/>
        <v>0</v>
      </c>
      <c r="AZ226" s="30" t="s">
        <v>440</v>
      </c>
      <c r="BA226" s="63"/>
      <c r="BB226" s="71"/>
      <c r="BC226" s="71"/>
      <c r="BD226" s="71"/>
    </row>
    <row r="227" spans="1:56" hidden="1" x14ac:dyDescent="0.25">
      <c r="A227" s="24">
        <f>IF(B227="","",SUBTOTAL(3,$B$4:B227))</f>
        <v>148</v>
      </c>
      <c r="B227" s="25" t="s">
        <v>439</v>
      </c>
      <c r="C227" s="25" t="str">
        <f t="shared" si="63"/>
        <v>Shipment 2 Outlet Stack</v>
      </c>
      <c r="D227" s="25" t="s">
        <v>441</v>
      </c>
      <c r="E227" s="25" t="s">
        <v>775</v>
      </c>
      <c r="F227" s="25"/>
      <c r="G227" s="65">
        <v>46204</v>
      </c>
      <c r="H227" s="25" t="s">
        <v>443</v>
      </c>
      <c r="I227" s="25" t="s">
        <v>444</v>
      </c>
      <c r="J227" s="26" t="s">
        <v>447</v>
      </c>
      <c r="K227" s="27" t="s">
        <v>455</v>
      </c>
      <c r="L227" s="28" t="s">
        <v>456</v>
      </c>
      <c r="M227" s="28" t="s">
        <v>457</v>
      </c>
      <c r="N227" s="25">
        <v>1</v>
      </c>
      <c r="O227" s="29">
        <v>45</v>
      </c>
      <c r="P227" s="29">
        <v>45</v>
      </c>
      <c r="Q227" s="25" t="s">
        <v>710</v>
      </c>
      <c r="R227" s="25"/>
      <c r="S227" s="26"/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si="55"/>
        <v>0</v>
      </c>
      <c r="AF227" s="32">
        <f t="shared" si="56"/>
        <v>45</v>
      </c>
      <c r="AG227" s="30"/>
      <c r="AH227" s="33"/>
      <c r="AI227" s="34">
        <f t="shared" si="57"/>
        <v>0</v>
      </c>
      <c r="AJ227" s="35"/>
      <c r="AK227" s="30"/>
      <c r="AL227" s="36">
        <f t="shared" si="58"/>
        <v>0</v>
      </c>
      <c r="AM227" s="35"/>
      <c r="AN227" s="30"/>
      <c r="AO227" s="36">
        <f t="shared" si="59"/>
        <v>0</v>
      </c>
      <c r="AP227" s="35"/>
      <c r="AQ227" s="30"/>
      <c r="AR227" s="36">
        <f t="shared" si="60"/>
        <v>0</v>
      </c>
      <c r="AS227" s="27"/>
      <c r="AT227" s="37"/>
      <c r="AU227" s="30"/>
      <c r="AV227" s="36">
        <f t="shared" si="61"/>
        <v>0</v>
      </c>
      <c r="AW227" s="35"/>
      <c r="AX227" s="30"/>
      <c r="AY227" s="32">
        <f t="shared" si="62"/>
        <v>0</v>
      </c>
      <c r="AZ227" s="30" t="s">
        <v>440</v>
      </c>
      <c r="BA227" s="63"/>
      <c r="BB227" s="71"/>
      <c r="BC227" s="71"/>
      <c r="BD227" s="71"/>
    </row>
    <row r="228" spans="1:56" hidden="1" x14ac:dyDescent="0.25">
      <c r="A228" s="24">
        <f>IF(B228="","",SUBTOTAL(3,$B$4:B228))</f>
        <v>148</v>
      </c>
      <c r="B228" s="25" t="s">
        <v>439</v>
      </c>
      <c r="C228" s="25" t="str">
        <f t="shared" si="63"/>
        <v>Shipment 2 Outlet Stack</v>
      </c>
      <c r="D228" s="25" t="s">
        <v>441</v>
      </c>
      <c r="E228" s="25" t="s">
        <v>775</v>
      </c>
      <c r="F228" s="25"/>
      <c r="G228" s="65">
        <v>46204</v>
      </c>
      <c r="H228" s="25" t="s">
        <v>443</v>
      </c>
      <c r="I228" s="25" t="s">
        <v>444</v>
      </c>
      <c r="J228" s="26" t="s">
        <v>447</v>
      </c>
      <c r="K228" s="27" t="s">
        <v>458</v>
      </c>
      <c r="L228" s="28" t="s">
        <v>459</v>
      </c>
      <c r="M228" s="28" t="s">
        <v>457</v>
      </c>
      <c r="N228" s="25">
        <v>1</v>
      </c>
      <c r="O228" s="29">
        <v>41.5</v>
      </c>
      <c r="P228" s="29">
        <v>41.5</v>
      </c>
      <c r="Q228" s="25" t="s">
        <v>711</v>
      </c>
      <c r="R228" s="25"/>
      <c r="S228" s="26"/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55"/>
        <v>0</v>
      </c>
      <c r="AF228" s="32">
        <f t="shared" si="56"/>
        <v>41.5</v>
      </c>
      <c r="AG228" s="30"/>
      <c r="AH228" s="33"/>
      <c r="AI228" s="34">
        <f t="shared" si="57"/>
        <v>0</v>
      </c>
      <c r="AJ228" s="35"/>
      <c r="AK228" s="30"/>
      <c r="AL228" s="36">
        <f t="shared" si="58"/>
        <v>0</v>
      </c>
      <c r="AM228" s="35"/>
      <c r="AN228" s="30"/>
      <c r="AO228" s="36">
        <f t="shared" si="59"/>
        <v>0</v>
      </c>
      <c r="AP228" s="35"/>
      <c r="AQ228" s="30"/>
      <c r="AR228" s="36">
        <f t="shared" si="60"/>
        <v>0</v>
      </c>
      <c r="AS228" s="27"/>
      <c r="AT228" s="37"/>
      <c r="AU228" s="30"/>
      <c r="AV228" s="36">
        <f t="shared" si="61"/>
        <v>0</v>
      </c>
      <c r="AW228" s="35"/>
      <c r="AX228" s="30"/>
      <c r="AY228" s="32">
        <f t="shared" si="62"/>
        <v>0</v>
      </c>
      <c r="AZ228" s="30" t="s">
        <v>440</v>
      </c>
      <c r="BA228" s="63"/>
      <c r="BB228" s="71"/>
      <c r="BC228" s="71"/>
      <c r="BD228" s="71"/>
    </row>
    <row r="229" spans="1:56" hidden="1" x14ac:dyDescent="0.25">
      <c r="A229" s="24">
        <f>IF(B229="","",SUBTOTAL(3,$B$4:B229))</f>
        <v>148</v>
      </c>
      <c r="B229" s="25" t="s">
        <v>439</v>
      </c>
      <c r="C229" s="25" t="str">
        <f t="shared" si="63"/>
        <v>Shipment 2 Outlet Stack</v>
      </c>
      <c r="D229" s="25" t="s">
        <v>441</v>
      </c>
      <c r="E229" s="25" t="s">
        <v>775</v>
      </c>
      <c r="F229" s="25"/>
      <c r="G229" s="65">
        <v>46204</v>
      </c>
      <c r="H229" s="25" t="s">
        <v>443</v>
      </c>
      <c r="I229" s="25" t="s">
        <v>444</v>
      </c>
      <c r="J229" s="26" t="s">
        <v>447</v>
      </c>
      <c r="K229" s="27" t="s">
        <v>460</v>
      </c>
      <c r="L229" s="28" t="s">
        <v>461</v>
      </c>
      <c r="M229" s="28" t="s">
        <v>462</v>
      </c>
      <c r="N229" s="25">
        <v>1</v>
      </c>
      <c r="O229" s="29">
        <v>2429.1999999999998</v>
      </c>
      <c r="P229" s="29">
        <v>2429.1999999999998</v>
      </c>
      <c r="Q229" s="25" t="s">
        <v>712</v>
      </c>
      <c r="R229" s="25"/>
      <c r="S229" s="26"/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55"/>
        <v>0</v>
      </c>
      <c r="AF229" s="32">
        <f t="shared" si="56"/>
        <v>2429.1999999999998</v>
      </c>
      <c r="AG229" s="30"/>
      <c r="AH229" s="33"/>
      <c r="AI229" s="34">
        <f t="shared" si="57"/>
        <v>0</v>
      </c>
      <c r="AJ229" s="35"/>
      <c r="AK229" s="30"/>
      <c r="AL229" s="36">
        <f t="shared" si="58"/>
        <v>0</v>
      </c>
      <c r="AM229" s="35"/>
      <c r="AN229" s="30"/>
      <c r="AO229" s="36">
        <f t="shared" si="59"/>
        <v>0</v>
      </c>
      <c r="AP229" s="35"/>
      <c r="AQ229" s="30"/>
      <c r="AR229" s="36">
        <f t="shared" si="60"/>
        <v>0</v>
      </c>
      <c r="AS229" s="27"/>
      <c r="AT229" s="37"/>
      <c r="AU229" s="30"/>
      <c r="AV229" s="36">
        <f t="shared" si="61"/>
        <v>0</v>
      </c>
      <c r="AW229" s="35"/>
      <c r="AX229" s="30"/>
      <c r="AY229" s="32">
        <f t="shared" si="62"/>
        <v>0</v>
      </c>
      <c r="AZ229" s="30" t="s">
        <v>440</v>
      </c>
      <c r="BA229" s="63"/>
      <c r="BB229" s="71"/>
      <c r="BC229" s="71"/>
      <c r="BD229" s="71"/>
    </row>
    <row r="230" spans="1:56" hidden="1" x14ac:dyDescent="0.25">
      <c r="A230" s="24">
        <f>IF(B230="","",SUBTOTAL(3,$B$4:B230))</f>
        <v>148</v>
      </c>
      <c r="B230" s="25" t="s">
        <v>439</v>
      </c>
      <c r="C230" s="25" t="str">
        <f t="shared" si="63"/>
        <v>Shipment 2 Outlet Stack</v>
      </c>
      <c r="D230" s="25" t="s">
        <v>441</v>
      </c>
      <c r="E230" s="25" t="s">
        <v>775</v>
      </c>
      <c r="F230" s="25"/>
      <c r="G230" s="65">
        <v>46204</v>
      </c>
      <c r="H230" s="25" t="s">
        <v>443</v>
      </c>
      <c r="I230" s="25" t="s">
        <v>444</v>
      </c>
      <c r="J230" s="26" t="s">
        <v>447</v>
      </c>
      <c r="K230" s="27" t="s">
        <v>463</v>
      </c>
      <c r="L230" s="28" t="s">
        <v>464</v>
      </c>
      <c r="M230" s="28" t="s">
        <v>465</v>
      </c>
      <c r="N230" s="25">
        <v>5</v>
      </c>
      <c r="O230" s="29">
        <v>7.4</v>
      </c>
      <c r="P230" s="29">
        <v>37</v>
      </c>
      <c r="Q230" s="25" t="s">
        <v>713</v>
      </c>
      <c r="R230" s="25"/>
      <c r="S230" s="26"/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ref="AE230:AE293" si="64">+AL230*0.5+AO230*0.4+AV230*0.1</f>
        <v>0</v>
      </c>
      <c r="AF230" s="32">
        <f t="shared" ref="AF230:AF293" si="65">+P230-AE230</f>
        <v>37</v>
      </c>
      <c r="AG230" s="30"/>
      <c r="AH230" s="33"/>
      <c r="AI230" s="34">
        <f t="shared" ref="AI230:AI293" si="66">+AH230*P230</f>
        <v>0</v>
      </c>
      <c r="AJ230" s="35"/>
      <c r="AK230" s="30"/>
      <c r="AL230" s="36">
        <f t="shared" ref="AL230:AL293" si="67">IFERROR(AK230*$P230/$N230,0)</f>
        <v>0</v>
      </c>
      <c r="AM230" s="35"/>
      <c r="AN230" s="30"/>
      <c r="AO230" s="36">
        <f t="shared" ref="AO230:AO293" si="68">IFERROR(AN230*$P230/$N230,0)</f>
        <v>0</v>
      </c>
      <c r="AP230" s="35"/>
      <c r="AQ230" s="30"/>
      <c r="AR230" s="36">
        <f t="shared" ref="AR230:AR293" si="69">IFERROR(AQ230*$P230/$N230,0)</f>
        <v>0</v>
      </c>
      <c r="AS230" s="27"/>
      <c r="AT230" s="37"/>
      <c r="AU230" s="30"/>
      <c r="AV230" s="36">
        <f t="shared" ref="AV230:AV293" si="70">IFERROR(AU230*$P230/$N230,0)</f>
        <v>0</v>
      </c>
      <c r="AW230" s="35"/>
      <c r="AX230" s="30"/>
      <c r="AY230" s="32">
        <f t="shared" ref="AY230:AY293" si="71">IFERROR(AX230*$P230/$N230,0)</f>
        <v>0</v>
      </c>
      <c r="AZ230" s="30" t="s">
        <v>440</v>
      </c>
      <c r="BA230" s="63"/>
      <c r="BB230" s="71"/>
      <c r="BC230" s="71"/>
      <c r="BD230" s="71"/>
    </row>
    <row r="231" spans="1:56" hidden="1" x14ac:dyDescent="0.25">
      <c r="A231" s="24">
        <f>IF(B231="","",SUBTOTAL(3,$B$4:B231))</f>
        <v>148</v>
      </c>
      <c r="B231" s="25" t="s">
        <v>439</v>
      </c>
      <c r="C231" s="25" t="str">
        <f t="shared" si="63"/>
        <v>Shipment 2 Outlet Stack</v>
      </c>
      <c r="D231" s="25" t="s">
        <v>441</v>
      </c>
      <c r="E231" s="25" t="s">
        <v>775</v>
      </c>
      <c r="F231" s="25"/>
      <c r="G231" s="65">
        <v>46204</v>
      </c>
      <c r="H231" s="25" t="s">
        <v>443</v>
      </c>
      <c r="I231" s="25" t="s">
        <v>444</v>
      </c>
      <c r="J231" s="26" t="s">
        <v>447</v>
      </c>
      <c r="K231" s="27" t="s">
        <v>466</v>
      </c>
      <c r="L231" s="28" t="s">
        <v>467</v>
      </c>
      <c r="M231" s="28" t="s">
        <v>465</v>
      </c>
      <c r="N231" s="25">
        <v>2</v>
      </c>
      <c r="O231" s="29">
        <v>7.2</v>
      </c>
      <c r="P231" s="29">
        <v>14.3</v>
      </c>
      <c r="Q231" s="25" t="s">
        <v>713</v>
      </c>
      <c r="R231" s="25"/>
      <c r="S231" s="26"/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64"/>
        <v>0</v>
      </c>
      <c r="AF231" s="32">
        <f t="shared" si="65"/>
        <v>14.3</v>
      </c>
      <c r="AG231" s="30"/>
      <c r="AH231" s="33"/>
      <c r="AI231" s="34">
        <f t="shared" si="66"/>
        <v>0</v>
      </c>
      <c r="AJ231" s="35"/>
      <c r="AK231" s="30"/>
      <c r="AL231" s="36">
        <f t="shared" si="67"/>
        <v>0</v>
      </c>
      <c r="AM231" s="35"/>
      <c r="AN231" s="30"/>
      <c r="AO231" s="36">
        <f t="shared" si="68"/>
        <v>0</v>
      </c>
      <c r="AP231" s="35"/>
      <c r="AQ231" s="30"/>
      <c r="AR231" s="36">
        <f t="shared" si="69"/>
        <v>0</v>
      </c>
      <c r="AS231" s="27"/>
      <c r="AT231" s="37"/>
      <c r="AU231" s="30"/>
      <c r="AV231" s="36">
        <f t="shared" si="70"/>
        <v>0</v>
      </c>
      <c r="AW231" s="35"/>
      <c r="AX231" s="30"/>
      <c r="AY231" s="32">
        <f t="shared" si="71"/>
        <v>0</v>
      </c>
      <c r="AZ231" s="30" t="s">
        <v>440</v>
      </c>
      <c r="BA231" s="63"/>
      <c r="BB231" s="71"/>
      <c r="BC231" s="71"/>
      <c r="BD231" s="71"/>
    </row>
    <row r="232" spans="1:56" hidden="1" x14ac:dyDescent="0.25">
      <c r="A232" s="24">
        <f>IF(B232="","",SUBTOTAL(3,$B$4:B232))</f>
        <v>148</v>
      </c>
      <c r="B232" s="25" t="s">
        <v>439</v>
      </c>
      <c r="C232" s="25" t="str">
        <f t="shared" si="63"/>
        <v>Shipment 2 Outlet Stack</v>
      </c>
      <c r="D232" s="25" t="s">
        <v>441</v>
      </c>
      <c r="E232" s="25" t="s">
        <v>775</v>
      </c>
      <c r="F232" s="25"/>
      <c r="G232" s="65">
        <v>46204</v>
      </c>
      <c r="H232" s="25" t="s">
        <v>443</v>
      </c>
      <c r="I232" s="25" t="s">
        <v>444</v>
      </c>
      <c r="J232" s="26" t="s">
        <v>447</v>
      </c>
      <c r="K232" s="27" t="s">
        <v>468</v>
      </c>
      <c r="L232" s="28" t="s">
        <v>469</v>
      </c>
      <c r="M232" s="28" t="s">
        <v>465</v>
      </c>
      <c r="N232" s="25">
        <v>2</v>
      </c>
      <c r="O232" s="29">
        <v>7.3</v>
      </c>
      <c r="P232" s="29">
        <v>14.5</v>
      </c>
      <c r="Q232" s="25" t="s">
        <v>714</v>
      </c>
      <c r="R232" s="25"/>
      <c r="S232" s="26"/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64"/>
        <v>0</v>
      </c>
      <c r="AF232" s="32">
        <f t="shared" si="65"/>
        <v>14.5</v>
      </c>
      <c r="AG232" s="30"/>
      <c r="AH232" s="33"/>
      <c r="AI232" s="34">
        <f t="shared" si="66"/>
        <v>0</v>
      </c>
      <c r="AJ232" s="35"/>
      <c r="AK232" s="30"/>
      <c r="AL232" s="36">
        <f t="shared" si="67"/>
        <v>0</v>
      </c>
      <c r="AM232" s="35"/>
      <c r="AN232" s="30"/>
      <c r="AO232" s="36">
        <f t="shared" si="68"/>
        <v>0</v>
      </c>
      <c r="AP232" s="35"/>
      <c r="AQ232" s="30"/>
      <c r="AR232" s="36">
        <f t="shared" si="69"/>
        <v>0</v>
      </c>
      <c r="AS232" s="27"/>
      <c r="AT232" s="37"/>
      <c r="AU232" s="30"/>
      <c r="AV232" s="36">
        <f t="shared" si="70"/>
        <v>0</v>
      </c>
      <c r="AW232" s="35"/>
      <c r="AX232" s="30"/>
      <c r="AY232" s="32">
        <f t="shared" si="71"/>
        <v>0</v>
      </c>
      <c r="AZ232" s="30" t="s">
        <v>440</v>
      </c>
      <c r="BA232" s="63"/>
      <c r="BB232" s="71"/>
      <c r="BC232" s="71"/>
      <c r="BD232" s="71"/>
    </row>
    <row r="233" spans="1:56" hidden="1" x14ac:dyDescent="0.25">
      <c r="A233" s="24">
        <f>IF(B233="","",SUBTOTAL(3,$B$4:B233))</f>
        <v>148</v>
      </c>
      <c r="B233" s="25" t="s">
        <v>439</v>
      </c>
      <c r="C233" s="25" t="str">
        <f t="shared" si="63"/>
        <v>Shipment 2 Outlet Stack</v>
      </c>
      <c r="D233" s="25" t="s">
        <v>441</v>
      </c>
      <c r="E233" s="25" t="s">
        <v>775</v>
      </c>
      <c r="F233" s="25"/>
      <c r="G233" s="65">
        <v>46204</v>
      </c>
      <c r="H233" s="25" t="s">
        <v>443</v>
      </c>
      <c r="I233" s="25" t="s">
        <v>444</v>
      </c>
      <c r="J233" s="26" t="s">
        <v>447</v>
      </c>
      <c r="K233" s="27" t="s">
        <v>470</v>
      </c>
      <c r="L233" s="28" t="s">
        <v>471</v>
      </c>
      <c r="M233" s="28" t="s">
        <v>465</v>
      </c>
      <c r="N233" s="25">
        <v>8</v>
      </c>
      <c r="O233" s="29">
        <v>7.4</v>
      </c>
      <c r="P233" s="29">
        <v>59.1</v>
      </c>
      <c r="Q233" s="25" t="s">
        <v>713</v>
      </c>
      <c r="R233" s="25"/>
      <c r="S233" s="26"/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64"/>
        <v>0</v>
      </c>
      <c r="AF233" s="32">
        <f t="shared" si="65"/>
        <v>59.1</v>
      </c>
      <c r="AG233" s="30"/>
      <c r="AH233" s="33"/>
      <c r="AI233" s="34">
        <f t="shared" si="66"/>
        <v>0</v>
      </c>
      <c r="AJ233" s="35"/>
      <c r="AK233" s="30"/>
      <c r="AL233" s="36">
        <f t="shared" si="67"/>
        <v>0</v>
      </c>
      <c r="AM233" s="35"/>
      <c r="AN233" s="30"/>
      <c r="AO233" s="36">
        <f t="shared" si="68"/>
        <v>0</v>
      </c>
      <c r="AP233" s="35"/>
      <c r="AQ233" s="30"/>
      <c r="AR233" s="36">
        <f t="shared" si="69"/>
        <v>0</v>
      </c>
      <c r="AS233" s="27"/>
      <c r="AT233" s="37"/>
      <c r="AU233" s="30"/>
      <c r="AV233" s="36">
        <f t="shared" si="70"/>
        <v>0</v>
      </c>
      <c r="AW233" s="35"/>
      <c r="AX233" s="30"/>
      <c r="AY233" s="32">
        <f t="shared" si="71"/>
        <v>0</v>
      </c>
      <c r="AZ233" s="30" t="s">
        <v>440</v>
      </c>
      <c r="BA233" s="63"/>
      <c r="BB233" s="71"/>
      <c r="BC233" s="71"/>
      <c r="BD233" s="71"/>
    </row>
    <row r="234" spans="1:56" hidden="1" x14ac:dyDescent="0.25">
      <c r="A234" s="24">
        <f>IF(B234="","",SUBTOTAL(3,$B$4:B234))</f>
        <v>148</v>
      </c>
      <c r="B234" s="25" t="s">
        <v>439</v>
      </c>
      <c r="C234" s="25" t="str">
        <f t="shared" si="63"/>
        <v>Shipment 2 Outlet Stack</v>
      </c>
      <c r="D234" s="25" t="s">
        <v>441</v>
      </c>
      <c r="E234" s="25" t="s">
        <v>775</v>
      </c>
      <c r="F234" s="25"/>
      <c r="G234" s="65">
        <v>46204</v>
      </c>
      <c r="H234" s="25" t="s">
        <v>443</v>
      </c>
      <c r="I234" s="25" t="s">
        <v>444</v>
      </c>
      <c r="J234" s="26" t="s">
        <v>447</v>
      </c>
      <c r="K234" s="27" t="s">
        <v>472</v>
      </c>
      <c r="L234" s="28" t="s">
        <v>473</v>
      </c>
      <c r="M234" s="28" t="s">
        <v>465</v>
      </c>
      <c r="N234" s="25">
        <v>2</v>
      </c>
      <c r="O234" s="29">
        <v>7.2</v>
      </c>
      <c r="P234" s="29">
        <v>14.4</v>
      </c>
      <c r="Q234" s="25" t="s">
        <v>713</v>
      </c>
      <c r="R234" s="25"/>
      <c r="S234" s="26"/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64"/>
        <v>0</v>
      </c>
      <c r="AF234" s="32">
        <f t="shared" si="65"/>
        <v>14.4</v>
      </c>
      <c r="AG234" s="30"/>
      <c r="AH234" s="33"/>
      <c r="AI234" s="34">
        <f t="shared" si="66"/>
        <v>0</v>
      </c>
      <c r="AJ234" s="35"/>
      <c r="AK234" s="30"/>
      <c r="AL234" s="36">
        <f t="shared" si="67"/>
        <v>0</v>
      </c>
      <c r="AM234" s="35"/>
      <c r="AN234" s="30"/>
      <c r="AO234" s="36">
        <f t="shared" si="68"/>
        <v>0</v>
      </c>
      <c r="AP234" s="35"/>
      <c r="AQ234" s="30"/>
      <c r="AR234" s="36">
        <f t="shared" si="69"/>
        <v>0</v>
      </c>
      <c r="AS234" s="27"/>
      <c r="AT234" s="37"/>
      <c r="AU234" s="30"/>
      <c r="AV234" s="36">
        <f t="shared" si="70"/>
        <v>0</v>
      </c>
      <c r="AW234" s="35"/>
      <c r="AX234" s="30"/>
      <c r="AY234" s="32">
        <f t="shared" si="71"/>
        <v>0</v>
      </c>
      <c r="AZ234" s="30" t="s">
        <v>440</v>
      </c>
      <c r="BA234" s="63"/>
      <c r="BB234" s="71"/>
      <c r="BC234" s="71"/>
      <c r="BD234" s="71"/>
    </row>
    <row r="235" spans="1:56" hidden="1" x14ac:dyDescent="0.25">
      <c r="A235" s="24">
        <f>IF(B235="","",SUBTOTAL(3,$B$4:B235))</f>
        <v>148</v>
      </c>
      <c r="B235" s="25" t="s">
        <v>439</v>
      </c>
      <c r="C235" s="25" t="str">
        <f t="shared" si="63"/>
        <v>Shipment 2 Outlet Stack</v>
      </c>
      <c r="D235" s="25" t="s">
        <v>441</v>
      </c>
      <c r="E235" s="25" t="s">
        <v>775</v>
      </c>
      <c r="F235" s="25"/>
      <c r="G235" s="65">
        <v>46204</v>
      </c>
      <c r="H235" s="25" t="s">
        <v>443</v>
      </c>
      <c r="I235" s="25" t="s">
        <v>444</v>
      </c>
      <c r="J235" s="26" t="s">
        <v>447</v>
      </c>
      <c r="K235" s="27" t="s">
        <v>474</v>
      </c>
      <c r="L235" s="28" t="s">
        <v>475</v>
      </c>
      <c r="M235" s="28" t="s">
        <v>465</v>
      </c>
      <c r="N235" s="25">
        <v>1</v>
      </c>
      <c r="O235" s="29">
        <v>7.1</v>
      </c>
      <c r="P235" s="29">
        <v>7.1</v>
      </c>
      <c r="Q235" s="25" t="s">
        <v>713</v>
      </c>
      <c r="R235" s="25"/>
      <c r="S235" s="26"/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64"/>
        <v>0</v>
      </c>
      <c r="AF235" s="32">
        <f t="shared" si="65"/>
        <v>7.1</v>
      </c>
      <c r="AG235" s="30"/>
      <c r="AH235" s="33"/>
      <c r="AI235" s="34">
        <f t="shared" si="66"/>
        <v>0</v>
      </c>
      <c r="AJ235" s="35"/>
      <c r="AK235" s="30"/>
      <c r="AL235" s="36">
        <f t="shared" si="67"/>
        <v>0</v>
      </c>
      <c r="AM235" s="35"/>
      <c r="AN235" s="30"/>
      <c r="AO235" s="36">
        <f t="shared" si="68"/>
        <v>0</v>
      </c>
      <c r="AP235" s="35"/>
      <c r="AQ235" s="30"/>
      <c r="AR235" s="36">
        <f t="shared" si="69"/>
        <v>0</v>
      </c>
      <c r="AS235" s="27"/>
      <c r="AT235" s="37"/>
      <c r="AU235" s="30"/>
      <c r="AV235" s="36">
        <f t="shared" si="70"/>
        <v>0</v>
      </c>
      <c r="AW235" s="35"/>
      <c r="AX235" s="30"/>
      <c r="AY235" s="32">
        <f t="shared" si="71"/>
        <v>0</v>
      </c>
      <c r="AZ235" s="30" t="s">
        <v>440</v>
      </c>
      <c r="BA235" s="63"/>
      <c r="BB235" s="71"/>
      <c r="BC235" s="71"/>
      <c r="BD235" s="71"/>
    </row>
    <row r="236" spans="1:56" hidden="1" x14ac:dyDescent="0.25">
      <c r="A236" s="24">
        <f>IF(B236="","",SUBTOTAL(3,$B$4:B236))</f>
        <v>148</v>
      </c>
      <c r="B236" s="25" t="s">
        <v>439</v>
      </c>
      <c r="C236" s="25" t="str">
        <f t="shared" si="63"/>
        <v>Shipment 2 Outlet Stack</v>
      </c>
      <c r="D236" s="25" t="s">
        <v>441</v>
      </c>
      <c r="E236" s="25" t="s">
        <v>775</v>
      </c>
      <c r="F236" s="25"/>
      <c r="G236" s="65">
        <v>46204</v>
      </c>
      <c r="H236" s="25" t="s">
        <v>443</v>
      </c>
      <c r="I236" s="25" t="s">
        <v>444</v>
      </c>
      <c r="J236" s="26" t="s">
        <v>447</v>
      </c>
      <c r="K236" s="27" t="s">
        <v>476</v>
      </c>
      <c r="L236" s="28" t="s">
        <v>477</v>
      </c>
      <c r="M236" s="28" t="s">
        <v>465</v>
      </c>
      <c r="N236" s="25">
        <v>4</v>
      </c>
      <c r="O236" s="29">
        <v>6.9</v>
      </c>
      <c r="P236" s="29">
        <v>27.7</v>
      </c>
      <c r="Q236" s="25" t="s">
        <v>715</v>
      </c>
      <c r="R236" s="25"/>
      <c r="S236" s="26"/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64"/>
        <v>0</v>
      </c>
      <c r="AF236" s="32">
        <f t="shared" si="65"/>
        <v>27.7</v>
      </c>
      <c r="AG236" s="30"/>
      <c r="AH236" s="33"/>
      <c r="AI236" s="34">
        <f t="shared" si="66"/>
        <v>0</v>
      </c>
      <c r="AJ236" s="35"/>
      <c r="AK236" s="30"/>
      <c r="AL236" s="36">
        <f t="shared" si="67"/>
        <v>0</v>
      </c>
      <c r="AM236" s="35"/>
      <c r="AN236" s="30"/>
      <c r="AO236" s="36">
        <f t="shared" si="68"/>
        <v>0</v>
      </c>
      <c r="AP236" s="35"/>
      <c r="AQ236" s="30"/>
      <c r="AR236" s="36">
        <f t="shared" si="69"/>
        <v>0</v>
      </c>
      <c r="AS236" s="27"/>
      <c r="AT236" s="37"/>
      <c r="AU236" s="30"/>
      <c r="AV236" s="36">
        <f t="shared" si="70"/>
        <v>0</v>
      </c>
      <c r="AW236" s="35"/>
      <c r="AX236" s="30"/>
      <c r="AY236" s="32">
        <f t="shared" si="71"/>
        <v>0</v>
      </c>
      <c r="AZ236" s="30" t="s">
        <v>440</v>
      </c>
      <c r="BA236" s="63"/>
      <c r="BB236" s="71"/>
      <c r="BC236" s="71"/>
      <c r="BD236" s="71"/>
    </row>
    <row r="237" spans="1:56" hidden="1" x14ac:dyDescent="0.25">
      <c r="A237" s="24">
        <f>IF(B237="","",SUBTOTAL(3,$B$4:B237))</f>
        <v>148</v>
      </c>
      <c r="B237" s="25" t="s">
        <v>439</v>
      </c>
      <c r="C237" s="25" t="str">
        <f t="shared" si="63"/>
        <v>Shipment 2 Outlet Stack</v>
      </c>
      <c r="D237" s="25" t="s">
        <v>441</v>
      </c>
      <c r="E237" s="25" t="s">
        <v>775</v>
      </c>
      <c r="F237" s="25"/>
      <c r="G237" s="65">
        <v>46204</v>
      </c>
      <c r="H237" s="25" t="s">
        <v>443</v>
      </c>
      <c r="I237" s="25" t="s">
        <v>444</v>
      </c>
      <c r="J237" s="26" t="s">
        <v>447</v>
      </c>
      <c r="K237" s="27" t="s">
        <v>478</v>
      </c>
      <c r="L237" s="28" t="s">
        <v>479</v>
      </c>
      <c r="M237" s="28" t="s">
        <v>465</v>
      </c>
      <c r="N237" s="25">
        <v>10</v>
      </c>
      <c r="O237" s="29">
        <v>2.8</v>
      </c>
      <c r="P237" s="29">
        <v>27.6</v>
      </c>
      <c r="Q237" s="25" t="s">
        <v>716</v>
      </c>
      <c r="R237" s="25"/>
      <c r="S237" s="26"/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64"/>
        <v>0</v>
      </c>
      <c r="AF237" s="32">
        <f t="shared" si="65"/>
        <v>27.6</v>
      </c>
      <c r="AG237" s="30"/>
      <c r="AH237" s="33"/>
      <c r="AI237" s="34">
        <f t="shared" si="66"/>
        <v>0</v>
      </c>
      <c r="AJ237" s="35"/>
      <c r="AK237" s="30"/>
      <c r="AL237" s="36">
        <f t="shared" si="67"/>
        <v>0</v>
      </c>
      <c r="AM237" s="35"/>
      <c r="AN237" s="30"/>
      <c r="AO237" s="36">
        <f t="shared" si="68"/>
        <v>0</v>
      </c>
      <c r="AP237" s="35"/>
      <c r="AQ237" s="30"/>
      <c r="AR237" s="36">
        <f t="shared" si="69"/>
        <v>0</v>
      </c>
      <c r="AS237" s="27"/>
      <c r="AT237" s="37"/>
      <c r="AU237" s="30"/>
      <c r="AV237" s="36">
        <f t="shared" si="70"/>
        <v>0</v>
      </c>
      <c r="AW237" s="35"/>
      <c r="AX237" s="30"/>
      <c r="AY237" s="32">
        <f t="shared" si="71"/>
        <v>0</v>
      </c>
      <c r="AZ237" s="30" t="s">
        <v>440</v>
      </c>
      <c r="BA237" s="63"/>
      <c r="BB237" s="71"/>
      <c r="BC237" s="71"/>
      <c r="BD237" s="71"/>
    </row>
    <row r="238" spans="1:56" hidden="1" x14ac:dyDescent="0.25">
      <c r="A238" s="24">
        <f>IF(B238="","",SUBTOTAL(3,$B$4:B238))</f>
        <v>148</v>
      </c>
      <c r="B238" s="25" t="s">
        <v>439</v>
      </c>
      <c r="C238" s="25" t="str">
        <f t="shared" si="63"/>
        <v>Shipment 2 Outlet Stack</v>
      </c>
      <c r="D238" s="25" t="s">
        <v>441</v>
      </c>
      <c r="E238" s="25" t="s">
        <v>775</v>
      </c>
      <c r="F238" s="25"/>
      <c r="G238" s="65">
        <v>46204</v>
      </c>
      <c r="H238" s="25" t="s">
        <v>443</v>
      </c>
      <c r="I238" s="25" t="s">
        <v>444</v>
      </c>
      <c r="J238" s="26" t="s">
        <v>447</v>
      </c>
      <c r="K238" s="27" t="s">
        <v>480</v>
      </c>
      <c r="L238" s="28" t="s">
        <v>481</v>
      </c>
      <c r="M238" s="28" t="s">
        <v>465</v>
      </c>
      <c r="N238" s="25">
        <v>10</v>
      </c>
      <c r="O238" s="29">
        <v>2.6</v>
      </c>
      <c r="P238" s="29">
        <v>26</v>
      </c>
      <c r="Q238" s="25" t="s">
        <v>717</v>
      </c>
      <c r="R238" s="25"/>
      <c r="S238" s="26"/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64"/>
        <v>0</v>
      </c>
      <c r="AF238" s="32">
        <f t="shared" si="65"/>
        <v>26</v>
      </c>
      <c r="AG238" s="30"/>
      <c r="AH238" s="33"/>
      <c r="AI238" s="34">
        <f t="shared" si="66"/>
        <v>0</v>
      </c>
      <c r="AJ238" s="35"/>
      <c r="AK238" s="30"/>
      <c r="AL238" s="36">
        <f t="shared" si="67"/>
        <v>0</v>
      </c>
      <c r="AM238" s="35"/>
      <c r="AN238" s="30"/>
      <c r="AO238" s="36">
        <f t="shared" si="68"/>
        <v>0</v>
      </c>
      <c r="AP238" s="35"/>
      <c r="AQ238" s="30"/>
      <c r="AR238" s="36">
        <f t="shared" si="69"/>
        <v>0</v>
      </c>
      <c r="AS238" s="27"/>
      <c r="AT238" s="37"/>
      <c r="AU238" s="30"/>
      <c r="AV238" s="36">
        <f t="shared" si="70"/>
        <v>0</v>
      </c>
      <c r="AW238" s="35"/>
      <c r="AX238" s="30"/>
      <c r="AY238" s="32">
        <f t="shared" si="71"/>
        <v>0</v>
      </c>
      <c r="AZ238" s="30" t="s">
        <v>440</v>
      </c>
      <c r="BA238" s="63"/>
      <c r="BB238" s="71"/>
      <c r="BC238" s="71"/>
      <c r="BD238" s="71"/>
    </row>
    <row r="239" spans="1:56" hidden="1" x14ac:dyDescent="0.25">
      <c r="A239" s="24">
        <f>IF(B239="","",SUBTOTAL(3,$B$4:B239))</f>
        <v>148</v>
      </c>
      <c r="B239" s="25" t="s">
        <v>439</v>
      </c>
      <c r="C239" s="25" t="str">
        <f t="shared" si="63"/>
        <v>Shipment 2 Outlet Stack</v>
      </c>
      <c r="D239" s="25" t="s">
        <v>441</v>
      </c>
      <c r="E239" s="25" t="s">
        <v>775</v>
      </c>
      <c r="F239" s="25"/>
      <c r="G239" s="65">
        <v>46204</v>
      </c>
      <c r="H239" s="25" t="s">
        <v>443</v>
      </c>
      <c r="I239" s="25" t="s">
        <v>444</v>
      </c>
      <c r="J239" s="26" t="s">
        <v>447</v>
      </c>
      <c r="K239" s="27" t="s">
        <v>482</v>
      </c>
      <c r="L239" s="28" t="s">
        <v>483</v>
      </c>
      <c r="M239" s="28" t="s">
        <v>465</v>
      </c>
      <c r="N239" s="25">
        <v>2</v>
      </c>
      <c r="O239" s="29">
        <v>7.2</v>
      </c>
      <c r="P239" s="29">
        <v>14.5</v>
      </c>
      <c r="Q239" s="25" t="s">
        <v>714</v>
      </c>
      <c r="R239" s="25"/>
      <c r="S239" s="26"/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64"/>
        <v>0</v>
      </c>
      <c r="AF239" s="32">
        <f t="shared" si="65"/>
        <v>14.5</v>
      </c>
      <c r="AG239" s="30"/>
      <c r="AH239" s="33"/>
      <c r="AI239" s="34">
        <f t="shared" si="66"/>
        <v>0</v>
      </c>
      <c r="AJ239" s="35"/>
      <c r="AK239" s="30"/>
      <c r="AL239" s="36">
        <f t="shared" si="67"/>
        <v>0</v>
      </c>
      <c r="AM239" s="35"/>
      <c r="AN239" s="30"/>
      <c r="AO239" s="36">
        <f t="shared" si="68"/>
        <v>0</v>
      </c>
      <c r="AP239" s="35"/>
      <c r="AQ239" s="30"/>
      <c r="AR239" s="36">
        <f t="shared" si="69"/>
        <v>0</v>
      </c>
      <c r="AS239" s="27"/>
      <c r="AT239" s="37"/>
      <c r="AU239" s="30"/>
      <c r="AV239" s="36">
        <f t="shared" si="70"/>
        <v>0</v>
      </c>
      <c r="AW239" s="35"/>
      <c r="AX239" s="30"/>
      <c r="AY239" s="32">
        <f t="shared" si="71"/>
        <v>0</v>
      </c>
      <c r="AZ239" s="30" t="s">
        <v>440</v>
      </c>
      <c r="BA239" s="63"/>
      <c r="BB239" s="71"/>
      <c r="BC239" s="71"/>
      <c r="BD239" s="71"/>
    </row>
    <row r="240" spans="1:56" hidden="1" x14ac:dyDescent="0.25">
      <c r="A240" s="24">
        <f>IF(B240="","",SUBTOTAL(3,$B$4:B240))</f>
        <v>148</v>
      </c>
      <c r="B240" s="25" t="s">
        <v>439</v>
      </c>
      <c r="C240" s="25" t="str">
        <f t="shared" si="63"/>
        <v>Shipment 2 Outlet Stack</v>
      </c>
      <c r="D240" s="25" t="s">
        <v>441</v>
      </c>
      <c r="E240" s="25" t="s">
        <v>775</v>
      </c>
      <c r="F240" s="25"/>
      <c r="G240" s="65">
        <v>46204</v>
      </c>
      <c r="H240" s="25" t="s">
        <v>443</v>
      </c>
      <c r="I240" s="25" t="s">
        <v>444</v>
      </c>
      <c r="J240" s="26" t="s">
        <v>447</v>
      </c>
      <c r="K240" s="27" t="s">
        <v>484</v>
      </c>
      <c r="L240" s="28" t="s">
        <v>485</v>
      </c>
      <c r="M240" s="28" t="s">
        <v>465</v>
      </c>
      <c r="N240" s="25">
        <v>1</v>
      </c>
      <c r="O240" s="29">
        <v>7.1</v>
      </c>
      <c r="P240" s="29">
        <v>7.1</v>
      </c>
      <c r="Q240" s="25" t="s">
        <v>713</v>
      </c>
      <c r="R240" s="25"/>
      <c r="S240" s="26"/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64"/>
        <v>0</v>
      </c>
      <c r="AF240" s="32">
        <f t="shared" si="65"/>
        <v>7.1</v>
      </c>
      <c r="AG240" s="30"/>
      <c r="AH240" s="33"/>
      <c r="AI240" s="34">
        <f t="shared" si="66"/>
        <v>0</v>
      </c>
      <c r="AJ240" s="35"/>
      <c r="AK240" s="30"/>
      <c r="AL240" s="36">
        <f t="shared" si="67"/>
        <v>0</v>
      </c>
      <c r="AM240" s="35"/>
      <c r="AN240" s="30"/>
      <c r="AO240" s="36">
        <f t="shared" si="68"/>
        <v>0</v>
      </c>
      <c r="AP240" s="35"/>
      <c r="AQ240" s="30"/>
      <c r="AR240" s="36">
        <f t="shared" si="69"/>
        <v>0</v>
      </c>
      <c r="AS240" s="27"/>
      <c r="AT240" s="37"/>
      <c r="AU240" s="30"/>
      <c r="AV240" s="36">
        <f t="shared" si="70"/>
        <v>0</v>
      </c>
      <c r="AW240" s="35"/>
      <c r="AX240" s="30"/>
      <c r="AY240" s="32">
        <f t="shared" si="71"/>
        <v>0</v>
      </c>
      <c r="AZ240" s="30" t="s">
        <v>440</v>
      </c>
      <c r="BA240" s="63"/>
      <c r="BB240" s="71"/>
      <c r="BC240" s="71"/>
      <c r="BD240" s="71"/>
    </row>
    <row r="241" spans="1:56" hidden="1" x14ac:dyDescent="0.25">
      <c r="A241" s="24">
        <f>IF(B241="","",SUBTOTAL(3,$B$4:B241))</f>
        <v>148</v>
      </c>
      <c r="B241" s="25" t="s">
        <v>439</v>
      </c>
      <c r="C241" s="25" t="str">
        <f t="shared" si="63"/>
        <v>Shipment 2 Outlet Stack</v>
      </c>
      <c r="D241" s="25" t="s">
        <v>441</v>
      </c>
      <c r="E241" s="25" t="s">
        <v>775</v>
      </c>
      <c r="F241" s="25"/>
      <c r="G241" s="65">
        <v>46204</v>
      </c>
      <c r="H241" s="25" t="s">
        <v>443</v>
      </c>
      <c r="I241" s="25" t="s">
        <v>444</v>
      </c>
      <c r="J241" s="26" t="s">
        <v>447</v>
      </c>
      <c r="K241" s="27" t="s">
        <v>486</v>
      </c>
      <c r="L241" s="28" t="s">
        <v>487</v>
      </c>
      <c r="M241" s="28" t="s">
        <v>465</v>
      </c>
      <c r="N241" s="25">
        <v>1</v>
      </c>
      <c r="O241" s="29">
        <v>7.1</v>
      </c>
      <c r="P241" s="29">
        <v>7.1</v>
      </c>
      <c r="Q241" s="25" t="s">
        <v>713</v>
      </c>
      <c r="R241" s="25"/>
      <c r="S241" s="26"/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64"/>
        <v>0</v>
      </c>
      <c r="AF241" s="32">
        <f t="shared" si="65"/>
        <v>7.1</v>
      </c>
      <c r="AG241" s="30"/>
      <c r="AH241" s="33"/>
      <c r="AI241" s="34">
        <f t="shared" si="66"/>
        <v>0</v>
      </c>
      <c r="AJ241" s="35"/>
      <c r="AK241" s="30"/>
      <c r="AL241" s="36">
        <f t="shared" si="67"/>
        <v>0</v>
      </c>
      <c r="AM241" s="35"/>
      <c r="AN241" s="30"/>
      <c r="AO241" s="36">
        <f t="shared" si="68"/>
        <v>0</v>
      </c>
      <c r="AP241" s="35"/>
      <c r="AQ241" s="30"/>
      <c r="AR241" s="36">
        <f t="shared" si="69"/>
        <v>0</v>
      </c>
      <c r="AS241" s="27"/>
      <c r="AT241" s="37"/>
      <c r="AU241" s="30"/>
      <c r="AV241" s="36">
        <f t="shared" si="70"/>
        <v>0</v>
      </c>
      <c r="AW241" s="35"/>
      <c r="AX241" s="30"/>
      <c r="AY241" s="32">
        <f t="shared" si="71"/>
        <v>0</v>
      </c>
      <c r="AZ241" s="30" t="s">
        <v>440</v>
      </c>
      <c r="BA241" s="63"/>
      <c r="BB241" s="71"/>
      <c r="BC241" s="71"/>
      <c r="BD241" s="71"/>
    </row>
    <row r="242" spans="1:56" hidden="1" x14ac:dyDescent="0.25">
      <c r="A242" s="24">
        <f>IF(B242="","",SUBTOTAL(3,$B$4:B242))</f>
        <v>148</v>
      </c>
      <c r="B242" s="25" t="s">
        <v>439</v>
      </c>
      <c r="C242" s="25" t="str">
        <f t="shared" si="63"/>
        <v>Shipment 2 Outlet Stack</v>
      </c>
      <c r="D242" s="25" t="s">
        <v>441</v>
      </c>
      <c r="E242" s="25" t="s">
        <v>775</v>
      </c>
      <c r="F242" s="25"/>
      <c r="G242" s="65">
        <v>46204</v>
      </c>
      <c r="H242" s="25" t="s">
        <v>443</v>
      </c>
      <c r="I242" s="25" t="s">
        <v>444</v>
      </c>
      <c r="J242" s="26" t="s">
        <v>447</v>
      </c>
      <c r="K242" s="27" t="s">
        <v>488</v>
      </c>
      <c r="L242" s="28" t="s">
        <v>489</v>
      </c>
      <c r="M242" s="28" t="s">
        <v>465</v>
      </c>
      <c r="N242" s="25">
        <v>1</v>
      </c>
      <c r="O242" s="29">
        <v>1.5</v>
      </c>
      <c r="P242" s="29">
        <v>1.5</v>
      </c>
      <c r="Q242" s="25" t="s">
        <v>718</v>
      </c>
      <c r="R242" s="25"/>
      <c r="S242" s="26"/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64"/>
        <v>0</v>
      </c>
      <c r="AF242" s="32">
        <f t="shared" si="65"/>
        <v>1.5</v>
      </c>
      <c r="AG242" s="30"/>
      <c r="AH242" s="33"/>
      <c r="AI242" s="34">
        <f t="shared" si="66"/>
        <v>0</v>
      </c>
      <c r="AJ242" s="35"/>
      <c r="AK242" s="30"/>
      <c r="AL242" s="36">
        <f t="shared" si="67"/>
        <v>0</v>
      </c>
      <c r="AM242" s="35"/>
      <c r="AN242" s="30"/>
      <c r="AO242" s="36">
        <f t="shared" si="68"/>
        <v>0</v>
      </c>
      <c r="AP242" s="35"/>
      <c r="AQ242" s="30"/>
      <c r="AR242" s="36">
        <f t="shared" si="69"/>
        <v>0</v>
      </c>
      <c r="AS242" s="27"/>
      <c r="AT242" s="37"/>
      <c r="AU242" s="30"/>
      <c r="AV242" s="36">
        <f t="shared" si="70"/>
        <v>0</v>
      </c>
      <c r="AW242" s="35"/>
      <c r="AX242" s="30"/>
      <c r="AY242" s="32">
        <f t="shared" si="71"/>
        <v>0</v>
      </c>
      <c r="AZ242" s="30" t="s">
        <v>440</v>
      </c>
      <c r="BA242" s="63"/>
      <c r="BB242" s="71"/>
      <c r="BC242" s="71"/>
      <c r="BD242" s="71"/>
    </row>
    <row r="243" spans="1:56" hidden="1" x14ac:dyDescent="0.25">
      <c r="A243" s="24">
        <f>IF(B243="","",SUBTOTAL(3,$B$4:B243))</f>
        <v>148</v>
      </c>
      <c r="B243" s="25" t="s">
        <v>439</v>
      </c>
      <c r="C243" s="25" t="str">
        <f t="shared" si="63"/>
        <v>Shipment 2 Outlet Stack</v>
      </c>
      <c r="D243" s="25" t="s">
        <v>441</v>
      </c>
      <c r="E243" s="25" t="s">
        <v>775</v>
      </c>
      <c r="F243" s="25"/>
      <c r="G243" s="65">
        <v>46204</v>
      </c>
      <c r="H243" s="25" t="s">
        <v>443</v>
      </c>
      <c r="I243" s="25" t="s">
        <v>444</v>
      </c>
      <c r="J243" s="26" t="s">
        <v>447</v>
      </c>
      <c r="K243" s="27" t="s">
        <v>490</v>
      </c>
      <c r="L243" s="28" t="s">
        <v>491</v>
      </c>
      <c r="M243" s="28" t="s">
        <v>465</v>
      </c>
      <c r="N243" s="25">
        <v>1</v>
      </c>
      <c r="O243" s="29">
        <v>2.2999999999999998</v>
      </c>
      <c r="P243" s="29">
        <v>1.5</v>
      </c>
      <c r="Q243" s="25" t="s">
        <v>719</v>
      </c>
      <c r="R243" s="25"/>
      <c r="S243" s="26"/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64"/>
        <v>0</v>
      </c>
      <c r="AF243" s="32">
        <f t="shared" si="65"/>
        <v>1.5</v>
      </c>
      <c r="AG243" s="30"/>
      <c r="AH243" s="33"/>
      <c r="AI243" s="34">
        <f t="shared" si="66"/>
        <v>0</v>
      </c>
      <c r="AJ243" s="35"/>
      <c r="AK243" s="30"/>
      <c r="AL243" s="36">
        <f t="shared" si="67"/>
        <v>0</v>
      </c>
      <c r="AM243" s="35"/>
      <c r="AN243" s="30"/>
      <c r="AO243" s="36">
        <f t="shared" si="68"/>
        <v>0</v>
      </c>
      <c r="AP243" s="35"/>
      <c r="AQ243" s="30"/>
      <c r="AR243" s="36">
        <f t="shared" si="69"/>
        <v>0</v>
      </c>
      <c r="AS243" s="27"/>
      <c r="AT243" s="37"/>
      <c r="AU243" s="30"/>
      <c r="AV243" s="36">
        <f t="shared" si="70"/>
        <v>0</v>
      </c>
      <c r="AW243" s="35"/>
      <c r="AX243" s="30"/>
      <c r="AY243" s="32">
        <f t="shared" si="71"/>
        <v>0</v>
      </c>
      <c r="AZ243" s="30" t="s">
        <v>440</v>
      </c>
      <c r="BA243" s="63"/>
      <c r="BB243" s="71"/>
      <c r="BC243" s="71"/>
      <c r="BD243" s="71"/>
    </row>
    <row r="244" spans="1:56" hidden="1" x14ac:dyDescent="0.25">
      <c r="A244" s="24">
        <f>IF(B244="","",SUBTOTAL(3,$B$4:B244))</f>
        <v>148</v>
      </c>
      <c r="B244" s="25" t="s">
        <v>439</v>
      </c>
      <c r="C244" s="25" t="str">
        <f t="shared" si="63"/>
        <v>Shipment 2 Outlet Stack</v>
      </c>
      <c r="D244" s="25" t="s">
        <v>441</v>
      </c>
      <c r="E244" s="25" t="s">
        <v>775</v>
      </c>
      <c r="F244" s="25"/>
      <c r="G244" s="65">
        <v>46204</v>
      </c>
      <c r="H244" s="25" t="s">
        <v>443</v>
      </c>
      <c r="I244" s="25" t="s">
        <v>444</v>
      </c>
      <c r="J244" s="26" t="s">
        <v>447</v>
      </c>
      <c r="K244" s="27" t="s">
        <v>492</v>
      </c>
      <c r="L244" s="28" t="s">
        <v>493</v>
      </c>
      <c r="M244" s="28" t="s">
        <v>465</v>
      </c>
      <c r="N244" s="25">
        <v>1</v>
      </c>
      <c r="O244" s="29">
        <v>2.9</v>
      </c>
      <c r="P244" s="29">
        <v>2.9</v>
      </c>
      <c r="Q244" s="25" t="s">
        <v>720</v>
      </c>
      <c r="R244" s="25"/>
      <c r="S244" s="26"/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64"/>
        <v>0</v>
      </c>
      <c r="AF244" s="32">
        <f t="shared" si="65"/>
        <v>2.9</v>
      </c>
      <c r="AG244" s="30"/>
      <c r="AH244" s="33"/>
      <c r="AI244" s="34">
        <f t="shared" si="66"/>
        <v>0</v>
      </c>
      <c r="AJ244" s="35"/>
      <c r="AK244" s="30"/>
      <c r="AL244" s="36">
        <f t="shared" si="67"/>
        <v>0</v>
      </c>
      <c r="AM244" s="35"/>
      <c r="AN244" s="30"/>
      <c r="AO244" s="36">
        <f t="shared" si="68"/>
        <v>0</v>
      </c>
      <c r="AP244" s="35"/>
      <c r="AQ244" s="30"/>
      <c r="AR244" s="36">
        <f t="shared" si="69"/>
        <v>0</v>
      </c>
      <c r="AS244" s="27"/>
      <c r="AT244" s="37"/>
      <c r="AU244" s="30"/>
      <c r="AV244" s="36">
        <f t="shared" si="70"/>
        <v>0</v>
      </c>
      <c r="AW244" s="35"/>
      <c r="AX244" s="30"/>
      <c r="AY244" s="32">
        <f t="shared" si="71"/>
        <v>0</v>
      </c>
      <c r="AZ244" s="30" t="s">
        <v>440</v>
      </c>
      <c r="BA244" s="63"/>
      <c r="BB244" s="71"/>
      <c r="BC244" s="71"/>
      <c r="BD244" s="71"/>
    </row>
    <row r="245" spans="1:56" hidden="1" x14ac:dyDescent="0.25">
      <c r="A245" s="24">
        <f>IF(B245="","",SUBTOTAL(3,$B$4:B245))</f>
        <v>148</v>
      </c>
      <c r="B245" s="25" t="s">
        <v>439</v>
      </c>
      <c r="C245" s="25" t="str">
        <f t="shared" si="63"/>
        <v>Shipment 2 Outlet Stack</v>
      </c>
      <c r="D245" s="25" t="s">
        <v>441</v>
      </c>
      <c r="E245" s="25" t="s">
        <v>775</v>
      </c>
      <c r="F245" s="25"/>
      <c r="G245" s="65">
        <v>46204</v>
      </c>
      <c r="H245" s="25" t="s">
        <v>443</v>
      </c>
      <c r="I245" s="25" t="s">
        <v>444</v>
      </c>
      <c r="J245" s="26" t="s">
        <v>447</v>
      </c>
      <c r="K245" s="27" t="s">
        <v>494</v>
      </c>
      <c r="L245" s="28" t="s">
        <v>495</v>
      </c>
      <c r="M245" s="28" t="s">
        <v>465</v>
      </c>
      <c r="N245" s="25">
        <v>1</v>
      </c>
      <c r="O245" s="29">
        <v>3.3</v>
      </c>
      <c r="P245" s="29">
        <v>3.3</v>
      </c>
      <c r="Q245" s="25" t="s">
        <v>721</v>
      </c>
      <c r="R245" s="25"/>
      <c r="S245" s="26"/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64"/>
        <v>0</v>
      </c>
      <c r="AF245" s="32">
        <f t="shared" si="65"/>
        <v>3.3</v>
      </c>
      <c r="AG245" s="30"/>
      <c r="AH245" s="33"/>
      <c r="AI245" s="34">
        <f t="shared" si="66"/>
        <v>0</v>
      </c>
      <c r="AJ245" s="35"/>
      <c r="AK245" s="30"/>
      <c r="AL245" s="36">
        <f t="shared" si="67"/>
        <v>0</v>
      </c>
      <c r="AM245" s="35"/>
      <c r="AN245" s="30"/>
      <c r="AO245" s="36">
        <f t="shared" si="68"/>
        <v>0</v>
      </c>
      <c r="AP245" s="35"/>
      <c r="AQ245" s="30"/>
      <c r="AR245" s="36">
        <f t="shared" si="69"/>
        <v>0</v>
      </c>
      <c r="AS245" s="27"/>
      <c r="AT245" s="37"/>
      <c r="AU245" s="30"/>
      <c r="AV245" s="36">
        <f t="shared" si="70"/>
        <v>0</v>
      </c>
      <c r="AW245" s="35"/>
      <c r="AX245" s="30"/>
      <c r="AY245" s="32">
        <f t="shared" si="71"/>
        <v>0</v>
      </c>
      <c r="AZ245" s="30" t="s">
        <v>440</v>
      </c>
      <c r="BA245" s="63"/>
      <c r="BB245" s="71"/>
      <c r="BC245" s="71"/>
      <c r="BD245" s="71"/>
    </row>
    <row r="246" spans="1:56" hidden="1" x14ac:dyDescent="0.25">
      <c r="A246" s="24">
        <f>IF(B246="","",SUBTOTAL(3,$B$4:B246))</f>
        <v>148</v>
      </c>
      <c r="B246" s="25" t="s">
        <v>439</v>
      </c>
      <c r="C246" s="25" t="str">
        <f t="shared" si="63"/>
        <v>Shipment 2 Outlet Stack</v>
      </c>
      <c r="D246" s="25" t="s">
        <v>441</v>
      </c>
      <c r="E246" s="25" t="s">
        <v>775</v>
      </c>
      <c r="F246" s="25"/>
      <c r="G246" s="65">
        <v>46204</v>
      </c>
      <c r="H246" s="25" t="s">
        <v>443</v>
      </c>
      <c r="I246" s="25" t="s">
        <v>444</v>
      </c>
      <c r="J246" s="26" t="s">
        <v>447</v>
      </c>
      <c r="K246" s="27" t="s">
        <v>496</v>
      </c>
      <c r="L246" s="28" t="s">
        <v>497</v>
      </c>
      <c r="M246" s="28" t="s">
        <v>465</v>
      </c>
      <c r="N246" s="25">
        <v>1</v>
      </c>
      <c r="O246" s="29">
        <v>1.7</v>
      </c>
      <c r="P246" s="29">
        <v>1.7</v>
      </c>
      <c r="Q246" s="25" t="s">
        <v>722</v>
      </c>
      <c r="R246" s="25"/>
      <c r="S246" s="26"/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64"/>
        <v>0</v>
      </c>
      <c r="AF246" s="32">
        <f t="shared" si="65"/>
        <v>1.7</v>
      </c>
      <c r="AG246" s="30"/>
      <c r="AH246" s="33"/>
      <c r="AI246" s="34">
        <f t="shared" si="66"/>
        <v>0</v>
      </c>
      <c r="AJ246" s="35"/>
      <c r="AK246" s="30"/>
      <c r="AL246" s="36">
        <f t="shared" si="67"/>
        <v>0</v>
      </c>
      <c r="AM246" s="35"/>
      <c r="AN246" s="30"/>
      <c r="AO246" s="36">
        <f t="shared" si="68"/>
        <v>0</v>
      </c>
      <c r="AP246" s="35"/>
      <c r="AQ246" s="30"/>
      <c r="AR246" s="36">
        <f t="shared" si="69"/>
        <v>0</v>
      </c>
      <c r="AS246" s="27"/>
      <c r="AT246" s="37"/>
      <c r="AU246" s="30"/>
      <c r="AV246" s="36">
        <f t="shared" si="70"/>
        <v>0</v>
      </c>
      <c r="AW246" s="35"/>
      <c r="AX246" s="30"/>
      <c r="AY246" s="32">
        <f t="shared" si="71"/>
        <v>0</v>
      </c>
      <c r="AZ246" s="30" t="s">
        <v>440</v>
      </c>
      <c r="BA246" s="63"/>
      <c r="BB246" s="71"/>
      <c r="BC246" s="71"/>
      <c r="BD246" s="71"/>
    </row>
    <row r="247" spans="1:56" hidden="1" x14ac:dyDescent="0.25">
      <c r="A247" s="24">
        <f>IF(B247="","",SUBTOTAL(3,$B$4:B247))</f>
        <v>148</v>
      </c>
      <c r="B247" s="25" t="s">
        <v>439</v>
      </c>
      <c r="C247" s="25" t="str">
        <f t="shared" si="63"/>
        <v>Shipment 2 Outlet Stack</v>
      </c>
      <c r="D247" s="25" t="s">
        <v>441</v>
      </c>
      <c r="E247" s="25" t="s">
        <v>775</v>
      </c>
      <c r="F247" s="25"/>
      <c r="G247" s="65">
        <v>46204</v>
      </c>
      <c r="H247" s="25" t="s">
        <v>443</v>
      </c>
      <c r="I247" s="25" t="s">
        <v>444</v>
      </c>
      <c r="J247" s="26" t="s">
        <v>447</v>
      </c>
      <c r="K247" s="27" t="s">
        <v>498</v>
      </c>
      <c r="L247" s="28" t="s">
        <v>499</v>
      </c>
      <c r="M247" s="28" t="s">
        <v>465</v>
      </c>
      <c r="N247" s="25">
        <v>1</v>
      </c>
      <c r="O247" s="29">
        <v>3.2</v>
      </c>
      <c r="P247" s="29">
        <v>3.2</v>
      </c>
      <c r="Q247" s="25" t="s">
        <v>723</v>
      </c>
      <c r="R247" s="25"/>
      <c r="S247" s="26"/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64"/>
        <v>0</v>
      </c>
      <c r="AF247" s="32">
        <f t="shared" si="65"/>
        <v>3.2</v>
      </c>
      <c r="AG247" s="30"/>
      <c r="AH247" s="33"/>
      <c r="AI247" s="34">
        <f t="shared" si="66"/>
        <v>0</v>
      </c>
      <c r="AJ247" s="35"/>
      <c r="AK247" s="30"/>
      <c r="AL247" s="36">
        <f t="shared" si="67"/>
        <v>0</v>
      </c>
      <c r="AM247" s="35"/>
      <c r="AN247" s="30"/>
      <c r="AO247" s="36">
        <f t="shared" si="68"/>
        <v>0</v>
      </c>
      <c r="AP247" s="35"/>
      <c r="AQ247" s="30"/>
      <c r="AR247" s="36">
        <f t="shared" si="69"/>
        <v>0</v>
      </c>
      <c r="AS247" s="27"/>
      <c r="AT247" s="37"/>
      <c r="AU247" s="30"/>
      <c r="AV247" s="36">
        <f t="shared" si="70"/>
        <v>0</v>
      </c>
      <c r="AW247" s="35"/>
      <c r="AX247" s="30"/>
      <c r="AY247" s="32">
        <f t="shared" si="71"/>
        <v>0</v>
      </c>
      <c r="AZ247" s="30" t="s">
        <v>440</v>
      </c>
      <c r="BA247" s="63"/>
      <c r="BB247" s="71"/>
      <c r="BC247" s="71"/>
      <c r="BD247" s="71"/>
    </row>
    <row r="248" spans="1:56" hidden="1" x14ac:dyDescent="0.25">
      <c r="A248" s="24">
        <f>IF(B248="","",SUBTOTAL(3,$B$4:B248))</f>
        <v>148</v>
      </c>
      <c r="B248" s="25" t="s">
        <v>439</v>
      </c>
      <c r="C248" s="25" t="str">
        <f t="shared" si="63"/>
        <v>Shipment 2 Outlet Stack</v>
      </c>
      <c r="D248" s="25" t="s">
        <v>441</v>
      </c>
      <c r="E248" s="25" t="s">
        <v>775</v>
      </c>
      <c r="F248" s="25"/>
      <c r="G248" s="65">
        <v>46204</v>
      </c>
      <c r="H248" s="25" t="s">
        <v>443</v>
      </c>
      <c r="I248" s="25" t="s">
        <v>444</v>
      </c>
      <c r="J248" s="26" t="s">
        <v>447</v>
      </c>
      <c r="K248" s="27" t="s">
        <v>500</v>
      </c>
      <c r="L248" s="28" t="s">
        <v>501</v>
      </c>
      <c r="M248" s="28" t="s">
        <v>465</v>
      </c>
      <c r="N248" s="25">
        <v>1</v>
      </c>
      <c r="O248" s="29">
        <v>0.3</v>
      </c>
      <c r="P248" s="29">
        <v>0.3</v>
      </c>
      <c r="Q248" s="25" t="s">
        <v>724</v>
      </c>
      <c r="R248" s="25"/>
      <c r="S248" s="26"/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64"/>
        <v>0</v>
      </c>
      <c r="AF248" s="32">
        <f t="shared" si="65"/>
        <v>0.3</v>
      </c>
      <c r="AG248" s="30"/>
      <c r="AH248" s="33"/>
      <c r="AI248" s="34">
        <f t="shared" si="66"/>
        <v>0</v>
      </c>
      <c r="AJ248" s="35"/>
      <c r="AK248" s="30"/>
      <c r="AL248" s="36">
        <f t="shared" si="67"/>
        <v>0</v>
      </c>
      <c r="AM248" s="35"/>
      <c r="AN248" s="30"/>
      <c r="AO248" s="36">
        <f t="shared" si="68"/>
        <v>0</v>
      </c>
      <c r="AP248" s="35"/>
      <c r="AQ248" s="30"/>
      <c r="AR248" s="36">
        <f t="shared" si="69"/>
        <v>0</v>
      </c>
      <c r="AS248" s="27"/>
      <c r="AT248" s="37"/>
      <c r="AU248" s="30"/>
      <c r="AV248" s="36">
        <f t="shared" si="70"/>
        <v>0</v>
      </c>
      <c r="AW248" s="35"/>
      <c r="AX248" s="30"/>
      <c r="AY248" s="32">
        <f t="shared" si="71"/>
        <v>0</v>
      </c>
      <c r="AZ248" s="30" t="s">
        <v>440</v>
      </c>
      <c r="BA248" s="63"/>
      <c r="BB248" s="71"/>
      <c r="BC248" s="71"/>
      <c r="BD248" s="71"/>
    </row>
    <row r="249" spans="1:56" hidden="1" x14ac:dyDescent="0.25">
      <c r="A249" s="24">
        <f>IF(B249="","",SUBTOTAL(3,$B$4:B249))</f>
        <v>148</v>
      </c>
      <c r="B249" s="25" t="s">
        <v>439</v>
      </c>
      <c r="C249" s="25" t="str">
        <f t="shared" si="63"/>
        <v>Shipment 2 Outlet Stack</v>
      </c>
      <c r="D249" s="25" t="s">
        <v>441</v>
      </c>
      <c r="E249" s="25" t="s">
        <v>775</v>
      </c>
      <c r="F249" s="25"/>
      <c r="G249" s="65">
        <v>46204</v>
      </c>
      <c r="H249" s="25" t="s">
        <v>443</v>
      </c>
      <c r="I249" s="25" t="s">
        <v>444</v>
      </c>
      <c r="J249" s="26" t="s">
        <v>447</v>
      </c>
      <c r="K249" s="27" t="s">
        <v>502</v>
      </c>
      <c r="L249" s="28" t="s">
        <v>503</v>
      </c>
      <c r="M249" s="28" t="s">
        <v>465</v>
      </c>
      <c r="N249" s="25">
        <v>1</v>
      </c>
      <c r="O249" s="29">
        <v>5.4</v>
      </c>
      <c r="P249" s="29">
        <v>5.4</v>
      </c>
      <c r="Q249" s="25" t="s">
        <v>725</v>
      </c>
      <c r="R249" s="25"/>
      <c r="S249" s="26"/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64"/>
        <v>0</v>
      </c>
      <c r="AF249" s="32">
        <f t="shared" si="65"/>
        <v>5.4</v>
      </c>
      <c r="AG249" s="30"/>
      <c r="AH249" s="33"/>
      <c r="AI249" s="34">
        <f t="shared" si="66"/>
        <v>0</v>
      </c>
      <c r="AJ249" s="35"/>
      <c r="AK249" s="30"/>
      <c r="AL249" s="36">
        <f t="shared" si="67"/>
        <v>0</v>
      </c>
      <c r="AM249" s="35"/>
      <c r="AN249" s="30"/>
      <c r="AO249" s="36">
        <f t="shared" si="68"/>
        <v>0</v>
      </c>
      <c r="AP249" s="35"/>
      <c r="AQ249" s="30"/>
      <c r="AR249" s="36">
        <f t="shared" si="69"/>
        <v>0</v>
      </c>
      <c r="AS249" s="27"/>
      <c r="AT249" s="37"/>
      <c r="AU249" s="30"/>
      <c r="AV249" s="36">
        <f t="shared" si="70"/>
        <v>0</v>
      </c>
      <c r="AW249" s="35"/>
      <c r="AX249" s="30"/>
      <c r="AY249" s="32">
        <f t="shared" si="71"/>
        <v>0</v>
      </c>
      <c r="AZ249" s="30" t="s">
        <v>440</v>
      </c>
      <c r="BA249" s="63"/>
      <c r="BB249" s="71"/>
      <c r="BC249" s="71"/>
      <c r="BD249" s="71"/>
    </row>
    <row r="250" spans="1:56" hidden="1" x14ac:dyDescent="0.25">
      <c r="A250" s="24">
        <f>IF(B250="","",SUBTOTAL(3,$B$4:B250))</f>
        <v>148</v>
      </c>
      <c r="B250" s="25" t="s">
        <v>439</v>
      </c>
      <c r="C250" s="25" t="str">
        <f t="shared" si="63"/>
        <v>Shipment 2 Outlet Stack</v>
      </c>
      <c r="D250" s="25" t="s">
        <v>441</v>
      </c>
      <c r="E250" s="25" t="s">
        <v>775</v>
      </c>
      <c r="F250" s="25"/>
      <c r="G250" s="65">
        <v>46204</v>
      </c>
      <c r="H250" s="25" t="s">
        <v>443</v>
      </c>
      <c r="I250" s="25" t="s">
        <v>444</v>
      </c>
      <c r="J250" s="26" t="s">
        <v>447</v>
      </c>
      <c r="K250" s="27" t="s">
        <v>504</v>
      </c>
      <c r="L250" s="28" t="s">
        <v>505</v>
      </c>
      <c r="M250" s="28" t="s">
        <v>465</v>
      </c>
      <c r="N250" s="25">
        <v>1</v>
      </c>
      <c r="O250" s="29">
        <v>2.8</v>
      </c>
      <c r="P250" s="29">
        <v>2.8</v>
      </c>
      <c r="Q250" s="25" t="s">
        <v>726</v>
      </c>
      <c r="R250" s="25"/>
      <c r="S250" s="26"/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64"/>
        <v>0</v>
      </c>
      <c r="AF250" s="32">
        <f t="shared" si="65"/>
        <v>2.8</v>
      </c>
      <c r="AG250" s="30"/>
      <c r="AH250" s="33"/>
      <c r="AI250" s="34">
        <f t="shared" si="66"/>
        <v>0</v>
      </c>
      <c r="AJ250" s="35"/>
      <c r="AK250" s="30"/>
      <c r="AL250" s="36">
        <f t="shared" si="67"/>
        <v>0</v>
      </c>
      <c r="AM250" s="35"/>
      <c r="AN250" s="30"/>
      <c r="AO250" s="36">
        <f t="shared" si="68"/>
        <v>0</v>
      </c>
      <c r="AP250" s="35"/>
      <c r="AQ250" s="30"/>
      <c r="AR250" s="36">
        <f t="shared" si="69"/>
        <v>0</v>
      </c>
      <c r="AS250" s="27"/>
      <c r="AT250" s="37"/>
      <c r="AU250" s="30"/>
      <c r="AV250" s="36">
        <f t="shared" si="70"/>
        <v>0</v>
      </c>
      <c r="AW250" s="35"/>
      <c r="AX250" s="30"/>
      <c r="AY250" s="32">
        <f t="shared" si="71"/>
        <v>0</v>
      </c>
      <c r="AZ250" s="30" t="s">
        <v>440</v>
      </c>
      <c r="BA250" s="63"/>
      <c r="BB250" s="71"/>
      <c r="BC250" s="71"/>
      <c r="BD250" s="71"/>
    </row>
    <row r="251" spans="1:56" hidden="1" x14ac:dyDescent="0.25">
      <c r="A251" s="24">
        <f>IF(B251="","",SUBTOTAL(3,$B$4:B251))</f>
        <v>148</v>
      </c>
      <c r="B251" s="25" t="s">
        <v>439</v>
      </c>
      <c r="C251" s="25" t="str">
        <f t="shared" si="63"/>
        <v>Shipment 2 Outlet Stack</v>
      </c>
      <c r="D251" s="25" t="s">
        <v>441</v>
      </c>
      <c r="E251" s="25" t="s">
        <v>775</v>
      </c>
      <c r="F251" s="25"/>
      <c r="G251" s="65">
        <v>46204</v>
      </c>
      <c r="H251" s="25" t="s">
        <v>443</v>
      </c>
      <c r="I251" s="25" t="s">
        <v>444</v>
      </c>
      <c r="J251" s="26" t="s">
        <v>447</v>
      </c>
      <c r="K251" s="27" t="s">
        <v>506</v>
      </c>
      <c r="L251" s="28" t="s">
        <v>507</v>
      </c>
      <c r="M251" s="28" t="s">
        <v>465</v>
      </c>
      <c r="N251" s="25">
        <v>1</v>
      </c>
      <c r="O251" s="29">
        <v>0.3</v>
      </c>
      <c r="P251" s="29">
        <v>0.3</v>
      </c>
      <c r="Q251" s="25" t="s">
        <v>727</v>
      </c>
      <c r="R251" s="25"/>
      <c r="S251" s="26"/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64"/>
        <v>0</v>
      </c>
      <c r="AF251" s="32">
        <f t="shared" si="65"/>
        <v>0.3</v>
      </c>
      <c r="AG251" s="30"/>
      <c r="AH251" s="33"/>
      <c r="AI251" s="34">
        <f t="shared" si="66"/>
        <v>0</v>
      </c>
      <c r="AJ251" s="35"/>
      <c r="AK251" s="30"/>
      <c r="AL251" s="36">
        <f t="shared" si="67"/>
        <v>0</v>
      </c>
      <c r="AM251" s="35"/>
      <c r="AN251" s="30"/>
      <c r="AO251" s="36">
        <f t="shared" si="68"/>
        <v>0</v>
      </c>
      <c r="AP251" s="35"/>
      <c r="AQ251" s="30"/>
      <c r="AR251" s="36">
        <f t="shared" si="69"/>
        <v>0</v>
      </c>
      <c r="AS251" s="27"/>
      <c r="AT251" s="37"/>
      <c r="AU251" s="30"/>
      <c r="AV251" s="36">
        <f t="shared" si="70"/>
        <v>0</v>
      </c>
      <c r="AW251" s="35"/>
      <c r="AX251" s="30"/>
      <c r="AY251" s="32">
        <f t="shared" si="71"/>
        <v>0</v>
      </c>
      <c r="AZ251" s="30" t="s">
        <v>440</v>
      </c>
      <c r="BA251" s="63"/>
      <c r="BB251" s="71"/>
      <c r="BC251" s="71"/>
      <c r="BD251" s="71"/>
    </row>
    <row r="252" spans="1:56" hidden="1" x14ac:dyDescent="0.25">
      <c r="A252" s="24">
        <f>IF(B252="","",SUBTOTAL(3,$B$4:B252))</f>
        <v>148</v>
      </c>
      <c r="B252" s="25" t="s">
        <v>439</v>
      </c>
      <c r="C252" s="25" t="str">
        <f t="shared" si="63"/>
        <v>Shipment 2 Outlet Stack</v>
      </c>
      <c r="D252" s="25" t="s">
        <v>441</v>
      </c>
      <c r="E252" s="25" t="s">
        <v>775</v>
      </c>
      <c r="F252" s="25"/>
      <c r="G252" s="65">
        <v>46204</v>
      </c>
      <c r="H252" s="25" t="s">
        <v>443</v>
      </c>
      <c r="I252" s="25" t="s">
        <v>444</v>
      </c>
      <c r="J252" s="26" t="s">
        <v>447</v>
      </c>
      <c r="K252" s="27" t="s">
        <v>508</v>
      </c>
      <c r="L252" s="28" t="s">
        <v>509</v>
      </c>
      <c r="M252" s="28" t="s">
        <v>465</v>
      </c>
      <c r="N252" s="25">
        <v>1</v>
      </c>
      <c r="O252" s="29">
        <v>2.8</v>
      </c>
      <c r="P252" s="29">
        <v>2.8</v>
      </c>
      <c r="Q252" s="25" t="s">
        <v>728</v>
      </c>
      <c r="R252" s="25"/>
      <c r="S252" s="26"/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64"/>
        <v>0</v>
      </c>
      <c r="AF252" s="32">
        <f t="shared" si="65"/>
        <v>2.8</v>
      </c>
      <c r="AG252" s="30"/>
      <c r="AH252" s="33"/>
      <c r="AI252" s="34">
        <f t="shared" si="66"/>
        <v>0</v>
      </c>
      <c r="AJ252" s="35"/>
      <c r="AK252" s="30"/>
      <c r="AL252" s="36">
        <f t="shared" si="67"/>
        <v>0</v>
      </c>
      <c r="AM252" s="35"/>
      <c r="AN252" s="30"/>
      <c r="AO252" s="36">
        <f t="shared" si="68"/>
        <v>0</v>
      </c>
      <c r="AP252" s="35"/>
      <c r="AQ252" s="30"/>
      <c r="AR252" s="36">
        <f t="shared" si="69"/>
        <v>0</v>
      </c>
      <c r="AS252" s="27"/>
      <c r="AT252" s="37"/>
      <c r="AU252" s="30"/>
      <c r="AV252" s="36">
        <f t="shared" si="70"/>
        <v>0</v>
      </c>
      <c r="AW252" s="35"/>
      <c r="AX252" s="30"/>
      <c r="AY252" s="32">
        <f t="shared" si="71"/>
        <v>0</v>
      </c>
      <c r="AZ252" s="30" t="s">
        <v>440</v>
      </c>
      <c r="BA252" s="63"/>
      <c r="BB252" s="71"/>
      <c r="BC252" s="71"/>
      <c r="BD252" s="71"/>
    </row>
    <row r="253" spans="1:56" hidden="1" x14ac:dyDescent="0.25">
      <c r="A253" s="24">
        <f>IF(B253="","",SUBTOTAL(3,$B$4:B253))</f>
        <v>148</v>
      </c>
      <c r="B253" s="25" t="s">
        <v>439</v>
      </c>
      <c r="C253" s="25" t="str">
        <f t="shared" si="63"/>
        <v>Shipment 2 Outlet Stack</v>
      </c>
      <c r="D253" s="25" t="s">
        <v>441</v>
      </c>
      <c r="E253" s="25" t="s">
        <v>775</v>
      </c>
      <c r="F253" s="25"/>
      <c r="G253" s="65">
        <v>46204</v>
      </c>
      <c r="H253" s="25" t="s">
        <v>443</v>
      </c>
      <c r="I253" s="25" t="s">
        <v>444</v>
      </c>
      <c r="J253" s="26" t="s">
        <v>447</v>
      </c>
      <c r="K253" s="27" t="s">
        <v>510</v>
      </c>
      <c r="L253" s="28" t="s">
        <v>511</v>
      </c>
      <c r="M253" s="28" t="s">
        <v>465</v>
      </c>
      <c r="N253" s="25">
        <v>1</v>
      </c>
      <c r="O253" s="29">
        <v>3.3</v>
      </c>
      <c r="P253" s="29">
        <v>3.3</v>
      </c>
      <c r="Q253" s="25" t="s">
        <v>729</v>
      </c>
      <c r="R253" s="25"/>
      <c r="S253" s="26"/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64"/>
        <v>0</v>
      </c>
      <c r="AF253" s="32">
        <f t="shared" si="65"/>
        <v>3.3</v>
      </c>
      <c r="AG253" s="30"/>
      <c r="AH253" s="33"/>
      <c r="AI253" s="34">
        <f t="shared" si="66"/>
        <v>0</v>
      </c>
      <c r="AJ253" s="35"/>
      <c r="AK253" s="30"/>
      <c r="AL253" s="36">
        <f t="shared" si="67"/>
        <v>0</v>
      </c>
      <c r="AM253" s="35"/>
      <c r="AN253" s="30"/>
      <c r="AO253" s="36">
        <f t="shared" si="68"/>
        <v>0</v>
      </c>
      <c r="AP253" s="35"/>
      <c r="AQ253" s="30"/>
      <c r="AR253" s="36">
        <f t="shared" si="69"/>
        <v>0</v>
      </c>
      <c r="AS253" s="27"/>
      <c r="AT253" s="37"/>
      <c r="AU253" s="30"/>
      <c r="AV253" s="36">
        <f t="shared" si="70"/>
        <v>0</v>
      </c>
      <c r="AW253" s="35"/>
      <c r="AX253" s="30"/>
      <c r="AY253" s="32">
        <f t="shared" si="71"/>
        <v>0</v>
      </c>
      <c r="AZ253" s="30" t="s">
        <v>440</v>
      </c>
      <c r="BA253" s="63"/>
      <c r="BB253" s="71"/>
      <c r="BC253" s="71"/>
      <c r="BD253" s="71"/>
    </row>
    <row r="254" spans="1:56" hidden="1" x14ac:dyDescent="0.25">
      <c r="A254" s="24">
        <f>IF(B254="","",SUBTOTAL(3,$B$4:B254))</f>
        <v>148</v>
      </c>
      <c r="B254" s="25" t="s">
        <v>439</v>
      </c>
      <c r="C254" s="25" t="str">
        <f t="shared" si="63"/>
        <v>Shipment 2 Outlet Stack</v>
      </c>
      <c r="D254" s="25" t="s">
        <v>441</v>
      </c>
      <c r="E254" s="25" t="s">
        <v>775</v>
      </c>
      <c r="F254" s="25"/>
      <c r="G254" s="65">
        <v>46204</v>
      </c>
      <c r="H254" s="25" t="s">
        <v>443</v>
      </c>
      <c r="I254" s="25" t="s">
        <v>444</v>
      </c>
      <c r="J254" s="26" t="s">
        <v>447</v>
      </c>
      <c r="K254" s="27" t="s">
        <v>512</v>
      </c>
      <c r="L254" s="28" t="s">
        <v>513</v>
      </c>
      <c r="M254" s="28" t="s">
        <v>465</v>
      </c>
      <c r="N254" s="25">
        <v>1</v>
      </c>
      <c r="O254" s="29">
        <v>1.7</v>
      </c>
      <c r="P254" s="29">
        <v>1.7</v>
      </c>
      <c r="Q254" s="25" t="s">
        <v>730</v>
      </c>
      <c r="R254" s="25"/>
      <c r="S254" s="26"/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64"/>
        <v>0</v>
      </c>
      <c r="AF254" s="32">
        <f t="shared" si="65"/>
        <v>1.7</v>
      </c>
      <c r="AG254" s="30"/>
      <c r="AH254" s="33"/>
      <c r="AI254" s="34">
        <f t="shared" si="66"/>
        <v>0</v>
      </c>
      <c r="AJ254" s="35"/>
      <c r="AK254" s="30"/>
      <c r="AL254" s="36">
        <f t="shared" si="67"/>
        <v>0</v>
      </c>
      <c r="AM254" s="35"/>
      <c r="AN254" s="30"/>
      <c r="AO254" s="36">
        <f t="shared" si="68"/>
        <v>0</v>
      </c>
      <c r="AP254" s="35"/>
      <c r="AQ254" s="30"/>
      <c r="AR254" s="36">
        <f t="shared" si="69"/>
        <v>0</v>
      </c>
      <c r="AS254" s="27"/>
      <c r="AT254" s="37"/>
      <c r="AU254" s="30"/>
      <c r="AV254" s="36">
        <f t="shared" si="70"/>
        <v>0</v>
      </c>
      <c r="AW254" s="35"/>
      <c r="AX254" s="30"/>
      <c r="AY254" s="32">
        <f t="shared" si="71"/>
        <v>0</v>
      </c>
      <c r="AZ254" s="30" t="s">
        <v>440</v>
      </c>
      <c r="BA254" s="63"/>
      <c r="BB254" s="71"/>
      <c r="BC254" s="71"/>
      <c r="BD254" s="71"/>
    </row>
    <row r="255" spans="1:56" hidden="1" x14ac:dyDescent="0.25">
      <c r="A255" s="24">
        <f>IF(B255="","",SUBTOTAL(3,$B$4:B255))</f>
        <v>148</v>
      </c>
      <c r="B255" s="25" t="s">
        <v>439</v>
      </c>
      <c r="C255" s="25" t="str">
        <f t="shared" si="63"/>
        <v>Shipment 2 Outlet Stack</v>
      </c>
      <c r="D255" s="25" t="s">
        <v>441</v>
      </c>
      <c r="E255" s="25" t="s">
        <v>775</v>
      </c>
      <c r="F255" s="25"/>
      <c r="G255" s="65">
        <v>46204</v>
      </c>
      <c r="H255" s="25" t="s">
        <v>443</v>
      </c>
      <c r="I255" s="25" t="s">
        <v>444</v>
      </c>
      <c r="J255" s="26" t="s">
        <v>447</v>
      </c>
      <c r="K255" s="27" t="s">
        <v>514</v>
      </c>
      <c r="L255" s="28" t="s">
        <v>515</v>
      </c>
      <c r="M255" s="28" t="s">
        <v>465</v>
      </c>
      <c r="N255" s="25">
        <v>1</v>
      </c>
      <c r="O255" s="29">
        <v>1.5</v>
      </c>
      <c r="P255" s="29">
        <v>1.5</v>
      </c>
      <c r="Q255" s="25" t="s">
        <v>731</v>
      </c>
      <c r="R255" s="25"/>
      <c r="S255" s="26"/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64"/>
        <v>0</v>
      </c>
      <c r="AF255" s="32">
        <f t="shared" si="65"/>
        <v>1.5</v>
      </c>
      <c r="AG255" s="30"/>
      <c r="AH255" s="33"/>
      <c r="AI255" s="34">
        <f t="shared" si="66"/>
        <v>0</v>
      </c>
      <c r="AJ255" s="35"/>
      <c r="AK255" s="30"/>
      <c r="AL255" s="36">
        <f t="shared" si="67"/>
        <v>0</v>
      </c>
      <c r="AM255" s="35"/>
      <c r="AN255" s="30"/>
      <c r="AO255" s="36">
        <f t="shared" si="68"/>
        <v>0</v>
      </c>
      <c r="AP255" s="35"/>
      <c r="AQ255" s="30"/>
      <c r="AR255" s="36">
        <f t="shared" si="69"/>
        <v>0</v>
      </c>
      <c r="AS255" s="27"/>
      <c r="AT255" s="37"/>
      <c r="AU255" s="30"/>
      <c r="AV255" s="36">
        <f t="shared" si="70"/>
        <v>0</v>
      </c>
      <c r="AW255" s="35"/>
      <c r="AX255" s="30"/>
      <c r="AY255" s="32">
        <f t="shared" si="71"/>
        <v>0</v>
      </c>
      <c r="AZ255" s="30" t="s">
        <v>440</v>
      </c>
      <c r="BA255" s="63"/>
      <c r="BB255" s="71"/>
      <c r="BC255" s="71"/>
      <c r="BD255" s="71"/>
    </row>
    <row r="256" spans="1:56" hidden="1" x14ac:dyDescent="0.25">
      <c r="A256" s="24">
        <f>IF(B256="","",SUBTOTAL(3,$B$4:B256))</f>
        <v>148</v>
      </c>
      <c r="B256" s="25" t="s">
        <v>439</v>
      </c>
      <c r="C256" s="25" t="str">
        <f t="shared" si="63"/>
        <v>Shipment 2 Outlet Stack</v>
      </c>
      <c r="D256" s="25" t="s">
        <v>441</v>
      </c>
      <c r="E256" s="25" t="s">
        <v>775</v>
      </c>
      <c r="F256" s="25"/>
      <c r="G256" s="65">
        <v>46204</v>
      </c>
      <c r="H256" s="25" t="s">
        <v>443</v>
      </c>
      <c r="I256" s="25" t="s">
        <v>444</v>
      </c>
      <c r="J256" s="26" t="s">
        <v>447</v>
      </c>
      <c r="K256" s="27" t="s">
        <v>516</v>
      </c>
      <c r="L256" s="28" t="s">
        <v>517</v>
      </c>
      <c r="M256" s="28" t="s">
        <v>465</v>
      </c>
      <c r="N256" s="25">
        <v>1</v>
      </c>
      <c r="O256" s="29">
        <v>5.4</v>
      </c>
      <c r="P256" s="29">
        <v>5.4</v>
      </c>
      <c r="Q256" s="25" t="s">
        <v>732</v>
      </c>
      <c r="R256" s="25"/>
      <c r="S256" s="26"/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64"/>
        <v>0</v>
      </c>
      <c r="AF256" s="32">
        <f t="shared" si="65"/>
        <v>5.4</v>
      </c>
      <c r="AG256" s="30"/>
      <c r="AH256" s="33"/>
      <c r="AI256" s="34">
        <f t="shared" si="66"/>
        <v>0</v>
      </c>
      <c r="AJ256" s="35"/>
      <c r="AK256" s="30"/>
      <c r="AL256" s="36">
        <f t="shared" si="67"/>
        <v>0</v>
      </c>
      <c r="AM256" s="35"/>
      <c r="AN256" s="30"/>
      <c r="AO256" s="36">
        <f t="shared" si="68"/>
        <v>0</v>
      </c>
      <c r="AP256" s="35"/>
      <c r="AQ256" s="30"/>
      <c r="AR256" s="36">
        <f t="shared" si="69"/>
        <v>0</v>
      </c>
      <c r="AS256" s="27"/>
      <c r="AT256" s="37"/>
      <c r="AU256" s="30"/>
      <c r="AV256" s="36">
        <f t="shared" si="70"/>
        <v>0</v>
      </c>
      <c r="AW256" s="35"/>
      <c r="AX256" s="30"/>
      <c r="AY256" s="32">
        <f t="shared" si="71"/>
        <v>0</v>
      </c>
      <c r="AZ256" s="30" t="s">
        <v>440</v>
      </c>
      <c r="BA256" s="63"/>
      <c r="BB256" s="71"/>
      <c r="BC256" s="71"/>
      <c r="BD256" s="71"/>
    </row>
    <row r="257" spans="1:56" hidden="1" x14ac:dyDescent="0.25">
      <c r="A257" s="24">
        <f>IF(B257="","",SUBTOTAL(3,$B$4:B257))</f>
        <v>148</v>
      </c>
      <c r="B257" s="25" t="s">
        <v>439</v>
      </c>
      <c r="C257" s="25" t="str">
        <f t="shared" si="63"/>
        <v>Shipment 2 Outlet Stack</v>
      </c>
      <c r="D257" s="25" t="s">
        <v>441</v>
      </c>
      <c r="E257" s="25" t="s">
        <v>775</v>
      </c>
      <c r="F257" s="25"/>
      <c r="G257" s="65">
        <v>46204</v>
      </c>
      <c r="H257" s="25" t="s">
        <v>443</v>
      </c>
      <c r="I257" s="25" t="s">
        <v>444</v>
      </c>
      <c r="J257" s="26" t="s">
        <v>447</v>
      </c>
      <c r="K257" s="27" t="s">
        <v>518</v>
      </c>
      <c r="L257" s="28" t="s">
        <v>519</v>
      </c>
      <c r="M257" s="28" t="s">
        <v>465</v>
      </c>
      <c r="N257" s="25">
        <v>1</v>
      </c>
      <c r="O257" s="29">
        <v>1.3</v>
      </c>
      <c r="P257" s="29">
        <v>1.3</v>
      </c>
      <c r="Q257" s="25" t="s">
        <v>733</v>
      </c>
      <c r="R257" s="25"/>
      <c r="S257" s="26"/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64"/>
        <v>0</v>
      </c>
      <c r="AF257" s="32">
        <f t="shared" si="65"/>
        <v>1.3</v>
      </c>
      <c r="AG257" s="30"/>
      <c r="AH257" s="33"/>
      <c r="AI257" s="34">
        <f t="shared" si="66"/>
        <v>0</v>
      </c>
      <c r="AJ257" s="35"/>
      <c r="AK257" s="30"/>
      <c r="AL257" s="36">
        <f t="shared" si="67"/>
        <v>0</v>
      </c>
      <c r="AM257" s="35"/>
      <c r="AN257" s="30"/>
      <c r="AO257" s="36">
        <f t="shared" si="68"/>
        <v>0</v>
      </c>
      <c r="AP257" s="35"/>
      <c r="AQ257" s="30"/>
      <c r="AR257" s="36">
        <f t="shared" si="69"/>
        <v>0</v>
      </c>
      <c r="AS257" s="27"/>
      <c r="AT257" s="37"/>
      <c r="AU257" s="30"/>
      <c r="AV257" s="36">
        <f t="shared" si="70"/>
        <v>0</v>
      </c>
      <c r="AW257" s="35"/>
      <c r="AX257" s="30"/>
      <c r="AY257" s="32">
        <f t="shared" si="71"/>
        <v>0</v>
      </c>
      <c r="AZ257" s="30" t="s">
        <v>440</v>
      </c>
      <c r="BA257" s="63"/>
      <c r="BB257" s="71"/>
      <c r="BC257" s="71"/>
      <c r="BD257" s="71"/>
    </row>
    <row r="258" spans="1:56" hidden="1" x14ac:dyDescent="0.25">
      <c r="A258" s="24">
        <f>IF(B258="","",SUBTOTAL(3,$B$4:B258))</f>
        <v>148</v>
      </c>
      <c r="B258" s="25" t="s">
        <v>439</v>
      </c>
      <c r="C258" s="25" t="str">
        <f t="shared" si="63"/>
        <v>Shipment 2 Outlet Stack</v>
      </c>
      <c r="D258" s="25" t="s">
        <v>441</v>
      </c>
      <c r="E258" s="25" t="s">
        <v>775</v>
      </c>
      <c r="F258" s="25"/>
      <c r="G258" s="65">
        <v>46204</v>
      </c>
      <c r="H258" s="25" t="s">
        <v>443</v>
      </c>
      <c r="I258" s="25" t="s">
        <v>444</v>
      </c>
      <c r="J258" s="26" t="s">
        <v>447</v>
      </c>
      <c r="K258" s="27" t="s">
        <v>520</v>
      </c>
      <c r="L258" s="28" t="s">
        <v>521</v>
      </c>
      <c r="M258" s="28" t="s">
        <v>465</v>
      </c>
      <c r="N258" s="25">
        <v>17</v>
      </c>
      <c r="O258" s="29">
        <v>5</v>
      </c>
      <c r="P258" s="29">
        <v>85.1</v>
      </c>
      <c r="Q258" s="25" t="s">
        <v>734</v>
      </c>
      <c r="R258" s="25"/>
      <c r="S258" s="26"/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64"/>
        <v>0</v>
      </c>
      <c r="AF258" s="32">
        <f t="shared" si="65"/>
        <v>85.1</v>
      </c>
      <c r="AG258" s="30"/>
      <c r="AH258" s="33"/>
      <c r="AI258" s="34">
        <f t="shared" si="66"/>
        <v>0</v>
      </c>
      <c r="AJ258" s="35"/>
      <c r="AK258" s="30"/>
      <c r="AL258" s="36">
        <f t="shared" si="67"/>
        <v>0</v>
      </c>
      <c r="AM258" s="35"/>
      <c r="AN258" s="30"/>
      <c r="AO258" s="36">
        <f t="shared" si="68"/>
        <v>0</v>
      </c>
      <c r="AP258" s="35"/>
      <c r="AQ258" s="30"/>
      <c r="AR258" s="36">
        <f t="shared" si="69"/>
        <v>0</v>
      </c>
      <c r="AS258" s="27"/>
      <c r="AT258" s="37"/>
      <c r="AU258" s="30"/>
      <c r="AV258" s="36">
        <f t="shared" si="70"/>
        <v>0</v>
      </c>
      <c r="AW258" s="35"/>
      <c r="AX258" s="30"/>
      <c r="AY258" s="32">
        <f t="shared" si="71"/>
        <v>0</v>
      </c>
      <c r="AZ258" s="30" t="s">
        <v>440</v>
      </c>
      <c r="BA258" s="63"/>
      <c r="BB258" s="71"/>
      <c r="BC258" s="71"/>
      <c r="BD258" s="71"/>
    </row>
    <row r="259" spans="1:56" hidden="1" x14ac:dyDescent="0.25">
      <c r="A259" s="24">
        <f>IF(B259="","",SUBTOTAL(3,$B$4:B259))</f>
        <v>148</v>
      </c>
      <c r="B259" s="25" t="s">
        <v>439</v>
      </c>
      <c r="C259" s="25" t="str">
        <f t="shared" si="63"/>
        <v>Shipment 2 Outlet Stack</v>
      </c>
      <c r="D259" s="25" t="s">
        <v>441</v>
      </c>
      <c r="E259" s="25" t="s">
        <v>775</v>
      </c>
      <c r="F259" s="25"/>
      <c r="G259" s="65">
        <v>46204</v>
      </c>
      <c r="H259" s="25" t="s">
        <v>443</v>
      </c>
      <c r="I259" s="25" t="s">
        <v>444</v>
      </c>
      <c r="J259" s="26" t="s">
        <v>447</v>
      </c>
      <c r="K259" s="27" t="s">
        <v>522</v>
      </c>
      <c r="L259" s="28" t="s">
        <v>523</v>
      </c>
      <c r="M259" s="28" t="s">
        <v>465</v>
      </c>
      <c r="N259" s="25">
        <v>1</v>
      </c>
      <c r="O259" s="29">
        <v>6.7</v>
      </c>
      <c r="P259" s="29">
        <v>6.7</v>
      </c>
      <c r="Q259" s="25" t="s">
        <v>713</v>
      </c>
      <c r="R259" s="25"/>
      <c r="S259" s="26"/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64"/>
        <v>0</v>
      </c>
      <c r="AF259" s="32">
        <f t="shared" si="65"/>
        <v>6.7</v>
      </c>
      <c r="AG259" s="30"/>
      <c r="AH259" s="33"/>
      <c r="AI259" s="34">
        <f t="shared" si="66"/>
        <v>0</v>
      </c>
      <c r="AJ259" s="35"/>
      <c r="AK259" s="30"/>
      <c r="AL259" s="36">
        <f t="shared" si="67"/>
        <v>0</v>
      </c>
      <c r="AM259" s="35"/>
      <c r="AN259" s="30"/>
      <c r="AO259" s="36">
        <f t="shared" si="68"/>
        <v>0</v>
      </c>
      <c r="AP259" s="35"/>
      <c r="AQ259" s="30"/>
      <c r="AR259" s="36">
        <f t="shared" si="69"/>
        <v>0</v>
      </c>
      <c r="AS259" s="27"/>
      <c r="AT259" s="37"/>
      <c r="AU259" s="30"/>
      <c r="AV259" s="36">
        <f t="shared" si="70"/>
        <v>0</v>
      </c>
      <c r="AW259" s="35"/>
      <c r="AX259" s="30"/>
      <c r="AY259" s="32">
        <f t="shared" si="71"/>
        <v>0</v>
      </c>
      <c r="AZ259" s="30" t="s">
        <v>440</v>
      </c>
      <c r="BA259" s="63"/>
      <c r="BB259" s="71"/>
      <c r="BC259" s="71"/>
      <c r="BD259" s="71"/>
    </row>
    <row r="260" spans="1:56" hidden="1" x14ac:dyDescent="0.25">
      <c r="A260" s="24">
        <f>IF(B260="","",SUBTOTAL(3,$B$4:B260))</f>
        <v>148</v>
      </c>
      <c r="B260" s="25" t="s">
        <v>439</v>
      </c>
      <c r="C260" s="25" t="str">
        <f t="shared" si="63"/>
        <v>Shipment 2 Outlet Stack</v>
      </c>
      <c r="D260" s="25" t="s">
        <v>441</v>
      </c>
      <c r="E260" s="25" t="s">
        <v>775</v>
      </c>
      <c r="F260" s="25"/>
      <c r="G260" s="65">
        <v>46204</v>
      </c>
      <c r="H260" s="25" t="s">
        <v>443</v>
      </c>
      <c r="I260" s="25" t="s">
        <v>444</v>
      </c>
      <c r="J260" s="26" t="s">
        <v>447</v>
      </c>
      <c r="K260" s="27" t="s">
        <v>524</v>
      </c>
      <c r="L260" s="28" t="s">
        <v>525</v>
      </c>
      <c r="M260" s="28" t="s">
        <v>465</v>
      </c>
      <c r="N260" s="25">
        <v>1</v>
      </c>
      <c r="O260" s="29">
        <v>5.9</v>
      </c>
      <c r="P260" s="29">
        <v>5.9</v>
      </c>
      <c r="Q260" s="25" t="s">
        <v>713</v>
      </c>
      <c r="R260" s="25"/>
      <c r="S260" s="26"/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64"/>
        <v>0</v>
      </c>
      <c r="AF260" s="32">
        <f t="shared" si="65"/>
        <v>5.9</v>
      </c>
      <c r="AG260" s="30"/>
      <c r="AH260" s="33"/>
      <c r="AI260" s="34">
        <f t="shared" si="66"/>
        <v>0</v>
      </c>
      <c r="AJ260" s="35"/>
      <c r="AK260" s="30"/>
      <c r="AL260" s="36">
        <f t="shared" si="67"/>
        <v>0</v>
      </c>
      <c r="AM260" s="35"/>
      <c r="AN260" s="30"/>
      <c r="AO260" s="36">
        <f t="shared" si="68"/>
        <v>0</v>
      </c>
      <c r="AP260" s="35"/>
      <c r="AQ260" s="30"/>
      <c r="AR260" s="36">
        <f t="shared" si="69"/>
        <v>0</v>
      </c>
      <c r="AS260" s="27"/>
      <c r="AT260" s="37"/>
      <c r="AU260" s="30"/>
      <c r="AV260" s="36">
        <f t="shared" si="70"/>
        <v>0</v>
      </c>
      <c r="AW260" s="35"/>
      <c r="AX260" s="30"/>
      <c r="AY260" s="32">
        <f t="shared" si="71"/>
        <v>0</v>
      </c>
      <c r="AZ260" s="30" t="s">
        <v>440</v>
      </c>
      <c r="BA260" s="63"/>
      <c r="BB260" s="71"/>
      <c r="BC260" s="71"/>
      <c r="BD260" s="71"/>
    </row>
    <row r="261" spans="1:56" hidden="1" x14ac:dyDescent="0.25">
      <c r="A261" s="24">
        <f>IF(B261="","",SUBTOTAL(3,$B$4:B261))</f>
        <v>148</v>
      </c>
      <c r="B261" s="25" t="s">
        <v>439</v>
      </c>
      <c r="C261" s="25" t="str">
        <f t="shared" si="63"/>
        <v>Shipment 2 Outlet Stack</v>
      </c>
      <c r="D261" s="25" t="s">
        <v>441</v>
      </c>
      <c r="E261" s="25" t="s">
        <v>775</v>
      </c>
      <c r="F261" s="25"/>
      <c r="G261" s="65">
        <v>46204</v>
      </c>
      <c r="H261" s="25" t="s">
        <v>443</v>
      </c>
      <c r="I261" s="25" t="s">
        <v>444</v>
      </c>
      <c r="J261" s="26" t="s">
        <v>447</v>
      </c>
      <c r="K261" s="27" t="s">
        <v>526</v>
      </c>
      <c r="L261" s="28" t="s">
        <v>527</v>
      </c>
      <c r="M261" s="28" t="s">
        <v>465</v>
      </c>
      <c r="N261" s="25">
        <v>1</v>
      </c>
      <c r="O261" s="29">
        <v>4.7</v>
      </c>
      <c r="P261" s="29">
        <v>4.7</v>
      </c>
      <c r="Q261" s="25" t="s">
        <v>734</v>
      </c>
      <c r="R261" s="25"/>
      <c r="S261" s="26"/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64"/>
        <v>0</v>
      </c>
      <c r="AF261" s="32">
        <f t="shared" si="65"/>
        <v>4.7</v>
      </c>
      <c r="AG261" s="30"/>
      <c r="AH261" s="33"/>
      <c r="AI261" s="34">
        <f t="shared" si="66"/>
        <v>0</v>
      </c>
      <c r="AJ261" s="35"/>
      <c r="AK261" s="30"/>
      <c r="AL261" s="36">
        <f t="shared" si="67"/>
        <v>0</v>
      </c>
      <c r="AM261" s="35"/>
      <c r="AN261" s="30"/>
      <c r="AO261" s="36">
        <f t="shared" si="68"/>
        <v>0</v>
      </c>
      <c r="AP261" s="35"/>
      <c r="AQ261" s="30"/>
      <c r="AR261" s="36">
        <f t="shared" si="69"/>
        <v>0</v>
      </c>
      <c r="AS261" s="27"/>
      <c r="AT261" s="37"/>
      <c r="AU261" s="30"/>
      <c r="AV261" s="36">
        <f t="shared" si="70"/>
        <v>0</v>
      </c>
      <c r="AW261" s="35"/>
      <c r="AX261" s="30"/>
      <c r="AY261" s="32">
        <f t="shared" si="71"/>
        <v>0</v>
      </c>
      <c r="AZ261" s="30" t="s">
        <v>440</v>
      </c>
      <c r="BA261" s="63"/>
      <c r="BB261" s="71"/>
      <c r="BC261" s="71"/>
      <c r="BD261" s="71"/>
    </row>
    <row r="262" spans="1:56" hidden="1" x14ac:dyDescent="0.25">
      <c r="A262" s="24">
        <f>IF(B262="","",SUBTOTAL(3,$B$4:B262))</f>
        <v>148</v>
      </c>
      <c r="B262" s="25" t="s">
        <v>439</v>
      </c>
      <c r="C262" s="25" t="str">
        <f t="shared" si="63"/>
        <v>Shipment 2 Outlet Stack</v>
      </c>
      <c r="D262" s="25" t="s">
        <v>441</v>
      </c>
      <c r="E262" s="25" t="s">
        <v>775</v>
      </c>
      <c r="F262" s="25"/>
      <c r="G262" s="65">
        <v>46204</v>
      </c>
      <c r="H262" s="25" t="s">
        <v>443</v>
      </c>
      <c r="I262" s="25" t="s">
        <v>444</v>
      </c>
      <c r="J262" s="26" t="s">
        <v>447</v>
      </c>
      <c r="K262" s="27" t="s">
        <v>528</v>
      </c>
      <c r="L262" s="28" t="s">
        <v>529</v>
      </c>
      <c r="M262" s="28" t="s">
        <v>465</v>
      </c>
      <c r="N262" s="25">
        <v>1</v>
      </c>
      <c r="O262" s="29">
        <v>2.2999999999999998</v>
      </c>
      <c r="P262" s="29">
        <v>2.2999999999999998</v>
      </c>
      <c r="Q262" s="25" t="s">
        <v>734</v>
      </c>
      <c r="R262" s="25"/>
      <c r="S262" s="26"/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64"/>
        <v>0</v>
      </c>
      <c r="AF262" s="32">
        <f t="shared" si="65"/>
        <v>2.2999999999999998</v>
      </c>
      <c r="AG262" s="30"/>
      <c r="AH262" s="33"/>
      <c r="AI262" s="34">
        <f t="shared" si="66"/>
        <v>0</v>
      </c>
      <c r="AJ262" s="35"/>
      <c r="AK262" s="30"/>
      <c r="AL262" s="36">
        <f t="shared" si="67"/>
        <v>0</v>
      </c>
      <c r="AM262" s="35"/>
      <c r="AN262" s="30"/>
      <c r="AO262" s="36">
        <f t="shared" si="68"/>
        <v>0</v>
      </c>
      <c r="AP262" s="35"/>
      <c r="AQ262" s="30"/>
      <c r="AR262" s="36">
        <f t="shared" si="69"/>
        <v>0</v>
      </c>
      <c r="AS262" s="27"/>
      <c r="AT262" s="37"/>
      <c r="AU262" s="30"/>
      <c r="AV262" s="36">
        <f t="shared" si="70"/>
        <v>0</v>
      </c>
      <c r="AW262" s="35"/>
      <c r="AX262" s="30"/>
      <c r="AY262" s="32">
        <f t="shared" si="71"/>
        <v>0</v>
      </c>
      <c r="AZ262" s="30" t="s">
        <v>440</v>
      </c>
      <c r="BA262" s="63"/>
      <c r="BB262" s="71"/>
      <c r="BC262" s="71"/>
      <c r="BD262" s="71"/>
    </row>
    <row r="263" spans="1:56" hidden="1" x14ac:dyDescent="0.25">
      <c r="A263" s="24">
        <f>IF(B263="","",SUBTOTAL(3,$B$4:B263))</f>
        <v>148</v>
      </c>
      <c r="B263" s="25" t="s">
        <v>439</v>
      </c>
      <c r="C263" s="25" t="str">
        <f t="shared" si="63"/>
        <v>Shipment 2 Outlet Stack</v>
      </c>
      <c r="D263" s="25" t="s">
        <v>441</v>
      </c>
      <c r="E263" s="25" t="s">
        <v>775</v>
      </c>
      <c r="F263" s="25"/>
      <c r="G263" s="65">
        <v>46204</v>
      </c>
      <c r="H263" s="25" t="s">
        <v>443</v>
      </c>
      <c r="I263" s="25" t="s">
        <v>444</v>
      </c>
      <c r="J263" s="26" t="s">
        <v>447</v>
      </c>
      <c r="K263" s="27" t="s">
        <v>530</v>
      </c>
      <c r="L263" s="28" t="s">
        <v>531</v>
      </c>
      <c r="M263" s="28" t="s">
        <v>465</v>
      </c>
      <c r="N263" s="25">
        <v>1</v>
      </c>
      <c r="O263" s="29">
        <v>2.1</v>
      </c>
      <c r="P263" s="29">
        <v>2.1</v>
      </c>
      <c r="Q263" s="25" t="s">
        <v>734</v>
      </c>
      <c r="R263" s="25"/>
      <c r="S263" s="26"/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64"/>
        <v>0</v>
      </c>
      <c r="AF263" s="32">
        <f t="shared" si="65"/>
        <v>2.1</v>
      </c>
      <c r="AG263" s="30"/>
      <c r="AH263" s="33"/>
      <c r="AI263" s="34">
        <f t="shared" si="66"/>
        <v>0</v>
      </c>
      <c r="AJ263" s="35"/>
      <c r="AK263" s="30"/>
      <c r="AL263" s="36">
        <f t="shared" si="67"/>
        <v>0</v>
      </c>
      <c r="AM263" s="35"/>
      <c r="AN263" s="30"/>
      <c r="AO263" s="36">
        <f t="shared" si="68"/>
        <v>0</v>
      </c>
      <c r="AP263" s="35"/>
      <c r="AQ263" s="30"/>
      <c r="AR263" s="36">
        <f t="shared" si="69"/>
        <v>0</v>
      </c>
      <c r="AS263" s="27"/>
      <c r="AT263" s="37"/>
      <c r="AU263" s="30"/>
      <c r="AV263" s="36">
        <f t="shared" si="70"/>
        <v>0</v>
      </c>
      <c r="AW263" s="35"/>
      <c r="AX263" s="30"/>
      <c r="AY263" s="32">
        <f t="shared" si="71"/>
        <v>0</v>
      </c>
      <c r="AZ263" s="30" t="s">
        <v>440</v>
      </c>
      <c r="BA263" s="63"/>
      <c r="BB263" s="71"/>
      <c r="BC263" s="71"/>
      <c r="BD263" s="71"/>
    </row>
    <row r="264" spans="1:56" hidden="1" x14ac:dyDescent="0.25">
      <c r="A264" s="24">
        <f>IF(B264="","",SUBTOTAL(3,$B$4:B264))</f>
        <v>148</v>
      </c>
      <c r="B264" s="25" t="s">
        <v>439</v>
      </c>
      <c r="C264" s="25" t="str">
        <f t="shared" si="63"/>
        <v>Shipment 2 Outlet Stack</v>
      </c>
      <c r="D264" s="25" t="s">
        <v>441</v>
      </c>
      <c r="E264" s="25" t="s">
        <v>775</v>
      </c>
      <c r="F264" s="25"/>
      <c r="G264" s="65">
        <v>46204</v>
      </c>
      <c r="H264" s="25" t="s">
        <v>443</v>
      </c>
      <c r="I264" s="25" t="s">
        <v>444</v>
      </c>
      <c r="J264" s="26" t="s">
        <v>447</v>
      </c>
      <c r="K264" s="27" t="s">
        <v>532</v>
      </c>
      <c r="L264" s="28" t="s">
        <v>533</v>
      </c>
      <c r="M264" s="28" t="s">
        <v>534</v>
      </c>
      <c r="N264" s="25">
        <v>1</v>
      </c>
      <c r="O264" s="29">
        <v>8915.1</v>
      </c>
      <c r="P264" s="29">
        <v>8915.1</v>
      </c>
      <c r="Q264" s="25" t="s">
        <v>735</v>
      </c>
      <c r="R264" s="25"/>
      <c r="S264" s="26"/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64"/>
        <v>8023.59</v>
      </c>
      <c r="AF264" s="32">
        <f t="shared" si="65"/>
        <v>891.51000000000022</v>
      </c>
      <c r="AG264" s="30"/>
      <c r="AH264" s="33"/>
      <c r="AI264" s="34">
        <f t="shared" si="66"/>
        <v>0</v>
      </c>
      <c r="AJ264" s="35">
        <v>46286</v>
      </c>
      <c r="AK264" s="30">
        <v>1</v>
      </c>
      <c r="AL264" s="36">
        <f t="shared" si="67"/>
        <v>8915.1</v>
      </c>
      <c r="AM264" s="35">
        <v>46287</v>
      </c>
      <c r="AN264" s="30">
        <v>1</v>
      </c>
      <c r="AO264" s="36">
        <f t="shared" si="68"/>
        <v>8915.1</v>
      </c>
      <c r="AP264" s="35"/>
      <c r="AQ264" s="30"/>
      <c r="AR264" s="36">
        <f t="shared" si="69"/>
        <v>0</v>
      </c>
      <c r="AS264" s="27"/>
      <c r="AT264" s="37"/>
      <c r="AU264" s="30"/>
      <c r="AV264" s="36">
        <f t="shared" si="70"/>
        <v>0</v>
      </c>
      <c r="AW264" s="35"/>
      <c r="AX264" s="30"/>
      <c r="AY264" s="32">
        <f t="shared" si="71"/>
        <v>0</v>
      </c>
      <c r="AZ264" s="30" t="s">
        <v>440</v>
      </c>
      <c r="BA264" s="63"/>
      <c r="BB264" s="71"/>
      <c r="BC264" s="71"/>
      <c r="BD264" s="71"/>
    </row>
    <row r="265" spans="1:56" hidden="1" x14ac:dyDescent="0.25">
      <c r="A265" s="24">
        <f>IF(B265="","",SUBTOTAL(3,$B$4:B265))</f>
        <v>148</v>
      </c>
      <c r="B265" s="25" t="s">
        <v>439</v>
      </c>
      <c r="C265" s="25" t="str">
        <f t="shared" si="63"/>
        <v>Shipment 2 Outlet Stack</v>
      </c>
      <c r="D265" s="25" t="s">
        <v>441</v>
      </c>
      <c r="E265" s="25" t="s">
        <v>775</v>
      </c>
      <c r="F265" s="25"/>
      <c r="G265" s="65">
        <v>46204</v>
      </c>
      <c r="H265" s="25" t="s">
        <v>443</v>
      </c>
      <c r="I265" s="25" t="s">
        <v>444</v>
      </c>
      <c r="J265" s="26" t="s">
        <v>447</v>
      </c>
      <c r="K265" s="27" t="s">
        <v>535</v>
      </c>
      <c r="L265" s="28" t="s">
        <v>536</v>
      </c>
      <c r="M265" s="28" t="s">
        <v>534</v>
      </c>
      <c r="N265" s="25">
        <v>1</v>
      </c>
      <c r="O265" s="29">
        <v>4806.6000000000004</v>
      </c>
      <c r="P265" s="29">
        <v>4806.6000000000004</v>
      </c>
      <c r="Q265" s="25" t="s">
        <v>736</v>
      </c>
      <c r="R265" s="25"/>
      <c r="S265" s="26"/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64"/>
        <v>4325.9400000000005</v>
      </c>
      <c r="AF265" s="32">
        <f t="shared" si="65"/>
        <v>480.65999999999985</v>
      </c>
      <c r="AG265" s="30"/>
      <c r="AH265" s="33"/>
      <c r="AI265" s="34">
        <f t="shared" si="66"/>
        <v>0</v>
      </c>
      <c r="AJ265" s="35">
        <v>46286</v>
      </c>
      <c r="AK265" s="30">
        <v>1</v>
      </c>
      <c r="AL265" s="36">
        <f t="shared" si="67"/>
        <v>4806.6000000000004</v>
      </c>
      <c r="AM265" s="35">
        <v>46287</v>
      </c>
      <c r="AN265" s="30">
        <v>1</v>
      </c>
      <c r="AO265" s="36">
        <f t="shared" si="68"/>
        <v>4806.6000000000004</v>
      </c>
      <c r="AP265" s="35"/>
      <c r="AQ265" s="30"/>
      <c r="AR265" s="36">
        <f t="shared" si="69"/>
        <v>0</v>
      </c>
      <c r="AS265" s="27"/>
      <c r="AT265" s="37"/>
      <c r="AU265" s="30"/>
      <c r="AV265" s="36">
        <f t="shared" si="70"/>
        <v>0</v>
      </c>
      <c r="AW265" s="35"/>
      <c r="AX265" s="30"/>
      <c r="AY265" s="32">
        <f t="shared" si="71"/>
        <v>0</v>
      </c>
      <c r="AZ265" s="30" t="s">
        <v>440</v>
      </c>
      <c r="BA265" s="63"/>
      <c r="BB265" s="71"/>
      <c r="BC265" s="71"/>
      <c r="BD265" s="71"/>
    </row>
    <row r="266" spans="1:56" hidden="1" x14ac:dyDescent="0.25">
      <c r="A266" s="24">
        <f>IF(B266="","",SUBTOTAL(3,$B$4:B266))</f>
        <v>148</v>
      </c>
      <c r="B266" s="25" t="s">
        <v>439</v>
      </c>
      <c r="C266" s="25" t="str">
        <f t="shared" si="63"/>
        <v>Shipment 2 Outlet Stack</v>
      </c>
      <c r="D266" s="25" t="s">
        <v>441</v>
      </c>
      <c r="E266" s="25" t="s">
        <v>775</v>
      </c>
      <c r="F266" s="25"/>
      <c r="G266" s="65">
        <v>46204</v>
      </c>
      <c r="H266" s="25" t="s">
        <v>443</v>
      </c>
      <c r="I266" s="25" t="s">
        <v>444</v>
      </c>
      <c r="J266" s="26" t="s">
        <v>447</v>
      </c>
      <c r="K266" s="27" t="s">
        <v>537</v>
      </c>
      <c r="L266" s="28" t="s">
        <v>538</v>
      </c>
      <c r="M266" s="28" t="s">
        <v>534</v>
      </c>
      <c r="N266" s="25">
        <v>1</v>
      </c>
      <c r="O266" s="29">
        <v>8915.1</v>
      </c>
      <c r="P266" s="29">
        <v>8915.1</v>
      </c>
      <c r="Q266" s="25" t="s">
        <v>735</v>
      </c>
      <c r="R266" s="25"/>
      <c r="S266" s="26"/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64"/>
        <v>8023.59</v>
      </c>
      <c r="AF266" s="32">
        <f t="shared" si="65"/>
        <v>891.51000000000022</v>
      </c>
      <c r="AG266" s="30"/>
      <c r="AH266" s="33"/>
      <c r="AI266" s="34">
        <f t="shared" si="66"/>
        <v>0</v>
      </c>
      <c r="AJ266" s="35">
        <v>46286</v>
      </c>
      <c r="AK266" s="30">
        <v>1</v>
      </c>
      <c r="AL266" s="36">
        <f t="shared" si="67"/>
        <v>8915.1</v>
      </c>
      <c r="AM266" s="35">
        <v>46288</v>
      </c>
      <c r="AN266" s="30">
        <v>1</v>
      </c>
      <c r="AO266" s="36">
        <f t="shared" si="68"/>
        <v>8915.1</v>
      </c>
      <c r="AP266" s="35"/>
      <c r="AQ266" s="30"/>
      <c r="AR266" s="36">
        <f t="shared" si="69"/>
        <v>0</v>
      </c>
      <c r="AS266" s="27"/>
      <c r="AT266" s="37"/>
      <c r="AU266" s="30"/>
      <c r="AV266" s="36">
        <f t="shared" si="70"/>
        <v>0</v>
      </c>
      <c r="AW266" s="35"/>
      <c r="AX266" s="30"/>
      <c r="AY266" s="32">
        <f t="shared" si="71"/>
        <v>0</v>
      </c>
      <c r="AZ266" s="30" t="s">
        <v>440</v>
      </c>
      <c r="BA266" s="63"/>
      <c r="BB266" s="71"/>
      <c r="BC266" s="71"/>
      <c r="BD266" s="71"/>
    </row>
    <row r="267" spans="1:56" hidden="1" x14ac:dyDescent="0.25">
      <c r="A267" s="24">
        <f>IF(B267="","",SUBTOTAL(3,$B$4:B267))</f>
        <v>148</v>
      </c>
      <c r="B267" s="25" t="s">
        <v>439</v>
      </c>
      <c r="C267" s="25" t="str">
        <f t="shared" si="63"/>
        <v>Shipment 2 Outlet Stack</v>
      </c>
      <c r="D267" s="25" t="s">
        <v>441</v>
      </c>
      <c r="E267" s="25" t="s">
        <v>775</v>
      </c>
      <c r="F267" s="25"/>
      <c r="G267" s="65">
        <v>46204</v>
      </c>
      <c r="H267" s="25" t="s">
        <v>443</v>
      </c>
      <c r="I267" s="25" t="s">
        <v>444</v>
      </c>
      <c r="J267" s="26" t="s">
        <v>447</v>
      </c>
      <c r="K267" s="27" t="s">
        <v>539</v>
      </c>
      <c r="L267" s="28" t="s">
        <v>540</v>
      </c>
      <c r="M267" s="28" t="s">
        <v>534</v>
      </c>
      <c r="N267" s="25">
        <v>1</v>
      </c>
      <c r="O267" s="29">
        <v>4806.6000000000004</v>
      </c>
      <c r="P267" s="29">
        <v>4806.6000000000004</v>
      </c>
      <c r="Q267" s="25" t="s">
        <v>736</v>
      </c>
      <c r="R267" s="25"/>
      <c r="S267" s="26"/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64"/>
        <v>4325.9400000000005</v>
      </c>
      <c r="AF267" s="32">
        <f t="shared" si="65"/>
        <v>480.65999999999985</v>
      </c>
      <c r="AG267" s="30"/>
      <c r="AH267" s="33"/>
      <c r="AI267" s="34">
        <f t="shared" si="66"/>
        <v>0</v>
      </c>
      <c r="AJ267" s="35">
        <v>46287</v>
      </c>
      <c r="AK267" s="30">
        <v>1</v>
      </c>
      <c r="AL267" s="36">
        <f t="shared" si="67"/>
        <v>4806.6000000000004</v>
      </c>
      <c r="AM267" s="35">
        <v>46290</v>
      </c>
      <c r="AN267" s="30">
        <v>1</v>
      </c>
      <c r="AO267" s="36">
        <f t="shared" si="68"/>
        <v>4806.6000000000004</v>
      </c>
      <c r="AP267" s="35"/>
      <c r="AQ267" s="30"/>
      <c r="AR267" s="36">
        <f t="shared" si="69"/>
        <v>0</v>
      </c>
      <c r="AS267" s="27"/>
      <c r="AT267" s="37"/>
      <c r="AU267" s="30"/>
      <c r="AV267" s="36">
        <f t="shared" si="70"/>
        <v>0</v>
      </c>
      <c r="AW267" s="35"/>
      <c r="AX267" s="30"/>
      <c r="AY267" s="32">
        <f t="shared" si="71"/>
        <v>0</v>
      </c>
      <c r="AZ267" s="30" t="s">
        <v>440</v>
      </c>
      <c r="BA267" s="63"/>
      <c r="BB267" s="71"/>
      <c r="BC267" s="71"/>
      <c r="BD267" s="71"/>
    </row>
    <row r="268" spans="1:56" hidden="1" x14ac:dyDescent="0.25">
      <c r="A268" s="24">
        <f>IF(B268="","",SUBTOTAL(3,$B$4:B268))</f>
        <v>148</v>
      </c>
      <c r="B268" s="25" t="s">
        <v>439</v>
      </c>
      <c r="C268" s="25" t="str">
        <f t="shared" si="63"/>
        <v>Shipment 2 Outlet Stack</v>
      </c>
      <c r="D268" s="25" t="s">
        <v>441</v>
      </c>
      <c r="E268" s="25" t="s">
        <v>775</v>
      </c>
      <c r="F268" s="25"/>
      <c r="G268" s="65">
        <v>46204</v>
      </c>
      <c r="H268" s="25" t="s">
        <v>443</v>
      </c>
      <c r="I268" s="25" t="s">
        <v>444</v>
      </c>
      <c r="J268" s="26" t="s">
        <v>447</v>
      </c>
      <c r="K268" s="27" t="s">
        <v>541</v>
      </c>
      <c r="L268" s="28" t="s">
        <v>542</v>
      </c>
      <c r="M268" s="28" t="s">
        <v>534</v>
      </c>
      <c r="N268" s="25">
        <v>2</v>
      </c>
      <c r="O268" s="29">
        <v>151.30000000000001</v>
      </c>
      <c r="P268" s="29">
        <v>302.7</v>
      </c>
      <c r="Q268" s="25" t="s">
        <v>737</v>
      </c>
      <c r="R268" s="25"/>
      <c r="S268" s="26"/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64"/>
        <v>272.43</v>
      </c>
      <c r="AF268" s="32">
        <f t="shared" si="65"/>
        <v>30.269999999999982</v>
      </c>
      <c r="AG268" s="30"/>
      <c r="AH268" s="33"/>
      <c r="AI268" s="34">
        <f t="shared" si="66"/>
        <v>0</v>
      </c>
      <c r="AJ268" s="35">
        <v>46290</v>
      </c>
      <c r="AK268" s="30">
        <v>2</v>
      </c>
      <c r="AL268" s="36">
        <f t="shared" si="67"/>
        <v>302.7</v>
      </c>
      <c r="AM268" s="35">
        <v>46295</v>
      </c>
      <c r="AN268" s="30">
        <v>2</v>
      </c>
      <c r="AO268" s="36">
        <f t="shared" si="68"/>
        <v>302.7</v>
      </c>
      <c r="AP268" s="35"/>
      <c r="AQ268" s="30"/>
      <c r="AR268" s="36">
        <f t="shared" si="69"/>
        <v>0</v>
      </c>
      <c r="AS268" s="27"/>
      <c r="AT268" s="37"/>
      <c r="AU268" s="30"/>
      <c r="AV268" s="36">
        <f t="shared" si="70"/>
        <v>0</v>
      </c>
      <c r="AW268" s="35"/>
      <c r="AX268" s="30"/>
      <c r="AY268" s="32">
        <f t="shared" si="71"/>
        <v>0</v>
      </c>
      <c r="AZ268" s="30" t="s">
        <v>440</v>
      </c>
      <c r="BA268" s="63"/>
      <c r="BB268" s="71"/>
      <c r="BC268" s="71"/>
      <c r="BD268" s="71"/>
    </row>
    <row r="269" spans="1:56" hidden="1" x14ac:dyDescent="0.25">
      <c r="A269" s="24">
        <f>IF(B269="","",SUBTOTAL(3,$B$4:B269))</f>
        <v>148</v>
      </c>
      <c r="B269" s="25" t="s">
        <v>439</v>
      </c>
      <c r="C269" s="25" t="str">
        <f t="shared" si="63"/>
        <v>Shipment 2 Outlet Stack</v>
      </c>
      <c r="D269" s="25" t="s">
        <v>441</v>
      </c>
      <c r="E269" s="25" t="s">
        <v>775</v>
      </c>
      <c r="F269" s="25"/>
      <c r="G269" s="65">
        <v>46204</v>
      </c>
      <c r="H269" s="25" t="s">
        <v>443</v>
      </c>
      <c r="I269" s="25" t="s">
        <v>444</v>
      </c>
      <c r="J269" s="26" t="s">
        <v>447</v>
      </c>
      <c r="K269" s="27" t="s">
        <v>543</v>
      </c>
      <c r="L269" s="28" t="s">
        <v>544</v>
      </c>
      <c r="M269" s="28" t="s">
        <v>534</v>
      </c>
      <c r="N269" s="25">
        <v>2</v>
      </c>
      <c r="O269" s="29">
        <v>148.5</v>
      </c>
      <c r="P269" s="29">
        <v>296.89999999999998</v>
      </c>
      <c r="Q269" s="25" t="s">
        <v>738</v>
      </c>
      <c r="R269" s="25"/>
      <c r="S269" s="26"/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64"/>
        <v>267.20999999999998</v>
      </c>
      <c r="AF269" s="32">
        <f t="shared" si="65"/>
        <v>29.689999999999998</v>
      </c>
      <c r="AG269" s="30"/>
      <c r="AH269" s="33"/>
      <c r="AI269" s="34">
        <f t="shared" si="66"/>
        <v>0</v>
      </c>
      <c r="AJ269" s="35">
        <v>46290</v>
      </c>
      <c r="AK269" s="30">
        <v>2</v>
      </c>
      <c r="AL269" s="36">
        <f t="shared" si="67"/>
        <v>296.89999999999998</v>
      </c>
      <c r="AM269" s="35">
        <v>46295</v>
      </c>
      <c r="AN269" s="30">
        <v>2</v>
      </c>
      <c r="AO269" s="36">
        <f t="shared" si="68"/>
        <v>296.89999999999998</v>
      </c>
      <c r="AP269" s="35"/>
      <c r="AQ269" s="30"/>
      <c r="AR269" s="36">
        <f t="shared" si="69"/>
        <v>0</v>
      </c>
      <c r="AS269" s="27"/>
      <c r="AT269" s="37"/>
      <c r="AU269" s="30"/>
      <c r="AV269" s="36">
        <f t="shared" si="70"/>
        <v>0</v>
      </c>
      <c r="AW269" s="35"/>
      <c r="AX269" s="30"/>
      <c r="AY269" s="32">
        <f t="shared" si="71"/>
        <v>0</v>
      </c>
      <c r="AZ269" s="30" t="s">
        <v>440</v>
      </c>
      <c r="BA269" s="63"/>
      <c r="BB269" s="71"/>
      <c r="BC269" s="71"/>
      <c r="BD269" s="71"/>
    </row>
    <row r="270" spans="1:56" hidden="1" x14ac:dyDescent="0.25">
      <c r="A270" s="24">
        <f>IF(B270="","",SUBTOTAL(3,$B$4:B270))</f>
        <v>148</v>
      </c>
      <c r="B270" s="25" t="s">
        <v>439</v>
      </c>
      <c r="C270" s="25" t="str">
        <f t="shared" si="63"/>
        <v>Shipment 2 Outlet Stack</v>
      </c>
      <c r="D270" s="25" t="s">
        <v>441</v>
      </c>
      <c r="E270" s="25" t="s">
        <v>775</v>
      </c>
      <c r="F270" s="25"/>
      <c r="G270" s="65">
        <v>46204</v>
      </c>
      <c r="H270" s="25" t="s">
        <v>443</v>
      </c>
      <c r="I270" s="25" t="s">
        <v>444</v>
      </c>
      <c r="J270" s="26" t="s">
        <v>447</v>
      </c>
      <c r="K270" s="27" t="s">
        <v>545</v>
      </c>
      <c r="L270" s="28" t="s">
        <v>546</v>
      </c>
      <c r="M270" s="28" t="s">
        <v>547</v>
      </c>
      <c r="N270" s="25">
        <v>7</v>
      </c>
      <c r="O270" s="29">
        <v>13.9</v>
      </c>
      <c r="P270" s="29">
        <v>97.6</v>
      </c>
      <c r="Q270" s="25" t="s">
        <v>739</v>
      </c>
      <c r="R270" s="25"/>
      <c r="S270" s="26"/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64"/>
        <v>0</v>
      </c>
      <c r="AF270" s="32">
        <f t="shared" si="65"/>
        <v>97.6</v>
      </c>
      <c r="AG270" s="30"/>
      <c r="AH270" s="33"/>
      <c r="AI270" s="34">
        <f t="shared" si="66"/>
        <v>0</v>
      </c>
      <c r="AJ270" s="35"/>
      <c r="AK270" s="30"/>
      <c r="AL270" s="36">
        <f t="shared" si="67"/>
        <v>0</v>
      </c>
      <c r="AM270" s="35"/>
      <c r="AN270" s="30"/>
      <c r="AO270" s="36">
        <f t="shared" si="68"/>
        <v>0</v>
      </c>
      <c r="AP270" s="35"/>
      <c r="AQ270" s="30"/>
      <c r="AR270" s="36">
        <f t="shared" si="69"/>
        <v>0</v>
      </c>
      <c r="AS270" s="27"/>
      <c r="AT270" s="37"/>
      <c r="AU270" s="30"/>
      <c r="AV270" s="36">
        <f t="shared" si="70"/>
        <v>0</v>
      </c>
      <c r="AW270" s="35"/>
      <c r="AX270" s="30"/>
      <c r="AY270" s="32">
        <f t="shared" si="71"/>
        <v>0</v>
      </c>
      <c r="AZ270" s="30" t="s">
        <v>440</v>
      </c>
      <c r="BA270" s="63"/>
      <c r="BB270" s="71"/>
      <c r="BC270" s="71"/>
      <c r="BD270" s="71"/>
    </row>
    <row r="271" spans="1:56" hidden="1" x14ac:dyDescent="0.25">
      <c r="A271" s="24">
        <f>IF(B271="","",SUBTOTAL(3,$B$4:B271))</f>
        <v>148</v>
      </c>
      <c r="B271" s="25" t="s">
        <v>439</v>
      </c>
      <c r="C271" s="25" t="str">
        <f t="shared" si="63"/>
        <v>Shipment 2 Outlet Stack</v>
      </c>
      <c r="D271" s="25" t="s">
        <v>441</v>
      </c>
      <c r="E271" s="25" t="s">
        <v>775</v>
      </c>
      <c r="F271" s="25"/>
      <c r="G271" s="65">
        <v>46204</v>
      </c>
      <c r="H271" s="25" t="s">
        <v>443</v>
      </c>
      <c r="I271" s="25" t="s">
        <v>444</v>
      </c>
      <c r="J271" s="26" t="s">
        <v>447</v>
      </c>
      <c r="K271" s="27" t="s">
        <v>548</v>
      </c>
      <c r="L271" s="28" t="s">
        <v>549</v>
      </c>
      <c r="M271" s="28" t="s">
        <v>547</v>
      </c>
      <c r="N271" s="25">
        <v>2</v>
      </c>
      <c r="O271" s="29">
        <v>13.9</v>
      </c>
      <c r="P271" s="29">
        <v>27.9</v>
      </c>
      <c r="Q271" s="25" t="s">
        <v>739</v>
      </c>
      <c r="R271" s="25"/>
      <c r="S271" s="26"/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64"/>
        <v>0</v>
      </c>
      <c r="AF271" s="32">
        <f t="shared" si="65"/>
        <v>27.9</v>
      </c>
      <c r="AG271" s="30"/>
      <c r="AH271" s="33"/>
      <c r="AI271" s="34">
        <f t="shared" si="66"/>
        <v>0</v>
      </c>
      <c r="AJ271" s="35"/>
      <c r="AK271" s="30"/>
      <c r="AL271" s="36">
        <f t="shared" si="67"/>
        <v>0</v>
      </c>
      <c r="AM271" s="35"/>
      <c r="AN271" s="30"/>
      <c r="AO271" s="36">
        <f t="shared" si="68"/>
        <v>0</v>
      </c>
      <c r="AP271" s="35"/>
      <c r="AQ271" s="30"/>
      <c r="AR271" s="36">
        <f t="shared" si="69"/>
        <v>0</v>
      </c>
      <c r="AS271" s="27"/>
      <c r="AT271" s="37"/>
      <c r="AU271" s="30"/>
      <c r="AV271" s="36">
        <f t="shared" si="70"/>
        <v>0</v>
      </c>
      <c r="AW271" s="35"/>
      <c r="AX271" s="30"/>
      <c r="AY271" s="32">
        <f t="shared" si="71"/>
        <v>0</v>
      </c>
      <c r="AZ271" s="30" t="s">
        <v>440</v>
      </c>
      <c r="BA271" s="63"/>
      <c r="BB271" s="71"/>
      <c r="BC271" s="71"/>
      <c r="BD271" s="71"/>
    </row>
    <row r="272" spans="1:56" hidden="1" x14ac:dyDescent="0.25">
      <c r="A272" s="24">
        <f>IF(B272="","",SUBTOTAL(3,$B$4:B272))</f>
        <v>148</v>
      </c>
      <c r="B272" s="25" t="s">
        <v>439</v>
      </c>
      <c r="C272" s="25" t="str">
        <f t="shared" si="63"/>
        <v>Shipment 2 Outlet Stack</v>
      </c>
      <c r="D272" s="25" t="s">
        <v>441</v>
      </c>
      <c r="E272" s="25" t="s">
        <v>775</v>
      </c>
      <c r="F272" s="25"/>
      <c r="G272" s="65">
        <v>46204</v>
      </c>
      <c r="H272" s="25" t="s">
        <v>443</v>
      </c>
      <c r="I272" s="25" t="s">
        <v>444</v>
      </c>
      <c r="J272" s="26" t="s">
        <v>447</v>
      </c>
      <c r="K272" s="27" t="s">
        <v>550</v>
      </c>
      <c r="L272" s="28" t="s">
        <v>551</v>
      </c>
      <c r="M272" s="28" t="s">
        <v>547</v>
      </c>
      <c r="N272" s="25">
        <v>2</v>
      </c>
      <c r="O272" s="29">
        <v>13.9</v>
      </c>
      <c r="P272" s="29">
        <v>27.9</v>
      </c>
      <c r="Q272" s="25" t="s">
        <v>740</v>
      </c>
      <c r="R272" s="25"/>
      <c r="S272" s="26"/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64"/>
        <v>0</v>
      </c>
      <c r="AF272" s="32">
        <f t="shared" si="65"/>
        <v>27.9</v>
      </c>
      <c r="AG272" s="30"/>
      <c r="AH272" s="33"/>
      <c r="AI272" s="34">
        <f t="shared" si="66"/>
        <v>0</v>
      </c>
      <c r="AJ272" s="35"/>
      <c r="AK272" s="30"/>
      <c r="AL272" s="36">
        <f t="shared" si="67"/>
        <v>0</v>
      </c>
      <c r="AM272" s="35"/>
      <c r="AN272" s="30"/>
      <c r="AO272" s="36">
        <f t="shared" si="68"/>
        <v>0</v>
      </c>
      <c r="AP272" s="35"/>
      <c r="AQ272" s="30"/>
      <c r="AR272" s="36">
        <f t="shared" si="69"/>
        <v>0</v>
      </c>
      <c r="AS272" s="27"/>
      <c r="AT272" s="37"/>
      <c r="AU272" s="30"/>
      <c r="AV272" s="36">
        <f t="shared" si="70"/>
        <v>0</v>
      </c>
      <c r="AW272" s="35"/>
      <c r="AX272" s="30"/>
      <c r="AY272" s="32">
        <f t="shared" si="71"/>
        <v>0</v>
      </c>
      <c r="AZ272" s="30" t="s">
        <v>440</v>
      </c>
      <c r="BA272" s="63"/>
      <c r="BB272" s="71"/>
      <c r="BC272" s="71"/>
      <c r="BD272" s="71"/>
    </row>
    <row r="273" spans="1:56" hidden="1" x14ac:dyDescent="0.25">
      <c r="A273" s="24">
        <f>IF(B273="","",SUBTOTAL(3,$B$4:B273))</f>
        <v>148</v>
      </c>
      <c r="B273" s="25" t="s">
        <v>439</v>
      </c>
      <c r="C273" s="25" t="str">
        <f t="shared" si="63"/>
        <v>Shipment 2 Outlet Stack</v>
      </c>
      <c r="D273" s="25" t="s">
        <v>441</v>
      </c>
      <c r="E273" s="25" t="s">
        <v>775</v>
      </c>
      <c r="F273" s="25"/>
      <c r="G273" s="65">
        <v>46204</v>
      </c>
      <c r="H273" s="25" t="s">
        <v>443</v>
      </c>
      <c r="I273" s="25" t="s">
        <v>444</v>
      </c>
      <c r="J273" s="26" t="s">
        <v>447</v>
      </c>
      <c r="K273" s="27" t="s">
        <v>552</v>
      </c>
      <c r="L273" s="28" t="s">
        <v>553</v>
      </c>
      <c r="M273" s="28" t="s">
        <v>547</v>
      </c>
      <c r="N273" s="25">
        <v>2</v>
      </c>
      <c r="O273" s="29">
        <v>13.9</v>
      </c>
      <c r="P273" s="29">
        <v>27.9</v>
      </c>
      <c r="Q273" s="25" t="s">
        <v>741</v>
      </c>
      <c r="R273" s="25"/>
      <c r="S273" s="26"/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64"/>
        <v>0</v>
      </c>
      <c r="AF273" s="32">
        <f t="shared" si="65"/>
        <v>27.9</v>
      </c>
      <c r="AG273" s="30"/>
      <c r="AH273" s="33"/>
      <c r="AI273" s="34">
        <f t="shared" si="66"/>
        <v>0</v>
      </c>
      <c r="AJ273" s="35"/>
      <c r="AK273" s="30"/>
      <c r="AL273" s="36">
        <f t="shared" si="67"/>
        <v>0</v>
      </c>
      <c r="AM273" s="35"/>
      <c r="AN273" s="30"/>
      <c r="AO273" s="36">
        <f t="shared" si="68"/>
        <v>0</v>
      </c>
      <c r="AP273" s="35"/>
      <c r="AQ273" s="30"/>
      <c r="AR273" s="36">
        <f t="shared" si="69"/>
        <v>0</v>
      </c>
      <c r="AS273" s="27"/>
      <c r="AT273" s="37"/>
      <c r="AU273" s="30"/>
      <c r="AV273" s="36">
        <f t="shared" si="70"/>
        <v>0</v>
      </c>
      <c r="AW273" s="35"/>
      <c r="AX273" s="30"/>
      <c r="AY273" s="32">
        <f t="shared" si="71"/>
        <v>0</v>
      </c>
      <c r="AZ273" s="30" t="s">
        <v>440</v>
      </c>
      <c r="BA273" s="63"/>
      <c r="BB273" s="71"/>
      <c r="BC273" s="71"/>
      <c r="BD273" s="71"/>
    </row>
    <row r="274" spans="1:56" hidden="1" x14ac:dyDescent="0.25">
      <c r="A274" s="24">
        <f>IF(B274="","",SUBTOTAL(3,$B$4:B274))</f>
        <v>148</v>
      </c>
      <c r="B274" s="25" t="s">
        <v>439</v>
      </c>
      <c r="C274" s="25" t="str">
        <f t="shared" si="63"/>
        <v>Shipment 2 Outlet Stack</v>
      </c>
      <c r="D274" s="25" t="s">
        <v>441</v>
      </c>
      <c r="E274" s="25" t="s">
        <v>775</v>
      </c>
      <c r="F274" s="25"/>
      <c r="G274" s="65">
        <v>46204</v>
      </c>
      <c r="H274" s="25" t="s">
        <v>443</v>
      </c>
      <c r="I274" s="25" t="s">
        <v>444</v>
      </c>
      <c r="J274" s="26" t="s">
        <v>447</v>
      </c>
      <c r="K274" s="27" t="s">
        <v>554</v>
      </c>
      <c r="L274" s="28" t="s">
        <v>555</v>
      </c>
      <c r="M274" s="28" t="s">
        <v>547</v>
      </c>
      <c r="N274" s="25">
        <v>2</v>
      </c>
      <c r="O274" s="29">
        <v>13.9</v>
      </c>
      <c r="P274" s="29">
        <v>27.9</v>
      </c>
      <c r="Q274" s="25" t="s">
        <v>740</v>
      </c>
      <c r="R274" s="25"/>
      <c r="S274" s="26"/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64"/>
        <v>0</v>
      </c>
      <c r="AF274" s="32">
        <f t="shared" si="65"/>
        <v>27.9</v>
      </c>
      <c r="AG274" s="30"/>
      <c r="AH274" s="33"/>
      <c r="AI274" s="34">
        <f t="shared" si="66"/>
        <v>0</v>
      </c>
      <c r="AJ274" s="35"/>
      <c r="AK274" s="30"/>
      <c r="AL274" s="36">
        <f t="shared" si="67"/>
        <v>0</v>
      </c>
      <c r="AM274" s="35"/>
      <c r="AN274" s="30"/>
      <c r="AO274" s="36">
        <f t="shared" si="68"/>
        <v>0</v>
      </c>
      <c r="AP274" s="35"/>
      <c r="AQ274" s="30"/>
      <c r="AR274" s="36">
        <f t="shared" si="69"/>
        <v>0</v>
      </c>
      <c r="AS274" s="27"/>
      <c r="AT274" s="37"/>
      <c r="AU274" s="30"/>
      <c r="AV274" s="36">
        <f t="shared" si="70"/>
        <v>0</v>
      </c>
      <c r="AW274" s="35"/>
      <c r="AX274" s="30"/>
      <c r="AY274" s="32">
        <f t="shared" si="71"/>
        <v>0</v>
      </c>
      <c r="AZ274" s="30" t="s">
        <v>440</v>
      </c>
      <c r="BA274" s="63"/>
      <c r="BB274" s="71"/>
      <c r="BC274" s="71"/>
      <c r="BD274" s="71"/>
    </row>
    <row r="275" spans="1:56" hidden="1" x14ac:dyDescent="0.25">
      <c r="A275" s="24">
        <f>IF(B275="","",SUBTOTAL(3,$B$4:B275))</f>
        <v>148</v>
      </c>
      <c r="B275" s="25" t="s">
        <v>439</v>
      </c>
      <c r="C275" s="25" t="str">
        <f t="shared" si="63"/>
        <v>Shipment 2 Outlet Stack</v>
      </c>
      <c r="D275" s="25" t="s">
        <v>441</v>
      </c>
      <c r="E275" s="25" t="s">
        <v>775</v>
      </c>
      <c r="F275" s="25"/>
      <c r="G275" s="65">
        <v>46204</v>
      </c>
      <c r="H275" s="25" t="s">
        <v>443</v>
      </c>
      <c r="I275" s="25" t="s">
        <v>444</v>
      </c>
      <c r="J275" s="26" t="s">
        <v>447</v>
      </c>
      <c r="K275" s="27" t="s">
        <v>556</v>
      </c>
      <c r="L275" s="28" t="s">
        <v>557</v>
      </c>
      <c r="M275" s="28" t="s">
        <v>547</v>
      </c>
      <c r="N275" s="25">
        <v>2</v>
      </c>
      <c r="O275" s="29">
        <v>13.9</v>
      </c>
      <c r="P275" s="29">
        <v>27.9</v>
      </c>
      <c r="Q275" s="25" t="s">
        <v>741</v>
      </c>
      <c r="R275" s="25"/>
      <c r="S275" s="26"/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64"/>
        <v>0</v>
      </c>
      <c r="AF275" s="32">
        <f t="shared" si="65"/>
        <v>27.9</v>
      </c>
      <c r="AG275" s="30"/>
      <c r="AH275" s="33"/>
      <c r="AI275" s="34">
        <f t="shared" si="66"/>
        <v>0</v>
      </c>
      <c r="AJ275" s="35"/>
      <c r="AK275" s="30"/>
      <c r="AL275" s="36">
        <f t="shared" si="67"/>
        <v>0</v>
      </c>
      <c r="AM275" s="35"/>
      <c r="AN275" s="30"/>
      <c r="AO275" s="36">
        <f t="shared" si="68"/>
        <v>0</v>
      </c>
      <c r="AP275" s="35"/>
      <c r="AQ275" s="30"/>
      <c r="AR275" s="36">
        <f t="shared" si="69"/>
        <v>0</v>
      </c>
      <c r="AS275" s="27"/>
      <c r="AT275" s="37"/>
      <c r="AU275" s="30"/>
      <c r="AV275" s="36">
        <f t="shared" si="70"/>
        <v>0</v>
      </c>
      <c r="AW275" s="35"/>
      <c r="AX275" s="30"/>
      <c r="AY275" s="32">
        <f t="shared" si="71"/>
        <v>0</v>
      </c>
      <c r="AZ275" s="30" t="s">
        <v>440</v>
      </c>
      <c r="BA275" s="63"/>
      <c r="BB275" s="71"/>
      <c r="BC275" s="71"/>
      <c r="BD275" s="71"/>
    </row>
    <row r="276" spans="1:56" hidden="1" x14ac:dyDescent="0.25">
      <c r="A276" s="24">
        <f>IF(B276="","",SUBTOTAL(3,$B$4:B276))</f>
        <v>148</v>
      </c>
      <c r="B276" s="25" t="s">
        <v>439</v>
      </c>
      <c r="C276" s="25" t="str">
        <f t="shared" si="63"/>
        <v>Shipment 2 Outlet Stack</v>
      </c>
      <c r="D276" s="25" t="s">
        <v>441</v>
      </c>
      <c r="E276" s="25" t="s">
        <v>775</v>
      </c>
      <c r="F276" s="25"/>
      <c r="G276" s="65">
        <v>46204</v>
      </c>
      <c r="H276" s="25" t="s">
        <v>443</v>
      </c>
      <c r="I276" s="25" t="s">
        <v>444</v>
      </c>
      <c r="J276" s="26" t="s">
        <v>447</v>
      </c>
      <c r="K276" s="27" t="s">
        <v>558</v>
      </c>
      <c r="L276" s="28" t="s">
        <v>559</v>
      </c>
      <c r="M276" s="28" t="s">
        <v>547</v>
      </c>
      <c r="N276" s="25">
        <v>1</v>
      </c>
      <c r="O276" s="29">
        <v>37.799999999999997</v>
      </c>
      <c r="P276" s="29">
        <v>37.799999999999997</v>
      </c>
      <c r="Q276" s="25" t="s">
        <v>742</v>
      </c>
      <c r="R276" s="25"/>
      <c r="S276" s="26"/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64"/>
        <v>0</v>
      </c>
      <c r="AF276" s="32">
        <f t="shared" si="65"/>
        <v>37.799999999999997</v>
      </c>
      <c r="AG276" s="30"/>
      <c r="AH276" s="33"/>
      <c r="AI276" s="34">
        <f t="shared" si="66"/>
        <v>0</v>
      </c>
      <c r="AJ276" s="35"/>
      <c r="AK276" s="30"/>
      <c r="AL276" s="36">
        <f t="shared" si="67"/>
        <v>0</v>
      </c>
      <c r="AM276" s="35"/>
      <c r="AN276" s="30"/>
      <c r="AO276" s="36">
        <f t="shared" si="68"/>
        <v>0</v>
      </c>
      <c r="AP276" s="35"/>
      <c r="AQ276" s="30"/>
      <c r="AR276" s="36">
        <f t="shared" si="69"/>
        <v>0</v>
      </c>
      <c r="AS276" s="27"/>
      <c r="AT276" s="37"/>
      <c r="AU276" s="30"/>
      <c r="AV276" s="36">
        <f t="shared" si="70"/>
        <v>0</v>
      </c>
      <c r="AW276" s="35"/>
      <c r="AX276" s="30"/>
      <c r="AY276" s="32">
        <f t="shared" si="71"/>
        <v>0</v>
      </c>
      <c r="AZ276" s="30" t="s">
        <v>440</v>
      </c>
      <c r="BA276" s="63"/>
      <c r="BB276" s="71"/>
      <c r="BC276" s="71"/>
      <c r="BD276" s="71"/>
    </row>
    <row r="277" spans="1:56" hidden="1" x14ac:dyDescent="0.25">
      <c r="A277" s="24">
        <f>IF(B277="","",SUBTOTAL(3,$B$4:B277))</f>
        <v>148</v>
      </c>
      <c r="B277" s="25" t="s">
        <v>439</v>
      </c>
      <c r="C277" s="25" t="str">
        <f t="shared" si="63"/>
        <v>Shipment 2 Outlet Stack</v>
      </c>
      <c r="D277" s="25" t="s">
        <v>441</v>
      </c>
      <c r="E277" s="25" t="s">
        <v>775</v>
      </c>
      <c r="F277" s="25"/>
      <c r="G277" s="65">
        <v>46204</v>
      </c>
      <c r="H277" s="25" t="s">
        <v>443</v>
      </c>
      <c r="I277" s="25" t="s">
        <v>444</v>
      </c>
      <c r="J277" s="26" t="s">
        <v>447</v>
      </c>
      <c r="K277" s="27" t="s">
        <v>560</v>
      </c>
      <c r="L277" s="28" t="s">
        <v>561</v>
      </c>
      <c r="M277" s="28" t="s">
        <v>547</v>
      </c>
      <c r="N277" s="25">
        <v>1</v>
      </c>
      <c r="O277" s="29">
        <v>13.9</v>
      </c>
      <c r="P277" s="29">
        <v>13.9</v>
      </c>
      <c r="Q277" s="25" t="s">
        <v>739</v>
      </c>
      <c r="R277" s="25"/>
      <c r="S277" s="26"/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64"/>
        <v>0</v>
      </c>
      <c r="AF277" s="32">
        <f t="shared" si="65"/>
        <v>13.9</v>
      </c>
      <c r="AG277" s="30"/>
      <c r="AH277" s="33"/>
      <c r="AI277" s="34">
        <f t="shared" si="66"/>
        <v>0</v>
      </c>
      <c r="AJ277" s="35"/>
      <c r="AK277" s="30"/>
      <c r="AL277" s="36">
        <f t="shared" si="67"/>
        <v>0</v>
      </c>
      <c r="AM277" s="35"/>
      <c r="AN277" s="30"/>
      <c r="AO277" s="36">
        <f t="shared" si="68"/>
        <v>0</v>
      </c>
      <c r="AP277" s="35"/>
      <c r="AQ277" s="30"/>
      <c r="AR277" s="36">
        <f t="shared" si="69"/>
        <v>0</v>
      </c>
      <c r="AS277" s="27"/>
      <c r="AT277" s="37"/>
      <c r="AU277" s="30"/>
      <c r="AV277" s="36">
        <f t="shared" si="70"/>
        <v>0</v>
      </c>
      <c r="AW277" s="35"/>
      <c r="AX277" s="30"/>
      <c r="AY277" s="32">
        <f t="shared" si="71"/>
        <v>0</v>
      </c>
      <c r="AZ277" s="30" t="s">
        <v>440</v>
      </c>
      <c r="BA277" s="63"/>
      <c r="BB277" s="71"/>
      <c r="BC277" s="71"/>
      <c r="BD277" s="71"/>
    </row>
    <row r="278" spans="1:56" hidden="1" x14ac:dyDescent="0.25">
      <c r="A278" s="24">
        <f>IF(B278="","",SUBTOTAL(3,$B$4:B278))</f>
        <v>148</v>
      </c>
      <c r="B278" s="25" t="s">
        <v>439</v>
      </c>
      <c r="C278" s="25" t="str">
        <f t="shared" si="63"/>
        <v>Shipment 2 Outlet Stack</v>
      </c>
      <c r="D278" s="25" t="s">
        <v>441</v>
      </c>
      <c r="E278" s="25" t="s">
        <v>775</v>
      </c>
      <c r="F278" s="25"/>
      <c r="G278" s="65">
        <v>46204</v>
      </c>
      <c r="H278" s="25" t="s">
        <v>443</v>
      </c>
      <c r="I278" s="25" t="s">
        <v>444</v>
      </c>
      <c r="J278" s="26" t="s">
        <v>447</v>
      </c>
      <c r="K278" s="27" t="s">
        <v>562</v>
      </c>
      <c r="L278" s="28" t="s">
        <v>563</v>
      </c>
      <c r="M278" s="28" t="s">
        <v>547</v>
      </c>
      <c r="N278" s="25">
        <v>2</v>
      </c>
      <c r="O278" s="29">
        <v>13.9</v>
      </c>
      <c r="P278" s="29">
        <v>27.9</v>
      </c>
      <c r="Q278" s="25" t="s">
        <v>739</v>
      </c>
      <c r="R278" s="25"/>
      <c r="S278" s="26"/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64"/>
        <v>0</v>
      </c>
      <c r="AF278" s="32">
        <f t="shared" si="65"/>
        <v>27.9</v>
      </c>
      <c r="AG278" s="30"/>
      <c r="AH278" s="33"/>
      <c r="AI278" s="34">
        <f t="shared" si="66"/>
        <v>0</v>
      </c>
      <c r="AJ278" s="35"/>
      <c r="AK278" s="30"/>
      <c r="AL278" s="36">
        <f t="shared" si="67"/>
        <v>0</v>
      </c>
      <c r="AM278" s="35"/>
      <c r="AN278" s="30"/>
      <c r="AO278" s="36">
        <f t="shared" si="68"/>
        <v>0</v>
      </c>
      <c r="AP278" s="35"/>
      <c r="AQ278" s="30"/>
      <c r="AR278" s="36">
        <f t="shared" si="69"/>
        <v>0</v>
      </c>
      <c r="AS278" s="27"/>
      <c r="AT278" s="37"/>
      <c r="AU278" s="30"/>
      <c r="AV278" s="36">
        <f t="shared" si="70"/>
        <v>0</v>
      </c>
      <c r="AW278" s="35"/>
      <c r="AX278" s="30"/>
      <c r="AY278" s="32">
        <f t="shared" si="71"/>
        <v>0</v>
      </c>
      <c r="AZ278" s="30" t="s">
        <v>440</v>
      </c>
      <c r="BA278" s="63"/>
      <c r="BB278" s="71"/>
      <c r="BC278" s="71"/>
      <c r="BD278" s="71"/>
    </row>
    <row r="279" spans="1:56" hidden="1" x14ac:dyDescent="0.25">
      <c r="A279" s="24">
        <f>IF(B279="","",SUBTOTAL(3,$B$4:B279))</f>
        <v>148</v>
      </c>
      <c r="B279" s="25" t="s">
        <v>439</v>
      </c>
      <c r="C279" s="25" t="str">
        <f t="shared" si="63"/>
        <v>Shipment 2 Outlet Stack</v>
      </c>
      <c r="D279" s="25" t="s">
        <v>441</v>
      </c>
      <c r="E279" s="25" t="s">
        <v>775</v>
      </c>
      <c r="F279" s="25"/>
      <c r="G279" s="65">
        <v>46204</v>
      </c>
      <c r="H279" s="25" t="s">
        <v>443</v>
      </c>
      <c r="I279" s="25" t="s">
        <v>444</v>
      </c>
      <c r="J279" s="26" t="s">
        <v>447</v>
      </c>
      <c r="K279" s="27" t="s">
        <v>564</v>
      </c>
      <c r="L279" s="28" t="s">
        <v>565</v>
      </c>
      <c r="M279" s="28" t="s">
        <v>547</v>
      </c>
      <c r="N279" s="25">
        <v>2</v>
      </c>
      <c r="O279" s="29">
        <v>13.9</v>
      </c>
      <c r="P279" s="29">
        <v>27.9</v>
      </c>
      <c r="Q279" s="25" t="s">
        <v>741</v>
      </c>
      <c r="R279" s="25"/>
      <c r="S279" s="26"/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64"/>
        <v>0</v>
      </c>
      <c r="AF279" s="32">
        <f t="shared" si="65"/>
        <v>27.9</v>
      </c>
      <c r="AG279" s="30"/>
      <c r="AH279" s="33"/>
      <c r="AI279" s="34">
        <f t="shared" si="66"/>
        <v>0</v>
      </c>
      <c r="AJ279" s="35"/>
      <c r="AK279" s="30"/>
      <c r="AL279" s="36">
        <f t="shared" si="67"/>
        <v>0</v>
      </c>
      <c r="AM279" s="35"/>
      <c r="AN279" s="30"/>
      <c r="AO279" s="36">
        <f t="shared" si="68"/>
        <v>0</v>
      </c>
      <c r="AP279" s="35"/>
      <c r="AQ279" s="30"/>
      <c r="AR279" s="36">
        <f t="shared" si="69"/>
        <v>0</v>
      </c>
      <c r="AS279" s="27"/>
      <c r="AT279" s="37"/>
      <c r="AU279" s="30"/>
      <c r="AV279" s="36">
        <f t="shared" si="70"/>
        <v>0</v>
      </c>
      <c r="AW279" s="35"/>
      <c r="AX279" s="30"/>
      <c r="AY279" s="32">
        <f t="shared" si="71"/>
        <v>0</v>
      </c>
      <c r="AZ279" s="30" t="s">
        <v>440</v>
      </c>
      <c r="BA279" s="63"/>
      <c r="BB279" s="71"/>
      <c r="BC279" s="71"/>
      <c r="BD279" s="71"/>
    </row>
    <row r="280" spans="1:56" hidden="1" x14ac:dyDescent="0.25">
      <c r="A280" s="24">
        <f>IF(B280="","",SUBTOTAL(3,$B$4:B280))</f>
        <v>148</v>
      </c>
      <c r="B280" s="25" t="s">
        <v>439</v>
      </c>
      <c r="C280" s="25" t="str">
        <f t="shared" si="63"/>
        <v>Shipment 2 Outlet Stack</v>
      </c>
      <c r="D280" s="25" t="s">
        <v>441</v>
      </c>
      <c r="E280" s="25" t="s">
        <v>775</v>
      </c>
      <c r="F280" s="25"/>
      <c r="G280" s="65">
        <v>46204</v>
      </c>
      <c r="H280" s="25" t="s">
        <v>443</v>
      </c>
      <c r="I280" s="25" t="s">
        <v>444</v>
      </c>
      <c r="J280" s="26" t="s">
        <v>447</v>
      </c>
      <c r="K280" s="27" t="s">
        <v>566</v>
      </c>
      <c r="L280" s="28" t="s">
        <v>567</v>
      </c>
      <c r="M280" s="28" t="s">
        <v>547</v>
      </c>
      <c r="N280" s="25">
        <v>1</v>
      </c>
      <c r="O280" s="29">
        <v>13.9</v>
      </c>
      <c r="P280" s="29">
        <v>13.9</v>
      </c>
      <c r="Q280" s="25" t="s">
        <v>740</v>
      </c>
      <c r="R280" s="25"/>
      <c r="S280" s="26"/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64"/>
        <v>0</v>
      </c>
      <c r="AF280" s="32">
        <f t="shared" si="65"/>
        <v>13.9</v>
      </c>
      <c r="AG280" s="30"/>
      <c r="AH280" s="33"/>
      <c r="AI280" s="34">
        <f t="shared" si="66"/>
        <v>0</v>
      </c>
      <c r="AJ280" s="35"/>
      <c r="AK280" s="30"/>
      <c r="AL280" s="36">
        <f t="shared" si="67"/>
        <v>0</v>
      </c>
      <c r="AM280" s="35"/>
      <c r="AN280" s="30"/>
      <c r="AO280" s="36">
        <f t="shared" si="68"/>
        <v>0</v>
      </c>
      <c r="AP280" s="35"/>
      <c r="AQ280" s="30"/>
      <c r="AR280" s="36">
        <f t="shared" si="69"/>
        <v>0</v>
      </c>
      <c r="AS280" s="27"/>
      <c r="AT280" s="37"/>
      <c r="AU280" s="30"/>
      <c r="AV280" s="36">
        <f t="shared" si="70"/>
        <v>0</v>
      </c>
      <c r="AW280" s="35"/>
      <c r="AX280" s="30"/>
      <c r="AY280" s="32">
        <f t="shared" si="71"/>
        <v>0</v>
      </c>
      <c r="AZ280" s="30" t="s">
        <v>440</v>
      </c>
      <c r="BA280" s="63"/>
      <c r="BB280" s="71"/>
      <c r="BC280" s="71"/>
      <c r="BD280" s="71"/>
    </row>
    <row r="281" spans="1:56" hidden="1" x14ac:dyDescent="0.25">
      <c r="A281" s="24">
        <f>IF(B281="","",SUBTOTAL(3,$B$4:B281))</f>
        <v>148</v>
      </c>
      <c r="B281" s="25" t="s">
        <v>439</v>
      </c>
      <c r="C281" s="25" t="str">
        <f t="shared" si="63"/>
        <v>Shipment 2 Outlet Stack</v>
      </c>
      <c r="D281" s="25" t="s">
        <v>441</v>
      </c>
      <c r="E281" s="25" t="s">
        <v>775</v>
      </c>
      <c r="F281" s="25"/>
      <c r="G281" s="65">
        <v>46204</v>
      </c>
      <c r="H281" s="25" t="s">
        <v>443</v>
      </c>
      <c r="I281" s="25" t="s">
        <v>444</v>
      </c>
      <c r="J281" s="26" t="s">
        <v>447</v>
      </c>
      <c r="K281" s="27" t="s">
        <v>568</v>
      </c>
      <c r="L281" s="28" t="s">
        <v>569</v>
      </c>
      <c r="M281" s="28" t="s">
        <v>547</v>
      </c>
      <c r="N281" s="25">
        <v>1</v>
      </c>
      <c r="O281" s="29">
        <v>12.4</v>
      </c>
      <c r="P281" s="29">
        <v>12.4</v>
      </c>
      <c r="Q281" s="25" t="s">
        <v>743</v>
      </c>
      <c r="R281" s="25"/>
      <c r="S281" s="26"/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64"/>
        <v>0</v>
      </c>
      <c r="AF281" s="32">
        <f t="shared" si="65"/>
        <v>12.4</v>
      </c>
      <c r="AG281" s="30"/>
      <c r="AH281" s="33"/>
      <c r="AI281" s="34">
        <f t="shared" si="66"/>
        <v>0</v>
      </c>
      <c r="AJ281" s="35"/>
      <c r="AK281" s="30"/>
      <c r="AL281" s="36">
        <f t="shared" si="67"/>
        <v>0</v>
      </c>
      <c r="AM281" s="35"/>
      <c r="AN281" s="30"/>
      <c r="AO281" s="36">
        <f t="shared" si="68"/>
        <v>0</v>
      </c>
      <c r="AP281" s="35"/>
      <c r="AQ281" s="30"/>
      <c r="AR281" s="36">
        <f t="shared" si="69"/>
        <v>0</v>
      </c>
      <c r="AS281" s="27"/>
      <c r="AT281" s="37"/>
      <c r="AU281" s="30"/>
      <c r="AV281" s="36">
        <f t="shared" si="70"/>
        <v>0</v>
      </c>
      <c r="AW281" s="35"/>
      <c r="AX281" s="30"/>
      <c r="AY281" s="32">
        <f t="shared" si="71"/>
        <v>0</v>
      </c>
      <c r="AZ281" s="30" t="s">
        <v>440</v>
      </c>
      <c r="BA281" s="63"/>
      <c r="BB281" s="71"/>
      <c r="BC281" s="71"/>
      <c r="BD281" s="71"/>
    </row>
    <row r="282" spans="1:56" hidden="1" x14ac:dyDescent="0.25">
      <c r="A282" s="24">
        <f>IF(B282="","",SUBTOTAL(3,$B$4:B282))</f>
        <v>148</v>
      </c>
      <c r="B282" s="25" t="s">
        <v>439</v>
      </c>
      <c r="C282" s="25" t="str">
        <f t="shared" si="63"/>
        <v>Shipment 2 Outlet Stack</v>
      </c>
      <c r="D282" s="25" t="s">
        <v>441</v>
      </c>
      <c r="E282" s="25" t="s">
        <v>775</v>
      </c>
      <c r="F282" s="25"/>
      <c r="G282" s="65">
        <v>46204</v>
      </c>
      <c r="H282" s="25" t="s">
        <v>443</v>
      </c>
      <c r="I282" s="25" t="s">
        <v>444</v>
      </c>
      <c r="J282" s="26" t="s">
        <v>447</v>
      </c>
      <c r="K282" s="27" t="s">
        <v>570</v>
      </c>
      <c r="L282" s="28" t="s">
        <v>571</v>
      </c>
      <c r="M282" s="28" t="s">
        <v>547</v>
      </c>
      <c r="N282" s="25">
        <v>1</v>
      </c>
      <c r="O282" s="29">
        <v>9.1</v>
      </c>
      <c r="P282" s="29">
        <v>9.1</v>
      </c>
      <c r="Q282" s="25" t="s">
        <v>744</v>
      </c>
      <c r="R282" s="25"/>
      <c r="S282" s="26"/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64"/>
        <v>0</v>
      </c>
      <c r="AF282" s="32">
        <f t="shared" si="65"/>
        <v>9.1</v>
      </c>
      <c r="AG282" s="30"/>
      <c r="AH282" s="33"/>
      <c r="AI282" s="34">
        <f t="shared" si="66"/>
        <v>0</v>
      </c>
      <c r="AJ282" s="35"/>
      <c r="AK282" s="30"/>
      <c r="AL282" s="36">
        <f t="shared" si="67"/>
        <v>0</v>
      </c>
      <c r="AM282" s="35"/>
      <c r="AN282" s="30"/>
      <c r="AO282" s="36">
        <f t="shared" si="68"/>
        <v>0</v>
      </c>
      <c r="AP282" s="35"/>
      <c r="AQ282" s="30"/>
      <c r="AR282" s="36">
        <f t="shared" si="69"/>
        <v>0</v>
      </c>
      <c r="AS282" s="27"/>
      <c r="AT282" s="37"/>
      <c r="AU282" s="30"/>
      <c r="AV282" s="36">
        <f t="shared" si="70"/>
        <v>0</v>
      </c>
      <c r="AW282" s="35"/>
      <c r="AX282" s="30"/>
      <c r="AY282" s="32">
        <f t="shared" si="71"/>
        <v>0</v>
      </c>
      <c r="AZ282" s="30" t="s">
        <v>440</v>
      </c>
      <c r="BA282" s="63"/>
      <c r="BB282" s="71"/>
      <c r="BC282" s="71"/>
      <c r="BD282" s="71"/>
    </row>
    <row r="283" spans="1:56" hidden="1" x14ac:dyDescent="0.25">
      <c r="A283" s="24">
        <f>IF(B283="","",SUBTOTAL(3,$B$4:B283))</f>
        <v>148</v>
      </c>
      <c r="B283" s="25" t="s">
        <v>439</v>
      </c>
      <c r="C283" s="25" t="str">
        <f t="shared" si="63"/>
        <v>Shipment 2 Outlet Stack</v>
      </c>
      <c r="D283" s="25" t="s">
        <v>441</v>
      </c>
      <c r="E283" s="25" t="s">
        <v>775</v>
      </c>
      <c r="F283" s="25"/>
      <c r="G283" s="65">
        <v>46204</v>
      </c>
      <c r="H283" s="25" t="s">
        <v>443</v>
      </c>
      <c r="I283" s="25" t="s">
        <v>444</v>
      </c>
      <c r="J283" s="26" t="s">
        <v>447</v>
      </c>
      <c r="K283" s="27" t="s">
        <v>572</v>
      </c>
      <c r="L283" s="28" t="s">
        <v>573</v>
      </c>
      <c r="M283" s="28" t="s">
        <v>547</v>
      </c>
      <c r="N283" s="25">
        <v>1</v>
      </c>
      <c r="O283" s="29">
        <v>12.4</v>
      </c>
      <c r="P283" s="29">
        <v>12.4</v>
      </c>
      <c r="Q283" s="25" t="s">
        <v>743</v>
      </c>
      <c r="R283" s="25"/>
      <c r="S283" s="26"/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64"/>
        <v>0</v>
      </c>
      <c r="AF283" s="32">
        <f t="shared" si="65"/>
        <v>12.4</v>
      </c>
      <c r="AG283" s="30"/>
      <c r="AH283" s="33"/>
      <c r="AI283" s="34">
        <f t="shared" si="66"/>
        <v>0</v>
      </c>
      <c r="AJ283" s="35"/>
      <c r="AK283" s="30"/>
      <c r="AL283" s="36">
        <f t="shared" si="67"/>
        <v>0</v>
      </c>
      <c r="AM283" s="35"/>
      <c r="AN283" s="30"/>
      <c r="AO283" s="36">
        <f t="shared" si="68"/>
        <v>0</v>
      </c>
      <c r="AP283" s="35"/>
      <c r="AQ283" s="30"/>
      <c r="AR283" s="36">
        <f t="shared" si="69"/>
        <v>0</v>
      </c>
      <c r="AS283" s="27"/>
      <c r="AT283" s="37"/>
      <c r="AU283" s="30"/>
      <c r="AV283" s="36">
        <f t="shared" si="70"/>
        <v>0</v>
      </c>
      <c r="AW283" s="35"/>
      <c r="AX283" s="30"/>
      <c r="AY283" s="32">
        <f t="shared" si="71"/>
        <v>0</v>
      </c>
      <c r="AZ283" s="30" t="s">
        <v>440</v>
      </c>
      <c r="BA283" s="63"/>
      <c r="BB283" s="71"/>
      <c r="BC283" s="71"/>
      <c r="BD283" s="71"/>
    </row>
    <row r="284" spans="1:56" hidden="1" x14ac:dyDescent="0.25">
      <c r="A284" s="24">
        <f>IF(B284="","",SUBTOTAL(3,$B$4:B284))</f>
        <v>148</v>
      </c>
      <c r="B284" s="25" t="s">
        <v>439</v>
      </c>
      <c r="C284" s="25" t="str">
        <f t="shared" si="63"/>
        <v>Shipment 2 Outlet Stack</v>
      </c>
      <c r="D284" s="25" t="s">
        <v>441</v>
      </c>
      <c r="E284" s="25" t="s">
        <v>775</v>
      </c>
      <c r="F284" s="25"/>
      <c r="G284" s="65">
        <v>46204</v>
      </c>
      <c r="H284" s="25" t="s">
        <v>443</v>
      </c>
      <c r="I284" s="25" t="s">
        <v>444</v>
      </c>
      <c r="J284" s="26" t="s">
        <v>447</v>
      </c>
      <c r="K284" s="27" t="s">
        <v>574</v>
      </c>
      <c r="L284" s="28" t="s">
        <v>575</v>
      </c>
      <c r="M284" s="28" t="s">
        <v>547</v>
      </c>
      <c r="N284" s="25">
        <v>7</v>
      </c>
      <c r="O284" s="29">
        <v>13.9</v>
      </c>
      <c r="P284" s="29">
        <v>97.6</v>
      </c>
      <c r="Q284" s="25" t="s">
        <v>739</v>
      </c>
      <c r="R284" s="25"/>
      <c r="S284" s="26"/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64"/>
        <v>0</v>
      </c>
      <c r="AF284" s="32">
        <f t="shared" si="65"/>
        <v>97.6</v>
      </c>
      <c r="AG284" s="30"/>
      <c r="AH284" s="33"/>
      <c r="AI284" s="34">
        <f t="shared" si="66"/>
        <v>0</v>
      </c>
      <c r="AJ284" s="35"/>
      <c r="AK284" s="30"/>
      <c r="AL284" s="36">
        <f t="shared" si="67"/>
        <v>0</v>
      </c>
      <c r="AM284" s="35"/>
      <c r="AN284" s="30"/>
      <c r="AO284" s="36">
        <f t="shared" si="68"/>
        <v>0</v>
      </c>
      <c r="AP284" s="35"/>
      <c r="AQ284" s="30"/>
      <c r="AR284" s="36">
        <f t="shared" si="69"/>
        <v>0</v>
      </c>
      <c r="AS284" s="27"/>
      <c r="AT284" s="37"/>
      <c r="AU284" s="30"/>
      <c r="AV284" s="36">
        <f t="shared" si="70"/>
        <v>0</v>
      </c>
      <c r="AW284" s="35"/>
      <c r="AX284" s="30"/>
      <c r="AY284" s="32">
        <f t="shared" si="71"/>
        <v>0</v>
      </c>
      <c r="AZ284" s="30" t="s">
        <v>440</v>
      </c>
      <c r="BA284" s="63"/>
      <c r="BB284" s="71"/>
      <c r="BC284" s="71"/>
      <c r="BD284" s="71"/>
    </row>
    <row r="285" spans="1:56" hidden="1" x14ac:dyDescent="0.25">
      <c r="A285" s="24">
        <f>IF(B285="","",SUBTOTAL(3,$B$4:B285))</f>
        <v>148</v>
      </c>
      <c r="B285" s="25" t="s">
        <v>439</v>
      </c>
      <c r="C285" s="25" t="str">
        <f t="shared" si="63"/>
        <v>Shipment 2 Outlet Stack</v>
      </c>
      <c r="D285" s="25" t="s">
        <v>441</v>
      </c>
      <c r="E285" s="25" t="s">
        <v>775</v>
      </c>
      <c r="F285" s="25"/>
      <c r="G285" s="65">
        <v>46204</v>
      </c>
      <c r="H285" s="25" t="s">
        <v>443</v>
      </c>
      <c r="I285" s="25" t="s">
        <v>444</v>
      </c>
      <c r="J285" s="26" t="s">
        <v>447</v>
      </c>
      <c r="K285" s="27" t="s">
        <v>576</v>
      </c>
      <c r="L285" s="28" t="s">
        <v>577</v>
      </c>
      <c r="M285" s="28" t="s">
        <v>547</v>
      </c>
      <c r="N285" s="25">
        <v>1</v>
      </c>
      <c r="O285" s="29">
        <v>10.9</v>
      </c>
      <c r="P285" s="29">
        <v>10.9</v>
      </c>
      <c r="Q285" s="25" t="s">
        <v>745</v>
      </c>
      <c r="R285" s="25"/>
      <c r="S285" s="26"/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64"/>
        <v>0</v>
      </c>
      <c r="AF285" s="32">
        <f t="shared" si="65"/>
        <v>10.9</v>
      </c>
      <c r="AG285" s="30"/>
      <c r="AH285" s="33"/>
      <c r="AI285" s="34">
        <f t="shared" si="66"/>
        <v>0</v>
      </c>
      <c r="AJ285" s="35"/>
      <c r="AK285" s="30"/>
      <c r="AL285" s="36">
        <f t="shared" si="67"/>
        <v>0</v>
      </c>
      <c r="AM285" s="35"/>
      <c r="AN285" s="30"/>
      <c r="AO285" s="36">
        <f t="shared" si="68"/>
        <v>0</v>
      </c>
      <c r="AP285" s="35"/>
      <c r="AQ285" s="30"/>
      <c r="AR285" s="36">
        <f t="shared" si="69"/>
        <v>0</v>
      </c>
      <c r="AS285" s="27"/>
      <c r="AT285" s="37"/>
      <c r="AU285" s="30"/>
      <c r="AV285" s="36">
        <f t="shared" si="70"/>
        <v>0</v>
      </c>
      <c r="AW285" s="35"/>
      <c r="AX285" s="30"/>
      <c r="AY285" s="32">
        <f t="shared" si="71"/>
        <v>0</v>
      </c>
      <c r="AZ285" s="30" t="s">
        <v>440</v>
      </c>
      <c r="BA285" s="63"/>
      <c r="BB285" s="71"/>
      <c r="BC285" s="71"/>
      <c r="BD285" s="71"/>
    </row>
    <row r="286" spans="1:56" hidden="1" x14ac:dyDescent="0.25">
      <c r="A286" s="24">
        <f>IF(B286="","",SUBTOTAL(3,$B$4:B286))</f>
        <v>148</v>
      </c>
      <c r="B286" s="25" t="s">
        <v>439</v>
      </c>
      <c r="C286" s="25" t="str">
        <f t="shared" si="63"/>
        <v>Shipment 2 Outlet Stack</v>
      </c>
      <c r="D286" s="25" t="s">
        <v>441</v>
      </c>
      <c r="E286" s="25" t="s">
        <v>775</v>
      </c>
      <c r="F286" s="25"/>
      <c r="G286" s="65">
        <v>46204</v>
      </c>
      <c r="H286" s="25" t="s">
        <v>443</v>
      </c>
      <c r="I286" s="25" t="s">
        <v>444</v>
      </c>
      <c r="J286" s="26" t="s">
        <v>447</v>
      </c>
      <c r="K286" s="27" t="s">
        <v>578</v>
      </c>
      <c r="L286" s="28" t="s">
        <v>579</v>
      </c>
      <c r="M286" s="28" t="s">
        <v>547</v>
      </c>
      <c r="N286" s="25">
        <v>1</v>
      </c>
      <c r="O286" s="29">
        <v>14.4</v>
      </c>
      <c r="P286" s="29">
        <v>14.4</v>
      </c>
      <c r="Q286" s="25" t="s">
        <v>746</v>
      </c>
      <c r="R286" s="25"/>
      <c r="S286" s="26"/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64"/>
        <v>0</v>
      </c>
      <c r="AF286" s="32">
        <f t="shared" si="65"/>
        <v>14.4</v>
      </c>
      <c r="AG286" s="30"/>
      <c r="AH286" s="33"/>
      <c r="AI286" s="34">
        <f t="shared" si="66"/>
        <v>0</v>
      </c>
      <c r="AJ286" s="35"/>
      <c r="AK286" s="30"/>
      <c r="AL286" s="36">
        <f t="shared" si="67"/>
        <v>0</v>
      </c>
      <c r="AM286" s="35"/>
      <c r="AN286" s="30"/>
      <c r="AO286" s="36">
        <f t="shared" si="68"/>
        <v>0</v>
      </c>
      <c r="AP286" s="35"/>
      <c r="AQ286" s="30"/>
      <c r="AR286" s="36">
        <f t="shared" si="69"/>
        <v>0</v>
      </c>
      <c r="AS286" s="27"/>
      <c r="AT286" s="37"/>
      <c r="AU286" s="30"/>
      <c r="AV286" s="36">
        <f t="shared" si="70"/>
        <v>0</v>
      </c>
      <c r="AW286" s="35"/>
      <c r="AX286" s="30"/>
      <c r="AY286" s="32">
        <f t="shared" si="71"/>
        <v>0</v>
      </c>
      <c r="AZ286" s="30" t="s">
        <v>440</v>
      </c>
      <c r="BA286" s="63"/>
      <c r="BB286" s="71"/>
      <c r="BC286" s="71"/>
      <c r="BD286" s="71"/>
    </row>
    <row r="287" spans="1:56" hidden="1" x14ac:dyDescent="0.25">
      <c r="A287" s="24">
        <f>IF(B287="","",SUBTOTAL(3,$B$4:B287))</f>
        <v>148</v>
      </c>
      <c r="B287" s="25" t="s">
        <v>439</v>
      </c>
      <c r="C287" s="25" t="str">
        <f t="shared" si="63"/>
        <v>Shipment 2 Outlet Stack</v>
      </c>
      <c r="D287" s="25" t="s">
        <v>441</v>
      </c>
      <c r="E287" s="25" t="s">
        <v>775</v>
      </c>
      <c r="F287" s="25"/>
      <c r="G287" s="65">
        <v>46204</v>
      </c>
      <c r="H287" s="25" t="s">
        <v>443</v>
      </c>
      <c r="I287" s="25" t="s">
        <v>444</v>
      </c>
      <c r="J287" s="26" t="s">
        <v>447</v>
      </c>
      <c r="K287" s="27" t="s">
        <v>580</v>
      </c>
      <c r="L287" s="28" t="s">
        <v>581</v>
      </c>
      <c r="M287" s="28" t="s">
        <v>547</v>
      </c>
      <c r="N287" s="25">
        <v>2</v>
      </c>
      <c r="O287" s="29">
        <v>13.9</v>
      </c>
      <c r="P287" s="29">
        <v>27.9</v>
      </c>
      <c r="Q287" s="25" t="s">
        <v>741</v>
      </c>
      <c r="R287" s="25"/>
      <c r="S287" s="26"/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64"/>
        <v>0</v>
      </c>
      <c r="AF287" s="32">
        <f t="shared" si="65"/>
        <v>27.9</v>
      </c>
      <c r="AG287" s="30"/>
      <c r="AH287" s="33"/>
      <c r="AI287" s="34">
        <f t="shared" si="66"/>
        <v>0</v>
      </c>
      <c r="AJ287" s="35"/>
      <c r="AK287" s="30"/>
      <c r="AL287" s="36">
        <f t="shared" si="67"/>
        <v>0</v>
      </c>
      <c r="AM287" s="35"/>
      <c r="AN287" s="30"/>
      <c r="AO287" s="36">
        <f t="shared" si="68"/>
        <v>0</v>
      </c>
      <c r="AP287" s="35"/>
      <c r="AQ287" s="30"/>
      <c r="AR287" s="36">
        <f t="shared" si="69"/>
        <v>0</v>
      </c>
      <c r="AS287" s="27"/>
      <c r="AT287" s="37"/>
      <c r="AU287" s="30"/>
      <c r="AV287" s="36">
        <f t="shared" si="70"/>
        <v>0</v>
      </c>
      <c r="AW287" s="35"/>
      <c r="AX287" s="30"/>
      <c r="AY287" s="32">
        <f t="shared" si="71"/>
        <v>0</v>
      </c>
      <c r="AZ287" s="30" t="s">
        <v>440</v>
      </c>
      <c r="BA287" s="63"/>
      <c r="BB287" s="71"/>
      <c r="BC287" s="71"/>
      <c r="BD287" s="71"/>
    </row>
    <row r="288" spans="1:56" hidden="1" x14ac:dyDescent="0.25">
      <c r="A288" s="24">
        <f>IF(B288="","",SUBTOTAL(3,$B$4:B288))</f>
        <v>148</v>
      </c>
      <c r="B288" s="25" t="s">
        <v>439</v>
      </c>
      <c r="C288" s="25" t="str">
        <f t="shared" si="63"/>
        <v>Shipment 2 Outlet Stack</v>
      </c>
      <c r="D288" s="25" t="s">
        <v>441</v>
      </c>
      <c r="E288" s="25" t="s">
        <v>775</v>
      </c>
      <c r="F288" s="25"/>
      <c r="G288" s="65">
        <v>46204</v>
      </c>
      <c r="H288" s="25" t="s">
        <v>443</v>
      </c>
      <c r="I288" s="25" t="s">
        <v>444</v>
      </c>
      <c r="J288" s="26" t="s">
        <v>447</v>
      </c>
      <c r="K288" s="27" t="s">
        <v>582</v>
      </c>
      <c r="L288" s="28" t="s">
        <v>583</v>
      </c>
      <c r="M288" s="28" t="s">
        <v>547</v>
      </c>
      <c r="N288" s="25">
        <v>1</v>
      </c>
      <c r="O288" s="29">
        <v>37.799999999999997</v>
      </c>
      <c r="P288" s="29">
        <v>37.799999999999997</v>
      </c>
      <c r="Q288" s="25" t="s">
        <v>742</v>
      </c>
      <c r="R288" s="25"/>
      <c r="S288" s="26"/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64"/>
        <v>0</v>
      </c>
      <c r="AF288" s="32">
        <f t="shared" si="65"/>
        <v>37.799999999999997</v>
      </c>
      <c r="AG288" s="30"/>
      <c r="AH288" s="33"/>
      <c r="AI288" s="34">
        <f t="shared" si="66"/>
        <v>0</v>
      </c>
      <c r="AJ288" s="35"/>
      <c r="AK288" s="30"/>
      <c r="AL288" s="36">
        <f t="shared" si="67"/>
        <v>0</v>
      </c>
      <c r="AM288" s="35"/>
      <c r="AN288" s="30"/>
      <c r="AO288" s="36">
        <f t="shared" si="68"/>
        <v>0</v>
      </c>
      <c r="AP288" s="35"/>
      <c r="AQ288" s="30"/>
      <c r="AR288" s="36">
        <f t="shared" si="69"/>
        <v>0</v>
      </c>
      <c r="AS288" s="27"/>
      <c r="AT288" s="37"/>
      <c r="AU288" s="30"/>
      <c r="AV288" s="36">
        <f t="shared" si="70"/>
        <v>0</v>
      </c>
      <c r="AW288" s="35"/>
      <c r="AX288" s="30"/>
      <c r="AY288" s="32">
        <f t="shared" si="71"/>
        <v>0</v>
      </c>
      <c r="AZ288" s="30" t="s">
        <v>440</v>
      </c>
      <c r="BA288" s="63"/>
      <c r="BB288" s="71"/>
      <c r="BC288" s="71"/>
      <c r="BD288" s="71"/>
    </row>
    <row r="289" spans="1:56" hidden="1" x14ac:dyDescent="0.25">
      <c r="A289" s="24">
        <f>IF(B289="","",SUBTOTAL(3,$B$4:B289))</f>
        <v>148</v>
      </c>
      <c r="B289" s="25" t="s">
        <v>439</v>
      </c>
      <c r="C289" s="25" t="str">
        <f t="shared" ref="C289:C320" si="72">D289&amp;" "&amp;E289</f>
        <v>Shipment 2 Outlet Stack</v>
      </c>
      <c r="D289" s="25" t="s">
        <v>441</v>
      </c>
      <c r="E289" s="25" t="s">
        <v>775</v>
      </c>
      <c r="F289" s="25"/>
      <c r="G289" s="65">
        <v>46204</v>
      </c>
      <c r="H289" s="25" t="s">
        <v>443</v>
      </c>
      <c r="I289" s="25" t="s">
        <v>444</v>
      </c>
      <c r="J289" s="26" t="s">
        <v>447</v>
      </c>
      <c r="K289" s="27" t="s">
        <v>584</v>
      </c>
      <c r="L289" s="28" t="s">
        <v>585</v>
      </c>
      <c r="M289" s="28" t="s">
        <v>547</v>
      </c>
      <c r="N289" s="25">
        <v>1</v>
      </c>
      <c r="O289" s="29">
        <v>13.9</v>
      </c>
      <c r="P289" s="29">
        <v>13.9</v>
      </c>
      <c r="Q289" s="25" t="s">
        <v>739</v>
      </c>
      <c r="R289" s="25"/>
      <c r="S289" s="26"/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64"/>
        <v>0</v>
      </c>
      <c r="AF289" s="32">
        <f t="shared" si="65"/>
        <v>13.9</v>
      </c>
      <c r="AG289" s="30"/>
      <c r="AH289" s="33"/>
      <c r="AI289" s="34">
        <f t="shared" si="66"/>
        <v>0</v>
      </c>
      <c r="AJ289" s="35"/>
      <c r="AK289" s="30"/>
      <c r="AL289" s="36">
        <f t="shared" si="67"/>
        <v>0</v>
      </c>
      <c r="AM289" s="35"/>
      <c r="AN289" s="30"/>
      <c r="AO289" s="36">
        <f t="shared" si="68"/>
        <v>0</v>
      </c>
      <c r="AP289" s="35"/>
      <c r="AQ289" s="30"/>
      <c r="AR289" s="36">
        <f t="shared" si="69"/>
        <v>0</v>
      </c>
      <c r="AS289" s="27"/>
      <c r="AT289" s="37"/>
      <c r="AU289" s="30"/>
      <c r="AV289" s="36">
        <f t="shared" si="70"/>
        <v>0</v>
      </c>
      <c r="AW289" s="35"/>
      <c r="AX289" s="30"/>
      <c r="AY289" s="32">
        <f t="shared" si="71"/>
        <v>0</v>
      </c>
      <c r="AZ289" s="30" t="s">
        <v>440</v>
      </c>
      <c r="BA289" s="63"/>
      <c r="BB289" s="71"/>
      <c r="BC289" s="71"/>
      <c r="BD289" s="71"/>
    </row>
    <row r="290" spans="1:56" hidden="1" x14ac:dyDescent="0.25">
      <c r="A290" s="24">
        <f>IF(B290="","",SUBTOTAL(3,$B$4:B290))</f>
        <v>148</v>
      </c>
      <c r="B290" s="25" t="s">
        <v>439</v>
      </c>
      <c r="C290" s="25" t="str">
        <f t="shared" si="72"/>
        <v>Shipment 2 Outlet Stack</v>
      </c>
      <c r="D290" s="25" t="s">
        <v>441</v>
      </c>
      <c r="E290" s="25" t="s">
        <v>775</v>
      </c>
      <c r="F290" s="25"/>
      <c r="G290" s="65">
        <v>46204</v>
      </c>
      <c r="H290" s="25" t="s">
        <v>443</v>
      </c>
      <c r="I290" s="25" t="s">
        <v>444</v>
      </c>
      <c r="J290" s="26" t="s">
        <v>447</v>
      </c>
      <c r="K290" s="27" t="s">
        <v>586</v>
      </c>
      <c r="L290" s="28" t="s">
        <v>587</v>
      </c>
      <c r="M290" s="28" t="s">
        <v>547</v>
      </c>
      <c r="N290" s="25">
        <v>2</v>
      </c>
      <c r="O290" s="29">
        <v>13.9</v>
      </c>
      <c r="P290" s="29">
        <v>27.9</v>
      </c>
      <c r="Q290" s="25" t="s">
        <v>741</v>
      </c>
      <c r="R290" s="25"/>
      <c r="S290" s="26"/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64"/>
        <v>0</v>
      </c>
      <c r="AF290" s="32">
        <f t="shared" si="65"/>
        <v>27.9</v>
      </c>
      <c r="AG290" s="30"/>
      <c r="AH290" s="33"/>
      <c r="AI290" s="34">
        <f t="shared" si="66"/>
        <v>0</v>
      </c>
      <c r="AJ290" s="35"/>
      <c r="AK290" s="30"/>
      <c r="AL290" s="36">
        <f t="shared" si="67"/>
        <v>0</v>
      </c>
      <c r="AM290" s="35"/>
      <c r="AN290" s="30"/>
      <c r="AO290" s="36">
        <f t="shared" si="68"/>
        <v>0</v>
      </c>
      <c r="AP290" s="35"/>
      <c r="AQ290" s="30"/>
      <c r="AR290" s="36">
        <f t="shared" si="69"/>
        <v>0</v>
      </c>
      <c r="AS290" s="27"/>
      <c r="AT290" s="37"/>
      <c r="AU290" s="30"/>
      <c r="AV290" s="36">
        <f t="shared" si="70"/>
        <v>0</v>
      </c>
      <c r="AW290" s="35"/>
      <c r="AX290" s="30"/>
      <c r="AY290" s="32">
        <f t="shared" si="71"/>
        <v>0</v>
      </c>
      <c r="AZ290" s="30" t="s">
        <v>440</v>
      </c>
      <c r="BA290" s="63"/>
      <c r="BB290" s="71"/>
      <c r="BC290" s="71"/>
      <c r="BD290" s="71"/>
    </row>
    <row r="291" spans="1:56" hidden="1" x14ac:dyDescent="0.25">
      <c r="A291" s="24">
        <f>IF(B291="","",SUBTOTAL(3,$B$4:B291))</f>
        <v>148</v>
      </c>
      <c r="B291" s="25" t="s">
        <v>439</v>
      </c>
      <c r="C291" s="25" t="str">
        <f t="shared" si="72"/>
        <v>Shipment 2 Outlet Stack</v>
      </c>
      <c r="D291" s="25" t="s">
        <v>441</v>
      </c>
      <c r="E291" s="25" t="s">
        <v>775</v>
      </c>
      <c r="F291" s="25"/>
      <c r="G291" s="65">
        <v>46204</v>
      </c>
      <c r="H291" s="25" t="s">
        <v>443</v>
      </c>
      <c r="I291" s="25" t="s">
        <v>444</v>
      </c>
      <c r="J291" s="26" t="s">
        <v>447</v>
      </c>
      <c r="K291" s="27" t="s">
        <v>588</v>
      </c>
      <c r="L291" s="28" t="s">
        <v>589</v>
      </c>
      <c r="M291" s="28" t="s">
        <v>547</v>
      </c>
      <c r="N291" s="25">
        <v>1</v>
      </c>
      <c r="O291" s="29">
        <v>12.4</v>
      </c>
      <c r="P291" s="29">
        <v>12.4</v>
      </c>
      <c r="Q291" s="25" t="s">
        <v>743</v>
      </c>
      <c r="R291" s="25"/>
      <c r="S291" s="26"/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si="64"/>
        <v>0</v>
      </c>
      <c r="AF291" s="32">
        <f t="shared" si="65"/>
        <v>12.4</v>
      </c>
      <c r="AG291" s="30"/>
      <c r="AH291" s="33"/>
      <c r="AI291" s="34">
        <f t="shared" si="66"/>
        <v>0</v>
      </c>
      <c r="AJ291" s="35"/>
      <c r="AK291" s="30"/>
      <c r="AL291" s="36">
        <f t="shared" si="67"/>
        <v>0</v>
      </c>
      <c r="AM291" s="35"/>
      <c r="AN291" s="30"/>
      <c r="AO291" s="36">
        <f t="shared" si="68"/>
        <v>0</v>
      </c>
      <c r="AP291" s="35"/>
      <c r="AQ291" s="30"/>
      <c r="AR291" s="36">
        <f t="shared" si="69"/>
        <v>0</v>
      </c>
      <c r="AS291" s="27"/>
      <c r="AT291" s="37"/>
      <c r="AU291" s="30"/>
      <c r="AV291" s="36">
        <f t="shared" si="70"/>
        <v>0</v>
      </c>
      <c r="AW291" s="35"/>
      <c r="AX291" s="30"/>
      <c r="AY291" s="32">
        <f t="shared" si="71"/>
        <v>0</v>
      </c>
      <c r="AZ291" s="30" t="s">
        <v>440</v>
      </c>
      <c r="BA291" s="63"/>
      <c r="BB291" s="71"/>
      <c r="BC291" s="71"/>
      <c r="BD291" s="71"/>
    </row>
    <row r="292" spans="1:56" hidden="1" x14ac:dyDescent="0.25">
      <c r="A292" s="24">
        <f>IF(B292="","",SUBTOTAL(3,$B$4:B292))</f>
        <v>148</v>
      </c>
      <c r="B292" s="25" t="s">
        <v>439</v>
      </c>
      <c r="C292" s="25" t="str">
        <f t="shared" si="72"/>
        <v>Shipment 2 Outlet Stack</v>
      </c>
      <c r="D292" s="25" t="s">
        <v>441</v>
      </c>
      <c r="E292" s="25" t="s">
        <v>775</v>
      </c>
      <c r="F292" s="25"/>
      <c r="G292" s="65">
        <v>46204</v>
      </c>
      <c r="H292" s="25" t="s">
        <v>443</v>
      </c>
      <c r="I292" s="25" t="s">
        <v>444</v>
      </c>
      <c r="J292" s="26" t="s">
        <v>447</v>
      </c>
      <c r="K292" s="27" t="s">
        <v>590</v>
      </c>
      <c r="L292" s="28" t="s">
        <v>591</v>
      </c>
      <c r="M292" s="28" t="s">
        <v>547</v>
      </c>
      <c r="N292" s="25">
        <v>7</v>
      </c>
      <c r="O292" s="29">
        <v>13.9</v>
      </c>
      <c r="P292" s="29">
        <v>97.6</v>
      </c>
      <c r="Q292" s="25" t="s">
        <v>739</v>
      </c>
      <c r="R292" s="25"/>
      <c r="S292" s="26"/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64"/>
        <v>0</v>
      </c>
      <c r="AF292" s="32">
        <f t="shared" si="65"/>
        <v>97.6</v>
      </c>
      <c r="AG292" s="30"/>
      <c r="AH292" s="33"/>
      <c r="AI292" s="34">
        <f t="shared" si="66"/>
        <v>0</v>
      </c>
      <c r="AJ292" s="35"/>
      <c r="AK292" s="30"/>
      <c r="AL292" s="36">
        <f t="shared" si="67"/>
        <v>0</v>
      </c>
      <c r="AM292" s="35"/>
      <c r="AN292" s="30"/>
      <c r="AO292" s="36">
        <f t="shared" si="68"/>
        <v>0</v>
      </c>
      <c r="AP292" s="35"/>
      <c r="AQ292" s="30"/>
      <c r="AR292" s="36">
        <f t="shared" si="69"/>
        <v>0</v>
      </c>
      <c r="AS292" s="27"/>
      <c r="AT292" s="37"/>
      <c r="AU292" s="30"/>
      <c r="AV292" s="36">
        <f t="shared" si="70"/>
        <v>0</v>
      </c>
      <c r="AW292" s="35"/>
      <c r="AX292" s="30"/>
      <c r="AY292" s="32">
        <f t="shared" si="71"/>
        <v>0</v>
      </c>
      <c r="AZ292" s="30" t="s">
        <v>440</v>
      </c>
      <c r="BA292" s="63"/>
      <c r="BB292" s="71"/>
      <c r="BC292" s="71"/>
      <c r="BD292" s="71"/>
    </row>
    <row r="293" spans="1:56" hidden="1" x14ac:dyDescent="0.25">
      <c r="A293" s="24">
        <f>IF(B293="","",SUBTOTAL(3,$B$4:B293))</f>
        <v>148</v>
      </c>
      <c r="B293" s="25" t="s">
        <v>439</v>
      </c>
      <c r="C293" s="25" t="str">
        <f t="shared" si="72"/>
        <v>Shipment 2 Outlet Stack</v>
      </c>
      <c r="D293" s="25" t="s">
        <v>441</v>
      </c>
      <c r="E293" s="25" t="s">
        <v>775</v>
      </c>
      <c r="F293" s="25"/>
      <c r="G293" s="65">
        <v>46204</v>
      </c>
      <c r="H293" s="25" t="s">
        <v>443</v>
      </c>
      <c r="I293" s="25" t="s">
        <v>444</v>
      </c>
      <c r="J293" s="26" t="s">
        <v>447</v>
      </c>
      <c r="K293" s="27" t="s">
        <v>592</v>
      </c>
      <c r="L293" s="28" t="s">
        <v>593</v>
      </c>
      <c r="M293" s="28" t="s">
        <v>547</v>
      </c>
      <c r="N293" s="25">
        <v>1</v>
      </c>
      <c r="O293" s="29">
        <v>13.9</v>
      </c>
      <c r="P293" s="29">
        <v>13.9</v>
      </c>
      <c r="Q293" s="25" t="s">
        <v>739</v>
      </c>
      <c r="R293" s="25"/>
      <c r="S293" s="26"/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64"/>
        <v>0</v>
      </c>
      <c r="AF293" s="32">
        <f t="shared" si="65"/>
        <v>13.9</v>
      </c>
      <c r="AG293" s="30"/>
      <c r="AH293" s="33"/>
      <c r="AI293" s="34">
        <f t="shared" si="66"/>
        <v>0</v>
      </c>
      <c r="AJ293" s="35"/>
      <c r="AK293" s="30"/>
      <c r="AL293" s="36">
        <f t="shared" si="67"/>
        <v>0</v>
      </c>
      <c r="AM293" s="35"/>
      <c r="AN293" s="30"/>
      <c r="AO293" s="36">
        <f t="shared" si="68"/>
        <v>0</v>
      </c>
      <c r="AP293" s="35"/>
      <c r="AQ293" s="30"/>
      <c r="AR293" s="36">
        <f t="shared" si="69"/>
        <v>0</v>
      </c>
      <c r="AS293" s="27"/>
      <c r="AT293" s="37"/>
      <c r="AU293" s="30"/>
      <c r="AV293" s="36">
        <f t="shared" si="70"/>
        <v>0</v>
      </c>
      <c r="AW293" s="35"/>
      <c r="AX293" s="30"/>
      <c r="AY293" s="32">
        <f t="shared" si="71"/>
        <v>0</v>
      </c>
      <c r="AZ293" s="30" t="s">
        <v>440</v>
      </c>
      <c r="BA293" s="63"/>
      <c r="BB293" s="71"/>
      <c r="BC293" s="71"/>
      <c r="BD293" s="71"/>
    </row>
    <row r="294" spans="1:56" hidden="1" x14ac:dyDescent="0.25">
      <c r="A294" s="24">
        <f>IF(B294="","",SUBTOTAL(3,$B$4:B294))</f>
        <v>148</v>
      </c>
      <c r="B294" s="25" t="s">
        <v>439</v>
      </c>
      <c r="C294" s="25" t="str">
        <f t="shared" si="72"/>
        <v>Shipment 2 Outlet Stack</v>
      </c>
      <c r="D294" s="25" t="s">
        <v>441</v>
      </c>
      <c r="E294" s="25" t="s">
        <v>775</v>
      </c>
      <c r="F294" s="25"/>
      <c r="G294" s="65">
        <v>46204</v>
      </c>
      <c r="H294" s="25" t="s">
        <v>443</v>
      </c>
      <c r="I294" s="25" t="s">
        <v>444</v>
      </c>
      <c r="J294" s="26" t="s">
        <v>447</v>
      </c>
      <c r="K294" s="27" t="s">
        <v>594</v>
      </c>
      <c r="L294" s="28" t="s">
        <v>595</v>
      </c>
      <c r="M294" s="28" t="s">
        <v>547</v>
      </c>
      <c r="N294" s="25">
        <v>2</v>
      </c>
      <c r="O294" s="29">
        <v>13.9</v>
      </c>
      <c r="P294" s="29">
        <v>27.9</v>
      </c>
      <c r="Q294" s="25" t="s">
        <v>741</v>
      </c>
      <c r="R294" s="25"/>
      <c r="S294" s="26"/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ref="AE294:AE350" si="73">+AL294*0.5+AO294*0.4+AV294*0.1</f>
        <v>0</v>
      </c>
      <c r="AF294" s="32">
        <f t="shared" ref="AF294:AF350" si="74">+P294-AE294</f>
        <v>27.9</v>
      </c>
      <c r="AG294" s="30"/>
      <c r="AH294" s="33"/>
      <c r="AI294" s="34">
        <f t="shared" ref="AI294:AI350" si="75">+AH294*P294</f>
        <v>0</v>
      </c>
      <c r="AJ294" s="35"/>
      <c r="AK294" s="30"/>
      <c r="AL294" s="36">
        <f t="shared" ref="AL294:AL350" si="76">IFERROR(AK294*$P294/$N294,0)</f>
        <v>0</v>
      </c>
      <c r="AM294" s="35"/>
      <c r="AN294" s="30"/>
      <c r="AO294" s="36">
        <f t="shared" ref="AO294:AO350" si="77">IFERROR(AN294*$P294/$N294,0)</f>
        <v>0</v>
      </c>
      <c r="AP294" s="35"/>
      <c r="AQ294" s="30"/>
      <c r="AR294" s="36">
        <f t="shared" ref="AR294:AR350" si="78">IFERROR(AQ294*$P294/$N294,0)</f>
        <v>0</v>
      </c>
      <c r="AS294" s="27"/>
      <c r="AT294" s="37"/>
      <c r="AU294" s="30"/>
      <c r="AV294" s="36">
        <f t="shared" ref="AV294:AV350" si="79">IFERROR(AU294*$P294/$N294,0)</f>
        <v>0</v>
      </c>
      <c r="AW294" s="35"/>
      <c r="AX294" s="30"/>
      <c r="AY294" s="32">
        <f t="shared" ref="AY294:AY350" si="80">IFERROR(AX294*$P294/$N294,0)</f>
        <v>0</v>
      </c>
      <c r="AZ294" s="30" t="s">
        <v>440</v>
      </c>
      <c r="BA294" s="63"/>
      <c r="BB294" s="71"/>
      <c r="BC294" s="71"/>
      <c r="BD294" s="71"/>
    </row>
    <row r="295" spans="1:56" hidden="1" x14ac:dyDescent="0.25">
      <c r="A295" s="24">
        <f>IF(B295="","",SUBTOTAL(3,$B$4:B295))</f>
        <v>148</v>
      </c>
      <c r="B295" s="25" t="s">
        <v>439</v>
      </c>
      <c r="C295" s="25" t="str">
        <f t="shared" si="72"/>
        <v>Shipment 2 Outlet Stack</v>
      </c>
      <c r="D295" s="25" t="s">
        <v>441</v>
      </c>
      <c r="E295" s="25" t="s">
        <v>775</v>
      </c>
      <c r="F295" s="25"/>
      <c r="G295" s="65">
        <v>46204</v>
      </c>
      <c r="H295" s="25" t="s">
        <v>443</v>
      </c>
      <c r="I295" s="25" t="s">
        <v>444</v>
      </c>
      <c r="J295" s="26" t="s">
        <v>447</v>
      </c>
      <c r="K295" s="27" t="s">
        <v>596</v>
      </c>
      <c r="L295" s="28" t="s">
        <v>597</v>
      </c>
      <c r="M295" s="28" t="s">
        <v>547</v>
      </c>
      <c r="N295" s="25">
        <v>2</v>
      </c>
      <c r="O295" s="29">
        <v>13.9</v>
      </c>
      <c r="P295" s="29">
        <v>27.9</v>
      </c>
      <c r="Q295" s="25" t="s">
        <v>740</v>
      </c>
      <c r="R295" s="25"/>
      <c r="S295" s="26"/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73"/>
        <v>0</v>
      </c>
      <c r="AF295" s="32">
        <f t="shared" si="74"/>
        <v>27.9</v>
      </c>
      <c r="AG295" s="30"/>
      <c r="AH295" s="33"/>
      <c r="AI295" s="34">
        <f t="shared" si="75"/>
        <v>0</v>
      </c>
      <c r="AJ295" s="35"/>
      <c r="AK295" s="30"/>
      <c r="AL295" s="36">
        <f t="shared" si="76"/>
        <v>0</v>
      </c>
      <c r="AM295" s="35"/>
      <c r="AN295" s="30"/>
      <c r="AO295" s="36">
        <f t="shared" si="77"/>
        <v>0</v>
      </c>
      <c r="AP295" s="35"/>
      <c r="AQ295" s="30"/>
      <c r="AR295" s="36">
        <f t="shared" si="78"/>
        <v>0</v>
      </c>
      <c r="AS295" s="27"/>
      <c r="AT295" s="37"/>
      <c r="AU295" s="30"/>
      <c r="AV295" s="36">
        <f t="shared" si="79"/>
        <v>0</v>
      </c>
      <c r="AW295" s="35"/>
      <c r="AX295" s="30"/>
      <c r="AY295" s="32">
        <f t="shared" si="80"/>
        <v>0</v>
      </c>
      <c r="AZ295" s="30" t="s">
        <v>440</v>
      </c>
      <c r="BA295" s="63"/>
      <c r="BB295" s="71"/>
      <c r="BC295" s="71"/>
      <c r="BD295" s="71"/>
    </row>
    <row r="296" spans="1:56" hidden="1" x14ac:dyDescent="0.25">
      <c r="A296" s="24">
        <f>IF(B296="","",SUBTOTAL(3,$B$4:B296))</f>
        <v>148</v>
      </c>
      <c r="B296" s="25" t="s">
        <v>439</v>
      </c>
      <c r="C296" s="25" t="str">
        <f t="shared" si="72"/>
        <v>Shipment 2 Outlet Stack</v>
      </c>
      <c r="D296" s="25" t="s">
        <v>441</v>
      </c>
      <c r="E296" s="25" t="s">
        <v>775</v>
      </c>
      <c r="F296" s="25"/>
      <c r="G296" s="65">
        <v>46204</v>
      </c>
      <c r="H296" s="25" t="s">
        <v>443</v>
      </c>
      <c r="I296" s="25" t="s">
        <v>444</v>
      </c>
      <c r="J296" s="26" t="s">
        <v>447</v>
      </c>
      <c r="K296" s="27" t="s">
        <v>598</v>
      </c>
      <c r="L296" s="28" t="s">
        <v>599</v>
      </c>
      <c r="M296" s="28" t="s">
        <v>547</v>
      </c>
      <c r="N296" s="25">
        <v>2</v>
      </c>
      <c r="O296" s="29">
        <v>13.9</v>
      </c>
      <c r="P296" s="29">
        <v>27.9</v>
      </c>
      <c r="Q296" s="25" t="s">
        <v>741</v>
      </c>
      <c r="R296" s="25"/>
      <c r="S296" s="26"/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73"/>
        <v>0</v>
      </c>
      <c r="AF296" s="32">
        <f t="shared" si="74"/>
        <v>27.9</v>
      </c>
      <c r="AG296" s="30"/>
      <c r="AH296" s="33"/>
      <c r="AI296" s="34">
        <f t="shared" si="75"/>
        <v>0</v>
      </c>
      <c r="AJ296" s="35"/>
      <c r="AK296" s="30"/>
      <c r="AL296" s="36">
        <f t="shared" si="76"/>
        <v>0</v>
      </c>
      <c r="AM296" s="35"/>
      <c r="AN296" s="30"/>
      <c r="AO296" s="36">
        <f t="shared" si="77"/>
        <v>0</v>
      </c>
      <c r="AP296" s="35"/>
      <c r="AQ296" s="30"/>
      <c r="AR296" s="36">
        <f t="shared" si="78"/>
        <v>0</v>
      </c>
      <c r="AS296" s="27"/>
      <c r="AT296" s="37"/>
      <c r="AU296" s="30"/>
      <c r="AV296" s="36">
        <f t="shared" si="79"/>
        <v>0</v>
      </c>
      <c r="AW296" s="35"/>
      <c r="AX296" s="30"/>
      <c r="AY296" s="32">
        <f t="shared" si="80"/>
        <v>0</v>
      </c>
      <c r="AZ296" s="30" t="s">
        <v>440</v>
      </c>
      <c r="BA296" s="63"/>
      <c r="BB296" s="71"/>
      <c r="BC296" s="71"/>
      <c r="BD296" s="71"/>
    </row>
    <row r="297" spans="1:56" hidden="1" x14ac:dyDescent="0.25">
      <c r="A297" s="24">
        <f>IF(B297="","",SUBTOTAL(3,$B$4:B297))</f>
        <v>148</v>
      </c>
      <c r="B297" s="25" t="s">
        <v>439</v>
      </c>
      <c r="C297" s="25" t="str">
        <f t="shared" si="72"/>
        <v>Shipment 2 Outlet Stack</v>
      </c>
      <c r="D297" s="25" t="s">
        <v>441</v>
      </c>
      <c r="E297" s="25" t="s">
        <v>775</v>
      </c>
      <c r="F297" s="25"/>
      <c r="G297" s="65">
        <v>46204</v>
      </c>
      <c r="H297" s="25" t="s">
        <v>443</v>
      </c>
      <c r="I297" s="25" t="s">
        <v>444</v>
      </c>
      <c r="J297" s="26" t="s">
        <v>447</v>
      </c>
      <c r="K297" s="27" t="s">
        <v>600</v>
      </c>
      <c r="L297" s="28" t="s">
        <v>601</v>
      </c>
      <c r="M297" s="28" t="s">
        <v>547</v>
      </c>
      <c r="N297" s="25">
        <v>2</v>
      </c>
      <c r="O297" s="29">
        <v>13.9</v>
      </c>
      <c r="P297" s="29">
        <v>27.9</v>
      </c>
      <c r="Q297" s="25" t="s">
        <v>741</v>
      </c>
      <c r="R297" s="25"/>
      <c r="S297" s="26"/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73"/>
        <v>0</v>
      </c>
      <c r="AF297" s="32">
        <f t="shared" si="74"/>
        <v>27.9</v>
      </c>
      <c r="AG297" s="30"/>
      <c r="AH297" s="33"/>
      <c r="AI297" s="34">
        <f t="shared" si="75"/>
        <v>0</v>
      </c>
      <c r="AJ297" s="35"/>
      <c r="AK297" s="30"/>
      <c r="AL297" s="36">
        <f t="shared" si="76"/>
        <v>0</v>
      </c>
      <c r="AM297" s="35"/>
      <c r="AN297" s="30"/>
      <c r="AO297" s="36">
        <f t="shared" si="77"/>
        <v>0</v>
      </c>
      <c r="AP297" s="35"/>
      <c r="AQ297" s="30"/>
      <c r="AR297" s="36">
        <f t="shared" si="78"/>
        <v>0</v>
      </c>
      <c r="AS297" s="27"/>
      <c r="AT297" s="37"/>
      <c r="AU297" s="30"/>
      <c r="AV297" s="36">
        <f t="shared" si="79"/>
        <v>0</v>
      </c>
      <c r="AW297" s="35"/>
      <c r="AX297" s="30"/>
      <c r="AY297" s="32">
        <f t="shared" si="80"/>
        <v>0</v>
      </c>
      <c r="AZ297" s="30" t="s">
        <v>440</v>
      </c>
      <c r="BA297" s="63"/>
      <c r="BB297" s="71"/>
      <c r="BC297" s="71"/>
      <c r="BD297" s="71"/>
    </row>
    <row r="298" spans="1:56" hidden="1" x14ac:dyDescent="0.25">
      <c r="A298" s="24">
        <f>IF(B298="","",SUBTOTAL(3,$B$4:B298))</f>
        <v>148</v>
      </c>
      <c r="B298" s="25" t="s">
        <v>439</v>
      </c>
      <c r="C298" s="25" t="str">
        <f t="shared" si="72"/>
        <v>Shipment 2 Outlet Stack</v>
      </c>
      <c r="D298" s="25" t="s">
        <v>441</v>
      </c>
      <c r="E298" s="25" t="s">
        <v>775</v>
      </c>
      <c r="F298" s="25"/>
      <c r="G298" s="65">
        <v>46204</v>
      </c>
      <c r="H298" s="25" t="s">
        <v>443</v>
      </c>
      <c r="I298" s="25" t="s">
        <v>444</v>
      </c>
      <c r="J298" s="26" t="s">
        <v>447</v>
      </c>
      <c r="K298" s="27" t="s">
        <v>602</v>
      </c>
      <c r="L298" s="28" t="s">
        <v>603</v>
      </c>
      <c r="M298" s="28" t="s">
        <v>547</v>
      </c>
      <c r="N298" s="25">
        <v>2</v>
      </c>
      <c r="O298" s="29">
        <v>13.9</v>
      </c>
      <c r="P298" s="29">
        <v>27.9</v>
      </c>
      <c r="Q298" s="25" t="s">
        <v>741</v>
      </c>
      <c r="R298" s="25"/>
      <c r="S298" s="26"/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73"/>
        <v>0</v>
      </c>
      <c r="AF298" s="32">
        <f t="shared" si="74"/>
        <v>27.9</v>
      </c>
      <c r="AG298" s="30"/>
      <c r="AH298" s="33"/>
      <c r="AI298" s="34">
        <f t="shared" si="75"/>
        <v>0</v>
      </c>
      <c r="AJ298" s="35"/>
      <c r="AK298" s="30"/>
      <c r="AL298" s="36">
        <f t="shared" si="76"/>
        <v>0</v>
      </c>
      <c r="AM298" s="35"/>
      <c r="AN298" s="30"/>
      <c r="AO298" s="36">
        <f t="shared" si="77"/>
        <v>0</v>
      </c>
      <c r="AP298" s="35"/>
      <c r="AQ298" s="30"/>
      <c r="AR298" s="36">
        <f t="shared" si="78"/>
        <v>0</v>
      </c>
      <c r="AS298" s="27"/>
      <c r="AT298" s="37"/>
      <c r="AU298" s="30"/>
      <c r="AV298" s="36">
        <f t="shared" si="79"/>
        <v>0</v>
      </c>
      <c r="AW298" s="35"/>
      <c r="AX298" s="30"/>
      <c r="AY298" s="32">
        <f t="shared" si="80"/>
        <v>0</v>
      </c>
      <c r="AZ298" s="30" t="s">
        <v>440</v>
      </c>
      <c r="BA298" s="63"/>
      <c r="BB298" s="71"/>
      <c r="BC298" s="71"/>
      <c r="BD298" s="71"/>
    </row>
    <row r="299" spans="1:56" hidden="1" x14ac:dyDescent="0.25">
      <c r="A299" s="24">
        <f>IF(B299="","",SUBTOTAL(3,$B$4:B299))</f>
        <v>148</v>
      </c>
      <c r="B299" s="25" t="s">
        <v>439</v>
      </c>
      <c r="C299" s="25" t="str">
        <f t="shared" si="72"/>
        <v>Shipment 2 Outlet Stack</v>
      </c>
      <c r="D299" s="25" t="s">
        <v>441</v>
      </c>
      <c r="E299" s="25" t="s">
        <v>775</v>
      </c>
      <c r="F299" s="25"/>
      <c r="G299" s="65">
        <v>46204</v>
      </c>
      <c r="H299" s="25" t="s">
        <v>443</v>
      </c>
      <c r="I299" s="25" t="s">
        <v>444</v>
      </c>
      <c r="J299" s="26" t="s">
        <v>447</v>
      </c>
      <c r="K299" s="27" t="s">
        <v>604</v>
      </c>
      <c r="L299" s="28" t="s">
        <v>605</v>
      </c>
      <c r="M299" s="28" t="s">
        <v>547</v>
      </c>
      <c r="N299" s="25">
        <v>1</v>
      </c>
      <c r="O299" s="29">
        <v>12.4</v>
      </c>
      <c r="P299" s="29">
        <v>12.4</v>
      </c>
      <c r="Q299" s="25" t="s">
        <v>743</v>
      </c>
      <c r="R299" s="25"/>
      <c r="S299" s="26"/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73"/>
        <v>0</v>
      </c>
      <c r="AF299" s="32">
        <f t="shared" si="74"/>
        <v>12.4</v>
      </c>
      <c r="AG299" s="30"/>
      <c r="AH299" s="33"/>
      <c r="AI299" s="34">
        <f t="shared" si="75"/>
        <v>0</v>
      </c>
      <c r="AJ299" s="35"/>
      <c r="AK299" s="30"/>
      <c r="AL299" s="36">
        <f t="shared" si="76"/>
        <v>0</v>
      </c>
      <c r="AM299" s="35"/>
      <c r="AN299" s="30"/>
      <c r="AO299" s="36">
        <f t="shared" si="77"/>
        <v>0</v>
      </c>
      <c r="AP299" s="35"/>
      <c r="AQ299" s="30"/>
      <c r="AR299" s="36">
        <f t="shared" si="78"/>
        <v>0</v>
      </c>
      <c r="AS299" s="27"/>
      <c r="AT299" s="37"/>
      <c r="AU299" s="30"/>
      <c r="AV299" s="36">
        <f t="shared" si="79"/>
        <v>0</v>
      </c>
      <c r="AW299" s="35"/>
      <c r="AX299" s="30"/>
      <c r="AY299" s="32">
        <f t="shared" si="80"/>
        <v>0</v>
      </c>
      <c r="AZ299" s="30" t="s">
        <v>440</v>
      </c>
      <c r="BA299" s="63"/>
      <c r="BB299" s="71"/>
      <c r="BC299" s="71"/>
      <c r="BD299" s="71"/>
    </row>
    <row r="300" spans="1:56" hidden="1" x14ac:dyDescent="0.25">
      <c r="A300" s="24">
        <f>IF(B300="","",SUBTOTAL(3,$B$4:B300))</f>
        <v>148</v>
      </c>
      <c r="B300" s="25" t="s">
        <v>439</v>
      </c>
      <c r="C300" s="25" t="str">
        <f t="shared" si="72"/>
        <v>Shipment 2 Outlet Stack</v>
      </c>
      <c r="D300" s="25" t="s">
        <v>441</v>
      </c>
      <c r="E300" s="25" t="s">
        <v>775</v>
      </c>
      <c r="F300" s="25"/>
      <c r="G300" s="65">
        <v>46204</v>
      </c>
      <c r="H300" s="25" t="s">
        <v>443</v>
      </c>
      <c r="I300" s="25" t="s">
        <v>444</v>
      </c>
      <c r="J300" s="26" t="s">
        <v>447</v>
      </c>
      <c r="K300" s="27" t="s">
        <v>606</v>
      </c>
      <c r="L300" s="28" t="s">
        <v>607</v>
      </c>
      <c r="M300" s="28" t="s">
        <v>547</v>
      </c>
      <c r="N300" s="25">
        <v>1</v>
      </c>
      <c r="O300" s="29">
        <v>10.9</v>
      </c>
      <c r="P300" s="29">
        <v>10.9</v>
      </c>
      <c r="Q300" s="25" t="s">
        <v>747</v>
      </c>
      <c r="R300" s="25"/>
      <c r="S300" s="26"/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73"/>
        <v>0</v>
      </c>
      <c r="AF300" s="32">
        <f t="shared" si="74"/>
        <v>10.9</v>
      </c>
      <c r="AG300" s="30"/>
      <c r="AH300" s="33"/>
      <c r="AI300" s="34">
        <f t="shared" si="75"/>
        <v>0</v>
      </c>
      <c r="AJ300" s="35"/>
      <c r="AK300" s="30"/>
      <c r="AL300" s="36">
        <f t="shared" si="76"/>
        <v>0</v>
      </c>
      <c r="AM300" s="35"/>
      <c r="AN300" s="30"/>
      <c r="AO300" s="36">
        <f t="shared" si="77"/>
        <v>0</v>
      </c>
      <c r="AP300" s="35"/>
      <c r="AQ300" s="30"/>
      <c r="AR300" s="36">
        <f t="shared" si="78"/>
        <v>0</v>
      </c>
      <c r="AS300" s="27"/>
      <c r="AT300" s="37"/>
      <c r="AU300" s="30"/>
      <c r="AV300" s="36">
        <f t="shared" si="79"/>
        <v>0</v>
      </c>
      <c r="AW300" s="35"/>
      <c r="AX300" s="30"/>
      <c r="AY300" s="32">
        <f t="shared" si="80"/>
        <v>0</v>
      </c>
      <c r="AZ300" s="30" t="s">
        <v>440</v>
      </c>
      <c r="BA300" s="63"/>
      <c r="BB300" s="71"/>
      <c r="BC300" s="71"/>
      <c r="BD300" s="71"/>
    </row>
    <row r="301" spans="1:56" hidden="1" x14ac:dyDescent="0.25">
      <c r="A301" s="24">
        <f>IF(B301="","",SUBTOTAL(3,$B$4:B301))</f>
        <v>148</v>
      </c>
      <c r="B301" s="25" t="s">
        <v>439</v>
      </c>
      <c r="C301" s="25" t="str">
        <f t="shared" si="72"/>
        <v>Shipment 2 Outlet Stack</v>
      </c>
      <c r="D301" s="25" t="s">
        <v>441</v>
      </c>
      <c r="E301" s="25" t="s">
        <v>775</v>
      </c>
      <c r="F301" s="25"/>
      <c r="G301" s="65">
        <v>46204</v>
      </c>
      <c r="H301" s="25" t="s">
        <v>443</v>
      </c>
      <c r="I301" s="25" t="s">
        <v>444</v>
      </c>
      <c r="J301" s="26" t="s">
        <v>447</v>
      </c>
      <c r="K301" s="27" t="s">
        <v>608</v>
      </c>
      <c r="L301" s="28" t="s">
        <v>609</v>
      </c>
      <c r="M301" s="28" t="s">
        <v>547</v>
      </c>
      <c r="N301" s="25">
        <v>1</v>
      </c>
      <c r="O301" s="29">
        <v>14.4</v>
      </c>
      <c r="P301" s="29">
        <v>14.4</v>
      </c>
      <c r="Q301" s="25" t="s">
        <v>748</v>
      </c>
      <c r="R301" s="25"/>
      <c r="S301" s="26"/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73"/>
        <v>0</v>
      </c>
      <c r="AF301" s="32">
        <f t="shared" si="74"/>
        <v>14.4</v>
      </c>
      <c r="AG301" s="30"/>
      <c r="AH301" s="33"/>
      <c r="AI301" s="34">
        <f t="shared" si="75"/>
        <v>0</v>
      </c>
      <c r="AJ301" s="35"/>
      <c r="AK301" s="30"/>
      <c r="AL301" s="36">
        <f t="shared" si="76"/>
        <v>0</v>
      </c>
      <c r="AM301" s="35"/>
      <c r="AN301" s="30"/>
      <c r="AO301" s="36">
        <f t="shared" si="77"/>
        <v>0</v>
      </c>
      <c r="AP301" s="35"/>
      <c r="AQ301" s="30"/>
      <c r="AR301" s="36">
        <f t="shared" si="78"/>
        <v>0</v>
      </c>
      <c r="AS301" s="27"/>
      <c r="AT301" s="37"/>
      <c r="AU301" s="30"/>
      <c r="AV301" s="36">
        <f t="shared" si="79"/>
        <v>0</v>
      </c>
      <c r="AW301" s="35"/>
      <c r="AX301" s="30"/>
      <c r="AY301" s="32">
        <f t="shared" si="80"/>
        <v>0</v>
      </c>
      <c r="AZ301" s="30" t="s">
        <v>440</v>
      </c>
      <c r="BA301" s="63"/>
      <c r="BB301" s="71"/>
      <c r="BC301" s="71"/>
      <c r="BD301" s="71"/>
    </row>
    <row r="302" spans="1:56" hidden="1" x14ac:dyDescent="0.25">
      <c r="A302" s="24">
        <f>IF(B302="","",SUBTOTAL(3,$B$4:B302))</f>
        <v>148</v>
      </c>
      <c r="B302" s="25" t="s">
        <v>439</v>
      </c>
      <c r="C302" s="25" t="str">
        <f t="shared" si="72"/>
        <v>Shipment 2 Outlet Stack</v>
      </c>
      <c r="D302" s="25" t="s">
        <v>441</v>
      </c>
      <c r="E302" s="25" t="s">
        <v>775</v>
      </c>
      <c r="F302" s="25"/>
      <c r="G302" s="65">
        <v>46204</v>
      </c>
      <c r="H302" s="25" t="s">
        <v>443</v>
      </c>
      <c r="I302" s="25" t="s">
        <v>444</v>
      </c>
      <c r="J302" s="26" t="s">
        <v>447</v>
      </c>
      <c r="K302" s="27" t="s">
        <v>610</v>
      </c>
      <c r="L302" s="28" t="s">
        <v>611</v>
      </c>
      <c r="M302" s="28" t="s">
        <v>547</v>
      </c>
      <c r="N302" s="25">
        <v>7</v>
      </c>
      <c r="O302" s="29">
        <v>13.9</v>
      </c>
      <c r="P302" s="29">
        <v>97.6</v>
      </c>
      <c r="Q302" s="25" t="s">
        <v>739</v>
      </c>
      <c r="R302" s="25"/>
      <c r="S302" s="26"/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73"/>
        <v>0</v>
      </c>
      <c r="AF302" s="32">
        <f t="shared" si="74"/>
        <v>97.6</v>
      </c>
      <c r="AG302" s="30"/>
      <c r="AH302" s="33"/>
      <c r="AI302" s="34">
        <f t="shared" si="75"/>
        <v>0</v>
      </c>
      <c r="AJ302" s="35"/>
      <c r="AK302" s="30"/>
      <c r="AL302" s="36">
        <f t="shared" si="76"/>
        <v>0</v>
      </c>
      <c r="AM302" s="35"/>
      <c r="AN302" s="30"/>
      <c r="AO302" s="36">
        <f t="shared" si="77"/>
        <v>0</v>
      </c>
      <c r="AP302" s="35"/>
      <c r="AQ302" s="30"/>
      <c r="AR302" s="36">
        <f t="shared" si="78"/>
        <v>0</v>
      </c>
      <c r="AS302" s="27"/>
      <c r="AT302" s="37"/>
      <c r="AU302" s="30"/>
      <c r="AV302" s="36">
        <f t="shared" si="79"/>
        <v>0</v>
      </c>
      <c r="AW302" s="35"/>
      <c r="AX302" s="30"/>
      <c r="AY302" s="32">
        <f t="shared" si="80"/>
        <v>0</v>
      </c>
      <c r="AZ302" s="30" t="s">
        <v>440</v>
      </c>
      <c r="BA302" s="63"/>
      <c r="BB302" s="71"/>
      <c r="BC302" s="71"/>
      <c r="BD302" s="71"/>
    </row>
    <row r="303" spans="1:56" hidden="1" x14ac:dyDescent="0.25">
      <c r="A303" s="24">
        <f>IF(B303="","",SUBTOTAL(3,$B$4:B303))</f>
        <v>148</v>
      </c>
      <c r="B303" s="25" t="s">
        <v>439</v>
      </c>
      <c r="C303" s="25" t="str">
        <f t="shared" si="72"/>
        <v>Shipment 2 Outlet Stack</v>
      </c>
      <c r="D303" s="25" t="s">
        <v>441</v>
      </c>
      <c r="E303" s="25" t="s">
        <v>775</v>
      </c>
      <c r="F303" s="25"/>
      <c r="G303" s="65">
        <v>46204</v>
      </c>
      <c r="H303" s="25" t="s">
        <v>443</v>
      </c>
      <c r="I303" s="25" t="s">
        <v>444</v>
      </c>
      <c r="J303" s="26" t="s">
        <v>447</v>
      </c>
      <c r="K303" s="27" t="s">
        <v>612</v>
      </c>
      <c r="L303" s="28" t="s">
        <v>613</v>
      </c>
      <c r="M303" s="28" t="s">
        <v>547</v>
      </c>
      <c r="N303" s="25">
        <v>1</v>
      </c>
      <c r="O303" s="29">
        <v>9.1</v>
      </c>
      <c r="P303" s="29">
        <v>9.1</v>
      </c>
      <c r="Q303" s="25" t="s">
        <v>744</v>
      </c>
      <c r="R303" s="25"/>
      <c r="S303" s="26"/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73"/>
        <v>0</v>
      </c>
      <c r="AF303" s="32">
        <f t="shared" si="74"/>
        <v>9.1</v>
      </c>
      <c r="AG303" s="30"/>
      <c r="AH303" s="33"/>
      <c r="AI303" s="34">
        <f t="shared" si="75"/>
        <v>0</v>
      </c>
      <c r="AJ303" s="35"/>
      <c r="AK303" s="30"/>
      <c r="AL303" s="36">
        <f t="shared" si="76"/>
        <v>0</v>
      </c>
      <c r="AM303" s="35"/>
      <c r="AN303" s="30"/>
      <c r="AO303" s="36">
        <f t="shared" si="77"/>
        <v>0</v>
      </c>
      <c r="AP303" s="35"/>
      <c r="AQ303" s="30"/>
      <c r="AR303" s="36">
        <f t="shared" si="78"/>
        <v>0</v>
      </c>
      <c r="AS303" s="27"/>
      <c r="AT303" s="37"/>
      <c r="AU303" s="30"/>
      <c r="AV303" s="36">
        <f t="shared" si="79"/>
        <v>0</v>
      </c>
      <c r="AW303" s="35"/>
      <c r="AX303" s="30"/>
      <c r="AY303" s="32">
        <f t="shared" si="80"/>
        <v>0</v>
      </c>
      <c r="AZ303" s="30" t="s">
        <v>440</v>
      </c>
      <c r="BA303" s="63"/>
      <c r="BB303" s="71"/>
      <c r="BC303" s="71"/>
      <c r="BD303" s="71"/>
    </row>
    <row r="304" spans="1:56" hidden="1" x14ac:dyDescent="0.25">
      <c r="A304" s="24">
        <f>IF(B304="","",SUBTOTAL(3,$B$4:B304))</f>
        <v>148</v>
      </c>
      <c r="B304" s="25" t="s">
        <v>439</v>
      </c>
      <c r="C304" s="25" t="str">
        <f t="shared" si="72"/>
        <v>Shipment 2 Outlet Stack</v>
      </c>
      <c r="D304" s="25" t="s">
        <v>441</v>
      </c>
      <c r="E304" s="25" t="s">
        <v>775</v>
      </c>
      <c r="F304" s="25"/>
      <c r="G304" s="65">
        <v>46204</v>
      </c>
      <c r="H304" s="25" t="s">
        <v>443</v>
      </c>
      <c r="I304" s="25" t="s">
        <v>444</v>
      </c>
      <c r="J304" s="26" t="s">
        <v>447</v>
      </c>
      <c r="K304" s="27" t="s">
        <v>614</v>
      </c>
      <c r="L304" s="28" t="s">
        <v>615</v>
      </c>
      <c r="M304" s="28" t="s">
        <v>547</v>
      </c>
      <c r="N304" s="25">
        <v>1</v>
      </c>
      <c r="O304" s="29">
        <v>12.4</v>
      </c>
      <c r="P304" s="29">
        <v>12.4</v>
      </c>
      <c r="Q304" s="25" t="s">
        <v>743</v>
      </c>
      <c r="R304" s="25"/>
      <c r="S304" s="26"/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73"/>
        <v>0</v>
      </c>
      <c r="AF304" s="32">
        <f t="shared" si="74"/>
        <v>12.4</v>
      </c>
      <c r="AG304" s="30"/>
      <c r="AH304" s="33"/>
      <c r="AI304" s="34">
        <f t="shared" si="75"/>
        <v>0</v>
      </c>
      <c r="AJ304" s="35"/>
      <c r="AK304" s="30"/>
      <c r="AL304" s="36">
        <f t="shared" si="76"/>
        <v>0</v>
      </c>
      <c r="AM304" s="35"/>
      <c r="AN304" s="30"/>
      <c r="AO304" s="36">
        <f t="shared" si="77"/>
        <v>0</v>
      </c>
      <c r="AP304" s="35"/>
      <c r="AQ304" s="30"/>
      <c r="AR304" s="36">
        <f t="shared" si="78"/>
        <v>0</v>
      </c>
      <c r="AS304" s="27"/>
      <c r="AT304" s="37"/>
      <c r="AU304" s="30"/>
      <c r="AV304" s="36">
        <f t="shared" si="79"/>
        <v>0</v>
      </c>
      <c r="AW304" s="35"/>
      <c r="AX304" s="30"/>
      <c r="AY304" s="32">
        <f t="shared" si="80"/>
        <v>0</v>
      </c>
      <c r="AZ304" s="30" t="s">
        <v>440</v>
      </c>
      <c r="BA304" s="63"/>
      <c r="BB304" s="71"/>
      <c r="BC304" s="71"/>
      <c r="BD304" s="71"/>
    </row>
    <row r="305" spans="1:56" hidden="1" x14ac:dyDescent="0.25">
      <c r="A305" s="24">
        <f>IF(B305="","",SUBTOTAL(3,$B$4:B305))</f>
        <v>148</v>
      </c>
      <c r="B305" s="25" t="s">
        <v>439</v>
      </c>
      <c r="C305" s="25" t="str">
        <f t="shared" si="72"/>
        <v>Shipment 2 Outlet Stack</v>
      </c>
      <c r="D305" s="25" t="s">
        <v>441</v>
      </c>
      <c r="E305" s="25" t="s">
        <v>775</v>
      </c>
      <c r="F305" s="25"/>
      <c r="G305" s="65">
        <v>46204</v>
      </c>
      <c r="H305" s="25" t="s">
        <v>443</v>
      </c>
      <c r="I305" s="25" t="s">
        <v>444</v>
      </c>
      <c r="J305" s="26" t="s">
        <v>447</v>
      </c>
      <c r="K305" s="27" t="s">
        <v>616</v>
      </c>
      <c r="L305" s="28" t="s">
        <v>617</v>
      </c>
      <c r="M305" s="28" t="s">
        <v>547</v>
      </c>
      <c r="N305" s="25">
        <v>1</v>
      </c>
      <c r="O305" s="29">
        <v>37.799999999999997</v>
      </c>
      <c r="P305" s="29">
        <v>37.799999999999997</v>
      </c>
      <c r="Q305" s="25" t="s">
        <v>742</v>
      </c>
      <c r="R305" s="25"/>
      <c r="S305" s="26"/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73"/>
        <v>0</v>
      </c>
      <c r="AF305" s="32">
        <f t="shared" si="74"/>
        <v>37.799999999999997</v>
      </c>
      <c r="AG305" s="30"/>
      <c r="AH305" s="33"/>
      <c r="AI305" s="34">
        <f t="shared" si="75"/>
        <v>0</v>
      </c>
      <c r="AJ305" s="35"/>
      <c r="AK305" s="30"/>
      <c r="AL305" s="36">
        <f t="shared" si="76"/>
        <v>0</v>
      </c>
      <c r="AM305" s="35"/>
      <c r="AN305" s="30"/>
      <c r="AO305" s="36">
        <f t="shared" si="77"/>
        <v>0</v>
      </c>
      <c r="AP305" s="35"/>
      <c r="AQ305" s="30"/>
      <c r="AR305" s="36">
        <f t="shared" si="78"/>
        <v>0</v>
      </c>
      <c r="AS305" s="27"/>
      <c r="AT305" s="37"/>
      <c r="AU305" s="30"/>
      <c r="AV305" s="36">
        <f t="shared" si="79"/>
        <v>0</v>
      </c>
      <c r="AW305" s="35"/>
      <c r="AX305" s="30"/>
      <c r="AY305" s="32">
        <f t="shared" si="80"/>
        <v>0</v>
      </c>
      <c r="AZ305" s="30" t="s">
        <v>440</v>
      </c>
      <c r="BA305" s="63"/>
      <c r="BB305" s="71"/>
      <c r="BC305" s="71"/>
      <c r="BD305" s="71"/>
    </row>
    <row r="306" spans="1:56" hidden="1" x14ac:dyDescent="0.25">
      <c r="A306" s="24">
        <f>IF(B306="","",SUBTOTAL(3,$B$4:B306))</f>
        <v>148</v>
      </c>
      <c r="B306" s="25" t="s">
        <v>439</v>
      </c>
      <c r="C306" s="25" t="str">
        <f t="shared" si="72"/>
        <v>Shipment 2 Outlet Stack</v>
      </c>
      <c r="D306" s="25" t="s">
        <v>441</v>
      </c>
      <c r="E306" s="25" t="s">
        <v>775</v>
      </c>
      <c r="F306" s="25"/>
      <c r="G306" s="65">
        <v>46204</v>
      </c>
      <c r="H306" s="25" t="s">
        <v>443</v>
      </c>
      <c r="I306" s="25" t="s">
        <v>444</v>
      </c>
      <c r="J306" s="26" t="s">
        <v>447</v>
      </c>
      <c r="K306" s="27" t="s">
        <v>618</v>
      </c>
      <c r="L306" s="28" t="s">
        <v>619</v>
      </c>
      <c r="M306" s="28" t="s">
        <v>547</v>
      </c>
      <c r="N306" s="25">
        <v>1</v>
      </c>
      <c r="O306" s="29">
        <v>13.9</v>
      </c>
      <c r="P306" s="29">
        <v>13.9</v>
      </c>
      <c r="Q306" s="25" t="s">
        <v>739</v>
      </c>
      <c r="R306" s="25"/>
      <c r="S306" s="26"/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73"/>
        <v>0</v>
      </c>
      <c r="AF306" s="32">
        <f t="shared" si="74"/>
        <v>13.9</v>
      </c>
      <c r="AG306" s="30"/>
      <c r="AH306" s="33"/>
      <c r="AI306" s="34">
        <f t="shared" si="75"/>
        <v>0</v>
      </c>
      <c r="AJ306" s="35"/>
      <c r="AK306" s="30"/>
      <c r="AL306" s="36">
        <f t="shared" si="76"/>
        <v>0</v>
      </c>
      <c r="AM306" s="35"/>
      <c r="AN306" s="30"/>
      <c r="AO306" s="36">
        <f t="shared" si="77"/>
        <v>0</v>
      </c>
      <c r="AP306" s="35"/>
      <c r="AQ306" s="30"/>
      <c r="AR306" s="36">
        <f t="shared" si="78"/>
        <v>0</v>
      </c>
      <c r="AS306" s="27"/>
      <c r="AT306" s="37"/>
      <c r="AU306" s="30"/>
      <c r="AV306" s="36">
        <f t="shared" si="79"/>
        <v>0</v>
      </c>
      <c r="AW306" s="35"/>
      <c r="AX306" s="30"/>
      <c r="AY306" s="32">
        <f t="shared" si="80"/>
        <v>0</v>
      </c>
      <c r="AZ306" s="30" t="s">
        <v>440</v>
      </c>
      <c r="BA306" s="63"/>
      <c r="BB306" s="71"/>
      <c r="BC306" s="71"/>
      <c r="BD306" s="71"/>
    </row>
    <row r="307" spans="1:56" hidden="1" x14ac:dyDescent="0.25">
      <c r="A307" s="24">
        <f>IF(B307="","",SUBTOTAL(3,$B$4:B307))</f>
        <v>148</v>
      </c>
      <c r="B307" s="25" t="s">
        <v>439</v>
      </c>
      <c r="C307" s="25" t="str">
        <f t="shared" si="72"/>
        <v>Shipment 2 Outlet Stack</v>
      </c>
      <c r="D307" s="25" t="s">
        <v>441</v>
      </c>
      <c r="E307" s="25" t="s">
        <v>775</v>
      </c>
      <c r="F307" s="25"/>
      <c r="G307" s="65">
        <v>46204</v>
      </c>
      <c r="H307" s="25" t="s">
        <v>443</v>
      </c>
      <c r="I307" s="25" t="s">
        <v>444</v>
      </c>
      <c r="J307" s="26" t="s">
        <v>447</v>
      </c>
      <c r="K307" s="27" t="s">
        <v>620</v>
      </c>
      <c r="L307" s="28" t="s">
        <v>621</v>
      </c>
      <c r="M307" s="28" t="s">
        <v>547</v>
      </c>
      <c r="N307" s="25">
        <v>1</v>
      </c>
      <c r="O307" s="29">
        <v>14.4</v>
      </c>
      <c r="P307" s="29">
        <v>14.4</v>
      </c>
      <c r="Q307" s="25" t="s">
        <v>749</v>
      </c>
      <c r="R307" s="25"/>
      <c r="S307" s="26"/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73"/>
        <v>0</v>
      </c>
      <c r="AF307" s="32">
        <f t="shared" si="74"/>
        <v>14.4</v>
      </c>
      <c r="AG307" s="30"/>
      <c r="AH307" s="33"/>
      <c r="AI307" s="34">
        <f t="shared" si="75"/>
        <v>0</v>
      </c>
      <c r="AJ307" s="35"/>
      <c r="AK307" s="30"/>
      <c r="AL307" s="36">
        <f t="shared" si="76"/>
        <v>0</v>
      </c>
      <c r="AM307" s="35"/>
      <c r="AN307" s="30"/>
      <c r="AO307" s="36">
        <f t="shared" si="77"/>
        <v>0</v>
      </c>
      <c r="AP307" s="35"/>
      <c r="AQ307" s="30"/>
      <c r="AR307" s="36">
        <f t="shared" si="78"/>
        <v>0</v>
      </c>
      <c r="AS307" s="27"/>
      <c r="AT307" s="37"/>
      <c r="AU307" s="30"/>
      <c r="AV307" s="36">
        <f t="shared" si="79"/>
        <v>0</v>
      </c>
      <c r="AW307" s="35"/>
      <c r="AX307" s="30"/>
      <c r="AY307" s="32">
        <f t="shared" si="80"/>
        <v>0</v>
      </c>
      <c r="AZ307" s="30" t="s">
        <v>440</v>
      </c>
      <c r="BA307" s="63"/>
      <c r="BB307" s="71"/>
      <c r="BC307" s="71"/>
      <c r="BD307" s="71"/>
    </row>
    <row r="308" spans="1:56" hidden="1" x14ac:dyDescent="0.25">
      <c r="A308" s="24">
        <f>IF(B308="","",SUBTOTAL(3,$B$4:B308))</f>
        <v>148</v>
      </c>
      <c r="B308" s="25" t="s">
        <v>439</v>
      </c>
      <c r="C308" s="25" t="str">
        <f t="shared" si="72"/>
        <v>Shipment 2 Outlet Stack</v>
      </c>
      <c r="D308" s="25" t="s">
        <v>441</v>
      </c>
      <c r="E308" s="25" t="s">
        <v>775</v>
      </c>
      <c r="F308" s="25"/>
      <c r="G308" s="65">
        <v>46204</v>
      </c>
      <c r="H308" s="25" t="s">
        <v>443</v>
      </c>
      <c r="I308" s="25" t="s">
        <v>444</v>
      </c>
      <c r="J308" s="26" t="s">
        <v>447</v>
      </c>
      <c r="K308" s="27" t="s">
        <v>622</v>
      </c>
      <c r="L308" s="28" t="s">
        <v>623</v>
      </c>
      <c r="M308" s="28" t="s">
        <v>547</v>
      </c>
      <c r="N308" s="25">
        <v>7</v>
      </c>
      <c r="O308" s="29">
        <v>13.9</v>
      </c>
      <c r="P308" s="29">
        <v>97.6</v>
      </c>
      <c r="Q308" s="25" t="s">
        <v>739</v>
      </c>
      <c r="R308" s="25"/>
      <c r="S308" s="26"/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73"/>
        <v>0</v>
      </c>
      <c r="AF308" s="32">
        <f t="shared" si="74"/>
        <v>97.6</v>
      </c>
      <c r="AG308" s="30"/>
      <c r="AH308" s="33"/>
      <c r="AI308" s="34">
        <f t="shared" si="75"/>
        <v>0</v>
      </c>
      <c r="AJ308" s="35"/>
      <c r="AK308" s="30"/>
      <c r="AL308" s="36">
        <f t="shared" si="76"/>
        <v>0</v>
      </c>
      <c r="AM308" s="35"/>
      <c r="AN308" s="30"/>
      <c r="AO308" s="36">
        <f t="shared" si="77"/>
        <v>0</v>
      </c>
      <c r="AP308" s="35"/>
      <c r="AQ308" s="30"/>
      <c r="AR308" s="36">
        <f t="shared" si="78"/>
        <v>0</v>
      </c>
      <c r="AS308" s="27"/>
      <c r="AT308" s="37"/>
      <c r="AU308" s="30"/>
      <c r="AV308" s="36">
        <f t="shared" si="79"/>
        <v>0</v>
      </c>
      <c r="AW308" s="35"/>
      <c r="AX308" s="30"/>
      <c r="AY308" s="32">
        <f t="shared" si="80"/>
        <v>0</v>
      </c>
      <c r="AZ308" s="30" t="s">
        <v>440</v>
      </c>
      <c r="BA308" s="63"/>
      <c r="BB308" s="71"/>
      <c r="BC308" s="71"/>
      <c r="BD308" s="71"/>
    </row>
    <row r="309" spans="1:56" hidden="1" x14ac:dyDescent="0.25">
      <c r="A309" s="24">
        <f>IF(B309="","",SUBTOTAL(3,$B$4:B309))</f>
        <v>148</v>
      </c>
      <c r="B309" s="25" t="s">
        <v>439</v>
      </c>
      <c r="C309" s="25" t="str">
        <f t="shared" si="72"/>
        <v>Shipment 2 Outlet Stack</v>
      </c>
      <c r="D309" s="25" t="s">
        <v>441</v>
      </c>
      <c r="E309" s="25" t="s">
        <v>775</v>
      </c>
      <c r="F309" s="25"/>
      <c r="G309" s="65">
        <v>46204</v>
      </c>
      <c r="H309" s="25" t="s">
        <v>443</v>
      </c>
      <c r="I309" s="25" t="s">
        <v>444</v>
      </c>
      <c r="J309" s="26" t="s">
        <v>447</v>
      </c>
      <c r="K309" s="27" t="s">
        <v>624</v>
      </c>
      <c r="L309" s="28" t="s">
        <v>625</v>
      </c>
      <c r="M309" s="28" t="s">
        <v>547</v>
      </c>
      <c r="N309" s="25">
        <v>2</v>
      </c>
      <c r="O309" s="29">
        <v>13.9</v>
      </c>
      <c r="P309" s="29">
        <v>27.9</v>
      </c>
      <c r="Q309" s="25" t="s">
        <v>739</v>
      </c>
      <c r="R309" s="25"/>
      <c r="S309" s="26"/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73"/>
        <v>0</v>
      </c>
      <c r="AF309" s="32">
        <f t="shared" si="74"/>
        <v>27.9</v>
      </c>
      <c r="AG309" s="30"/>
      <c r="AH309" s="33"/>
      <c r="AI309" s="34">
        <f t="shared" si="75"/>
        <v>0</v>
      </c>
      <c r="AJ309" s="35"/>
      <c r="AK309" s="30"/>
      <c r="AL309" s="36">
        <f t="shared" si="76"/>
        <v>0</v>
      </c>
      <c r="AM309" s="35"/>
      <c r="AN309" s="30"/>
      <c r="AO309" s="36">
        <f t="shared" si="77"/>
        <v>0</v>
      </c>
      <c r="AP309" s="35"/>
      <c r="AQ309" s="30"/>
      <c r="AR309" s="36">
        <f t="shared" si="78"/>
        <v>0</v>
      </c>
      <c r="AS309" s="27"/>
      <c r="AT309" s="37"/>
      <c r="AU309" s="30"/>
      <c r="AV309" s="36">
        <f t="shared" si="79"/>
        <v>0</v>
      </c>
      <c r="AW309" s="35"/>
      <c r="AX309" s="30"/>
      <c r="AY309" s="32">
        <f t="shared" si="80"/>
        <v>0</v>
      </c>
      <c r="AZ309" s="30" t="s">
        <v>440</v>
      </c>
      <c r="BA309" s="63"/>
      <c r="BB309" s="71"/>
      <c r="BC309" s="71"/>
      <c r="BD309" s="71"/>
    </row>
    <row r="310" spans="1:56" hidden="1" x14ac:dyDescent="0.25">
      <c r="A310" s="24">
        <f>IF(B310="","",SUBTOTAL(3,$B$4:B310))</f>
        <v>148</v>
      </c>
      <c r="B310" s="25" t="s">
        <v>439</v>
      </c>
      <c r="C310" s="25" t="str">
        <f t="shared" si="72"/>
        <v>Shipment 2 Outlet Stack</v>
      </c>
      <c r="D310" s="25" t="s">
        <v>441</v>
      </c>
      <c r="E310" s="25" t="s">
        <v>775</v>
      </c>
      <c r="F310" s="25"/>
      <c r="G310" s="65">
        <v>46204</v>
      </c>
      <c r="H310" s="25" t="s">
        <v>443</v>
      </c>
      <c r="I310" s="25" t="s">
        <v>444</v>
      </c>
      <c r="J310" s="26" t="s">
        <v>447</v>
      </c>
      <c r="K310" s="27" t="s">
        <v>626</v>
      </c>
      <c r="L310" s="28" t="s">
        <v>627</v>
      </c>
      <c r="M310" s="28" t="s">
        <v>547</v>
      </c>
      <c r="N310" s="25">
        <v>1</v>
      </c>
      <c r="O310" s="29">
        <v>37.799999999999997</v>
      </c>
      <c r="P310" s="29">
        <v>37.799999999999997</v>
      </c>
      <c r="Q310" s="25" t="s">
        <v>742</v>
      </c>
      <c r="R310" s="25"/>
      <c r="S310" s="26"/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73"/>
        <v>0</v>
      </c>
      <c r="AF310" s="32">
        <f t="shared" si="74"/>
        <v>37.799999999999997</v>
      </c>
      <c r="AG310" s="30"/>
      <c r="AH310" s="33"/>
      <c r="AI310" s="34">
        <f t="shared" si="75"/>
        <v>0</v>
      </c>
      <c r="AJ310" s="35"/>
      <c r="AK310" s="30"/>
      <c r="AL310" s="36">
        <f t="shared" si="76"/>
        <v>0</v>
      </c>
      <c r="AM310" s="35"/>
      <c r="AN310" s="30"/>
      <c r="AO310" s="36">
        <f t="shared" si="77"/>
        <v>0</v>
      </c>
      <c r="AP310" s="35"/>
      <c r="AQ310" s="30"/>
      <c r="AR310" s="36">
        <f t="shared" si="78"/>
        <v>0</v>
      </c>
      <c r="AS310" s="27"/>
      <c r="AT310" s="37"/>
      <c r="AU310" s="30"/>
      <c r="AV310" s="36">
        <f t="shared" si="79"/>
        <v>0</v>
      </c>
      <c r="AW310" s="35"/>
      <c r="AX310" s="30"/>
      <c r="AY310" s="32">
        <f t="shared" si="80"/>
        <v>0</v>
      </c>
      <c r="AZ310" s="30" t="s">
        <v>440</v>
      </c>
      <c r="BA310" s="63"/>
      <c r="BB310" s="71"/>
      <c r="BC310" s="71"/>
      <c r="BD310" s="71"/>
    </row>
    <row r="311" spans="1:56" hidden="1" x14ac:dyDescent="0.25">
      <c r="A311" s="24">
        <f>IF(B311="","",SUBTOTAL(3,$B$4:B311))</f>
        <v>148</v>
      </c>
      <c r="B311" s="25" t="s">
        <v>439</v>
      </c>
      <c r="C311" s="25" t="str">
        <f t="shared" si="72"/>
        <v>Shipment 2 Outlet Stack</v>
      </c>
      <c r="D311" s="25" t="s">
        <v>441</v>
      </c>
      <c r="E311" s="25" t="s">
        <v>775</v>
      </c>
      <c r="F311" s="25"/>
      <c r="G311" s="65">
        <v>46204</v>
      </c>
      <c r="H311" s="25" t="s">
        <v>443</v>
      </c>
      <c r="I311" s="25" t="s">
        <v>444</v>
      </c>
      <c r="J311" s="26" t="s">
        <v>447</v>
      </c>
      <c r="K311" s="27" t="s">
        <v>628</v>
      </c>
      <c r="L311" s="28" t="s">
        <v>629</v>
      </c>
      <c r="M311" s="28" t="s">
        <v>547</v>
      </c>
      <c r="N311" s="25">
        <v>1</v>
      </c>
      <c r="O311" s="29">
        <v>13.9</v>
      </c>
      <c r="P311" s="29">
        <v>13.9</v>
      </c>
      <c r="Q311" s="25" t="s">
        <v>739</v>
      </c>
      <c r="R311" s="25"/>
      <c r="S311" s="26"/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73"/>
        <v>0</v>
      </c>
      <c r="AF311" s="32">
        <f t="shared" si="74"/>
        <v>13.9</v>
      </c>
      <c r="AG311" s="30"/>
      <c r="AH311" s="33"/>
      <c r="AI311" s="34">
        <f t="shared" si="75"/>
        <v>0</v>
      </c>
      <c r="AJ311" s="35"/>
      <c r="AK311" s="30"/>
      <c r="AL311" s="36">
        <f t="shared" si="76"/>
        <v>0</v>
      </c>
      <c r="AM311" s="35"/>
      <c r="AN311" s="30"/>
      <c r="AO311" s="36">
        <f t="shared" si="77"/>
        <v>0</v>
      </c>
      <c r="AP311" s="35"/>
      <c r="AQ311" s="30"/>
      <c r="AR311" s="36">
        <f t="shared" si="78"/>
        <v>0</v>
      </c>
      <c r="AS311" s="27"/>
      <c r="AT311" s="37"/>
      <c r="AU311" s="30"/>
      <c r="AV311" s="36">
        <f t="shared" si="79"/>
        <v>0</v>
      </c>
      <c r="AW311" s="35"/>
      <c r="AX311" s="30"/>
      <c r="AY311" s="32">
        <f t="shared" si="80"/>
        <v>0</v>
      </c>
      <c r="AZ311" s="30" t="s">
        <v>440</v>
      </c>
      <c r="BA311" s="63"/>
      <c r="BB311" s="71"/>
      <c r="BC311" s="71"/>
      <c r="BD311" s="71"/>
    </row>
    <row r="312" spans="1:56" hidden="1" x14ac:dyDescent="0.25">
      <c r="A312" s="24">
        <f>IF(B312="","",SUBTOTAL(3,$B$4:B312))</f>
        <v>148</v>
      </c>
      <c r="B312" s="25" t="s">
        <v>439</v>
      </c>
      <c r="C312" s="25" t="str">
        <f t="shared" si="72"/>
        <v>Shipment 2 Outlet Stack</v>
      </c>
      <c r="D312" s="25" t="s">
        <v>441</v>
      </c>
      <c r="E312" s="25" t="s">
        <v>775</v>
      </c>
      <c r="F312" s="25"/>
      <c r="G312" s="65">
        <v>46204</v>
      </c>
      <c r="H312" s="25" t="s">
        <v>443</v>
      </c>
      <c r="I312" s="25" t="s">
        <v>444</v>
      </c>
      <c r="J312" s="26" t="s">
        <v>447</v>
      </c>
      <c r="K312" s="27" t="s">
        <v>630</v>
      </c>
      <c r="L312" s="28" t="s">
        <v>631</v>
      </c>
      <c r="M312" s="28" t="s">
        <v>547</v>
      </c>
      <c r="N312" s="25">
        <v>2</v>
      </c>
      <c r="O312" s="29">
        <v>13.9</v>
      </c>
      <c r="P312" s="29">
        <v>27.9</v>
      </c>
      <c r="Q312" s="25" t="s">
        <v>739</v>
      </c>
      <c r="R312" s="25"/>
      <c r="S312" s="26"/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73"/>
        <v>0</v>
      </c>
      <c r="AF312" s="32">
        <f t="shared" si="74"/>
        <v>27.9</v>
      </c>
      <c r="AG312" s="30"/>
      <c r="AH312" s="33"/>
      <c r="AI312" s="34">
        <f t="shared" si="75"/>
        <v>0</v>
      </c>
      <c r="AJ312" s="35"/>
      <c r="AK312" s="30"/>
      <c r="AL312" s="36">
        <f t="shared" si="76"/>
        <v>0</v>
      </c>
      <c r="AM312" s="35"/>
      <c r="AN312" s="30"/>
      <c r="AO312" s="36">
        <f t="shared" si="77"/>
        <v>0</v>
      </c>
      <c r="AP312" s="35"/>
      <c r="AQ312" s="30"/>
      <c r="AR312" s="36">
        <f t="shared" si="78"/>
        <v>0</v>
      </c>
      <c r="AS312" s="27"/>
      <c r="AT312" s="37"/>
      <c r="AU312" s="30"/>
      <c r="AV312" s="36">
        <f t="shared" si="79"/>
        <v>0</v>
      </c>
      <c r="AW312" s="35"/>
      <c r="AX312" s="30"/>
      <c r="AY312" s="32">
        <f t="shared" si="80"/>
        <v>0</v>
      </c>
      <c r="AZ312" s="30" t="s">
        <v>440</v>
      </c>
      <c r="BA312" s="63"/>
      <c r="BB312" s="71"/>
      <c r="BC312" s="71"/>
      <c r="BD312" s="71"/>
    </row>
    <row r="313" spans="1:56" hidden="1" x14ac:dyDescent="0.25">
      <c r="A313" s="24">
        <f>IF(B313="","",SUBTOTAL(3,$B$4:B313))</f>
        <v>148</v>
      </c>
      <c r="B313" s="25" t="s">
        <v>439</v>
      </c>
      <c r="C313" s="25" t="str">
        <f t="shared" si="72"/>
        <v>Shipment 2 Outlet Stack</v>
      </c>
      <c r="D313" s="25" t="s">
        <v>441</v>
      </c>
      <c r="E313" s="25" t="s">
        <v>775</v>
      </c>
      <c r="F313" s="25"/>
      <c r="G313" s="65">
        <v>46204</v>
      </c>
      <c r="H313" s="25" t="s">
        <v>443</v>
      </c>
      <c r="I313" s="25" t="s">
        <v>444</v>
      </c>
      <c r="J313" s="26" t="s">
        <v>447</v>
      </c>
      <c r="K313" s="27" t="s">
        <v>632</v>
      </c>
      <c r="L313" s="28" t="s">
        <v>633</v>
      </c>
      <c r="M313" s="28" t="s">
        <v>547</v>
      </c>
      <c r="N313" s="25">
        <v>1</v>
      </c>
      <c r="O313" s="29">
        <v>12.4</v>
      </c>
      <c r="P313" s="29">
        <v>12.4</v>
      </c>
      <c r="Q313" s="25" t="s">
        <v>743</v>
      </c>
      <c r="R313" s="25"/>
      <c r="S313" s="26"/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73"/>
        <v>0</v>
      </c>
      <c r="AF313" s="32">
        <f t="shared" si="74"/>
        <v>12.4</v>
      </c>
      <c r="AG313" s="30"/>
      <c r="AH313" s="33"/>
      <c r="AI313" s="34">
        <f t="shared" si="75"/>
        <v>0</v>
      </c>
      <c r="AJ313" s="35"/>
      <c r="AK313" s="30"/>
      <c r="AL313" s="36">
        <f t="shared" si="76"/>
        <v>0</v>
      </c>
      <c r="AM313" s="35"/>
      <c r="AN313" s="30"/>
      <c r="AO313" s="36">
        <f t="shared" si="77"/>
        <v>0</v>
      </c>
      <c r="AP313" s="35"/>
      <c r="AQ313" s="30"/>
      <c r="AR313" s="36">
        <f t="shared" si="78"/>
        <v>0</v>
      </c>
      <c r="AS313" s="27"/>
      <c r="AT313" s="37"/>
      <c r="AU313" s="30"/>
      <c r="AV313" s="36">
        <f t="shared" si="79"/>
        <v>0</v>
      </c>
      <c r="AW313" s="35"/>
      <c r="AX313" s="30"/>
      <c r="AY313" s="32">
        <f t="shared" si="80"/>
        <v>0</v>
      </c>
      <c r="AZ313" s="30" t="s">
        <v>440</v>
      </c>
      <c r="BA313" s="63"/>
      <c r="BB313" s="71"/>
      <c r="BC313" s="71"/>
      <c r="BD313" s="71"/>
    </row>
    <row r="314" spans="1:56" hidden="1" x14ac:dyDescent="0.25">
      <c r="A314" s="24">
        <f>IF(B314="","",SUBTOTAL(3,$B$4:B314))</f>
        <v>148</v>
      </c>
      <c r="B314" s="25" t="s">
        <v>439</v>
      </c>
      <c r="C314" s="25" t="str">
        <f t="shared" si="72"/>
        <v>Shipment 2 Outlet Stack</v>
      </c>
      <c r="D314" s="25" t="s">
        <v>441</v>
      </c>
      <c r="E314" s="25" t="s">
        <v>775</v>
      </c>
      <c r="F314" s="25"/>
      <c r="G314" s="65">
        <v>46204</v>
      </c>
      <c r="H314" s="25" t="s">
        <v>443</v>
      </c>
      <c r="I314" s="25" t="s">
        <v>444</v>
      </c>
      <c r="J314" s="26" t="s">
        <v>447</v>
      </c>
      <c r="K314" s="27" t="s">
        <v>634</v>
      </c>
      <c r="L314" s="28" t="s">
        <v>635</v>
      </c>
      <c r="M314" s="28" t="s">
        <v>547</v>
      </c>
      <c r="N314" s="25">
        <v>1</v>
      </c>
      <c r="O314" s="29">
        <v>9.1</v>
      </c>
      <c r="P314" s="29">
        <v>9.1</v>
      </c>
      <c r="Q314" s="25" t="s">
        <v>744</v>
      </c>
      <c r="R314" s="25"/>
      <c r="S314" s="26"/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73"/>
        <v>0</v>
      </c>
      <c r="AF314" s="32">
        <f t="shared" si="74"/>
        <v>9.1</v>
      </c>
      <c r="AG314" s="30"/>
      <c r="AH314" s="33"/>
      <c r="AI314" s="34">
        <f t="shared" si="75"/>
        <v>0</v>
      </c>
      <c r="AJ314" s="35"/>
      <c r="AK314" s="30"/>
      <c r="AL314" s="36">
        <f t="shared" si="76"/>
        <v>0</v>
      </c>
      <c r="AM314" s="35"/>
      <c r="AN314" s="30"/>
      <c r="AO314" s="36">
        <f t="shared" si="77"/>
        <v>0</v>
      </c>
      <c r="AP314" s="35"/>
      <c r="AQ314" s="30"/>
      <c r="AR314" s="36">
        <f t="shared" si="78"/>
        <v>0</v>
      </c>
      <c r="AS314" s="27"/>
      <c r="AT314" s="37"/>
      <c r="AU314" s="30"/>
      <c r="AV314" s="36">
        <f t="shared" si="79"/>
        <v>0</v>
      </c>
      <c r="AW314" s="35"/>
      <c r="AX314" s="30"/>
      <c r="AY314" s="32">
        <f t="shared" si="80"/>
        <v>0</v>
      </c>
      <c r="AZ314" s="30" t="s">
        <v>440</v>
      </c>
      <c r="BA314" s="63"/>
      <c r="BB314" s="71"/>
      <c r="BC314" s="71"/>
      <c r="BD314" s="71"/>
    </row>
    <row r="315" spans="1:56" hidden="1" x14ac:dyDescent="0.25">
      <c r="A315" s="24">
        <f>IF(B315="","",SUBTOTAL(3,$B$4:B315))</f>
        <v>148</v>
      </c>
      <c r="B315" s="25" t="s">
        <v>439</v>
      </c>
      <c r="C315" s="25" t="str">
        <f t="shared" si="72"/>
        <v>Shipment 2 Outlet Stack</v>
      </c>
      <c r="D315" s="25" t="s">
        <v>441</v>
      </c>
      <c r="E315" s="25" t="s">
        <v>775</v>
      </c>
      <c r="F315" s="25"/>
      <c r="G315" s="65">
        <v>46204</v>
      </c>
      <c r="H315" s="25" t="s">
        <v>443</v>
      </c>
      <c r="I315" s="25" t="s">
        <v>444</v>
      </c>
      <c r="J315" s="26" t="s">
        <v>447</v>
      </c>
      <c r="K315" s="27" t="s">
        <v>636</v>
      </c>
      <c r="L315" s="28" t="s">
        <v>637</v>
      </c>
      <c r="M315" s="28" t="s">
        <v>547</v>
      </c>
      <c r="N315" s="25">
        <v>1</v>
      </c>
      <c r="O315" s="29">
        <v>12.4</v>
      </c>
      <c r="P315" s="29">
        <v>12.4</v>
      </c>
      <c r="Q315" s="25" t="s">
        <v>743</v>
      </c>
      <c r="R315" s="25"/>
      <c r="S315" s="26"/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73"/>
        <v>0</v>
      </c>
      <c r="AF315" s="32">
        <f t="shared" si="74"/>
        <v>12.4</v>
      </c>
      <c r="AG315" s="30"/>
      <c r="AH315" s="33"/>
      <c r="AI315" s="34">
        <f t="shared" si="75"/>
        <v>0</v>
      </c>
      <c r="AJ315" s="35"/>
      <c r="AK315" s="30"/>
      <c r="AL315" s="36">
        <f t="shared" si="76"/>
        <v>0</v>
      </c>
      <c r="AM315" s="35"/>
      <c r="AN315" s="30"/>
      <c r="AO315" s="36">
        <f t="shared" si="77"/>
        <v>0</v>
      </c>
      <c r="AP315" s="35"/>
      <c r="AQ315" s="30"/>
      <c r="AR315" s="36">
        <f t="shared" si="78"/>
        <v>0</v>
      </c>
      <c r="AS315" s="27"/>
      <c r="AT315" s="37"/>
      <c r="AU315" s="30"/>
      <c r="AV315" s="36">
        <f t="shared" si="79"/>
        <v>0</v>
      </c>
      <c r="AW315" s="35"/>
      <c r="AX315" s="30"/>
      <c r="AY315" s="32">
        <f t="shared" si="80"/>
        <v>0</v>
      </c>
      <c r="AZ315" s="30" t="s">
        <v>440</v>
      </c>
      <c r="BA315" s="63"/>
      <c r="BB315" s="71"/>
      <c r="BC315" s="71"/>
      <c r="BD315" s="71"/>
    </row>
    <row r="316" spans="1:56" hidden="1" x14ac:dyDescent="0.25">
      <c r="A316" s="24">
        <f>IF(B316="","",SUBTOTAL(3,$B$4:B316))</f>
        <v>148</v>
      </c>
      <c r="B316" s="25" t="s">
        <v>439</v>
      </c>
      <c r="C316" s="25" t="str">
        <f t="shared" si="72"/>
        <v>Shipment 2 Outlet Stack</v>
      </c>
      <c r="D316" s="25" t="s">
        <v>441</v>
      </c>
      <c r="E316" s="25" t="s">
        <v>775</v>
      </c>
      <c r="F316" s="25"/>
      <c r="G316" s="65">
        <v>46204</v>
      </c>
      <c r="H316" s="25" t="s">
        <v>443</v>
      </c>
      <c r="I316" s="25" t="s">
        <v>444</v>
      </c>
      <c r="J316" s="26" t="s">
        <v>447</v>
      </c>
      <c r="K316" s="27" t="s">
        <v>638</v>
      </c>
      <c r="L316" s="28" t="s">
        <v>639</v>
      </c>
      <c r="M316" s="28" t="s">
        <v>547</v>
      </c>
      <c r="N316" s="25">
        <v>2</v>
      </c>
      <c r="O316" s="29">
        <v>9.1</v>
      </c>
      <c r="P316" s="29">
        <v>18.2</v>
      </c>
      <c r="Q316" s="25" t="s">
        <v>744</v>
      </c>
      <c r="R316" s="25"/>
      <c r="S316" s="26"/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73"/>
        <v>0</v>
      </c>
      <c r="AF316" s="32">
        <f t="shared" si="74"/>
        <v>18.2</v>
      </c>
      <c r="AG316" s="30"/>
      <c r="AH316" s="33"/>
      <c r="AI316" s="34">
        <f t="shared" si="75"/>
        <v>0</v>
      </c>
      <c r="AJ316" s="35"/>
      <c r="AK316" s="30"/>
      <c r="AL316" s="36">
        <f t="shared" si="76"/>
        <v>0</v>
      </c>
      <c r="AM316" s="35"/>
      <c r="AN316" s="30"/>
      <c r="AO316" s="36">
        <f t="shared" si="77"/>
        <v>0</v>
      </c>
      <c r="AP316" s="35"/>
      <c r="AQ316" s="30"/>
      <c r="AR316" s="36">
        <f t="shared" si="78"/>
        <v>0</v>
      </c>
      <c r="AS316" s="27"/>
      <c r="AT316" s="37"/>
      <c r="AU316" s="30"/>
      <c r="AV316" s="36">
        <f t="shared" si="79"/>
        <v>0</v>
      </c>
      <c r="AW316" s="35"/>
      <c r="AX316" s="30"/>
      <c r="AY316" s="32">
        <f t="shared" si="80"/>
        <v>0</v>
      </c>
      <c r="AZ316" s="30" t="s">
        <v>440</v>
      </c>
      <c r="BA316" s="63"/>
      <c r="BB316" s="71"/>
      <c r="BC316" s="71"/>
      <c r="BD316" s="71"/>
    </row>
    <row r="317" spans="1:56" hidden="1" x14ac:dyDescent="0.25">
      <c r="A317" s="24">
        <f>IF(B317="","",SUBTOTAL(3,$B$4:B317))</f>
        <v>148</v>
      </c>
      <c r="B317" s="25" t="s">
        <v>439</v>
      </c>
      <c r="C317" s="25" t="str">
        <f t="shared" si="72"/>
        <v>Shipment 2 Outlet Stack</v>
      </c>
      <c r="D317" s="25" t="s">
        <v>441</v>
      </c>
      <c r="E317" s="25" t="s">
        <v>775</v>
      </c>
      <c r="F317" s="25"/>
      <c r="G317" s="65">
        <v>46204</v>
      </c>
      <c r="H317" s="25" t="s">
        <v>443</v>
      </c>
      <c r="I317" s="25" t="s">
        <v>444</v>
      </c>
      <c r="J317" s="26" t="s">
        <v>447</v>
      </c>
      <c r="K317" s="27" t="s">
        <v>640</v>
      </c>
      <c r="L317" s="28" t="s">
        <v>641</v>
      </c>
      <c r="M317" s="28" t="s">
        <v>547</v>
      </c>
      <c r="N317" s="25">
        <v>1</v>
      </c>
      <c r="O317" s="29">
        <v>17.7</v>
      </c>
      <c r="P317" s="29">
        <v>17.7</v>
      </c>
      <c r="Q317" s="25" t="s">
        <v>750</v>
      </c>
      <c r="R317" s="25"/>
      <c r="S317" s="26"/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73"/>
        <v>0</v>
      </c>
      <c r="AF317" s="32">
        <f t="shared" si="74"/>
        <v>17.7</v>
      </c>
      <c r="AG317" s="30"/>
      <c r="AH317" s="33"/>
      <c r="AI317" s="34">
        <f t="shared" si="75"/>
        <v>0</v>
      </c>
      <c r="AJ317" s="35"/>
      <c r="AK317" s="30"/>
      <c r="AL317" s="36">
        <f t="shared" si="76"/>
        <v>0</v>
      </c>
      <c r="AM317" s="35"/>
      <c r="AN317" s="30"/>
      <c r="AO317" s="36">
        <f t="shared" si="77"/>
        <v>0</v>
      </c>
      <c r="AP317" s="35"/>
      <c r="AQ317" s="30"/>
      <c r="AR317" s="36">
        <f t="shared" si="78"/>
        <v>0</v>
      </c>
      <c r="AS317" s="27"/>
      <c r="AT317" s="37"/>
      <c r="AU317" s="30"/>
      <c r="AV317" s="36">
        <f t="shared" si="79"/>
        <v>0</v>
      </c>
      <c r="AW317" s="35"/>
      <c r="AX317" s="30"/>
      <c r="AY317" s="32">
        <f t="shared" si="80"/>
        <v>0</v>
      </c>
      <c r="AZ317" s="30" t="s">
        <v>440</v>
      </c>
      <c r="BA317" s="63"/>
      <c r="BB317" s="71"/>
      <c r="BC317" s="71"/>
      <c r="BD317" s="71"/>
    </row>
    <row r="318" spans="1:56" hidden="1" x14ac:dyDescent="0.25">
      <c r="A318" s="24">
        <f>IF(B318="","",SUBTOTAL(3,$B$4:B318))</f>
        <v>148</v>
      </c>
      <c r="B318" s="25" t="s">
        <v>439</v>
      </c>
      <c r="C318" s="25" t="str">
        <f t="shared" si="72"/>
        <v>Shipment 2 Outlet Stack</v>
      </c>
      <c r="D318" s="25" t="s">
        <v>441</v>
      </c>
      <c r="E318" s="25" t="s">
        <v>775</v>
      </c>
      <c r="F318" s="25"/>
      <c r="G318" s="65">
        <v>46204</v>
      </c>
      <c r="H318" s="25" t="s">
        <v>443</v>
      </c>
      <c r="I318" s="25" t="s">
        <v>444</v>
      </c>
      <c r="J318" s="26" t="s">
        <v>447</v>
      </c>
      <c r="K318" s="27" t="s">
        <v>642</v>
      </c>
      <c r="L318" s="28" t="s">
        <v>643</v>
      </c>
      <c r="M318" s="28" t="s">
        <v>644</v>
      </c>
      <c r="N318" s="25">
        <v>4</v>
      </c>
      <c r="O318" s="29">
        <v>54.4</v>
      </c>
      <c r="P318" s="29">
        <v>217.8</v>
      </c>
      <c r="Q318" s="25" t="s">
        <v>751</v>
      </c>
      <c r="R318" s="25"/>
      <c r="S318" s="26"/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73"/>
        <v>0</v>
      </c>
      <c r="AF318" s="32">
        <f t="shared" si="74"/>
        <v>217.8</v>
      </c>
      <c r="AG318" s="30"/>
      <c r="AH318" s="33"/>
      <c r="AI318" s="34">
        <f t="shared" si="75"/>
        <v>0</v>
      </c>
      <c r="AJ318" s="35"/>
      <c r="AK318" s="30"/>
      <c r="AL318" s="36">
        <f t="shared" si="76"/>
        <v>0</v>
      </c>
      <c r="AM318" s="35"/>
      <c r="AN318" s="30"/>
      <c r="AO318" s="36">
        <f t="shared" si="77"/>
        <v>0</v>
      </c>
      <c r="AP318" s="35"/>
      <c r="AQ318" s="30"/>
      <c r="AR318" s="36">
        <f t="shared" si="78"/>
        <v>0</v>
      </c>
      <c r="AS318" s="27"/>
      <c r="AT318" s="37"/>
      <c r="AU318" s="30"/>
      <c r="AV318" s="36">
        <f t="shared" si="79"/>
        <v>0</v>
      </c>
      <c r="AW318" s="35"/>
      <c r="AX318" s="30"/>
      <c r="AY318" s="32">
        <f t="shared" si="80"/>
        <v>0</v>
      </c>
      <c r="AZ318" s="30" t="s">
        <v>440</v>
      </c>
      <c r="BA318" s="63"/>
      <c r="BB318" s="71"/>
      <c r="BC318" s="71"/>
      <c r="BD318" s="71"/>
    </row>
    <row r="319" spans="1:56" hidden="1" x14ac:dyDescent="0.25">
      <c r="A319" s="24">
        <f>IF(B319="","",SUBTOTAL(3,$B$4:B319))</f>
        <v>148</v>
      </c>
      <c r="B319" s="25" t="s">
        <v>439</v>
      </c>
      <c r="C319" s="25" t="str">
        <f t="shared" si="72"/>
        <v>Shipment 2 Outlet Stack</v>
      </c>
      <c r="D319" s="25" t="s">
        <v>441</v>
      </c>
      <c r="E319" s="25" t="s">
        <v>775</v>
      </c>
      <c r="F319" s="25"/>
      <c r="G319" s="65">
        <v>46204</v>
      </c>
      <c r="H319" s="25" t="s">
        <v>443</v>
      </c>
      <c r="I319" s="25" t="s">
        <v>444</v>
      </c>
      <c r="J319" s="26" t="s">
        <v>447</v>
      </c>
      <c r="K319" s="27" t="s">
        <v>645</v>
      </c>
      <c r="L319" s="28" t="s">
        <v>646</v>
      </c>
      <c r="M319" s="28" t="s">
        <v>644</v>
      </c>
      <c r="N319" s="25">
        <v>1</v>
      </c>
      <c r="O319" s="29">
        <v>198.8</v>
      </c>
      <c r="P319" s="29">
        <v>198.8</v>
      </c>
      <c r="Q319" s="25" t="s">
        <v>752</v>
      </c>
      <c r="R319" s="25"/>
      <c r="S319" s="26"/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73"/>
        <v>0</v>
      </c>
      <c r="AF319" s="32">
        <f t="shared" si="74"/>
        <v>198.8</v>
      </c>
      <c r="AG319" s="30"/>
      <c r="AH319" s="33"/>
      <c r="AI319" s="34">
        <f t="shared" si="75"/>
        <v>0</v>
      </c>
      <c r="AJ319" s="35"/>
      <c r="AK319" s="30"/>
      <c r="AL319" s="36">
        <f t="shared" si="76"/>
        <v>0</v>
      </c>
      <c r="AM319" s="35"/>
      <c r="AN319" s="30"/>
      <c r="AO319" s="36">
        <f t="shared" si="77"/>
        <v>0</v>
      </c>
      <c r="AP319" s="35"/>
      <c r="AQ319" s="30"/>
      <c r="AR319" s="36">
        <f t="shared" si="78"/>
        <v>0</v>
      </c>
      <c r="AS319" s="27"/>
      <c r="AT319" s="37"/>
      <c r="AU319" s="30"/>
      <c r="AV319" s="36">
        <f t="shared" si="79"/>
        <v>0</v>
      </c>
      <c r="AW319" s="35"/>
      <c r="AX319" s="30"/>
      <c r="AY319" s="32">
        <f t="shared" si="80"/>
        <v>0</v>
      </c>
      <c r="AZ319" s="30" t="s">
        <v>440</v>
      </c>
      <c r="BA319" s="63"/>
      <c r="BB319" s="71"/>
      <c r="BC319" s="71"/>
      <c r="BD319" s="71"/>
    </row>
    <row r="320" spans="1:56" hidden="1" x14ac:dyDescent="0.25">
      <c r="A320" s="24">
        <f>IF(B320="","",SUBTOTAL(3,$B$4:B320))</f>
        <v>148</v>
      </c>
      <c r="B320" s="25" t="s">
        <v>439</v>
      </c>
      <c r="C320" s="25" t="str">
        <f t="shared" si="72"/>
        <v>Shipment 2 Outlet Stack</v>
      </c>
      <c r="D320" s="25" t="s">
        <v>441</v>
      </c>
      <c r="E320" s="25" t="s">
        <v>775</v>
      </c>
      <c r="F320" s="25"/>
      <c r="G320" s="65">
        <v>46204</v>
      </c>
      <c r="H320" s="25" t="s">
        <v>443</v>
      </c>
      <c r="I320" s="25" t="s">
        <v>444</v>
      </c>
      <c r="J320" s="26" t="s">
        <v>447</v>
      </c>
      <c r="K320" s="27" t="s">
        <v>647</v>
      </c>
      <c r="L320" s="28" t="s">
        <v>648</v>
      </c>
      <c r="M320" s="28" t="s">
        <v>644</v>
      </c>
      <c r="N320" s="25">
        <v>1</v>
      </c>
      <c r="O320" s="29">
        <v>198.9</v>
      </c>
      <c r="P320" s="29">
        <v>198.9</v>
      </c>
      <c r="Q320" s="25" t="s">
        <v>753</v>
      </c>
      <c r="R320" s="25"/>
      <c r="S320" s="26"/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73"/>
        <v>0</v>
      </c>
      <c r="AF320" s="32">
        <f t="shared" si="74"/>
        <v>198.9</v>
      </c>
      <c r="AG320" s="30"/>
      <c r="AH320" s="33"/>
      <c r="AI320" s="34">
        <f t="shared" si="75"/>
        <v>0</v>
      </c>
      <c r="AJ320" s="35"/>
      <c r="AK320" s="30"/>
      <c r="AL320" s="36">
        <f t="shared" si="76"/>
        <v>0</v>
      </c>
      <c r="AM320" s="35"/>
      <c r="AN320" s="30"/>
      <c r="AO320" s="36">
        <f t="shared" si="77"/>
        <v>0</v>
      </c>
      <c r="AP320" s="35"/>
      <c r="AQ320" s="30"/>
      <c r="AR320" s="36">
        <f t="shared" si="78"/>
        <v>0</v>
      </c>
      <c r="AS320" s="27"/>
      <c r="AT320" s="37"/>
      <c r="AU320" s="30"/>
      <c r="AV320" s="36">
        <f t="shared" si="79"/>
        <v>0</v>
      </c>
      <c r="AW320" s="35"/>
      <c r="AX320" s="30"/>
      <c r="AY320" s="32">
        <f t="shared" si="80"/>
        <v>0</v>
      </c>
      <c r="AZ320" s="30" t="s">
        <v>440</v>
      </c>
      <c r="BA320" s="63"/>
      <c r="BB320" s="71"/>
      <c r="BC320" s="71"/>
      <c r="BD320" s="71"/>
    </row>
    <row r="321" spans="1:56" hidden="1" x14ac:dyDescent="0.25">
      <c r="A321" s="24">
        <f>IF(B321="","",SUBTOTAL(3,$B$4:B321))</f>
        <v>148</v>
      </c>
      <c r="B321" s="25" t="s">
        <v>439</v>
      </c>
      <c r="C321" s="25" t="str">
        <f t="shared" ref="C321:C327" si="81">D321&amp;" "&amp;E321</f>
        <v>Shipment 2 Outlet Stack</v>
      </c>
      <c r="D321" s="25" t="s">
        <v>441</v>
      </c>
      <c r="E321" s="25" t="s">
        <v>775</v>
      </c>
      <c r="F321" s="25"/>
      <c r="G321" s="65">
        <v>46204</v>
      </c>
      <c r="H321" s="25" t="s">
        <v>443</v>
      </c>
      <c r="I321" s="25" t="s">
        <v>776</v>
      </c>
      <c r="J321" s="26" t="s">
        <v>447</v>
      </c>
      <c r="K321" s="27" t="s">
        <v>649</v>
      </c>
      <c r="L321" s="28" t="s">
        <v>650</v>
      </c>
      <c r="M321" s="28" t="s">
        <v>651</v>
      </c>
      <c r="N321" s="25">
        <v>1</v>
      </c>
      <c r="O321" s="29">
        <v>6005.7</v>
      </c>
      <c r="P321" s="29">
        <v>6005.7</v>
      </c>
      <c r="Q321" s="25" t="s">
        <v>754</v>
      </c>
      <c r="R321" s="25"/>
      <c r="S321" s="26"/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73"/>
        <v>5405.13</v>
      </c>
      <c r="AF321" s="32">
        <f t="shared" si="74"/>
        <v>600.56999999999971</v>
      </c>
      <c r="AG321" s="30"/>
      <c r="AH321" s="33">
        <v>1</v>
      </c>
      <c r="AI321" s="34">
        <f t="shared" si="75"/>
        <v>6005.7</v>
      </c>
      <c r="AJ321" s="35">
        <v>46254</v>
      </c>
      <c r="AK321" s="30">
        <v>1</v>
      </c>
      <c r="AL321" s="36">
        <f t="shared" si="76"/>
        <v>6005.7</v>
      </c>
      <c r="AM321" s="35">
        <v>46259</v>
      </c>
      <c r="AN321" s="30">
        <v>1</v>
      </c>
      <c r="AO321" s="36">
        <f t="shared" si="77"/>
        <v>6005.7</v>
      </c>
      <c r="AP321" s="35"/>
      <c r="AQ321" s="30"/>
      <c r="AR321" s="36">
        <f t="shared" si="78"/>
        <v>0</v>
      </c>
      <c r="AS321" s="27"/>
      <c r="AT321" s="37"/>
      <c r="AU321" s="30"/>
      <c r="AV321" s="36">
        <f t="shared" si="79"/>
        <v>0</v>
      </c>
      <c r="AW321" s="35"/>
      <c r="AX321" s="30"/>
      <c r="AY321" s="32">
        <f t="shared" si="80"/>
        <v>0</v>
      </c>
      <c r="AZ321" s="30" t="s">
        <v>440</v>
      </c>
      <c r="BA321" s="63"/>
      <c r="BB321" s="71"/>
      <c r="BC321" s="71"/>
      <c r="BD321" s="71"/>
    </row>
    <row r="322" spans="1:56" hidden="1" x14ac:dyDescent="0.25">
      <c r="A322" s="24">
        <f>IF(B322="","",SUBTOTAL(3,$B$4:B322))</f>
        <v>148</v>
      </c>
      <c r="B322" s="25" t="s">
        <v>439</v>
      </c>
      <c r="C322" s="25" t="str">
        <f t="shared" si="81"/>
        <v>Shipment 2 Outlet Stack</v>
      </c>
      <c r="D322" s="25" t="s">
        <v>441</v>
      </c>
      <c r="E322" s="25" t="s">
        <v>775</v>
      </c>
      <c r="F322" s="25"/>
      <c r="G322" s="65">
        <v>46204</v>
      </c>
      <c r="H322" s="25" t="s">
        <v>443</v>
      </c>
      <c r="I322" s="25" t="s">
        <v>776</v>
      </c>
      <c r="J322" s="26" t="s">
        <v>447</v>
      </c>
      <c r="K322" s="27" t="s">
        <v>652</v>
      </c>
      <c r="L322" s="28" t="s">
        <v>653</v>
      </c>
      <c r="M322" s="28" t="s">
        <v>651</v>
      </c>
      <c r="N322" s="25">
        <v>1</v>
      </c>
      <c r="O322" s="29">
        <v>6164</v>
      </c>
      <c r="P322" s="29">
        <v>6164</v>
      </c>
      <c r="Q322" s="25" t="s">
        <v>754</v>
      </c>
      <c r="R322" s="25"/>
      <c r="S322" s="26"/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73"/>
        <v>5547.6</v>
      </c>
      <c r="AF322" s="32">
        <f t="shared" si="74"/>
        <v>616.39999999999964</v>
      </c>
      <c r="AG322" s="30"/>
      <c r="AH322" s="33">
        <v>1</v>
      </c>
      <c r="AI322" s="34">
        <f t="shared" si="75"/>
        <v>6164</v>
      </c>
      <c r="AJ322" s="35">
        <v>46258</v>
      </c>
      <c r="AK322" s="30">
        <v>1</v>
      </c>
      <c r="AL322" s="36">
        <f t="shared" si="76"/>
        <v>6164</v>
      </c>
      <c r="AM322" s="35">
        <v>46263</v>
      </c>
      <c r="AN322" s="30">
        <v>1</v>
      </c>
      <c r="AO322" s="36">
        <f t="shared" si="77"/>
        <v>6164</v>
      </c>
      <c r="AP322" s="35"/>
      <c r="AQ322" s="30"/>
      <c r="AR322" s="36">
        <f t="shared" si="78"/>
        <v>0</v>
      </c>
      <c r="AS322" s="27"/>
      <c r="AT322" s="37"/>
      <c r="AU322" s="30"/>
      <c r="AV322" s="36">
        <f t="shared" si="79"/>
        <v>0</v>
      </c>
      <c r="AW322" s="35"/>
      <c r="AX322" s="30"/>
      <c r="AY322" s="32">
        <f t="shared" si="80"/>
        <v>0</v>
      </c>
      <c r="AZ322" s="30" t="s">
        <v>440</v>
      </c>
      <c r="BA322" s="63"/>
      <c r="BB322" s="71"/>
      <c r="BC322" s="71"/>
      <c r="BD322" s="71"/>
    </row>
    <row r="323" spans="1:56" hidden="1" x14ac:dyDescent="0.25">
      <c r="A323" s="24">
        <f>IF(B323="","",SUBTOTAL(3,$B$4:B323))</f>
        <v>148</v>
      </c>
      <c r="B323" s="25" t="s">
        <v>439</v>
      </c>
      <c r="C323" s="25" t="str">
        <f t="shared" si="81"/>
        <v>Shipment 2 Outlet Stack</v>
      </c>
      <c r="D323" s="25" t="s">
        <v>441</v>
      </c>
      <c r="E323" s="25" t="s">
        <v>775</v>
      </c>
      <c r="F323" s="25"/>
      <c r="G323" s="65">
        <v>46204</v>
      </c>
      <c r="H323" s="25" t="s">
        <v>443</v>
      </c>
      <c r="I323" s="25" t="s">
        <v>776</v>
      </c>
      <c r="J323" s="26" t="s">
        <v>778</v>
      </c>
      <c r="K323" s="27" t="s">
        <v>654</v>
      </c>
      <c r="L323" s="28" t="s">
        <v>655</v>
      </c>
      <c r="M323" s="28" t="s">
        <v>651</v>
      </c>
      <c r="N323" s="25">
        <v>1</v>
      </c>
      <c r="O323" s="29">
        <v>3345.8</v>
      </c>
      <c r="P323" s="29">
        <v>3345.8</v>
      </c>
      <c r="Q323" s="25" t="s">
        <v>755</v>
      </c>
      <c r="R323" s="25"/>
      <c r="S323" s="26"/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73"/>
        <v>3011.2200000000003</v>
      </c>
      <c r="AF323" s="32">
        <f t="shared" si="74"/>
        <v>334.57999999999993</v>
      </c>
      <c r="AG323" s="30"/>
      <c r="AH323" s="33">
        <v>1</v>
      </c>
      <c r="AI323" s="34">
        <f t="shared" si="75"/>
        <v>3345.8</v>
      </c>
      <c r="AJ323" s="35">
        <v>46282</v>
      </c>
      <c r="AK323" s="30">
        <v>1</v>
      </c>
      <c r="AL323" s="36">
        <f t="shared" si="76"/>
        <v>3345.8</v>
      </c>
      <c r="AM323" s="35">
        <v>46284</v>
      </c>
      <c r="AN323" s="30">
        <v>1</v>
      </c>
      <c r="AO323" s="36">
        <f t="shared" si="77"/>
        <v>3345.8</v>
      </c>
      <c r="AP323" s="35"/>
      <c r="AQ323" s="30"/>
      <c r="AR323" s="36">
        <f t="shared" si="78"/>
        <v>0</v>
      </c>
      <c r="AS323" s="27"/>
      <c r="AT323" s="37"/>
      <c r="AU323" s="30"/>
      <c r="AV323" s="36">
        <f t="shared" si="79"/>
        <v>0</v>
      </c>
      <c r="AW323" s="35"/>
      <c r="AX323" s="30"/>
      <c r="AY323" s="32">
        <f t="shared" si="80"/>
        <v>0</v>
      </c>
      <c r="AZ323" s="30" t="s">
        <v>440</v>
      </c>
      <c r="BA323" s="63"/>
      <c r="BB323" s="71"/>
      <c r="BC323" s="71"/>
      <c r="BD323" s="71"/>
    </row>
    <row r="324" spans="1:56" hidden="1" x14ac:dyDescent="0.25">
      <c r="A324" s="24">
        <f>IF(B324="","",SUBTOTAL(3,$B$4:B324))</f>
        <v>148</v>
      </c>
      <c r="B324" s="25" t="s">
        <v>439</v>
      </c>
      <c r="C324" s="25" t="str">
        <f t="shared" si="81"/>
        <v>Shipment 2 Outlet Stack</v>
      </c>
      <c r="D324" s="25" t="s">
        <v>441</v>
      </c>
      <c r="E324" s="25" t="s">
        <v>775</v>
      </c>
      <c r="F324" s="25"/>
      <c r="G324" s="65">
        <v>46204</v>
      </c>
      <c r="H324" s="25" t="s">
        <v>443</v>
      </c>
      <c r="I324" s="25" t="s">
        <v>776</v>
      </c>
      <c r="J324" s="26" t="s">
        <v>778</v>
      </c>
      <c r="K324" s="27" t="s">
        <v>656</v>
      </c>
      <c r="L324" s="28" t="s">
        <v>657</v>
      </c>
      <c r="M324" s="28" t="s">
        <v>651</v>
      </c>
      <c r="N324" s="25">
        <v>1</v>
      </c>
      <c r="O324" s="29">
        <v>3345.9</v>
      </c>
      <c r="P324" s="29">
        <v>3345.9</v>
      </c>
      <c r="Q324" s="25" t="s">
        <v>755</v>
      </c>
      <c r="R324" s="25"/>
      <c r="S324" s="26"/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73"/>
        <v>3011.3100000000004</v>
      </c>
      <c r="AF324" s="32">
        <f t="shared" si="74"/>
        <v>334.58999999999969</v>
      </c>
      <c r="AG324" s="30"/>
      <c r="AH324" s="33">
        <v>1</v>
      </c>
      <c r="AI324" s="34">
        <f t="shared" si="75"/>
        <v>3345.9</v>
      </c>
      <c r="AJ324" s="35">
        <v>46282</v>
      </c>
      <c r="AK324" s="30">
        <v>1</v>
      </c>
      <c r="AL324" s="36">
        <f t="shared" si="76"/>
        <v>3345.9</v>
      </c>
      <c r="AM324" s="35">
        <v>46286</v>
      </c>
      <c r="AN324" s="30">
        <v>1</v>
      </c>
      <c r="AO324" s="36">
        <f t="shared" si="77"/>
        <v>3345.9</v>
      </c>
      <c r="AP324" s="35"/>
      <c r="AQ324" s="30"/>
      <c r="AR324" s="36">
        <f t="shared" si="78"/>
        <v>0</v>
      </c>
      <c r="AS324" s="27"/>
      <c r="AT324" s="37"/>
      <c r="AU324" s="30"/>
      <c r="AV324" s="36">
        <f t="shared" si="79"/>
        <v>0</v>
      </c>
      <c r="AW324" s="35"/>
      <c r="AX324" s="30"/>
      <c r="AY324" s="32">
        <f t="shared" si="80"/>
        <v>0</v>
      </c>
      <c r="AZ324" s="30" t="s">
        <v>440</v>
      </c>
      <c r="BA324" s="63"/>
      <c r="BB324" s="71"/>
      <c r="BC324" s="71"/>
      <c r="BD324" s="71"/>
    </row>
    <row r="325" spans="1:56" hidden="1" x14ac:dyDescent="0.25">
      <c r="A325" s="24">
        <f>IF(B325="","",SUBTOTAL(3,$B$4:B325))</f>
        <v>148</v>
      </c>
      <c r="B325" s="25" t="s">
        <v>439</v>
      </c>
      <c r="C325" s="25" t="str">
        <f t="shared" si="81"/>
        <v>Shipment 2 Outlet Stack</v>
      </c>
      <c r="D325" s="25" t="s">
        <v>441</v>
      </c>
      <c r="E325" s="25" t="s">
        <v>775</v>
      </c>
      <c r="F325" s="25"/>
      <c r="G325" s="65">
        <v>46204</v>
      </c>
      <c r="H325" s="25" t="s">
        <v>443</v>
      </c>
      <c r="I325" s="25" t="s">
        <v>776</v>
      </c>
      <c r="J325" s="26" t="s">
        <v>778</v>
      </c>
      <c r="K325" s="27" t="s">
        <v>658</v>
      </c>
      <c r="L325" s="28" t="s">
        <v>659</v>
      </c>
      <c r="M325" s="28" t="s">
        <v>651</v>
      </c>
      <c r="N325" s="25">
        <v>1</v>
      </c>
      <c r="O325" s="29">
        <v>2145.6999999999998</v>
      </c>
      <c r="P325" s="29">
        <v>2145.6999999999998</v>
      </c>
      <c r="Q325" s="25" t="s">
        <v>756</v>
      </c>
      <c r="R325" s="25"/>
      <c r="S325" s="26"/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73"/>
        <v>1931.1299999999999</v>
      </c>
      <c r="AF325" s="32">
        <f t="shared" si="74"/>
        <v>214.56999999999994</v>
      </c>
      <c r="AG325" s="30"/>
      <c r="AH325" s="33">
        <v>1</v>
      </c>
      <c r="AI325" s="34">
        <f t="shared" si="75"/>
        <v>2145.6999999999998</v>
      </c>
      <c r="AJ325" s="35">
        <v>46282</v>
      </c>
      <c r="AK325" s="30">
        <v>1</v>
      </c>
      <c r="AL325" s="36">
        <f t="shared" si="76"/>
        <v>2145.6999999999998</v>
      </c>
      <c r="AM325" s="35">
        <v>46287</v>
      </c>
      <c r="AN325" s="30">
        <v>1</v>
      </c>
      <c r="AO325" s="36">
        <f t="shared" si="77"/>
        <v>2145.6999999999998</v>
      </c>
      <c r="AP325" s="35"/>
      <c r="AQ325" s="30"/>
      <c r="AR325" s="36">
        <f t="shared" si="78"/>
        <v>0</v>
      </c>
      <c r="AS325" s="27"/>
      <c r="AT325" s="37"/>
      <c r="AU325" s="30"/>
      <c r="AV325" s="36">
        <f t="shared" si="79"/>
        <v>0</v>
      </c>
      <c r="AW325" s="35"/>
      <c r="AX325" s="30"/>
      <c r="AY325" s="32">
        <f t="shared" si="80"/>
        <v>0</v>
      </c>
      <c r="AZ325" s="30" t="s">
        <v>440</v>
      </c>
      <c r="BA325" s="63"/>
      <c r="BB325" s="71"/>
      <c r="BC325" s="71"/>
      <c r="BD325" s="71"/>
    </row>
    <row r="326" spans="1:56" hidden="1" x14ac:dyDescent="0.25">
      <c r="A326" s="24">
        <f>IF(B326="","",SUBTOTAL(3,$B$4:B326))</f>
        <v>148</v>
      </c>
      <c r="B326" s="25" t="s">
        <v>439</v>
      </c>
      <c r="C326" s="25" t="str">
        <f t="shared" si="81"/>
        <v>Shipment 2 Outlet Stack</v>
      </c>
      <c r="D326" s="25" t="s">
        <v>441</v>
      </c>
      <c r="E326" s="25" t="s">
        <v>775</v>
      </c>
      <c r="F326" s="25"/>
      <c r="G326" s="65">
        <v>46204</v>
      </c>
      <c r="H326" s="25" t="s">
        <v>443</v>
      </c>
      <c r="I326" s="25" t="s">
        <v>776</v>
      </c>
      <c r="J326" s="26" t="s">
        <v>778</v>
      </c>
      <c r="K326" s="27" t="s">
        <v>660</v>
      </c>
      <c r="L326" s="28" t="s">
        <v>661</v>
      </c>
      <c r="M326" s="28" t="s">
        <v>651</v>
      </c>
      <c r="N326" s="25">
        <v>1</v>
      </c>
      <c r="O326" s="29">
        <v>3345.8</v>
      </c>
      <c r="P326" s="29">
        <v>3345.8</v>
      </c>
      <c r="Q326" s="25" t="s">
        <v>755</v>
      </c>
      <c r="R326" s="25"/>
      <c r="S326" s="26"/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73"/>
        <v>3345.8</v>
      </c>
      <c r="AF326" s="32">
        <f t="shared" si="74"/>
        <v>0</v>
      </c>
      <c r="AG326" s="30"/>
      <c r="AH326" s="33">
        <v>1</v>
      </c>
      <c r="AI326" s="34">
        <f t="shared" si="75"/>
        <v>3345.8</v>
      </c>
      <c r="AJ326" s="35">
        <v>46284</v>
      </c>
      <c r="AK326" s="30">
        <v>1</v>
      </c>
      <c r="AL326" s="36">
        <f t="shared" si="76"/>
        <v>3345.8</v>
      </c>
      <c r="AM326" s="35">
        <v>46289</v>
      </c>
      <c r="AN326" s="30">
        <v>1</v>
      </c>
      <c r="AO326" s="36">
        <f t="shared" si="77"/>
        <v>3345.8</v>
      </c>
      <c r="AP326" s="35"/>
      <c r="AQ326" s="30"/>
      <c r="AR326" s="36">
        <f t="shared" si="78"/>
        <v>0</v>
      </c>
      <c r="AS326" s="27" t="s">
        <v>874</v>
      </c>
      <c r="AT326" s="37">
        <v>46309</v>
      </c>
      <c r="AU326" s="30">
        <v>1</v>
      </c>
      <c r="AV326" s="36">
        <f t="shared" si="79"/>
        <v>3345.8</v>
      </c>
      <c r="AW326" s="35">
        <v>46312</v>
      </c>
      <c r="AX326" s="30">
        <v>1</v>
      </c>
      <c r="AY326" s="32">
        <f t="shared" si="80"/>
        <v>3345.8</v>
      </c>
      <c r="AZ326" s="30" t="s">
        <v>440</v>
      </c>
      <c r="BA326" s="63" t="s">
        <v>877</v>
      </c>
      <c r="BB326" s="71"/>
      <c r="BC326" s="71"/>
      <c r="BD326" s="71"/>
    </row>
    <row r="327" spans="1:56" hidden="1" x14ac:dyDescent="0.25">
      <c r="A327" s="24">
        <f>IF(B327="","",SUBTOTAL(3,$B$4:B327))</f>
        <v>148</v>
      </c>
      <c r="B327" s="25" t="s">
        <v>439</v>
      </c>
      <c r="C327" s="25" t="str">
        <f t="shared" si="81"/>
        <v>Shipment 2 Outlet Stack</v>
      </c>
      <c r="D327" s="25" t="s">
        <v>441</v>
      </c>
      <c r="E327" s="25" t="s">
        <v>775</v>
      </c>
      <c r="F327" s="25"/>
      <c r="G327" s="65">
        <v>46204</v>
      </c>
      <c r="H327" s="25" t="s">
        <v>443</v>
      </c>
      <c r="I327" s="25" t="s">
        <v>776</v>
      </c>
      <c r="J327" s="26" t="s">
        <v>778</v>
      </c>
      <c r="K327" s="27" t="s">
        <v>662</v>
      </c>
      <c r="L327" s="28" t="s">
        <v>663</v>
      </c>
      <c r="M327" s="28" t="s">
        <v>651</v>
      </c>
      <c r="N327" s="25">
        <v>1</v>
      </c>
      <c r="O327" s="29">
        <v>1856.1</v>
      </c>
      <c r="P327" s="29">
        <v>1856.1</v>
      </c>
      <c r="Q327" s="25" t="s">
        <v>757</v>
      </c>
      <c r="R327" s="25"/>
      <c r="S327" s="26"/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73"/>
        <v>1670.49</v>
      </c>
      <c r="AF327" s="32">
        <f t="shared" si="74"/>
        <v>185.6099999999999</v>
      </c>
      <c r="AG327" s="30"/>
      <c r="AH327" s="33">
        <v>1</v>
      </c>
      <c r="AI327" s="34">
        <f t="shared" si="75"/>
        <v>1856.1</v>
      </c>
      <c r="AJ327" s="35">
        <v>46284</v>
      </c>
      <c r="AK327" s="30">
        <v>1</v>
      </c>
      <c r="AL327" s="36">
        <f t="shared" si="76"/>
        <v>1856.1</v>
      </c>
      <c r="AM327" s="35">
        <v>46290</v>
      </c>
      <c r="AN327" s="30">
        <v>1</v>
      </c>
      <c r="AO327" s="36">
        <f t="shared" si="77"/>
        <v>1856.1</v>
      </c>
      <c r="AP327" s="35"/>
      <c r="AQ327" s="30"/>
      <c r="AR327" s="36">
        <f t="shared" si="78"/>
        <v>0</v>
      </c>
      <c r="AS327" s="27"/>
      <c r="AT327" s="37"/>
      <c r="AU327" s="30"/>
      <c r="AV327" s="36">
        <f t="shared" si="79"/>
        <v>0</v>
      </c>
      <c r="AW327" s="35"/>
      <c r="AX327" s="30"/>
      <c r="AY327" s="32">
        <f t="shared" si="80"/>
        <v>0</v>
      </c>
      <c r="AZ327" s="30" t="s">
        <v>440</v>
      </c>
      <c r="BA327" s="63"/>
      <c r="BB327" s="71"/>
      <c r="BC327" s="71"/>
      <c r="BD327" s="71"/>
    </row>
    <row r="328" spans="1:56" hidden="1" x14ac:dyDescent="0.25">
      <c r="A328" s="24">
        <f>IF(B328="","",SUBTOTAL(3,$B$4:B328))</f>
        <v>148</v>
      </c>
      <c r="B328" s="25" t="s">
        <v>439</v>
      </c>
      <c r="C328" s="25" t="str">
        <f t="shared" ref="C328" si="82">D328&amp;" "&amp;E328</f>
        <v>Shipment 2 Outlet Stack</v>
      </c>
      <c r="D328" s="25" t="s">
        <v>441</v>
      </c>
      <c r="E328" s="25" t="s">
        <v>775</v>
      </c>
      <c r="F328" s="25"/>
      <c r="G328" s="65">
        <v>46204</v>
      </c>
      <c r="H328" s="25" t="s">
        <v>443</v>
      </c>
      <c r="I328" s="25" t="s">
        <v>777</v>
      </c>
      <c r="J328" s="26" t="s">
        <v>447</v>
      </c>
      <c r="K328" s="27" t="s">
        <v>664</v>
      </c>
      <c r="L328" s="28" t="s">
        <v>665</v>
      </c>
      <c r="M328" s="28" t="s">
        <v>651</v>
      </c>
      <c r="N328" s="25">
        <v>1</v>
      </c>
      <c r="O328" s="29">
        <v>3894.5</v>
      </c>
      <c r="P328" s="29">
        <v>3894.5</v>
      </c>
      <c r="Q328" s="25" t="s">
        <v>758</v>
      </c>
      <c r="R328" s="25"/>
      <c r="S328" s="26"/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73"/>
        <v>3894.5</v>
      </c>
      <c r="AF328" s="32">
        <f t="shared" si="74"/>
        <v>0</v>
      </c>
      <c r="AG328" s="30"/>
      <c r="AH328" s="33">
        <v>1</v>
      </c>
      <c r="AI328" s="34">
        <f t="shared" si="75"/>
        <v>3894.5</v>
      </c>
      <c r="AJ328" s="35">
        <v>46265</v>
      </c>
      <c r="AK328" s="30">
        <v>1</v>
      </c>
      <c r="AL328" s="36">
        <f t="shared" si="76"/>
        <v>3894.5</v>
      </c>
      <c r="AM328" s="35">
        <v>46269</v>
      </c>
      <c r="AN328" s="30">
        <v>1</v>
      </c>
      <c r="AO328" s="36">
        <f t="shared" si="77"/>
        <v>3894.5</v>
      </c>
      <c r="AP328" s="35"/>
      <c r="AQ328" s="30"/>
      <c r="AR328" s="36">
        <f t="shared" si="78"/>
        <v>0</v>
      </c>
      <c r="AS328" s="27" t="s">
        <v>873</v>
      </c>
      <c r="AT328" s="37">
        <v>46308</v>
      </c>
      <c r="AU328" s="30">
        <v>1</v>
      </c>
      <c r="AV328" s="36">
        <f t="shared" si="79"/>
        <v>3894.5</v>
      </c>
      <c r="AW328" s="35">
        <v>46312</v>
      </c>
      <c r="AX328" s="30">
        <v>1</v>
      </c>
      <c r="AY328" s="32">
        <f t="shared" si="80"/>
        <v>3894.5</v>
      </c>
      <c r="AZ328" s="30" t="s">
        <v>440</v>
      </c>
      <c r="BA328" s="63" t="s">
        <v>878</v>
      </c>
      <c r="BB328" s="71"/>
      <c r="BC328" s="71"/>
      <c r="BD328" s="71"/>
    </row>
    <row r="329" spans="1:56" hidden="1" x14ac:dyDescent="0.25">
      <c r="A329" s="24">
        <f>IF(B329="","",SUBTOTAL(3,$B$4:B329))</f>
        <v>148</v>
      </c>
      <c r="B329" s="25" t="s">
        <v>439</v>
      </c>
      <c r="C329" s="25" t="str">
        <f t="shared" ref="C329:C349" si="83">D329&amp;" "&amp;E329</f>
        <v>Shipment 2 Outlet Stack</v>
      </c>
      <c r="D329" s="25" t="s">
        <v>441</v>
      </c>
      <c r="E329" s="25" t="s">
        <v>775</v>
      </c>
      <c r="F329" s="25"/>
      <c r="G329" s="65">
        <v>46204</v>
      </c>
      <c r="H329" s="25" t="s">
        <v>443</v>
      </c>
      <c r="I329" s="25" t="s">
        <v>777</v>
      </c>
      <c r="J329" s="26" t="s">
        <v>447</v>
      </c>
      <c r="K329" s="27" t="s">
        <v>666</v>
      </c>
      <c r="L329" s="28" t="s">
        <v>667</v>
      </c>
      <c r="M329" s="28" t="s">
        <v>651</v>
      </c>
      <c r="N329" s="25">
        <v>1</v>
      </c>
      <c r="O329" s="29">
        <v>3698.8</v>
      </c>
      <c r="P329" s="29">
        <v>3698.8</v>
      </c>
      <c r="Q329" s="25" t="s">
        <v>759</v>
      </c>
      <c r="R329" s="25"/>
      <c r="S329" s="26"/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73"/>
        <v>3328.92</v>
      </c>
      <c r="AF329" s="32">
        <f t="shared" si="74"/>
        <v>369.88000000000011</v>
      </c>
      <c r="AG329" s="30"/>
      <c r="AH329" s="33">
        <v>1</v>
      </c>
      <c r="AI329" s="34">
        <f t="shared" si="75"/>
        <v>3698.8</v>
      </c>
      <c r="AJ329" s="35">
        <v>46268</v>
      </c>
      <c r="AK329" s="30">
        <v>1</v>
      </c>
      <c r="AL329" s="36">
        <f t="shared" si="76"/>
        <v>3698.8</v>
      </c>
      <c r="AM329" s="35">
        <v>46272</v>
      </c>
      <c r="AN329" s="30">
        <v>1</v>
      </c>
      <c r="AO329" s="36">
        <f t="shared" si="77"/>
        <v>3698.8</v>
      </c>
      <c r="AP329" s="35"/>
      <c r="AQ329" s="30"/>
      <c r="AR329" s="36">
        <f t="shared" si="78"/>
        <v>0</v>
      </c>
      <c r="AS329" s="27"/>
      <c r="AT329" s="37"/>
      <c r="AU329" s="30"/>
      <c r="AV329" s="36">
        <f t="shared" si="79"/>
        <v>0</v>
      </c>
      <c r="AW329" s="35"/>
      <c r="AX329" s="30"/>
      <c r="AY329" s="32">
        <f t="shared" si="80"/>
        <v>0</v>
      </c>
      <c r="AZ329" s="30" t="s">
        <v>440</v>
      </c>
      <c r="BA329" s="63"/>
      <c r="BB329" s="71"/>
      <c r="BC329" s="71"/>
      <c r="BD329" s="71"/>
    </row>
    <row r="330" spans="1:56" hidden="1" x14ac:dyDescent="0.25">
      <c r="A330" s="24">
        <f>IF(B330="","",SUBTOTAL(3,$B$4:B330))</f>
        <v>148</v>
      </c>
      <c r="B330" s="25" t="s">
        <v>439</v>
      </c>
      <c r="C330" s="25" t="str">
        <f t="shared" si="83"/>
        <v>Shipment 2 Outlet Stack</v>
      </c>
      <c r="D330" s="25" t="s">
        <v>441</v>
      </c>
      <c r="E330" s="25" t="s">
        <v>775</v>
      </c>
      <c r="F330" s="25"/>
      <c r="G330" s="65">
        <v>46204</v>
      </c>
      <c r="H330" s="25" t="s">
        <v>443</v>
      </c>
      <c r="I330" s="25" t="s">
        <v>777</v>
      </c>
      <c r="J330" s="26" t="s">
        <v>447</v>
      </c>
      <c r="K330" s="27" t="s">
        <v>668</v>
      </c>
      <c r="L330" s="28" t="s">
        <v>669</v>
      </c>
      <c r="M330" s="28" t="s">
        <v>651</v>
      </c>
      <c r="N330" s="25">
        <v>1</v>
      </c>
      <c r="O330" s="29">
        <v>4623.1000000000004</v>
      </c>
      <c r="P330" s="29">
        <v>4623.1000000000004</v>
      </c>
      <c r="Q330" s="25" t="s">
        <v>760</v>
      </c>
      <c r="R330" s="25"/>
      <c r="S330" s="26"/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73"/>
        <v>4160.7900000000009</v>
      </c>
      <c r="AF330" s="32">
        <f t="shared" si="74"/>
        <v>462.30999999999949</v>
      </c>
      <c r="AG330" s="30"/>
      <c r="AH330" s="33">
        <v>1</v>
      </c>
      <c r="AI330" s="34">
        <f t="shared" si="75"/>
        <v>4623.1000000000004</v>
      </c>
      <c r="AJ330" s="35">
        <v>46259</v>
      </c>
      <c r="AK330" s="30">
        <v>1</v>
      </c>
      <c r="AL330" s="36">
        <f t="shared" si="76"/>
        <v>4623.1000000000004</v>
      </c>
      <c r="AM330" s="35">
        <v>46261</v>
      </c>
      <c r="AN330" s="30">
        <v>1</v>
      </c>
      <c r="AO330" s="36">
        <f t="shared" si="77"/>
        <v>4623.1000000000004</v>
      </c>
      <c r="AP330" s="35"/>
      <c r="AQ330" s="30"/>
      <c r="AR330" s="36">
        <f t="shared" si="78"/>
        <v>0</v>
      </c>
      <c r="AS330" s="27"/>
      <c r="AT330" s="37"/>
      <c r="AU330" s="30"/>
      <c r="AV330" s="36">
        <f t="shared" si="79"/>
        <v>0</v>
      </c>
      <c r="AW330" s="35"/>
      <c r="AX330" s="30"/>
      <c r="AY330" s="32">
        <f t="shared" si="80"/>
        <v>0</v>
      </c>
      <c r="AZ330" s="30" t="s">
        <v>440</v>
      </c>
      <c r="BA330" s="63"/>
      <c r="BB330" s="71"/>
      <c r="BC330" s="71"/>
      <c r="BD330" s="71"/>
    </row>
    <row r="331" spans="1:56" hidden="1" x14ac:dyDescent="0.25">
      <c r="A331" s="24">
        <f>IF(B331="","",SUBTOTAL(3,$B$4:B331))</f>
        <v>148</v>
      </c>
      <c r="B331" s="25" t="s">
        <v>439</v>
      </c>
      <c r="C331" s="25" t="str">
        <f t="shared" si="83"/>
        <v>Shipment 2 Outlet Stack</v>
      </c>
      <c r="D331" s="25" t="s">
        <v>441</v>
      </c>
      <c r="E331" s="25" t="s">
        <v>775</v>
      </c>
      <c r="F331" s="25"/>
      <c r="G331" s="65">
        <v>46204</v>
      </c>
      <c r="H331" s="25" t="s">
        <v>443</v>
      </c>
      <c r="I331" s="25" t="s">
        <v>777</v>
      </c>
      <c r="J331" s="26" t="s">
        <v>447</v>
      </c>
      <c r="K331" s="27" t="s">
        <v>670</v>
      </c>
      <c r="L331" s="28" t="s">
        <v>671</v>
      </c>
      <c r="M331" s="28" t="s">
        <v>651</v>
      </c>
      <c r="N331" s="25">
        <v>1</v>
      </c>
      <c r="O331" s="29">
        <v>3412.8</v>
      </c>
      <c r="P331" s="29">
        <v>3412.8</v>
      </c>
      <c r="Q331" s="25" t="s">
        <v>759</v>
      </c>
      <c r="R331" s="25"/>
      <c r="S331" s="26"/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73"/>
        <v>3071.5200000000004</v>
      </c>
      <c r="AF331" s="32">
        <f t="shared" si="74"/>
        <v>341.27999999999975</v>
      </c>
      <c r="AG331" s="30"/>
      <c r="AH331" s="33">
        <v>1</v>
      </c>
      <c r="AI331" s="34">
        <f t="shared" si="75"/>
        <v>3412.8</v>
      </c>
      <c r="AJ331" s="35">
        <v>46265</v>
      </c>
      <c r="AK331" s="30">
        <v>1</v>
      </c>
      <c r="AL331" s="36">
        <f t="shared" si="76"/>
        <v>3412.8</v>
      </c>
      <c r="AM331" s="35">
        <v>46272</v>
      </c>
      <c r="AN331" s="30">
        <v>1</v>
      </c>
      <c r="AO331" s="36">
        <f t="shared" si="77"/>
        <v>3412.8</v>
      </c>
      <c r="AP331" s="35"/>
      <c r="AQ331" s="30"/>
      <c r="AR331" s="36">
        <f t="shared" si="78"/>
        <v>0</v>
      </c>
      <c r="AS331" s="27"/>
      <c r="AT331" s="37"/>
      <c r="AU331" s="30"/>
      <c r="AV331" s="36">
        <f t="shared" si="79"/>
        <v>0</v>
      </c>
      <c r="AW331" s="35"/>
      <c r="AX331" s="30"/>
      <c r="AY331" s="32">
        <f t="shared" si="80"/>
        <v>0</v>
      </c>
      <c r="AZ331" s="30" t="s">
        <v>440</v>
      </c>
      <c r="BA331" s="63"/>
      <c r="BB331" s="71"/>
      <c r="BC331" s="71"/>
      <c r="BD331" s="71"/>
    </row>
    <row r="332" spans="1:56" hidden="1" x14ac:dyDescent="0.25">
      <c r="A332" s="24">
        <f>IF(B332="","",SUBTOTAL(3,$B$4:B332))</f>
        <v>148</v>
      </c>
      <c r="B332" s="25" t="s">
        <v>439</v>
      </c>
      <c r="C332" s="25" t="str">
        <f t="shared" si="83"/>
        <v>Shipment 2 Outlet Stack</v>
      </c>
      <c r="D332" s="25" t="s">
        <v>441</v>
      </c>
      <c r="E332" s="25" t="s">
        <v>775</v>
      </c>
      <c r="F332" s="25"/>
      <c r="G332" s="65">
        <v>46204</v>
      </c>
      <c r="H332" s="25" t="s">
        <v>443</v>
      </c>
      <c r="I332" s="25" t="s">
        <v>777</v>
      </c>
      <c r="J332" s="26" t="s">
        <v>447</v>
      </c>
      <c r="K332" s="27" t="s">
        <v>672</v>
      </c>
      <c r="L332" s="28" t="s">
        <v>673</v>
      </c>
      <c r="M332" s="28" t="s">
        <v>651</v>
      </c>
      <c r="N332" s="25">
        <v>1</v>
      </c>
      <c r="O332" s="29">
        <v>3463.5</v>
      </c>
      <c r="P332" s="29">
        <v>3463.5</v>
      </c>
      <c r="Q332" s="25" t="s">
        <v>761</v>
      </c>
      <c r="R332" s="25"/>
      <c r="S332" s="26"/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73"/>
        <v>3463.5</v>
      </c>
      <c r="AF332" s="32">
        <f t="shared" si="74"/>
        <v>0</v>
      </c>
      <c r="AG332" s="30"/>
      <c r="AH332" s="33">
        <v>1</v>
      </c>
      <c r="AI332" s="34">
        <f t="shared" si="75"/>
        <v>3463.5</v>
      </c>
      <c r="AJ332" s="35">
        <v>46254</v>
      </c>
      <c r="AK332" s="30">
        <v>1</v>
      </c>
      <c r="AL332" s="36">
        <f t="shared" si="76"/>
        <v>3463.5</v>
      </c>
      <c r="AM332" s="35">
        <v>46259</v>
      </c>
      <c r="AN332" s="30">
        <v>1</v>
      </c>
      <c r="AO332" s="36">
        <f t="shared" si="77"/>
        <v>3463.5</v>
      </c>
      <c r="AP332" s="35"/>
      <c r="AQ332" s="30"/>
      <c r="AR332" s="36">
        <f t="shared" si="78"/>
        <v>0</v>
      </c>
      <c r="AS332" s="27" t="s">
        <v>871</v>
      </c>
      <c r="AT332" s="37">
        <v>46289</v>
      </c>
      <c r="AU332" s="30">
        <v>1</v>
      </c>
      <c r="AV332" s="36">
        <f t="shared" si="79"/>
        <v>3463.5</v>
      </c>
      <c r="AW332" s="35">
        <v>46295</v>
      </c>
      <c r="AX332" s="30">
        <v>1</v>
      </c>
      <c r="AY332" s="32">
        <f t="shared" si="80"/>
        <v>3463.5</v>
      </c>
      <c r="AZ332" s="30" t="s">
        <v>440</v>
      </c>
      <c r="BA332" s="63" t="s">
        <v>872</v>
      </c>
      <c r="BB332" s="71"/>
      <c r="BC332" s="71"/>
      <c r="BD332" s="71"/>
    </row>
    <row r="333" spans="1:56" hidden="1" x14ac:dyDescent="0.25">
      <c r="A333" s="24">
        <f>IF(B333="","",SUBTOTAL(3,$B$4:B333))</f>
        <v>148</v>
      </c>
      <c r="B333" s="25" t="s">
        <v>439</v>
      </c>
      <c r="C333" s="25" t="str">
        <f t="shared" si="83"/>
        <v>Shipment 2 Outlet Stack</v>
      </c>
      <c r="D333" s="25" t="s">
        <v>441</v>
      </c>
      <c r="E333" s="25" t="s">
        <v>775</v>
      </c>
      <c r="F333" s="25"/>
      <c r="G333" s="65">
        <v>46204</v>
      </c>
      <c r="H333" s="25" t="s">
        <v>443</v>
      </c>
      <c r="I333" s="25" t="s">
        <v>777</v>
      </c>
      <c r="J333" s="26" t="s">
        <v>447</v>
      </c>
      <c r="K333" s="27" t="s">
        <v>674</v>
      </c>
      <c r="L333" s="28" t="s">
        <v>675</v>
      </c>
      <c r="M333" s="28" t="s">
        <v>651</v>
      </c>
      <c r="N333" s="25">
        <v>1</v>
      </c>
      <c r="O333" s="29">
        <v>1816.7</v>
      </c>
      <c r="P333" s="29">
        <v>1816.7</v>
      </c>
      <c r="Q333" s="25" t="s">
        <v>762</v>
      </c>
      <c r="R333" s="25"/>
      <c r="S333" s="26"/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73"/>
        <v>1635.0300000000002</v>
      </c>
      <c r="AF333" s="32">
        <f t="shared" si="74"/>
        <v>181.66999999999985</v>
      </c>
      <c r="AG333" s="30"/>
      <c r="AH333" s="33">
        <v>1</v>
      </c>
      <c r="AI333" s="34">
        <f t="shared" si="75"/>
        <v>1816.7</v>
      </c>
      <c r="AJ333" s="35">
        <v>46258</v>
      </c>
      <c r="AK333" s="30">
        <v>1</v>
      </c>
      <c r="AL333" s="36">
        <f t="shared" si="76"/>
        <v>1816.7</v>
      </c>
      <c r="AM333" s="35">
        <v>46263</v>
      </c>
      <c r="AN333" s="30">
        <v>1</v>
      </c>
      <c r="AO333" s="36">
        <f t="shared" si="77"/>
        <v>1816.7</v>
      </c>
      <c r="AP333" s="35"/>
      <c r="AQ333" s="30"/>
      <c r="AR333" s="36">
        <f t="shared" si="78"/>
        <v>0</v>
      </c>
      <c r="AS333" s="27"/>
      <c r="AT333" s="37"/>
      <c r="AU333" s="30"/>
      <c r="AV333" s="36">
        <f t="shared" si="79"/>
        <v>0</v>
      </c>
      <c r="AW333" s="35"/>
      <c r="AX333" s="30"/>
      <c r="AY333" s="32">
        <f t="shared" si="80"/>
        <v>0</v>
      </c>
      <c r="AZ333" s="30" t="s">
        <v>440</v>
      </c>
      <c r="BA333" s="63"/>
      <c r="BB333" s="71"/>
      <c r="BC333" s="71"/>
      <c r="BD333" s="71"/>
    </row>
    <row r="334" spans="1:56" hidden="1" x14ac:dyDescent="0.25">
      <c r="A334" s="24">
        <f>IF(B334="","",SUBTOTAL(3,$B$4:B334))</f>
        <v>148</v>
      </c>
      <c r="B334" s="25" t="s">
        <v>439</v>
      </c>
      <c r="C334" s="25" t="str">
        <f t="shared" si="83"/>
        <v>Shipment 2 Outlet Stack</v>
      </c>
      <c r="D334" s="25" t="s">
        <v>441</v>
      </c>
      <c r="E334" s="25" t="s">
        <v>775</v>
      </c>
      <c r="F334" s="25"/>
      <c r="G334" s="65">
        <v>46204</v>
      </c>
      <c r="H334" s="25" t="s">
        <v>443</v>
      </c>
      <c r="I334" s="25" t="s">
        <v>777</v>
      </c>
      <c r="J334" s="26" t="s">
        <v>447</v>
      </c>
      <c r="K334" s="27" t="s">
        <v>676</v>
      </c>
      <c r="L334" s="28" t="s">
        <v>677</v>
      </c>
      <c r="M334" s="28" t="s">
        <v>651</v>
      </c>
      <c r="N334" s="25">
        <v>1</v>
      </c>
      <c r="O334" s="29">
        <v>1004.9</v>
      </c>
      <c r="P334" s="29">
        <v>1004.9</v>
      </c>
      <c r="Q334" s="25" t="s">
        <v>763</v>
      </c>
      <c r="R334" s="25"/>
      <c r="S334" s="26"/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73"/>
        <v>1004.9000000000001</v>
      </c>
      <c r="AF334" s="32">
        <f t="shared" si="74"/>
        <v>0</v>
      </c>
      <c r="AG334" s="30"/>
      <c r="AH334" s="33">
        <v>1</v>
      </c>
      <c r="AI334" s="34">
        <f t="shared" si="75"/>
        <v>1004.9</v>
      </c>
      <c r="AJ334" s="35">
        <v>46255</v>
      </c>
      <c r="AK334" s="30">
        <v>1</v>
      </c>
      <c r="AL334" s="36">
        <f t="shared" si="76"/>
        <v>1004.9</v>
      </c>
      <c r="AM334" s="35">
        <v>46259</v>
      </c>
      <c r="AN334" s="30">
        <v>1</v>
      </c>
      <c r="AO334" s="36">
        <f t="shared" si="77"/>
        <v>1004.9</v>
      </c>
      <c r="AP334" s="35"/>
      <c r="AQ334" s="30"/>
      <c r="AR334" s="36">
        <f t="shared" si="78"/>
        <v>0</v>
      </c>
      <c r="AS334" s="27" t="s">
        <v>870</v>
      </c>
      <c r="AT334" s="37">
        <v>46289</v>
      </c>
      <c r="AU334" s="30">
        <v>1</v>
      </c>
      <c r="AV334" s="36">
        <f t="shared" si="79"/>
        <v>1004.9</v>
      </c>
      <c r="AW334" s="35">
        <v>46293</v>
      </c>
      <c r="AX334" s="30">
        <v>1</v>
      </c>
      <c r="AY334" s="32">
        <f t="shared" si="80"/>
        <v>1004.9</v>
      </c>
      <c r="AZ334" s="30" t="s">
        <v>440</v>
      </c>
      <c r="BA334" s="63" t="s">
        <v>870</v>
      </c>
      <c r="BB334" s="71"/>
      <c r="BC334" s="71"/>
      <c r="BD334" s="71"/>
    </row>
    <row r="335" spans="1:56" hidden="1" x14ac:dyDescent="0.25">
      <c r="A335" s="24">
        <f>IF(B335="","",SUBTOTAL(3,$B$4:B335))</f>
        <v>148</v>
      </c>
      <c r="B335" s="25" t="s">
        <v>439</v>
      </c>
      <c r="C335" s="25" t="str">
        <f t="shared" si="83"/>
        <v>Shipment 2 Outlet Stack</v>
      </c>
      <c r="D335" s="25" t="s">
        <v>441</v>
      </c>
      <c r="E335" s="25" t="s">
        <v>775</v>
      </c>
      <c r="F335" s="25"/>
      <c r="G335" s="65">
        <v>46204</v>
      </c>
      <c r="H335" s="25" t="s">
        <v>443</v>
      </c>
      <c r="I335" s="25" t="s">
        <v>777</v>
      </c>
      <c r="J335" s="26" t="s">
        <v>447</v>
      </c>
      <c r="K335" s="27" t="s">
        <v>678</v>
      </c>
      <c r="L335" s="28" t="s">
        <v>679</v>
      </c>
      <c r="M335" s="28" t="s">
        <v>651</v>
      </c>
      <c r="N335" s="25">
        <v>1</v>
      </c>
      <c r="O335" s="29">
        <v>2119.8000000000002</v>
      </c>
      <c r="P335" s="29">
        <v>2119.8000000000002</v>
      </c>
      <c r="Q335" s="25" t="s">
        <v>764</v>
      </c>
      <c r="R335" s="25"/>
      <c r="S335" s="26"/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73"/>
        <v>1907.8200000000002</v>
      </c>
      <c r="AF335" s="32">
        <f t="shared" si="74"/>
        <v>211.98000000000002</v>
      </c>
      <c r="AG335" s="30"/>
      <c r="AH335" s="33">
        <v>1</v>
      </c>
      <c r="AI335" s="34">
        <f t="shared" si="75"/>
        <v>2119.8000000000002</v>
      </c>
      <c r="AJ335" s="35">
        <v>46255</v>
      </c>
      <c r="AK335" s="30">
        <v>1</v>
      </c>
      <c r="AL335" s="36">
        <f t="shared" si="76"/>
        <v>2119.8000000000002</v>
      </c>
      <c r="AM335" s="35">
        <v>46264</v>
      </c>
      <c r="AN335" s="30">
        <v>1</v>
      </c>
      <c r="AO335" s="36">
        <f t="shared" si="77"/>
        <v>2119.8000000000002</v>
      </c>
      <c r="AP335" s="35"/>
      <c r="AQ335" s="30"/>
      <c r="AR335" s="36">
        <f t="shared" si="78"/>
        <v>0</v>
      </c>
      <c r="AS335" s="27"/>
      <c r="AT335" s="37"/>
      <c r="AU335" s="30"/>
      <c r="AV335" s="36">
        <f t="shared" si="79"/>
        <v>0</v>
      </c>
      <c r="AW335" s="35"/>
      <c r="AX335" s="30"/>
      <c r="AY335" s="32">
        <f t="shared" si="80"/>
        <v>0</v>
      </c>
      <c r="AZ335" s="30" t="s">
        <v>440</v>
      </c>
      <c r="BA335" s="63"/>
      <c r="BB335" s="71"/>
      <c r="BC335" s="71"/>
      <c r="BD335" s="71"/>
    </row>
    <row r="336" spans="1:56" hidden="1" x14ac:dyDescent="0.25">
      <c r="A336" s="24">
        <f>IF(B336="","",SUBTOTAL(3,$B$4:B336))</f>
        <v>148</v>
      </c>
      <c r="B336" s="25" t="s">
        <v>439</v>
      </c>
      <c r="C336" s="25" t="str">
        <f t="shared" si="83"/>
        <v>Shipment 2 Outlet Stack</v>
      </c>
      <c r="D336" s="25" t="s">
        <v>441</v>
      </c>
      <c r="E336" s="25" t="s">
        <v>775</v>
      </c>
      <c r="F336" s="25"/>
      <c r="G336" s="65">
        <v>46204</v>
      </c>
      <c r="H336" s="25" t="s">
        <v>443</v>
      </c>
      <c r="I336" s="25" t="s">
        <v>777</v>
      </c>
      <c r="J336" s="26" t="s">
        <v>447</v>
      </c>
      <c r="K336" s="27" t="s">
        <v>680</v>
      </c>
      <c r="L336" s="28" t="s">
        <v>681</v>
      </c>
      <c r="M336" s="28" t="s">
        <v>651</v>
      </c>
      <c r="N336" s="25">
        <v>1</v>
      </c>
      <c r="O336" s="29">
        <v>3149.8</v>
      </c>
      <c r="P336" s="29">
        <v>3149.8</v>
      </c>
      <c r="Q336" s="25" t="s">
        <v>765</v>
      </c>
      <c r="R336" s="25"/>
      <c r="S336" s="26"/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73"/>
        <v>2834.82</v>
      </c>
      <c r="AF336" s="32">
        <f t="shared" si="74"/>
        <v>314.98</v>
      </c>
      <c r="AG336" s="30"/>
      <c r="AH336" s="33">
        <v>1</v>
      </c>
      <c r="AI336" s="34">
        <f t="shared" si="75"/>
        <v>3149.8</v>
      </c>
      <c r="AJ336" s="35">
        <v>46261</v>
      </c>
      <c r="AK336" s="30">
        <v>1</v>
      </c>
      <c r="AL336" s="36">
        <f t="shared" si="76"/>
        <v>3149.8</v>
      </c>
      <c r="AM336" s="35">
        <v>46269</v>
      </c>
      <c r="AN336" s="30">
        <v>1</v>
      </c>
      <c r="AO336" s="36">
        <f t="shared" si="77"/>
        <v>3149.8</v>
      </c>
      <c r="AP336" s="35"/>
      <c r="AQ336" s="30"/>
      <c r="AR336" s="36">
        <f t="shared" si="78"/>
        <v>0</v>
      </c>
      <c r="AS336" s="27"/>
      <c r="AT336" s="37"/>
      <c r="AU336" s="30"/>
      <c r="AV336" s="36">
        <f t="shared" si="79"/>
        <v>0</v>
      </c>
      <c r="AW336" s="35"/>
      <c r="AX336" s="30"/>
      <c r="AY336" s="32">
        <f t="shared" si="80"/>
        <v>0</v>
      </c>
      <c r="AZ336" s="30" t="s">
        <v>440</v>
      </c>
      <c r="BA336" s="63"/>
      <c r="BB336" s="71"/>
      <c r="BC336" s="71"/>
      <c r="BD336" s="71"/>
    </row>
    <row r="337" spans="1:56" hidden="1" x14ac:dyDescent="0.25">
      <c r="A337" s="24">
        <f>IF(B337="","",SUBTOTAL(3,$B$4:B337))</f>
        <v>148</v>
      </c>
      <c r="B337" s="25" t="s">
        <v>439</v>
      </c>
      <c r="C337" s="25" t="str">
        <f t="shared" si="83"/>
        <v>Shipment 2 Outlet Stack</v>
      </c>
      <c r="D337" s="25" t="s">
        <v>441</v>
      </c>
      <c r="E337" s="25" t="s">
        <v>775</v>
      </c>
      <c r="F337" s="25"/>
      <c r="G337" s="65">
        <v>46204</v>
      </c>
      <c r="H337" s="25" t="s">
        <v>443</v>
      </c>
      <c r="I337" s="25" t="s">
        <v>777</v>
      </c>
      <c r="J337" s="26" t="s">
        <v>778</v>
      </c>
      <c r="K337" s="27" t="s">
        <v>682</v>
      </c>
      <c r="L337" s="28" t="s">
        <v>683</v>
      </c>
      <c r="M337" s="28" t="s">
        <v>651</v>
      </c>
      <c r="N337" s="25">
        <v>1</v>
      </c>
      <c r="O337" s="29">
        <v>2513.3000000000002</v>
      </c>
      <c r="P337" s="29">
        <v>2513.3000000000002</v>
      </c>
      <c r="Q337" s="25" t="s">
        <v>766</v>
      </c>
      <c r="R337" s="25"/>
      <c r="S337" s="26"/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si="73"/>
        <v>2261.9700000000003</v>
      </c>
      <c r="AF337" s="32">
        <f t="shared" si="74"/>
        <v>251.32999999999993</v>
      </c>
      <c r="AG337" s="30"/>
      <c r="AH337" s="33">
        <v>1</v>
      </c>
      <c r="AI337" s="34">
        <f t="shared" si="75"/>
        <v>2513.3000000000002</v>
      </c>
      <c r="AJ337" s="35">
        <v>46271</v>
      </c>
      <c r="AK337" s="30">
        <v>1</v>
      </c>
      <c r="AL337" s="36">
        <f t="shared" si="76"/>
        <v>2513.3000000000002</v>
      </c>
      <c r="AM337" s="35">
        <v>46274</v>
      </c>
      <c r="AN337" s="30">
        <v>1</v>
      </c>
      <c r="AO337" s="36">
        <f t="shared" si="77"/>
        <v>2513.3000000000002</v>
      </c>
      <c r="AP337" s="35"/>
      <c r="AQ337" s="30"/>
      <c r="AR337" s="36">
        <f t="shared" si="78"/>
        <v>0</v>
      </c>
      <c r="AS337" s="27"/>
      <c r="AT337" s="37"/>
      <c r="AU337" s="30"/>
      <c r="AV337" s="36">
        <f t="shared" si="79"/>
        <v>0</v>
      </c>
      <c r="AW337" s="35"/>
      <c r="AX337" s="30"/>
      <c r="AY337" s="32">
        <f t="shared" si="80"/>
        <v>0</v>
      </c>
      <c r="AZ337" s="30" t="s">
        <v>440</v>
      </c>
      <c r="BA337" s="63"/>
      <c r="BB337" s="71"/>
      <c r="BC337" s="71"/>
      <c r="BD337" s="71"/>
    </row>
    <row r="338" spans="1:56" hidden="1" x14ac:dyDescent="0.25">
      <c r="A338" s="24">
        <f>IF(B338="","",SUBTOTAL(3,$B$4:B338))</f>
        <v>148</v>
      </c>
      <c r="B338" s="25" t="s">
        <v>439</v>
      </c>
      <c r="C338" s="25" t="str">
        <f t="shared" si="83"/>
        <v>Shipment 2 Outlet Stack</v>
      </c>
      <c r="D338" s="25" t="s">
        <v>441</v>
      </c>
      <c r="E338" s="25" t="s">
        <v>775</v>
      </c>
      <c r="F338" s="25"/>
      <c r="G338" s="65">
        <v>46204</v>
      </c>
      <c r="H338" s="25" t="s">
        <v>443</v>
      </c>
      <c r="I338" s="25" t="s">
        <v>777</v>
      </c>
      <c r="J338" s="26" t="s">
        <v>778</v>
      </c>
      <c r="K338" s="27" t="s">
        <v>684</v>
      </c>
      <c r="L338" s="28" t="s">
        <v>685</v>
      </c>
      <c r="M338" s="28" t="s">
        <v>651</v>
      </c>
      <c r="N338" s="25">
        <v>1</v>
      </c>
      <c r="O338" s="29">
        <v>2513.3000000000002</v>
      </c>
      <c r="P338" s="29">
        <v>2513.3000000000002</v>
      </c>
      <c r="Q338" s="25" t="s">
        <v>766</v>
      </c>
      <c r="R338" s="25"/>
      <c r="S338" s="26"/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73"/>
        <v>2261.9700000000003</v>
      </c>
      <c r="AF338" s="32">
        <f t="shared" si="74"/>
        <v>251.32999999999993</v>
      </c>
      <c r="AG338" s="30"/>
      <c r="AH338" s="33">
        <v>1</v>
      </c>
      <c r="AI338" s="34">
        <f t="shared" si="75"/>
        <v>2513.3000000000002</v>
      </c>
      <c r="AJ338" s="35">
        <v>46272</v>
      </c>
      <c r="AK338" s="30">
        <v>1</v>
      </c>
      <c r="AL338" s="36">
        <f t="shared" si="76"/>
        <v>2513.3000000000002</v>
      </c>
      <c r="AM338" s="35">
        <v>46275</v>
      </c>
      <c r="AN338" s="30">
        <v>1</v>
      </c>
      <c r="AO338" s="36">
        <f t="shared" si="77"/>
        <v>2513.3000000000002</v>
      </c>
      <c r="AP338" s="35"/>
      <c r="AQ338" s="30"/>
      <c r="AR338" s="36">
        <f t="shared" si="78"/>
        <v>0</v>
      </c>
      <c r="AS338" s="27"/>
      <c r="AT338" s="37"/>
      <c r="AU338" s="30"/>
      <c r="AV338" s="36">
        <f t="shared" si="79"/>
        <v>0</v>
      </c>
      <c r="AW338" s="35"/>
      <c r="AX338" s="30"/>
      <c r="AY338" s="32">
        <f t="shared" si="80"/>
        <v>0</v>
      </c>
      <c r="AZ338" s="30" t="s">
        <v>440</v>
      </c>
      <c r="BA338" s="63"/>
      <c r="BB338" s="71"/>
      <c r="BC338" s="71"/>
      <c r="BD338" s="71"/>
    </row>
    <row r="339" spans="1:56" hidden="1" x14ac:dyDescent="0.25">
      <c r="A339" s="24">
        <f>IF(B339="","",SUBTOTAL(3,$B$4:B339))</f>
        <v>148</v>
      </c>
      <c r="B339" s="25" t="s">
        <v>439</v>
      </c>
      <c r="C339" s="25" t="str">
        <f t="shared" si="83"/>
        <v>Shipment 2 Outlet Stack</v>
      </c>
      <c r="D339" s="25" t="s">
        <v>441</v>
      </c>
      <c r="E339" s="25" t="s">
        <v>775</v>
      </c>
      <c r="F339" s="25"/>
      <c r="G339" s="65">
        <v>46204</v>
      </c>
      <c r="H339" s="25" t="s">
        <v>443</v>
      </c>
      <c r="I339" s="25" t="s">
        <v>777</v>
      </c>
      <c r="J339" s="26" t="s">
        <v>778</v>
      </c>
      <c r="K339" s="27" t="s">
        <v>686</v>
      </c>
      <c r="L339" s="28" t="s">
        <v>687</v>
      </c>
      <c r="M339" s="28" t="s">
        <v>651</v>
      </c>
      <c r="N339" s="25">
        <v>2</v>
      </c>
      <c r="O339" s="29">
        <v>2513.1999999999998</v>
      </c>
      <c r="P339" s="29">
        <v>5026.3999999999996</v>
      </c>
      <c r="Q339" s="25" t="s">
        <v>766</v>
      </c>
      <c r="R339" s="25"/>
      <c r="S339" s="26"/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73"/>
        <v>4523.76</v>
      </c>
      <c r="AF339" s="32">
        <f t="shared" si="74"/>
        <v>502.63999999999942</v>
      </c>
      <c r="AG339" s="30"/>
      <c r="AH339" s="33">
        <v>1</v>
      </c>
      <c r="AI339" s="34">
        <f t="shared" si="75"/>
        <v>5026.3999999999996</v>
      </c>
      <c r="AJ339" s="35">
        <v>46273</v>
      </c>
      <c r="AK339" s="30">
        <v>2</v>
      </c>
      <c r="AL339" s="36">
        <f t="shared" si="76"/>
        <v>5026.3999999999996</v>
      </c>
      <c r="AM339" s="35">
        <v>46277</v>
      </c>
      <c r="AN339" s="30">
        <v>2</v>
      </c>
      <c r="AO339" s="36">
        <f t="shared" si="77"/>
        <v>5026.3999999999996</v>
      </c>
      <c r="AP339" s="35"/>
      <c r="AQ339" s="30"/>
      <c r="AR339" s="36">
        <f t="shared" si="78"/>
        <v>0</v>
      </c>
      <c r="AS339" s="27"/>
      <c r="AT339" s="37"/>
      <c r="AU339" s="30"/>
      <c r="AV339" s="36">
        <f t="shared" si="79"/>
        <v>0</v>
      </c>
      <c r="AW339" s="35"/>
      <c r="AX339" s="30"/>
      <c r="AY339" s="32">
        <f t="shared" si="80"/>
        <v>0</v>
      </c>
      <c r="AZ339" s="30" t="s">
        <v>440</v>
      </c>
      <c r="BA339" s="63"/>
      <c r="BB339" s="71"/>
      <c r="BC339" s="71"/>
      <c r="BD339" s="71"/>
    </row>
    <row r="340" spans="1:56" hidden="1" x14ac:dyDescent="0.25">
      <c r="A340" s="24">
        <f>IF(B340="","",SUBTOTAL(3,$B$4:B340))</f>
        <v>148</v>
      </c>
      <c r="B340" s="25" t="s">
        <v>439</v>
      </c>
      <c r="C340" s="25" t="str">
        <f t="shared" si="83"/>
        <v>Shipment 2 Outlet Stack</v>
      </c>
      <c r="D340" s="25" t="s">
        <v>441</v>
      </c>
      <c r="E340" s="25" t="s">
        <v>775</v>
      </c>
      <c r="F340" s="25"/>
      <c r="G340" s="65">
        <v>46204</v>
      </c>
      <c r="H340" s="25" t="s">
        <v>443</v>
      </c>
      <c r="I340" s="25" t="s">
        <v>777</v>
      </c>
      <c r="J340" s="26" t="s">
        <v>778</v>
      </c>
      <c r="K340" s="27" t="s">
        <v>688</v>
      </c>
      <c r="L340" s="28" t="s">
        <v>689</v>
      </c>
      <c r="M340" s="28" t="s">
        <v>651</v>
      </c>
      <c r="N340" s="25">
        <v>1</v>
      </c>
      <c r="O340" s="29">
        <v>2872.7</v>
      </c>
      <c r="P340" s="29">
        <v>2872.7</v>
      </c>
      <c r="Q340" s="25" t="s">
        <v>766</v>
      </c>
      <c r="R340" s="25"/>
      <c r="S340" s="26"/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73"/>
        <v>2585.4299999999998</v>
      </c>
      <c r="AF340" s="32">
        <f t="shared" si="74"/>
        <v>287.27</v>
      </c>
      <c r="AG340" s="30"/>
      <c r="AH340" s="33">
        <v>1</v>
      </c>
      <c r="AI340" s="34">
        <f t="shared" si="75"/>
        <v>2872.7</v>
      </c>
      <c r="AJ340" s="35">
        <v>46273</v>
      </c>
      <c r="AK340" s="30">
        <v>1</v>
      </c>
      <c r="AL340" s="36">
        <f t="shared" si="76"/>
        <v>2872.7</v>
      </c>
      <c r="AM340" s="35">
        <v>46284</v>
      </c>
      <c r="AN340" s="30">
        <v>1</v>
      </c>
      <c r="AO340" s="36">
        <f t="shared" si="77"/>
        <v>2872.7</v>
      </c>
      <c r="AP340" s="35"/>
      <c r="AQ340" s="30"/>
      <c r="AR340" s="36">
        <f t="shared" si="78"/>
        <v>0</v>
      </c>
      <c r="AS340" s="27"/>
      <c r="AT340" s="37"/>
      <c r="AU340" s="30"/>
      <c r="AV340" s="36">
        <f t="shared" si="79"/>
        <v>0</v>
      </c>
      <c r="AW340" s="35"/>
      <c r="AX340" s="30"/>
      <c r="AY340" s="32">
        <f t="shared" si="80"/>
        <v>0</v>
      </c>
      <c r="AZ340" s="30" t="s">
        <v>440</v>
      </c>
      <c r="BA340" s="63"/>
      <c r="BB340" s="71"/>
      <c r="BC340" s="71"/>
      <c r="BD340" s="71"/>
    </row>
    <row r="341" spans="1:56" hidden="1" x14ac:dyDescent="0.25">
      <c r="A341" s="24">
        <f>IF(B341="","",SUBTOTAL(3,$B$4:B341))</f>
        <v>148</v>
      </c>
      <c r="B341" s="25" t="s">
        <v>439</v>
      </c>
      <c r="C341" s="25" t="str">
        <f t="shared" si="83"/>
        <v>Shipment 2 Outlet Stack</v>
      </c>
      <c r="D341" s="25" t="s">
        <v>441</v>
      </c>
      <c r="E341" s="25" t="s">
        <v>775</v>
      </c>
      <c r="F341" s="25"/>
      <c r="G341" s="65">
        <v>46204</v>
      </c>
      <c r="H341" s="25" t="s">
        <v>443</v>
      </c>
      <c r="I341" s="25" t="s">
        <v>777</v>
      </c>
      <c r="J341" s="26" t="s">
        <v>778</v>
      </c>
      <c r="K341" s="27" t="s">
        <v>690</v>
      </c>
      <c r="L341" s="28" t="s">
        <v>691</v>
      </c>
      <c r="M341" s="28" t="s">
        <v>651</v>
      </c>
      <c r="N341" s="25">
        <v>1</v>
      </c>
      <c r="O341" s="29">
        <v>2963.6</v>
      </c>
      <c r="P341" s="29">
        <v>2963.6</v>
      </c>
      <c r="Q341" s="25" t="s">
        <v>767</v>
      </c>
      <c r="R341" s="25"/>
      <c r="S341" s="26"/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73"/>
        <v>2667.24</v>
      </c>
      <c r="AF341" s="32">
        <f t="shared" si="74"/>
        <v>296.36000000000013</v>
      </c>
      <c r="AG341" s="30"/>
      <c r="AH341" s="33">
        <v>1</v>
      </c>
      <c r="AI341" s="34">
        <f t="shared" si="75"/>
        <v>2963.6</v>
      </c>
      <c r="AJ341" s="35">
        <v>46282</v>
      </c>
      <c r="AK341" s="30">
        <v>1</v>
      </c>
      <c r="AL341" s="36">
        <f t="shared" si="76"/>
        <v>2963.6</v>
      </c>
      <c r="AM341" s="35">
        <v>46289</v>
      </c>
      <c r="AN341" s="30">
        <v>1</v>
      </c>
      <c r="AO341" s="36">
        <f t="shared" si="77"/>
        <v>2963.6</v>
      </c>
      <c r="AP341" s="35"/>
      <c r="AQ341" s="30"/>
      <c r="AR341" s="36">
        <f t="shared" si="78"/>
        <v>0</v>
      </c>
      <c r="AS341" s="27"/>
      <c r="AT341" s="37"/>
      <c r="AU341" s="30"/>
      <c r="AV341" s="36">
        <f t="shared" si="79"/>
        <v>0</v>
      </c>
      <c r="AW341" s="35"/>
      <c r="AX341" s="30"/>
      <c r="AY341" s="32">
        <f t="shared" si="80"/>
        <v>0</v>
      </c>
      <c r="AZ341" s="30" t="s">
        <v>440</v>
      </c>
      <c r="BA341" s="63"/>
      <c r="BB341" s="71"/>
      <c r="BC341" s="71"/>
      <c r="BD341" s="71"/>
    </row>
    <row r="342" spans="1:56" hidden="1" x14ac:dyDescent="0.25">
      <c r="A342" s="24">
        <f>IF(B342="","",SUBTOTAL(3,$B$4:B342))</f>
        <v>148</v>
      </c>
      <c r="B342" s="25" t="s">
        <v>439</v>
      </c>
      <c r="C342" s="25" t="str">
        <f t="shared" si="83"/>
        <v>Shipment 2 Outlet Stack</v>
      </c>
      <c r="D342" s="25" t="s">
        <v>441</v>
      </c>
      <c r="E342" s="25" t="s">
        <v>775</v>
      </c>
      <c r="F342" s="25"/>
      <c r="G342" s="65">
        <v>46204</v>
      </c>
      <c r="H342" s="25" t="s">
        <v>443</v>
      </c>
      <c r="I342" s="25" t="s">
        <v>777</v>
      </c>
      <c r="J342" s="26" t="s">
        <v>778</v>
      </c>
      <c r="K342" s="27" t="s">
        <v>692</v>
      </c>
      <c r="L342" s="28" t="s">
        <v>693</v>
      </c>
      <c r="M342" s="28" t="s">
        <v>651</v>
      </c>
      <c r="N342" s="25">
        <v>1</v>
      </c>
      <c r="O342" s="29">
        <v>2900.7</v>
      </c>
      <c r="P342" s="29">
        <v>2900.7</v>
      </c>
      <c r="Q342" s="25" t="s">
        <v>768</v>
      </c>
      <c r="R342" s="25"/>
      <c r="S342" s="26"/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73"/>
        <v>2610.63</v>
      </c>
      <c r="AF342" s="32">
        <f t="shared" si="74"/>
        <v>290.06999999999971</v>
      </c>
      <c r="AG342" s="30"/>
      <c r="AH342" s="33">
        <v>1</v>
      </c>
      <c r="AI342" s="34">
        <f t="shared" si="75"/>
        <v>2900.7</v>
      </c>
      <c r="AJ342" s="35">
        <v>46287</v>
      </c>
      <c r="AK342" s="30">
        <v>1</v>
      </c>
      <c r="AL342" s="36">
        <f t="shared" si="76"/>
        <v>2900.7</v>
      </c>
      <c r="AM342" s="35">
        <v>46291</v>
      </c>
      <c r="AN342" s="30">
        <v>1</v>
      </c>
      <c r="AO342" s="36">
        <f t="shared" si="77"/>
        <v>2900.7</v>
      </c>
      <c r="AP342" s="35"/>
      <c r="AQ342" s="30"/>
      <c r="AR342" s="36">
        <f t="shared" si="78"/>
        <v>0</v>
      </c>
      <c r="AS342" s="27"/>
      <c r="AT342" s="37"/>
      <c r="AU342" s="30"/>
      <c r="AV342" s="36">
        <f t="shared" si="79"/>
        <v>0</v>
      </c>
      <c r="AW342" s="35"/>
      <c r="AX342" s="30"/>
      <c r="AY342" s="32">
        <f t="shared" si="80"/>
        <v>0</v>
      </c>
      <c r="AZ342" s="30" t="s">
        <v>440</v>
      </c>
      <c r="BA342" s="63"/>
      <c r="BB342" s="71"/>
      <c r="BC342" s="71"/>
      <c r="BD342" s="71"/>
    </row>
    <row r="343" spans="1:56" hidden="1" x14ac:dyDescent="0.25">
      <c r="A343" s="24">
        <f>IF(B343="","",SUBTOTAL(3,$B$4:B343))</f>
        <v>148</v>
      </c>
      <c r="B343" s="25" t="s">
        <v>439</v>
      </c>
      <c r="C343" s="25" t="str">
        <f t="shared" si="83"/>
        <v>Shipment 2 Outlet Stack</v>
      </c>
      <c r="D343" s="25" t="s">
        <v>441</v>
      </c>
      <c r="E343" s="25" t="s">
        <v>775</v>
      </c>
      <c r="F343" s="25"/>
      <c r="G343" s="65">
        <v>46204</v>
      </c>
      <c r="H343" s="25" t="s">
        <v>443</v>
      </c>
      <c r="I343" s="25" t="s">
        <v>777</v>
      </c>
      <c r="J343" s="26" t="s">
        <v>778</v>
      </c>
      <c r="K343" s="27" t="s">
        <v>694</v>
      </c>
      <c r="L343" s="28" t="s">
        <v>695</v>
      </c>
      <c r="M343" s="28" t="s">
        <v>651</v>
      </c>
      <c r="N343" s="25">
        <v>1</v>
      </c>
      <c r="O343" s="29">
        <v>2847.6</v>
      </c>
      <c r="P343" s="29">
        <v>2847.6</v>
      </c>
      <c r="Q343" s="25" t="s">
        <v>769</v>
      </c>
      <c r="R343" s="25"/>
      <c r="S343" s="26"/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73"/>
        <v>2562.84</v>
      </c>
      <c r="AF343" s="32">
        <f t="shared" si="74"/>
        <v>284.75999999999976</v>
      </c>
      <c r="AG343" s="30"/>
      <c r="AH343" s="33">
        <v>1</v>
      </c>
      <c r="AI343" s="34">
        <f t="shared" si="75"/>
        <v>2847.6</v>
      </c>
      <c r="AJ343" s="35">
        <v>46290</v>
      </c>
      <c r="AK343" s="30">
        <v>1</v>
      </c>
      <c r="AL343" s="36">
        <f t="shared" si="76"/>
        <v>2847.6</v>
      </c>
      <c r="AM343" s="35">
        <v>46293</v>
      </c>
      <c r="AN343" s="30">
        <v>1</v>
      </c>
      <c r="AO343" s="36">
        <f t="shared" si="77"/>
        <v>2847.6</v>
      </c>
      <c r="AP343" s="35"/>
      <c r="AQ343" s="30"/>
      <c r="AR343" s="36">
        <f t="shared" si="78"/>
        <v>0</v>
      </c>
      <c r="AS343" s="27"/>
      <c r="AT343" s="37"/>
      <c r="AU343" s="30"/>
      <c r="AV343" s="36">
        <f t="shared" si="79"/>
        <v>0</v>
      </c>
      <c r="AW343" s="35"/>
      <c r="AX343" s="30"/>
      <c r="AY343" s="32">
        <f t="shared" si="80"/>
        <v>0</v>
      </c>
      <c r="AZ343" s="30" t="s">
        <v>440</v>
      </c>
      <c r="BA343" s="63"/>
      <c r="BB343" s="71"/>
      <c r="BC343" s="71"/>
      <c r="BD343" s="71"/>
    </row>
    <row r="344" spans="1:56" hidden="1" x14ac:dyDescent="0.25">
      <c r="A344" s="24">
        <f>IF(B344="","",SUBTOTAL(3,$B$4:B344))</f>
        <v>148</v>
      </c>
      <c r="B344" s="25" t="s">
        <v>439</v>
      </c>
      <c r="C344" s="25" t="str">
        <f t="shared" si="83"/>
        <v>Shipment 2 Outlet Stack</v>
      </c>
      <c r="D344" s="25" t="s">
        <v>441</v>
      </c>
      <c r="E344" s="25" t="s">
        <v>775</v>
      </c>
      <c r="F344" s="25"/>
      <c r="G344" s="65">
        <v>46204</v>
      </c>
      <c r="H344" s="25" t="s">
        <v>443</v>
      </c>
      <c r="I344" s="25" t="s">
        <v>777</v>
      </c>
      <c r="J344" s="26" t="s">
        <v>778</v>
      </c>
      <c r="K344" s="27" t="s">
        <v>696</v>
      </c>
      <c r="L344" s="28" t="s">
        <v>697</v>
      </c>
      <c r="M344" s="28" t="s">
        <v>651</v>
      </c>
      <c r="N344" s="25">
        <v>1</v>
      </c>
      <c r="O344" s="29">
        <v>2822.4</v>
      </c>
      <c r="P344" s="29">
        <v>2822.4</v>
      </c>
      <c r="Q344" s="25" t="s">
        <v>770</v>
      </c>
      <c r="R344" s="25"/>
      <c r="S344" s="26"/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73"/>
        <v>2540.16</v>
      </c>
      <c r="AF344" s="32">
        <f t="shared" si="74"/>
        <v>282.24000000000024</v>
      </c>
      <c r="AG344" s="30"/>
      <c r="AH344" s="33">
        <v>1</v>
      </c>
      <c r="AI344" s="34">
        <f t="shared" si="75"/>
        <v>2822.4</v>
      </c>
      <c r="AJ344" s="35">
        <v>46291</v>
      </c>
      <c r="AK344" s="30">
        <v>1</v>
      </c>
      <c r="AL344" s="36">
        <f t="shared" si="76"/>
        <v>2822.4</v>
      </c>
      <c r="AM344" s="35">
        <v>46293</v>
      </c>
      <c r="AN344" s="30">
        <v>1</v>
      </c>
      <c r="AO344" s="36">
        <f t="shared" ref="AO344" si="84">IFERROR(AN344*$P344/$N344,0)</f>
        <v>2822.4</v>
      </c>
      <c r="AP344" s="35"/>
      <c r="AQ344" s="30"/>
      <c r="AR344" s="36">
        <f t="shared" si="78"/>
        <v>0</v>
      </c>
      <c r="AS344" s="27"/>
      <c r="AT344" s="37"/>
      <c r="AU344" s="30"/>
      <c r="AV344" s="36">
        <f t="shared" si="79"/>
        <v>0</v>
      </c>
      <c r="AW344" s="35"/>
      <c r="AX344" s="30"/>
      <c r="AY344" s="32">
        <f t="shared" si="80"/>
        <v>0</v>
      </c>
      <c r="AZ344" s="30" t="s">
        <v>440</v>
      </c>
      <c r="BA344" s="63"/>
      <c r="BB344" s="71"/>
      <c r="BC344" s="71"/>
      <c r="BD344" s="71"/>
    </row>
    <row r="345" spans="1:56" hidden="1" x14ac:dyDescent="0.25">
      <c r="A345" s="24">
        <f>IF(B345="","",SUBTOTAL(3,$B$4:B345))</f>
        <v>148</v>
      </c>
      <c r="B345" s="25" t="s">
        <v>439</v>
      </c>
      <c r="C345" s="25" t="str">
        <f t="shared" si="83"/>
        <v>Shipment 2 Outlet Stack</v>
      </c>
      <c r="D345" s="25" t="s">
        <v>441</v>
      </c>
      <c r="E345" s="25" t="s">
        <v>775</v>
      </c>
      <c r="F345" s="25"/>
      <c r="G345" s="65">
        <v>46204</v>
      </c>
      <c r="H345" s="25" t="s">
        <v>443</v>
      </c>
      <c r="I345" s="25" t="s">
        <v>777</v>
      </c>
      <c r="J345" s="26" t="s">
        <v>778</v>
      </c>
      <c r="K345" s="27" t="s">
        <v>698</v>
      </c>
      <c r="L345" s="28" t="s">
        <v>699</v>
      </c>
      <c r="M345" s="28" t="s">
        <v>651</v>
      </c>
      <c r="N345" s="25">
        <v>1</v>
      </c>
      <c r="O345" s="29">
        <v>3064.1</v>
      </c>
      <c r="P345" s="29">
        <v>3064.1</v>
      </c>
      <c r="Q345" s="25" t="s">
        <v>771</v>
      </c>
      <c r="R345" s="25"/>
      <c r="S345" s="26"/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73"/>
        <v>2757.69</v>
      </c>
      <c r="AF345" s="32">
        <f t="shared" si="74"/>
        <v>306.40999999999985</v>
      </c>
      <c r="AG345" s="30"/>
      <c r="AH345" s="33">
        <v>1</v>
      </c>
      <c r="AI345" s="34">
        <f t="shared" si="75"/>
        <v>3064.1</v>
      </c>
      <c r="AJ345" s="35">
        <v>46283</v>
      </c>
      <c r="AK345" s="30">
        <v>1</v>
      </c>
      <c r="AL345" s="36">
        <f t="shared" si="76"/>
        <v>3064.1</v>
      </c>
      <c r="AM345" s="35">
        <v>46291</v>
      </c>
      <c r="AN345" s="30">
        <v>1</v>
      </c>
      <c r="AO345" s="36">
        <f>IFERROR(AN345*$P345/$N345,0)</f>
        <v>3064.1</v>
      </c>
      <c r="AP345" s="35"/>
      <c r="AQ345" s="30"/>
      <c r="AR345" s="36">
        <f t="shared" si="78"/>
        <v>0</v>
      </c>
      <c r="AS345" s="27"/>
      <c r="AT345" s="37"/>
      <c r="AU345" s="30"/>
      <c r="AV345" s="36">
        <f t="shared" si="79"/>
        <v>0</v>
      </c>
      <c r="AW345" s="35"/>
      <c r="AX345" s="30"/>
      <c r="AY345" s="32">
        <f t="shared" si="80"/>
        <v>0</v>
      </c>
      <c r="AZ345" s="30" t="s">
        <v>440</v>
      </c>
      <c r="BA345" s="63"/>
      <c r="BB345" s="71"/>
      <c r="BC345" s="71"/>
      <c r="BD345" s="71"/>
    </row>
    <row r="346" spans="1:56" hidden="1" x14ac:dyDescent="0.25">
      <c r="A346" s="24">
        <f>IF(B346="","",SUBTOTAL(3,$B$4:B346))</f>
        <v>148</v>
      </c>
      <c r="B346" s="25" t="s">
        <v>439</v>
      </c>
      <c r="C346" s="25" t="str">
        <f t="shared" si="83"/>
        <v>Shipment 2 Outlet Stack</v>
      </c>
      <c r="D346" s="25" t="s">
        <v>441</v>
      </c>
      <c r="E346" s="25" t="s">
        <v>775</v>
      </c>
      <c r="F346" s="25"/>
      <c r="G346" s="65">
        <v>46204</v>
      </c>
      <c r="H346" s="25" t="s">
        <v>443</v>
      </c>
      <c r="I346" s="25" t="s">
        <v>777</v>
      </c>
      <c r="J346" s="26" t="s">
        <v>447</v>
      </c>
      <c r="K346" s="27" t="s">
        <v>700</v>
      </c>
      <c r="L346" s="28" t="s">
        <v>701</v>
      </c>
      <c r="M346" s="28" t="s">
        <v>651</v>
      </c>
      <c r="N346" s="25">
        <v>1</v>
      </c>
      <c r="O346" s="29">
        <v>677.6</v>
      </c>
      <c r="P346" s="29">
        <v>677.6</v>
      </c>
      <c r="Q346" s="25" t="s">
        <v>772</v>
      </c>
      <c r="R346" s="25"/>
      <c r="S346" s="26"/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73"/>
        <v>677.6</v>
      </c>
      <c r="AF346" s="32">
        <f t="shared" si="74"/>
        <v>0</v>
      </c>
      <c r="AG346" s="30"/>
      <c r="AH346" s="33">
        <v>1</v>
      </c>
      <c r="AI346" s="34">
        <f t="shared" si="75"/>
        <v>677.6</v>
      </c>
      <c r="AJ346" s="35">
        <v>46254</v>
      </c>
      <c r="AK346" s="30">
        <v>1</v>
      </c>
      <c r="AL346" s="36">
        <f t="shared" si="76"/>
        <v>677.6</v>
      </c>
      <c r="AM346" s="35">
        <v>46256</v>
      </c>
      <c r="AN346" s="30">
        <v>1</v>
      </c>
      <c r="AO346" s="36">
        <f t="shared" si="77"/>
        <v>677.6</v>
      </c>
      <c r="AP346" s="35"/>
      <c r="AQ346" s="30"/>
      <c r="AR346" s="36">
        <f t="shared" si="78"/>
        <v>0</v>
      </c>
      <c r="AS346" s="27" t="s">
        <v>870</v>
      </c>
      <c r="AT346" s="37">
        <v>46289</v>
      </c>
      <c r="AU346" s="30">
        <v>1</v>
      </c>
      <c r="AV346" s="36">
        <f t="shared" si="79"/>
        <v>677.6</v>
      </c>
      <c r="AW346" s="35">
        <v>46293</v>
      </c>
      <c r="AX346" s="30">
        <v>1</v>
      </c>
      <c r="AY346" s="32">
        <f t="shared" ref="AY346" si="85">IFERROR(AX346*$P346/$N346,0)</f>
        <v>677.6</v>
      </c>
      <c r="AZ346" s="30" t="s">
        <v>440</v>
      </c>
      <c r="BA346" s="63" t="s">
        <v>870</v>
      </c>
      <c r="BB346" s="71"/>
      <c r="BC346" s="71"/>
      <c r="BD346" s="71"/>
    </row>
    <row r="347" spans="1:56" hidden="1" x14ac:dyDescent="0.25">
      <c r="A347" s="24">
        <f>IF(B347="","",SUBTOTAL(3,$B$4:B347))</f>
        <v>148</v>
      </c>
      <c r="B347" s="25" t="s">
        <v>439</v>
      </c>
      <c r="C347" s="25" t="str">
        <f t="shared" si="83"/>
        <v>Shipment 2 Outlet Stack</v>
      </c>
      <c r="D347" s="25" t="s">
        <v>441</v>
      </c>
      <c r="E347" s="25" t="s">
        <v>775</v>
      </c>
      <c r="F347" s="25"/>
      <c r="G347" s="65">
        <v>46204</v>
      </c>
      <c r="H347" s="25" t="s">
        <v>443</v>
      </c>
      <c r="I347" s="25" t="s">
        <v>777</v>
      </c>
      <c r="J347" s="26" t="s">
        <v>447</v>
      </c>
      <c r="K347" s="27" t="s">
        <v>702</v>
      </c>
      <c r="L347" s="28" t="s">
        <v>703</v>
      </c>
      <c r="M347" s="28" t="s">
        <v>651</v>
      </c>
      <c r="N347" s="25">
        <v>1</v>
      </c>
      <c r="O347" s="29">
        <v>482.4</v>
      </c>
      <c r="P347" s="29">
        <v>482.4</v>
      </c>
      <c r="Q347" s="25" t="s">
        <v>773</v>
      </c>
      <c r="R347" s="25"/>
      <c r="S347" s="26"/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73"/>
        <v>482.4</v>
      </c>
      <c r="AF347" s="32">
        <f t="shared" si="74"/>
        <v>0</v>
      </c>
      <c r="AG347" s="30"/>
      <c r="AH347" s="33">
        <v>1</v>
      </c>
      <c r="AI347" s="34">
        <f t="shared" si="75"/>
        <v>482.4</v>
      </c>
      <c r="AJ347" s="35">
        <v>46254</v>
      </c>
      <c r="AK347" s="30">
        <v>1</v>
      </c>
      <c r="AL347" s="36">
        <f t="shared" si="76"/>
        <v>482.4</v>
      </c>
      <c r="AM347" s="35">
        <v>46256</v>
      </c>
      <c r="AN347" s="30">
        <v>1</v>
      </c>
      <c r="AO347" s="36">
        <f t="shared" si="77"/>
        <v>482.4</v>
      </c>
      <c r="AP347" s="35"/>
      <c r="AQ347" s="30"/>
      <c r="AR347" s="36">
        <f t="shared" si="78"/>
        <v>0</v>
      </c>
      <c r="AS347" s="27" t="s">
        <v>867</v>
      </c>
      <c r="AT347" s="37">
        <v>46273</v>
      </c>
      <c r="AU347" s="30">
        <v>1</v>
      </c>
      <c r="AV347" s="36">
        <f t="shared" si="79"/>
        <v>482.4</v>
      </c>
      <c r="AW347" s="35">
        <v>46281</v>
      </c>
      <c r="AX347" s="30">
        <v>1</v>
      </c>
      <c r="AY347" s="32">
        <f t="shared" si="80"/>
        <v>482.4</v>
      </c>
      <c r="AZ347" s="30" t="s">
        <v>440</v>
      </c>
      <c r="BA347" s="63" t="s">
        <v>869</v>
      </c>
      <c r="BB347" s="71"/>
      <c r="BC347" s="71"/>
      <c r="BD347" s="71"/>
    </row>
    <row r="348" spans="1:56" hidden="1" x14ac:dyDescent="0.25">
      <c r="A348" s="24">
        <f>IF(B348="","",SUBTOTAL(3,$B$4:B348))</f>
        <v>148</v>
      </c>
      <c r="B348" s="25" t="s">
        <v>439</v>
      </c>
      <c r="C348" s="25" t="str">
        <f t="shared" si="83"/>
        <v>Shipment 2 Outlet Stack</v>
      </c>
      <c r="D348" s="25" t="s">
        <v>441</v>
      </c>
      <c r="E348" s="25" t="s">
        <v>775</v>
      </c>
      <c r="F348" s="25"/>
      <c r="G348" s="65">
        <v>46204</v>
      </c>
      <c r="H348" s="25" t="s">
        <v>443</v>
      </c>
      <c r="I348" s="25" t="s">
        <v>777</v>
      </c>
      <c r="J348" s="26" t="s">
        <v>447</v>
      </c>
      <c r="K348" s="27" t="s">
        <v>704</v>
      </c>
      <c r="L348" s="28" t="s">
        <v>705</v>
      </c>
      <c r="M348" s="28" t="s">
        <v>651</v>
      </c>
      <c r="N348" s="25">
        <v>2</v>
      </c>
      <c r="O348" s="29">
        <v>482.45</v>
      </c>
      <c r="P348" s="29">
        <v>964.9</v>
      </c>
      <c r="Q348" s="25" t="s">
        <v>774</v>
      </c>
      <c r="R348" s="25"/>
      <c r="S348" s="26"/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73"/>
        <v>964.90000000000009</v>
      </c>
      <c r="AF348" s="32">
        <f t="shared" si="74"/>
        <v>0</v>
      </c>
      <c r="AG348" s="30"/>
      <c r="AH348" s="33">
        <v>1</v>
      </c>
      <c r="AI348" s="34">
        <f t="shared" si="75"/>
        <v>964.9</v>
      </c>
      <c r="AJ348" s="35">
        <v>46254</v>
      </c>
      <c r="AK348" s="30">
        <v>2</v>
      </c>
      <c r="AL348" s="36">
        <f t="shared" si="76"/>
        <v>964.9</v>
      </c>
      <c r="AM348" s="35">
        <v>46256</v>
      </c>
      <c r="AN348" s="30">
        <v>2</v>
      </c>
      <c r="AO348" s="36">
        <f t="shared" si="77"/>
        <v>964.9</v>
      </c>
      <c r="AP348" s="35"/>
      <c r="AQ348" s="30"/>
      <c r="AR348" s="36">
        <f t="shared" si="78"/>
        <v>0</v>
      </c>
      <c r="AS348" s="27" t="s">
        <v>867</v>
      </c>
      <c r="AT348" s="37">
        <v>46273</v>
      </c>
      <c r="AU348" s="30">
        <v>2</v>
      </c>
      <c r="AV348" s="36">
        <f t="shared" si="79"/>
        <v>964.9</v>
      </c>
      <c r="AW348" s="35">
        <v>46281</v>
      </c>
      <c r="AX348" s="30">
        <v>2</v>
      </c>
      <c r="AY348" s="32">
        <f t="shared" ref="AY348:AY349" si="86">IFERROR(AX348*$P348/$N348,0)</f>
        <v>964.9</v>
      </c>
      <c r="AZ348" s="30" t="s">
        <v>440</v>
      </c>
      <c r="BA348" s="63" t="s">
        <v>869</v>
      </c>
      <c r="BB348" s="71"/>
      <c r="BC348" s="71"/>
      <c r="BD348" s="71"/>
    </row>
    <row r="349" spans="1:56" hidden="1" x14ac:dyDescent="0.25">
      <c r="A349" s="24">
        <f>IF(B349="","",SUBTOTAL(3,$B$4:B349))</f>
        <v>148</v>
      </c>
      <c r="B349" s="25" t="s">
        <v>439</v>
      </c>
      <c r="C349" s="25" t="str">
        <f t="shared" si="83"/>
        <v>Shipment 2 Outlet Stack</v>
      </c>
      <c r="D349" s="25" t="s">
        <v>441</v>
      </c>
      <c r="E349" s="25" t="s">
        <v>775</v>
      </c>
      <c r="F349" s="25"/>
      <c r="G349" s="65">
        <v>46204</v>
      </c>
      <c r="H349" s="25" t="s">
        <v>443</v>
      </c>
      <c r="I349" s="25" t="s">
        <v>777</v>
      </c>
      <c r="J349" s="26" t="s">
        <v>447</v>
      </c>
      <c r="K349" s="27" t="s">
        <v>706</v>
      </c>
      <c r="L349" s="28" t="s">
        <v>707</v>
      </c>
      <c r="M349" s="28" t="s">
        <v>651</v>
      </c>
      <c r="N349" s="25">
        <v>1</v>
      </c>
      <c r="O349" s="29">
        <v>500.3</v>
      </c>
      <c r="P349" s="29">
        <v>500.3</v>
      </c>
      <c r="Q349" s="25" t="s">
        <v>774</v>
      </c>
      <c r="R349" s="25"/>
      <c r="S349" s="26"/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73"/>
        <v>500.29999999999995</v>
      </c>
      <c r="AF349" s="32">
        <f t="shared" si="74"/>
        <v>0</v>
      </c>
      <c r="AG349" s="30"/>
      <c r="AH349" s="33">
        <v>1</v>
      </c>
      <c r="AI349" s="34">
        <f t="shared" si="75"/>
        <v>500.3</v>
      </c>
      <c r="AJ349" s="35">
        <v>46254</v>
      </c>
      <c r="AK349" s="30">
        <v>1</v>
      </c>
      <c r="AL349" s="36">
        <f t="shared" si="76"/>
        <v>500.3</v>
      </c>
      <c r="AM349" s="35">
        <v>46258</v>
      </c>
      <c r="AN349" s="30">
        <v>1</v>
      </c>
      <c r="AO349" s="36">
        <f t="shared" si="77"/>
        <v>500.3</v>
      </c>
      <c r="AP349" s="35"/>
      <c r="AQ349" s="30"/>
      <c r="AR349" s="36">
        <f t="shared" si="78"/>
        <v>0</v>
      </c>
      <c r="AS349" s="27" t="s">
        <v>867</v>
      </c>
      <c r="AT349" s="37">
        <v>46273</v>
      </c>
      <c r="AU349" s="30">
        <v>1</v>
      </c>
      <c r="AV349" s="36">
        <f t="shared" si="79"/>
        <v>500.3</v>
      </c>
      <c r="AW349" s="35">
        <v>46281</v>
      </c>
      <c r="AX349" s="30">
        <v>1</v>
      </c>
      <c r="AY349" s="32">
        <f t="shared" si="86"/>
        <v>500.3</v>
      </c>
      <c r="AZ349" s="30" t="s">
        <v>440</v>
      </c>
      <c r="BA349" s="63" t="s">
        <v>869</v>
      </c>
      <c r="BB349" s="71"/>
      <c r="BC349" s="71"/>
      <c r="BD349" s="71"/>
    </row>
    <row r="350" spans="1:56" hidden="1" x14ac:dyDescent="0.25">
      <c r="A350" s="24">
        <f>IF(B350="","",SUBTOTAL(3,$B$4:B350))</f>
        <v>148</v>
      </c>
      <c r="B350" s="25" t="s">
        <v>439</v>
      </c>
      <c r="C350" s="25" t="str">
        <f t="shared" ref="C350:C378" si="87">D350&amp;" "&amp;E350</f>
        <v>Shipment 2 Outlet Stack</v>
      </c>
      <c r="D350" s="25" t="s">
        <v>441</v>
      </c>
      <c r="E350" s="25" t="s">
        <v>775</v>
      </c>
      <c r="F350" s="25" t="s">
        <v>866</v>
      </c>
      <c r="G350" s="65">
        <v>46204</v>
      </c>
      <c r="H350" s="25" t="s">
        <v>443</v>
      </c>
      <c r="I350" s="25" t="s">
        <v>777</v>
      </c>
      <c r="J350" s="26" t="s">
        <v>447</v>
      </c>
      <c r="K350" s="27" t="s">
        <v>779</v>
      </c>
      <c r="L350" s="28" t="s">
        <v>780</v>
      </c>
      <c r="M350" s="28" t="s">
        <v>781</v>
      </c>
      <c r="N350" s="25">
        <v>5</v>
      </c>
      <c r="O350" s="29">
        <v>16.8</v>
      </c>
      <c r="P350" s="29">
        <v>84.2</v>
      </c>
      <c r="Q350" s="25" t="s">
        <v>839</v>
      </c>
      <c r="R350" s="25"/>
      <c r="S350" s="26" t="s">
        <v>866</v>
      </c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73"/>
        <v>75.78</v>
      </c>
      <c r="AF350" s="32">
        <f t="shared" si="74"/>
        <v>8.4200000000000017</v>
      </c>
      <c r="AG350" s="30"/>
      <c r="AH350" s="33">
        <v>1</v>
      </c>
      <c r="AI350" s="34">
        <f t="shared" si="75"/>
        <v>84.2</v>
      </c>
      <c r="AJ350" s="35">
        <v>46277</v>
      </c>
      <c r="AK350" s="30">
        <v>5</v>
      </c>
      <c r="AL350" s="36">
        <f t="shared" si="76"/>
        <v>84.2</v>
      </c>
      <c r="AM350" s="35">
        <v>46279</v>
      </c>
      <c r="AN350" s="30">
        <v>5</v>
      </c>
      <c r="AO350" s="36">
        <f t="shared" si="77"/>
        <v>84.2</v>
      </c>
      <c r="AP350" s="35"/>
      <c r="AQ350" s="30"/>
      <c r="AR350" s="36">
        <f t="shared" si="78"/>
        <v>0</v>
      </c>
      <c r="AS350" s="27"/>
      <c r="AT350" s="37"/>
      <c r="AU350" s="30"/>
      <c r="AV350" s="36">
        <f t="shared" si="79"/>
        <v>0</v>
      </c>
      <c r="AW350" s="35"/>
      <c r="AX350" s="30"/>
      <c r="AY350" s="32">
        <f t="shared" si="80"/>
        <v>0</v>
      </c>
      <c r="AZ350" s="30" t="s">
        <v>440</v>
      </c>
      <c r="BA350" s="63"/>
      <c r="BB350" s="71"/>
      <c r="BC350" s="71"/>
      <c r="BD350" s="71"/>
    </row>
    <row r="351" spans="1:56" hidden="1" x14ac:dyDescent="0.25">
      <c r="A351" s="24">
        <f>IF(B351="","",SUBTOTAL(3,$B$4:B351))</f>
        <v>148</v>
      </c>
      <c r="B351" s="25" t="s">
        <v>439</v>
      </c>
      <c r="C351" s="25" t="str">
        <f t="shared" si="87"/>
        <v>Shipment 2 Outlet Stack</v>
      </c>
      <c r="D351" s="25" t="s">
        <v>441</v>
      </c>
      <c r="E351" s="25" t="s">
        <v>775</v>
      </c>
      <c r="F351" s="25" t="s">
        <v>866</v>
      </c>
      <c r="G351" s="65">
        <v>46204</v>
      </c>
      <c r="H351" s="25" t="s">
        <v>443</v>
      </c>
      <c r="I351" s="25" t="s">
        <v>777</v>
      </c>
      <c r="J351" s="26" t="s">
        <v>447</v>
      </c>
      <c r="K351" s="27" t="s">
        <v>782</v>
      </c>
      <c r="L351" s="28" t="s">
        <v>783</v>
      </c>
      <c r="M351" s="28" t="s">
        <v>781</v>
      </c>
      <c r="N351" s="25">
        <v>28</v>
      </c>
      <c r="O351" s="29">
        <v>37.700000000000003</v>
      </c>
      <c r="P351" s="29">
        <v>1055.5999999999999</v>
      </c>
      <c r="Q351" s="25" t="s">
        <v>840</v>
      </c>
      <c r="R351" s="25"/>
      <c r="S351" s="26" t="s">
        <v>866</v>
      </c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ref="AE351:AE354" si="88">+AL351*0.5+AO351*0.4+AV351*0.1</f>
        <v>950.04</v>
      </c>
      <c r="AF351" s="32">
        <f t="shared" ref="AF351:AF354" si="89">+P351-AE351</f>
        <v>105.55999999999995</v>
      </c>
      <c r="AG351" s="30"/>
      <c r="AH351" s="33">
        <v>1</v>
      </c>
      <c r="AI351" s="34">
        <f t="shared" ref="AI351:AI354" si="90">+AH351*P351</f>
        <v>1055.5999999999999</v>
      </c>
      <c r="AJ351" s="35">
        <v>46277</v>
      </c>
      <c r="AK351" s="30">
        <v>28</v>
      </c>
      <c r="AL351" s="36">
        <f t="shared" ref="AL351:AL354" si="91">IFERROR(AK351*$P351/$N351,0)</f>
        <v>1055.5999999999999</v>
      </c>
      <c r="AM351" s="35">
        <v>46279</v>
      </c>
      <c r="AN351" s="30">
        <v>28</v>
      </c>
      <c r="AO351" s="36">
        <f t="shared" ref="AO351:AO354" si="92">IFERROR(AN351*$P351/$N351,0)</f>
        <v>1055.5999999999999</v>
      </c>
      <c r="AP351" s="35"/>
      <c r="AQ351" s="30"/>
      <c r="AR351" s="36">
        <f t="shared" ref="AR351:AR354" si="93">IFERROR(AQ351*$P351/$N351,0)</f>
        <v>0</v>
      </c>
      <c r="AS351" s="27"/>
      <c r="AT351" s="37"/>
      <c r="AU351" s="30"/>
      <c r="AV351" s="36">
        <f t="shared" ref="AV351:AV354" si="94">IFERROR(AU351*$P351/$N351,0)</f>
        <v>0</v>
      </c>
      <c r="AW351" s="35"/>
      <c r="AX351" s="30"/>
      <c r="AY351" s="32">
        <f t="shared" ref="AY351:AY354" si="95">IFERROR(AX351*$P351/$N351,0)</f>
        <v>0</v>
      </c>
      <c r="AZ351" s="30" t="s">
        <v>440</v>
      </c>
      <c r="BA351" s="63"/>
      <c r="BB351" s="71"/>
      <c r="BC351" s="71"/>
      <c r="BD351" s="71"/>
    </row>
    <row r="352" spans="1:56" hidden="1" x14ac:dyDescent="0.25">
      <c r="A352" s="24">
        <f>IF(B352="","",SUBTOTAL(3,$B$4:B352))</f>
        <v>148</v>
      </c>
      <c r="B352" s="25" t="s">
        <v>439</v>
      </c>
      <c r="C352" s="25" t="str">
        <f t="shared" si="87"/>
        <v>Shipment 2 Outlet Stack</v>
      </c>
      <c r="D352" s="25" t="s">
        <v>441</v>
      </c>
      <c r="E352" s="25" t="s">
        <v>775</v>
      </c>
      <c r="F352" s="25" t="s">
        <v>866</v>
      </c>
      <c r="G352" s="65">
        <v>46204</v>
      </c>
      <c r="H352" s="25" t="s">
        <v>443</v>
      </c>
      <c r="I352" s="25" t="s">
        <v>777</v>
      </c>
      <c r="J352" s="26" t="s">
        <v>447</v>
      </c>
      <c r="K352" s="27" t="s">
        <v>784</v>
      </c>
      <c r="L352" s="28" t="s">
        <v>785</v>
      </c>
      <c r="M352" s="28" t="s">
        <v>781</v>
      </c>
      <c r="N352" s="25">
        <v>10</v>
      </c>
      <c r="O352" s="29">
        <v>11</v>
      </c>
      <c r="P352" s="29">
        <v>109.9</v>
      </c>
      <c r="Q352" s="25" t="s">
        <v>841</v>
      </c>
      <c r="R352" s="25"/>
      <c r="S352" s="26" t="s">
        <v>866</v>
      </c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88"/>
        <v>98.910000000000011</v>
      </c>
      <c r="AF352" s="32">
        <f t="shared" si="89"/>
        <v>10.989999999999995</v>
      </c>
      <c r="AG352" s="30"/>
      <c r="AH352" s="33">
        <v>1</v>
      </c>
      <c r="AI352" s="34">
        <f t="shared" si="90"/>
        <v>109.9</v>
      </c>
      <c r="AJ352" s="35">
        <v>46277</v>
      </c>
      <c r="AK352" s="30">
        <v>10</v>
      </c>
      <c r="AL352" s="36">
        <f t="shared" si="91"/>
        <v>109.9</v>
      </c>
      <c r="AM352" s="35">
        <v>46279</v>
      </c>
      <c r="AN352" s="30">
        <v>10</v>
      </c>
      <c r="AO352" s="36">
        <f t="shared" si="92"/>
        <v>109.9</v>
      </c>
      <c r="AP352" s="35"/>
      <c r="AQ352" s="30"/>
      <c r="AR352" s="36">
        <f t="shared" si="93"/>
        <v>0</v>
      </c>
      <c r="AS352" s="27"/>
      <c r="AT352" s="37"/>
      <c r="AU352" s="30"/>
      <c r="AV352" s="36">
        <f t="shared" si="94"/>
        <v>0</v>
      </c>
      <c r="AW352" s="35"/>
      <c r="AX352" s="30"/>
      <c r="AY352" s="32">
        <f t="shared" si="95"/>
        <v>0</v>
      </c>
      <c r="AZ352" s="30" t="s">
        <v>440</v>
      </c>
      <c r="BA352" s="63"/>
      <c r="BB352" s="71"/>
      <c r="BC352" s="71"/>
      <c r="BD352" s="71"/>
    </row>
    <row r="353" spans="1:56" hidden="1" x14ac:dyDescent="0.25">
      <c r="A353" s="24">
        <f>IF(B353="","",SUBTOTAL(3,$B$4:B353))</f>
        <v>148</v>
      </c>
      <c r="B353" s="25" t="s">
        <v>439</v>
      </c>
      <c r="C353" s="25" t="str">
        <f t="shared" si="87"/>
        <v>Shipment 2 Outlet Stack</v>
      </c>
      <c r="D353" s="25" t="s">
        <v>441</v>
      </c>
      <c r="E353" s="25" t="s">
        <v>775</v>
      </c>
      <c r="F353" s="25" t="s">
        <v>866</v>
      </c>
      <c r="G353" s="65">
        <v>46204</v>
      </c>
      <c r="H353" s="25" t="s">
        <v>443</v>
      </c>
      <c r="I353" s="25" t="s">
        <v>777</v>
      </c>
      <c r="J353" s="26" t="s">
        <v>447</v>
      </c>
      <c r="K353" s="27" t="s">
        <v>786</v>
      </c>
      <c r="L353" s="28" t="s">
        <v>787</v>
      </c>
      <c r="M353" s="28" t="s">
        <v>781</v>
      </c>
      <c r="N353" s="25">
        <v>25</v>
      </c>
      <c r="O353" s="29">
        <v>76.900000000000006</v>
      </c>
      <c r="P353" s="29">
        <v>1923.2</v>
      </c>
      <c r="Q353" s="25" t="s">
        <v>842</v>
      </c>
      <c r="R353" s="25"/>
      <c r="S353" s="26" t="s">
        <v>866</v>
      </c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88"/>
        <v>1730.88</v>
      </c>
      <c r="AF353" s="32">
        <f t="shared" si="89"/>
        <v>192.31999999999994</v>
      </c>
      <c r="AG353" s="30"/>
      <c r="AH353" s="33">
        <v>1</v>
      </c>
      <c r="AI353" s="34">
        <f t="shared" si="90"/>
        <v>1923.2</v>
      </c>
      <c r="AJ353" s="35">
        <v>46277</v>
      </c>
      <c r="AK353" s="30">
        <v>25</v>
      </c>
      <c r="AL353" s="36">
        <f t="shared" si="91"/>
        <v>1923.2</v>
      </c>
      <c r="AM353" s="35">
        <v>46279</v>
      </c>
      <c r="AN353" s="30">
        <v>25</v>
      </c>
      <c r="AO353" s="36">
        <f t="shared" si="92"/>
        <v>1923.2</v>
      </c>
      <c r="AP353" s="35"/>
      <c r="AQ353" s="30"/>
      <c r="AR353" s="36">
        <f t="shared" si="93"/>
        <v>0</v>
      </c>
      <c r="AS353" s="27"/>
      <c r="AT353" s="37"/>
      <c r="AU353" s="30"/>
      <c r="AV353" s="36">
        <f t="shared" si="94"/>
        <v>0</v>
      </c>
      <c r="AW353" s="35"/>
      <c r="AX353" s="30"/>
      <c r="AY353" s="32">
        <f t="shared" si="95"/>
        <v>0</v>
      </c>
      <c r="AZ353" s="30" t="s">
        <v>440</v>
      </c>
      <c r="BA353" s="63"/>
      <c r="BB353" s="71"/>
      <c r="BC353" s="71"/>
      <c r="BD353" s="71"/>
    </row>
    <row r="354" spans="1:56" hidden="1" x14ac:dyDescent="0.25">
      <c r="A354" s="24">
        <f>IF(B354="","",SUBTOTAL(3,$B$4:B354))</f>
        <v>148</v>
      </c>
      <c r="B354" s="25" t="s">
        <v>439</v>
      </c>
      <c r="C354" s="25" t="str">
        <f t="shared" si="87"/>
        <v>Shipment 2 Outlet Stack</v>
      </c>
      <c r="D354" s="25" t="s">
        <v>441</v>
      </c>
      <c r="E354" s="25" t="s">
        <v>775</v>
      </c>
      <c r="F354" s="25" t="s">
        <v>866</v>
      </c>
      <c r="G354" s="65">
        <v>46204</v>
      </c>
      <c r="H354" s="25" t="s">
        <v>443</v>
      </c>
      <c r="I354" s="25" t="s">
        <v>777</v>
      </c>
      <c r="J354" s="26" t="s">
        <v>447</v>
      </c>
      <c r="K354" s="27" t="s">
        <v>788</v>
      </c>
      <c r="L354" s="28" t="s">
        <v>789</v>
      </c>
      <c r="M354" s="28" t="s">
        <v>781</v>
      </c>
      <c r="N354" s="25">
        <v>10</v>
      </c>
      <c r="O354" s="29">
        <v>38.9</v>
      </c>
      <c r="P354" s="29">
        <v>388.6</v>
      </c>
      <c r="Q354" s="25" t="s">
        <v>843</v>
      </c>
      <c r="R354" s="25"/>
      <c r="S354" s="26" t="s">
        <v>866</v>
      </c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88"/>
        <v>349.74</v>
      </c>
      <c r="AF354" s="32">
        <f t="shared" si="89"/>
        <v>38.860000000000014</v>
      </c>
      <c r="AG354" s="30"/>
      <c r="AH354" s="33">
        <v>1</v>
      </c>
      <c r="AI354" s="34">
        <f t="shared" si="90"/>
        <v>388.6</v>
      </c>
      <c r="AJ354" s="35">
        <v>46277</v>
      </c>
      <c r="AK354" s="30">
        <v>10</v>
      </c>
      <c r="AL354" s="36">
        <f t="shared" si="91"/>
        <v>388.6</v>
      </c>
      <c r="AM354" s="35">
        <v>46279</v>
      </c>
      <c r="AN354" s="30">
        <v>10</v>
      </c>
      <c r="AO354" s="36">
        <f t="shared" si="92"/>
        <v>388.6</v>
      </c>
      <c r="AP354" s="35"/>
      <c r="AQ354" s="30"/>
      <c r="AR354" s="36">
        <f t="shared" si="93"/>
        <v>0</v>
      </c>
      <c r="AS354" s="27"/>
      <c r="AT354" s="37"/>
      <c r="AU354" s="30"/>
      <c r="AV354" s="36">
        <f t="shared" si="94"/>
        <v>0</v>
      </c>
      <c r="AW354" s="35"/>
      <c r="AX354" s="30"/>
      <c r="AY354" s="32">
        <f t="shared" si="95"/>
        <v>0</v>
      </c>
      <c r="AZ354" s="30" t="s">
        <v>440</v>
      </c>
      <c r="BA354" s="63"/>
      <c r="BB354" s="71"/>
      <c r="BC354" s="71"/>
      <c r="BD354" s="71"/>
    </row>
    <row r="355" spans="1:56" hidden="1" x14ac:dyDescent="0.25">
      <c r="A355" s="24">
        <f>IF(B355="","",SUBTOTAL(3,$B$4:B355))</f>
        <v>148</v>
      </c>
      <c r="B355" s="25" t="s">
        <v>439</v>
      </c>
      <c r="C355" s="25" t="str">
        <f t="shared" si="87"/>
        <v>Shipment 2 Outlet Stack</v>
      </c>
      <c r="D355" s="25" t="s">
        <v>441</v>
      </c>
      <c r="E355" s="25" t="s">
        <v>775</v>
      </c>
      <c r="F355" s="25" t="s">
        <v>866</v>
      </c>
      <c r="G355" s="65">
        <v>46204</v>
      </c>
      <c r="H355" s="25" t="s">
        <v>443</v>
      </c>
      <c r="I355" s="25" t="s">
        <v>777</v>
      </c>
      <c r="J355" s="26" t="s">
        <v>447</v>
      </c>
      <c r="K355" s="27" t="s">
        <v>790</v>
      </c>
      <c r="L355" s="28" t="s">
        <v>791</v>
      </c>
      <c r="M355" s="28" t="s">
        <v>781</v>
      </c>
      <c r="N355" s="25">
        <v>3</v>
      </c>
      <c r="O355" s="29">
        <v>11.8</v>
      </c>
      <c r="P355" s="29">
        <v>35.4</v>
      </c>
      <c r="Q355" s="25" t="s">
        <v>844</v>
      </c>
      <c r="R355" s="25"/>
      <c r="S355" s="26" t="s">
        <v>866</v>
      </c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ref="AE355:AE378" si="96">+AL355*0.5+AO355*0.4+AV355*0.1</f>
        <v>31.86</v>
      </c>
      <c r="AF355" s="32">
        <f t="shared" ref="AF355:AF378" si="97">+P355-AE355</f>
        <v>3.5399999999999991</v>
      </c>
      <c r="AG355" s="30"/>
      <c r="AH355" s="33">
        <v>1</v>
      </c>
      <c r="AI355" s="34">
        <f t="shared" ref="AI355:AI378" si="98">+AH355*P355</f>
        <v>35.4</v>
      </c>
      <c r="AJ355" s="35">
        <v>46277</v>
      </c>
      <c r="AK355" s="30">
        <v>3</v>
      </c>
      <c r="AL355" s="36">
        <f t="shared" ref="AL355:AL376" si="99">IFERROR(AK355*$P355/$N355,0)</f>
        <v>35.4</v>
      </c>
      <c r="AM355" s="35">
        <v>46279</v>
      </c>
      <c r="AN355" s="30">
        <v>3</v>
      </c>
      <c r="AO355" s="36">
        <f t="shared" ref="AO355:AO378" si="100">IFERROR(AN355*$P355/$N355,0)</f>
        <v>35.4</v>
      </c>
      <c r="AP355" s="35"/>
      <c r="AQ355" s="30"/>
      <c r="AR355" s="36">
        <f t="shared" ref="AR355:AR378" si="101">IFERROR(AQ355*$P355/$N355,0)</f>
        <v>0</v>
      </c>
      <c r="AS355" s="27"/>
      <c r="AT355" s="37"/>
      <c r="AU355" s="30"/>
      <c r="AV355" s="36">
        <f t="shared" ref="AV355:AV378" si="102">IFERROR(AU355*$P355/$N355,0)</f>
        <v>0</v>
      </c>
      <c r="AW355" s="35"/>
      <c r="AX355" s="30"/>
      <c r="AY355" s="32">
        <f t="shared" ref="AY355:AY378" si="103">IFERROR(AX355*$P355/$N355,0)</f>
        <v>0</v>
      </c>
      <c r="AZ355" s="30" t="s">
        <v>440</v>
      </c>
      <c r="BA355" s="63"/>
      <c r="BB355" s="71"/>
      <c r="BC355" s="71"/>
      <c r="BD355" s="71"/>
    </row>
    <row r="356" spans="1:56" hidden="1" x14ac:dyDescent="0.25">
      <c r="A356" s="24">
        <f>IF(B356="","",SUBTOTAL(3,$B$4:B356))</f>
        <v>148</v>
      </c>
      <c r="B356" s="25" t="s">
        <v>439</v>
      </c>
      <c r="C356" s="25" t="str">
        <f t="shared" si="87"/>
        <v>Shipment 2 Outlet Stack</v>
      </c>
      <c r="D356" s="25" t="s">
        <v>441</v>
      </c>
      <c r="E356" s="25" t="s">
        <v>775</v>
      </c>
      <c r="F356" s="25" t="s">
        <v>866</v>
      </c>
      <c r="G356" s="65">
        <v>46204</v>
      </c>
      <c r="H356" s="25" t="s">
        <v>443</v>
      </c>
      <c r="I356" s="25" t="s">
        <v>777</v>
      </c>
      <c r="J356" s="26" t="s">
        <v>447</v>
      </c>
      <c r="K356" s="27" t="s">
        <v>792</v>
      </c>
      <c r="L356" s="28" t="s">
        <v>793</v>
      </c>
      <c r="M356" s="28" t="s">
        <v>781</v>
      </c>
      <c r="N356" s="25">
        <v>1</v>
      </c>
      <c r="O356" s="29">
        <v>57.3</v>
      </c>
      <c r="P356" s="29">
        <v>57.3</v>
      </c>
      <c r="Q356" s="25" t="s">
        <v>845</v>
      </c>
      <c r="R356" s="25"/>
      <c r="S356" s="26" t="s">
        <v>866</v>
      </c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96"/>
        <v>51.57</v>
      </c>
      <c r="AF356" s="32">
        <f t="shared" si="97"/>
        <v>5.7299999999999969</v>
      </c>
      <c r="AG356" s="30"/>
      <c r="AH356" s="33">
        <v>1</v>
      </c>
      <c r="AI356" s="34">
        <f t="shared" si="98"/>
        <v>57.3</v>
      </c>
      <c r="AJ356" s="35">
        <v>46277</v>
      </c>
      <c r="AK356" s="30">
        <v>1</v>
      </c>
      <c r="AL356" s="36">
        <f t="shared" si="99"/>
        <v>57.3</v>
      </c>
      <c r="AM356" s="35">
        <v>46279</v>
      </c>
      <c r="AN356" s="30">
        <v>1</v>
      </c>
      <c r="AO356" s="36">
        <f t="shared" si="100"/>
        <v>57.3</v>
      </c>
      <c r="AP356" s="35"/>
      <c r="AQ356" s="30"/>
      <c r="AR356" s="36">
        <f t="shared" si="101"/>
        <v>0</v>
      </c>
      <c r="AS356" s="27"/>
      <c r="AT356" s="37"/>
      <c r="AU356" s="30"/>
      <c r="AV356" s="36">
        <f t="shared" si="102"/>
        <v>0</v>
      </c>
      <c r="AW356" s="35"/>
      <c r="AX356" s="30"/>
      <c r="AY356" s="32">
        <f t="shared" si="103"/>
        <v>0</v>
      </c>
      <c r="AZ356" s="30" t="s">
        <v>440</v>
      </c>
      <c r="BA356" s="63"/>
      <c r="BB356" s="71"/>
      <c r="BC356" s="71"/>
      <c r="BD356" s="71"/>
    </row>
    <row r="357" spans="1:56" hidden="1" x14ac:dyDescent="0.25">
      <c r="A357" s="24">
        <f>IF(B357="","",SUBTOTAL(3,$B$4:B357))</f>
        <v>148</v>
      </c>
      <c r="B357" s="25" t="s">
        <v>439</v>
      </c>
      <c r="C357" s="25" t="str">
        <f t="shared" si="87"/>
        <v>Shipment 2 Outlet Stack</v>
      </c>
      <c r="D357" s="25" t="s">
        <v>441</v>
      </c>
      <c r="E357" s="25" t="s">
        <v>775</v>
      </c>
      <c r="F357" s="25" t="s">
        <v>866</v>
      </c>
      <c r="G357" s="65">
        <v>46204</v>
      </c>
      <c r="H357" s="25" t="s">
        <v>443</v>
      </c>
      <c r="I357" s="25" t="s">
        <v>777</v>
      </c>
      <c r="J357" s="26" t="s">
        <v>447</v>
      </c>
      <c r="K357" s="27" t="s">
        <v>794</v>
      </c>
      <c r="L357" s="28" t="s">
        <v>795</v>
      </c>
      <c r="M357" s="28" t="s">
        <v>781</v>
      </c>
      <c r="N357" s="25">
        <v>8</v>
      </c>
      <c r="O357" s="29">
        <v>50.2</v>
      </c>
      <c r="P357" s="29">
        <v>401.9</v>
      </c>
      <c r="Q357" s="25" t="s">
        <v>846</v>
      </c>
      <c r="R357" s="25"/>
      <c r="S357" s="26" t="s">
        <v>866</v>
      </c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96"/>
        <v>361.71</v>
      </c>
      <c r="AF357" s="32">
        <f t="shared" si="97"/>
        <v>40.19</v>
      </c>
      <c r="AG357" s="30"/>
      <c r="AH357" s="33">
        <v>1</v>
      </c>
      <c r="AI357" s="34">
        <f t="shared" si="98"/>
        <v>401.9</v>
      </c>
      <c r="AJ357" s="35">
        <v>46277</v>
      </c>
      <c r="AK357" s="30">
        <v>8</v>
      </c>
      <c r="AL357" s="36">
        <f t="shared" si="99"/>
        <v>401.9</v>
      </c>
      <c r="AM357" s="35">
        <v>46279</v>
      </c>
      <c r="AN357" s="30">
        <v>8</v>
      </c>
      <c r="AO357" s="36">
        <f t="shared" si="100"/>
        <v>401.9</v>
      </c>
      <c r="AP357" s="35"/>
      <c r="AQ357" s="30"/>
      <c r="AR357" s="36">
        <f t="shared" si="101"/>
        <v>0</v>
      </c>
      <c r="AS357" s="27"/>
      <c r="AT357" s="37"/>
      <c r="AU357" s="30"/>
      <c r="AV357" s="36">
        <f t="shared" si="102"/>
        <v>0</v>
      </c>
      <c r="AW357" s="35"/>
      <c r="AX357" s="30"/>
      <c r="AY357" s="32">
        <f t="shared" si="103"/>
        <v>0</v>
      </c>
      <c r="AZ357" s="30" t="s">
        <v>440</v>
      </c>
      <c r="BA357" s="63"/>
      <c r="BB357" s="71"/>
      <c r="BC357" s="71"/>
      <c r="BD357" s="71"/>
    </row>
    <row r="358" spans="1:56" hidden="1" x14ac:dyDescent="0.25">
      <c r="A358" s="24">
        <f>IF(B358="","",SUBTOTAL(3,$B$4:B358))</f>
        <v>148</v>
      </c>
      <c r="B358" s="25" t="s">
        <v>439</v>
      </c>
      <c r="C358" s="25" t="str">
        <f t="shared" si="87"/>
        <v>Shipment 2 Outlet Stack</v>
      </c>
      <c r="D358" s="25" t="s">
        <v>441</v>
      </c>
      <c r="E358" s="25" t="s">
        <v>775</v>
      </c>
      <c r="F358" s="25" t="s">
        <v>866</v>
      </c>
      <c r="G358" s="65">
        <v>46204</v>
      </c>
      <c r="H358" s="25" t="s">
        <v>443</v>
      </c>
      <c r="I358" s="25" t="s">
        <v>777</v>
      </c>
      <c r="J358" s="26" t="s">
        <v>447</v>
      </c>
      <c r="K358" s="27" t="s">
        <v>796</v>
      </c>
      <c r="L358" s="28" t="s">
        <v>797</v>
      </c>
      <c r="M358" s="28" t="s">
        <v>781</v>
      </c>
      <c r="N358" s="25">
        <v>1</v>
      </c>
      <c r="O358" s="29">
        <v>34.4</v>
      </c>
      <c r="P358" s="29">
        <v>34.4</v>
      </c>
      <c r="Q358" s="25" t="s">
        <v>847</v>
      </c>
      <c r="R358" s="25"/>
      <c r="S358" s="26" t="s">
        <v>866</v>
      </c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96"/>
        <v>30.96</v>
      </c>
      <c r="AF358" s="32">
        <f t="shared" si="97"/>
        <v>3.4399999999999977</v>
      </c>
      <c r="AG358" s="30"/>
      <c r="AH358" s="33">
        <v>1</v>
      </c>
      <c r="AI358" s="34">
        <f t="shared" si="98"/>
        <v>34.4</v>
      </c>
      <c r="AJ358" s="35">
        <v>46277</v>
      </c>
      <c r="AK358" s="30">
        <v>1</v>
      </c>
      <c r="AL358" s="36">
        <f t="shared" si="99"/>
        <v>34.4</v>
      </c>
      <c r="AM358" s="35">
        <v>46279</v>
      </c>
      <c r="AN358" s="30">
        <v>1</v>
      </c>
      <c r="AO358" s="36">
        <f t="shared" si="100"/>
        <v>34.4</v>
      </c>
      <c r="AP358" s="35"/>
      <c r="AQ358" s="30"/>
      <c r="AR358" s="36">
        <f t="shared" si="101"/>
        <v>0</v>
      </c>
      <c r="AS358" s="27"/>
      <c r="AT358" s="37"/>
      <c r="AU358" s="30"/>
      <c r="AV358" s="36">
        <f t="shared" si="102"/>
        <v>0</v>
      </c>
      <c r="AW358" s="35"/>
      <c r="AX358" s="30"/>
      <c r="AY358" s="32">
        <f t="shared" si="103"/>
        <v>0</v>
      </c>
      <c r="AZ358" s="30" t="s">
        <v>440</v>
      </c>
      <c r="BA358" s="63"/>
      <c r="BB358" s="71"/>
      <c r="BC358" s="71"/>
      <c r="BD358" s="71"/>
    </row>
    <row r="359" spans="1:56" hidden="1" x14ac:dyDescent="0.25">
      <c r="A359" s="24">
        <f>IF(B359="","",SUBTOTAL(3,$B$4:B359))</f>
        <v>148</v>
      </c>
      <c r="B359" s="25" t="s">
        <v>439</v>
      </c>
      <c r="C359" s="25" t="str">
        <f t="shared" si="87"/>
        <v>Shipment 2 Outlet Stack</v>
      </c>
      <c r="D359" s="25" t="s">
        <v>441</v>
      </c>
      <c r="E359" s="25" t="s">
        <v>775</v>
      </c>
      <c r="F359" s="25" t="s">
        <v>866</v>
      </c>
      <c r="G359" s="65">
        <v>46204</v>
      </c>
      <c r="H359" s="25" t="s">
        <v>443</v>
      </c>
      <c r="I359" s="25" t="s">
        <v>777</v>
      </c>
      <c r="J359" s="26" t="s">
        <v>447</v>
      </c>
      <c r="K359" s="27" t="s">
        <v>798</v>
      </c>
      <c r="L359" s="28" t="s">
        <v>799</v>
      </c>
      <c r="M359" s="28" t="s">
        <v>781</v>
      </c>
      <c r="N359" s="25">
        <v>1</v>
      </c>
      <c r="O359" s="29">
        <v>28.3</v>
      </c>
      <c r="P359" s="29">
        <v>28.3</v>
      </c>
      <c r="Q359" s="25" t="s">
        <v>848</v>
      </c>
      <c r="R359" s="25"/>
      <c r="S359" s="26" t="s">
        <v>866</v>
      </c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96"/>
        <v>25.47</v>
      </c>
      <c r="AF359" s="32">
        <f t="shared" si="97"/>
        <v>2.8300000000000018</v>
      </c>
      <c r="AG359" s="30"/>
      <c r="AH359" s="33">
        <v>1</v>
      </c>
      <c r="AI359" s="34">
        <f t="shared" si="98"/>
        <v>28.3</v>
      </c>
      <c r="AJ359" s="35">
        <v>46277</v>
      </c>
      <c r="AK359" s="30">
        <v>1</v>
      </c>
      <c r="AL359" s="36">
        <f t="shared" si="99"/>
        <v>28.3</v>
      </c>
      <c r="AM359" s="35">
        <v>46279</v>
      </c>
      <c r="AN359" s="30">
        <v>1</v>
      </c>
      <c r="AO359" s="36">
        <f t="shared" si="100"/>
        <v>28.3</v>
      </c>
      <c r="AP359" s="35"/>
      <c r="AQ359" s="30"/>
      <c r="AR359" s="36">
        <f t="shared" si="101"/>
        <v>0</v>
      </c>
      <c r="AS359" s="27"/>
      <c r="AT359" s="37"/>
      <c r="AU359" s="30"/>
      <c r="AV359" s="36">
        <f t="shared" si="102"/>
        <v>0</v>
      </c>
      <c r="AW359" s="35"/>
      <c r="AX359" s="30"/>
      <c r="AY359" s="32">
        <f t="shared" si="103"/>
        <v>0</v>
      </c>
      <c r="AZ359" s="30" t="s">
        <v>440</v>
      </c>
      <c r="BA359" s="63"/>
      <c r="BB359" s="71"/>
      <c r="BC359" s="71"/>
      <c r="BD359" s="71"/>
    </row>
    <row r="360" spans="1:56" hidden="1" x14ac:dyDescent="0.25">
      <c r="A360" s="24">
        <f>IF(B360="","",SUBTOTAL(3,$B$4:B360))</f>
        <v>148</v>
      </c>
      <c r="B360" s="25" t="s">
        <v>439</v>
      </c>
      <c r="C360" s="25" t="str">
        <f t="shared" si="87"/>
        <v>Shipment 2 Outlet Stack</v>
      </c>
      <c r="D360" s="25" t="s">
        <v>441</v>
      </c>
      <c r="E360" s="25" t="s">
        <v>775</v>
      </c>
      <c r="F360" s="25" t="s">
        <v>866</v>
      </c>
      <c r="G360" s="65">
        <v>46204</v>
      </c>
      <c r="H360" s="25" t="s">
        <v>443</v>
      </c>
      <c r="I360" s="25" t="s">
        <v>777</v>
      </c>
      <c r="J360" s="26" t="s">
        <v>447</v>
      </c>
      <c r="K360" s="27" t="s">
        <v>800</v>
      </c>
      <c r="L360" s="28" t="s">
        <v>801</v>
      </c>
      <c r="M360" s="28" t="s">
        <v>781</v>
      </c>
      <c r="N360" s="25">
        <v>2</v>
      </c>
      <c r="O360" s="29">
        <v>14.2</v>
      </c>
      <c r="P360" s="29">
        <v>28.4</v>
      </c>
      <c r="Q360" s="25" t="s">
        <v>849</v>
      </c>
      <c r="R360" s="25"/>
      <c r="S360" s="26" t="s">
        <v>866</v>
      </c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96"/>
        <v>25.56</v>
      </c>
      <c r="AF360" s="32">
        <f t="shared" si="97"/>
        <v>2.84</v>
      </c>
      <c r="AG360" s="30"/>
      <c r="AH360" s="33">
        <v>1</v>
      </c>
      <c r="AI360" s="34">
        <f t="shared" si="98"/>
        <v>28.4</v>
      </c>
      <c r="AJ360" s="35">
        <v>46277</v>
      </c>
      <c r="AK360" s="30">
        <v>2</v>
      </c>
      <c r="AL360" s="36">
        <f t="shared" si="99"/>
        <v>28.4</v>
      </c>
      <c r="AM360" s="35">
        <v>46279</v>
      </c>
      <c r="AN360" s="30">
        <v>2</v>
      </c>
      <c r="AO360" s="36">
        <f t="shared" si="100"/>
        <v>28.4</v>
      </c>
      <c r="AP360" s="35"/>
      <c r="AQ360" s="30"/>
      <c r="AR360" s="36">
        <f t="shared" si="101"/>
        <v>0</v>
      </c>
      <c r="AS360" s="27"/>
      <c r="AT360" s="37"/>
      <c r="AU360" s="30"/>
      <c r="AV360" s="36">
        <f t="shared" si="102"/>
        <v>0</v>
      </c>
      <c r="AW360" s="35"/>
      <c r="AX360" s="30"/>
      <c r="AY360" s="32">
        <f t="shared" si="103"/>
        <v>0</v>
      </c>
      <c r="AZ360" s="30" t="s">
        <v>440</v>
      </c>
      <c r="BA360" s="63"/>
      <c r="BB360" s="71"/>
      <c r="BC360" s="71"/>
      <c r="BD360" s="71"/>
    </row>
    <row r="361" spans="1:56" hidden="1" x14ac:dyDescent="0.25">
      <c r="A361" s="24">
        <f>IF(B361="","",SUBTOTAL(3,$B$4:B361))</f>
        <v>148</v>
      </c>
      <c r="B361" s="25" t="s">
        <v>439</v>
      </c>
      <c r="C361" s="25" t="str">
        <f t="shared" si="87"/>
        <v>Shipment 2 Outlet Stack</v>
      </c>
      <c r="D361" s="25" t="s">
        <v>441</v>
      </c>
      <c r="E361" s="25" t="s">
        <v>775</v>
      </c>
      <c r="F361" s="25" t="s">
        <v>866</v>
      </c>
      <c r="G361" s="65">
        <v>46204</v>
      </c>
      <c r="H361" s="25" t="s">
        <v>443</v>
      </c>
      <c r="I361" s="25" t="s">
        <v>777</v>
      </c>
      <c r="J361" s="26" t="s">
        <v>447</v>
      </c>
      <c r="K361" s="27" t="s">
        <v>802</v>
      </c>
      <c r="L361" s="28" t="s">
        <v>803</v>
      </c>
      <c r="M361" s="28" t="s">
        <v>781</v>
      </c>
      <c r="N361" s="25">
        <v>1</v>
      </c>
      <c r="O361" s="29">
        <v>22.1</v>
      </c>
      <c r="P361" s="29">
        <v>22.1</v>
      </c>
      <c r="Q361" s="25" t="s">
        <v>850</v>
      </c>
      <c r="R361" s="25"/>
      <c r="S361" s="26" t="s">
        <v>866</v>
      </c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96"/>
        <v>19.89</v>
      </c>
      <c r="AF361" s="32">
        <f t="shared" si="97"/>
        <v>2.2100000000000009</v>
      </c>
      <c r="AG361" s="30"/>
      <c r="AH361" s="33">
        <v>1</v>
      </c>
      <c r="AI361" s="34">
        <f t="shared" si="98"/>
        <v>22.1</v>
      </c>
      <c r="AJ361" s="35">
        <v>46277</v>
      </c>
      <c r="AK361" s="30">
        <v>1</v>
      </c>
      <c r="AL361" s="36">
        <f t="shared" si="99"/>
        <v>22.1</v>
      </c>
      <c r="AM361" s="35">
        <v>46279</v>
      </c>
      <c r="AN361" s="30">
        <v>1</v>
      </c>
      <c r="AO361" s="36">
        <f t="shared" si="100"/>
        <v>22.1</v>
      </c>
      <c r="AP361" s="35"/>
      <c r="AQ361" s="30"/>
      <c r="AR361" s="36">
        <f t="shared" si="101"/>
        <v>0</v>
      </c>
      <c r="AS361" s="27"/>
      <c r="AT361" s="37"/>
      <c r="AU361" s="30"/>
      <c r="AV361" s="36">
        <f t="shared" si="102"/>
        <v>0</v>
      </c>
      <c r="AW361" s="35"/>
      <c r="AX361" s="30"/>
      <c r="AY361" s="32">
        <f t="shared" si="103"/>
        <v>0</v>
      </c>
      <c r="AZ361" s="30" t="s">
        <v>440</v>
      </c>
      <c r="BA361" s="63"/>
      <c r="BB361" s="71"/>
      <c r="BC361" s="71"/>
      <c r="BD361" s="71"/>
    </row>
    <row r="362" spans="1:56" hidden="1" x14ac:dyDescent="0.25">
      <c r="A362" s="24">
        <f>IF(B362="","",SUBTOTAL(3,$B$4:B362))</f>
        <v>148</v>
      </c>
      <c r="B362" s="25" t="s">
        <v>439</v>
      </c>
      <c r="C362" s="25" t="str">
        <f t="shared" si="87"/>
        <v>Shipment 2 Outlet Stack</v>
      </c>
      <c r="D362" s="25" t="s">
        <v>441</v>
      </c>
      <c r="E362" s="25" t="s">
        <v>775</v>
      </c>
      <c r="F362" s="25" t="s">
        <v>866</v>
      </c>
      <c r="G362" s="65">
        <v>46204</v>
      </c>
      <c r="H362" s="25" t="s">
        <v>443</v>
      </c>
      <c r="I362" s="25" t="s">
        <v>777</v>
      </c>
      <c r="J362" s="26" t="s">
        <v>447</v>
      </c>
      <c r="K362" s="27" t="s">
        <v>804</v>
      </c>
      <c r="L362" s="28" t="s">
        <v>805</v>
      </c>
      <c r="M362" s="28" t="s">
        <v>781</v>
      </c>
      <c r="N362" s="25">
        <v>3</v>
      </c>
      <c r="O362" s="29">
        <v>17</v>
      </c>
      <c r="P362" s="29">
        <v>51.1</v>
      </c>
      <c r="Q362" s="25" t="s">
        <v>851</v>
      </c>
      <c r="R362" s="25"/>
      <c r="S362" s="26" t="s">
        <v>866</v>
      </c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96"/>
        <v>45.99</v>
      </c>
      <c r="AF362" s="32">
        <f t="shared" si="97"/>
        <v>5.1099999999999994</v>
      </c>
      <c r="AG362" s="30"/>
      <c r="AH362" s="33">
        <v>1</v>
      </c>
      <c r="AI362" s="34">
        <f t="shared" si="98"/>
        <v>51.1</v>
      </c>
      <c r="AJ362" s="35">
        <v>46277</v>
      </c>
      <c r="AK362" s="30">
        <v>3</v>
      </c>
      <c r="AL362" s="36">
        <f t="shared" si="99"/>
        <v>51.1</v>
      </c>
      <c r="AM362" s="35">
        <v>46279</v>
      </c>
      <c r="AN362" s="30">
        <v>3</v>
      </c>
      <c r="AO362" s="36">
        <f t="shared" si="100"/>
        <v>51.1</v>
      </c>
      <c r="AP362" s="35"/>
      <c r="AQ362" s="30"/>
      <c r="AR362" s="36">
        <f t="shared" si="101"/>
        <v>0</v>
      </c>
      <c r="AS362" s="27"/>
      <c r="AT362" s="37"/>
      <c r="AU362" s="30"/>
      <c r="AV362" s="36">
        <f t="shared" si="102"/>
        <v>0</v>
      </c>
      <c r="AW362" s="35"/>
      <c r="AX362" s="30"/>
      <c r="AY362" s="32">
        <f t="shared" si="103"/>
        <v>0</v>
      </c>
      <c r="AZ362" s="30" t="s">
        <v>440</v>
      </c>
      <c r="BA362" s="63"/>
      <c r="BB362" s="71"/>
      <c r="BC362" s="71"/>
      <c r="BD362" s="71"/>
    </row>
    <row r="363" spans="1:56" hidden="1" x14ac:dyDescent="0.25">
      <c r="A363" s="24">
        <f>IF(B363="","",SUBTOTAL(3,$B$4:B363))</f>
        <v>148</v>
      </c>
      <c r="B363" s="25" t="s">
        <v>439</v>
      </c>
      <c r="C363" s="25" t="str">
        <f t="shared" si="87"/>
        <v>Shipment 2 Outlet Stack</v>
      </c>
      <c r="D363" s="25" t="s">
        <v>441</v>
      </c>
      <c r="E363" s="25" t="s">
        <v>775</v>
      </c>
      <c r="F363" s="25" t="s">
        <v>866</v>
      </c>
      <c r="G363" s="65">
        <v>46204</v>
      </c>
      <c r="H363" s="25" t="s">
        <v>443</v>
      </c>
      <c r="I363" s="25" t="s">
        <v>777</v>
      </c>
      <c r="J363" s="26" t="s">
        <v>447</v>
      </c>
      <c r="K363" s="27" t="s">
        <v>806</v>
      </c>
      <c r="L363" s="28" t="s">
        <v>807</v>
      </c>
      <c r="M363" s="28" t="s">
        <v>781</v>
      </c>
      <c r="N363" s="25">
        <v>1</v>
      </c>
      <c r="O363" s="29">
        <v>62.8</v>
      </c>
      <c r="P363" s="29">
        <v>62.8</v>
      </c>
      <c r="Q363" s="25" t="s">
        <v>852</v>
      </c>
      <c r="R363" s="25"/>
      <c r="S363" s="26" t="s">
        <v>866</v>
      </c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96"/>
        <v>56.519999999999996</v>
      </c>
      <c r="AF363" s="32">
        <f t="shared" si="97"/>
        <v>6.2800000000000011</v>
      </c>
      <c r="AG363" s="30"/>
      <c r="AH363" s="33">
        <v>1</v>
      </c>
      <c r="AI363" s="34">
        <f t="shared" si="98"/>
        <v>62.8</v>
      </c>
      <c r="AJ363" s="35">
        <v>46277</v>
      </c>
      <c r="AK363" s="30">
        <v>1</v>
      </c>
      <c r="AL363" s="36">
        <f t="shared" si="99"/>
        <v>62.8</v>
      </c>
      <c r="AM363" s="35">
        <v>46279</v>
      </c>
      <c r="AN363" s="30">
        <v>1</v>
      </c>
      <c r="AO363" s="36">
        <f t="shared" si="100"/>
        <v>62.8</v>
      </c>
      <c r="AP363" s="35"/>
      <c r="AQ363" s="30"/>
      <c r="AR363" s="36">
        <f t="shared" si="101"/>
        <v>0</v>
      </c>
      <c r="AS363" s="27"/>
      <c r="AT363" s="37"/>
      <c r="AU363" s="30"/>
      <c r="AV363" s="36">
        <f t="shared" si="102"/>
        <v>0</v>
      </c>
      <c r="AW363" s="35"/>
      <c r="AX363" s="30"/>
      <c r="AY363" s="32">
        <f t="shared" si="103"/>
        <v>0</v>
      </c>
      <c r="AZ363" s="30" t="s">
        <v>440</v>
      </c>
      <c r="BA363" s="63"/>
      <c r="BB363" s="71"/>
      <c r="BC363" s="71"/>
      <c r="BD363" s="71"/>
    </row>
    <row r="364" spans="1:56" hidden="1" x14ac:dyDescent="0.25">
      <c r="A364" s="24">
        <f>IF(B364="","",SUBTOTAL(3,$B$4:B364))</f>
        <v>148</v>
      </c>
      <c r="B364" s="25" t="s">
        <v>439</v>
      </c>
      <c r="C364" s="25" t="str">
        <f t="shared" si="87"/>
        <v>Shipment 2 Outlet Stack</v>
      </c>
      <c r="D364" s="25" t="s">
        <v>441</v>
      </c>
      <c r="E364" s="25" t="s">
        <v>775</v>
      </c>
      <c r="F364" s="25" t="s">
        <v>866</v>
      </c>
      <c r="G364" s="65">
        <v>46204</v>
      </c>
      <c r="H364" s="25" t="s">
        <v>443</v>
      </c>
      <c r="I364" s="25" t="s">
        <v>777</v>
      </c>
      <c r="J364" s="26" t="s">
        <v>447</v>
      </c>
      <c r="K364" s="27" t="s">
        <v>808</v>
      </c>
      <c r="L364" s="28" t="s">
        <v>809</v>
      </c>
      <c r="M364" s="28" t="s">
        <v>781</v>
      </c>
      <c r="N364" s="25">
        <v>1</v>
      </c>
      <c r="O364" s="29">
        <v>56.1</v>
      </c>
      <c r="P364" s="29">
        <v>56.1</v>
      </c>
      <c r="Q364" s="25" t="s">
        <v>853</v>
      </c>
      <c r="R364" s="25"/>
      <c r="S364" s="26" t="s">
        <v>866</v>
      </c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96"/>
        <v>50.49</v>
      </c>
      <c r="AF364" s="32">
        <f t="shared" si="97"/>
        <v>5.6099999999999994</v>
      </c>
      <c r="AG364" s="30"/>
      <c r="AH364" s="33">
        <v>1</v>
      </c>
      <c r="AI364" s="34">
        <f t="shared" si="98"/>
        <v>56.1</v>
      </c>
      <c r="AJ364" s="35">
        <v>46277</v>
      </c>
      <c r="AK364" s="30">
        <v>1</v>
      </c>
      <c r="AL364" s="36">
        <f t="shared" si="99"/>
        <v>56.1</v>
      </c>
      <c r="AM364" s="35">
        <v>46279</v>
      </c>
      <c r="AN364" s="30">
        <v>1</v>
      </c>
      <c r="AO364" s="36">
        <f t="shared" si="100"/>
        <v>56.1</v>
      </c>
      <c r="AP364" s="35"/>
      <c r="AQ364" s="30"/>
      <c r="AR364" s="36">
        <f t="shared" si="101"/>
        <v>0</v>
      </c>
      <c r="AS364" s="27"/>
      <c r="AT364" s="37"/>
      <c r="AU364" s="30"/>
      <c r="AV364" s="36">
        <f t="shared" si="102"/>
        <v>0</v>
      </c>
      <c r="AW364" s="35"/>
      <c r="AX364" s="30"/>
      <c r="AY364" s="32">
        <f t="shared" si="103"/>
        <v>0</v>
      </c>
      <c r="AZ364" s="30" t="s">
        <v>440</v>
      </c>
      <c r="BA364" s="63"/>
      <c r="BB364" s="71"/>
      <c r="BC364" s="71"/>
      <c r="BD364" s="71"/>
    </row>
    <row r="365" spans="1:56" hidden="1" x14ac:dyDescent="0.25">
      <c r="A365" s="24">
        <f>IF(B365="","",SUBTOTAL(3,$B$4:B365))</f>
        <v>148</v>
      </c>
      <c r="B365" s="25" t="s">
        <v>439</v>
      </c>
      <c r="C365" s="25" t="str">
        <f t="shared" si="87"/>
        <v>Shipment 2 Outlet Stack</v>
      </c>
      <c r="D365" s="25" t="s">
        <v>441</v>
      </c>
      <c r="E365" s="25" t="s">
        <v>775</v>
      </c>
      <c r="F365" s="25" t="s">
        <v>866</v>
      </c>
      <c r="G365" s="65">
        <v>46204</v>
      </c>
      <c r="H365" s="25" t="s">
        <v>443</v>
      </c>
      <c r="I365" s="25" t="s">
        <v>777</v>
      </c>
      <c r="J365" s="26" t="s">
        <v>447</v>
      </c>
      <c r="K365" s="27" t="s">
        <v>810</v>
      </c>
      <c r="L365" s="28" t="s">
        <v>811</v>
      </c>
      <c r="M365" s="28" t="s">
        <v>781</v>
      </c>
      <c r="N365" s="25">
        <v>1</v>
      </c>
      <c r="O365" s="29">
        <v>32.5</v>
      </c>
      <c r="P365" s="29">
        <v>32.5</v>
      </c>
      <c r="Q365" s="25" t="s">
        <v>854</v>
      </c>
      <c r="R365" s="25"/>
      <c r="S365" s="26" t="s">
        <v>866</v>
      </c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96"/>
        <v>29.25</v>
      </c>
      <c r="AF365" s="32">
        <f t="shared" si="97"/>
        <v>3.25</v>
      </c>
      <c r="AG365" s="30"/>
      <c r="AH365" s="33">
        <v>1</v>
      </c>
      <c r="AI365" s="34">
        <f t="shared" si="98"/>
        <v>32.5</v>
      </c>
      <c r="AJ365" s="35">
        <v>46277</v>
      </c>
      <c r="AK365" s="30">
        <v>1</v>
      </c>
      <c r="AL365" s="36">
        <f t="shared" si="99"/>
        <v>32.5</v>
      </c>
      <c r="AM365" s="35">
        <v>46279</v>
      </c>
      <c r="AN365" s="30">
        <v>1</v>
      </c>
      <c r="AO365" s="36">
        <f t="shared" si="100"/>
        <v>32.5</v>
      </c>
      <c r="AP365" s="35"/>
      <c r="AQ365" s="30"/>
      <c r="AR365" s="36">
        <f t="shared" si="101"/>
        <v>0</v>
      </c>
      <c r="AS365" s="27"/>
      <c r="AT365" s="37"/>
      <c r="AU365" s="30"/>
      <c r="AV365" s="36">
        <f t="shared" si="102"/>
        <v>0</v>
      </c>
      <c r="AW365" s="35"/>
      <c r="AX365" s="30"/>
      <c r="AY365" s="32">
        <f t="shared" si="103"/>
        <v>0</v>
      </c>
      <c r="AZ365" s="30" t="s">
        <v>440</v>
      </c>
      <c r="BA365" s="63"/>
      <c r="BB365" s="71"/>
      <c r="BC365" s="71"/>
      <c r="BD365" s="71"/>
    </row>
    <row r="366" spans="1:56" hidden="1" x14ac:dyDescent="0.25">
      <c r="A366" s="24">
        <f>IF(B366="","",SUBTOTAL(3,$B$4:B366))</f>
        <v>148</v>
      </c>
      <c r="B366" s="25" t="s">
        <v>439</v>
      </c>
      <c r="C366" s="25" t="str">
        <f t="shared" si="87"/>
        <v>Shipment 2 Outlet Stack</v>
      </c>
      <c r="D366" s="25" t="s">
        <v>441</v>
      </c>
      <c r="E366" s="25" t="s">
        <v>775</v>
      </c>
      <c r="F366" s="25" t="s">
        <v>866</v>
      </c>
      <c r="G366" s="65">
        <v>46204</v>
      </c>
      <c r="H366" s="25" t="s">
        <v>443</v>
      </c>
      <c r="I366" s="25" t="s">
        <v>777</v>
      </c>
      <c r="J366" s="26" t="s">
        <v>447</v>
      </c>
      <c r="K366" s="27" t="s">
        <v>812</v>
      </c>
      <c r="L366" s="28" t="s">
        <v>813</v>
      </c>
      <c r="M366" s="28" t="s">
        <v>781</v>
      </c>
      <c r="N366" s="25">
        <v>4</v>
      </c>
      <c r="O366" s="29">
        <v>94.2</v>
      </c>
      <c r="P366" s="29">
        <v>376.8</v>
      </c>
      <c r="Q366" s="25" t="s">
        <v>855</v>
      </c>
      <c r="R366" s="25"/>
      <c r="S366" s="26" t="s">
        <v>866</v>
      </c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96"/>
        <v>339.12</v>
      </c>
      <c r="AF366" s="32">
        <f t="shared" si="97"/>
        <v>37.680000000000007</v>
      </c>
      <c r="AG366" s="30"/>
      <c r="AH366" s="33">
        <v>1</v>
      </c>
      <c r="AI366" s="34">
        <f t="shared" si="98"/>
        <v>376.8</v>
      </c>
      <c r="AJ366" s="35">
        <v>46277</v>
      </c>
      <c r="AK366" s="30">
        <v>4</v>
      </c>
      <c r="AL366" s="36">
        <f t="shared" si="99"/>
        <v>376.8</v>
      </c>
      <c r="AM366" s="35">
        <v>46279</v>
      </c>
      <c r="AN366" s="30">
        <v>4</v>
      </c>
      <c r="AO366" s="36">
        <f t="shared" si="100"/>
        <v>376.8</v>
      </c>
      <c r="AP366" s="35"/>
      <c r="AQ366" s="30"/>
      <c r="AR366" s="36">
        <f t="shared" si="101"/>
        <v>0</v>
      </c>
      <c r="AS366" s="27"/>
      <c r="AT366" s="37"/>
      <c r="AU366" s="30"/>
      <c r="AV366" s="36">
        <f t="shared" si="102"/>
        <v>0</v>
      </c>
      <c r="AW366" s="35"/>
      <c r="AX366" s="30"/>
      <c r="AY366" s="32">
        <f t="shared" si="103"/>
        <v>0</v>
      </c>
      <c r="AZ366" s="30" t="s">
        <v>440</v>
      </c>
      <c r="BA366" s="63"/>
      <c r="BB366" s="71"/>
      <c r="BC366" s="71"/>
      <c r="BD366" s="71"/>
    </row>
    <row r="367" spans="1:56" hidden="1" x14ac:dyDescent="0.25">
      <c r="A367" s="24">
        <f>IF(B367="","",SUBTOTAL(3,$B$4:B367))</f>
        <v>148</v>
      </c>
      <c r="B367" s="25" t="s">
        <v>439</v>
      </c>
      <c r="C367" s="25" t="str">
        <f t="shared" si="87"/>
        <v>Shipment 2 Outlet Stack</v>
      </c>
      <c r="D367" s="25" t="s">
        <v>441</v>
      </c>
      <c r="E367" s="25" t="s">
        <v>775</v>
      </c>
      <c r="F367" s="25" t="s">
        <v>866</v>
      </c>
      <c r="G367" s="65">
        <v>46204</v>
      </c>
      <c r="H367" s="25" t="s">
        <v>443</v>
      </c>
      <c r="I367" s="25" t="s">
        <v>777</v>
      </c>
      <c r="J367" s="26" t="s">
        <v>447</v>
      </c>
      <c r="K367" s="27" t="s">
        <v>814</v>
      </c>
      <c r="L367" s="28" t="s">
        <v>815</v>
      </c>
      <c r="M367" s="28" t="s">
        <v>781</v>
      </c>
      <c r="N367" s="25">
        <v>2</v>
      </c>
      <c r="O367" s="29">
        <v>31</v>
      </c>
      <c r="P367" s="29">
        <v>61.9</v>
      </c>
      <c r="Q367" s="25" t="s">
        <v>856</v>
      </c>
      <c r="R367" s="25"/>
      <c r="S367" s="26" t="s">
        <v>866</v>
      </c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96"/>
        <v>55.71</v>
      </c>
      <c r="AF367" s="32">
        <f t="shared" si="97"/>
        <v>6.1899999999999977</v>
      </c>
      <c r="AG367" s="30"/>
      <c r="AH367" s="33">
        <v>1</v>
      </c>
      <c r="AI367" s="34">
        <f t="shared" si="98"/>
        <v>61.9</v>
      </c>
      <c r="AJ367" s="35">
        <v>46277</v>
      </c>
      <c r="AK367" s="30">
        <v>2</v>
      </c>
      <c r="AL367" s="36">
        <f t="shared" si="99"/>
        <v>61.9</v>
      </c>
      <c r="AM367" s="35">
        <v>46279</v>
      </c>
      <c r="AN367" s="30">
        <v>2</v>
      </c>
      <c r="AO367" s="36">
        <f t="shared" si="100"/>
        <v>61.9</v>
      </c>
      <c r="AP367" s="35"/>
      <c r="AQ367" s="30"/>
      <c r="AR367" s="36">
        <f t="shared" si="101"/>
        <v>0</v>
      </c>
      <c r="AS367" s="27"/>
      <c r="AT367" s="37"/>
      <c r="AU367" s="30"/>
      <c r="AV367" s="36">
        <f t="shared" si="102"/>
        <v>0</v>
      </c>
      <c r="AW367" s="35"/>
      <c r="AX367" s="30"/>
      <c r="AY367" s="32">
        <f t="shared" si="103"/>
        <v>0</v>
      </c>
      <c r="AZ367" s="30" t="s">
        <v>440</v>
      </c>
      <c r="BA367" s="63"/>
      <c r="BB367" s="71"/>
      <c r="BC367" s="71"/>
      <c r="BD367" s="71"/>
    </row>
    <row r="368" spans="1:56" hidden="1" x14ac:dyDescent="0.25">
      <c r="A368" s="24">
        <f>IF(B368="","",SUBTOTAL(3,$B$4:B368))</f>
        <v>148</v>
      </c>
      <c r="B368" s="25" t="s">
        <v>439</v>
      </c>
      <c r="C368" s="25" t="str">
        <f t="shared" si="87"/>
        <v>Shipment 2 Outlet Stack</v>
      </c>
      <c r="D368" s="25" t="s">
        <v>441</v>
      </c>
      <c r="E368" s="25" t="s">
        <v>775</v>
      </c>
      <c r="F368" s="25" t="s">
        <v>866</v>
      </c>
      <c r="G368" s="65">
        <v>46204</v>
      </c>
      <c r="H368" s="25" t="s">
        <v>443</v>
      </c>
      <c r="I368" s="25" t="s">
        <v>777</v>
      </c>
      <c r="J368" s="26" t="s">
        <v>447</v>
      </c>
      <c r="K368" s="27" t="s">
        <v>816</v>
      </c>
      <c r="L368" s="28" t="s">
        <v>817</v>
      </c>
      <c r="M368" s="28" t="s">
        <v>781</v>
      </c>
      <c r="N368" s="25">
        <v>2</v>
      </c>
      <c r="O368" s="29">
        <v>53.8</v>
      </c>
      <c r="P368" s="29">
        <v>107.5</v>
      </c>
      <c r="Q368" s="25" t="s">
        <v>857</v>
      </c>
      <c r="R368" s="25"/>
      <c r="S368" s="26" t="s">
        <v>866</v>
      </c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96"/>
        <v>96.75</v>
      </c>
      <c r="AF368" s="32">
        <f t="shared" si="97"/>
        <v>10.75</v>
      </c>
      <c r="AG368" s="30"/>
      <c r="AH368" s="33">
        <v>1</v>
      </c>
      <c r="AI368" s="34">
        <f t="shared" si="98"/>
        <v>107.5</v>
      </c>
      <c r="AJ368" s="35">
        <v>46277</v>
      </c>
      <c r="AK368" s="30">
        <v>2</v>
      </c>
      <c r="AL368" s="36">
        <f t="shared" si="99"/>
        <v>107.5</v>
      </c>
      <c r="AM368" s="35">
        <v>46279</v>
      </c>
      <c r="AN368" s="30">
        <v>2</v>
      </c>
      <c r="AO368" s="36">
        <f t="shared" si="100"/>
        <v>107.5</v>
      </c>
      <c r="AP368" s="35"/>
      <c r="AQ368" s="30"/>
      <c r="AR368" s="36">
        <f t="shared" si="101"/>
        <v>0</v>
      </c>
      <c r="AS368" s="27"/>
      <c r="AT368" s="37"/>
      <c r="AU368" s="30"/>
      <c r="AV368" s="36">
        <f t="shared" si="102"/>
        <v>0</v>
      </c>
      <c r="AW368" s="35"/>
      <c r="AX368" s="30"/>
      <c r="AY368" s="32">
        <f t="shared" si="103"/>
        <v>0</v>
      </c>
      <c r="AZ368" s="30" t="s">
        <v>440</v>
      </c>
      <c r="BA368" s="63"/>
      <c r="BB368" s="71"/>
      <c r="BC368" s="71"/>
      <c r="BD368" s="71"/>
    </row>
    <row r="369" spans="1:56" hidden="1" x14ac:dyDescent="0.25">
      <c r="A369" s="24">
        <f>IF(B369="","",SUBTOTAL(3,$B$4:B369))</f>
        <v>148</v>
      </c>
      <c r="B369" s="25" t="s">
        <v>439</v>
      </c>
      <c r="C369" s="25" t="str">
        <f t="shared" si="87"/>
        <v>Shipment 2 Outlet Stack</v>
      </c>
      <c r="D369" s="25" t="s">
        <v>441</v>
      </c>
      <c r="E369" s="25" t="s">
        <v>775</v>
      </c>
      <c r="F369" s="25" t="s">
        <v>866</v>
      </c>
      <c r="G369" s="65">
        <v>46204</v>
      </c>
      <c r="H369" s="25" t="s">
        <v>443</v>
      </c>
      <c r="I369" s="25" t="s">
        <v>777</v>
      </c>
      <c r="J369" s="26" t="s">
        <v>447</v>
      </c>
      <c r="K369" s="27" t="s">
        <v>818</v>
      </c>
      <c r="L369" s="28" t="s">
        <v>819</v>
      </c>
      <c r="M369" s="28" t="s">
        <v>781</v>
      </c>
      <c r="N369" s="25">
        <v>1</v>
      </c>
      <c r="O369" s="29">
        <v>42.7</v>
      </c>
      <c r="P369" s="29">
        <v>42.7</v>
      </c>
      <c r="Q369" s="25" t="s">
        <v>858</v>
      </c>
      <c r="R369" s="25"/>
      <c r="S369" s="26" t="s">
        <v>866</v>
      </c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96"/>
        <v>38.430000000000007</v>
      </c>
      <c r="AF369" s="32">
        <f t="shared" si="97"/>
        <v>4.269999999999996</v>
      </c>
      <c r="AG369" s="30"/>
      <c r="AH369" s="33">
        <v>1</v>
      </c>
      <c r="AI369" s="34">
        <f t="shared" si="98"/>
        <v>42.7</v>
      </c>
      <c r="AJ369" s="35">
        <v>46277</v>
      </c>
      <c r="AK369" s="30">
        <v>1</v>
      </c>
      <c r="AL369" s="36">
        <f t="shared" si="99"/>
        <v>42.7</v>
      </c>
      <c r="AM369" s="35">
        <v>46279</v>
      </c>
      <c r="AN369" s="30">
        <v>1</v>
      </c>
      <c r="AO369" s="36">
        <f t="shared" si="100"/>
        <v>42.7</v>
      </c>
      <c r="AP369" s="35"/>
      <c r="AQ369" s="30"/>
      <c r="AR369" s="36">
        <f t="shared" si="101"/>
        <v>0</v>
      </c>
      <c r="AS369" s="27"/>
      <c r="AT369" s="37"/>
      <c r="AU369" s="30"/>
      <c r="AV369" s="36">
        <f t="shared" si="102"/>
        <v>0</v>
      </c>
      <c r="AW369" s="35"/>
      <c r="AX369" s="30"/>
      <c r="AY369" s="32">
        <f t="shared" si="103"/>
        <v>0</v>
      </c>
      <c r="AZ369" s="30" t="s">
        <v>440</v>
      </c>
      <c r="BA369" s="63"/>
      <c r="BB369" s="71"/>
      <c r="BC369" s="71"/>
      <c r="BD369" s="71"/>
    </row>
    <row r="370" spans="1:56" hidden="1" x14ac:dyDescent="0.25">
      <c r="A370" s="24">
        <f>IF(B370="","",SUBTOTAL(3,$B$4:B370))</f>
        <v>148</v>
      </c>
      <c r="B370" s="25" t="s">
        <v>439</v>
      </c>
      <c r="C370" s="25" t="str">
        <f t="shared" si="87"/>
        <v>Shipment 2 Outlet Stack</v>
      </c>
      <c r="D370" s="25" t="s">
        <v>441</v>
      </c>
      <c r="E370" s="25" t="s">
        <v>775</v>
      </c>
      <c r="F370" s="25" t="s">
        <v>866</v>
      </c>
      <c r="G370" s="65">
        <v>46204</v>
      </c>
      <c r="H370" s="25" t="s">
        <v>443</v>
      </c>
      <c r="I370" s="25" t="s">
        <v>777</v>
      </c>
      <c r="J370" s="26" t="s">
        <v>447</v>
      </c>
      <c r="K370" s="27" t="s">
        <v>820</v>
      </c>
      <c r="L370" s="28" t="s">
        <v>821</v>
      </c>
      <c r="M370" s="28" t="s">
        <v>781</v>
      </c>
      <c r="N370" s="25">
        <v>2</v>
      </c>
      <c r="O370" s="29">
        <v>247.4</v>
      </c>
      <c r="P370" s="29">
        <v>494.7</v>
      </c>
      <c r="Q370" s="25" t="s">
        <v>859</v>
      </c>
      <c r="R370" s="25"/>
      <c r="S370" s="26" t="s">
        <v>866</v>
      </c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96"/>
        <v>445.23</v>
      </c>
      <c r="AF370" s="32">
        <f t="shared" si="97"/>
        <v>49.46999999999997</v>
      </c>
      <c r="AG370" s="30"/>
      <c r="AH370" s="33">
        <v>1</v>
      </c>
      <c r="AI370" s="34">
        <f t="shared" si="98"/>
        <v>494.7</v>
      </c>
      <c r="AJ370" s="35">
        <v>46277</v>
      </c>
      <c r="AK370" s="30">
        <v>2</v>
      </c>
      <c r="AL370" s="36">
        <f t="shared" si="99"/>
        <v>494.7</v>
      </c>
      <c r="AM370" s="35">
        <v>46279</v>
      </c>
      <c r="AN370" s="30">
        <v>2</v>
      </c>
      <c r="AO370" s="36">
        <f t="shared" si="100"/>
        <v>494.7</v>
      </c>
      <c r="AP370" s="35"/>
      <c r="AQ370" s="30"/>
      <c r="AR370" s="36">
        <f t="shared" si="101"/>
        <v>0</v>
      </c>
      <c r="AS370" s="27"/>
      <c r="AT370" s="37"/>
      <c r="AU370" s="30"/>
      <c r="AV370" s="36">
        <f t="shared" si="102"/>
        <v>0</v>
      </c>
      <c r="AW370" s="35"/>
      <c r="AX370" s="30"/>
      <c r="AY370" s="32">
        <f t="shared" si="103"/>
        <v>0</v>
      </c>
      <c r="AZ370" s="30" t="s">
        <v>440</v>
      </c>
      <c r="BA370" s="63"/>
      <c r="BB370" s="71"/>
      <c r="BC370" s="71"/>
      <c r="BD370" s="71"/>
    </row>
    <row r="371" spans="1:56" hidden="1" x14ac:dyDescent="0.25">
      <c r="A371" s="24">
        <f>IF(B371="","",SUBTOTAL(3,$B$4:B371))</f>
        <v>148</v>
      </c>
      <c r="B371" s="25" t="s">
        <v>439</v>
      </c>
      <c r="C371" s="25" t="str">
        <f t="shared" si="87"/>
        <v>Shipment 2 Outlet Stack</v>
      </c>
      <c r="D371" s="25" t="s">
        <v>441</v>
      </c>
      <c r="E371" s="25" t="s">
        <v>775</v>
      </c>
      <c r="F371" s="25" t="s">
        <v>866</v>
      </c>
      <c r="G371" s="65">
        <v>46204</v>
      </c>
      <c r="H371" s="25" t="s">
        <v>443</v>
      </c>
      <c r="I371" s="25" t="s">
        <v>777</v>
      </c>
      <c r="J371" s="26" t="s">
        <v>447</v>
      </c>
      <c r="K371" s="27" t="s">
        <v>822</v>
      </c>
      <c r="L371" s="28" t="s">
        <v>823</v>
      </c>
      <c r="M371" s="28" t="s">
        <v>781</v>
      </c>
      <c r="N371" s="25">
        <v>1</v>
      </c>
      <c r="O371" s="29">
        <v>232</v>
      </c>
      <c r="P371" s="29">
        <v>232</v>
      </c>
      <c r="Q371" s="25" t="s">
        <v>860</v>
      </c>
      <c r="R371" s="25"/>
      <c r="S371" s="26" t="s">
        <v>866</v>
      </c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96"/>
        <v>208.8</v>
      </c>
      <c r="AF371" s="32">
        <f t="shared" si="97"/>
        <v>23.199999999999989</v>
      </c>
      <c r="AG371" s="30"/>
      <c r="AH371" s="33">
        <v>1</v>
      </c>
      <c r="AI371" s="34">
        <f t="shared" si="98"/>
        <v>232</v>
      </c>
      <c r="AJ371" s="35">
        <v>46277</v>
      </c>
      <c r="AK371" s="30">
        <v>1</v>
      </c>
      <c r="AL371" s="36">
        <f t="shared" si="99"/>
        <v>232</v>
      </c>
      <c r="AM371" s="35">
        <v>46279</v>
      </c>
      <c r="AN371" s="30">
        <v>1</v>
      </c>
      <c r="AO371" s="36">
        <f t="shared" si="100"/>
        <v>232</v>
      </c>
      <c r="AP371" s="35"/>
      <c r="AQ371" s="30"/>
      <c r="AR371" s="36">
        <f t="shared" si="101"/>
        <v>0</v>
      </c>
      <c r="AS371" s="27"/>
      <c r="AT371" s="37"/>
      <c r="AU371" s="30"/>
      <c r="AV371" s="36">
        <f t="shared" si="102"/>
        <v>0</v>
      </c>
      <c r="AW371" s="35"/>
      <c r="AX371" s="30"/>
      <c r="AY371" s="32">
        <f t="shared" si="103"/>
        <v>0</v>
      </c>
      <c r="AZ371" s="30" t="s">
        <v>440</v>
      </c>
      <c r="BA371" s="63"/>
      <c r="BB371" s="71"/>
      <c r="BC371" s="71"/>
      <c r="BD371" s="71"/>
    </row>
    <row r="372" spans="1:56" hidden="1" x14ac:dyDescent="0.25">
      <c r="A372" s="24">
        <f>IF(B372="","",SUBTOTAL(3,$B$4:B372))</f>
        <v>148</v>
      </c>
      <c r="B372" s="25" t="s">
        <v>439</v>
      </c>
      <c r="C372" s="25" t="str">
        <f t="shared" si="87"/>
        <v>Shipment 2 Outlet Stack</v>
      </c>
      <c r="D372" s="25" t="s">
        <v>441</v>
      </c>
      <c r="E372" s="25" t="s">
        <v>775</v>
      </c>
      <c r="F372" s="25" t="s">
        <v>866</v>
      </c>
      <c r="G372" s="65">
        <v>46204</v>
      </c>
      <c r="H372" s="25" t="s">
        <v>443</v>
      </c>
      <c r="I372" s="25" t="s">
        <v>777</v>
      </c>
      <c r="J372" s="26" t="s">
        <v>447</v>
      </c>
      <c r="K372" s="27" t="s">
        <v>824</v>
      </c>
      <c r="L372" s="28" t="s">
        <v>825</v>
      </c>
      <c r="M372" s="28" t="s">
        <v>781</v>
      </c>
      <c r="N372" s="25">
        <v>1</v>
      </c>
      <c r="O372" s="29">
        <v>232</v>
      </c>
      <c r="P372" s="29">
        <v>232</v>
      </c>
      <c r="Q372" s="25" t="s">
        <v>861</v>
      </c>
      <c r="R372" s="25"/>
      <c r="S372" s="26" t="s">
        <v>866</v>
      </c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96"/>
        <v>208.8</v>
      </c>
      <c r="AF372" s="32">
        <f t="shared" si="97"/>
        <v>23.199999999999989</v>
      </c>
      <c r="AG372" s="30"/>
      <c r="AH372" s="33">
        <v>1</v>
      </c>
      <c r="AI372" s="34">
        <f t="shared" si="98"/>
        <v>232</v>
      </c>
      <c r="AJ372" s="35">
        <v>46277</v>
      </c>
      <c r="AK372" s="30">
        <v>1</v>
      </c>
      <c r="AL372" s="36">
        <f t="shared" si="99"/>
        <v>232</v>
      </c>
      <c r="AM372" s="35">
        <v>46279</v>
      </c>
      <c r="AN372" s="30">
        <v>1</v>
      </c>
      <c r="AO372" s="36">
        <f t="shared" si="100"/>
        <v>232</v>
      </c>
      <c r="AP372" s="35"/>
      <c r="AQ372" s="30"/>
      <c r="AR372" s="36">
        <f t="shared" si="101"/>
        <v>0</v>
      </c>
      <c r="AS372" s="27"/>
      <c r="AT372" s="37"/>
      <c r="AU372" s="30"/>
      <c r="AV372" s="36">
        <f t="shared" si="102"/>
        <v>0</v>
      </c>
      <c r="AW372" s="35"/>
      <c r="AX372" s="30"/>
      <c r="AY372" s="32">
        <f t="shared" si="103"/>
        <v>0</v>
      </c>
      <c r="AZ372" s="30" t="s">
        <v>440</v>
      </c>
      <c r="BA372" s="63"/>
      <c r="BB372" s="71"/>
      <c r="BC372" s="71"/>
      <c r="BD372" s="71"/>
    </row>
    <row r="373" spans="1:56" hidden="1" x14ac:dyDescent="0.25">
      <c r="A373" s="24">
        <f>IF(B373="","",SUBTOTAL(3,$B$4:B373))</f>
        <v>148</v>
      </c>
      <c r="B373" s="25" t="s">
        <v>439</v>
      </c>
      <c r="C373" s="25" t="str">
        <f t="shared" si="87"/>
        <v>Shipment 2 Outlet Stack</v>
      </c>
      <c r="D373" s="25" t="s">
        <v>441</v>
      </c>
      <c r="E373" s="25" t="s">
        <v>775</v>
      </c>
      <c r="F373" s="25" t="s">
        <v>866</v>
      </c>
      <c r="G373" s="65">
        <v>46204</v>
      </c>
      <c r="H373" s="25" t="s">
        <v>443</v>
      </c>
      <c r="I373" s="25" t="s">
        <v>777</v>
      </c>
      <c r="J373" s="26" t="s">
        <v>447</v>
      </c>
      <c r="K373" s="27" t="s">
        <v>826</v>
      </c>
      <c r="L373" s="28" t="s">
        <v>827</v>
      </c>
      <c r="M373" s="28" t="s">
        <v>781</v>
      </c>
      <c r="N373" s="25">
        <v>1</v>
      </c>
      <c r="O373" s="29">
        <v>82.2</v>
      </c>
      <c r="P373" s="29">
        <v>82.2</v>
      </c>
      <c r="Q373" s="25" t="s">
        <v>862</v>
      </c>
      <c r="R373" s="25"/>
      <c r="S373" s="26" t="s">
        <v>866</v>
      </c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96"/>
        <v>73.98</v>
      </c>
      <c r="AF373" s="32">
        <f t="shared" si="97"/>
        <v>8.2199999999999989</v>
      </c>
      <c r="AG373" s="30"/>
      <c r="AH373" s="33">
        <v>1</v>
      </c>
      <c r="AI373" s="34">
        <f t="shared" si="98"/>
        <v>82.2</v>
      </c>
      <c r="AJ373" s="35">
        <v>46277</v>
      </c>
      <c r="AK373" s="30">
        <v>1</v>
      </c>
      <c r="AL373" s="36">
        <f t="shared" si="99"/>
        <v>82.2</v>
      </c>
      <c r="AM373" s="35">
        <v>46279</v>
      </c>
      <c r="AN373" s="30">
        <v>1</v>
      </c>
      <c r="AO373" s="36">
        <f t="shared" si="100"/>
        <v>82.2</v>
      </c>
      <c r="AP373" s="35"/>
      <c r="AQ373" s="30"/>
      <c r="AR373" s="36">
        <f t="shared" si="101"/>
        <v>0</v>
      </c>
      <c r="AS373" s="27"/>
      <c r="AT373" s="37"/>
      <c r="AU373" s="30"/>
      <c r="AV373" s="36">
        <f t="shared" si="102"/>
        <v>0</v>
      </c>
      <c r="AW373" s="35"/>
      <c r="AX373" s="30"/>
      <c r="AY373" s="32">
        <f t="shared" si="103"/>
        <v>0</v>
      </c>
      <c r="AZ373" s="30" t="s">
        <v>440</v>
      </c>
      <c r="BA373" s="63"/>
      <c r="BB373" s="71"/>
      <c r="BC373" s="71"/>
      <c r="BD373" s="71"/>
    </row>
    <row r="374" spans="1:56" hidden="1" x14ac:dyDescent="0.25">
      <c r="A374" s="24">
        <f>IF(B374="","",SUBTOTAL(3,$B$4:B374))</f>
        <v>148</v>
      </c>
      <c r="B374" s="25" t="s">
        <v>439</v>
      </c>
      <c r="C374" s="25" t="str">
        <f t="shared" si="87"/>
        <v>Shipment 2 Outlet Stack</v>
      </c>
      <c r="D374" s="25" t="s">
        <v>441</v>
      </c>
      <c r="E374" s="25" t="s">
        <v>775</v>
      </c>
      <c r="F374" s="25" t="s">
        <v>866</v>
      </c>
      <c r="G374" s="65">
        <v>46204</v>
      </c>
      <c r="H374" s="25" t="s">
        <v>443</v>
      </c>
      <c r="I374" s="25" t="s">
        <v>777</v>
      </c>
      <c r="J374" s="26" t="s">
        <v>447</v>
      </c>
      <c r="K374" s="27" t="s">
        <v>828</v>
      </c>
      <c r="L374" s="28" t="s">
        <v>829</v>
      </c>
      <c r="M374" s="28" t="s">
        <v>781</v>
      </c>
      <c r="N374" s="25">
        <v>1</v>
      </c>
      <c r="O374" s="29">
        <v>84.2</v>
      </c>
      <c r="P374" s="29">
        <v>84.2</v>
      </c>
      <c r="Q374" s="25" t="s">
        <v>863</v>
      </c>
      <c r="R374" s="25"/>
      <c r="S374" s="26" t="s">
        <v>866</v>
      </c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96"/>
        <v>75.78</v>
      </c>
      <c r="AF374" s="32">
        <f t="shared" si="97"/>
        <v>8.4200000000000017</v>
      </c>
      <c r="AG374" s="30"/>
      <c r="AH374" s="33">
        <v>1</v>
      </c>
      <c r="AI374" s="34">
        <f t="shared" si="98"/>
        <v>84.2</v>
      </c>
      <c r="AJ374" s="35">
        <v>46277</v>
      </c>
      <c r="AK374" s="30">
        <v>1</v>
      </c>
      <c r="AL374" s="36">
        <f t="shared" si="99"/>
        <v>84.2</v>
      </c>
      <c r="AM374" s="35">
        <v>46279</v>
      </c>
      <c r="AN374" s="30">
        <v>1</v>
      </c>
      <c r="AO374" s="36">
        <f t="shared" si="100"/>
        <v>84.2</v>
      </c>
      <c r="AP374" s="35"/>
      <c r="AQ374" s="30"/>
      <c r="AR374" s="36">
        <f t="shared" si="101"/>
        <v>0</v>
      </c>
      <c r="AS374" s="27"/>
      <c r="AT374" s="37"/>
      <c r="AU374" s="30"/>
      <c r="AV374" s="36">
        <f t="shared" si="102"/>
        <v>0</v>
      </c>
      <c r="AW374" s="35"/>
      <c r="AX374" s="30"/>
      <c r="AY374" s="32">
        <f t="shared" si="103"/>
        <v>0</v>
      </c>
      <c r="AZ374" s="30" t="s">
        <v>440</v>
      </c>
      <c r="BA374" s="63"/>
      <c r="BB374" s="71"/>
      <c r="BC374" s="71"/>
      <c r="BD374" s="71"/>
    </row>
    <row r="375" spans="1:56" hidden="1" x14ac:dyDescent="0.25">
      <c r="A375" s="24">
        <f>IF(B375="","",SUBTOTAL(3,$B$4:B375))</f>
        <v>148</v>
      </c>
      <c r="B375" s="25" t="s">
        <v>439</v>
      </c>
      <c r="C375" s="25" t="str">
        <f t="shared" si="87"/>
        <v>Shipment 2 Outlet Stack</v>
      </c>
      <c r="D375" s="25" t="s">
        <v>441</v>
      </c>
      <c r="E375" s="25" t="s">
        <v>775</v>
      </c>
      <c r="F375" s="25" t="s">
        <v>866</v>
      </c>
      <c r="G375" s="65">
        <v>46204</v>
      </c>
      <c r="H375" s="25" t="s">
        <v>443</v>
      </c>
      <c r="I375" s="25" t="s">
        <v>777</v>
      </c>
      <c r="J375" s="26" t="s">
        <v>447</v>
      </c>
      <c r="K375" s="27" t="s">
        <v>830</v>
      </c>
      <c r="L375" s="28" t="s">
        <v>831</v>
      </c>
      <c r="M375" s="28" t="s">
        <v>781</v>
      </c>
      <c r="N375" s="25">
        <v>2</v>
      </c>
      <c r="O375" s="29">
        <v>94.2</v>
      </c>
      <c r="P375" s="29">
        <v>188.4</v>
      </c>
      <c r="Q375" s="25" t="s">
        <v>855</v>
      </c>
      <c r="R375" s="25"/>
      <c r="S375" s="26" t="s">
        <v>866</v>
      </c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96"/>
        <v>169.56</v>
      </c>
      <c r="AF375" s="32">
        <f t="shared" si="97"/>
        <v>18.840000000000003</v>
      </c>
      <c r="AG375" s="30"/>
      <c r="AH375" s="33">
        <v>1</v>
      </c>
      <c r="AI375" s="34">
        <f t="shared" si="98"/>
        <v>188.4</v>
      </c>
      <c r="AJ375" s="35">
        <v>46277</v>
      </c>
      <c r="AK375" s="30">
        <v>2</v>
      </c>
      <c r="AL375" s="36">
        <f t="shared" si="99"/>
        <v>188.4</v>
      </c>
      <c r="AM375" s="35">
        <v>46279</v>
      </c>
      <c r="AN375" s="30">
        <v>2</v>
      </c>
      <c r="AO375" s="36">
        <f t="shared" si="100"/>
        <v>188.4</v>
      </c>
      <c r="AP375" s="35"/>
      <c r="AQ375" s="30"/>
      <c r="AR375" s="36">
        <f t="shared" si="101"/>
        <v>0</v>
      </c>
      <c r="AS375" s="27"/>
      <c r="AT375" s="37"/>
      <c r="AU375" s="30"/>
      <c r="AV375" s="36">
        <f t="shared" si="102"/>
        <v>0</v>
      </c>
      <c r="AW375" s="35"/>
      <c r="AX375" s="30"/>
      <c r="AY375" s="32">
        <f t="shared" si="103"/>
        <v>0</v>
      </c>
      <c r="AZ375" s="30" t="s">
        <v>440</v>
      </c>
      <c r="BA375" s="63"/>
      <c r="BB375" s="71"/>
      <c r="BC375" s="71"/>
      <c r="BD375" s="71"/>
    </row>
    <row r="376" spans="1:56" hidden="1" x14ac:dyDescent="0.25">
      <c r="A376" s="24">
        <f>IF(B376="","",SUBTOTAL(3,$B$4:B376))</f>
        <v>148</v>
      </c>
      <c r="B376" s="25" t="s">
        <v>439</v>
      </c>
      <c r="C376" s="25" t="str">
        <f t="shared" si="87"/>
        <v>Shipment 2 Outlet Stack</v>
      </c>
      <c r="D376" s="25" t="s">
        <v>441</v>
      </c>
      <c r="E376" s="25" t="s">
        <v>775</v>
      </c>
      <c r="F376" s="25" t="s">
        <v>866</v>
      </c>
      <c r="G376" s="65">
        <v>46204</v>
      </c>
      <c r="H376" s="25" t="s">
        <v>443</v>
      </c>
      <c r="I376" s="25" t="s">
        <v>777</v>
      </c>
      <c r="J376" s="26" t="s">
        <v>447</v>
      </c>
      <c r="K376" s="27" t="s">
        <v>832</v>
      </c>
      <c r="L376" s="28" t="s">
        <v>833</v>
      </c>
      <c r="M376" s="28" t="s">
        <v>834</v>
      </c>
      <c r="N376" s="25">
        <v>2</v>
      </c>
      <c r="O376" s="29">
        <v>6.4</v>
      </c>
      <c r="P376" s="29">
        <v>12.9</v>
      </c>
      <c r="Q376" s="25" t="s">
        <v>864</v>
      </c>
      <c r="R376" s="25"/>
      <c r="S376" s="26" t="s">
        <v>866</v>
      </c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96"/>
        <v>11.61</v>
      </c>
      <c r="AF376" s="32">
        <f t="shared" si="97"/>
        <v>1.2900000000000009</v>
      </c>
      <c r="AG376" s="30"/>
      <c r="AH376" s="33">
        <v>1</v>
      </c>
      <c r="AI376" s="34">
        <f t="shared" si="98"/>
        <v>12.9</v>
      </c>
      <c r="AJ376" s="35">
        <v>46289</v>
      </c>
      <c r="AK376" s="30">
        <v>2</v>
      </c>
      <c r="AL376" s="36">
        <f t="shared" si="99"/>
        <v>12.9</v>
      </c>
      <c r="AM376" s="35">
        <v>46289</v>
      </c>
      <c r="AN376" s="30">
        <v>2</v>
      </c>
      <c r="AO376" s="36">
        <f t="shared" si="100"/>
        <v>12.9</v>
      </c>
      <c r="AP376" s="35"/>
      <c r="AQ376" s="30"/>
      <c r="AR376" s="36">
        <f t="shared" si="101"/>
        <v>0</v>
      </c>
      <c r="AS376" s="27"/>
      <c r="AT376" s="37"/>
      <c r="AU376" s="30"/>
      <c r="AV376" s="36">
        <f t="shared" si="102"/>
        <v>0</v>
      </c>
      <c r="AW376" s="35"/>
      <c r="AX376" s="30"/>
      <c r="AY376" s="32">
        <f t="shared" si="103"/>
        <v>0</v>
      </c>
      <c r="AZ376" s="30" t="s">
        <v>440</v>
      </c>
      <c r="BA376" s="63"/>
      <c r="BB376" s="71"/>
      <c r="BC376" s="71"/>
      <c r="BD376" s="71"/>
    </row>
    <row r="377" spans="1:56" hidden="1" x14ac:dyDescent="0.25">
      <c r="A377" s="24">
        <f>IF(B377="","",SUBTOTAL(3,$B$4:B377))</f>
        <v>148</v>
      </c>
      <c r="B377" s="25" t="s">
        <v>439</v>
      </c>
      <c r="C377" s="25" t="str">
        <f t="shared" si="87"/>
        <v>Shipment 2 Outlet Stack</v>
      </c>
      <c r="D377" s="25" t="s">
        <v>441</v>
      </c>
      <c r="E377" s="25" t="s">
        <v>775</v>
      </c>
      <c r="F377" s="25" t="s">
        <v>866</v>
      </c>
      <c r="G377" s="65">
        <v>46204</v>
      </c>
      <c r="H377" s="25" t="s">
        <v>443</v>
      </c>
      <c r="I377" s="25" t="s">
        <v>777</v>
      </c>
      <c r="J377" s="26" t="s">
        <v>447</v>
      </c>
      <c r="K377" s="27" t="s">
        <v>835</v>
      </c>
      <c r="L377" s="28" t="s">
        <v>836</v>
      </c>
      <c r="M377" s="28" t="s">
        <v>834</v>
      </c>
      <c r="N377" s="25">
        <v>55</v>
      </c>
      <c r="O377" s="29">
        <v>4.4000000000000004</v>
      </c>
      <c r="P377" s="29">
        <v>241.7</v>
      </c>
      <c r="Q377" s="25" t="s">
        <v>865</v>
      </c>
      <c r="R377" s="25"/>
      <c r="S377" s="26" t="s">
        <v>866</v>
      </c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96"/>
        <v>217.53</v>
      </c>
      <c r="AF377" s="32">
        <f t="shared" si="97"/>
        <v>24.169999999999987</v>
      </c>
      <c r="AG377" s="30"/>
      <c r="AH377" s="33">
        <v>1</v>
      </c>
      <c r="AI377" s="34">
        <f t="shared" si="98"/>
        <v>241.7</v>
      </c>
      <c r="AJ377" s="35">
        <v>46289</v>
      </c>
      <c r="AK377" s="30">
        <v>55</v>
      </c>
      <c r="AL377" s="36">
        <f t="shared" ref="AL377:AL378" si="104">IFERROR(AK377*$P377/$N377,0)</f>
        <v>241.7</v>
      </c>
      <c r="AM377" s="35">
        <v>46289</v>
      </c>
      <c r="AN377" s="30">
        <v>55</v>
      </c>
      <c r="AO377" s="36">
        <f t="shared" si="100"/>
        <v>241.7</v>
      </c>
      <c r="AP377" s="35"/>
      <c r="AQ377" s="30"/>
      <c r="AR377" s="36">
        <f t="shared" si="101"/>
        <v>0</v>
      </c>
      <c r="AS377" s="27"/>
      <c r="AT377" s="37"/>
      <c r="AU377" s="30"/>
      <c r="AV377" s="36">
        <f t="shared" si="102"/>
        <v>0</v>
      </c>
      <c r="AW377" s="35"/>
      <c r="AX377" s="30"/>
      <c r="AY377" s="32">
        <f t="shared" si="103"/>
        <v>0</v>
      </c>
      <c r="AZ377" s="30" t="s">
        <v>440</v>
      </c>
      <c r="BA377" s="63"/>
      <c r="BB377" s="71"/>
      <c r="BC377" s="71"/>
      <c r="BD377" s="71"/>
    </row>
    <row r="378" spans="1:56" hidden="1" x14ac:dyDescent="0.25">
      <c r="A378" s="24">
        <f>IF(B378="","",SUBTOTAL(3,$B$4:B378))</f>
        <v>148</v>
      </c>
      <c r="B378" s="25" t="s">
        <v>439</v>
      </c>
      <c r="C378" s="25" t="str">
        <f t="shared" si="87"/>
        <v>Shipment 2 Outlet Stack</v>
      </c>
      <c r="D378" s="25" t="s">
        <v>441</v>
      </c>
      <c r="E378" s="25" t="s">
        <v>775</v>
      </c>
      <c r="F378" s="25" t="s">
        <v>866</v>
      </c>
      <c r="G378" s="65">
        <v>46204</v>
      </c>
      <c r="H378" s="25" t="s">
        <v>443</v>
      </c>
      <c r="I378" s="25" t="s">
        <v>777</v>
      </c>
      <c r="J378" s="26" t="s">
        <v>447</v>
      </c>
      <c r="K378" s="27" t="s">
        <v>837</v>
      </c>
      <c r="L378" s="28" t="s">
        <v>838</v>
      </c>
      <c r="M378" s="28" t="s">
        <v>834</v>
      </c>
      <c r="N378" s="25">
        <v>2</v>
      </c>
      <c r="O378" s="29">
        <v>4.4000000000000004</v>
      </c>
      <c r="P378" s="29">
        <v>8.8000000000000007</v>
      </c>
      <c r="Q378" s="25" t="s">
        <v>865</v>
      </c>
      <c r="R378" s="25"/>
      <c r="S378" s="26" t="s">
        <v>866</v>
      </c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96"/>
        <v>7.9200000000000008</v>
      </c>
      <c r="AF378" s="32">
        <f t="shared" si="97"/>
        <v>0.87999999999999989</v>
      </c>
      <c r="AG378" s="30"/>
      <c r="AH378" s="33">
        <v>1</v>
      </c>
      <c r="AI378" s="34">
        <f t="shared" si="98"/>
        <v>8.8000000000000007</v>
      </c>
      <c r="AJ378" s="35">
        <v>46289</v>
      </c>
      <c r="AK378" s="30">
        <v>2</v>
      </c>
      <c r="AL378" s="36">
        <f t="shared" si="104"/>
        <v>8.8000000000000007</v>
      </c>
      <c r="AM378" s="35">
        <v>46289</v>
      </c>
      <c r="AN378" s="30">
        <v>2</v>
      </c>
      <c r="AO378" s="36">
        <f t="shared" si="100"/>
        <v>8.8000000000000007</v>
      </c>
      <c r="AP378" s="35"/>
      <c r="AQ378" s="30"/>
      <c r="AR378" s="36">
        <f t="shared" si="101"/>
        <v>0</v>
      </c>
      <c r="AS378" s="27"/>
      <c r="AT378" s="37"/>
      <c r="AU378" s="30"/>
      <c r="AV378" s="36">
        <f t="shared" si="102"/>
        <v>0</v>
      </c>
      <c r="AW378" s="35"/>
      <c r="AX378" s="30"/>
      <c r="AY378" s="32">
        <f t="shared" si="103"/>
        <v>0</v>
      </c>
      <c r="AZ378" s="30" t="s">
        <v>440</v>
      </c>
      <c r="BA378" s="63"/>
      <c r="BB378" s="71"/>
      <c r="BC378" s="71"/>
      <c r="BD378" s="71"/>
    </row>
    <row r="379" spans="1:56" hidden="1" x14ac:dyDescent="0.25">
      <c r="A379" s="24" t="str">
        <f>IF(B379="","",SUBTOTAL(3,$B$4:B379))</f>
        <v/>
      </c>
      <c r="B379" s="25"/>
      <c r="C379" s="25" t="str">
        <f t="shared" si="0"/>
        <v xml:space="preserve"> </v>
      </c>
      <c r="D379" s="25"/>
      <c r="E379" s="25"/>
      <c r="F379" s="25"/>
      <c r="G379" s="65"/>
      <c r="H379" s="25"/>
      <c r="I379" s="25"/>
      <c r="J379" s="26"/>
      <c r="K379" s="24"/>
      <c r="L379" s="25"/>
      <c r="M379" s="28"/>
      <c r="N379" s="25"/>
      <c r="O379" s="29"/>
      <c r="P379" s="29"/>
      <c r="Q379" s="25"/>
      <c r="R379" s="25"/>
      <c r="S379" s="26"/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1"/>
        <v>0</v>
      </c>
      <c r="AF379" s="32">
        <f t="shared" si="2"/>
        <v>0</v>
      </c>
      <c r="AG379" s="30"/>
      <c r="AH379" s="33"/>
      <c r="AI379" s="34">
        <f t="shared" si="3"/>
        <v>0</v>
      </c>
      <c r="AJ379" s="35"/>
      <c r="AK379" s="30"/>
      <c r="AL379" s="36">
        <f t="shared" ref="AL379:AL384" si="105">IFERROR(AK379*$P379/$N379,0)</f>
        <v>0</v>
      </c>
      <c r="AM379" s="35"/>
      <c r="AN379" s="30"/>
      <c r="AO379" s="36">
        <f t="shared" si="5"/>
        <v>0</v>
      </c>
      <c r="AP379" s="35"/>
      <c r="AQ379" s="30"/>
      <c r="AR379" s="36">
        <f t="shared" si="6"/>
        <v>0</v>
      </c>
      <c r="AS379" s="27"/>
      <c r="AT379" s="37"/>
      <c r="AU379" s="30"/>
      <c r="AV379" s="36">
        <f t="shared" si="7"/>
        <v>0</v>
      </c>
      <c r="AW379" s="35"/>
      <c r="AX379" s="30"/>
      <c r="AY379" s="32">
        <f t="shared" si="8"/>
        <v>0</v>
      </c>
      <c r="AZ379" s="30"/>
      <c r="BA379" s="63"/>
      <c r="BB379" s="71"/>
      <c r="BC379" s="71"/>
      <c r="BD379" s="71"/>
    </row>
    <row r="380" spans="1:56" hidden="1" x14ac:dyDescent="0.25">
      <c r="A380" s="24" t="str">
        <f>IF(B380="","",SUBTOTAL(3,$B$4:B380))</f>
        <v/>
      </c>
      <c r="B380" s="25"/>
      <c r="C380" s="25" t="str">
        <f t="shared" si="0"/>
        <v xml:space="preserve"> </v>
      </c>
      <c r="D380" s="25"/>
      <c r="E380" s="25"/>
      <c r="F380" s="25"/>
      <c r="G380" s="65"/>
      <c r="H380" s="25"/>
      <c r="I380" s="25"/>
      <c r="J380" s="26"/>
      <c r="K380" s="24"/>
      <c r="L380" s="25"/>
      <c r="M380" s="28"/>
      <c r="N380" s="25"/>
      <c r="O380" s="29"/>
      <c r="P380" s="29"/>
      <c r="Q380" s="25"/>
      <c r="R380" s="25"/>
      <c r="S380" s="26"/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1"/>
        <v>0</v>
      </c>
      <c r="AF380" s="32">
        <f t="shared" si="2"/>
        <v>0</v>
      </c>
      <c r="AG380" s="30"/>
      <c r="AH380" s="33"/>
      <c r="AI380" s="34">
        <f t="shared" si="3"/>
        <v>0</v>
      </c>
      <c r="AJ380" s="35"/>
      <c r="AK380" s="30"/>
      <c r="AL380" s="36">
        <f t="shared" si="105"/>
        <v>0</v>
      </c>
      <c r="AM380" s="35"/>
      <c r="AN380" s="30"/>
      <c r="AO380" s="36">
        <f t="shared" si="5"/>
        <v>0</v>
      </c>
      <c r="AP380" s="35"/>
      <c r="AQ380" s="30"/>
      <c r="AR380" s="36">
        <f t="shared" si="6"/>
        <v>0</v>
      </c>
      <c r="AS380" s="27"/>
      <c r="AT380" s="37"/>
      <c r="AU380" s="30"/>
      <c r="AV380" s="36">
        <f t="shared" si="7"/>
        <v>0</v>
      </c>
      <c r="AW380" s="35"/>
      <c r="AX380" s="30"/>
      <c r="AY380" s="32">
        <f t="shared" si="8"/>
        <v>0</v>
      </c>
      <c r="AZ380" s="30"/>
      <c r="BA380" s="63"/>
      <c r="BB380" s="71"/>
      <c r="BC380" s="71"/>
      <c r="BD380" s="71"/>
    </row>
    <row r="381" spans="1:56" hidden="1" x14ac:dyDescent="0.25">
      <c r="A381" s="24" t="str">
        <f>IF(B381="","",SUBTOTAL(3,$B$4:B381))</f>
        <v/>
      </c>
      <c r="B381" s="25"/>
      <c r="C381" s="25" t="str">
        <f t="shared" si="0"/>
        <v xml:space="preserve"> </v>
      </c>
      <c r="D381" s="25"/>
      <c r="E381" s="25"/>
      <c r="F381" s="25"/>
      <c r="G381" s="65"/>
      <c r="H381" s="25"/>
      <c r="I381" s="25"/>
      <c r="J381" s="26"/>
      <c r="K381" s="24"/>
      <c r="L381" s="25"/>
      <c r="M381" s="28"/>
      <c r="N381" s="25"/>
      <c r="O381" s="29"/>
      <c r="P381" s="29"/>
      <c r="Q381" s="25"/>
      <c r="R381" s="25"/>
      <c r="S381" s="26"/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1"/>
        <v>0</v>
      </c>
      <c r="AF381" s="32">
        <f t="shared" si="2"/>
        <v>0</v>
      </c>
      <c r="AG381" s="30"/>
      <c r="AH381" s="33"/>
      <c r="AI381" s="34">
        <f t="shared" si="3"/>
        <v>0</v>
      </c>
      <c r="AJ381" s="35"/>
      <c r="AK381" s="30"/>
      <c r="AL381" s="36">
        <f t="shared" si="105"/>
        <v>0</v>
      </c>
      <c r="AM381" s="35"/>
      <c r="AN381" s="30"/>
      <c r="AO381" s="36">
        <f t="shared" si="5"/>
        <v>0</v>
      </c>
      <c r="AP381" s="35"/>
      <c r="AQ381" s="30"/>
      <c r="AR381" s="36">
        <f t="shared" si="6"/>
        <v>0</v>
      </c>
      <c r="AS381" s="27"/>
      <c r="AT381" s="37"/>
      <c r="AU381" s="30"/>
      <c r="AV381" s="36">
        <f t="shared" si="7"/>
        <v>0</v>
      </c>
      <c r="AW381" s="35"/>
      <c r="AX381" s="30"/>
      <c r="AY381" s="32">
        <f t="shared" si="8"/>
        <v>0</v>
      </c>
      <c r="AZ381" s="30"/>
      <c r="BA381" s="63"/>
      <c r="BB381" s="71"/>
      <c r="BC381" s="71"/>
      <c r="BD381" s="71"/>
    </row>
    <row r="382" spans="1:56" hidden="1" x14ac:dyDescent="0.25">
      <c r="A382" s="24" t="str">
        <f>IF(B382="","",SUBTOTAL(3,$B$4:B382))</f>
        <v/>
      </c>
      <c r="B382" s="25"/>
      <c r="C382" s="25" t="str">
        <f t="shared" si="0"/>
        <v xml:space="preserve"> </v>
      </c>
      <c r="D382" s="25"/>
      <c r="E382" s="25"/>
      <c r="F382" s="25"/>
      <c r="G382" s="65"/>
      <c r="H382" s="25"/>
      <c r="I382" s="25"/>
      <c r="J382" s="26"/>
      <c r="K382" s="24"/>
      <c r="L382" s="25"/>
      <c r="M382" s="28"/>
      <c r="N382" s="25"/>
      <c r="O382" s="29"/>
      <c r="P382" s="29"/>
      <c r="Q382" s="25"/>
      <c r="R382" s="25"/>
      <c r="S382" s="26"/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1"/>
        <v>0</v>
      </c>
      <c r="AF382" s="32">
        <f t="shared" si="2"/>
        <v>0</v>
      </c>
      <c r="AG382" s="30"/>
      <c r="AH382" s="33"/>
      <c r="AI382" s="34">
        <f t="shared" si="3"/>
        <v>0</v>
      </c>
      <c r="AJ382" s="35"/>
      <c r="AK382" s="30"/>
      <c r="AL382" s="36">
        <f t="shared" si="105"/>
        <v>0</v>
      </c>
      <c r="AM382" s="35"/>
      <c r="AN382" s="30"/>
      <c r="AO382" s="36">
        <f t="shared" si="5"/>
        <v>0</v>
      </c>
      <c r="AP382" s="35"/>
      <c r="AQ382" s="30"/>
      <c r="AR382" s="36">
        <f t="shared" si="6"/>
        <v>0</v>
      </c>
      <c r="AS382" s="27"/>
      <c r="AT382" s="37"/>
      <c r="AU382" s="30"/>
      <c r="AV382" s="36">
        <f t="shared" si="7"/>
        <v>0</v>
      </c>
      <c r="AW382" s="35"/>
      <c r="AX382" s="30"/>
      <c r="AY382" s="32">
        <f t="shared" si="8"/>
        <v>0</v>
      </c>
      <c r="AZ382" s="30"/>
      <c r="BA382" s="63"/>
      <c r="BB382" s="71"/>
      <c r="BC382" s="71"/>
      <c r="BD382" s="71"/>
    </row>
    <row r="383" spans="1:56" hidden="1" x14ac:dyDescent="0.25">
      <c r="A383" s="24" t="str">
        <f>IF(B383="","",SUBTOTAL(3,$B$4:B383))</f>
        <v/>
      </c>
      <c r="B383" s="25"/>
      <c r="C383" s="25" t="str">
        <f t="shared" si="0"/>
        <v xml:space="preserve"> </v>
      </c>
      <c r="D383" s="25"/>
      <c r="E383" s="25"/>
      <c r="F383" s="25"/>
      <c r="G383" s="65"/>
      <c r="H383" s="25"/>
      <c r="I383" s="25"/>
      <c r="J383" s="26"/>
      <c r="K383" s="24"/>
      <c r="L383" s="25"/>
      <c r="M383" s="28"/>
      <c r="N383" s="25"/>
      <c r="O383" s="29"/>
      <c r="P383" s="29"/>
      <c r="Q383" s="25"/>
      <c r="R383" s="25"/>
      <c r="S383" s="26"/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1"/>
        <v>0</v>
      </c>
      <c r="AF383" s="32">
        <f t="shared" si="2"/>
        <v>0</v>
      </c>
      <c r="AG383" s="30"/>
      <c r="AH383" s="33"/>
      <c r="AI383" s="34">
        <f t="shared" si="3"/>
        <v>0</v>
      </c>
      <c r="AJ383" s="35"/>
      <c r="AK383" s="30"/>
      <c r="AL383" s="36">
        <f t="shared" si="105"/>
        <v>0</v>
      </c>
      <c r="AM383" s="35"/>
      <c r="AN383" s="30"/>
      <c r="AO383" s="36">
        <f t="shared" si="5"/>
        <v>0</v>
      </c>
      <c r="AP383" s="35"/>
      <c r="AQ383" s="30"/>
      <c r="AR383" s="36">
        <f t="shared" si="6"/>
        <v>0</v>
      </c>
      <c r="AS383" s="27"/>
      <c r="AT383" s="37"/>
      <c r="AU383" s="30"/>
      <c r="AV383" s="36">
        <f t="shared" si="7"/>
        <v>0</v>
      </c>
      <c r="AW383" s="35"/>
      <c r="AX383" s="30"/>
      <c r="AY383" s="32">
        <f t="shared" si="8"/>
        <v>0</v>
      </c>
      <c r="AZ383" s="30"/>
      <c r="BA383" s="63"/>
      <c r="BB383" s="71"/>
      <c r="BC383" s="71"/>
      <c r="BD383" s="71"/>
    </row>
    <row r="384" spans="1:56" ht="16.5" hidden="1" thickBot="1" x14ac:dyDescent="0.3">
      <c r="A384" s="38" t="str">
        <f>IF(B384="","",SUBTOTAL(3,$B$4:B384))</f>
        <v/>
      </c>
      <c r="B384" s="39"/>
      <c r="C384" s="39" t="str">
        <f t="shared" si="0"/>
        <v xml:space="preserve"> </v>
      </c>
      <c r="D384" s="39"/>
      <c r="E384" s="39"/>
      <c r="F384" s="39"/>
      <c r="G384" s="66"/>
      <c r="H384" s="39"/>
      <c r="I384" s="39"/>
      <c r="J384" s="40"/>
      <c r="K384" s="38"/>
      <c r="L384" s="39"/>
      <c r="M384" s="42"/>
      <c r="N384" s="39"/>
      <c r="O384" s="43"/>
      <c r="P384" s="43"/>
      <c r="Q384" s="39"/>
      <c r="R384" s="39"/>
      <c r="S384" s="40"/>
      <c r="T384" s="38"/>
      <c r="U384" s="41"/>
      <c r="V384" s="41"/>
      <c r="W384" s="41"/>
      <c r="X384" s="66"/>
      <c r="Y384" s="46"/>
      <c r="Z384" s="41"/>
      <c r="AA384" s="46"/>
      <c r="AB384" s="41"/>
      <c r="AC384" s="41"/>
      <c r="AD384" s="69"/>
      <c r="AE384" s="55">
        <f t="shared" si="1"/>
        <v>0</v>
      </c>
      <c r="AF384" s="47">
        <f t="shared" si="2"/>
        <v>0</v>
      </c>
      <c r="AG384" s="41"/>
      <c r="AH384" s="56"/>
      <c r="AI384" s="57">
        <f t="shared" si="3"/>
        <v>0</v>
      </c>
      <c r="AJ384" s="44"/>
      <c r="AK384" s="41"/>
      <c r="AL384" s="45">
        <f t="shared" si="105"/>
        <v>0</v>
      </c>
      <c r="AM384" s="44"/>
      <c r="AN384" s="41"/>
      <c r="AO384" s="45">
        <f t="shared" si="5"/>
        <v>0</v>
      </c>
      <c r="AP384" s="44"/>
      <c r="AQ384" s="41"/>
      <c r="AR384" s="45">
        <f t="shared" si="6"/>
        <v>0</v>
      </c>
      <c r="AS384" s="62"/>
      <c r="AT384" s="46"/>
      <c r="AU384" s="41"/>
      <c r="AV384" s="45">
        <f t="shared" si="7"/>
        <v>0</v>
      </c>
      <c r="AW384" s="44"/>
      <c r="AX384" s="41"/>
      <c r="AY384" s="47">
        <f t="shared" si="8"/>
        <v>0</v>
      </c>
      <c r="AZ384" s="41"/>
      <c r="BA384" s="64"/>
      <c r="BB384" s="71"/>
      <c r="BC384" s="71"/>
      <c r="BD384" s="71"/>
    </row>
  </sheetData>
  <autoFilter ref="A3:BD384" xr:uid="{334E9545-4D7F-4FF2-AE79-B0165FA68616}">
    <filterColumn colId="4">
      <filters>
        <filter val="CO-SCR Duct"/>
      </filters>
    </filterColumn>
    <filterColumn colId="44">
      <filters>
        <filter val="U284-SCR-003"/>
      </filters>
    </filterColumn>
  </autoFilter>
  <phoneticPr fontId="7" type="noConversion"/>
  <conditionalFormatting sqref="A4:AG384 AJ4:AL384">
    <cfRule type="expression" dxfId="5" priority="2">
      <formula>$AK4=$N4</formula>
    </cfRule>
  </conditionalFormatting>
  <conditionalFormatting sqref="AH4:AI384">
    <cfRule type="expression" dxfId="4" priority="1">
      <formula>$AH4=1</formula>
    </cfRule>
  </conditionalFormatting>
  <conditionalFormatting sqref="AM4:AO384">
    <cfRule type="expression" dxfId="3" priority="3">
      <formula>$AN4=$N4</formula>
    </cfRule>
  </conditionalFormatting>
  <conditionalFormatting sqref="AP4:AR384">
    <cfRule type="expression" dxfId="2" priority="4">
      <formula>$AQ4=$N4</formula>
    </cfRule>
  </conditionalFormatting>
  <conditionalFormatting sqref="AS4:AV384">
    <cfRule type="expression" dxfId="1" priority="5">
      <formula>$AU4=$N4</formula>
    </cfRule>
  </conditionalFormatting>
  <conditionalFormatting sqref="AW4:BA384">
    <cfRule type="expression" dxfId="0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2026-10-19T01:36:54Z</dcterms:modified>
</cp:coreProperties>
</file>